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IGMA\"/>
    </mc:Choice>
  </mc:AlternateContent>
  <xr:revisionPtr revIDLastSave="0" documentId="13_ncr:1_{30132422-3948-403C-AB40-B922F17FFE53}" xr6:coauthVersionLast="47" xr6:coauthVersionMax="47" xr10:uidLastSave="{00000000-0000-0000-0000-000000000000}"/>
  <bookViews>
    <workbookView xWindow="-110" yWindow="-110" windowWidth="19420" windowHeight="10300" activeTab="2" xr2:uid="{0101B7B4-82C8-4896-B368-BD8F26E814B4}"/>
  </bookViews>
  <sheets>
    <sheet name="Sheet1" sheetId="1" r:id="rId1"/>
    <sheet name="Sheet2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03" i="1" l="1" a="1"/>
  <c r="G3203" i="1" s="1"/>
  <c r="G3202" i="1" a="1"/>
  <c r="G3202" i="1" s="1"/>
  <c r="G3201" i="1" a="1"/>
  <c r="G3201" i="1" s="1"/>
  <c r="G3200" i="1" a="1"/>
  <c r="G3200" i="1" s="1"/>
  <c r="G3199" i="1" a="1"/>
  <c r="G3199" i="1" s="1"/>
  <c r="G3198" i="1" a="1"/>
  <c r="G3198" i="1" s="1"/>
  <c r="G3197" i="1" a="1"/>
  <c r="G3197" i="1" s="1"/>
  <c r="G3196" i="1" a="1"/>
  <c r="G3196" i="1" s="1"/>
  <c r="G3195" i="1" a="1"/>
  <c r="G3195" i="1" s="1"/>
  <c r="G3194" i="1" a="1"/>
  <c r="G3194" i="1" s="1"/>
  <c r="G3193" i="1" a="1"/>
  <c r="G3193" i="1" s="1"/>
  <c r="G3192" i="1" a="1"/>
  <c r="G3192" i="1" s="1"/>
  <c r="G3191" i="1" a="1"/>
  <c r="G3191" i="1" s="1"/>
  <c r="G3190" i="1" a="1"/>
  <c r="G3190" i="1" s="1"/>
  <c r="G3189" i="1" a="1"/>
  <c r="G3189" i="1" s="1"/>
  <c r="G3188" i="1" a="1"/>
  <c r="G3188" i="1" s="1"/>
  <c r="G3187" i="1" a="1"/>
  <c r="G3187" i="1" s="1"/>
  <c r="G3186" i="1" a="1"/>
  <c r="G3186" i="1" s="1"/>
  <c r="G3185" i="1" a="1"/>
  <c r="G3185" i="1" s="1"/>
  <c r="G3184" i="1" a="1"/>
  <c r="G3184" i="1" s="1"/>
  <c r="G3183" i="1" a="1"/>
  <c r="G3183" i="1" s="1"/>
  <c r="G3182" i="1" a="1"/>
  <c r="G3182" i="1" s="1"/>
  <c r="G3181" i="1" a="1"/>
  <c r="G3181" i="1" s="1"/>
  <c r="G3180" i="1" a="1"/>
  <c r="G3180" i="1" s="1"/>
  <c r="G3179" i="1" a="1"/>
  <c r="G3179" i="1" s="1"/>
  <c r="G3178" i="1" a="1"/>
  <c r="G3178" i="1" s="1"/>
  <c r="G3177" i="1" a="1"/>
  <c r="G3177" i="1" s="1"/>
  <c r="G3176" i="1" a="1"/>
  <c r="G3176" i="1" s="1"/>
  <c r="G3175" i="1" a="1"/>
  <c r="G3175" i="1" s="1"/>
  <c r="G3174" i="1" a="1"/>
  <c r="G3174" i="1" s="1"/>
  <c r="G3173" i="1" a="1"/>
  <c r="G3173" i="1" s="1"/>
  <c r="G3172" i="1" a="1"/>
  <c r="G3172" i="1" s="1"/>
  <c r="G3171" i="1" a="1"/>
  <c r="G3171" i="1" s="1"/>
  <c r="G3170" i="1" a="1"/>
  <c r="G3170" i="1" s="1"/>
  <c r="G3169" i="1" a="1"/>
  <c r="G3169" i="1" s="1"/>
  <c r="G3168" i="1" a="1"/>
  <c r="G3168" i="1" s="1"/>
  <c r="G3167" i="1" a="1"/>
  <c r="G3167" i="1" s="1"/>
  <c r="G3166" i="1" a="1"/>
  <c r="G3166" i="1" s="1"/>
  <c r="G3165" i="1" a="1"/>
  <c r="G3165" i="1" s="1"/>
  <c r="G3164" i="1" a="1"/>
  <c r="G3164" i="1" s="1"/>
  <c r="G3163" i="1" a="1"/>
  <c r="G3163" i="1" s="1"/>
  <c r="G3162" i="1" a="1"/>
  <c r="G3162" i="1" s="1"/>
  <c r="G3161" i="1" a="1"/>
  <c r="G3161" i="1" s="1"/>
  <c r="G3160" i="1" a="1"/>
  <c r="G3160" i="1" s="1"/>
  <c r="G3159" i="1" a="1"/>
  <c r="G3159" i="1" s="1"/>
  <c r="G3158" i="1" a="1"/>
  <c r="G3158" i="1" s="1"/>
  <c r="G3157" i="1" a="1"/>
  <c r="G3157" i="1" s="1"/>
  <c r="G3156" i="1" a="1"/>
  <c r="G3156" i="1" s="1"/>
  <c r="G3155" i="1" a="1"/>
  <c r="G3155" i="1" s="1"/>
  <c r="G3154" i="1" a="1"/>
  <c r="G3154" i="1" s="1"/>
  <c r="G3153" i="1" a="1"/>
  <c r="G3153" i="1" s="1"/>
  <c r="G3152" i="1" a="1"/>
  <c r="G3152" i="1" s="1"/>
  <c r="G3151" i="1" a="1"/>
  <c r="G3151" i="1" s="1"/>
  <c r="G3150" i="1" a="1"/>
  <c r="G3150" i="1" s="1"/>
  <c r="G3149" i="1" a="1"/>
  <c r="G3149" i="1" s="1"/>
  <c r="G3148" i="1" a="1"/>
  <c r="G3148" i="1" s="1"/>
  <c r="G3147" i="1" a="1"/>
  <c r="G3147" i="1" s="1"/>
  <c r="G3146" i="1" a="1"/>
  <c r="G3146" i="1" s="1"/>
  <c r="G3145" i="1" a="1"/>
  <c r="G3145" i="1" s="1"/>
  <c r="G3144" i="1" a="1"/>
  <c r="G3144" i="1" s="1"/>
  <c r="G3143" i="1" a="1"/>
  <c r="G3143" i="1" s="1"/>
  <c r="G3142" i="1" a="1"/>
  <c r="G3142" i="1" s="1"/>
  <c r="G3141" i="1" a="1"/>
  <c r="G3141" i="1" s="1"/>
  <c r="G3140" i="1" a="1"/>
  <c r="G3140" i="1" s="1"/>
  <c r="G3139" i="1" a="1"/>
  <c r="G3139" i="1" s="1"/>
  <c r="G3138" i="1" a="1"/>
  <c r="G3138" i="1" s="1"/>
  <c r="G3137" i="1" a="1"/>
  <c r="G3137" i="1" s="1"/>
  <c r="G3136" i="1" a="1"/>
  <c r="G3136" i="1" s="1"/>
  <c r="G3135" i="1" a="1"/>
  <c r="G3135" i="1" s="1"/>
  <c r="G3134" i="1" a="1"/>
  <c r="G3134" i="1" s="1"/>
  <c r="G3133" i="1" a="1"/>
  <c r="G3133" i="1" s="1"/>
  <c r="G3132" i="1" a="1"/>
  <c r="G3132" i="1" s="1"/>
  <c r="G3131" i="1" a="1"/>
  <c r="G3131" i="1" s="1"/>
  <c r="G3130" i="1" a="1"/>
  <c r="G3130" i="1" s="1"/>
  <c r="G3129" i="1" a="1"/>
  <c r="G3129" i="1" s="1"/>
  <c r="G3128" i="1" a="1"/>
  <c r="G3128" i="1" s="1"/>
  <c r="G3127" i="1" a="1"/>
  <c r="G3127" i="1" s="1"/>
  <c r="G3126" i="1" a="1"/>
  <c r="G3126" i="1" s="1"/>
  <c r="G3125" i="1" a="1"/>
  <c r="G3125" i="1" s="1"/>
  <c r="G3124" i="1" a="1"/>
  <c r="G3124" i="1" s="1"/>
  <c r="G3123" i="1" a="1"/>
  <c r="G3123" i="1" s="1"/>
  <c r="G3122" i="1" a="1"/>
  <c r="G3122" i="1" s="1"/>
  <c r="G3121" i="1" a="1"/>
  <c r="G3121" i="1" s="1"/>
  <c r="G3120" i="1" a="1"/>
  <c r="G3120" i="1" s="1"/>
  <c r="G3119" i="1" a="1"/>
  <c r="G3119" i="1" s="1"/>
  <c r="G3118" i="1" a="1"/>
  <c r="G3118" i="1" s="1"/>
  <c r="G3117" i="1" a="1"/>
  <c r="G3117" i="1" s="1"/>
  <c r="G3116" i="1" a="1"/>
  <c r="G3116" i="1" s="1"/>
  <c r="G3115" i="1" a="1"/>
  <c r="G3115" i="1" s="1"/>
  <c r="G3114" i="1" a="1"/>
  <c r="G3114" i="1" s="1"/>
  <c r="G3113" i="1" a="1"/>
  <c r="G3113" i="1" s="1"/>
  <c r="G3112" i="1" a="1"/>
  <c r="G3112" i="1" s="1"/>
  <c r="G3111" i="1" a="1"/>
  <c r="G3111" i="1" s="1"/>
  <c r="G3110" i="1" a="1"/>
  <c r="G3110" i="1" s="1"/>
  <c r="G3109" i="1" a="1"/>
  <c r="G3109" i="1" s="1"/>
  <c r="G3108" i="1" a="1"/>
  <c r="G3108" i="1" s="1"/>
  <c r="G3107" i="1" a="1"/>
  <c r="G3107" i="1" s="1"/>
  <c r="G3106" i="1" a="1"/>
  <c r="G3106" i="1" s="1"/>
  <c r="G3105" i="1" a="1"/>
  <c r="G3105" i="1" s="1"/>
  <c r="G3104" i="1" a="1"/>
  <c r="G3104" i="1" s="1"/>
  <c r="G3103" i="1" a="1"/>
  <c r="G3103" i="1" s="1"/>
  <c r="G3102" i="1" a="1"/>
  <c r="G3102" i="1" s="1"/>
  <c r="G3101" i="1" a="1"/>
  <c r="G3101" i="1" s="1"/>
  <c r="G3100" i="1" a="1"/>
  <c r="G3100" i="1" s="1"/>
  <c r="G3099" i="1" a="1"/>
  <c r="G3099" i="1" s="1"/>
  <c r="G3098" i="1" a="1"/>
  <c r="G3098" i="1" s="1"/>
  <c r="G3097" i="1" a="1"/>
  <c r="G3097" i="1" s="1"/>
  <c r="G3096" i="1" a="1"/>
  <c r="G3096" i="1" s="1"/>
  <c r="G3095" i="1" a="1"/>
  <c r="G3095" i="1" s="1"/>
  <c r="G3094" i="1" a="1"/>
  <c r="G3094" i="1" s="1"/>
  <c r="G3093" i="1" a="1"/>
  <c r="G3093" i="1" s="1"/>
  <c r="G3092" i="1" a="1"/>
  <c r="G3092" i="1" s="1"/>
  <c r="G3091" i="1" a="1"/>
  <c r="G3091" i="1" s="1"/>
  <c r="G3090" i="1" a="1"/>
  <c r="G3090" i="1" s="1"/>
  <c r="G3089" i="1" a="1"/>
  <c r="G3089" i="1" s="1"/>
  <c r="G3088" i="1" a="1"/>
  <c r="G3088" i="1" s="1"/>
  <c r="G3087" i="1" a="1"/>
  <c r="G3087" i="1" s="1"/>
  <c r="G3086" i="1" a="1"/>
  <c r="G3086" i="1" s="1"/>
  <c r="G3085" i="1" a="1"/>
  <c r="G3085" i="1" s="1"/>
  <c r="G3084" i="1" a="1"/>
  <c r="G3084" i="1" s="1"/>
  <c r="G3083" i="1" a="1"/>
  <c r="G3083" i="1" s="1"/>
  <c r="G3082" i="1" a="1"/>
  <c r="G3082" i="1" s="1"/>
  <c r="G3081" i="1" a="1"/>
  <c r="G3081" i="1" s="1"/>
  <c r="G3080" i="1" a="1"/>
  <c r="G3080" i="1" s="1"/>
  <c r="G3079" i="1" a="1"/>
  <c r="G3079" i="1" s="1"/>
  <c r="G3078" i="1" a="1"/>
  <c r="G3078" i="1" s="1"/>
  <c r="G3077" i="1" a="1"/>
  <c r="G3077" i="1" s="1"/>
  <c r="G3076" i="1" a="1"/>
  <c r="G3076" i="1" s="1"/>
  <c r="G3075" i="1" a="1"/>
  <c r="G3075" i="1" s="1"/>
  <c r="G3074" i="1" a="1"/>
  <c r="G3074" i="1" s="1"/>
  <c r="G3073" i="1" a="1"/>
  <c r="G3073" i="1" s="1"/>
  <c r="G3072" i="1" a="1"/>
  <c r="G3072" i="1" s="1"/>
  <c r="G3071" i="1" a="1"/>
  <c r="G3071" i="1" s="1"/>
  <c r="G3070" i="1" a="1"/>
  <c r="G3070" i="1" s="1"/>
  <c r="G3069" i="1" a="1"/>
  <c r="G3069" i="1" s="1"/>
  <c r="G3068" i="1" a="1"/>
  <c r="G3068" i="1" s="1"/>
  <c r="G3067" i="1" a="1"/>
  <c r="G3067" i="1" s="1"/>
  <c r="G3066" i="1" a="1"/>
  <c r="G3066" i="1" s="1"/>
  <c r="G3065" i="1" a="1"/>
  <c r="G3065" i="1" s="1"/>
  <c r="G3064" i="1" a="1"/>
  <c r="G3064" i="1" s="1"/>
  <c r="G3063" i="1" a="1"/>
  <c r="G3063" i="1" s="1"/>
  <c r="G3062" i="1" a="1"/>
  <c r="G3062" i="1" s="1"/>
  <c r="G3061" i="1" a="1"/>
  <c r="G3061" i="1" s="1"/>
  <c r="G3060" i="1" a="1"/>
  <c r="G3060" i="1" s="1"/>
  <c r="G3059" i="1" a="1"/>
  <c r="G3059" i="1" s="1"/>
  <c r="G3058" i="1" a="1"/>
  <c r="G3058" i="1" s="1"/>
  <c r="G3057" i="1" a="1"/>
  <c r="G3057" i="1" s="1"/>
  <c r="G3056" i="1" a="1"/>
  <c r="G3056" i="1" s="1"/>
  <c r="G3055" i="1" a="1"/>
  <c r="G3055" i="1" s="1"/>
  <c r="G3054" i="1" a="1"/>
  <c r="G3054" i="1" s="1"/>
  <c r="G3053" i="1" a="1"/>
  <c r="G3053" i="1" s="1"/>
  <c r="G3052" i="1" a="1"/>
  <c r="G3052" i="1" s="1"/>
  <c r="G3051" i="1" a="1"/>
  <c r="G3051" i="1" s="1"/>
  <c r="G3050" i="1" a="1"/>
  <c r="G3050" i="1" s="1"/>
  <c r="G3049" i="1" a="1"/>
  <c r="G3049" i="1" s="1"/>
  <c r="G3048" i="1" a="1"/>
  <c r="G3048" i="1" s="1"/>
  <c r="G3047" i="1" a="1"/>
  <c r="G3047" i="1" s="1"/>
  <c r="G3046" i="1" a="1"/>
  <c r="G3046" i="1" s="1"/>
  <c r="G3045" i="1" a="1"/>
  <c r="G3045" i="1" s="1"/>
  <c r="G3044" i="1" a="1"/>
  <c r="G3044" i="1" s="1"/>
  <c r="G3043" i="1" a="1"/>
  <c r="G3043" i="1" s="1"/>
  <c r="G3042" i="1" a="1"/>
  <c r="G3042" i="1" s="1"/>
  <c r="G3041" i="1" a="1"/>
  <c r="G3041" i="1" s="1"/>
  <c r="G3040" i="1" a="1"/>
  <c r="G3040" i="1" s="1"/>
  <c r="G3039" i="1" a="1"/>
  <c r="G3039" i="1" s="1"/>
  <c r="G3038" i="1" a="1"/>
  <c r="G3038" i="1" s="1"/>
  <c r="G3037" i="1" a="1"/>
  <c r="G3037" i="1" s="1"/>
  <c r="G3036" i="1" a="1"/>
  <c r="G3036" i="1" s="1"/>
  <c r="G3035" i="1" a="1"/>
  <c r="G3035" i="1" s="1"/>
  <c r="G3034" i="1" a="1"/>
  <c r="G3034" i="1" s="1"/>
  <c r="G3033" i="1" a="1"/>
  <c r="G3033" i="1" s="1"/>
  <c r="G3032" i="1" a="1"/>
  <c r="G3032" i="1" s="1"/>
  <c r="G3031" i="1" a="1"/>
  <c r="G3031" i="1" s="1"/>
  <c r="G3030" i="1" a="1"/>
  <c r="G3030" i="1" s="1"/>
  <c r="G3029" i="1" a="1"/>
  <c r="G3029" i="1" s="1"/>
  <c r="G3028" i="1" a="1"/>
  <c r="G3028" i="1" s="1"/>
  <c r="G3027" i="1" a="1"/>
  <c r="G3027" i="1" s="1"/>
  <c r="G3026" i="1" a="1"/>
  <c r="G3026" i="1" s="1"/>
  <c r="G3025" i="1" a="1"/>
  <c r="G3025" i="1" s="1"/>
  <c r="G3024" i="1" a="1"/>
  <c r="G3024" i="1" s="1"/>
  <c r="G3023" i="1" a="1"/>
  <c r="G3023" i="1" s="1"/>
  <c r="G3022" i="1" a="1"/>
  <c r="G3022" i="1" s="1"/>
  <c r="G3021" i="1" a="1"/>
  <c r="G3021" i="1" s="1"/>
  <c r="G3020" i="1" a="1"/>
  <c r="G3020" i="1" s="1"/>
  <c r="G3019" i="1" a="1"/>
  <c r="G3019" i="1" s="1"/>
  <c r="G3018" i="1" a="1"/>
  <c r="G3018" i="1" s="1"/>
  <c r="G3017" i="1" a="1"/>
  <c r="G3017" i="1" s="1"/>
  <c r="G3016" i="1" a="1"/>
  <c r="G3016" i="1" s="1"/>
  <c r="G3015" i="1" a="1"/>
  <c r="G3015" i="1" s="1"/>
  <c r="G3014" i="1" a="1"/>
  <c r="G3014" i="1" s="1"/>
  <c r="G3013" i="1" a="1"/>
  <c r="G3013" i="1" s="1"/>
  <c r="G3012" i="1" a="1"/>
  <c r="G3012" i="1" s="1"/>
  <c r="G3011" i="1" a="1"/>
  <c r="G3011" i="1" s="1"/>
  <c r="G3010" i="1" a="1"/>
  <c r="G3010" i="1" s="1"/>
  <c r="G3009" i="1" a="1"/>
  <c r="G3009" i="1" s="1"/>
  <c r="G3008" i="1" a="1"/>
  <c r="G3008" i="1" s="1"/>
  <c r="G3007" i="1" a="1"/>
  <c r="G3007" i="1" s="1"/>
  <c r="G3006" i="1" a="1"/>
  <c r="G3006" i="1" s="1"/>
  <c r="G3005" i="1" a="1"/>
  <c r="G3005" i="1" s="1"/>
  <c r="G3004" i="1" a="1"/>
  <c r="G3004" i="1" s="1"/>
  <c r="G3003" i="1" a="1"/>
  <c r="G3003" i="1" s="1"/>
  <c r="G3002" i="1" a="1"/>
  <c r="G3002" i="1" s="1"/>
  <c r="G3001" i="1" a="1"/>
  <c r="G3001" i="1" s="1"/>
  <c r="G3000" i="1" a="1"/>
  <c r="G3000" i="1" s="1"/>
  <c r="G2999" i="1" a="1"/>
  <c r="G2999" i="1" s="1"/>
  <c r="G2998" i="1" a="1"/>
  <c r="G2998" i="1" s="1"/>
  <c r="G2997" i="1" a="1"/>
  <c r="G2997" i="1" s="1"/>
  <c r="G2996" i="1" a="1"/>
  <c r="G2996" i="1" s="1"/>
  <c r="G2995" i="1" a="1"/>
  <c r="G2995" i="1" s="1"/>
  <c r="G2994" i="1" a="1"/>
  <c r="G2994" i="1" s="1"/>
  <c r="G2993" i="1" a="1"/>
  <c r="G2993" i="1" s="1"/>
  <c r="G2992" i="1" a="1"/>
  <c r="G2992" i="1" s="1"/>
  <c r="G2991" i="1" a="1"/>
  <c r="G2991" i="1" s="1"/>
  <c r="G2990" i="1" a="1"/>
  <c r="G2990" i="1" s="1"/>
  <c r="G2989" i="1" a="1"/>
  <c r="G2989" i="1" s="1"/>
  <c r="G2988" i="1" a="1"/>
  <c r="G2988" i="1" s="1"/>
  <c r="G2987" i="1" a="1"/>
  <c r="G2987" i="1" s="1"/>
  <c r="G2986" i="1" a="1"/>
  <c r="G2986" i="1" s="1"/>
  <c r="G2985" i="1" a="1"/>
  <c r="G2985" i="1" s="1"/>
  <c r="G2984" i="1" a="1"/>
  <c r="G2984" i="1" s="1"/>
  <c r="G2983" i="1" a="1"/>
  <c r="G2983" i="1" s="1"/>
  <c r="G2982" i="1" a="1"/>
  <c r="G2982" i="1" s="1"/>
  <c r="G2981" i="1" a="1"/>
  <c r="G2981" i="1" s="1"/>
  <c r="G2980" i="1" a="1"/>
  <c r="G2980" i="1" s="1"/>
  <c r="G2979" i="1" a="1"/>
  <c r="G2979" i="1" s="1"/>
  <c r="G2978" i="1" a="1"/>
  <c r="G2978" i="1" s="1"/>
  <c r="G2977" i="1" a="1"/>
  <c r="G2977" i="1" s="1"/>
  <c r="G2976" i="1" a="1"/>
  <c r="G2976" i="1" s="1"/>
  <c r="G2975" i="1" a="1"/>
  <c r="G2975" i="1" s="1"/>
  <c r="G2974" i="1" a="1"/>
  <c r="G2974" i="1" s="1"/>
  <c r="G2973" i="1" a="1"/>
  <c r="G2973" i="1" s="1"/>
  <c r="G2972" i="1" a="1"/>
  <c r="G2972" i="1" s="1"/>
  <c r="G2971" i="1" a="1"/>
  <c r="G2971" i="1" s="1"/>
  <c r="G2970" i="1" a="1"/>
  <c r="G2970" i="1" s="1"/>
  <c r="G2969" i="1" a="1"/>
  <c r="G2969" i="1" s="1"/>
  <c r="G2968" i="1" a="1"/>
  <c r="G2968" i="1" s="1"/>
  <c r="G2967" i="1" a="1"/>
  <c r="G2967" i="1" s="1"/>
  <c r="G2966" i="1" a="1"/>
  <c r="G2966" i="1" s="1"/>
  <c r="G2965" i="1" a="1"/>
  <c r="G2965" i="1" s="1"/>
  <c r="G2964" i="1" a="1"/>
  <c r="G2964" i="1" s="1"/>
  <c r="G2963" i="1" a="1"/>
  <c r="G2963" i="1" s="1"/>
  <c r="G2962" i="1" a="1"/>
  <c r="G2962" i="1" s="1"/>
  <c r="G2961" i="1" a="1"/>
  <c r="G2961" i="1" s="1"/>
  <c r="G2960" i="1" a="1"/>
  <c r="G2960" i="1" s="1"/>
  <c r="G2959" i="1" a="1"/>
  <c r="G2959" i="1" s="1"/>
  <c r="G2958" i="1" a="1"/>
  <c r="G2958" i="1" s="1"/>
  <c r="G2957" i="1" a="1"/>
  <c r="G2957" i="1" s="1"/>
  <c r="G2956" i="1" a="1"/>
  <c r="G2956" i="1" s="1"/>
  <c r="G2955" i="1" a="1"/>
  <c r="G2955" i="1" s="1"/>
  <c r="G2954" i="1" a="1"/>
  <c r="G2954" i="1" s="1"/>
  <c r="G2953" i="1" a="1"/>
  <c r="G2953" i="1" s="1"/>
  <c r="G2952" i="1" a="1"/>
  <c r="G2952" i="1" s="1"/>
  <c r="G2951" i="1" a="1"/>
  <c r="G2951" i="1" s="1"/>
  <c r="G2950" i="1" a="1"/>
  <c r="G2950" i="1" s="1"/>
  <c r="G2949" i="1" a="1"/>
  <c r="G2949" i="1" s="1"/>
  <c r="G2948" i="1" a="1"/>
  <c r="G2948" i="1" s="1"/>
  <c r="G2947" i="1" a="1"/>
  <c r="G2947" i="1" s="1"/>
  <c r="G2946" i="1" a="1"/>
  <c r="G2946" i="1" s="1"/>
  <c r="G2945" i="1" a="1"/>
  <c r="G2945" i="1" s="1"/>
  <c r="G2944" i="1" a="1"/>
  <c r="G2944" i="1" s="1"/>
  <c r="G2943" i="1" a="1"/>
  <c r="G2943" i="1" s="1"/>
  <c r="G2942" i="1" a="1"/>
  <c r="G2942" i="1" s="1"/>
  <c r="G2941" i="1" a="1"/>
  <c r="G2941" i="1" s="1"/>
  <c r="G2940" i="1" a="1"/>
  <c r="G2940" i="1" s="1"/>
  <c r="G2939" i="1" a="1"/>
  <c r="G2939" i="1" s="1"/>
  <c r="G2938" i="1" a="1"/>
  <c r="G2938" i="1" s="1"/>
  <c r="G2937" i="1" a="1"/>
  <c r="G2937" i="1" s="1"/>
  <c r="G2936" i="1" a="1"/>
  <c r="G2936" i="1" s="1"/>
  <c r="G2935" i="1" a="1"/>
  <c r="G2935" i="1" s="1"/>
  <c r="G2934" i="1" a="1"/>
  <c r="G2934" i="1" s="1"/>
  <c r="G2933" i="1" a="1"/>
  <c r="G2933" i="1" s="1"/>
  <c r="G2932" i="1" a="1"/>
  <c r="G2932" i="1" s="1"/>
  <c r="G2931" i="1" a="1"/>
  <c r="G2931" i="1" s="1"/>
  <c r="G2930" i="1" a="1"/>
  <c r="G2930" i="1" s="1"/>
  <c r="G2929" i="1" a="1"/>
  <c r="G2929" i="1" s="1"/>
  <c r="G2928" i="1" a="1"/>
  <c r="G2928" i="1" s="1"/>
  <c r="G2927" i="1" a="1"/>
  <c r="G2927" i="1" s="1"/>
  <c r="G2926" i="1" a="1"/>
  <c r="G2926" i="1" s="1"/>
  <c r="G2925" i="1" a="1"/>
  <c r="G2925" i="1" s="1"/>
  <c r="G2924" i="1" a="1"/>
  <c r="G2924" i="1" s="1"/>
  <c r="G2923" i="1" a="1"/>
  <c r="G2923" i="1" s="1"/>
  <c r="G2922" i="1" a="1"/>
  <c r="G2922" i="1" s="1"/>
  <c r="G2921" i="1" a="1"/>
  <c r="G2921" i="1" s="1"/>
  <c r="G2920" i="1" a="1"/>
  <c r="G2920" i="1" s="1"/>
  <c r="G2919" i="1" a="1"/>
  <c r="G2919" i="1" s="1"/>
  <c r="G2918" i="1" a="1"/>
  <c r="G2918" i="1" s="1"/>
  <c r="G2917" i="1" a="1"/>
  <c r="G2917" i="1" s="1"/>
  <c r="G2916" i="1" a="1"/>
  <c r="G2916" i="1" s="1"/>
  <c r="G2915" i="1" a="1"/>
  <c r="G2915" i="1" s="1"/>
  <c r="G2914" i="1" a="1"/>
  <c r="G2914" i="1" s="1"/>
  <c r="G2913" i="1" a="1"/>
  <c r="G2913" i="1" s="1"/>
  <c r="G2912" i="1" a="1"/>
  <c r="G2912" i="1" s="1"/>
  <c r="G2911" i="1" a="1"/>
  <c r="G2911" i="1" s="1"/>
  <c r="G2910" i="1" a="1"/>
  <c r="G2910" i="1" s="1"/>
  <c r="G2909" i="1" a="1"/>
  <c r="G2909" i="1" s="1"/>
  <c r="G2908" i="1" a="1"/>
  <c r="G2908" i="1" s="1"/>
  <c r="G2907" i="1" a="1"/>
  <c r="G2907" i="1" s="1"/>
  <c r="G2906" i="1" a="1"/>
  <c r="G2906" i="1" s="1"/>
  <c r="G2905" i="1" a="1"/>
  <c r="G2905" i="1" s="1"/>
  <c r="G2904" i="1" a="1"/>
  <c r="G2904" i="1" s="1"/>
  <c r="G2903" i="1" a="1"/>
  <c r="G2903" i="1" s="1"/>
  <c r="G2902" i="1" a="1"/>
  <c r="G2902" i="1" s="1"/>
  <c r="G2901" i="1" a="1"/>
  <c r="G2901" i="1" s="1"/>
  <c r="G2900" i="1" a="1"/>
  <c r="G2900" i="1" s="1"/>
  <c r="G2899" i="1" a="1"/>
  <c r="G2899" i="1" s="1"/>
  <c r="G2898" i="1" a="1"/>
  <c r="G2898" i="1" s="1"/>
  <c r="G2897" i="1" a="1"/>
  <c r="G2897" i="1" s="1"/>
  <c r="G2896" i="1" a="1"/>
  <c r="G2896" i="1" s="1"/>
  <c r="G2895" i="1" a="1"/>
  <c r="G2895" i="1" s="1"/>
  <c r="G2894" i="1" a="1"/>
  <c r="G2894" i="1" s="1"/>
  <c r="G2893" i="1" a="1"/>
  <c r="G2893" i="1" s="1"/>
  <c r="G2892" i="1" a="1"/>
  <c r="G2892" i="1" s="1"/>
  <c r="G2891" i="1" a="1"/>
  <c r="G2891" i="1" s="1"/>
  <c r="G2890" i="1" a="1"/>
  <c r="G2890" i="1" s="1"/>
  <c r="G2889" i="1" a="1"/>
  <c r="G2889" i="1" s="1"/>
  <c r="G2888" i="1" a="1"/>
  <c r="G2888" i="1" s="1"/>
  <c r="G2887" i="1" a="1"/>
  <c r="G2887" i="1" s="1"/>
  <c r="G2886" i="1" a="1"/>
  <c r="G2886" i="1" s="1"/>
  <c r="G2885" i="1" a="1"/>
  <c r="G2885" i="1" s="1"/>
  <c r="G2884" i="1" a="1"/>
  <c r="G2884" i="1" s="1"/>
  <c r="G2883" i="1" a="1"/>
  <c r="G2883" i="1" s="1"/>
  <c r="G2882" i="1" a="1"/>
  <c r="G2882" i="1" s="1"/>
  <c r="G2881" i="1" a="1"/>
  <c r="G2881" i="1" s="1"/>
  <c r="G2880" i="1" a="1"/>
  <c r="G2880" i="1" s="1"/>
  <c r="G2879" i="1" a="1"/>
  <c r="G2879" i="1" s="1"/>
  <c r="G2878" i="1" a="1"/>
  <c r="G2878" i="1" s="1"/>
  <c r="G2877" i="1" a="1"/>
  <c r="G2877" i="1" s="1"/>
  <c r="G2876" i="1" a="1"/>
  <c r="G2876" i="1" s="1"/>
  <c r="G2875" i="1" a="1"/>
  <c r="G2875" i="1" s="1"/>
  <c r="G2874" i="1" a="1"/>
  <c r="G2874" i="1" s="1"/>
  <c r="G2873" i="1" a="1"/>
  <c r="G2873" i="1" s="1"/>
  <c r="G2872" i="1" a="1"/>
  <c r="G2872" i="1" s="1"/>
  <c r="G2871" i="1" a="1"/>
  <c r="G2871" i="1" s="1"/>
  <c r="G2870" i="1" a="1"/>
  <c r="G2870" i="1" s="1"/>
  <c r="G2869" i="1" a="1"/>
  <c r="G2869" i="1" s="1"/>
  <c r="G2868" i="1" a="1"/>
  <c r="G2868" i="1" s="1"/>
  <c r="G2867" i="1" a="1"/>
  <c r="G2867" i="1" s="1"/>
  <c r="G2866" i="1" a="1"/>
  <c r="G2866" i="1" s="1"/>
  <c r="G2865" i="1" a="1"/>
  <c r="G2865" i="1" s="1"/>
  <c r="G2864" i="1" a="1"/>
  <c r="G2864" i="1" s="1"/>
  <c r="G2863" i="1" a="1"/>
  <c r="G2863" i="1" s="1"/>
  <c r="G2862" i="1" a="1"/>
  <c r="G2862" i="1" s="1"/>
  <c r="G2861" i="1" a="1"/>
  <c r="G2861" i="1" s="1"/>
  <c r="G2860" i="1" a="1"/>
  <c r="G2860" i="1" s="1"/>
  <c r="G2859" i="1" a="1"/>
  <c r="G2859" i="1" s="1"/>
  <c r="G2858" i="1" a="1"/>
  <c r="G2858" i="1" s="1"/>
  <c r="G2857" i="1" a="1"/>
  <c r="G2857" i="1" s="1"/>
  <c r="G2856" i="1" a="1"/>
  <c r="G2856" i="1" s="1"/>
  <c r="G2855" i="1" a="1"/>
  <c r="G2855" i="1" s="1"/>
  <c r="G2854" i="1" a="1"/>
  <c r="G2854" i="1" s="1"/>
  <c r="G2853" i="1" a="1"/>
  <c r="G2853" i="1" s="1"/>
  <c r="G2852" i="1" a="1"/>
  <c r="G2852" i="1" s="1"/>
  <c r="G2851" i="1" a="1"/>
  <c r="G2851" i="1" s="1"/>
  <c r="G2850" i="1" a="1"/>
  <c r="G2850" i="1" s="1"/>
  <c r="G2849" i="1" a="1"/>
  <c r="G2849" i="1" s="1"/>
  <c r="G2848" i="1" a="1"/>
  <c r="G2848" i="1" s="1"/>
  <c r="G2847" i="1" a="1"/>
  <c r="G2847" i="1" s="1"/>
  <c r="G2846" i="1" a="1"/>
  <c r="G2846" i="1" s="1"/>
  <c r="G2845" i="1" a="1"/>
  <c r="G2845" i="1" s="1"/>
  <c r="G2844" i="1" a="1"/>
  <c r="G2844" i="1" s="1"/>
  <c r="G2843" i="1" a="1"/>
  <c r="G2843" i="1" s="1"/>
  <c r="G2842" i="1" a="1"/>
  <c r="G2842" i="1" s="1"/>
  <c r="G2841" i="1" a="1"/>
  <c r="G2841" i="1" s="1"/>
  <c r="G2840" i="1" a="1"/>
  <c r="G2840" i="1" s="1"/>
  <c r="G2839" i="1" a="1"/>
  <c r="G2839" i="1" s="1"/>
  <c r="G2838" i="1" a="1"/>
  <c r="G2838" i="1" s="1"/>
  <c r="G2837" i="1" a="1"/>
  <c r="G2837" i="1" s="1"/>
  <c r="G2836" i="1" a="1"/>
  <c r="G2836" i="1" s="1"/>
  <c r="G2835" i="1" a="1"/>
  <c r="G2835" i="1" s="1"/>
  <c r="G2834" i="1" a="1"/>
  <c r="G2834" i="1" s="1"/>
  <c r="G2833" i="1" a="1"/>
  <c r="G2833" i="1" s="1"/>
  <c r="G2832" i="1" a="1"/>
  <c r="G2832" i="1" s="1"/>
  <c r="G2831" i="1" a="1"/>
  <c r="G2831" i="1" s="1"/>
  <c r="G2830" i="1" a="1"/>
  <c r="G2830" i="1" s="1"/>
  <c r="G2829" i="1" a="1"/>
  <c r="G2829" i="1" s="1"/>
  <c r="G2828" i="1" a="1"/>
  <c r="G2828" i="1" s="1"/>
  <c r="G2827" i="1" a="1"/>
  <c r="G2827" i="1" s="1"/>
  <c r="G2826" i="1" a="1"/>
  <c r="G2826" i="1" s="1"/>
  <c r="G2825" i="1" a="1"/>
  <c r="G2825" i="1" s="1"/>
  <c r="G2824" i="1" a="1"/>
  <c r="G2824" i="1" s="1"/>
  <c r="G2823" i="1" a="1"/>
  <c r="G2823" i="1" s="1"/>
  <c r="G2822" i="1" a="1"/>
  <c r="G2822" i="1" s="1"/>
  <c r="G2821" i="1" a="1"/>
  <c r="G2821" i="1" s="1"/>
  <c r="G2820" i="1" a="1"/>
  <c r="G2820" i="1" s="1"/>
  <c r="G2819" i="1" a="1"/>
  <c r="G2819" i="1" s="1"/>
  <c r="G2818" i="1" a="1"/>
  <c r="G2818" i="1" s="1"/>
  <c r="G2817" i="1" a="1"/>
  <c r="G2817" i="1" s="1"/>
  <c r="G2816" i="1" a="1"/>
  <c r="G2816" i="1" s="1"/>
  <c r="G2815" i="1" a="1"/>
  <c r="G2815" i="1" s="1"/>
  <c r="G2814" i="1" a="1"/>
  <c r="G2814" i="1" s="1"/>
  <c r="G2813" i="1" a="1"/>
  <c r="G2813" i="1" s="1"/>
  <c r="G2812" i="1" a="1"/>
  <c r="G2812" i="1" s="1"/>
  <c r="G2811" i="1" a="1"/>
  <c r="G2811" i="1" s="1"/>
  <c r="G2810" i="1" a="1"/>
  <c r="G2810" i="1" s="1"/>
  <c r="G2809" i="1" a="1"/>
  <c r="G2809" i="1" s="1"/>
  <c r="G2808" i="1" a="1"/>
  <c r="G2808" i="1" s="1"/>
  <c r="G2807" i="1" a="1"/>
  <c r="G2807" i="1" s="1"/>
  <c r="G2806" i="1" a="1"/>
  <c r="G2806" i="1" s="1"/>
  <c r="G2805" i="1" a="1"/>
  <c r="G2805" i="1" s="1"/>
  <c r="G2804" i="1" a="1"/>
  <c r="G2804" i="1" s="1"/>
  <c r="G2803" i="1" a="1"/>
  <c r="G2803" i="1" s="1"/>
  <c r="G2802" i="1" a="1"/>
  <c r="G2802" i="1" s="1"/>
  <c r="G2801" i="1" a="1"/>
  <c r="G2801" i="1" s="1"/>
  <c r="G2800" i="1" a="1"/>
  <c r="G2800" i="1" s="1"/>
  <c r="G2799" i="1" a="1"/>
  <c r="G2799" i="1" s="1"/>
  <c r="G2798" i="1" a="1"/>
  <c r="G2798" i="1" s="1"/>
  <c r="G2797" i="1" a="1"/>
  <c r="G2797" i="1" s="1"/>
  <c r="G2796" i="1" a="1"/>
  <c r="G2796" i="1" s="1"/>
  <c r="G2795" i="1" a="1"/>
  <c r="G2795" i="1" s="1"/>
  <c r="G2794" i="1" a="1"/>
  <c r="G2794" i="1" s="1"/>
  <c r="G2793" i="1" a="1"/>
  <c r="G2793" i="1" s="1"/>
  <c r="G2792" i="1" a="1"/>
  <c r="G2792" i="1" s="1"/>
  <c r="G2791" i="1" a="1"/>
  <c r="G2791" i="1" s="1"/>
  <c r="G2790" i="1" a="1"/>
  <c r="G2790" i="1" s="1"/>
  <c r="G2789" i="1" a="1"/>
  <c r="G2789" i="1" s="1"/>
  <c r="G2788" i="1" a="1"/>
  <c r="G2788" i="1" s="1"/>
  <c r="G2787" i="1" a="1"/>
  <c r="G2787" i="1" s="1"/>
  <c r="G2786" i="1" a="1"/>
  <c r="G2786" i="1" s="1"/>
  <c r="G2785" i="1" a="1"/>
  <c r="G2785" i="1" s="1"/>
  <c r="G2784" i="1" a="1"/>
  <c r="G2784" i="1" s="1"/>
  <c r="G2783" i="1" a="1"/>
  <c r="G2783" i="1" s="1"/>
  <c r="G2782" i="1" a="1"/>
  <c r="G2782" i="1" s="1"/>
  <c r="G2781" i="1" a="1"/>
  <c r="G2781" i="1" s="1"/>
  <c r="G2780" i="1" a="1"/>
  <c r="G2780" i="1" s="1"/>
  <c r="G2779" i="1" a="1"/>
  <c r="G2779" i="1" s="1"/>
  <c r="G2778" i="1" a="1"/>
  <c r="G2778" i="1" s="1"/>
  <c r="G2777" i="1" a="1"/>
  <c r="G2777" i="1" s="1"/>
  <c r="G2776" i="1" a="1"/>
  <c r="G2776" i="1" s="1"/>
  <c r="G2775" i="1" a="1"/>
  <c r="G2775" i="1" s="1"/>
  <c r="G2774" i="1" a="1"/>
  <c r="G2774" i="1" s="1"/>
  <c r="G2773" i="1" a="1"/>
  <c r="G2773" i="1" s="1"/>
  <c r="G2772" i="1" a="1"/>
  <c r="G2772" i="1" s="1"/>
  <c r="G2771" i="1" a="1"/>
  <c r="G2771" i="1" s="1"/>
  <c r="G2770" i="1" a="1"/>
  <c r="G2770" i="1" s="1"/>
  <c r="G2769" i="1" a="1"/>
  <c r="G2769" i="1" s="1"/>
  <c r="G2768" i="1" a="1"/>
  <c r="G2768" i="1" s="1"/>
  <c r="G2767" i="1" a="1"/>
  <c r="G2767" i="1" s="1"/>
  <c r="G2766" i="1" a="1"/>
  <c r="G2766" i="1" s="1"/>
  <c r="G2765" i="1" a="1"/>
  <c r="G2765" i="1" s="1"/>
  <c r="G2764" i="1" a="1"/>
  <c r="G2764" i="1" s="1"/>
  <c r="G2763" i="1" a="1"/>
  <c r="G2763" i="1" s="1"/>
  <c r="G2762" i="1" a="1"/>
  <c r="G2762" i="1" s="1"/>
  <c r="G2761" i="1" a="1"/>
  <c r="G2761" i="1" s="1"/>
  <c r="G2760" i="1" a="1"/>
  <c r="G2760" i="1" s="1"/>
  <c r="G2759" i="1" a="1"/>
  <c r="G2759" i="1" s="1"/>
  <c r="G2758" i="1" a="1"/>
  <c r="G2758" i="1" s="1"/>
  <c r="G2757" i="1" a="1"/>
  <c r="G2757" i="1" s="1"/>
  <c r="G2756" i="1" a="1"/>
  <c r="G2756" i="1" s="1"/>
  <c r="G2755" i="1" a="1"/>
  <c r="G2755" i="1" s="1"/>
  <c r="G2754" i="1" a="1"/>
  <c r="G2754" i="1" s="1"/>
  <c r="G2753" i="1" a="1"/>
  <c r="G2753" i="1" s="1"/>
  <c r="G2752" i="1" a="1"/>
  <c r="G2752" i="1" s="1"/>
  <c r="G2751" i="1" a="1"/>
  <c r="G2751" i="1" s="1"/>
  <c r="G2750" i="1" a="1"/>
  <c r="G2750" i="1" s="1"/>
  <c r="G2749" i="1" a="1"/>
  <c r="G2749" i="1" s="1"/>
  <c r="G2748" i="1" a="1"/>
  <c r="G2748" i="1" s="1"/>
  <c r="G2747" i="1" a="1"/>
  <c r="G2747" i="1" s="1"/>
  <c r="G2746" i="1" a="1"/>
  <c r="G2746" i="1" s="1"/>
  <c r="G2745" i="1" a="1"/>
  <c r="G2745" i="1" s="1"/>
  <c r="G2744" i="1" a="1"/>
  <c r="G2744" i="1" s="1"/>
  <c r="G2743" i="1" a="1"/>
  <c r="G2743" i="1" s="1"/>
  <c r="G2742" i="1" a="1"/>
  <c r="G2742" i="1" s="1"/>
  <c r="G2741" i="1" a="1"/>
  <c r="G2741" i="1" s="1"/>
  <c r="G2740" i="1" a="1"/>
  <c r="G2740" i="1" s="1"/>
  <c r="G2739" i="1" a="1"/>
  <c r="G2739" i="1" s="1"/>
  <c r="G2738" i="1" a="1"/>
  <c r="G2738" i="1" s="1"/>
  <c r="G2737" i="1" a="1"/>
  <c r="G2737" i="1" s="1"/>
  <c r="G2736" i="1" a="1"/>
  <c r="G2736" i="1" s="1"/>
  <c r="G2735" i="1" a="1"/>
  <c r="G2735" i="1" s="1"/>
  <c r="G2734" i="1" a="1"/>
  <c r="G2734" i="1" s="1"/>
  <c r="G2733" i="1" a="1"/>
  <c r="G2733" i="1" s="1"/>
  <c r="G2732" i="1" a="1"/>
  <c r="G2732" i="1" s="1"/>
  <c r="G2731" i="1" a="1"/>
  <c r="G2731" i="1" s="1"/>
  <c r="G2730" i="1" a="1"/>
  <c r="G2730" i="1" s="1"/>
  <c r="G2729" i="1" a="1"/>
  <c r="G2729" i="1" s="1"/>
  <c r="G2728" i="1" a="1"/>
  <c r="G2728" i="1" s="1"/>
  <c r="G2727" i="1" a="1"/>
  <c r="G2727" i="1" s="1"/>
  <c r="G2726" i="1" a="1"/>
  <c r="G2726" i="1" s="1"/>
  <c r="G2725" i="1" a="1"/>
  <c r="G2725" i="1" s="1"/>
  <c r="G2724" i="1" a="1"/>
  <c r="G2724" i="1" s="1"/>
  <c r="G2723" i="1" a="1"/>
  <c r="G2723" i="1" s="1"/>
  <c r="G2722" i="1" a="1"/>
  <c r="G2722" i="1" s="1"/>
  <c r="G2721" i="1" a="1"/>
  <c r="G2721" i="1" s="1"/>
  <c r="G2720" i="1" a="1"/>
  <c r="G2720" i="1" s="1"/>
  <c r="G2719" i="1" a="1"/>
  <c r="G2719" i="1" s="1"/>
  <c r="G2718" i="1" a="1"/>
  <c r="G2718" i="1" s="1"/>
  <c r="G2717" i="1" a="1"/>
  <c r="G2717" i="1" s="1"/>
  <c r="G2716" i="1" a="1"/>
  <c r="G2716" i="1" s="1"/>
  <c r="G2715" i="1" a="1"/>
  <c r="G2715" i="1" s="1"/>
  <c r="G2714" i="1" a="1"/>
  <c r="G2714" i="1" s="1"/>
  <c r="G2713" i="1" a="1"/>
  <c r="G2713" i="1" s="1"/>
  <c r="G2712" i="1" a="1"/>
  <c r="G2712" i="1" s="1"/>
  <c r="G2711" i="1" a="1"/>
  <c r="G2711" i="1" s="1"/>
  <c r="G2710" i="1" a="1"/>
  <c r="G2710" i="1" s="1"/>
  <c r="G2709" i="1" a="1"/>
  <c r="G2709" i="1" s="1"/>
  <c r="G2708" i="1" a="1"/>
  <c r="G2708" i="1" s="1"/>
  <c r="G2707" i="1" a="1"/>
  <c r="G2707" i="1" s="1"/>
  <c r="G2706" i="1" a="1"/>
  <c r="G2706" i="1" s="1"/>
  <c r="G2705" i="1" a="1"/>
  <c r="G2705" i="1" s="1"/>
  <c r="G2704" i="1" a="1"/>
  <c r="G2704" i="1" s="1"/>
  <c r="G2703" i="1" a="1"/>
  <c r="G2703" i="1" s="1"/>
  <c r="G2702" i="1" a="1"/>
  <c r="G2702" i="1" s="1"/>
  <c r="G2701" i="1" a="1"/>
  <c r="G2701" i="1" s="1"/>
  <c r="G2700" i="1" a="1"/>
  <c r="G2700" i="1" s="1"/>
  <c r="G2699" i="1" a="1"/>
  <c r="G2699" i="1" s="1"/>
  <c r="G2698" i="1" a="1"/>
  <c r="G2698" i="1" s="1"/>
  <c r="G2697" i="1" a="1"/>
  <c r="G2697" i="1" s="1"/>
  <c r="G2696" i="1" a="1"/>
  <c r="G2696" i="1" s="1"/>
  <c r="G2695" i="1" a="1"/>
  <c r="G2695" i="1" s="1"/>
  <c r="G2694" i="1" a="1"/>
  <c r="G2694" i="1" s="1"/>
  <c r="G2693" i="1" a="1"/>
  <c r="G2693" i="1" s="1"/>
  <c r="G2692" i="1" a="1"/>
  <c r="G2692" i="1" s="1"/>
  <c r="G2691" i="1" a="1"/>
  <c r="G2691" i="1" s="1"/>
  <c r="G2690" i="1" a="1"/>
  <c r="G2690" i="1" s="1"/>
  <c r="G2689" i="1" a="1"/>
  <c r="G2689" i="1" s="1"/>
  <c r="G2688" i="1" a="1"/>
  <c r="G2688" i="1" s="1"/>
  <c r="G2687" i="1" a="1"/>
  <c r="G2687" i="1" s="1"/>
  <c r="G2686" i="1" a="1"/>
  <c r="G2686" i="1" s="1"/>
  <c r="G2685" i="1" a="1"/>
  <c r="G2685" i="1" s="1"/>
  <c r="G2684" i="1" a="1"/>
  <c r="G2684" i="1" s="1"/>
  <c r="G2683" i="1" a="1"/>
  <c r="G2683" i="1" s="1"/>
  <c r="G2682" i="1" a="1"/>
  <c r="G2682" i="1" s="1"/>
  <c r="G2681" i="1" a="1"/>
  <c r="G2681" i="1" s="1"/>
  <c r="G2680" i="1" a="1"/>
  <c r="G2680" i="1" s="1"/>
  <c r="G2679" i="1" a="1"/>
  <c r="G2679" i="1" s="1"/>
  <c r="G2678" i="1" a="1"/>
  <c r="G2678" i="1" s="1"/>
  <c r="G2677" i="1" a="1"/>
  <c r="G2677" i="1" s="1"/>
  <c r="G2676" i="1" a="1"/>
  <c r="G2676" i="1" s="1"/>
  <c r="G2675" i="1" a="1"/>
  <c r="G2675" i="1" s="1"/>
  <c r="G2674" i="1" a="1"/>
  <c r="G2674" i="1" s="1"/>
  <c r="G2673" i="1" a="1"/>
  <c r="G2673" i="1" s="1"/>
  <c r="G2672" i="1" a="1"/>
  <c r="G2672" i="1" s="1"/>
  <c r="G2671" i="1" a="1"/>
  <c r="G2671" i="1" s="1"/>
  <c r="G2670" i="1" a="1"/>
  <c r="G2670" i="1" s="1"/>
  <c r="G2669" i="1" a="1"/>
  <c r="G2669" i="1" s="1"/>
  <c r="G2668" i="1" a="1"/>
  <c r="G2668" i="1" s="1"/>
  <c r="G2667" i="1" a="1"/>
  <c r="G2667" i="1" s="1"/>
  <c r="G2666" i="1" a="1"/>
  <c r="G2666" i="1" s="1"/>
  <c r="G2665" i="1" a="1"/>
  <c r="G2665" i="1" s="1"/>
  <c r="G2664" i="1" a="1"/>
  <c r="G2664" i="1" s="1"/>
  <c r="G2663" i="1" a="1"/>
  <c r="G2663" i="1" s="1"/>
  <c r="G2662" i="1" a="1"/>
  <c r="G2662" i="1" s="1"/>
  <c r="G2661" i="1" a="1"/>
  <c r="G2661" i="1" s="1"/>
  <c r="G2660" i="1" a="1"/>
  <c r="G2660" i="1" s="1"/>
  <c r="G2659" i="1" a="1"/>
  <c r="G2659" i="1" s="1"/>
  <c r="G2658" i="1" a="1"/>
  <c r="G2658" i="1" s="1"/>
  <c r="G2657" i="1" a="1"/>
  <c r="G2657" i="1" s="1"/>
  <c r="G2656" i="1" a="1"/>
  <c r="G2656" i="1" s="1"/>
  <c r="G2655" i="1" a="1"/>
  <c r="G2655" i="1" s="1"/>
  <c r="G2654" i="1" a="1"/>
  <c r="G2654" i="1" s="1"/>
  <c r="G2653" i="1" a="1"/>
  <c r="G2653" i="1" s="1"/>
  <c r="G2652" i="1" a="1"/>
  <c r="G2652" i="1" s="1"/>
  <c r="G2651" i="1" a="1"/>
  <c r="G2651" i="1" s="1"/>
  <c r="G2650" i="1" a="1"/>
  <c r="G2650" i="1" s="1"/>
  <c r="G2649" i="1" a="1"/>
  <c r="G2649" i="1" s="1"/>
  <c r="G2648" i="1" a="1"/>
  <c r="G2648" i="1" s="1"/>
  <c r="G2647" i="1" a="1"/>
  <c r="G2647" i="1" s="1"/>
  <c r="G2646" i="1" a="1"/>
  <c r="G2646" i="1" s="1"/>
  <c r="G2645" i="1" a="1"/>
  <c r="G2645" i="1" s="1"/>
  <c r="G2644" i="1" a="1"/>
  <c r="G2644" i="1" s="1"/>
  <c r="G2643" i="1" a="1"/>
  <c r="G2643" i="1" s="1"/>
  <c r="G2642" i="1" a="1"/>
  <c r="G2642" i="1" s="1"/>
  <c r="G2641" i="1" a="1"/>
  <c r="G2641" i="1" s="1"/>
  <c r="G2640" i="1" a="1"/>
  <c r="G2640" i="1" s="1"/>
  <c r="G2639" i="1" a="1"/>
  <c r="G2639" i="1" s="1"/>
  <c r="G2638" i="1" a="1"/>
  <c r="G2638" i="1" s="1"/>
  <c r="G2637" i="1" a="1"/>
  <c r="G2637" i="1" s="1"/>
  <c r="G2636" i="1" a="1"/>
  <c r="G2636" i="1" s="1"/>
  <c r="G2635" i="1" a="1"/>
  <c r="G2635" i="1" s="1"/>
  <c r="G2634" i="1" a="1"/>
  <c r="G2634" i="1" s="1"/>
  <c r="G2633" i="1" a="1"/>
  <c r="G2633" i="1" s="1"/>
  <c r="G2632" i="1" a="1"/>
  <c r="G2632" i="1" s="1"/>
  <c r="G2631" i="1" a="1"/>
  <c r="G2631" i="1" s="1"/>
  <c r="G2630" i="1" a="1"/>
  <c r="G2630" i="1" s="1"/>
  <c r="G2629" i="1" a="1"/>
  <c r="G2629" i="1" s="1"/>
  <c r="G2628" i="1" a="1"/>
  <c r="G2628" i="1" s="1"/>
  <c r="G2627" i="1" a="1"/>
  <c r="G2627" i="1" s="1"/>
  <c r="G2626" i="1" a="1"/>
  <c r="G2626" i="1" s="1"/>
  <c r="G2625" i="1" a="1"/>
  <c r="G2625" i="1" s="1"/>
  <c r="G2624" i="1" a="1"/>
  <c r="G2624" i="1" s="1"/>
  <c r="G2623" i="1" a="1"/>
  <c r="G2623" i="1" s="1"/>
  <c r="G2622" i="1" a="1"/>
  <c r="G2622" i="1" s="1"/>
  <c r="G2621" i="1" a="1"/>
  <c r="G2621" i="1" s="1"/>
  <c r="G2620" i="1" a="1"/>
  <c r="G2620" i="1" s="1"/>
  <c r="G2619" i="1" a="1"/>
  <c r="G2619" i="1" s="1"/>
  <c r="G2618" i="1" a="1"/>
  <c r="G2618" i="1" s="1"/>
  <c r="G2617" i="1" a="1"/>
  <c r="G2617" i="1" s="1"/>
  <c r="G2616" i="1" a="1"/>
  <c r="G2616" i="1" s="1"/>
  <c r="G2615" i="1" a="1"/>
  <c r="G2615" i="1" s="1"/>
  <c r="G2614" i="1" a="1"/>
  <c r="G2614" i="1" s="1"/>
  <c r="G2613" i="1" a="1"/>
  <c r="G2613" i="1" s="1"/>
  <c r="G2612" i="1" a="1"/>
  <c r="G2612" i="1" s="1"/>
  <c r="G2611" i="1" a="1"/>
  <c r="G2611" i="1" s="1"/>
  <c r="G2610" i="1" a="1"/>
  <c r="G2610" i="1" s="1"/>
  <c r="G2609" i="1" a="1"/>
  <c r="G2609" i="1" s="1"/>
  <c r="G2608" i="1" a="1"/>
  <c r="G2608" i="1" s="1"/>
  <c r="G2607" i="1" a="1"/>
  <c r="G2607" i="1" s="1"/>
  <c r="G2606" i="1" a="1"/>
  <c r="G2606" i="1" s="1"/>
  <c r="G2605" i="1" a="1"/>
  <c r="G2605" i="1" s="1"/>
  <c r="G2604" i="1" a="1"/>
  <c r="G2604" i="1" s="1"/>
  <c r="G2603" i="1" a="1"/>
  <c r="G2603" i="1" s="1"/>
  <c r="G2602" i="1" a="1"/>
  <c r="G2602" i="1" s="1"/>
  <c r="G2601" i="1" a="1"/>
  <c r="G2601" i="1" s="1"/>
  <c r="G2600" i="1" a="1"/>
  <c r="G2600" i="1" s="1"/>
  <c r="G2599" i="1" a="1"/>
  <c r="G2599" i="1" s="1"/>
  <c r="G2598" i="1" a="1"/>
  <c r="G2598" i="1" s="1"/>
  <c r="G2597" i="1" a="1"/>
  <c r="G2597" i="1" s="1"/>
  <c r="G2596" i="1" a="1"/>
  <c r="G2596" i="1" s="1"/>
  <c r="G2595" i="1" a="1"/>
  <c r="G2595" i="1" s="1"/>
  <c r="G2594" i="1" a="1"/>
  <c r="G2594" i="1" s="1"/>
  <c r="G2593" i="1" a="1"/>
  <c r="G2593" i="1" s="1"/>
  <c r="G2592" i="1" a="1"/>
  <c r="G2592" i="1" s="1"/>
  <c r="G2591" i="1" a="1"/>
  <c r="G2591" i="1" s="1"/>
  <c r="G2590" i="1" a="1"/>
  <c r="G2590" i="1" s="1"/>
  <c r="G2589" i="1" a="1"/>
  <c r="G2589" i="1" s="1"/>
  <c r="G2588" i="1" a="1"/>
  <c r="G2588" i="1" s="1"/>
  <c r="G2587" i="1" a="1"/>
  <c r="G2587" i="1" s="1"/>
  <c r="G2586" i="1" a="1"/>
  <c r="G2586" i="1" s="1"/>
  <c r="G2585" i="1" a="1"/>
  <c r="G2585" i="1" s="1"/>
  <c r="G2584" i="1" a="1"/>
  <c r="G2584" i="1" s="1"/>
  <c r="G2583" i="1" a="1"/>
  <c r="G2583" i="1" s="1"/>
  <c r="G2582" i="1" a="1"/>
  <c r="G2582" i="1" s="1"/>
  <c r="G2581" i="1" a="1"/>
  <c r="G2581" i="1" s="1"/>
  <c r="G2580" i="1" a="1"/>
  <c r="G2580" i="1" s="1"/>
  <c r="G2579" i="1" a="1"/>
  <c r="G2579" i="1" s="1"/>
  <c r="G2578" i="1" a="1"/>
  <c r="G2578" i="1" s="1"/>
  <c r="G2577" i="1" a="1"/>
  <c r="G2577" i="1" s="1"/>
  <c r="G2576" i="1" a="1"/>
  <c r="G2576" i="1" s="1"/>
  <c r="G2575" i="1" a="1"/>
  <c r="G2575" i="1" s="1"/>
  <c r="G2574" i="1" a="1"/>
  <c r="G2574" i="1" s="1"/>
  <c r="G2573" i="1" a="1"/>
  <c r="G2573" i="1" s="1"/>
  <c r="G2572" i="1" a="1"/>
  <c r="G2572" i="1" s="1"/>
  <c r="G2571" i="1" a="1"/>
  <c r="G2571" i="1" s="1"/>
  <c r="G2570" i="1" a="1"/>
  <c r="G2570" i="1" s="1"/>
  <c r="G2569" i="1" a="1"/>
  <c r="G2569" i="1" s="1"/>
  <c r="G2568" i="1" a="1"/>
  <c r="G2568" i="1" s="1"/>
  <c r="G2567" i="1" a="1"/>
  <c r="G2567" i="1" s="1"/>
  <c r="G2566" i="1" a="1"/>
  <c r="G2566" i="1" s="1"/>
  <c r="G2565" i="1" a="1"/>
  <c r="G2565" i="1" s="1"/>
  <c r="G2564" i="1" a="1"/>
  <c r="G2564" i="1" s="1"/>
  <c r="G2563" i="1" a="1"/>
  <c r="G2563" i="1" s="1"/>
  <c r="G2562" i="1" a="1"/>
  <c r="G2562" i="1" s="1"/>
  <c r="G2561" i="1" a="1"/>
  <c r="G2561" i="1" s="1"/>
  <c r="G2560" i="1" a="1"/>
  <c r="G2560" i="1" s="1"/>
  <c r="G2559" i="1" a="1"/>
  <c r="G2559" i="1" s="1"/>
  <c r="G2558" i="1" a="1"/>
  <c r="G2558" i="1" s="1"/>
  <c r="G2557" i="1" a="1"/>
  <c r="G2557" i="1" s="1"/>
  <c r="G2556" i="1" a="1"/>
  <c r="G2556" i="1" s="1"/>
  <c r="G2555" i="1" a="1"/>
  <c r="G2555" i="1" s="1"/>
  <c r="G2554" i="1" a="1"/>
  <c r="G2554" i="1" s="1"/>
  <c r="G2553" i="1" a="1"/>
  <c r="G2553" i="1" s="1"/>
  <c r="G2552" i="1" a="1"/>
  <c r="G2552" i="1" s="1"/>
  <c r="G2551" i="1" a="1"/>
  <c r="G2551" i="1" s="1"/>
  <c r="G2550" i="1" a="1"/>
  <c r="G2550" i="1" s="1"/>
  <c r="G2549" i="1" a="1"/>
  <c r="G2549" i="1" s="1"/>
  <c r="G2548" i="1" a="1"/>
  <c r="G2548" i="1" s="1"/>
  <c r="G2547" i="1" a="1"/>
  <c r="G2547" i="1" s="1"/>
  <c r="G2546" i="1" a="1"/>
  <c r="G2546" i="1" s="1"/>
  <c r="G2545" i="1" a="1"/>
  <c r="G2545" i="1" s="1"/>
  <c r="G2544" i="1" a="1"/>
  <c r="G2544" i="1" s="1"/>
  <c r="G2543" i="1" a="1"/>
  <c r="G2543" i="1" s="1"/>
  <c r="G2542" i="1" a="1"/>
  <c r="G2542" i="1" s="1"/>
  <c r="G2541" i="1" a="1"/>
  <c r="G2541" i="1" s="1"/>
  <c r="G2540" i="1" a="1"/>
  <c r="G2540" i="1" s="1"/>
  <c r="G2539" i="1" a="1"/>
  <c r="G2539" i="1" s="1"/>
  <c r="G2538" i="1" a="1"/>
  <c r="G2538" i="1" s="1"/>
  <c r="G2537" i="1" a="1"/>
  <c r="G2537" i="1" s="1"/>
  <c r="G2536" i="1" a="1"/>
  <c r="G2536" i="1" s="1"/>
  <c r="G2535" i="1" a="1"/>
  <c r="G2535" i="1" s="1"/>
  <c r="G2534" i="1" a="1"/>
  <c r="G2534" i="1" s="1"/>
  <c r="G2533" i="1" a="1"/>
  <c r="G2533" i="1" s="1"/>
  <c r="G2532" i="1" a="1"/>
  <c r="G2532" i="1" s="1"/>
  <c r="G2531" i="1" a="1"/>
  <c r="G2531" i="1" s="1"/>
  <c r="G2530" i="1" a="1"/>
  <c r="G2530" i="1" s="1"/>
  <c r="G2529" i="1" a="1"/>
  <c r="G2529" i="1" s="1"/>
  <c r="G2528" i="1" a="1"/>
  <c r="G2528" i="1" s="1"/>
  <c r="G2527" i="1" a="1"/>
  <c r="G2527" i="1" s="1"/>
  <c r="G2526" i="1" a="1"/>
  <c r="G2526" i="1" s="1"/>
  <c r="G2525" i="1" a="1"/>
  <c r="G2525" i="1" s="1"/>
  <c r="G2524" i="1" a="1"/>
  <c r="G2524" i="1" s="1"/>
  <c r="G2523" i="1" a="1"/>
  <c r="G2523" i="1" s="1"/>
  <c r="G2522" i="1" a="1"/>
  <c r="G2522" i="1" s="1"/>
  <c r="G2521" i="1" a="1"/>
  <c r="G2521" i="1" s="1"/>
  <c r="G2520" i="1" a="1"/>
  <c r="G2520" i="1" s="1"/>
  <c r="G2519" i="1" a="1"/>
  <c r="G2519" i="1" s="1"/>
  <c r="G2518" i="1" a="1"/>
  <c r="G2518" i="1" s="1"/>
  <c r="G2517" i="1" a="1"/>
  <c r="G2517" i="1" s="1"/>
  <c r="G2516" i="1" a="1"/>
  <c r="G2516" i="1" s="1"/>
  <c r="G2515" i="1" a="1"/>
  <c r="G2515" i="1" s="1"/>
  <c r="G2514" i="1" a="1"/>
  <c r="G2514" i="1" s="1"/>
  <c r="G2513" i="1" a="1"/>
  <c r="G2513" i="1" s="1"/>
  <c r="G2512" i="1" a="1"/>
  <c r="G2512" i="1" s="1"/>
  <c r="G2511" i="1" a="1"/>
  <c r="G2511" i="1" s="1"/>
  <c r="G2510" i="1" a="1"/>
  <c r="G2510" i="1" s="1"/>
  <c r="G2509" i="1" a="1"/>
  <c r="G2509" i="1" s="1"/>
  <c r="G2508" i="1" a="1"/>
  <c r="G2508" i="1" s="1"/>
  <c r="G2507" i="1" a="1"/>
  <c r="G2507" i="1" s="1"/>
  <c r="G2506" i="1" a="1"/>
  <c r="G2506" i="1" s="1"/>
  <c r="G2505" i="1" a="1"/>
  <c r="G2505" i="1" s="1"/>
  <c r="G2504" i="1" a="1"/>
  <c r="G2504" i="1" s="1"/>
  <c r="G2503" i="1" a="1"/>
  <c r="G2503" i="1" s="1"/>
  <c r="G2502" i="1" a="1"/>
  <c r="G2502" i="1" s="1"/>
  <c r="G2501" i="1" a="1"/>
  <c r="G2501" i="1" s="1"/>
  <c r="G2500" i="1" a="1"/>
  <c r="G2500" i="1" s="1"/>
  <c r="G2499" i="1" a="1"/>
  <c r="G2499" i="1" s="1"/>
  <c r="G2498" i="1" a="1"/>
  <c r="G2498" i="1" s="1"/>
  <c r="G2497" i="1" a="1"/>
  <c r="G2497" i="1" s="1"/>
  <c r="G2496" i="1" a="1"/>
  <c r="G2496" i="1" s="1"/>
  <c r="G2495" i="1" a="1"/>
  <c r="G2495" i="1" s="1"/>
  <c r="G2494" i="1" a="1"/>
  <c r="G2494" i="1" s="1"/>
  <c r="G2493" i="1" a="1"/>
  <c r="G2493" i="1" s="1"/>
  <c r="G2492" i="1" a="1"/>
  <c r="G2492" i="1" s="1"/>
  <c r="G2491" i="1" a="1"/>
  <c r="G2491" i="1" s="1"/>
  <c r="G2490" i="1" a="1"/>
  <c r="G2490" i="1" s="1"/>
  <c r="G2489" i="1" a="1"/>
  <c r="G2489" i="1" s="1"/>
  <c r="G2488" i="1" a="1"/>
  <c r="G2488" i="1" s="1"/>
  <c r="G2487" i="1" a="1"/>
  <c r="G2487" i="1" s="1"/>
  <c r="G2486" i="1" a="1"/>
  <c r="G2486" i="1" s="1"/>
  <c r="G2485" i="1" a="1"/>
  <c r="G2485" i="1" s="1"/>
  <c r="G2484" i="1" a="1"/>
  <c r="G2484" i="1" s="1"/>
  <c r="G2483" i="1" a="1"/>
  <c r="G2483" i="1" s="1"/>
  <c r="G2482" i="1" a="1"/>
  <c r="G2482" i="1" s="1"/>
  <c r="G2481" i="1" a="1"/>
  <c r="G2481" i="1" s="1"/>
  <c r="G2480" i="1" a="1"/>
  <c r="G2480" i="1" s="1"/>
  <c r="G2479" i="1" a="1"/>
  <c r="G2479" i="1" s="1"/>
  <c r="G2478" i="1" a="1"/>
  <c r="G2478" i="1" s="1"/>
  <c r="G2477" i="1" a="1"/>
  <c r="G2477" i="1" s="1"/>
  <c r="G2476" i="1" a="1"/>
  <c r="G2476" i="1" s="1"/>
  <c r="G2475" i="1" a="1"/>
  <c r="G2475" i="1" s="1"/>
  <c r="G2474" i="1" a="1"/>
  <c r="G2474" i="1" s="1"/>
  <c r="G2473" i="1" a="1"/>
  <c r="G2473" i="1" s="1"/>
  <c r="G2472" i="1" a="1"/>
  <c r="G2472" i="1" s="1"/>
  <c r="G2471" i="1" a="1"/>
  <c r="G2471" i="1" s="1"/>
  <c r="G2470" i="1" a="1"/>
  <c r="G2470" i="1" s="1"/>
  <c r="G2469" i="1" a="1"/>
  <c r="G2469" i="1" s="1"/>
  <c r="G2468" i="1" a="1"/>
  <c r="G2468" i="1" s="1"/>
  <c r="G2467" i="1" a="1"/>
  <c r="G2467" i="1" s="1"/>
  <c r="G2466" i="1" a="1"/>
  <c r="G2466" i="1" s="1"/>
  <c r="G2465" i="1" a="1"/>
  <c r="G2465" i="1" s="1"/>
  <c r="G2464" i="1" a="1"/>
  <c r="G2464" i="1" s="1"/>
  <c r="G2463" i="1" a="1"/>
  <c r="G2463" i="1" s="1"/>
  <c r="G2462" i="1" a="1"/>
  <c r="G2462" i="1" s="1"/>
  <c r="G2461" i="1" a="1"/>
  <c r="G2461" i="1" s="1"/>
  <c r="G2460" i="1" a="1"/>
  <c r="G2460" i="1" s="1"/>
  <c r="G2459" i="1" a="1"/>
  <c r="G2459" i="1" s="1"/>
  <c r="G2458" i="1" a="1"/>
  <c r="G2458" i="1" s="1"/>
  <c r="G2457" i="1" a="1"/>
  <c r="G2457" i="1" s="1"/>
  <c r="G2456" i="1" a="1"/>
  <c r="G2456" i="1" s="1"/>
  <c r="G2455" i="1" a="1"/>
  <c r="G2455" i="1" s="1"/>
  <c r="G2454" i="1" a="1"/>
  <c r="G2454" i="1" s="1"/>
  <c r="G2453" i="1" a="1"/>
  <c r="G2453" i="1" s="1"/>
  <c r="G2452" i="1" a="1"/>
  <c r="G2452" i="1" s="1"/>
  <c r="G2451" i="1" a="1"/>
  <c r="G2451" i="1" s="1"/>
  <c r="G2450" i="1" a="1"/>
  <c r="G2450" i="1" s="1"/>
  <c r="G2449" i="1" a="1"/>
  <c r="G2449" i="1" s="1"/>
  <c r="G2448" i="1" a="1"/>
  <c r="G2448" i="1" s="1"/>
  <c r="G2447" i="1" a="1"/>
  <c r="G2447" i="1" s="1"/>
  <c r="G2446" i="1" a="1"/>
  <c r="G2446" i="1" s="1"/>
  <c r="G2445" i="1" a="1"/>
  <c r="G2445" i="1" s="1"/>
  <c r="G2444" i="1" a="1"/>
  <c r="G2444" i="1" s="1"/>
  <c r="G2443" i="1" a="1"/>
  <c r="G2443" i="1" s="1"/>
  <c r="G2442" i="1" a="1"/>
  <c r="G2442" i="1" s="1"/>
  <c r="G2441" i="1" a="1"/>
  <c r="G2441" i="1" s="1"/>
  <c r="G2440" i="1" a="1"/>
  <c r="G2440" i="1" s="1"/>
  <c r="G2439" i="1" a="1"/>
  <c r="G2439" i="1" s="1"/>
  <c r="G2438" i="1" a="1"/>
  <c r="G2438" i="1" s="1"/>
  <c r="G2437" i="1" a="1"/>
  <c r="G2437" i="1" s="1"/>
  <c r="G2436" i="1" a="1"/>
  <c r="G2436" i="1" s="1"/>
  <c r="G2435" i="1" a="1"/>
  <c r="G2435" i="1" s="1"/>
  <c r="G2434" i="1" a="1"/>
  <c r="G2434" i="1" s="1"/>
  <c r="G2433" i="1" a="1"/>
  <c r="G2433" i="1" s="1"/>
  <c r="G2432" i="1" a="1"/>
  <c r="G2432" i="1" s="1"/>
  <c r="G2431" i="1" a="1"/>
  <c r="G2431" i="1" s="1"/>
  <c r="G2430" i="1" a="1"/>
  <c r="G2430" i="1" s="1"/>
  <c r="G2429" i="1" a="1"/>
  <c r="G2429" i="1" s="1"/>
  <c r="G2428" i="1" a="1"/>
  <c r="G2428" i="1" s="1"/>
  <c r="G2427" i="1" a="1"/>
  <c r="G2427" i="1" s="1"/>
  <c r="G2426" i="1" a="1"/>
  <c r="G2426" i="1" s="1"/>
  <c r="G2425" i="1" a="1"/>
  <c r="G2425" i="1" s="1"/>
  <c r="G2424" i="1" a="1"/>
  <c r="G2424" i="1" s="1"/>
  <c r="G2423" i="1" a="1"/>
  <c r="G2423" i="1" s="1"/>
  <c r="G2422" i="1" a="1"/>
  <c r="G2422" i="1" s="1"/>
  <c r="G2421" i="1" a="1"/>
  <c r="G2421" i="1" s="1"/>
  <c r="G2420" i="1" a="1"/>
  <c r="G2420" i="1" s="1"/>
  <c r="G2419" i="1" a="1"/>
  <c r="G2419" i="1" s="1"/>
  <c r="G2418" i="1" a="1"/>
  <c r="G2418" i="1" s="1"/>
  <c r="G2417" i="1" a="1"/>
  <c r="G2417" i="1" s="1"/>
  <c r="G2416" i="1" a="1"/>
  <c r="G2416" i="1" s="1"/>
  <c r="G2415" i="1" a="1"/>
  <c r="G2415" i="1" s="1"/>
  <c r="G2414" i="1" a="1"/>
  <c r="G2414" i="1" s="1"/>
  <c r="G2413" i="1" a="1"/>
  <c r="G2413" i="1" s="1"/>
  <c r="G2412" i="1" a="1"/>
  <c r="G2412" i="1" s="1"/>
  <c r="G2411" i="1" a="1"/>
  <c r="G2411" i="1" s="1"/>
  <c r="G2410" i="1" a="1"/>
  <c r="G2410" i="1" s="1"/>
  <c r="G2409" i="1" a="1"/>
  <c r="G2409" i="1" s="1"/>
  <c r="G2408" i="1" a="1"/>
  <c r="G2408" i="1" s="1"/>
  <c r="G2407" i="1" a="1"/>
  <c r="G2407" i="1" s="1"/>
  <c r="G2406" i="1" a="1"/>
  <c r="G2406" i="1" s="1"/>
  <c r="G2405" i="1" a="1"/>
  <c r="G2405" i="1" s="1"/>
  <c r="G2404" i="1" a="1"/>
  <c r="G2404" i="1" s="1"/>
  <c r="G2403" i="1" a="1"/>
  <c r="G2403" i="1" s="1"/>
  <c r="G2402" i="1" a="1"/>
  <c r="G2402" i="1" s="1"/>
  <c r="G2401" i="1" a="1"/>
  <c r="G2401" i="1" s="1"/>
  <c r="G2400" i="1" a="1"/>
  <c r="G2400" i="1" s="1"/>
  <c r="G2399" i="1" a="1"/>
  <c r="G2399" i="1" s="1"/>
  <c r="G2398" i="1" a="1"/>
  <c r="G2398" i="1" s="1"/>
  <c r="G2397" i="1" a="1"/>
  <c r="G2397" i="1" s="1"/>
  <c r="G2396" i="1" a="1"/>
  <c r="G2396" i="1" s="1"/>
  <c r="G2395" i="1" a="1"/>
  <c r="G2395" i="1" s="1"/>
  <c r="G2394" i="1" a="1"/>
  <c r="G2394" i="1" s="1"/>
  <c r="G2393" i="1" a="1"/>
  <c r="G2393" i="1" s="1"/>
  <c r="G2392" i="1" a="1"/>
  <c r="G2392" i="1" s="1"/>
  <c r="G2391" i="1" a="1"/>
  <c r="G2391" i="1" s="1"/>
  <c r="G2390" i="1" a="1"/>
  <c r="G2390" i="1" s="1"/>
  <c r="G2389" i="1" a="1"/>
  <c r="G2389" i="1" s="1"/>
  <c r="G2388" i="1" a="1"/>
  <c r="G2388" i="1" s="1"/>
  <c r="G2387" i="1" a="1"/>
  <c r="G2387" i="1" s="1"/>
  <c r="G2386" i="1" a="1"/>
  <c r="G2386" i="1" s="1"/>
  <c r="G2385" i="1" a="1"/>
  <c r="G2385" i="1" s="1"/>
  <c r="G2384" i="1" a="1"/>
  <c r="G2384" i="1" s="1"/>
  <c r="G2383" i="1" a="1"/>
  <c r="G2383" i="1" s="1"/>
  <c r="G2382" i="1" a="1"/>
  <c r="G2382" i="1" s="1"/>
  <c r="G2381" i="1" a="1"/>
  <c r="G2381" i="1" s="1"/>
  <c r="G2380" i="1" a="1"/>
  <c r="G2380" i="1" s="1"/>
  <c r="G2379" i="1" a="1"/>
  <c r="G2379" i="1" s="1"/>
  <c r="G2378" i="1" a="1"/>
  <c r="G2378" i="1" s="1"/>
  <c r="G2377" i="1" a="1"/>
  <c r="G2377" i="1" s="1"/>
  <c r="G2376" i="1" a="1"/>
  <c r="G2376" i="1" s="1"/>
  <c r="G2375" i="1" a="1"/>
  <c r="G2375" i="1" s="1"/>
  <c r="G2374" i="1" a="1"/>
  <c r="G2374" i="1" s="1"/>
  <c r="G2373" i="1" a="1"/>
  <c r="G2373" i="1" s="1"/>
  <c r="G2372" i="1" a="1"/>
  <c r="G2372" i="1" s="1"/>
  <c r="G2371" i="1" a="1"/>
  <c r="G2371" i="1" s="1"/>
  <c r="G2370" i="1" a="1"/>
  <c r="G2370" i="1" s="1"/>
  <c r="G2369" i="1" a="1"/>
  <c r="G2369" i="1" s="1"/>
  <c r="G2368" i="1" a="1"/>
  <c r="G2368" i="1" s="1"/>
  <c r="G2367" i="1" a="1"/>
  <c r="G2367" i="1" s="1"/>
  <c r="G2366" i="1" a="1"/>
  <c r="G2366" i="1" s="1"/>
  <c r="G2365" i="1" a="1"/>
  <c r="G2365" i="1" s="1"/>
  <c r="G2364" i="1" a="1"/>
  <c r="G2364" i="1" s="1"/>
  <c r="G2363" i="1" a="1"/>
  <c r="G2363" i="1" s="1"/>
  <c r="G2362" i="1" a="1"/>
  <c r="G2362" i="1" s="1"/>
  <c r="G2361" i="1" a="1"/>
  <c r="G2361" i="1" s="1"/>
  <c r="G2360" i="1" a="1"/>
  <c r="G2360" i="1" s="1"/>
  <c r="G2359" i="1" a="1"/>
  <c r="G2359" i="1" s="1"/>
  <c r="G2358" i="1" a="1"/>
  <c r="G2358" i="1" s="1"/>
  <c r="G2357" i="1" a="1"/>
  <c r="G2357" i="1" s="1"/>
  <c r="G2356" i="1" a="1"/>
  <c r="G2356" i="1" s="1"/>
  <c r="G2355" i="1" a="1"/>
  <c r="G2355" i="1" s="1"/>
  <c r="G2354" i="1" a="1"/>
  <c r="G2354" i="1" s="1"/>
  <c r="G2353" i="1" a="1"/>
  <c r="G2353" i="1" s="1"/>
  <c r="G2352" i="1" a="1"/>
  <c r="G2352" i="1" s="1"/>
  <c r="G2351" i="1" a="1"/>
  <c r="G2351" i="1" s="1"/>
  <c r="G2350" i="1" a="1"/>
  <c r="G2350" i="1" s="1"/>
  <c r="G2349" i="1" a="1"/>
  <c r="G2349" i="1" s="1"/>
  <c r="G2348" i="1" a="1"/>
  <c r="G2348" i="1" s="1"/>
  <c r="G2347" i="1" a="1"/>
  <c r="G2347" i="1" s="1"/>
  <c r="G2346" i="1" a="1"/>
  <c r="G2346" i="1" s="1"/>
  <c r="G2345" i="1" a="1"/>
  <c r="G2345" i="1" s="1"/>
  <c r="G2344" i="1" a="1"/>
  <c r="G2344" i="1" s="1"/>
  <c r="G2343" i="1" a="1"/>
  <c r="G2343" i="1" s="1"/>
  <c r="G2342" i="1" a="1"/>
  <c r="G2342" i="1" s="1"/>
  <c r="G2341" i="1" a="1"/>
  <c r="G2341" i="1" s="1"/>
  <c r="G2340" i="1" a="1"/>
  <c r="G2340" i="1" s="1"/>
  <c r="G2339" i="1" a="1"/>
  <c r="G2339" i="1" s="1"/>
  <c r="G2338" i="1" a="1"/>
  <c r="G2338" i="1" s="1"/>
  <c r="G2337" i="1" a="1"/>
  <c r="G2337" i="1" s="1"/>
  <c r="G2336" i="1" a="1"/>
  <c r="G2336" i="1" s="1"/>
  <c r="G2335" i="1" a="1"/>
  <c r="G2335" i="1" s="1"/>
  <c r="G2334" i="1" a="1"/>
  <c r="G2334" i="1" s="1"/>
  <c r="G2333" i="1" a="1"/>
  <c r="G2333" i="1" s="1"/>
  <c r="G2332" i="1" a="1"/>
  <c r="G2332" i="1" s="1"/>
  <c r="G2331" i="1" a="1"/>
  <c r="G2331" i="1" s="1"/>
  <c r="G2330" i="1" a="1"/>
  <c r="G2330" i="1" s="1"/>
  <c r="G2329" i="1" a="1"/>
  <c r="G2329" i="1" s="1"/>
  <c r="G2328" i="1" a="1"/>
  <c r="G2328" i="1" s="1"/>
  <c r="G2327" i="1" a="1"/>
  <c r="G2327" i="1" s="1"/>
  <c r="G2326" i="1" a="1"/>
  <c r="G2326" i="1" s="1"/>
  <c r="G2325" i="1" a="1"/>
  <c r="G2325" i="1" s="1"/>
  <c r="G2324" i="1" a="1"/>
  <c r="G2324" i="1" s="1"/>
  <c r="G2323" i="1" a="1"/>
  <c r="G2323" i="1" s="1"/>
  <c r="G2322" i="1" a="1"/>
  <c r="G2322" i="1" s="1"/>
  <c r="G2321" i="1" a="1"/>
  <c r="G2321" i="1" s="1"/>
  <c r="G2320" i="1" a="1"/>
  <c r="G2320" i="1" s="1"/>
  <c r="G2319" i="1" a="1"/>
  <c r="G2319" i="1" s="1"/>
  <c r="G2318" i="1" a="1"/>
  <c r="G2318" i="1" s="1"/>
  <c r="G2317" i="1" a="1"/>
  <c r="G2317" i="1" s="1"/>
  <c r="G2316" i="1" a="1"/>
  <c r="G2316" i="1" s="1"/>
  <c r="G2315" i="1" a="1"/>
  <c r="G2315" i="1" s="1"/>
  <c r="G2314" i="1" a="1"/>
  <c r="G2314" i="1" s="1"/>
  <c r="G2313" i="1" a="1"/>
  <c r="G2313" i="1" s="1"/>
  <c r="G2312" i="1" a="1"/>
  <c r="G2312" i="1" s="1"/>
  <c r="G2311" i="1" a="1"/>
  <c r="G2311" i="1" s="1"/>
  <c r="G2310" i="1" a="1"/>
  <c r="G2310" i="1" s="1"/>
  <c r="G2309" i="1" a="1"/>
  <c r="G2309" i="1" s="1"/>
  <c r="G2308" i="1" a="1"/>
  <c r="G2308" i="1" s="1"/>
  <c r="G2307" i="1" a="1"/>
  <c r="G2307" i="1" s="1"/>
  <c r="G2306" i="1" a="1"/>
  <c r="G2306" i="1" s="1"/>
  <c r="G2305" i="1" a="1"/>
  <c r="G2305" i="1" s="1"/>
  <c r="G2304" i="1" a="1"/>
  <c r="G2304" i="1" s="1"/>
  <c r="G2303" i="1" a="1"/>
  <c r="G2303" i="1" s="1"/>
  <c r="G2302" i="1" a="1"/>
  <c r="G2302" i="1" s="1"/>
  <c r="G2301" i="1" a="1"/>
  <c r="G2301" i="1" s="1"/>
  <c r="G2300" i="1" a="1"/>
  <c r="G2300" i="1" s="1"/>
  <c r="G2299" i="1" a="1"/>
  <c r="G2299" i="1" s="1"/>
  <c r="G2298" i="1" a="1"/>
  <c r="G2298" i="1" s="1"/>
  <c r="G2297" i="1" a="1"/>
  <c r="G2297" i="1" s="1"/>
  <c r="G2296" i="1" a="1"/>
  <c r="G2296" i="1" s="1"/>
  <c r="G2295" i="1" a="1"/>
  <c r="G2295" i="1" s="1"/>
  <c r="G2294" i="1" a="1"/>
  <c r="G2294" i="1" s="1"/>
  <c r="G2293" i="1" a="1"/>
  <c r="G2293" i="1" s="1"/>
  <c r="G2292" i="1" a="1"/>
  <c r="G2292" i="1" s="1"/>
  <c r="G2291" i="1" a="1"/>
  <c r="G2291" i="1" s="1"/>
  <c r="G2290" i="1" a="1"/>
  <c r="G2290" i="1" s="1"/>
  <c r="G2289" i="1" a="1"/>
  <c r="G2289" i="1" s="1"/>
  <c r="G2288" i="1" a="1"/>
  <c r="G2288" i="1" s="1"/>
  <c r="G2287" i="1" a="1"/>
  <c r="G2287" i="1" s="1"/>
  <c r="G2286" i="1" a="1"/>
  <c r="G2286" i="1" s="1"/>
  <c r="G2285" i="1" a="1"/>
  <c r="G2285" i="1" s="1"/>
  <c r="G2284" i="1" a="1"/>
  <c r="G2284" i="1" s="1"/>
  <c r="G2283" i="1" a="1"/>
  <c r="G2283" i="1" s="1"/>
  <c r="G2282" i="1" a="1"/>
  <c r="G2282" i="1" s="1"/>
  <c r="G2281" i="1" a="1"/>
  <c r="G2281" i="1" s="1"/>
  <c r="G2280" i="1" a="1"/>
  <c r="G2280" i="1" s="1"/>
  <c r="G2279" i="1" a="1"/>
  <c r="G2279" i="1" s="1"/>
  <c r="G2278" i="1" a="1"/>
  <c r="G2278" i="1" s="1"/>
  <c r="G2277" i="1" a="1"/>
  <c r="G2277" i="1" s="1"/>
  <c r="G2276" i="1" a="1"/>
  <c r="G2276" i="1" s="1"/>
  <c r="G2275" i="1" a="1"/>
  <c r="G2275" i="1" s="1"/>
  <c r="G2274" i="1" a="1"/>
  <c r="G2274" i="1" s="1"/>
  <c r="G2273" i="1" a="1"/>
  <c r="G2273" i="1" s="1"/>
  <c r="G2272" i="1" a="1"/>
  <c r="G2272" i="1" s="1"/>
  <c r="G2271" i="1" a="1"/>
  <c r="G2271" i="1" s="1"/>
  <c r="G2270" i="1" a="1"/>
  <c r="G2270" i="1" s="1"/>
  <c r="G2269" i="1" a="1"/>
  <c r="G2269" i="1" s="1"/>
  <c r="G2268" i="1" a="1"/>
  <c r="G2268" i="1" s="1"/>
  <c r="G2267" i="1" a="1"/>
  <c r="G2267" i="1" s="1"/>
  <c r="G2266" i="1" a="1"/>
  <c r="G2266" i="1" s="1"/>
  <c r="G2265" i="1" a="1"/>
  <c r="G2265" i="1" s="1"/>
  <c r="G2264" i="1" a="1"/>
  <c r="G2264" i="1" s="1"/>
  <c r="G2263" i="1" a="1"/>
  <c r="G2263" i="1" s="1"/>
  <c r="G2262" i="1" a="1"/>
  <c r="G2262" i="1" s="1"/>
  <c r="G2261" i="1" a="1"/>
  <c r="G2261" i="1" s="1"/>
  <c r="G2260" i="1" a="1"/>
  <c r="G2260" i="1" s="1"/>
  <c r="G2259" i="1" a="1"/>
  <c r="G2259" i="1" s="1"/>
  <c r="G2258" i="1" a="1"/>
  <c r="G2258" i="1" s="1"/>
  <c r="G2257" i="1" a="1"/>
  <c r="G2257" i="1" s="1"/>
  <c r="G2256" i="1" a="1"/>
  <c r="G2256" i="1" s="1"/>
  <c r="G2255" i="1" a="1"/>
  <c r="G2255" i="1" s="1"/>
  <c r="G2254" i="1" a="1"/>
  <c r="G2254" i="1" s="1"/>
  <c r="G2253" i="1" a="1"/>
  <c r="G2253" i="1" s="1"/>
  <c r="G2252" i="1" a="1"/>
  <c r="G2252" i="1" s="1"/>
  <c r="G2251" i="1" a="1"/>
  <c r="G2251" i="1" s="1"/>
  <c r="G2250" i="1" a="1"/>
  <c r="G2250" i="1" s="1"/>
  <c r="G2249" i="1" a="1"/>
  <c r="G2249" i="1" s="1"/>
  <c r="G2248" i="1" a="1"/>
  <c r="G2248" i="1" s="1"/>
  <c r="G2247" i="1" a="1"/>
  <c r="G2247" i="1" s="1"/>
  <c r="G2246" i="1" a="1"/>
  <c r="G2246" i="1" s="1"/>
  <c r="G2245" i="1" a="1"/>
  <c r="G2245" i="1" s="1"/>
  <c r="G2244" i="1" a="1"/>
  <c r="G2244" i="1" s="1"/>
  <c r="G2243" i="1" a="1"/>
  <c r="G2243" i="1" s="1"/>
  <c r="G2242" i="1" a="1"/>
  <c r="G2242" i="1" s="1"/>
  <c r="G2241" i="1" a="1"/>
  <c r="G2241" i="1" s="1"/>
  <c r="G2240" i="1" a="1"/>
  <c r="G2240" i="1" s="1"/>
  <c r="G2239" i="1" a="1"/>
  <c r="G2239" i="1" s="1"/>
  <c r="G2238" i="1" a="1"/>
  <c r="G2238" i="1" s="1"/>
  <c r="G2237" i="1" a="1"/>
  <c r="G2237" i="1" s="1"/>
  <c r="G2236" i="1" a="1"/>
  <c r="G2236" i="1" s="1"/>
  <c r="G2235" i="1" a="1"/>
  <c r="G2235" i="1" s="1"/>
  <c r="G2234" i="1" a="1"/>
  <c r="G2234" i="1" s="1"/>
  <c r="G2233" i="1" a="1"/>
  <c r="G2233" i="1" s="1"/>
  <c r="G2232" i="1" a="1"/>
  <c r="G2232" i="1" s="1"/>
  <c r="G2231" i="1" a="1"/>
  <c r="G2231" i="1" s="1"/>
  <c r="G2230" i="1" a="1"/>
  <c r="G2230" i="1" s="1"/>
  <c r="G2229" i="1" a="1"/>
  <c r="G2229" i="1" s="1"/>
  <c r="G2228" i="1" a="1"/>
  <c r="G2228" i="1" s="1"/>
  <c r="G2227" i="1" a="1"/>
  <c r="G2227" i="1" s="1"/>
  <c r="G2226" i="1" a="1"/>
  <c r="G2226" i="1" s="1"/>
  <c r="G2225" i="1" a="1"/>
  <c r="G2225" i="1" s="1"/>
  <c r="G2224" i="1" a="1"/>
  <c r="G2224" i="1" s="1"/>
  <c r="G2223" i="1" a="1"/>
  <c r="G2223" i="1" s="1"/>
  <c r="G2222" i="1" a="1"/>
  <c r="G2222" i="1" s="1"/>
  <c r="G2221" i="1" a="1"/>
  <c r="G2221" i="1" s="1"/>
  <c r="G2220" i="1" a="1"/>
  <c r="G2220" i="1" s="1"/>
  <c r="G2219" i="1" a="1"/>
  <c r="G2219" i="1" s="1"/>
  <c r="G2218" i="1" a="1"/>
  <c r="G2218" i="1" s="1"/>
  <c r="G2217" i="1" a="1"/>
  <c r="G2217" i="1" s="1"/>
  <c r="G2216" i="1" a="1"/>
  <c r="G2216" i="1" s="1"/>
  <c r="G2215" i="1" a="1"/>
  <c r="G2215" i="1" s="1"/>
  <c r="G2214" i="1" a="1"/>
  <c r="G2214" i="1" s="1"/>
  <c r="G2213" i="1" a="1"/>
  <c r="G2213" i="1" s="1"/>
  <c r="G2212" i="1" a="1"/>
  <c r="G2212" i="1" s="1"/>
  <c r="G2211" i="1" a="1"/>
  <c r="G2211" i="1" s="1"/>
  <c r="G2210" i="1" a="1"/>
  <c r="G2210" i="1" s="1"/>
  <c r="G2209" i="1" a="1"/>
  <c r="G2209" i="1" s="1"/>
  <c r="G2208" i="1" a="1"/>
  <c r="G2208" i="1" s="1"/>
  <c r="G2207" i="1" a="1"/>
  <c r="G2207" i="1" s="1"/>
  <c r="G2206" i="1" a="1"/>
  <c r="G2206" i="1" s="1"/>
  <c r="G2205" i="1" a="1"/>
  <c r="G2205" i="1" s="1"/>
  <c r="G2204" i="1" a="1"/>
  <c r="G2204" i="1" s="1"/>
  <c r="G2203" i="1" a="1"/>
  <c r="G2203" i="1" s="1"/>
  <c r="G2202" i="1" a="1"/>
  <c r="G2202" i="1" s="1"/>
  <c r="G2201" i="1" a="1"/>
  <c r="G2201" i="1" s="1"/>
  <c r="G2200" i="1" a="1"/>
  <c r="G2200" i="1" s="1"/>
  <c r="G2199" i="1" a="1"/>
  <c r="G2199" i="1" s="1"/>
  <c r="G2198" i="1" a="1"/>
  <c r="G2198" i="1" s="1"/>
  <c r="G2197" i="1" a="1"/>
  <c r="G2197" i="1" s="1"/>
  <c r="G2196" i="1" a="1"/>
  <c r="G2196" i="1" s="1"/>
  <c r="G2195" i="1" a="1"/>
  <c r="G2195" i="1" s="1"/>
  <c r="G2194" i="1" a="1"/>
  <c r="G2194" i="1" s="1"/>
  <c r="G2193" i="1" a="1"/>
  <c r="G2193" i="1" s="1"/>
  <c r="G2192" i="1" a="1"/>
  <c r="G2192" i="1" s="1"/>
  <c r="G2191" i="1" a="1"/>
  <c r="G2191" i="1" s="1"/>
  <c r="G2190" i="1" a="1"/>
  <c r="G2190" i="1" s="1"/>
  <c r="G2189" i="1" a="1"/>
  <c r="G2189" i="1" s="1"/>
  <c r="G2188" i="1" a="1"/>
  <c r="G2188" i="1" s="1"/>
  <c r="G2187" i="1" a="1"/>
  <c r="G2187" i="1" s="1"/>
  <c r="G2186" i="1" a="1"/>
  <c r="G2186" i="1" s="1"/>
  <c r="G2185" i="1" a="1"/>
  <c r="G2185" i="1" s="1"/>
  <c r="G2184" i="1" a="1"/>
  <c r="G2184" i="1" s="1"/>
  <c r="G2183" i="1" a="1"/>
  <c r="G2183" i="1" s="1"/>
  <c r="G2182" i="1" a="1"/>
  <c r="G2182" i="1" s="1"/>
  <c r="G2181" i="1" a="1"/>
  <c r="G2181" i="1" s="1"/>
  <c r="G2180" i="1" a="1"/>
  <c r="G2180" i="1" s="1"/>
  <c r="G2179" i="1" a="1"/>
  <c r="G2179" i="1" s="1"/>
  <c r="G2178" i="1" a="1"/>
  <c r="G2178" i="1" s="1"/>
  <c r="G2177" i="1" a="1"/>
  <c r="G2177" i="1" s="1"/>
  <c r="G2176" i="1" a="1"/>
  <c r="G2176" i="1" s="1"/>
  <c r="G2175" i="1" a="1"/>
  <c r="G2175" i="1" s="1"/>
  <c r="G2174" i="1" a="1"/>
  <c r="G2174" i="1" s="1"/>
  <c r="G2173" i="1" a="1"/>
  <c r="G2173" i="1" s="1"/>
  <c r="G2172" i="1" a="1"/>
  <c r="G2172" i="1" s="1"/>
  <c r="G2171" i="1" a="1"/>
  <c r="G2171" i="1" s="1"/>
  <c r="G2170" i="1" a="1"/>
  <c r="G2170" i="1" s="1"/>
  <c r="G2169" i="1" a="1"/>
  <c r="G2169" i="1" s="1"/>
  <c r="G2168" i="1" a="1"/>
  <c r="G2168" i="1" s="1"/>
  <c r="G2167" i="1" a="1"/>
  <c r="G2167" i="1" s="1"/>
  <c r="G2166" i="1" a="1"/>
  <c r="G2166" i="1" s="1"/>
  <c r="G2165" i="1" a="1"/>
  <c r="G2165" i="1" s="1"/>
  <c r="G2164" i="1" a="1"/>
  <c r="G2164" i="1" s="1"/>
  <c r="G2163" i="1" a="1"/>
  <c r="G2163" i="1" s="1"/>
  <c r="G2162" i="1" a="1"/>
  <c r="G2162" i="1" s="1"/>
  <c r="G2161" i="1" a="1"/>
  <c r="G2161" i="1" s="1"/>
  <c r="G2160" i="1" a="1"/>
  <c r="G2160" i="1" s="1"/>
  <c r="G2159" i="1" a="1"/>
  <c r="G2159" i="1" s="1"/>
  <c r="G2158" i="1" a="1"/>
  <c r="G2158" i="1" s="1"/>
  <c r="G2157" i="1" a="1"/>
  <c r="G2157" i="1" s="1"/>
  <c r="G2156" i="1" a="1"/>
  <c r="G2156" i="1" s="1"/>
  <c r="G2155" i="1" a="1"/>
  <c r="G2155" i="1" s="1"/>
  <c r="G2154" i="1" a="1"/>
  <c r="G2154" i="1" s="1"/>
  <c r="G2153" i="1" a="1"/>
  <c r="G2153" i="1" s="1"/>
  <c r="G2152" i="1" a="1"/>
  <c r="G2152" i="1" s="1"/>
  <c r="G2151" i="1" a="1"/>
  <c r="G2151" i="1" s="1"/>
  <c r="G2150" i="1" a="1"/>
  <c r="G2150" i="1" s="1"/>
  <c r="G2149" i="1" a="1"/>
  <c r="G2149" i="1" s="1"/>
  <c r="G2148" i="1" a="1"/>
  <c r="G2148" i="1" s="1"/>
  <c r="G2147" i="1" a="1"/>
  <c r="G2147" i="1" s="1"/>
  <c r="G2146" i="1" a="1"/>
  <c r="G2146" i="1" s="1"/>
  <c r="G2145" i="1" a="1"/>
  <c r="G2145" i="1" s="1"/>
  <c r="G2144" i="1" a="1"/>
  <c r="G2144" i="1" s="1"/>
  <c r="G2143" i="1" a="1"/>
  <c r="G2143" i="1" s="1"/>
  <c r="G2142" i="1" a="1"/>
  <c r="G2142" i="1" s="1"/>
  <c r="G2141" i="1" a="1"/>
  <c r="G2141" i="1" s="1"/>
  <c r="G2140" i="1" a="1"/>
  <c r="G2140" i="1" s="1"/>
  <c r="G2139" i="1" a="1"/>
  <c r="G2139" i="1" s="1"/>
  <c r="G2138" i="1" a="1"/>
  <c r="G2138" i="1" s="1"/>
  <c r="G2137" i="1" a="1"/>
  <c r="G2137" i="1" s="1"/>
  <c r="G2136" i="1" a="1"/>
  <c r="G2136" i="1" s="1"/>
  <c r="G2135" i="1" a="1"/>
  <c r="G2135" i="1" s="1"/>
  <c r="G2134" i="1" a="1"/>
  <c r="G2134" i="1" s="1"/>
  <c r="G2133" i="1" a="1"/>
  <c r="G2133" i="1" s="1"/>
  <c r="G2132" i="1" a="1"/>
  <c r="G2132" i="1" s="1"/>
  <c r="G2131" i="1" a="1"/>
  <c r="G2131" i="1" s="1"/>
  <c r="G2130" i="1" a="1"/>
  <c r="G2130" i="1" s="1"/>
  <c r="G2129" i="1" a="1"/>
  <c r="G2129" i="1" s="1"/>
  <c r="G2128" i="1" a="1"/>
  <c r="G2128" i="1" s="1"/>
  <c r="G2127" i="1" a="1"/>
  <c r="G2127" i="1" s="1"/>
  <c r="G2126" i="1" a="1"/>
  <c r="G2126" i="1" s="1"/>
  <c r="G2125" i="1" a="1"/>
  <c r="G2125" i="1" s="1"/>
  <c r="G2124" i="1" a="1"/>
  <c r="G2124" i="1" s="1"/>
  <c r="G2123" i="1" a="1"/>
  <c r="G2123" i="1" s="1"/>
  <c r="G2122" i="1" a="1"/>
  <c r="G2122" i="1" s="1"/>
  <c r="G2121" i="1" a="1"/>
  <c r="G2121" i="1" s="1"/>
  <c r="G2120" i="1" a="1"/>
  <c r="G2120" i="1" s="1"/>
  <c r="G2119" i="1" a="1"/>
  <c r="G2119" i="1" s="1"/>
  <c r="G2118" i="1" a="1"/>
  <c r="G2118" i="1" s="1"/>
  <c r="G2117" i="1" a="1"/>
  <c r="G2117" i="1" s="1"/>
  <c r="G2116" i="1" a="1"/>
  <c r="G2116" i="1" s="1"/>
  <c r="G2115" i="1" a="1"/>
  <c r="G2115" i="1" s="1"/>
  <c r="G2114" i="1" a="1"/>
  <c r="G2114" i="1" s="1"/>
  <c r="G2113" i="1" a="1"/>
  <c r="G2113" i="1" s="1"/>
  <c r="G2112" i="1" a="1"/>
  <c r="G2112" i="1" s="1"/>
  <c r="G2111" i="1" a="1"/>
  <c r="G2111" i="1" s="1"/>
  <c r="G2110" i="1" a="1"/>
  <c r="G2110" i="1" s="1"/>
  <c r="G2109" i="1" a="1"/>
  <c r="G2109" i="1" s="1"/>
  <c r="G2108" i="1" a="1"/>
  <c r="G2108" i="1" s="1"/>
  <c r="G2107" i="1" a="1"/>
  <c r="G2107" i="1" s="1"/>
  <c r="G2106" i="1" a="1"/>
  <c r="G2106" i="1" s="1"/>
  <c r="G2105" i="1" a="1"/>
  <c r="G2105" i="1" s="1"/>
  <c r="G2104" i="1" a="1"/>
  <c r="G2104" i="1" s="1"/>
  <c r="G2103" i="1" a="1"/>
  <c r="G2103" i="1" s="1"/>
  <c r="G2102" i="1" a="1"/>
  <c r="G2102" i="1" s="1"/>
  <c r="G2101" i="1" a="1"/>
  <c r="G2101" i="1" s="1"/>
  <c r="G2100" i="1" a="1"/>
  <c r="G2100" i="1" s="1"/>
  <c r="G2099" i="1" a="1"/>
  <c r="G2099" i="1" s="1"/>
  <c r="G2098" i="1" a="1"/>
  <c r="G2098" i="1" s="1"/>
  <c r="G2097" i="1" a="1"/>
  <c r="G2097" i="1" s="1"/>
  <c r="G2096" i="1" a="1"/>
  <c r="G2096" i="1" s="1"/>
  <c r="G2095" i="1" a="1"/>
  <c r="G2095" i="1" s="1"/>
  <c r="G2094" i="1" a="1"/>
  <c r="G2094" i="1" s="1"/>
  <c r="G2093" i="1" a="1"/>
  <c r="G2093" i="1" s="1"/>
  <c r="G2092" i="1" a="1"/>
  <c r="G2092" i="1" s="1"/>
  <c r="G2091" i="1" a="1"/>
  <c r="G2091" i="1" s="1"/>
  <c r="G2090" i="1" a="1"/>
  <c r="G2090" i="1" s="1"/>
  <c r="G2089" i="1" a="1"/>
  <c r="G2089" i="1" s="1"/>
  <c r="G2088" i="1" a="1"/>
  <c r="G2088" i="1" s="1"/>
  <c r="G2087" i="1" a="1"/>
  <c r="G2087" i="1" s="1"/>
  <c r="G2086" i="1" a="1"/>
  <c r="G2086" i="1" s="1"/>
  <c r="G2085" i="1" a="1"/>
  <c r="G2085" i="1" s="1"/>
  <c r="G2084" i="1" a="1"/>
  <c r="G2084" i="1" s="1"/>
  <c r="G2083" i="1" a="1"/>
  <c r="G2083" i="1" s="1"/>
  <c r="G2082" i="1" a="1"/>
  <c r="G2082" i="1" s="1"/>
  <c r="G2081" i="1" a="1"/>
  <c r="G2081" i="1" s="1"/>
  <c r="G2080" i="1" a="1"/>
  <c r="G2080" i="1" s="1"/>
  <c r="G2079" i="1" a="1"/>
  <c r="G2079" i="1" s="1"/>
  <c r="G2078" i="1" a="1"/>
  <c r="G2078" i="1" s="1"/>
  <c r="G2077" i="1" a="1"/>
  <c r="G2077" i="1" s="1"/>
  <c r="G2076" i="1" a="1"/>
  <c r="G2076" i="1" s="1"/>
  <c r="G2075" i="1" a="1"/>
  <c r="G2075" i="1" s="1"/>
  <c r="G2074" i="1" a="1"/>
  <c r="G2074" i="1" s="1"/>
  <c r="G2073" i="1" a="1"/>
  <c r="G2073" i="1" s="1"/>
  <c r="G2072" i="1" a="1"/>
  <c r="G2072" i="1" s="1"/>
  <c r="G2071" i="1" a="1"/>
  <c r="G2071" i="1" s="1"/>
  <c r="G2070" i="1" a="1"/>
  <c r="G2070" i="1" s="1"/>
  <c r="G2069" i="1" a="1"/>
  <c r="G2069" i="1" s="1"/>
  <c r="G2068" i="1" a="1"/>
  <c r="G2068" i="1" s="1"/>
  <c r="G2067" i="1" a="1"/>
  <c r="G2067" i="1" s="1"/>
  <c r="G2066" i="1" a="1"/>
  <c r="G2066" i="1" s="1"/>
  <c r="G2065" i="1" a="1"/>
  <c r="G2065" i="1" s="1"/>
  <c r="G2064" i="1" a="1"/>
  <c r="G2064" i="1" s="1"/>
  <c r="G2063" i="1" a="1"/>
  <c r="G2063" i="1" s="1"/>
  <c r="G2062" i="1" a="1"/>
  <c r="G2062" i="1" s="1"/>
  <c r="G2061" i="1" a="1"/>
  <c r="G2061" i="1" s="1"/>
  <c r="G2060" i="1" a="1"/>
  <c r="G2060" i="1" s="1"/>
  <c r="G2059" i="1" a="1"/>
  <c r="G2059" i="1" s="1"/>
  <c r="G2058" i="1" a="1"/>
  <c r="G2058" i="1" s="1"/>
  <c r="G2057" i="1" a="1"/>
  <c r="G2057" i="1" s="1"/>
  <c r="G2056" i="1" a="1"/>
  <c r="G2056" i="1" s="1"/>
  <c r="G2055" i="1" a="1"/>
  <c r="G2055" i="1" s="1"/>
  <c r="G2054" i="1" a="1"/>
  <c r="G2054" i="1" s="1"/>
  <c r="G2053" i="1" a="1"/>
  <c r="G2053" i="1" s="1"/>
  <c r="G2052" i="1" a="1"/>
  <c r="G2052" i="1" s="1"/>
  <c r="G2051" i="1" a="1"/>
  <c r="G2051" i="1" s="1"/>
  <c r="G2050" i="1" a="1"/>
  <c r="G2050" i="1" s="1"/>
  <c r="G2049" i="1" a="1"/>
  <c r="G2049" i="1" s="1"/>
  <c r="G2048" i="1" a="1"/>
  <c r="G2048" i="1" s="1"/>
  <c r="G2047" i="1" a="1"/>
  <c r="G2047" i="1" s="1"/>
  <c r="G2046" i="1" a="1"/>
  <c r="G2046" i="1" s="1"/>
  <c r="G2045" i="1" a="1"/>
  <c r="G2045" i="1" s="1"/>
  <c r="G2044" i="1" a="1"/>
  <c r="G2044" i="1" s="1"/>
  <c r="G2043" i="1" a="1"/>
  <c r="G2043" i="1" s="1"/>
  <c r="G2042" i="1" a="1"/>
  <c r="G2042" i="1" s="1"/>
  <c r="G2041" i="1" a="1"/>
  <c r="G2041" i="1" s="1"/>
  <c r="G2040" i="1" a="1"/>
  <c r="G2040" i="1" s="1"/>
  <c r="G2039" i="1" a="1"/>
  <c r="G2039" i="1" s="1"/>
  <c r="G2038" i="1" a="1"/>
  <c r="G2038" i="1" s="1"/>
  <c r="G2037" i="1" a="1"/>
  <c r="G2037" i="1" s="1"/>
  <c r="G2036" i="1" a="1"/>
  <c r="G2036" i="1" s="1"/>
  <c r="G2035" i="1" a="1"/>
  <c r="G2035" i="1" s="1"/>
  <c r="G2034" i="1" a="1"/>
  <c r="G2034" i="1" s="1"/>
  <c r="G2033" i="1" a="1"/>
  <c r="G2033" i="1" s="1"/>
  <c r="G2032" i="1" a="1"/>
  <c r="G2032" i="1" s="1"/>
  <c r="G2031" i="1" a="1"/>
  <c r="G2031" i="1" s="1"/>
  <c r="G2030" i="1" a="1"/>
  <c r="G2030" i="1" s="1"/>
  <c r="G2029" i="1" a="1"/>
  <c r="G2029" i="1" s="1"/>
  <c r="G2028" i="1" a="1"/>
  <c r="G2028" i="1" s="1"/>
  <c r="G2027" i="1" a="1"/>
  <c r="G2027" i="1" s="1"/>
  <c r="G2026" i="1" a="1"/>
  <c r="G2026" i="1" s="1"/>
  <c r="G2025" i="1" a="1"/>
  <c r="G2025" i="1" s="1"/>
  <c r="G2024" i="1" a="1"/>
  <c r="G2024" i="1" s="1"/>
  <c r="G2023" i="1" a="1"/>
  <c r="G2023" i="1" s="1"/>
  <c r="G2022" i="1" a="1"/>
  <c r="G2022" i="1" s="1"/>
  <c r="G2021" i="1" a="1"/>
  <c r="G2021" i="1" s="1"/>
  <c r="G2020" i="1" a="1"/>
  <c r="G2020" i="1" s="1"/>
  <c r="G2019" i="1" a="1"/>
  <c r="G2019" i="1" s="1"/>
  <c r="G2018" i="1" a="1"/>
  <c r="G2018" i="1" s="1"/>
  <c r="G2017" i="1" a="1"/>
  <c r="G2017" i="1" s="1"/>
  <c r="G2016" i="1" a="1"/>
  <c r="G2016" i="1" s="1"/>
  <c r="G2015" i="1" a="1"/>
  <c r="G2015" i="1" s="1"/>
  <c r="G2014" i="1" a="1"/>
  <c r="G2014" i="1" s="1"/>
  <c r="G2013" i="1" a="1"/>
  <c r="G2013" i="1" s="1"/>
  <c r="G2012" i="1" a="1"/>
  <c r="G2012" i="1" s="1"/>
  <c r="G2011" i="1" a="1"/>
  <c r="G2011" i="1" s="1"/>
  <c r="G2010" i="1" a="1"/>
  <c r="G2010" i="1" s="1"/>
  <c r="G2009" i="1" a="1"/>
  <c r="G2009" i="1" s="1"/>
  <c r="G2008" i="1" a="1"/>
  <c r="G2008" i="1" s="1"/>
  <c r="G2007" i="1" a="1"/>
  <c r="G2007" i="1" s="1"/>
  <c r="G2006" i="1" a="1"/>
  <c r="G2006" i="1" s="1"/>
  <c r="G2005" i="1" a="1"/>
  <c r="G2005" i="1" s="1"/>
  <c r="G2004" i="1" a="1"/>
  <c r="G2004" i="1" s="1"/>
  <c r="G2003" i="1" a="1"/>
  <c r="G2003" i="1" s="1"/>
  <c r="G2002" i="1" a="1"/>
  <c r="G2002" i="1" s="1"/>
  <c r="G2001" i="1" a="1"/>
  <c r="G2001" i="1" s="1"/>
  <c r="G2000" i="1" a="1"/>
  <c r="G2000" i="1" s="1"/>
  <c r="G1999" i="1" a="1"/>
  <c r="G1999" i="1" s="1"/>
  <c r="G1998" i="1" a="1"/>
  <c r="G1998" i="1" s="1"/>
  <c r="G1997" i="1" a="1"/>
  <c r="G1997" i="1" s="1"/>
  <c r="G1996" i="1" a="1"/>
  <c r="G1996" i="1" s="1"/>
  <c r="G1995" i="1" a="1"/>
  <c r="G1995" i="1" s="1"/>
  <c r="G1994" i="1" a="1"/>
  <c r="G1994" i="1" s="1"/>
  <c r="G1993" i="1" a="1"/>
  <c r="G1993" i="1" s="1"/>
  <c r="G1992" i="1" a="1"/>
  <c r="G1992" i="1" s="1"/>
  <c r="G1991" i="1" a="1"/>
  <c r="G1991" i="1" s="1"/>
  <c r="G1990" i="1" a="1"/>
  <c r="G1990" i="1" s="1"/>
  <c r="G1989" i="1" a="1"/>
  <c r="G1989" i="1" s="1"/>
  <c r="G1988" i="1" a="1"/>
  <c r="G1988" i="1" s="1"/>
  <c r="G1987" i="1" a="1"/>
  <c r="G1987" i="1" s="1"/>
  <c r="G1986" i="1" a="1"/>
  <c r="G1986" i="1" s="1"/>
  <c r="G1985" i="1" a="1"/>
  <c r="G1985" i="1" s="1"/>
  <c r="G1984" i="1" a="1"/>
  <c r="G1984" i="1" s="1"/>
  <c r="G1983" i="1" a="1"/>
  <c r="G1983" i="1" s="1"/>
  <c r="G1982" i="1" a="1"/>
  <c r="G1982" i="1" s="1"/>
  <c r="G1981" i="1" a="1"/>
  <c r="G1981" i="1" s="1"/>
  <c r="G1980" i="1" a="1"/>
  <c r="G1980" i="1" s="1"/>
  <c r="G1979" i="1" a="1"/>
  <c r="G1979" i="1" s="1"/>
  <c r="G1978" i="1" a="1"/>
  <c r="G1978" i="1" s="1"/>
  <c r="G1977" i="1" a="1"/>
  <c r="G1977" i="1" s="1"/>
  <c r="G1976" i="1" a="1"/>
  <c r="G1976" i="1" s="1"/>
  <c r="G1975" i="1" a="1"/>
  <c r="G1975" i="1" s="1"/>
  <c r="G1974" i="1" a="1"/>
  <c r="G1974" i="1" s="1"/>
  <c r="G1973" i="1" a="1"/>
  <c r="G1973" i="1" s="1"/>
  <c r="G1972" i="1" a="1"/>
  <c r="G1972" i="1" s="1"/>
  <c r="G1971" i="1" a="1"/>
  <c r="G1971" i="1" s="1"/>
  <c r="G1970" i="1" a="1"/>
  <c r="G1970" i="1" s="1"/>
  <c r="G1969" i="1" a="1"/>
  <c r="G1969" i="1" s="1"/>
  <c r="G1968" i="1" a="1"/>
  <c r="G1968" i="1" s="1"/>
  <c r="G1967" i="1" a="1"/>
  <c r="G1967" i="1" s="1"/>
  <c r="G1966" i="1" a="1"/>
  <c r="G1966" i="1" s="1"/>
  <c r="G1965" i="1" a="1"/>
  <c r="G1965" i="1" s="1"/>
  <c r="G1964" i="1" a="1"/>
  <c r="G1964" i="1" s="1"/>
  <c r="G1963" i="1" a="1"/>
  <c r="G1963" i="1" s="1"/>
  <c r="G1962" i="1" a="1"/>
  <c r="G1962" i="1" s="1"/>
  <c r="G1961" i="1" a="1"/>
  <c r="G1961" i="1" s="1"/>
  <c r="G1960" i="1" a="1"/>
  <c r="G1960" i="1" s="1"/>
  <c r="G1959" i="1" a="1"/>
  <c r="G1959" i="1" s="1"/>
  <c r="G1958" i="1" a="1"/>
  <c r="G1958" i="1" s="1"/>
  <c r="G1957" i="1" a="1"/>
  <c r="G1957" i="1" s="1"/>
  <c r="G1956" i="1" a="1"/>
  <c r="G1956" i="1" s="1"/>
  <c r="G1955" i="1" a="1"/>
  <c r="G1955" i="1" s="1"/>
  <c r="G1954" i="1" a="1"/>
  <c r="G1954" i="1" s="1"/>
  <c r="G1953" i="1" a="1"/>
  <c r="G1953" i="1" s="1"/>
  <c r="G1952" i="1" a="1"/>
  <c r="G1952" i="1" s="1"/>
  <c r="G1951" i="1" a="1"/>
  <c r="G1951" i="1" s="1"/>
  <c r="G1950" i="1" a="1"/>
  <c r="G1950" i="1" s="1"/>
  <c r="G1949" i="1" a="1"/>
  <c r="G1949" i="1" s="1"/>
  <c r="G1948" i="1" a="1"/>
  <c r="G1948" i="1" s="1"/>
  <c r="G1947" i="1" a="1"/>
  <c r="G1947" i="1" s="1"/>
  <c r="G1946" i="1" a="1"/>
  <c r="G1946" i="1" s="1"/>
  <c r="G1945" i="1" a="1"/>
  <c r="G1945" i="1" s="1"/>
  <c r="G1944" i="1" a="1"/>
  <c r="G1944" i="1" s="1"/>
  <c r="G1943" i="1" a="1"/>
  <c r="G1943" i="1" s="1"/>
  <c r="G1942" i="1" a="1"/>
  <c r="G1942" i="1" s="1"/>
  <c r="G1941" i="1" a="1"/>
  <c r="G1941" i="1" s="1"/>
  <c r="G1940" i="1" a="1"/>
  <c r="G1940" i="1" s="1"/>
  <c r="G1939" i="1" a="1"/>
  <c r="G1939" i="1" s="1"/>
  <c r="G1938" i="1" a="1"/>
  <c r="G1938" i="1" s="1"/>
  <c r="G1937" i="1" a="1"/>
  <c r="G1937" i="1" s="1"/>
  <c r="G1936" i="1" a="1"/>
  <c r="G1936" i="1" s="1"/>
  <c r="G1935" i="1" a="1"/>
  <c r="G1935" i="1" s="1"/>
  <c r="G1934" i="1" a="1"/>
  <c r="G1934" i="1" s="1"/>
  <c r="G1933" i="1" a="1"/>
  <c r="G1933" i="1" s="1"/>
  <c r="G1932" i="1" a="1"/>
  <c r="G1932" i="1" s="1"/>
  <c r="G1931" i="1" a="1"/>
  <c r="G1931" i="1" s="1"/>
  <c r="G1930" i="1" a="1"/>
  <c r="G1930" i="1" s="1"/>
  <c r="G1929" i="1" a="1"/>
  <c r="G1929" i="1" s="1"/>
  <c r="G1928" i="1" a="1"/>
  <c r="G1928" i="1" s="1"/>
  <c r="G1927" i="1" a="1"/>
  <c r="G1927" i="1" s="1"/>
  <c r="G1926" i="1" a="1"/>
  <c r="G1926" i="1" s="1"/>
  <c r="G1925" i="1" a="1"/>
  <c r="G1925" i="1" s="1"/>
  <c r="G1924" i="1" a="1"/>
  <c r="G1924" i="1" s="1"/>
  <c r="G1923" i="1" a="1"/>
  <c r="G1923" i="1" s="1"/>
  <c r="G1922" i="1" a="1"/>
  <c r="G1922" i="1" s="1"/>
  <c r="G1921" i="1" a="1"/>
  <c r="G1921" i="1" s="1"/>
  <c r="G1920" i="1" a="1"/>
  <c r="G1920" i="1" s="1"/>
  <c r="G1919" i="1" a="1"/>
  <c r="G1919" i="1" s="1"/>
  <c r="G1918" i="1" a="1"/>
  <c r="G1918" i="1" s="1"/>
  <c r="G1917" i="1" a="1"/>
  <c r="G1917" i="1" s="1"/>
  <c r="G1916" i="1" a="1"/>
  <c r="G1916" i="1" s="1"/>
  <c r="G1915" i="1" a="1"/>
  <c r="G1915" i="1" s="1"/>
  <c r="G1914" i="1" a="1"/>
  <c r="G1914" i="1" s="1"/>
  <c r="G1913" i="1" a="1"/>
  <c r="G1913" i="1" s="1"/>
  <c r="G1912" i="1" a="1"/>
  <c r="G1912" i="1" s="1"/>
  <c r="G1911" i="1" a="1"/>
  <c r="G1911" i="1" s="1"/>
  <c r="G1910" i="1" a="1"/>
  <c r="G1910" i="1" s="1"/>
  <c r="G1909" i="1" a="1"/>
  <c r="G1909" i="1" s="1"/>
  <c r="G1908" i="1" a="1"/>
  <c r="G1908" i="1" s="1"/>
  <c r="G1907" i="1" a="1"/>
  <c r="G1907" i="1" s="1"/>
  <c r="G1906" i="1" a="1"/>
  <c r="G1906" i="1" s="1"/>
  <c r="G1905" i="1" a="1"/>
  <c r="G1905" i="1" s="1"/>
  <c r="G1904" i="1" a="1"/>
  <c r="G1904" i="1" s="1"/>
  <c r="G1903" i="1" a="1"/>
  <c r="G1903" i="1" s="1"/>
  <c r="G1902" i="1" a="1"/>
  <c r="G1902" i="1" s="1"/>
  <c r="G1901" i="1" a="1"/>
  <c r="G1901" i="1" s="1"/>
  <c r="G1900" i="1" a="1"/>
  <c r="G1900" i="1" s="1"/>
  <c r="G1899" i="1" a="1"/>
  <c r="G1899" i="1" s="1"/>
  <c r="G1898" i="1" a="1"/>
  <c r="G1898" i="1" s="1"/>
  <c r="G1897" i="1" a="1"/>
  <c r="G1897" i="1" s="1"/>
  <c r="G1896" i="1" a="1"/>
  <c r="G1896" i="1" s="1"/>
  <c r="G1895" i="1" a="1"/>
  <c r="G1895" i="1" s="1"/>
  <c r="G1894" i="1" a="1"/>
  <c r="G1894" i="1" s="1"/>
  <c r="G1893" i="1" a="1"/>
  <c r="G1893" i="1" s="1"/>
  <c r="G1892" i="1" a="1"/>
  <c r="G1892" i="1" s="1"/>
  <c r="G1891" i="1" a="1"/>
  <c r="G1891" i="1" s="1"/>
  <c r="G1890" i="1" a="1"/>
  <c r="G1890" i="1" s="1"/>
  <c r="G1889" i="1" a="1"/>
  <c r="G1889" i="1" s="1"/>
  <c r="G1888" i="1" a="1"/>
  <c r="G1888" i="1" s="1"/>
  <c r="G1887" i="1" a="1"/>
  <c r="G1887" i="1" s="1"/>
  <c r="G1886" i="1" a="1"/>
  <c r="G1886" i="1" s="1"/>
  <c r="G1885" i="1" a="1"/>
  <c r="G1885" i="1" s="1"/>
  <c r="G1884" i="1" a="1"/>
  <c r="G1884" i="1" s="1"/>
  <c r="G1883" i="1" a="1"/>
  <c r="G1883" i="1" s="1"/>
  <c r="G1882" i="1" a="1"/>
  <c r="G1882" i="1" s="1"/>
  <c r="G1881" i="1" a="1"/>
  <c r="G1881" i="1" s="1"/>
  <c r="G1880" i="1" a="1"/>
  <c r="G1880" i="1" s="1"/>
  <c r="G1879" i="1" a="1"/>
  <c r="G1879" i="1" s="1"/>
  <c r="G1878" i="1" a="1"/>
  <c r="G1878" i="1" s="1"/>
  <c r="G1877" i="1" a="1"/>
  <c r="G1877" i="1" s="1"/>
  <c r="G1876" i="1" a="1"/>
  <c r="G1876" i="1" s="1"/>
  <c r="G1875" i="1" a="1"/>
  <c r="G1875" i="1" s="1"/>
  <c r="G1874" i="1" a="1"/>
  <c r="G1874" i="1" s="1"/>
  <c r="G1873" i="1" a="1"/>
  <c r="G1873" i="1" s="1"/>
  <c r="G1872" i="1" a="1"/>
  <c r="G1872" i="1" s="1"/>
  <c r="G1871" i="1" a="1"/>
  <c r="G1871" i="1" s="1"/>
  <c r="G1870" i="1" a="1"/>
  <c r="G1870" i="1" s="1"/>
  <c r="G1869" i="1" a="1"/>
  <c r="G1869" i="1" s="1"/>
  <c r="G1868" i="1" a="1"/>
  <c r="G1868" i="1" s="1"/>
  <c r="G1867" i="1" a="1"/>
  <c r="G1867" i="1" s="1"/>
  <c r="G1866" i="1" a="1"/>
  <c r="G1866" i="1" s="1"/>
  <c r="G1865" i="1" a="1"/>
  <c r="G1865" i="1" s="1"/>
  <c r="G1864" i="1" a="1"/>
  <c r="G1864" i="1" s="1"/>
  <c r="G1863" i="1" a="1"/>
  <c r="G1863" i="1" s="1"/>
  <c r="G1862" i="1" a="1"/>
  <c r="G1862" i="1" s="1"/>
  <c r="G1861" i="1" a="1"/>
  <c r="G1861" i="1" s="1"/>
  <c r="G1860" i="1" a="1"/>
  <c r="G1860" i="1" s="1"/>
  <c r="G1859" i="1" a="1"/>
  <c r="G1859" i="1" s="1"/>
  <c r="G1858" i="1" a="1"/>
  <c r="G1858" i="1" s="1"/>
  <c r="G1857" i="1" a="1"/>
  <c r="G1857" i="1" s="1"/>
  <c r="G1856" i="1" a="1"/>
  <c r="G1856" i="1" s="1"/>
  <c r="G1855" i="1" a="1"/>
  <c r="G1855" i="1" s="1"/>
  <c r="G1854" i="1" a="1"/>
  <c r="G1854" i="1" s="1"/>
  <c r="G1853" i="1" a="1"/>
  <c r="G1853" i="1" s="1"/>
  <c r="G1852" i="1" a="1"/>
  <c r="G1852" i="1" s="1"/>
  <c r="G1851" i="1" a="1"/>
  <c r="G1851" i="1" s="1"/>
  <c r="G1850" i="1" a="1"/>
  <c r="G1850" i="1" s="1"/>
  <c r="G1849" i="1" a="1"/>
  <c r="G1849" i="1" s="1"/>
  <c r="G1848" i="1" a="1"/>
  <c r="G1848" i="1" s="1"/>
  <c r="G1847" i="1" a="1"/>
  <c r="G1847" i="1" s="1"/>
  <c r="G1846" i="1" a="1"/>
  <c r="G1846" i="1" s="1"/>
  <c r="G1845" i="1" a="1"/>
  <c r="G1845" i="1" s="1"/>
  <c r="G1844" i="1" a="1"/>
  <c r="G1844" i="1" s="1"/>
  <c r="G1843" i="1" a="1"/>
  <c r="G1843" i="1" s="1"/>
  <c r="G1842" i="1" a="1"/>
  <c r="G1842" i="1" s="1"/>
  <c r="G1841" i="1" a="1"/>
  <c r="G1841" i="1" s="1"/>
  <c r="G1840" i="1" a="1"/>
  <c r="G1840" i="1" s="1"/>
  <c r="G1839" i="1" a="1"/>
  <c r="G1839" i="1" s="1"/>
  <c r="G1838" i="1" a="1"/>
  <c r="G1838" i="1" s="1"/>
  <c r="G1837" i="1" a="1"/>
  <c r="G1837" i="1" s="1"/>
  <c r="G1836" i="1" a="1"/>
  <c r="G1836" i="1" s="1"/>
  <c r="G1835" i="1" a="1"/>
  <c r="G1835" i="1" s="1"/>
  <c r="G1834" i="1" a="1"/>
  <c r="G1834" i="1" s="1"/>
  <c r="G1833" i="1" a="1"/>
  <c r="G1833" i="1" s="1"/>
  <c r="G1832" i="1" a="1"/>
  <c r="G1832" i="1" s="1"/>
  <c r="G1831" i="1" a="1"/>
  <c r="G1831" i="1" s="1"/>
  <c r="G1830" i="1" a="1"/>
  <c r="G1830" i="1" s="1"/>
  <c r="G1829" i="1" a="1"/>
  <c r="G1829" i="1" s="1"/>
  <c r="G1828" i="1" a="1"/>
  <c r="G1828" i="1" s="1"/>
  <c r="G1827" i="1" a="1"/>
  <c r="G1827" i="1" s="1"/>
  <c r="G1826" i="1" a="1"/>
  <c r="G1826" i="1" s="1"/>
  <c r="G1825" i="1" a="1"/>
  <c r="G1825" i="1" s="1"/>
  <c r="G1824" i="1" a="1"/>
  <c r="G1824" i="1" s="1"/>
  <c r="G1823" i="1" a="1"/>
  <c r="G1823" i="1" s="1"/>
  <c r="G1822" i="1" a="1"/>
  <c r="G1822" i="1" s="1"/>
  <c r="G1821" i="1" a="1"/>
  <c r="G1821" i="1" s="1"/>
  <c r="G1820" i="1" a="1"/>
  <c r="G1820" i="1" s="1"/>
  <c r="G1819" i="1" a="1"/>
  <c r="G1819" i="1" s="1"/>
  <c r="G1818" i="1" a="1"/>
  <c r="G1818" i="1" s="1"/>
  <c r="G1817" i="1" a="1"/>
  <c r="G1817" i="1" s="1"/>
  <c r="G1816" i="1" a="1"/>
  <c r="G1816" i="1" s="1"/>
  <c r="G1815" i="1" a="1"/>
  <c r="G1815" i="1" s="1"/>
  <c r="G1814" i="1" a="1"/>
  <c r="G1814" i="1" s="1"/>
  <c r="G1813" i="1" a="1"/>
  <c r="G1813" i="1" s="1"/>
  <c r="G1812" i="1" a="1"/>
  <c r="G1812" i="1" s="1"/>
  <c r="G1811" i="1" a="1"/>
  <c r="G1811" i="1" s="1"/>
  <c r="G1810" i="1" a="1"/>
  <c r="G1810" i="1" s="1"/>
  <c r="G1809" i="1" a="1"/>
  <c r="G1809" i="1" s="1"/>
  <c r="G1808" i="1" a="1"/>
  <c r="G1808" i="1" s="1"/>
  <c r="G1807" i="1" a="1"/>
  <c r="G1807" i="1" s="1"/>
  <c r="G1806" i="1" a="1"/>
  <c r="G1806" i="1" s="1"/>
  <c r="G1805" i="1" a="1"/>
  <c r="G1805" i="1" s="1"/>
  <c r="G1804" i="1" a="1"/>
  <c r="G1804" i="1" s="1"/>
  <c r="G1803" i="1" a="1"/>
  <c r="G1803" i="1" s="1"/>
  <c r="G1802" i="1" a="1"/>
  <c r="G1802" i="1" s="1"/>
  <c r="G1801" i="1" a="1"/>
  <c r="G1801" i="1" s="1"/>
  <c r="G1800" i="1" a="1"/>
  <c r="G1800" i="1" s="1"/>
  <c r="G1799" i="1" a="1"/>
  <c r="G1799" i="1" s="1"/>
  <c r="G1798" i="1" a="1"/>
  <c r="G1798" i="1" s="1"/>
  <c r="G1797" i="1" a="1"/>
  <c r="G1797" i="1" s="1"/>
  <c r="G1796" i="1" a="1"/>
  <c r="G1796" i="1" s="1"/>
  <c r="G1795" i="1" a="1"/>
  <c r="G1795" i="1" s="1"/>
  <c r="G1794" i="1" a="1"/>
  <c r="G1794" i="1" s="1"/>
  <c r="G1793" i="1" a="1"/>
  <c r="G1793" i="1" s="1"/>
  <c r="G1792" i="1" a="1"/>
  <c r="G1792" i="1" s="1"/>
  <c r="G1791" i="1" a="1"/>
  <c r="G1791" i="1" s="1"/>
  <c r="G1790" i="1" a="1"/>
  <c r="G1790" i="1" s="1"/>
  <c r="G1789" i="1" a="1"/>
  <c r="G1789" i="1" s="1"/>
  <c r="G1788" i="1" a="1"/>
  <c r="G1788" i="1" s="1"/>
  <c r="G1787" i="1" a="1"/>
  <c r="G1787" i="1" s="1"/>
  <c r="G1786" i="1" a="1"/>
  <c r="G1786" i="1" s="1"/>
  <c r="G1785" i="1" a="1"/>
  <c r="G1785" i="1" s="1"/>
  <c r="G1784" i="1" a="1"/>
  <c r="G1784" i="1" s="1"/>
  <c r="G1783" i="1" a="1"/>
  <c r="G1783" i="1" s="1"/>
  <c r="G1782" i="1" a="1"/>
  <c r="G1782" i="1" s="1"/>
  <c r="G1781" i="1" a="1"/>
  <c r="G1781" i="1" s="1"/>
  <c r="G1780" i="1" a="1"/>
  <c r="G1780" i="1" s="1"/>
  <c r="G1779" i="1" a="1"/>
  <c r="G1779" i="1" s="1"/>
  <c r="G1778" i="1" a="1"/>
  <c r="G1778" i="1" s="1"/>
  <c r="G1777" i="1" a="1"/>
  <c r="G1777" i="1" s="1"/>
  <c r="G1776" i="1" a="1"/>
  <c r="G1776" i="1" s="1"/>
  <c r="G1775" i="1" a="1"/>
  <c r="G1775" i="1" s="1"/>
  <c r="G1774" i="1" a="1"/>
  <c r="G1774" i="1" s="1"/>
  <c r="G1773" i="1" a="1"/>
  <c r="G1773" i="1" s="1"/>
  <c r="G1772" i="1" a="1"/>
  <c r="G1772" i="1" s="1"/>
  <c r="G1771" i="1" a="1"/>
  <c r="G1771" i="1" s="1"/>
  <c r="G1770" i="1" a="1"/>
  <c r="G1770" i="1" s="1"/>
  <c r="G1769" i="1" a="1"/>
  <c r="G1769" i="1" s="1"/>
  <c r="G1768" i="1" a="1"/>
  <c r="G1768" i="1" s="1"/>
  <c r="G1767" i="1" a="1"/>
  <c r="G1767" i="1" s="1"/>
  <c r="G1766" i="1" a="1"/>
  <c r="G1766" i="1" s="1"/>
  <c r="G1765" i="1" a="1"/>
  <c r="G1765" i="1" s="1"/>
  <c r="G1764" i="1" a="1"/>
  <c r="G1764" i="1" s="1"/>
  <c r="G1763" i="1" a="1"/>
  <c r="G1763" i="1" s="1"/>
  <c r="G1762" i="1" a="1"/>
  <c r="G1762" i="1" s="1"/>
  <c r="G1761" i="1" a="1"/>
  <c r="G1761" i="1" s="1"/>
  <c r="G1760" i="1" a="1"/>
  <c r="G1760" i="1" s="1"/>
  <c r="G1759" i="1" a="1"/>
  <c r="G1759" i="1" s="1"/>
  <c r="G1758" i="1" a="1"/>
  <c r="G1758" i="1" s="1"/>
  <c r="G1757" i="1" a="1"/>
  <c r="G1757" i="1" s="1"/>
  <c r="G1756" i="1" a="1"/>
  <c r="G1756" i="1" s="1"/>
  <c r="G1755" i="1" a="1"/>
  <c r="G1755" i="1" s="1"/>
  <c r="G1754" i="1" a="1"/>
  <c r="G1754" i="1" s="1"/>
  <c r="G1753" i="1" a="1"/>
  <c r="G1753" i="1" s="1"/>
  <c r="G1752" i="1" a="1"/>
  <c r="G1752" i="1" s="1"/>
  <c r="G1751" i="1" a="1"/>
  <c r="G1751" i="1" s="1"/>
  <c r="G1750" i="1" a="1"/>
  <c r="G1750" i="1" s="1"/>
  <c r="G1749" i="1" a="1"/>
  <c r="G1749" i="1" s="1"/>
  <c r="G1748" i="1" a="1"/>
  <c r="G1748" i="1" s="1"/>
  <c r="G1747" i="1" a="1"/>
  <c r="G1747" i="1" s="1"/>
  <c r="G1746" i="1" a="1"/>
  <c r="G1746" i="1" s="1"/>
  <c r="G1745" i="1" a="1"/>
  <c r="G1745" i="1" s="1"/>
  <c r="G1744" i="1" a="1"/>
  <c r="G1744" i="1" s="1"/>
  <c r="G1743" i="1" a="1"/>
  <c r="G1743" i="1" s="1"/>
  <c r="G1742" i="1" a="1"/>
  <c r="G1742" i="1" s="1"/>
  <c r="G1741" i="1" a="1"/>
  <c r="G1741" i="1" s="1"/>
  <c r="G1740" i="1" a="1"/>
  <c r="G1740" i="1" s="1"/>
  <c r="G1739" i="1" a="1"/>
  <c r="G1739" i="1" s="1"/>
  <c r="G1738" i="1" a="1"/>
  <c r="G1738" i="1" s="1"/>
  <c r="G1737" i="1" a="1"/>
  <c r="G1737" i="1" s="1"/>
  <c r="G1736" i="1" a="1"/>
  <c r="G1736" i="1" s="1"/>
  <c r="G1735" i="1" a="1"/>
  <c r="G1735" i="1" s="1"/>
  <c r="G1734" i="1" a="1"/>
  <c r="G1734" i="1" s="1"/>
  <c r="G1733" i="1" a="1"/>
  <c r="G1733" i="1" s="1"/>
  <c r="G1732" i="1" a="1"/>
  <c r="G1732" i="1" s="1"/>
  <c r="G1731" i="1" a="1"/>
  <c r="G1731" i="1" s="1"/>
  <c r="G1730" i="1" a="1"/>
  <c r="G1730" i="1" s="1"/>
  <c r="G1729" i="1" a="1"/>
  <c r="G1729" i="1" s="1"/>
  <c r="G1728" i="1" a="1"/>
  <c r="G1728" i="1" s="1"/>
  <c r="G1727" i="1" a="1"/>
  <c r="G1727" i="1" s="1"/>
  <c r="G1726" i="1" a="1"/>
  <c r="G1726" i="1" s="1"/>
  <c r="G1725" i="1" a="1"/>
  <c r="G1725" i="1" s="1"/>
  <c r="G1724" i="1" a="1"/>
  <c r="G1724" i="1" s="1"/>
  <c r="G1723" i="1" a="1"/>
  <c r="G1723" i="1" s="1"/>
  <c r="G1722" i="1" a="1"/>
  <c r="G1722" i="1" s="1"/>
  <c r="G1721" i="1" a="1"/>
  <c r="G1721" i="1" s="1"/>
  <c r="G1720" i="1" a="1"/>
  <c r="G1720" i="1" s="1"/>
  <c r="G1719" i="1" a="1"/>
  <c r="G1719" i="1" s="1"/>
  <c r="G1718" i="1" a="1"/>
  <c r="G1718" i="1" s="1"/>
  <c r="G1717" i="1" a="1"/>
  <c r="G1717" i="1" s="1"/>
  <c r="G1716" i="1" a="1"/>
  <c r="G1716" i="1" s="1"/>
  <c r="G1715" i="1" a="1"/>
  <c r="G1715" i="1" s="1"/>
  <c r="G1714" i="1" a="1"/>
  <c r="G1714" i="1" s="1"/>
  <c r="G1713" i="1" a="1"/>
  <c r="G1713" i="1" s="1"/>
  <c r="G1712" i="1" a="1"/>
  <c r="G1712" i="1" s="1"/>
  <c r="G1711" i="1" a="1"/>
  <c r="G1711" i="1" s="1"/>
  <c r="G1710" i="1" a="1"/>
  <c r="G1710" i="1" s="1"/>
  <c r="G1709" i="1" a="1"/>
  <c r="G1709" i="1" s="1"/>
  <c r="G1708" i="1" a="1"/>
  <c r="G1708" i="1" s="1"/>
  <c r="G1707" i="1" a="1"/>
  <c r="G1707" i="1" s="1"/>
  <c r="G1706" i="1" a="1"/>
  <c r="G1706" i="1" s="1"/>
  <c r="G1705" i="1" a="1"/>
  <c r="G1705" i="1" s="1"/>
  <c r="G1704" i="1" a="1"/>
  <c r="G1704" i="1" s="1"/>
  <c r="G1703" i="1" a="1"/>
  <c r="G1703" i="1" s="1"/>
  <c r="G1702" i="1" a="1"/>
  <c r="G1702" i="1" s="1"/>
  <c r="G1701" i="1" a="1"/>
  <c r="G1701" i="1" s="1"/>
  <c r="G1700" i="1" a="1"/>
  <c r="G1700" i="1" s="1"/>
  <c r="G1699" i="1" a="1"/>
  <c r="G1699" i="1" s="1"/>
  <c r="G1698" i="1" a="1"/>
  <c r="G1698" i="1" s="1"/>
  <c r="G1697" i="1" a="1"/>
  <c r="G1697" i="1" s="1"/>
  <c r="G1696" i="1" a="1"/>
  <c r="G1696" i="1" s="1"/>
  <c r="G1695" i="1" a="1"/>
  <c r="G1695" i="1" s="1"/>
  <c r="G1694" i="1" a="1"/>
  <c r="G1694" i="1" s="1"/>
  <c r="G1693" i="1" a="1"/>
  <c r="G1693" i="1" s="1"/>
  <c r="G1692" i="1" a="1"/>
  <c r="G1692" i="1" s="1"/>
  <c r="G1691" i="1" a="1"/>
  <c r="G1691" i="1" s="1"/>
  <c r="G1690" i="1" a="1"/>
  <c r="G1690" i="1" s="1"/>
  <c r="G1689" i="1" a="1"/>
  <c r="G1689" i="1" s="1"/>
  <c r="G1688" i="1" a="1"/>
  <c r="G1688" i="1" s="1"/>
  <c r="G1687" i="1" a="1"/>
  <c r="G1687" i="1" s="1"/>
  <c r="G1686" i="1" a="1"/>
  <c r="G1686" i="1" s="1"/>
  <c r="G1685" i="1" a="1"/>
  <c r="G1685" i="1" s="1"/>
  <c r="G1684" i="1" a="1"/>
  <c r="G1684" i="1" s="1"/>
  <c r="G1683" i="1" a="1"/>
  <c r="G1683" i="1" s="1"/>
  <c r="G1682" i="1" a="1"/>
  <c r="G1682" i="1" s="1"/>
  <c r="G1681" i="1" a="1"/>
  <c r="G1681" i="1" s="1"/>
  <c r="G1680" i="1" a="1"/>
  <c r="G1680" i="1" s="1"/>
  <c r="G1679" i="1" a="1"/>
  <c r="G1679" i="1" s="1"/>
  <c r="G1678" i="1" a="1"/>
  <c r="G1678" i="1" s="1"/>
  <c r="G1677" i="1" a="1"/>
  <c r="G1677" i="1" s="1"/>
  <c r="G1676" i="1" a="1"/>
  <c r="G1676" i="1" s="1"/>
  <c r="G1675" i="1" a="1"/>
  <c r="G1675" i="1" s="1"/>
  <c r="G1674" i="1" a="1"/>
  <c r="G1674" i="1" s="1"/>
  <c r="G1673" i="1" a="1"/>
  <c r="G1673" i="1" s="1"/>
  <c r="G1672" i="1" a="1"/>
  <c r="G1672" i="1" s="1"/>
  <c r="G1671" i="1" a="1"/>
  <c r="G1671" i="1" s="1"/>
  <c r="G1670" i="1" a="1"/>
  <c r="G1670" i="1" s="1"/>
  <c r="G1669" i="1" a="1"/>
  <c r="G1669" i="1" s="1"/>
  <c r="G1668" i="1" a="1"/>
  <c r="G1668" i="1" s="1"/>
  <c r="G1667" i="1" a="1"/>
  <c r="G1667" i="1" s="1"/>
  <c r="G1666" i="1" a="1"/>
  <c r="G1666" i="1" s="1"/>
  <c r="G1665" i="1" a="1"/>
  <c r="G1665" i="1" s="1"/>
  <c r="G1664" i="1" a="1"/>
  <c r="G1664" i="1" s="1"/>
  <c r="G1663" i="1" a="1"/>
  <c r="G1663" i="1" s="1"/>
  <c r="G1662" i="1" a="1"/>
  <c r="G1662" i="1" s="1"/>
  <c r="G1661" i="1" a="1"/>
  <c r="G1661" i="1" s="1"/>
  <c r="G1660" i="1" a="1"/>
  <c r="G1660" i="1" s="1"/>
  <c r="G1659" i="1" a="1"/>
  <c r="G1659" i="1" s="1"/>
  <c r="G1658" i="1" a="1"/>
  <c r="G1658" i="1" s="1"/>
  <c r="G1657" i="1" a="1"/>
  <c r="G1657" i="1" s="1"/>
  <c r="G1656" i="1" a="1"/>
  <c r="G1656" i="1" s="1"/>
  <c r="G1655" i="1" a="1"/>
  <c r="G1655" i="1" s="1"/>
  <c r="G1654" i="1" a="1"/>
  <c r="G1654" i="1" s="1"/>
  <c r="G1653" i="1" a="1"/>
  <c r="G1653" i="1" s="1"/>
  <c r="G1652" i="1" a="1"/>
  <c r="G1652" i="1" s="1"/>
  <c r="G1651" i="1" a="1"/>
  <c r="G1651" i="1" s="1"/>
  <c r="G1650" i="1" a="1"/>
  <c r="G1650" i="1" s="1"/>
  <c r="G1649" i="1" a="1"/>
  <c r="G1649" i="1" s="1"/>
  <c r="G1648" i="1" a="1"/>
  <c r="G1648" i="1" s="1"/>
  <c r="G1647" i="1" a="1"/>
  <c r="G1647" i="1" s="1"/>
  <c r="G1646" i="1" a="1"/>
  <c r="G1646" i="1" s="1"/>
  <c r="G1645" i="1" a="1"/>
  <c r="G1645" i="1" s="1"/>
  <c r="G1644" i="1" a="1"/>
  <c r="G1644" i="1" s="1"/>
  <c r="G1643" i="1" a="1"/>
  <c r="G1643" i="1" s="1"/>
  <c r="G1642" i="1" a="1"/>
  <c r="G1642" i="1" s="1"/>
  <c r="G1641" i="1" a="1"/>
  <c r="G1641" i="1" s="1"/>
  <c r="G1640" i="1" a="1"/>
  <c r="G1640" i="1" s="1"/>
  <c r="G1639" i="1" a="1"/>
  <c r="G1639" i="1" s="1"/>
  <c r="G1638" i="1" a="1"/>
  <c r="G1638" i="1" s="1"/>
  <c r="G1637" i="1" a="1"/>
  <c r="G1637" i="1" s="1"/>
  <c r="G1636" i="1" a="1"/>
  <c r="G1636" i="1" s="1"/>
  <c r="G1635" i="1" a="1"/>
  <c r="G1635" i="1" s="1"/>
  <c r="G1634" i="1" a="1"/>
  <c r="G1634" i="1" s="1"/>
  <c r="G1633" i="1" a="1"/>
  <c r="G1633" i="1" s="1"/>
  <c r="G1632" i="1" a="1"/>
  <c r="G1632" i="1" s="1"/>
  <c r="G1631" i="1" a="1"/>
  <c r="G1631" i="1" s="1"/>
  <c r="G1630" i="1" a="1"/>
  <c r="G1630" i="1" s="1"/>
  <c r="G1629" i="1" a="1"/>
  <c r="G1629" i="1" s="1"/>
  <c r="G1628" i="1" a="1"/>
  <c r="G1628" i="1" s="1"/>
  <c r="G1627" i="1" a="1"/>
  <c r="G1627" i="1" s="1"/>
  <c r="G1626" i="1" a="1"/>
  <c r="G1626" i="1" s="1"/>
  <c r="G1625" i="1" a="1"/>
  <c r="G1625" i="1" s="1"/>
  <c r="G1624" i="1" a="1"/>
  <c r="G1624" i="1" s="1"/>
  <c r="G1623" i="1" a="1"/>
  <c r="G1623" i="1" s="1"/>
  <c r="G1622" i="1" a="1"/>
  <c r="G1622" i="1" s="1"/>
  <c r="G1621" i="1" a="1"/>
  <c r="G1621" i="1" s="1"/>
  <c r="G1620" i="1" a="1"/>
  <c r="G1620" i="1" s="1"/>
  <c r="G1619" i="1" a="1"/>
  <c r="G1619" i="1" s="1"/>
  <c r="G1618" i="1" a="1"/>
  <c r="G1618" i="1" s="1"/>
  <c r="G1617" i="1" a="1"/>
  <c r="G1617" i="1" s="1"/>
  <c r="G1616" i="1" a="1"/>
  <c r="G1616" i="1" s="1"/>
  <c r="G1615" i="1" a="1"/>
  <c r="G1615" i="1" s="1"/>
  <c r="G1614" i="1" a="1"/>
  <c r="G1614" i="1" s="1"/>
  <c r="G1613" i="1" a="1"/>
  <c r="G1613" i="1" s="1"/>
  <c r="G1612" i="1" a="1"/>
  <c r="G1612" i="1" s="1"/>
  <c r="G1611" i="1" a="1"/>
  <c r="G1611" i="1" s="1"/>
  <c r="G1610" i="1" a="1"/>
  <c r="G1610" i="1" s="1"/>
  <c r="G1609" i="1" a="1"/>
  <c r="G1609" i="1" s="1"/>
  <c r="G1608" i="1" a="1"/>
  <c r="G1608" i="1" s="1"/>
  <c r="G1607" i="1" a="1"/>
  <c r="G1607" i="1" s="1"/>
  <c r="G1606" i="1" a="1"/>
  <c r="G1606" i="1" s="1"/>
  <c r="G1605" i="1" a="1"/>
  <c r="G1605" i="1" s="1"/>
  <c r="G1604" i="1" a="1"/>
  <c r="G1604" i="1" s="1"/>
  <c r="G1603" i="1" a="1"/>
  <c r="G1603" i="1" s="1"/>
  <c r="G1602" i="1" a="1"/>
  <c r="G1602" i="1" s="1"/>
  <c r="G1601" i="1" a="1"/>
  <c r="G1601" i="1" s="1"/>
  <c r="G1600" i="1" a="1"/>
  <c r="G1600" i="1" s="1"/>
  <c r="G1599" i="1" a="1"/>
  <c r="G1599" i="1" s="1"/>
  <c r="G1598" i="1" a="1"/>
  <c r="G1598" i="1" s="1"/>
  <c r="G1597" i="1" a="1"/>
  <c r="G1597" i="1" s="1"/>
  <c r="G1596" i="1" a="1"/>
  <c r="G1596" i="1" s="1"/>
  <c r="G1595" i="1" a="1"/>
  <c r="G1595" i="1" s="1"/>
  <c r="G1594" i="1" a="1"/>
  <c r="G1594" i="1" s="1"/>
  <c r="G1593" i="1" a="1"/>
  <c r="G1593" i="1" s="1"/>
  <c r="G1592" i="1" a="1"/>
  <c r="G1592" i="1" s="1"/>
  <c r="G1591" i="1" a="1"/>
  <c r="G1591" i="1" s="1"/>
  <c r="G1590" i="1" a="1"/>
  <c r="G1590" i="1" s="1"/>
  <c r="G1589" i="1" a="1"/>
  <c r="G1589" i="1" s="1"/>
  <c r="G1588" i="1" a="1"/>
  <c r="G1588" i="1" s="1"/>
  <c r="G1587" i="1" a="1"/>
  <c r="G1587" i="1" s="1"/>
  <c r="G1586" i="1" a="1"/>
  <c r="G1586" i="1" s="1"/>
  <c r="G1585" i="1" a="1"/>
  <c r="G1585" i="1" s="1"/>
  <c r="G1584" i="1" a="1"/>
  <c r="G1584" i="1" s="1"/>
  <c r="G1583" i="1" a="1"/>
  <c r="G1583" i="1" s="1"/>
  <c r="G1582" i="1" a="1"/>
  <c r="G1582" i="1" s="1"/>
  <c r="G1581" i="1" a="1"/>
  <c r="G1581" i="1" s="1"/>
  <c r="G1580" i="1" a="1"/>
  <c r="G1580" i="1" s="1"/>
  <c r="G1579" i="1" a="1"/>
  <c r="G1579" i="1" s="1"/>
  <c r="G1578" i="1" a="1"/>
  <c r="G1578" i="1" s="1"/>
  <c r="G1577" i="1" a="1"/>
  <c r="G1577" i="1" s="1"/>
  <c r="G1576" i="1" a="1"/>
  <c r="G1576" i="1" s="1"/>
  <c r="G1575" i="1" a="1"/>
  <c r="G1575" i="1" s="1"/>
  <c r="G1574" i="1" a="1"/>
  <c r="G1574" i="1" s="1"/>
  <c r="G1573" i="1" a="1"/>
  <c r="G1573" i="1" s="1"/>
  <c r="G1572" i="1" a="1"/>
  <c r="G1572" i="1" s="1"/>
  <c r="G1571" i="1" a="1"/>
  <c r="G1571" i="1" s="1"/>
  <c r="G1570" i="1" a="1"/>
  <c r="G1570" i="1" s="1"/>
  <c r="G1569" i="1" a="1"/>
  <c r="G1569" i="1" s="1"/>
  <c r="G1568" i="1" a="1"/>
  <c r="G1568" i="1" s="1"/>
  <c r="G1567" i="1" a="1"/>
  <c r="G1567" i="1" s="1"/>
  <c r="G1566" i="1" a="1"/>
  <c r="G1566" i="1" s="1"/>
  <c r="G1565" i="1" a="1"/>
  <c r="G1565" i="1" s="1"/>
  <c r="G1564" i="1" a="1"/>
  <c r="G1564" i="1" s="1"/>
  <c r="G1563" i="1" a="1"/>
  <c r="G1563" i="1" s="1"/>
  <c r="G1562" i="1" a="1"/>
  <c r="G1562" i="1" s="1"/>
  <c r="G1561" i="1" a="1"/>
  <c r="G1561" i="1" s="1"/>
  <c r="G1560" i="1" a="1"/>
  <c r="G1560" i="1" s="1"/>
  <c r="G1559" i="1" a="1"/>
  <c r="G1559" i="1" s="1"/>
  <c r="G1558" i="1" a="1"/>
  <c r="G1558" i="1" s="1"/>
  <c r="G1557" i="1" a="1"/>
  <c r="G1557" i="1" s="1"/>
  <c r="G1556" i="1" a="1"/>
  <c r="G1556" i="1" s="1"/>
  <c r="G1555" i="1" a="1"/>
  <c r="G1555" i="1" s="1"/>
  <c r="G1554" i="1" a="1"/>
  <c r="G1554" i="1" s="1"/>
  <c r="G1553" i="1" a="1"/>
  <c r="G1553" i="1" s="1"/>
  <c r="G1552" i="1" a="1"/>
  <c r="G1552" i="1" s="1"/>
  <c r="G1551" i="1" a="1"/>
  <c r="G1551" i="1" s="1"/>
  <c r="G1550" i="1" a="1"/>
  <c r="G1550" i="1" s="1"/>
  <c r="G1549" i="1" a="1"/>
  <c r="G1549" i="1" s="1"/>
  <c r="G1548" i="1" a="1"/>
  <c r="G1548" i="1" s="1"/>
  <c r="G1547" i="1" a="1"/>
  <c r="G1547" i="1" s="1"/>
  <c r="G1546" i="1" a="1"/>
  <c r="G1546" i="1" s="1"/>
  <c r="G1545" i="1" a="1"/>
  <c r="G1545" i="1" s="1"/>
  <c r="G1544" i="1" a="1"/>
  <c r="G1544" i="1" s="1"/>
  <c r="G1543" i="1" a="1"/>
  <c r="G1543" i="1" s="1"/>
  <c r="G1542" i="1" a="1"/>
  <c r="G1542" i="1" s="1"/>
  <c r="G1541" i="1" a="1"/>
  <c r="G1541" i="1" s="1"/>
  <c r="G1540" i="1" a="1"/>
  <c r="G1540" i="1" s="1"/>
  <c r="G1539" i="1" a="1"/>
  <c r="G1539" i="1" s="1"/>
  <c r="G1538" i="1" a="1"/>
  <c r="G1538" i="1" s="1"/>
  <c r="G1537" i="1" a="1"/>
  <c r="G1537" i="1" s="1"/>
  <c r="G1536" i="1" a="1"/>
  <c r="G1536" i="1" s="1"/>
  <c r="G1535" i="1" a="1"/>
  <c r="G1535" i="1" s="1"/>
  <c r="G1534" i="1" a="1"/>
  <c r="G1534" i="1" s="1"/>
  <c r="G1533" i="1" a="1"/>
  <c r="G1533" i="1" s="1"/>
  <c r="G1532" i="1" a="1"/>
  <c r="G1532" i="1" s="1"/>
  <c r="G1531" i="1" a="1"/>
  <c r="G1531" i="1" s="1"/>
  <c r="G1530" i="1" a="1"/>
  <c r="G1530" i="1" s="1"/>
  <c r="G1529" i="1" a="1"/>
  <c r="G1529" i="1" s="1"/>
  <c r="G1528" i="1" a="1"/>
  <c r="G1528" i="1" s="1"/>
  <c r="G1527" i="1" a="1"/>
  <c r="G1527" i="1" s="1"/>
  <c r="G1526" i="1" a="1"/>
  <c r="G1526" i="1" s="1"/>
  <c r="G1525" i="1" a="1"/>
  <c r="G1525" i="1" s="1"/>
  <c r="G1524" i="1" a="1"/>
  <c r="G1524" i="1" s="1"/>
  <c r="G1523" i="1" a="1"/>
  <c r="G1523" i="1" s="1"/>
  <c r="G1522" i="1" a="1"/>
  <c r="G1522" i="1" s="1"/>
  <c r="G1521" i="1" a="1"/>
  <c r="G1521" i="1" s="1"/>
  <c r="G1520" i="1" a="1"/>
  <c r="G1520" i="1" s="1"/>
  <c r="G1519" i="1" a="1"/>
  <c r="G1519" i="1" s="1"/>
  <c r="G1518" i="1" a="1"/>
  <c r="G1518" i="1" s="1"/>
  <c r="G1517" i="1" a="1"/>
  <c r="G1517" i="1" s="1"/>
  <c r="G1516" i="1" a="1"/>
  <c r="G1516" i="1" s="1"/>
  <c r="G1515" i="1" a="1"/>
  <c r="G1515" i="1" s="1"/>
  <c r="G1514" i="1" a="1"/>
  <c r="G1514" i="1" s="1"/>
  <c r="G1513" i="1" a="1"/>
  <c r="G1513" i="1" s="1"/>
  <c r="G1512" i="1" a="1"/>
  <c r="G1512" i="1" s="1"/>
  <c r="G1511" i="1" a="1"/>
  <c r="G1511" i="1" s="1"/>
  <c r="G1510" i="1" a="1"/>
  <c r="G1510" i="1" s="1"/>
  <c r="G1509" i="1" a="1"/>
  <c r="G1509" i="1" s="1"/>
  <c r="G1508" i="1" a="1"/>
  <c r="G1508" i="1" s="1"/>
  <c r="G1507" i="1" a="1"/>
  <c r="G1507" i="1" s="1"/>
  <c r="G1506" i="1" a="1"/>
  <c r="G1506" i="1" s="1"/>
  <c r="G1505" i="1" a="1"/>
  <c r="G1505" i="1" s="1"/>
  <c r="G1504" i="1" a="1"/>
  <c r="G1504" i="1" s="1"/>
  <c r="G1503" i="1" a="1"/>
  <c r="G1503" i="1" s="1"/>
  <c r="G1502" i="1" a="1"/>
  <c r="G1502" i="1" s="1"/>
  <c r="G1501" i="1" a="1"/>
  <c r="G1501" i="1" s="1"/>
  <c r="G1500" i="1" a="1"/>
  <c r="G1500" i="1" s="1"/>
  <c r="G1499" i="1" a="1"/>
  <c r="G1499" i="1" s="1"/>
  <c r="G1498" i="1" a="1"/>
  <c r="G1498" i="1" s="1"/>
  <c r="G1497" i="1" a="1"/>
  <c r="G1497" i="1" s="1"/>
  <c r="G1496" i="1" a="1"/>
  <c r="G1496" i="1" s="1"/>
  <c r="G1495" i="1" a="1"/>
  <c r="G1495" i="1" s="1"/>
  <c r="G1494" i="1" a="1"/>
  <c r="G1494" i="1" s="1"/>
  <c r="G1493" i="1" a="1"/>
  <c r="G1493" i="1" s="1"/>
  <c r="G1492" i="1" a="1"/>
  <c r="G1492" i="1" s="1"/>
  <c r="G1491" i="1" a="1"/>
  <c r="G1491" i="1" s="1"/>
  <c r="G1490" i="1" a="1"/>
  <c r="G1490" i="1" s="1"/>
  <c r="G1489" i="1" a="1"/>
  <c r="G1489" i="1" s="1"/>
  <c r="G1488" i="1" a="1"/>
  <c r="G1488" i="1" s="1"/>
  <c r="G1487" i="1" a="1"/>
  <c r="G1487" i="1" s="1"/>
  <c r="G1486" i="1" a="1"/>
  <c r="G1486" i="1" s="1"/>
  <c r="G1485" i="1" a="1"/>
  <c r="G1485" i="1" s="1"/>
  <c r="G1484" i="1" a="1"/>
  <c r="G1484" i="1" s="1"/>
  <c r="G1483" i="1" a="1"/>
  <c r="G1483" i="1" s="1"/>
  <c r="G1482" i="1" a="1"/>
  <c r="G1482" i="1" s="1"/>
  <c r="G1481" i="1" a="1"/>
  <c r="G1481" i="1" s="1"/>
  <c r="G1480" i="1" a="1"/>
  <c r="G1480" i="1" s="1"/>
  <c r="G1479" i="1" a="1"/>
  <c r="G1479" i="1" s="1"/>
  <c r="G1478" i="1" a="1"/>
  <c r="G1478" i="1" s="1"/>
  <c r="G1477" i="1" a="1"/>
  <c r="G1477" i="1" s="1"/>
  <c r="G1476" i="1" a="1"/>
  <c r="G1476" i="1" s="1"/>
  <c r="G1475" i="1" a="1"/>
  <c r="G1475" i="1" s="1"/>
  <c r="G1474" i="1" a="1"/>
  <c r="G1474" i="1" s="1"/>
  <c r="G1473" i="1" a="1"/>
  <c r="G1473" i="1" s="1"/>
  <c r="G1472" i="1" a="1"/>
  <c r="G1472" i="1" s="1"/>
  <c r="G1471" i="1" a="1"/>
  <c r="G1471" i="1" s="1"/>
  <c r="G1470" i="1" a="1"/>
  <c r="G1470" i="1" s="1"/>
  <c r="G1469" i="1" a="1"/>
  <c r="G1469" i="1" s="1"/>
  <c r="G1468" i="1" a="1"/>
  <c r="G1468" i="1" s="1"/>
  <c r="G1467" i="1" a="1"/>
  <c r="G1467" i="1" s="1"/>
  <c r="G1466" i="1" a="1"/>
  <c r="G1466" i="1" s="1"/>
  <c r="G1465" i="1" a="1"/>
  <c r="G1465" i="1" s="1"/>
  <c r="G1464" i="1" a="1"/>
  <c r="G1464" i="1" s="1"/>
  <c r="G1463" i="1" a="1"/>
  <c r="G1463" i="1" s="1"/>
  <c r="G1462" i="1" a="1"/>
  <c r="G1462" i="1" s="1"/>
  <c r="G1461" i="1" a="1"/>
  <c r="G1461" i="1" s="1"/>
  <c r="G1460" i="1" a="1"/>
  <c r="G1460" i="1" s="1"/>
  <c r="G1459" i="1" a="1"/>
  <c r="G1459" i="1" s="1"/>
  <c r="G1458" i="1" a="1"/>
  <c r="G1458" i="1" s="1"/>
  <c r="G1457" i="1" a="1"/>
  <c r="G1457" i="1" s="1"/>
  <c r="G1456" i="1" a="1"/>
  <c r="G1456" i="1" s="1"/>
  <c r="G1455" i="1" a="1"/>
  <c r="G1455" i="1" s="1"/>
  <c r="G1454" i="1" a="1"/>
  <c r="G1454" i="1" s="1"/>
  <c r="G1453" i="1" a="1"/>
  <c r="G1453" i="1" s="1"/>
  <c r="G1452" i="1" a="1"/>
  <c r="G1452" i="1" s="1"/>
  <c r="G1451" i="1" a="1"/>
  <c r="G1451" i="1" s="1"/>
  <c r="G1450" i="1" a="1"/>
  <c r="G1450" i="1" s="1"/>
  <c r="G1449" i="1" a="1"/>
  <c r="G1449" i="1" s="1"/>
  <c r="G1448" i="1" a="1"/>
  <c r="G1448" i="1" s="1"/>
  <c r="G1447" i="1" a="1"/>
  <c r="G1447" i="1" s="1"/>
  <c r="G1446" i="1" a="1"/>
  <c r="G1446" i="1" s="1"/>
  <c r="G1445" i="1" a="1"/>
  <c r="G1445" i="1" s="1"/>
  <c r="G1444" i="1" a="1"/>
  <c r="G1444" i="1" s="1"/>
  <c r="G1443" i="1" a="1"/>
  <c r="G1443" i="1" s="1"/>
  <c r="G1442" i="1" a="1"/>
  <c r="G1442" i="1" s="1"/>
  <c r="G1441" i="1" a="1"/>
  <c r="G1441" i="1" s="1"/>
  <c r="G1440" i="1" a="1"/>
  <c r="G1440" i="1" s="1"/>
  <c r="G1439" i="1" a="1"/>
  <c r="G1439" i="1" s="1"/>
  <c r="G1438" i="1" a="1"/>
  <c r="G1438" i="1" s="1"/>
  <c r="G1437" i="1" a="1"/>
  <c r="G1437" i="1" s="1"/>
  <c r="G1436" i="1" a="1"/>
  <c r="G1436" i="1" s="1"/>
  <c r="G1435" i="1" a="1"/>
  <c r="G1435" i="1" s="1"/>
  <c r="G1434" i="1" a="1"/>
  <c r="G1434" i="1" s="1"/>
  <c r="G1433" i="1" a="1"/>
  <c r="G1433" i="1" s="1"/>
  <c r="G1432" i="1" a="1"/>
  <c r="G1432" i="1" s="1"/>
  <c r="G1431" i="1" a="1"/>
  <c r="G1431" i="1" s="1"/>
  <c r="G1430" i="1" a="1"/>
  <c r="G1430" i="1" s="1"/>
  <c r="G1429" i="1" a="1"/>
  <c r="G1429" i="1" s="1"/>
  <c r="G1428" i="1" a="1"/>
  <c r="G1428" i="1" s="1"/>
  <c r="G1427" i="1" a="1"/>
  <c r="G1427" i="1" s="1"/>
  <c r="G1426" i="1" a="1"/>
  <c r="G1426" i="1" s="1"/>
  <c r="G1425" i="1" a="1"/>
  <c r="G1425" i="1" s="1"/>
  <c r="G1424" i="1" a="1"/>
  <c r="G1424" i="1" s="1"/>
  <c r="G1423" i="1" a="1"/>
  <c r="G1423" i="1" s="1"/>
  <c r="G1422" i="1" a="1"/>
  <c r="G1422" i="1" s="1"/>
  <c r="G1421" i="1" a="1"/>
  <c r="G1421" i="1" s="1"/>
  <c r="G1420" i="1" a="1"/>
  <c r="G1420" i="1" s="1"/>
  <c r="G1419" i="1" a="1"/>
  <c r="G1419" i="1" s="1"/>
  <c r="G1418" i="1" a="1"/>
  <c r="G1418" i="1" s="1"/>
  <c r="G1417" i="1" a="1"/>
  <c r="G1417" i="1" s="1"/>
  <c r="G1416" i="1" a="1"/>
  <c r="G1416" i="1" s="1"/>
  <c r="G1415" i="1" a="1"/>
  <c r="G1415" i="1" s="1"/>
  <c r="G1414" i="1" a="1"/>
  <c r="G1414" i="1" s="1"/>
  <c r="G1413" i="1" a="1"/>
  <c r="G1413" i="1" s="1"/>
  <c r="G1412" i="1" a="1"/>
  <c r="G1412" i="1" s="1"/>
  <c r="G1411" i="1" a="1"/>
  <c r="G1411" i="1" s="1"/>
  <c r="G1410" i="1" a="1"/>
  <c r="G1410" i="1" s="1"/>
  <c r="G1409" i="1" a="1"/>
  <c r="G1409" i="1" s="1"/>
  <c r="G1408" i="1" a="1"/>
  <c r="G1408" i="1" s="1"/>
  <c r="G1407" i="1" a="1"/>
  <c r="G1407" i="1" s="1"/>
  <c r="G1406" i="1" a="1"/>
  <c r="G1406" i="1" s="1"/>
  <c r="G1405" i="1" a="1"/>
  <c r="G1405" i="1" s="1"/>
  <c r="G1404" i="1" a="1"/>
  <c r="G1404" i="1" s="1"/>
  <c r="G1403" i="1" a="1"/>
  <c r="G1403" i="1" s="1"/>
  <c r="G1402" i="1" a="1"/>
  <c r="G1402" i="1" s="1"/>
  <c r="G1401" i="1" a="1"/>
  <c r="G1401" i="1" s="1"/>
  <c r="G1400" i="1" a="1"/>
  <c r="G1400" i="1" s="1"/>
  <c r="G1399" i="1" a="1"/>
  <c r="G1399" i="1" s="1"/>
  <c r="G1398" i="1" a="1"/>
  <c r="G1398" i="1" s="1"/>
  <c r="G1397" i="1" a="1"/>
  <c r="G1397" i="1" s="1"/>
  <c r="G1396" i="1" a="1"/>
  <c r="G1396" i="1" s="1"/>
  <c r="G1395" i="1" a="1"/>
  <c r="G1395" i="1" s="1"/>
  <c r="G1394" i="1" a="1"/>
  <c r="G1394" i="1" s="1"/>
  <c r="G1393" i="1" a="1"/>
  <c r="G1393" i="1" s="1"/>
  <c r="G1392" i="1" a="1"/>
  <c r="G1392" i="1" s="1"/>
  <c r="G1391" i="1" a="1"/>
  <c r="G1391" i="1" s="1"/>
  <c r="G1390" i="1" a="1"/>
  <c r="G1390" i="1" s="1"/>
  <c r="G1389" i="1" a="1"/>
  <c r="G1389" i="1" s="1"/>
  <c r="G1388" i="1" a="1"/>
  <c r="G1388" i="1" s="1"/>
  <c r="G1387" i="1" a="1"/>
  <c r="G1387" i="1" s="1"/>
  <c r="G1386" i="1" a="1"/>
  <c r="G1386" i="1" s="1"/>
  <c r="G1385" i="1" a="1"/>
  <c r="G1385" i="1" s="1"/>
  <c r="G1384" i="1" a="1"/>
  <c r="G1384" i="1" s="1"/>
  <c r="G1383" i="1" a="1"/>
  <c r="G1383" i="1" s="1"/>
  <c r="G1382" i="1" a="1"/>
  <c r="G1382" i="1" s="1"/>
  <c r="G1381" i="1" a="1"/>
  <c r="G1381" i="1" s="1"/>
  <c r="G1380" i="1" a="1"/>
  <c r="G1380" i="1" s="1"/>
  <c r="G1379" i="1" a="1"/>
  <c r="G1379" i="1" s="1"/>
  <c r="G1378" i="1" a="1"/>
  <c r="G1378" i="1" s="1"/>
  <c r="G1377" i="1" a="1"/>
  <c r="G1377" i="1" s="1"/>
  <c r="G1376" i="1" a="1"/>
  <c r="G1376" i="1" s="1"/>
  <c r="G1375" i="1" a="1"/>
  <c r="G1375" i="1" s="1"/>
  <c r="G1374" i="1" a="1"/>
  <c r="G1374" i="1" s="1"/>
  <c r="G1373" i="1" a="1"/>
  <c r="G1373" i="1" s="1"/>
  <c r="G1372" i="1" a="1"/>
  <c r="G1372" i="1" s="1"/>
  <c r="G1371" i="1" a="1"/>
  <c r="G1371" i="1" s="1"/>
  <c r="G1370" i="1" a="1"/>
  <c r="G1370" i="1" s="1"/>
  <c r="G1369" i="1" a="1"/>
  <c r="G1369" i="1" s="1"/>
  <c r="G1368" i="1" a="1"/>
  <c r="G1368" i="1" s="1"/>
  <c r="G1367" i="1" a="1"/>
  <c r="G1367" i="1" s="1"/>
  <c r="G1366" i="1" a="1"/>
  <c r="G1366" i="1" s="1"/>
  <c r="G1365" i="1" a="1"/>
  <c r="G1365" i="1" s="1"/>
  <c r="G1364" i="1" a="1"/>
  <c r="G1364" i="1" s="1"/>
  <c r="G1363" i="1" a="1"/>
  <c r="G1363" i="1" s="1"/>
  <c r="G1362" i="1" a="1"/>
  <c r="G1362" i="1" s="1"/>
  <c r="G1361" i="1" a="1"/>
  <c r="G1361" i="1" s="1"/>
  <c r="G1360" i="1" a="1"/>
  <c r="G1360" i="1" s="1"/>
  <c r="G1359" i="1" a="1"/>
  <c r="G1359" i="1" s="1"/>
  <c r="G1358" i="1" a="1"/>
  <c r="G1358" i="1" s="1"/>
  <c r="G1357" i="1" a="1"/>
  <c r="G1357" i="1" s="1"/>
  <c r="G1356" i="1" a="1"/>
  <c r="G1356" i="1" s="1"/>
  <c r="G1355" i="1" a="1"/>
  <c r="G1355" i="1" s="1"/>
  <c r="G1354" i="1" a="1"/>
  <c r="G1354" i="1" s="1"/>
  <c r="G1353" i="1" a="1"/>
  <c r="G1353" i="1" s="1"/>
  <c r="G1352" i="1" a="1"/>
  <c r="G1352" i="1" s="1"/>
  <c r="G1351" i="1" a="1"/>
  <c r="G1351" i="1" s="1"/>
  <c r="G1350" i="1" a="1"/>
  <c r="G1350" i="1" s="1"/>
  <c r="G1349" i="1" a="1"/>
  <c r="G1349" i="1" s="1"/>
  <c r="G1348" i="1" a="1"/>
  <c r="G1348" i="1" s="1"/>
  <c r="G1347" i="1" a="1"/>
  <c r="G1347" i="1" s="1"/>
  <c r="G1346" i="1" a="1"/>
  <c r="G1346" i="1" s="1"/>
  <c r="G1345" i="1" a="1"/>
  <c r="G1345" i="1" s="1"/>
  <c r="G1344" i="1" a="1"/>
  <c r="G1344" i="1" s="1"/>
  <c r="G1343" i="1" a="1"/>
  <c r="G1343" i="1" s="1"/>
  <c r="G1342" i="1" a="1"/>
  <c r="G1342" i="1" s="1"/>
  <c r="G1341" i="1" a="1"/>
  <c r="G1341" i="1" s="1"/>
  <c r="G1340" i="1" a="1"/>
  <c r="G1340" i="1" s="1"/>
  <c r="G1339" i="1" a="1"/>
  <c r="G1339" i="1" s="1"/>
  <c r="G1338" i="1" a="1"/>
  <c r="G1338" i="1" s="1"/>
  <c r="G1337" i="1" a="1"/>
  <c r="G1337" i="1" s="1"/>
  <c r="G1336" i="1" a="1"/>
  <c r="G1336" i="1" s="1"/>
  <c r="G1335" i="1" a="1"/>
  <c r="G1335" i="1" s="1"/>
  <c r="G1334" i="1" a="1"/>
  <c r="G1334" i="1" s="1"/>
  <c r="G1333" i="1" a="1"/>
  <c r="G1333" i="1" s="1"/>
  <c r="G1332" i="1" a="1"/>
  <c r="G1332" i="1" s="1"/>
  <c r="G1331" i="1" a="1"/>
  <c r="G1331" i="1" s="1"/>
  <c r="G1330" i="1" a="1"/>
  <c r="G1330" i="1" s="1"/>
  <c r="G1329" i="1" a="1"/>
  <c r="G1329" i="1" s="1"/>
  <c r="G1328" i="1" a="1"/>
  <c r="G1328" i="1" s="1"/>
  <c r="G1327" i="1" a="1"/>
  <c r="G1327" i="1" s="1"/>
  <c r="G1326" i="1" a="1"/>
  <c r="G1326" i="1" s="1"/>
  <c r="G1325" i="1" a="1"/>
  <c r="G1325" i="1" s="1"/>
  <c r="G1324" i="1" a="1"/>
  <c r="G1324" i="1" s="1"/>
  <c r="G1323" i="1" a="1"/>
  <c r="G1323" i="1" s="1"/>
  <c r="G1322" i="1" a="1"/>
  <c r="G1322" i="1" s="1"/>
  <c r="G1321" i="1" a="1"/>
  <c r="G1321" i="1" s="1"/>
  <c r="G1320" i="1" a="1"/>
  <c r="G1320" i="1" s="1"/>
  <c r="G1319" i="1" a="1"/>
  <c r="G1319" i="1" s="1"/>
  <c r="G1318" i="1" a="1"/>
  <c r="G1318" i="1" s="1"/>
  <c r="G1317" i="1" a="1"/>
  <c r="G1317" i="1" s="1"/>
  <c r="G1316" i="1" a="1"/>
  <c r="G1316" i="1" s="1"/>
  <c r="G1315" i="1" a="1"/>
  <c r="G1315" i="1" s="1"/>
  <c r="G1314" i="1" a="1"/>
  <c r="G1314" i="1" s="1"/>
  <c r="G1313" i="1" a="1"/>
  <c r="G1313" i="1" s="1"/>
  <c r="G1312" i="1" a="1"/>
  <c r="G1312" i="1" s="1"/>
  <c r="G1311" i="1" a="1"/>
  <c r="G1311" i="1" s="1"/>
  <c r="G1310" i="1" a="1"/>
  <c r="G1310" i="1" s="1"/>
  <c r="G1309" i="1" a="1"/>
  <c r="G1309" i="1" s="1"/>
  <c r="G1308" i="1" a="1"/>
  <c r="G1308" i="1" s="1"/>
  <c r="G1307" i="1" a="1"/>
  <c r="G1307" i="1" s="1"/>
  <c r="G1306" i="1" a="1"/>
  <c r="G1306" i="1" s="1"/>
  <c r="G1305" i="1" a="1"/>
  <c r="G1305" i="1" s="1"/>
  <c r="G1304" i="1" a="1"/>
  <c r="G1304" i="1" s="1"/>
  <c r="G1303" i="1" a="1"/>
  <c r="G1303" i="1" s="1"/>
  <c r="G1302" i="1" a="1"/>
  <c r="G1302" i="1" s="1"/>
  <c r="G1301" i="1" a="1"/>
  <c r="G1301" i="1" s="1"/>
  <c r="G1300" i="1" a="1"/>
  <c r="G1300" i="1" s="1"/>
  <c r="G1299" i="1" a="1"/>
  <c r="G1299" i="1" s="1"/>
  <c r="G1298" i="1" a="1"/>
  <c r="G1298" i="1" s="1"/>
  <c r="G1297" i="1" a="1"/>
  <c r="G1297" i="1" s="1"/>
  <c r="G1296" i="1" a="1"/>
  <c r="G1296" i="1" s="1"/>
  <c r="G1295" i="1" a="1"/>
  <c r="G1295" i="1" s="1"/>
  <c r="G1294" i="1" a="1"/>
  <c r="G1294" i="1" s="1"/>
  <c r="G1293" i="1" a="1"/>
  <c r="G1293" i="1" s="1"/>
  <c r="G1292" i="1" a="1"/>
  <c r="G1292" i="1" s="1"/>
  <c r="G1291" i="1" a="1"/>
  <c r="G1291" i="1" s="1"/>
  <c r="G1290" i="1" a="1"/>
  <c r="G1290" i="1" s="1"/>
  <c r="G1289" i="1" a="1"/>
  <c r="G1289" i="1" s="1"/>
  <c r="G1288" i="1" a="1"/>
  <c r="G1288" i="1" s="1"/>
  <c r="G1287" i="1" a="1"/>
  <c r="G1287" i="1" s="1"/>
  <c r="G1286" i="1" a="1"/>
  <c r="G1286" i="1" s="1"/>
  <c r="G1285" i="1" a="1"/>
  <c r="G1285" i="1" s="1"/>
  <c r="G1284" i="1" a="1"/>
  <c r="G1284" i="1" s="1"/>
  <c r="G1283" i="1" a="1"/>
  <c r="G1283" i="1" s="1"/>
  <c r="G1282" i="1" a="1"/>
  <c r="G1282" i="1" s="1"/>
  <c r="G1281" i="1" a="1"/>
  <c r="G1281" i="1" s="1"/>
  <c r="G1280" i="1" a="1"/>
  <c r="G1280" i="1" s="1"/>
  <c r="G1279" i="1" a="1"/>
  <c r="G1279" i="1" s="1"/>
  <c r="G1278" i="1" a="1"/>
  <c r="G1278" i="1" s="1"/>
  <c r="G1277" i="1" a="1"/>
  <c r="G1277" i="1" s="1"/>
  <c r="G1276" i="1" a="1"/>
  <c r="G1276" i="1" s="1"/>
  <c r="G1275" i="1" a="1"/>
  <c r="G1275" i="1" s="1"/>
  <c r="G1274" i="1" a="1"/>
  <c r="G1274" i="1" s="1"/>
  <c r="G1273" i="1" a="1"/>
  <c r="G1273" i="1" s="1"/>
  <c r="G1272" i="1" a="1"/>
  <c r="G1272" i="1" s="1"/>
  <c r="G1271" i="1" a="1"/>
  <c r="G1271" i="1" s="1"/>
  <c r="G1270" i="1" a="1"/>
  <c r="G1270" i="1" s="1"/>
  <c r="G1269" i="1" a="1"/>
  <c r="G1269" i="1" s="1"/>
  <c r="G1268" i="1" a="1"/>
  <c r="G1268" i="1" s="1"/>
  <c r="G1267" i="1" a="1"/>
  <c r="G1267" i="1" s="1"/>
  <c r="G1266" i="1" a="1"/>
  <c r="G1266" i="1" s="1"/>
  <c r="G1265" i="1" a="1"/>
  <c r="G1265" i="1" s="1"/>
  <c r="G1264" i="1" a="1"/>
  <c r="G1264" i="1" s="1"/>
  <c r="G1263" i="1" a="1"/>
  <c r="G1263" i="1" s="1"/>
  <c r="G1262" i="1" a="1"/>
  <c r="G1262" i="1" s="1"/>
  <c r="G1261" i="1" a="1"/>
  <c r="G1261" i="1" s="1"/>
  <c r="G1260" i="1" a="1"/>
  <c r="G1260" i="1" s="1"/>
  <c r="G1259" i="1" a="1"/>
  <c r="G1259" i="1" s="1"/>
  <c r="G1258" i="1" a="1"/>
  <c r="G1258" i="1" s="1"/>
  <c r="G1257" i="1" a="1"/>
  <c r="G1257" i="1" s="1"/>
  <c r="G1256" i="1" a="1"/>
  <c r="G1256" i="1" s="1"/>
  <c r="G1255" i="1" a="1"/>
  <c r="G1255" i="1" s="1"/>
  <c r="G1254" i="1" a="1"/>
  <c r="G1254" i="1" s="1"/>
  <c r="G1253" i="1" a="1"/>
  <c r="G1253" i="1" s="1"/>
  <c r="G1252" i="1" a="1"/>
  <c r="G1252" i="1" s="1"/>
  <c r="G1251" i="1" a="1"/>
  <c r="G1251" i="1" s="1"/>
  <c r="G1250" i="1" a="1"/>
  <c r="G1250" i="1" s="1"/>
  <c r="G1249" i="1" a="1"/>
  <c r="G1249" i="1" s="1"/>
  <c r="G1248" i="1" a="1"/>
  <c r="G1248" i="1" s="1"/>
  <c r="G1247" i="1" a="1"/>
  <c r="G1247" i="1" s="1"/>
  <c r="G1246" i="1" a="1"/>
  <c r="G1246" i="1" s="1"/>
  <c r="G1245" i="1" a="1"/>
  <c r="G1245" i="1" s="1"/>
  <c r="G1244" i="1" a="1"/>
  <c r="G1244" i="1" s="1"/>
  <c r="G1243" i="1" a="1"/>
  <c r="G1243" i="1" s="1"/>
  <c r="G1242" i="1" a="1"/>
  <c r="G1242" i="1" s="1"/>
  <c r="G1241" i="1" a="1"/>
  <c r="G1241" i="1" s="1"/>
  <c r="G1240" i="1" a="1"/>
  <c r="G1240" i="1" s="1"/>
  <c r="G1239" i="1" a="1"/>
  <c r="G1239" i="1" s="1"/>
  <c r="G1238" i="1" a="1"/>
  <c r="G1238" i="1" s="1"/>
  <c r="G1237" i="1" a="1"/>
  <c r="G1237" i="1" s="1"/>
  <c r="G1236" i="1" a="1"/>
  <c r="G1236" i="1" s="1"/>
  <c r="G1235" i="1" a="1"/>
  <c r="G1235" i="1" s="1"/>
  <c r="G1234" i="1" a="1"/>
  <c r="G1234" i="1" s="1"/>
  <c r="G1233" i="1" a="1"/>
  <c r="G1233" i="1" s="1"/>
  <c r="G1232" i="1" a="1"/>
  <c r="G1232" i="1" s="1"/>
  <c r="G1231" i="1" a="1"/>
  <c r="G1231" i="1" s="1"/>
  <c r="G1230" i="1" a="1"/>
  <c r="G1230" i="1" s="1"/>
  <c r="G1229" i="1" a="1"/>
  <c r="G1229" i="1" s="1"/>
  <c r="G1228" i="1" a="1"/>
  <c r="G1228" i="1" s="1"/>
  <c r="G1227" i="1" a="1"/>
  <c r="G1227" i="1" s="1"/>
  <c r="G1226" i="1" a="1"/>
  <c r="G1226" i="1" s="1"/>
  <c r="G1225" i="1" a="1"/>
  <c r="G1225" i="1" s="1"/>
  <c r="G1224" i="1" a="1"/>
  <c r="G1224" i="1" s="1"/>
  <c r="G1223" i="1" a="1"/>
  <c r="G1223" i="1" s="1"/>
  <c r="G1222" i="1" a="1"/>
  <c r="G1222" i="1" s="1"/>
  <c r="G1221" i="1" a="1"/>
  <c r="G1221" i="1" s="1"/>
  <c r="G1220" i="1" a="1"/>
  <c r="G1220" i="1" s="1"/>
  <c r="G1219" i="1" a="1"/>
  <c r="G1219" i="1" s="1"/>
  <c r="G1218" i="1" a="1"/>
  <c r="G1218" i="1" s="1"/>
  <c r="G1217" i="1" a="1"/>
  <c r="G1217" i="1" s="1"/>
  <c r="G1216" i="1" a="1"/>
  <c r="G1216" i="1" s="1"/>
  <c r="G1215" i="1" a="1"/>
  <c r="G1215" i="1" s="1"/>
  <c r="G1214" i="1" a="1"/>
  <c r="G1214" i="1" s="1"/>
  <c r="G1213" i="1" a="1"/>
  <c r="G1213" i="1" s="1"/>
  <c r="G1212" i="1" a="1"/>
  <c r="G1212" i="1" s="1"/>
  <c r="G1211" i="1" a="1"/>
  <c r="G1211" i="1" s="1"/>
  <c r="G1210" i="1" a="1"/>
  <c r="G1210" i="1" s="1"/>
  <c r="G1209" i="1" a="1"/>
  <c r="G1209" i="1" s="1"/>
  <c r="G1208" i="1" a="1"/>
  <c r="G1208" i="1" s="1"/>
  <c r="G1207" i="1" a="1"/>
  <c r="G1207" i="1" s="1"/>
  <c r="G1206" i="1" a="1"/>
  <c r="G1206" i="1" s="1"/>
  <c r="G1205" i="1" a="1"/>
  <c r="G1205" i="1" s="1"/>
  <c r="G1204" i="1" a="1"/>
  <c r="G1204" i="1" s="1"/>
  <c r="G1203" i="1" a="1"/>
  <c r="G1203" i="1" s="1"/>
  <c r="G1202" i="1" a="1"/>
  <c r="G1202" i="1" s="1"/>
  <c r="G1201" i="1" a="1"/>
  <c r="G1201" i="1" s="1"/>
  <c r="G1200" i="1" a="1"/>
  <c r="G1200" i="1" s="1"/>
  <c r="G1199" i="1" a="1"/>
  <c r="G1199" i="1" s="1"/>
  <c r="G1198" i="1" a="1"/>
  <c r="G1198" i="1" s="1"/>
  <c r="G1197" i="1" a="1"/>
  <c r="G1197" i="1" s="1"/>
  <c r="G1196" i="1" a="1"/>
  <c r="G1196" i="1" s="1"/>
  <c r="G1195" i="1" a="1"/>
  <c r="G1195" i="1" s="1"/>
  <c r="G1194" i="1" a="1"/>
  <c r="G1194" i="1" s="1"/>
  <c r="G1193" i="1" a="1"/>
  <c r="G1193" i="1" s="1"/>
  <c r="G1192" i="1" a="1"/>
  <c r="G1192" i="1" s="1"/>
  <c r="G1191" i="1" a="1"/>
  <c r="G1191" i="1" s="1"/>
  <c r="G1190" i="1" a="1"/>
  <c r="G1190" i="1" s="1"/>
  <c r="G1189" i="1" a="1"/>
  <c r="G1189" i="1" s="1"/>
  <c r="G1188" i="1" a="1"/>
  <c r="G1188" i="1" s="1"/>
  <c r="G1187" i="1" a="1"/>
  <c r="G1187" i="1" s="1"/>
  <c r="G1186" i="1" a="1"/>
  <c r="G1186" i="1" s="1"/>
  <c r="G1185" i="1" a="1"/>
  <c r="G1185" i="1" s="1"/>
  <c r="G1184" i="1" a="1"/>
  <c r="G1184" i="1" s="1"/>
  <c r="G1183" i="1" a="1"/>
  <c r="G1183" i="1" s="1"/>
  <c r="G1182" i="1" a="1"/>
  <c r="G1182" i="1" s="1"/>
  <c r="G1181" i="1" a="1"/>
  <c r="G1181" i="1" s="1"/>
  <c r="G1180" i="1" a="1"/>
  <c r="G1180" i="1" s="1"/>
  <c r="G1179" i="1" a="1"/>
  <c r="G1179" i="1" s="1"/>
  <c r="G1178" i="1" a="1"/>
  <c r="G1178" i="1" s="1"/>
  <c r="G1177" i="1" a="1"/>
  <c r="G1177" i="1" s="1"/>
  <c r="G1176" i="1" a="1"/>
  <c r="G1176" i="1" s="1"/>
  <c r="G1175" i="1" a="1"/>
  <c r="G1175" i="1" s="1"/>
  <c r="G1174" i="1" a="1"/>
  <c r="G1174" i="1" s="1"/>
  <c r="G1173" i="1" a="1"/>
  <c r="G1173" i="1" s="1"/>
  <c r="G1172" i="1" a="1"/>
  <c r="G1172" i="1" s="1"/>
  <c r="G1171" i="1" a="1"/>
  <c r="G1171" i="1" s="1"/>
  <c r="G1170" i="1" a="1"/>
  <c r="G1170" i="1" s="1"/>
  <c r="G1169" i="1" a="1"/>
  <c r="G1169" i="1" s="1"/>
  <c r="G1168" i="1" a="1"/>
  <c r="G1168" i="1" s="1"/>
  <c r="G1167" i="1" a="1"/>
  <c r="G1167" i="1" s="1"/>
  <c r="G1166" i="1" a="1"/>
  <c r="G1166" i="1" s="1"/>
  <c r="G1165" i="1" a="1"/>
  <c r="G1165" i="1" s="1"/>
  <c r="G1164" i="1" a="1"/>
  <c r="G1164" i="1" s="1"/>
  <c r="G1163" i="1" a="1"/>
  <c r="G1163" i="1" s="1"/>
  <c r="G1162" i="1" a="1"/>
  <c r="G1162" i="1" s="1"/>
  <c r="G1161" i="1" a="1"/>
  <c r="G1161" i="1" s="1"/>
  <c r="G1160" i="1" a="1"/>
  <c r="G1160" i="1" s="1"/>
  <c r="G1159" i="1" a="1"/>
  <c r="G1159" i="1" s="1"/>
  <c r="G1158" i="1" a="1"/>
  <c r="G1158" i="1" s="1"/>
  <c r="G1157" i="1" a="1"/>
  <c r="G1157" i="1" s="1"/>
  <c r="G1156" i="1" a="1"/>
  <c r="G1156" i="1" s="1"/>
  <c r="G1155" i="1" a="1"/>
  <c r="G1155" i="1" s="1"/>
  <c r="G1154" i="1" a="1"/>
  <c r="G1154" i="1" s="1"/>
  <c r="G1153" i="1" a="1"/>
  <c r="G1153" i="1" s="1"/>
  <c r="G1152" i="1" a="1"/>
  <c r="G1152" i="1" s="1"/>
  <c r="G1151" i="1" a="1"/>
  <c r="G1151" i="1" s="1"/>
  <c r="G1150" i="1" a="1"/>
  <c r="G1150" i="1" s="1"/>
  <c r="G1149" i="1" a="1"/>
  <c r="G1149" i="1" s="1"/>
  <c r="G1148" i="1" a="1"/>
  <c r="G1148" i="1" s="1"/>
  <c r="G1147" i="1" a="1"/>
  <c r="G1147" i="1" s="1"/>
  <c r="G1146" i="1" a="1"/>
  <c r="G1146" i="1" s="1"/>
  <c r="G1145" i="1" a="1"/>
  <c r="G1145" i="1" s="1"/>
  <c r="G1144" i="1" a="1"/>
  <c r="G1144" i="1" s="1"/>
  <c r="G1143" i="1" a="1"/>
  <c r="G1143" i="1" s="1"/>
  <c r="G1142" i="1" a="1"/>
  <c r="G1142" i="1" s="1"/>
  <c r="G1141" i="1" a="1"/>
  <c r="G1141" i="1" s="1"/>
  <c r="G1140" i="1" a="1"/>
  <c r="G1140" i="1" s="1"/>
  <c r="G1139" i="1" a="1"/>
  <c r="G1139" i="1" s="1"/>
  <c r="G1138" i="1" a="1"/>
  <c r="G1138" i="1" s="1"/>
  <c r="G1137" i="1" a="1"/>
  <c r="G1137" i="1" s="1"/>
  <c r="G1136" i="1" a="1"/>
  <c r="G1136" i="1" s="1"/>
  <c r="G1135" i="1" a="1"/>
  <c r="G1135" i="1" s="1"/>
  <c r="G1134" i="1" a="1"/>
  <c r="G1134" i="1" s="1"/>
  <c r="G1133" i="1" a="1"/>
  <c r="G1133" i="1" s="1"/>
  <c r="G1132" i="1" a="1"/>
  <c r="G1132" i="1" s="1"/>
  <c r="G1131" i="1" a="1"/>
  <c r="G1131" i="1" s="1"/>
  <c r="G1130" i="1" a="1"/>
  <c r="G1130" i="1" s="1"/>
  <c r="G1129" i="1" a="1"/>
  <c r="G1129" i="1" s="1"/>
  <c r="G1128" i="1" a="1"/>
  <c r="G1128" i="1" s="1"/>
  <c r="G1127" i="1" a="1"/>
  <c r="G1127" i="1" s="1"/>
  <c r="G1126" i="1" a="1"/>
  <c r="G1126" i="1" s="1"/>
  <c r="G1125" i="1" a="1"/>
  <c r="G1125" i="1" s="1"/>
  <c r="G1124" i="1" a="1"/>
  <c r="G1124" i="1" s="1"/>
  <c r="G1123" i="1" a="1"/>
  <c r="G1123" i="1" s="1"/>
  <c r="G1122" i="1" a="1"/>
  <c r="G1122" i="1" s="1"/>
  <c r="G1121" i="1" a="1"/>
  <c r="G1121" i="1" s="1"/>
  <c r="G1120" i="1" a="1"/>
  <c r="G1120" i="1" s="1"/>
  <c r="G1119" i="1" a="1"/>
  <c r="G1119" i="1" s="1"/>
  <c r="G1118" i="1" a="1"/>
  <c r="G1118" i="1" s="1"/>
  <c r="G1117" i="1" a="1"/>
  <c r="G1117" i="1" s="1"/>
  <c r="G1116" i="1" a="1"/>
  <c r="G1116" i="1" s="1"/>
  <c r="G1115" i="1" a="1"/>
  <c r="G1115" i="1" s="1"/>
  <c r="G1114" i="1" a="1"/>
  <c r="G1114" i="1" s="1"/>
  <c r="G1113" i="1" a="1"/>
  <c r="G1113" i="1" s="1"/>
  <c r="G1112" i="1" a="1"/>
  <c r="G1112" i="1" s="1"/>
  <c r="G1111" i="1" a="1"/>
  <c r="G1111" i="1" s="1"/>
  <c r="G1110" i="1" a="1"/>
  <c r="G1110" i="1" s="1"/>
  <c r="G1109" i="1" a="1"/>
  <c r="G1109" i="1" s="1"/>
  <c r="G1108" i="1" a="1"/>
  <c r="G1108" i="1" s="1"/>
  <c r="G1107" i="1" a="1"/>
  <c r="G1107" i="1" s="1"/>
  <c r="G1106" i="1" a="1"/>
  <c r="G1106" i="1" s="1"/>
  <c r="G1105" i="1" a="1"/>
  <c r="G1105" i="1" s="1"/>
  <c r="G1104" i="1" a="1"/>
  <c r="G1104" i="1" s="1"/>
  <c r="G1103" i="1" a="1"/>
  <c r="G1103" i="1" s="1"/>
  <c r="G1102" i="1" a="1"/>
  <c r="G1102" i="1" s="1"/>
  <c r="G1101" i="1" a="1"/>
  <c r="G1101" i="1" s="1"/>
  <c r="G1100" i="1" a="1"/>
  <c r="G1100" i="1" s="1"/>
  <c r="G1099" i="1" a="1"/>
  <c r="G1099" i="1" s="1"/>
  <c r="G1098" i="1" a="1"/>
  <c r="G1098" i="1" s="1"/>
  <c r="G1097" i="1" a="1"/>
  <c r="G1097" i="1" s="1"/>
  <c r="G1096" i="1" a="1"/>
  <c r="G1096" i="1" s="1"/>
  <c r="G1095" i="1" a="1"/>
  <c r="G1095" i="1" s="1"/>
  <c r="G1094" i="1" a="1"/>
  <c r="G1094" i="1" s="1"/>
  <c r="G1093" i="1" a="1"/>
  <c r="G1093" i="1" s="1"/>
  <c r="G1092" i="1" a="1"/>
  <c r="G1092" i="1" s="1"/>
  <c r="G1091" i="1" a="1"/>
  <c r="G1091" i="1" s="1"/>
  <c r="G1090" i="1" a="1"/>
  <c r="G1090" i="1" s="1"/>
  <c r="G1089" i="1" a="1"/>
  <c r="G1089" i="1" s="1"/>
  <c r="G1088" i="1" a="1"/>
  <c r="G1088" i="1" s="1"/>
  <c r="G1087" i="1" a="1"/>
  <c r="G1087" i="1" s="1"/>
  <c r="G1086" i="1" a="1"/>
  <c r="G1086" i="1" s="1"/>
  <c r="G1085" i="1" a="1"/>
  <c r="G1085" i="1" s="1"/>
  <c r="G1084" i="1" a="1"/>
  <c r="G1084" i="1" s="1"/>
  <c r="G1083" i="1" a="1"/>
  <c r="G1083" i="1" s="1"/>
  <c r="G1082" i="1" a="1"/>
  <c r="G1082" i="1" s="1"/>
  <c r="G1081" i="1" a="1"/>
  <c r="G1081" i="1" s="1"/>
  <c r="G1080" i="1" a="1"/>
  <c r="G1080" i="1" s="1"/>
  <c r="G1079" i="1" a="1"/>
  <c r="G1079" i="1" s="1"/>
  <c r="G1078" i="1" a="1"/>
  <c r="G1078" i="1" s="1"/>
  <c r="G1077" i="1" a="1"/>
  <c r="G1077" i="1" s="1"/>
  <c r="G1076" i="1" a="1"/>
  <c r="G1076" i="1" s="1"/>
  <c r="G1075" i="1" a="1"/>
  <c r="G1075" i="1" s="1"/>
  <c r="G1074" i="1" a="1"/>
  <c r="G1074" i="1" s="1"/>
  <c r="G1073" i="1" a="1"/>
  <c r="G1073" i="1" s="1"/>
  <c r="G1072" i="1" a="1"/>
  <c r="G1072" i="1" s="1"/>
  <c r="G1071" i="1" a="1"/>
  <c r="G1071" i="1" s="1"/>
  <c r="G1070" i="1" a="1"/>
  <c r="G1070" i="1" s="1"/>
  <c r="G1069" i="1" a="1"/>
  <c r="G1069" i="1" s="1"/>
  <c r="G1068" i="1" a="1"/>
  <c r="G1068" i="1" s="1"/>
  <c r="G1067" i="1" a="1"/>
  <c r="G1067" i="1" s="1"/>
  <c r="G1066" i="1" a="1"/>
  <c r="G1066" i="1" s="1"/>
  <c r="G1065" i="1" a="1"/>
  <c r="G1065" i="1" s="1"/>
  <c r="G1064" i="1" a="1"/>
  <c r="G1064" i="1" s="1"/>
  <c r="G1063" i="1" a="1"/>
  <c r="G1063" i="1" s="1"/>
  <c r="G1062" i="1" a="1"/>
  <c r="G1062" i="1" s="1"/>
  <c r="G1061" i="1" a="1"/>
  <c r="G1061" i="1" s="1"/>
  <c r="G1060" i="1" a="1"/>
  <c r="G1060" i="1" s="1"/>
  <c r="G1059" i="1" a="1"/>
  <c r="G1059" i="1" s="1"/>
  <c r="G1058" i="1" a="1"/>
  <c r="G1058" i="1" s="1"/>
  <c r="G1057" i="1" a="1"/>
  <c r="G1057" i="1" s="1"/>
  <c r="G1056" i="1" a="1"/>
  <c r="G1056" i="1" s="1"/>
  <c r="G1055" i="1" a="1"/>
  <c r="G1055" i="1" s="1"/>
  <c r="G1054" i="1" a="1"/>
  <c r="G1054" i="1" s="1"/>
  <c r="G1053" i="1" a="1"/>
  <c r="G1053" i="1" s="1"/>
  <c r="G1052" i="1" a="1"/>
  <c r="G1052" i="1" s="1"/>
  <c r="G1051" i="1" a="1"/>
  <c r="G1051" i="1" s="1"/>
  <c r="G1050" i="1" a="1"/>
  <c r="G1050" i="1" s="1"/>
  <c r="G1049" i="1" a="1"/>
  <c r="G1049" i="1" s="1"/>
  <c r="G1048" i="1" a="1"/>
  <c r="G1048" i="1" s="1"/>
  <c r="G1047" i="1" a="1"/>
  <c r="G1047" i="1" s="1"/>
  <c r="G1046" i="1" a="1"/>
  <c r="G1046" i="1" s="1"/>
  <c r="G1045" i="1" a="1"/>
  <c r="G1045" i="1" s="1"/>
  <c r="G1044" i="1" a="1"/>
  <c r="G1044" i="1" s="1"/>
  <c r="G1043" i="1" a="1"/>
  <c r="G1043" i="1" s="1"/>
  <c r="G1042" i="1" a="1"/>
  <c r="G1042" i="1" s="1"/>
  <c r="G1041" i="1" a="1"/>
  <c r="G1041" i="1" s="1"/>
  <c r="G1040" i="1" a="1"/>
  <c r="G1040" i="1" s="1"/>
  <c r="G1039" i="1" a="1"/>
  <c r="G1039" i="1" s="1"/>
  <c r="G1038" i="1" a="1"/>
  <c r="G1038" i="1" s="1"/>
  <c r="G1037" i="1" a="1"/>
  <c r="G1037" i="1" s="1"/>
  <c r="G1036" i="1" a="1"/>
  <c r="G1036" i="1" s="1"/>
  <c r="G1035" i="1" a="1"/>
  <c r="G1035" i="1" s="1"/>
  <c r="G1034" i="1" a="1"/>
  <c r="G1034" i="1" s="1"/>
  <c r="G1033" i="1" a="1"/>
  <c r="G1033" i="1" s="1"/>
  <c r="G1032" i="1" a="1"/>
  <c r="G1032" i="1" s="1"/>
  <c r="G1031" i="1" a="1"/>
  <c r="G1031" i="1" s="1"/>
  <c r="G1030" i="1" a="1"/>
  <c r="G1030" i="1" s="1"/>
  <c r="G1029" i="1" a="1"/>
  <c r="G1029" i="1" s="1"/>
  <c r="G1028" i="1" a="1"/>
  <c r="G1028" i="1" s="1"/>
  <c r="G1027" i="1" a="1"/>
  <c r="G1027" i="1" s="1"/>
  <c r="G1026" i="1" a="1"/>
  <c r="G1026" i="1" s="1"/>
  <c r="G1025" i="1" a="1"/>
  <c r="G1025" i="1" s="1"/>
  <c r="G1024" i="1" a="1"/>
  <c r="G1024" i="1" s="1"/>
  <c r="G1023" i="1" a="1"/>
  <c r="G1023" i="1" s="1"/>
  <c r="G1022" i="1" a="1"/>
  <c r="G1022" i="1" s="1"/>
  <c r="G1021" i="1" a="1"/>
  <c r="G1021" i="1" s="1"/>
  <c r="G1020" i="1" a="1"/>
  <c r="G1020" i="1" s="1"/>
  <c r="G1019" i="1" a="1"/>
  <c r="G1019" i="1" s="1"/>
  <c r="G1018" i="1" a="1"/>
  <c r="G1018" i="1" s="1"/>
  <c r="G1017" i="1" a="1"/>
  <c r="G1017" i="1" s="1"/>
  <c r="G1016" i="1" a="1"/>
  <c r="G1016" i="1" s="1"/>
  <c r="G1015" i="1" a="1"/>
  <c r="G1015" i="1" s="1"/>
  <c r="G1014" i="1" a="1"/>
  <c r="G1014" i="1" s="1"/>
  <c r="G1013" i="1" a="1"/>
  <c r="G1013" i="1" s="1"/>
  <c r="G1012" i="1" a="1"/>
  <c r="G1012" i="1" s="1"/>
  <c r="G1011" i="1" a="1"/>
  <c r="G1011" i="1" s="1"/>
  <c r="G1010" i="1" a="1"/>
  <c r="G1010" i="1" s="1"/>
  <c r="G1009" i="1" a="1"/>
  <c r="G1009" i="1" s="1"/>
  <c r="G1008" i="1" a="1"/>
  <c r="G1008" i="1" s="1"/>
  <c r="G1007" i="1" a="1"/>
  <c r="G1007" i="1" s="1"/>
  <c r="G1006" i="1" a="1"/>
  <c r="G1006" i="1" s="1"/>
  <c r="G1005" i="1" a="1"/>
  <c r="G1005" i="1" s="1"/>
  <c r="G1004" i="1" a="1"/>
  <c r="G1004" i="1" s="1"/>
  <c r="G1003" i="1" a="1"/>
  <c r="G1003" i="1" s="1"/>
  <c r="G1002" i="1" a="1"/>
  <c r="G1002" i="1" s="1"/>
  <c r="G1001" i="1" a="1"/>
  <c r="G1001" i="1" s="1"/>
  <c r="G1000" i="1" a="1"/>
  <c r="G1000" i="1" s="1"/>
  <c r="G999" i="1" a="1"/>
  <c r="G999" i="1" s="1"/>
  <c r="G998" i="1" a="1"/>
  <c r="G998" i="1" s="1"/>
  <c r="G997" i="1" a="1"/>
  <c r="G997" i="1" s="1"/>
  <c r="G996" i="1" a="1"/>
  <c r="G996" i="1" s="1"/>
  <c r="G995" i="1" a="1"/>
  <c r="G995" i="1" s="1"/>
  <c r="G994" i="1" a="1"/>
  <c r="G994" i="1" s="1"/>
  <c r="G993" i="1" a="1"/>
  <c r="G993" i="1" s="1"/>
  <c r="G992" i="1" a="1"/>
  <c r="G992" i="1" s="1"/>
  <c r="G991" i="1" a="1"/>
  <c r="G991" i="1" s="1"/>
  <c r="G990" i="1" a="1"/>
  <c r="G990" i="1" s="1"/>
  <c r="G989" i="1" a="1"/>
  <c r="G989" i="1" s="1"/>
  <c r="G988" i="1" a="1"/>
  <c r="G988" i="1" s="1"/>
  <c r="G987" i="1" a="1"/>
  <c r="G987" i="1" s="1"/>
  <c r="G986" i="1" a="1"/>
  <c r="G986" i="1" s="1"/>
  <c r="G985" i="1" a="1"/>
  <c r="G985" i="1" s="1"/>
  <c r="G984" i="1" a="1"/>
  <c r="G984" i="1" s="1"/>
  <c r="G983" i="1" a="1"/>
  <c r="G983" i="1" s="1"/>
  <c r="G982" i="1" a="1"/>
  <c r="G982" i="1" s="1"/>
  <c r="G981" i="1" a="1"/>
  <c r="G981" i="1" s="1"/>
  <c r="G980" i="1" a="1"/>
  <c r="G980" i="1" s="1"/>
  <c r="G979" i="1" a="1"/>
  <c r="G979" i="1" s="1"/>
  <c r="G978" i="1" a="1"/>
  <c r="G978" i="1" s="1"/>
  <c r="G977" i="1" a="1"/>
  <c r="G977" i="1" s="1"/>
  <c r="G976" i="1" a="1"/>
  <c r="G976" i="1" s="1"/>
  <c r="G975" i="1" a="1"/>
  <c r="G975" i="1" s="1"/>
  <c r="G974" i="1" a="1"/>
  <c r="G974" i="1" s="1"/>
  <c r="G973" i="1" a="1"/>
  <c r="G973" i="1" s="1"/>
  <c r="G972" i="1" a="1"/>
  <c r="G972" i="1" s="1"/>
  <c r="G971" i="1" a="1"/>
  <c r="G971" i="1" s="1"/>
  <c r="G970" i="1" a="1"/>
  <c r="G970" i="1" s="1"/>
  <c r="G969" i="1" a="1"/>
  <c r="G969" i="1" s="1"/>
  <c r="G968" i="1" a="1"/>
  <c r="G968" i="1" s="1"/>
  <c r="G967" i="1" a="1"/>
  <c r="G967" i="1" s="1"/>
  <c r="G966" i="1" a="1"/>
  <c r="G966" i="1" s="1"/>
  <c r="G965" i="1" a="1"/>
  <c r="G965" i="1" s="1"/>
  <c r="G964" i="1" a="1"/>
  <c r="G964" i="1" s="1"/>
  <c r="G963" i="1" a="1"/>
  <c r="G963" i="1" s="1"/>
  <c r="G962" i="1" a="1"/>
  <c r="G962" i="1" s="1"/>
  <c r="G961" i="1" a="1"/>
  <c r="G961" i="1" s="1"/>
  <c r="G960" i="1" a="1"/>
  <c r="G960" i="1" s="1"/>
  <c r="G959" i="1" a="1"/>
  <c r="G959" i="1" s="1"/>
  <c r="G958" i="1" a="1"/>
  <c r="G958" i="1" s="1"/>
  <c r="G957" i="1" a="1"/>
  <c r="G957" i="1" s="1"/>
  <c r="G956" i="1" a="1"/>
  <c r="G956" i="1" s="1"/>
  <c r="G955" i="1" a="1"/>
  <c r="G955" i="1" s="1"/>
  <c r="G954" i="1" a="1"/>
  <c r="G954" i="1" s="1"/>
  <c r="G953" i="1" a="1"/>
  <c r="G953" i="1" s="1"/>
  <c r="G952" i="1" a="1"/>
  <c r="G952" i="1" s="1"/>
  <c r="G951" i="1" a="1"/>
  <c r="G951" i="1" s="1"/>
  <c r="G950" i="1" a="1"/>
  <c r="G950" i="1" s="1"/>
  <c r="G949" i="1" a="1"/>
  <c r="G949" i="1" s="1"/>
  <c r="G948" i="1" a="1"/>
  <c r="G948" i="1" s="1"/>
  <c r="G947" i="1" a="1"/>
  <c r="G947" i="1" s="1"/>
  <c r="G946" i="1" a="1"/>
  <c r="G946" i="1" s="1"/>
  <c r="G945" i="1" a="1"/>
  <c r="G945" i="1" s="1"/>
  <c r="G944" i="1" a="1"/>
  <c r="G944" i="1" s="1"/>
  <c r="G943" i="1" a="1"/>
  <c r="G943" i="1" s="1"/>
  <c r="G942" i="1" a="1"/>
  <c r="G942" i="1" s="1"/>
  <c r="G941" i="1" a="1"/>
  <c r="G941" i="1" s="1"/>
  <c r="G940" i="1" a="1"/>
  <c r="G940" i="1" s="1"/>
  <c r="G939" i="1" a="1"/>
  <c r="G939" i="1" s="1"/>
  <c r="G938" i="1" a="1"/>
  <c r="G938" i="1" s="1"/>
  <c r="G937" i="1" a="1"/>
  <c r="G937" i="1" s="1"/>
  <c r="G936" i="1" a="1"/>
  <c r="G936" i="1" s="1"/>
  <c r="G935" i="1" a="1"/>
  <c r="G935" i="1" s="1"/>
  <c r="G934" i="1" a="1"/>
  <c r="G934" i="1" s="1"/>
  <c r="G933" i="1" a="1"/>
  <c r="G933" i="1" s="1"/>
  <c r="G932" i="1" a="1"/>
  <c r="G932" i="1" s="1"/>
  <c r="G931" i="1" a="1"/>
  <c r="G931" i="1" s="1"/>
  <c r="G930" i="1" a="1"/>
  <c r="G930" i="1" s="1"/>
  <c r="G929" i="1" a="1"/>
  <c r="G929" i="1" s="1"/>
  <c r="G928" i="1" a="1"/>
  <c r="G928" i="1" s="1"/>
  <c r="G927" i="1" a="1"/>
  <c r="G927" i="1" s="1"/>
  <c r="G926" i="1" a="1"/>
  <c r="G926" i="1" s="1"/>
  <c r="G925" i="1" a="1"/>
  <c r="G925" i="1" s="1"/>
  <c r="G924" i="1" a="1"/>
  <c r="G924" i="1" s="1"/>
  <c r="G923" i="1" a="1"/>
  <c r="G923" i="1" s="1"/>
  <c r="G922" i="1" a="1"/>
  <c r="G922" i="1" s="1"/>
  <c r="G921" i="1" a="1"/>
  <c r="G921" i="1" s="1"/>
  <c r="G920" i="1" a="1"/>
  <c r="G920" i="1" s="1"/>
  <c r="G919" i="1" a="1"/>
  <c r="G919" i="1" s="1"/>
  <c r="G918" i="1" a="1"/>
  <c r="G918" i="1" s="1"/>
  <c r="G917" i="1" a="1"/>
  <c r="G917" i="1" s="1"/>
  <c r="G916" i="1" a="1"/>
  <c r="G916" i="1" s="1"/>
  <c r="G915" i="1" a="1"/>
  <c r="G915" i="1" s="1"/>
  <c r="G914" i="1" a="1"/>
  <c r="G914" i="1" s="1"/>
  <c r="G913" i="1" a="1"/>
  <c r="G913" i="1" s="1"/>
  <c r="G912" i="1" a="1"/>
  <c r="G912" i="1" s="1"/>
  <c r="G911" i="1" a="1"/>
  <c r="G911" i="1" s="1"/>
  <c r="G910" i="1" a="1"/>
  <c r="G910" i="1" s="1"/>
  <c r="G909" i="1" a="1"/>
  <c r="G909" i="1" s="1"/>
  <c r="G908" i="1" a="1"/>
  <c r="G908" i="1" s="1"/>
  <c r="G907" i="1" a="1"/>
  <c r="G907" i="1" s="1"/>
  <c r="G906" i="1" a="1"/>
  <c r="G906" i="1" s="1"/>
  <c r="G905" i="1" a="1"/>
  <c r="G905" i="1" s="1"/>
  <c r="G904" i="1" a="1"/>
  <c r="G904" i="1" s="1"/>
  <c r="G903" i="1" a="1"/>
  <c r="G903" i="1" s="1"/>
  <c r="G902" i="1" a="1"/>
  <c r="G902" i="1" s="1"/>
  <c r="G901" i="1" a="1"/>
  <c r="G901" i="1" s="1"/>
  <c r="G900" i="1" a="1"/>
  <c r="G900" i="1" s="1"/>
  <c r="G899" i="1" a="1"/>
  <c r="G899" i="1" s="1"/>
  <c r="G898" i="1" a="1"/>
  <c r="G898" i="1" s="1"/>
  <c r="G897" i="1" a="1"/>
  <c r="G897" i="1" s="1"/>
  <c r="G896" i="1" a="1"/>
  <c r="G896" i="1" s="1"/>
  <c r="G895" i="1" a="1"/>
  <c r="G895" i="1" s="1"/>
  <c r="G894" i="1" a="1"/>
  <c r="G894" i="1" s="1"/>
  <c r="G893" i="1" a="1"/>
  <c r="G893" i="1" s="1"/>
  <c r="G892" i="1" a="1"/>
  <c r="G892" i="1" s="1"/>
  <c r="G891" i="1" a="1"/>
  <c r="G891" i="1" s="1"/>
  <c r="G890" i="1" a="1"/>
  <c r="G890" i="1" s="1"/>
  <c r="G889" i="1" a="1"/>
  <c r="G889" i="1" s="1"/>
  <c r="G888" i="1" a="1"/>
  <c r="G888" i="1" s="1"/>
  <c r="G887" i="1" a="1"/>
  <c r="G887" i="1" s="1"/>
  <c r="G886" i="1" a="1"/>
  <c r="G886" i="1" s="1"/>
  <c r="G885" i="1" a="1"/>
  <c r="G885" i="1" s="1"/>
  <c r="G884" i="1" a="1"/>
  <c r="G884" i="1" s="1"/>
  <c r="G883" i="1" a="1"/>
  <c r="G883" i="1" s="1"/>
  <c r="G882" i="1" a="1"/>
  <c r="G882" i="1" s="1"/>
  <c r="G881" i="1" a="1"/>
  <c r="G881" i="1" s="1"/>
  <c r="G880" i="1" a="1"/>
  <c r="G880" i="1" s="1"/>
  <c r="G879" i="1" a="1"/>
  <c r="G879" i="1" s="1"/>
  <c r="G878" i="1" a="1"/>
  <c r="G878" i="1" s="1"/>
  <c r="G877" i="1" a="1"/>
  <c r="G877" i="1" s="1"/>
  <c r="G876" i="1" a="1"/>
  <c r="G876" i="1" s="1"/>
  <c r="G875" i="1" a="1"/>
  <c r="G875" i="1" s="1"/>
  <c r="G874" i="1" a="1"/>
  <c r="G874" i="1" s="1"/>
  <c r="G873" i="1" a="1"/>
  <c r="G873" i="1" s="1"/>
  <c r="G872" i="1" a="1"/>
  <c r="G872" i="1" s="1"/>
  <c r="G871" i="1" a="1"/>
  <c r="G871" i="1" s="1"/>
  <c r="G870" i="1" a="1"/>
  <c r="G870" i="1" s="1"/>
  <c r="G869" i="1" a="1"/>
  <c r="G869" i="1" s="1"/>
  <c r="G868" i="1" a="1"/>
  <c r="G868" i="1" s="1"/>
  <c r="G867" i="1" a="1"/>
  <c r="G867" i="1" s="1"/>
  <c r="G866" i="1" a="1"/>
  <c r="G866" i="1" s="1"/>
  <c r="G865" i="1" a="1"/>
  <c r="G865" i="1" s="1"/>
  <c r="G864" i="1" a="1"/>
  <c r="G864" i="1" s="1"/>
  <c r="G863" i="1" a="1"/>
  <c r="G863" i="1" s="1"/>
  <c r="G862" i="1" a="1"/>
  <c r="G862" i="1" s="1"/>
  <c r="G861" i="1" a="1"/>
  <c r="G861" i="1" s="1"/>
  <c r="G860" i="1" a="1"/>
  <c r="G860" i="1" s="1"/>
  <c r="G859" i="1" a="1"/>
  <c r="G859" i="1" s="1"/>
  <c r="G858" i="1" a="1"/>
  <c r="G858" i="1" s="1"/>
  <c r="G857" i="1" a="1"/>
  <c r="G857" i="1" s="1"/>
  <c r="G856" i="1" a="1"/>
  <c r="G856" i="1" s="1"/>
  <c r="G855" i="1" a="1"/>
  <c r="G855" i="1" s="1"/>
  <c r="G854" i="1" a="1"/>
  <c r="G854" i="1" s="1"/>
  <c r="G853" i="1" a="1"/>
  <c r="G853" i="1" s="1"/>
  <c r="G852" i="1" a="1"/>
  <c r="G852" i="1" s="1"/>
  <c r="G851" i="1" a="1"/>
  <c r="G851" i="1" s="1"/>
  <c r="G850" i="1" a="1"/>
  <c r="G850" i="1" s="1"/>
  <c r="G849" i="1" a="1"/>
  <c r="G849" i="1" s="1"/>
  <c r="G848" i="1" a="1"/>
  <c r="G848" i="1" s="1"/>
  <c r="G847" i="1" a="1"/>
  <c r="G847" i="1" s="1"/>
  <c r="G846" i="1" a="1"/>
  <c r="G846" i="1" s="1"/>
  <c r="G845" i="1" a="1"/>
  <c r="G845" i="1" s="1"/>
  <c r="G844" i="1" a="1"/>
  <c r="G844" i="1" s="1"/>
  <c r="G843" i="1" a="1"/>
  <c r="G843" i="1" s="1"/>
  <c r="G842" i="1" a="1"/>
  <c r="G842" i="1" s="1"/>
  <c r="G841" i="1" a="1"/>
  <c r="G841" i="1" s="1"/>
  <c r="G840" i="1" a="1"/>
  <c r="G840" i="1" s="1"/>
  <c r="G839" i="1" a="1"/>
  <c r="G839" i="1" s="1"/>
  <c r="G838" i="1" a="1"/>
  <c r="G838" i="1" s="1"/>
  <c r="G837" i="1" a="1"/>
  <c r="G837" i="1" s="1"/>
  <c r="G836" i="1" a="1"/>
  <c r="G836" i="1" s="1"/>
  <c r="G835" i="1" a="1"/>
  <c r="G835" i="1" s="1"/>
  <c r="G834" i="1" a="1"/>
  <c r="G834" i="1" s="1"/>
  <c r="G833" i="1" a="1"/>
  <c r="G833" i="1" s="1"/>
  <c r="G832" i="1" a="1"/>
  <c r="G832" i="1" s="1"/>
  <c r="G831" i="1" a="1"/>
  <c r="G831" i="1" s="1"/>
  <c r="G830" i="1" a="1"/>
  <c r="G830" i="1" s="1"/>
  <c r="G829" i="1" a="1"/>
  <c r="G829" i="1" s="1"/>
  <c r="G828" i="1" a="1"/>
  <c r="G828" i="1" s="1"/>
  <c r="G827" i="1" a="1"/>
  <c r="G827" i="1" s="1"/>
  <c r="G826" i="1" a="1"/>
  <c r="G826" i="1" s="1"/>
  <c r="G825" i="1" a="1"/>
  <c r="G825" i="1" s="1"/>
  <c r="G824" i="1" a="1"/>
  <c r="G824" i="1" s="1"/>
  <c r="G823" i="1" a="1"/>
  <c r="G823" i="1" s="1"/>
  <c r="G822" i="1" a="1"/>
  <c r="G822" i="1" s="1"/>
  <c r="G821" i="1" a="1"/>
  <c r="G821" i="1" s="1"/>
  <c r="G820" i="1" a="1"/>
  <c r="G820" i="1" s="1"/>
  <c r="G819" i="1" a="1"/>
  <c r="G819" i="1" s="1"/>
  <c r="G818" i="1" a="1"/>
  <c r="G818" i="1" s="1"/>
  <c r="G817" i="1" a="1"/>
  <c r="G817" i="1" s="1"/>
  <c r="G816" i="1" a="1"/>
  <c r="G816" i="1" s="1"/>
  <c r="G815" i="1" a="1"/>
  <c r="G815" i="1" s="1"/>
  <c r="G814" i="1" a="1"/>
  <c r="G814" i="1" s="1"/>
  <c r="G813" i="1" a="1"/>
  <c r="G813" i="1" s="1"/>
  <c r="G812" i="1" a="1"/>
  <c r="G812" i="1" s="1"/>
  <c r="G811" i="1" a="1"/>
  <c r="G811" i="1" s="1"/>
  <c r="G810" i="1" a="1"/>
  <c r="G810" i="1" s="1"/>
  <c r="G809" i="1" a="1"/>
  <c r="G809" i="1" s="1"/>
  <c r="G808" i="1" a="1"/>
  <c r="G808" i="1" s="1"/>
  <c r="G807" i="1" a="1"/>
  <c r="G807" i="1" s="1"/>
  <c r="G806" i="1" a="1"/>
  <c r="G806" i="1" s="1"/>
  <c r="G805" i="1" a="1"/>
  <c r="G805" i="1" s="1"/>
  <c r="G804" i="1" a="1"/>
  <c r="G804" i="1" s="1"/>
  <c r="G803" i="1" a="1"/>
  <c r="G803" i="1" s="1"/>
  <c r="G802" i="1" a="1"/>
  <c r="G802" i="1" s="1"/>
  <c r="G801" i="1" a="1"/>
  <c r="G801" i="1" s="1"/>
  <c r="G800" i="1" a="1"/>
  <c r="G800" i="1" s="1"/>
  <c r="G799" i="1" a="1"/>
  <c r="G799" i="1" s="1"/>
  <c r="G798" i="1" a="1"/>
  <c r="G798" i="1" s="1"/>
  <c r="G797" i="1" a="1"/>
  <c r="G797" i="1" s="1"/>
  <c r="G796" i="1" a="1"/>
  <c r="G796" i="1" s="1"/>
  <c r="G795" i="1" a="1"/>
  <c r="G795" i="1" s="1"/>
  <c r="G794" i="1" a="1"/>
  <c r="G794" i="1" s="1"/>
  <c r="G793" i="1" a="1"/>
  <c r="G793" i="1" s="1"/>
  <c r="G792" i="1" a="1"/>
  <c r="G792" i="1" s="1"/>
  <c r="G791" i="1" a="1"/>
  <c r="G791" i="1" s="1"/>
  <c r="G790" i="1" a="1"/>
  <c r="G790" i="1" s="1"/>
  <c r="G789" i="1" a="1"/>
  <c r="G789" i="1" s="1"/>
  <c r="G788" i="1" a="1"/>
  <c r="G788" i="1" s="1"/>
  <c r="G787" i="1" a="1"/>
  <c r="G787" i="1" s="1"/>
  <c r="G786" i="1" a="1"/>
  <c r="G786" i="1" s="1"/>
  <c r="G785" i="1" a="1"/>
  <c r="G785" i="1" s="1"/>
  <c r="G784" i="1" a="1"/>
  <c r="G784" i="1" s="1"/>
  <c r="G783" i="1" a="1"/>
  <c r="G783" i="1" s="1"/>
  <c r="G782" i="1" a="1"/>
  <c r="G782" i="1" s="1"/>
  <c r="G781" i="1" a="1"/>
  <c r="G781" i="1" s="1"/>
  <c r="G780" i="1" a="1"/>
  <c r="G780" i="1" s="1"/>
  <c r="G779" i="1" a="1"/>
  <c r="G779" i="1" s="1"/>
  <c r="G778" i="1" a="1"/>
  <c r="G778" i="1" s="1"/>
  <c r="G777" i="1" a="1"/>
  <c r="G777" i="1" s="1"/>
  <c r="G776" i="1" a="1"/>
  <c r="G776" i="1" s="1"/>
  <c r="G775" i="1" a="1"/>
  <c r="G775" i="1" s="1"/>
  <c r="G774" i="1" a="1"/>
  <c r="G774" i="1" s="1"/>
  <c r="G773" i="1" a="1"/>
  <c r="G773" i="1" s="1"/>
  <c r="G772" i="1" a="1"/>
  <c r="G772" i="1" s="1"/>
  <c r="G771" i="1" a="1"/>
  <c r="G771" i="1" s="1"/>
  <c r="G770" i="1" a="1"/>
  <c r="G770" i="1" s="1"/>
  <c r="G769" i="1" a="1"/>
  <c r="G769" i="1" s="1"/>
  <c r="G768" i="1" a="1"/>
  <c r="G768" i="1" s="1"/>
  <c r="G767" i="1" a="1"/>
  <c r="G767" i="1" s="1"/>
  <c r="G766" i="1" a="1"/>
  <c r="G766" i="1" s="1"/>
  <c r="G765" i="1" a="1"/>
  <c r="G765" i="1" s="1"/>
  <c r="G764" i="1" a="1"/>
  <c r="G764" i="1" s="1"/>
  <c r="G763" i="1" a="1"/>
  <c r="G763" i="1" s="1"/>
  <c r="G762" i="1" a="1"/>
  <c r="G762" i="1" s="1"/>
  <c r="G761" i="1" a="1"/>
  <c r="G761" i="1" s="1"/>
  <c r="G760" i="1" a="1"/>
  <c r="G760" i="1" s="1"/>
  <c r="G759" i="1" a="1"/>
  <c r="G759" i="1" s="1"/>
  <c r="G758" i="1" a="1"/>
  <c r="G758" i="1" s="1"/>
  <c r="G757" i="1" a="1"/>
  <c r="G757" i="1" s="1"/>
  <c r="G756" i="1" a="1"/>
  <c r="G756" i="1" s="1"/>
  <c r="G755" i="1" a="1"/>
  <c r="G755" i="1" s="1"/>
  <c r="G754" i="1" a="1"/>
  <c r="G754" i="1" s="1"/>
  <c r="G753" i="1" a="1"/>
  <c r="G753" i="1" s="1"/>
  <c r="G752" i="1" a="1"/>
  <c r="G752" i="1" s="1"/>
  <c r="G751" i="1" a="1"/>
  <c r="G751" i="1" s="1"/>
  <c r="G750" i="1" a="1"/>
  <c r="G750" i="1" s="1"/>
  <c r="G749" i="1" a="1"/>
  <c r="G749" i="1" s="1"/>
  <c r="G748" i="1" a="1"/>
  <c r="G748" i="1" s="1"/>
  <c r="G747" i="1" a="1"/>
  <c r="G747" i="1" s="1"/>
  <c r="G746" i="1" a="1"/>
  <c r="G746" i="1" s="1"/>
  <c r="G745" i="1" a="1"/>
  <c r="G745" i="1" s="1"/>
  <c r="G744" i="1" a="1"/>
  <c r="G744" i="1" s="1"/>
  <c r="G743" i="1" a="1"/>
  <c r="G743" i="1" s="1"/>
  <c r="G742" i="1" a="1"/>
  <c r="G742" i="1" s="1"/>
  <c r="G741" i="1" a="1"/>
  <c r="G741" i="1" s="1"/>
  <c r="G740" i="1" a="1"/>
  <c r="G740" i="1" s="1"/>
  <c r="G739" i="1" a="1"/>
  <c r="G739" i="1" s="1"/>
  <c r="G738" i="1" a="1"/>
  <c r="G738" i="1" s="1"/>
  <c r="G737" i="1" a="1"/>
  <c r="G737" i="1" s="1"/>
  <c r="G736" i="1" a="1"/>
  <c r="G736" i="1" s="1"/>
  <c r="G735" i="1" a="1"/>
  <c r="G735" i="1" s="1"/>
  <c r="G734" i="1" a="1"/>
  <c r="G734" i="1" s="1"/>
  <c r="G733" i="1" a="1"/>
  <c r="G733" i="1" s="1"/>
  <c r="G732" i="1" a="1"/>
  <c r="G732" i="1" s="1"/>
  <c r="G731" i="1" a="1"/>
  <c r="G731" i="1" s="1"/>
  <c r="G730" i="1" a="1"/>
  <c r="G730" i="1" s="1"/>
  <c r="G729" i="1" a="1"/>
  <c r="G729" i="1" s="1"/>
  <c r="G728" i="1" a="1"/>
  <c r="G728" i="1" s="1"/>
  <c r="G727" i="1" a="1"/>
  <c r="G727" i="1" s="1"/>
  <c r="G726" i="1" a="1"/>
  <c r="G726" i="1" s="1"/>
  <c r="G725" i="1" a="1"/>
  <c r="G725" i="1" s="1"/>
  <c r="G724" i="1" a="1"/>
  <c r="G724" i="1" s="1"/>
  <c r="G723" i="1" a="1"/>
  <c r="G723" i="1" s="1"/>
  <c r="G722" i="1" a="1"/>
  <c r="G722" i="1" s="1"/>
  <c r="G721" i="1" a="1"/>
  <c r="G721" i="1" s="1"/>
  <c r="G720" i="1" a="1"/>
  <c r="G720" i="1" s="1"/>
  <c r="G719" i="1" a="1"/>
  <c r="G719" i="1" s="1"/>
  <c r="G718" i="1" a="1"/>
  <c r="G718" i="1" s="1"/>
  <c r="G717" i="1" a="1"/>
  <c r="G717" i="1" s="1"/>
  <c r="G716" i="1" a="1"/>
  <c r="G716" i="1" s="1"/>
  <c r="G715" i="1" a="1"/>
  <c r="G715" i="1" s="1"/>
  <c r="G714" i="1" a="1"/>
  <c r="G714" i="1" s="1"/>
  <c r="G713" i="1" a="1"/>
  <c r="G713" i="1" s="1"/>
  <c r="G712" i="1" a="1"/>
  <c r="G712" i="1" s="1"/>
  <c r="G711" i="1" a="1"/>
  <c r="G711" i="1" s="1"/>
  <c r="G710" i="1" a="1"/>
  <c r="G710" i="1" s="1"/>
  <c r="G709" i="1" a="1"/>
  <c r="G709" i="1" s="1"/>
  <c r="G708" i="1" a="1"/>
  <c r="G708" i="1" s="1"/>
  <c r="G707" i="1" a="1"/>
  <c r="G707" i="1" s="1"/>
  <c r="G706" i="1" a="1"/>
  <c r="G706" i="1" s="1"/>
  <c r="G705" i="1" a="1"/>
  <c r="G705" i="1" s="1"/>
  <c r="G704" i="1" a="1"/>
  <c r="G704" i="1" s="1"/>
  <c r="G703" i="1" a="1"/>
  <c r="G703" i="1" s="1"/>
  <c r="G702" i="1" a="1"/>
  <c r="G702" i="1" s="1"/>
  <c r="G701" i="1" a="1"/>
  <c r="G701" i="1" s="1"/>
  <c r="G700" i="1" a="1"/>
  <c r="G700" i="1" s="1"/>
  <c r="G699" i="1" a="1"/>
  <c r="G699" i="1" s="1"/>
  <c r="G698" i="1" a="1"/>
  <c r="G698" i="1" s="1"/>
  <c r="G697" i="1" a="1"/>
  <c r="G697" i="1" s="1"/>
  <c r="G696" i="1" a="1"/>
  <c r="G696" i="1" s="1"/>
  <c r="G695" i="1" a="1"/>
  <c r="G695" i="1" s="1"/>
  <c r="G694" i="1" a="1"/>
  <c r="G694" i="1" s="1"/>
  <c r="G693" i="1" a="1"/>
  <c r="G693" i="1" s="1"/>
  <c r="G692" i="1" a="1"/>
  <c r="G692" i="1" s="1"/>
  <c r="G691" i="1" a="1"/>
  <c r="G691" i="1" s="1"/>
  <c r="G690" i="1" a="1"/>
  <c r="G690" i="1" s="1"/>
  <c r="G689" i="1" a="1"/>
  <c r="G689" i="1" s="1"/>
  <c r="G688" i="1" a="1"/>
  <c r="G688" i="1" s="1"/>
  <c r="G687" i="1" a="1"/>
  <c r="G687" i="1" s="1"/>
  <c r="G686" i="1" a="1"/>
  <c r="G686" i="1" s="1"/>
  <c r="G685" i="1" a="1"/>
  <c r="G685" i="1" s="1"/>
  <c r="G684" i="1" a="1"/>
  <c r="G684" i="1" s="1"/>
  <c r="G683" i="1" a="1"/>
  <c r="G683" i="1" s="1"/>
  <c r="G682" i="1" a="1"/>
  <c r="G682" i="1" s="1"/>
  <c r="G681" i="1" a="1"/>
  <c r="G681" i="1" s="1"/>
  <c r="G680" i="1" a="1"/>
  <c r="G680" i="1" s="1"/>
  <c r="G679" i="1" a="1"/>
  <c r="G679" i="1" s="1"/>
  <c r="G678" i="1" a="1"/>
  <c r="G678" i="1" s="1"/>
  <c r="G677" i="1" a="1"/>
  <c r="G677" i="1" s="1"/>
  <c r="G676" i="1" a="1"/>
  <c r="G676" i="1" s="1"/>
  <c r="G675" i="1" a="1"/>
  <c r="G675" i="1" s="1"/>
  <c r="G674" i="1" a="1"/>
  <c r="G674" i="1" s="1"/>
  <c r="G673" i="1" a="1"/>
  <c r="G673" i="1" s="1"/>
  <c r="G672" i="1" a="1"/>
  <c r="G672" i="1" s="1"/>
  <c r="G671" i="1" a="1"/>
  <c r="G671" i="1" s="1"/>
  <c r="G670" i="1" a="1"/>
  <c r="G670" i="1" s="1"/>
  <c r="G669" i="1" a="1"/>
  <c r="G669" i="1" s="1"/>
  <c r="G668" i="1" a="1"/>
  <c r="G668" i="1" s="1"/>
  <c r="G667" i="1" a="1"/>
  <c r="G667" i="1" s="1"/>
  <c r="G666" i="1" a="1"/>
  <c r="G666" i="1" s="1"/>
  <c r="G665" i="1" a="1"/>
  <c r="G665" i="1" s="1"/>
  <c r="G664" i="1" a="1"/>
  <c r="G664" i="1" s="1"/>
  <c r="G663" i="1" a="1"/>
  <c r="G663" i="1" s="1"/>
  <c r="G662" i="1" a="1"/>
  <c r="G662" i="1" s="1"/>
  <c r="G661" i="1" a="1"/>
  <c r="G661" i="1" s="1"/>
  <c r="G660" i="1" a="1"/>
  <c r="G660" i="1" s="1"/>
  <c r="G659" i="1" a="1"/>
  <c r="G659" i="1" s="1"/>
  <c r="G658" i="1" a="1"/>
  <c r="G658" i="1" s="1"/>
  <c r="G657" i="1" a="1"/>
  <c r="G657" i="1" s="1"/>
  <c r="G656" i="1" a="1"/>
  <c r="G656" i="1" s="1"/>
  <c r="G655" i="1" a="1"/>
  <c r="G655" i="1" s="1"/>
  <c r="G654" i="1" a="1"/>
  <c r="G654" i="1" s="1"/>
  <c r="G653" i="1" a="1"/>
  <c r="G653" i="1" s="1"/>
  <c r="G652" i="1" a="1"/>
  <c r="G652" i="1" s="1"/>
  <c r="G651" i="1" a="1"/>
  <c r="G651" i="1" s="1"/>
  <c r="G650" i="1" a="1"/>
  <c r="G650" i="1" s="1"/>
  <c r="G649" i="1" a="1"/>
  <c r="G649" i="1" s="1"/>
  <c r="G648" i="1" a="1"/>
  <c r="G648" i="1" s="1"/>
  <c r="G647" i="1" a="1"/>
  <c r="G647" i="1" s="1"/>
  <c r="G646" i="1" a="1"/>
  <c r="G646" i="1" s="1"/>
  <c r="G645" i="1" a="1"/>
  <c r="G645" i="1" s="1"/>
  <c r="G644" i="1" a="1"/>
  <c r="G644" i="1" s="1"/>
  <c r="G643" i="1" a="1"/>
  <c r="G643" i="1" s="1"/>
  <c r="G642" i="1" a="1"/>
  <c r="G642" i="1" s="1"/>
  <c r="G641" i="1" a="1"/>
  <c r="G641" i="1" s="1"/>
  <c r="G640" i="1" a="1"/>
  <c r="G640" i="1" s="1"/>
  <c r="G639" i="1" a="1"/>
  <c r="G639" i="1" s="1"/>
  <c r="G638" i="1" a="1"/>
  <c r="G638" i="1" s="1"/>
  <c r="G637" i="1" a="1"/>
  <c r="G637" i="1" s="1"/>
  <c r="G636" i="1" a="1"/>
  <c r="G636" i="1" s="1"/>
  <c r="G635" i="1" a="1"/>
  <c r="G635" i="1" s="1"/>
  <c r="G634" i="1" a="1"/>
  <c r="G634" i="1" s="1"/>
  <c r="G633" i="1" a="1"/>
  <c r="G633" i="1" s="1"/>
  <c r="G632" i="1" a="1"/>
  <c r="G632" i="1" s="1"/>
  <c r="G631" i="1" a="1"/>
  <c r="G631" i="1" s="1"/>
  <c r="G630" i="1" a="1"/>
  <c r="G630" i="1" s="1"/>
  <c r="G629" i="1" a="1"/>
  <c r="G629" i="1" s="1"/>
  <c r="G628" i="1" a="1"/>
  <c r="G628" i="1" s="1"/>
  <c r="G627" i="1" a="1"/>
  <c r="G627" i="1" s="1"/>
  <c r="G626" i="1" a="1"/>
  <c r="G626" i="1" s="1"/>
  <c r="G625" i="1" a="1"/>
  <c r="G625" i="1" s="1"/>
  <c r="G624" i="1" a="1"/>
  <c r="G624" i="1" s="1"/>
  <c r="G623" i="1" a="1"/>
  <c r="G623" i="1" s="1"/>
  <c r="G622" i="1" a="1"/>
  <c r="G622" i="1" s="1"/>
  <c r="G621" i="1" a="1"/>
  <c r="G621" i="1" s="1"/>
  <c r="G620" i="1" a="1"/>
  <c r="G620" i="1" s="1"/>
  <c r="G619" i="1" a="1"/>
  <c r="G619" i="1" s="1"/>
  <c r="G618" i="1" a="1"/>
  <c r="G618" i="1" s="1"/>
  <c r="G617" i="1" a="1"/>
  <c r="G617" i="1" s="1"/>
  <c r="G616" i="1" a="1"/>
  <c r="G616" i="1" s="1"/>
  <c r="G615" i="1" a="1"/>
  <c r="G615" i="1" s="1"/>
  <c r="G614" i="1" a="1"/>
  <c r="G614" i="1" s="1"/>
  <c r="G613" i="1" a="1"/>
  <c r="G613" i="1" s="1"/>
  <c r="G612" i="1" a="1"/>
  <c r="G612" i="1" s="1"/>
  <c r="G611" i="1" a="1"/>
  <c r="G611" i="1" s="1"/>
  <c r="G610" i="1" a="1"/>
  <c r="G610" i="1" s="1"/>
  <c r="G609" i="1" a="1"/>
  <c r="G609" i="1" s="1"/>
  <c r="G608" i="1" a="1"/>
  <c r="G608" i="1" s="1"/>
  <c r="G607" i="1" a="1"/>
  <c r="G607" i="1" s="1"/>
  <c r="G606" i="1" a="1"/>
  <c r="G606" i="1" s="1"/>
  <c r="G605" i="1" a="1"/>
  <c r="G605" i="1" s="1"/>
  <c r="G604" i="1" a="1"/>
  <c r="G604" i="1" s="1"/>
  <c r="G603" i="1" a="1"/>
  <c r="G603" i="1" s="1"/>
  <c r="G602" i="1" a="1"/>
  <c r="G602" i="1" s="1"/>
  <c r="G601" i="1" a="1"/>
  <c r="G601" i="1" s="1"/>
  <c r="G600" i="1" a="1"/>
  <c r="G600" i="1" s="1"/>
  <c r="G599" i="1" a="1"/>
  <c r="G599" i="1" s="1"/>
  <c r="G598" i="1" a="1"/>
  <c r="G598" i="1" s="1"/>
  <c r="G597" i="1" a="1"/>
  <c r="G597" i="1" s="1"/>
  <c r="G596" i="1" a="1"/>
  <c r="G596" i="1" s="1"/>
  <c r="G595" i="1" a="1"/>
  <c r="G595" i="1" s="1"/>
  <c r="G594" i="1" a="1"/>
  <c r="G594" i="1" s="1"/>
  <c r="G593" i="1" a="1"/>
  <c r="G593" i="1" s="1"/>
  <c r="G592" i="1" a="1"/>
  <c r="G592" i="1" s="1"/>
  <c r="G591" i="1" a="1"/>
  <c r="G591" i="1" s="1"/>
  <c r="G590" i="1" a="1"/>
  <c r="G590" i="1" s="1"/>
  <c r="G589" i="1" a="1"/>
  <c r="G589" i="1" s="1"/>
  <c r="G588" i="1" a="1"/>
  <c r="G588" i="1" s="1"/>
  <c r="G587" i="1" a="1"/>
  <c r="G587" i="1" s="1"/>
  <c r="G586" i="1" a="1"/>
  <c r="G586" i="1" s="1"/>
  <c r="G585" i="1" a="1"/>
  <c r="G585" i="1" s="1"/>
  <c r="G584" i="1" a="1"/>
  <c r="G584" i="1" s="1"/>
  <c r="G583" i="1" a="1"/>
  <c r="G583" i="1" s="1"/>
  <c r="G582" i="1" a="1"/>
  <c r="G582" i="1" s="1"/>
  <c r="G581" i="1" a="1"/>
  <c r="G581" i="1" s="1"/>
  <c r="G580" i="1" a="1"/>
  <c r="G580" i="1" s="1"/>
  <c r="G579" i="1" a="1"/>
  <c r="G579" i="1" s="1"/>
  <c r="G578" i="1" a="1"/>
  <c r="G578" i="1" s="1"/>
  <c r="G577" i="1" a="1"/>
  <c r="G577" i="1" s="1"/>
  <c r="G576" i="1" a="1"/>
  <c r="G576" i="1" s="1"/>
  <c r="G575" i="1" a="1"/>
  <c r="G575" i="1" s="1"/>
  <c r="G574" i="1" a="1"/>
  <c r="G574" i="1" s="1"/>
  <c r="G573" i="1" a="1"/>
  <c r="G573" i="1" s="1"/>
  <c r="G572" i="1" a="1"/>
  <c r="G572" i="1" s="1"/>
  <c r="G571" i="1" a="1"/>
  <c r="G571" i="1" s="1"/>
  <c r="G570" i="1" a="1"/>
  <c r="G570" i="1" s="1"/>
  <c r="G569" i="1" a="1"/>
  <c r="G569" i="1" s="1"/>
  <c r="G568" i="1" a="1"/>
  <c r="G568" i="1" s="1"/>
  <c r="G567" i="1" a="1"/>
  <c r="G567" i="1" s="1"/>
  <c r="G566" i="1" a="1"/>
  <c r="G566" i="1" s="1"/>
  <c r="G565" i="1" a="1"/>
  <c r="G565" i="1" s="1"/>
  <c r="G564" i="1" a="1"/>
  <c r="G564" i="1" s="1"/>
  <c r="G563" i="1" a="1"/>
  <c r="G563" i="1" s="1"/>
  <c r="G562" i="1" a="1"/>
  <c r="G562" i="1" s="1"/>
  <c r="G561" i="1" a="1"/>
  <c r="G561" i="1" s="1"/>
  <c r="G560" i="1" a="1"/>
  <c r="G560" i="1" s="1"/>
  <c r="G559" i="1" a="1"/>
  <c r="G559" i="1" s="1"/>
  <c r="G558" i="1" a="1"/>
  <c r="G558" i="1" s="1"/>
  <c r="G557" i="1" a="1"/>
  <c r="G557" i="1" s="1"/>
  <c r="G556" i="1" a="1"/>
  <c r="G556" i="1" s="1"/>
  <c r="G555" i="1" a="1"/>
  <c r="G555" i="1" s="1"/>
  <c r="G554" i="1" a="1"/>
  <c r="G554" i="1" s="1"/>
  <c r="G553" i="1" a="1"/>
  <c r="G553" i="1" s="1"/>
  <c r="G552" i="1" a="1"/>
  <c r="G552" i="1" s="1"/>
  <c r="G551" i="1" a="1"/>
  <c r="G551" i="1" s="1"/>
  <c r="G550" i="1" a="1"/>
  <c r="G550" i="1" s="1"/>
  <c r="G549" i="1" a="1"/>
  <c r="G549" i="1" s="1"/>
  <c r="G548" i="1" a="1"/>
  <c r="G548" i="1" s="1"/>
  <c r="G547" i="1" a="1"/>
  <c r="G547" i="1" s="1"/>
  <c r="G546" i="1" a="1"/>
  <c r="G546" i="1" s="1"/>
  <c r="G545" i="1" a="1"/>
  <c r="G545" i="1" s="1"/>
  <c r="G544" i="1" a="1"/>
  <c r="G544" i="1" s="1"/>
  <c r="G543" i="1" a="1"/>
  <c r="G543" i="1" s="1"/>
  <c r="G542" i="1" a="1"/>
  <c r="G542" i="1" s="1"/>
  <c r="G541" i="1" a="1"/>
  <c r="G541" i="1" s="1"/>
  <c r="G540" i="1" a="1"/>
  <c r="G540" i="1" s="1"/>
  <c r="G539" i="1" a="1"/>
  <c r="G539" i="1" s="1"/>
  <c r="G538" i="1" a="1"/>
  <c r="G538" i="1" s="1"/>
  <c r="G537" i="1" a="1"/>
  <c r="G537" i="1" s="1"/>
  <c r="G536" i="1" a="1"/>
  <c r="G536" i="1" s="1"/>
  <c r="G535" i="1" a="1"/>
  <c r="G535" i="1" s="1"/>
  <c r="G534" i="1" a="1"/>
  <c r="G534" i="1" s="1"/>
  <c r="G533" i="1" a="1"/>
  <c r="G533" i="1" s="1"/>
  <c r="G532" i="1" a="1"/>
  <c r="G532" i="1" s="1"/>
  <c r="G531" i="1" a="1"/>
  <c r="G531" i="1" s="1"/>
  <c r="G530" i="1" a="1"/>
  <c r="G530" i="1" s="1"/>
  <c r="G529" i="1" a="1"/>
  <c r="G529" i="1" s="1"/>
  <c r="G528" i="1" a="1"/>
  <c r="G528" i="1" s="1"/>
  <c r="G527" i="1" a="1"/>
  <c r="G527" i="1" s="1"/>
  <c r="G526" i="1" a="1"/>
  <c r="G526" i="1" s="1"/>
  <c r="G525" i="1" a="1"/>
  <c r="G525" i="1" s="1"/>
  <c r="G524" i="1" a="1"/>
  <c r="G524" i="1" s="1"/>
  <c r="G523" i="1" a="1"/>
  <c r="G523" i="1" s="1"/>
  <c r="G522" i="1" a="1"/>
  <c r="G522" i="1" s="1"/>
  <c r="G521" i="1" a="1"/>
  <c r="G521" i="1" s="1"/>
  <c r="G520" i="1" a="1"/>
  <c r="G520" i="1" s="1"/>
  <c r="G519" i="1" a="1"/>
  <c r="G519" i="1" s="1"/>
  <c r="G518" i="1" a="1"/>
  <c r="G518" i="1" s="1"/>
  <c r="G517" i="1" a="1"/>
  <c r="G517" i="1" s="1"/>
  <c r="G516" i="1" a="1"/>
  <c r="G516" i="1" s="1"/>
  <c r="G515" i="1" a="1"/>
  <c r="G515" i="1" s="1"/>
  <c r="G514" i="1" a="1"/>
  <c r="G514" i="1" s="1"/>
  <c r="G513" i="1" a="1"/>
  <c r="G513" i="1" s="1"/>
  <c r="G512" i="1" a="1"/>
  <c r="G512" i="1" s="1"/>
  <c r="G511" i="1" a="1"/>
  <c r="G511" i="1" s="1"/>
  <c r="G510" i="1" a="1"/>
  <c r="G510" i="1" s="1"/>
  <c r="G509" i="1" a="1"/>
  <c r="G509" i="1" s="1"/>
  <c r="G508" i="1" a="1"/>
  <c r="G508" i="1" s="1"/>
  <c r="G507" i="1" a="1"/>
  <c r="G507" i="1" s="1"/>
  <c r="G506" i="1" a="1"/>
  <c r="G506" i="1" s="1"/>
  <c r="G505" i="1" a="1"/>
  <c r="G505" i="1" s="1"/>
  <c r="G504" i="1" a="1"/>
  <c r="G504" i="1" s="1"/>
  <c r="G503" i="1" a="1"/>
  <c r="G503" i="1" s="1"/>
  <c r="G502" i="1" a="1"/>
  <c r="G502" i="1" s="1"/>
  <c r="G501" i="1" a="1"/>
  <c r="G501" i="1" s="1"/>
  <c r="G500" i="1" a="1"/>
  <c r="G500" i="1" s="1"/>
  <c r="G499" i="1" a="1"/>
  <c r="G499" i="1" s="1"/>
  <c r="G498" i="1" a="1"/>
  <c r="G498" i="1" s="1"/>
  <c r="G497" i="1" a="1"/>
  <c r="G497" i="1" s="1"/>
  <c r="G496" i="1" a="1"/>
  <c r="G496" i="1" s="1"/>
  <c r="G495" i="1" a="1"/>
  <c r="G495" i="1" s="1"/>
  <c r="G494" i="1" a="1"/>
  <c r="G494" i="1" s="1"/>
  <c r="G493" i="1" a="1"/>
  <c r="G493" i="1" s="1"/>
  <c r="G492" i="1" a="1"/>
  <c r="G492" i="1" s="1"/>
  <c r="G491" i="1" a="1"/>
  <c r="G491" i="1" s="1"/>
  <c r="G490" i="1" a="1"/>
  <c r="G490" i="1" s="1"/>
  <c r="G489" i="1" a="1"/>
  <c r="G489" i="1" s="1"/>
  <c r="G488" i="1" a="1"/>
  <c r="G488" i="1" s="1"/>
  <c r="G487" i="1" a="1"/>
  <c r="G487" i="1" s="1"/>
  <c r="G486" i="1" a="1"/>
  <c r="G486" i="1" s="1"/>
  <c r="G485" i="1" a="1"/>
  <c r="G485" i="1" s="1"/>
  <c r="G484" i="1" a="1"/>
  <c r="G484" i="1" s="1"/>
  <c r="G483" i="1" a="1"/>
  <c r="G483" i="1" s="1"/>
  <c r="G482" i="1" a="1"/>
  <c r="G482" i="1" s="1"/>
  <c r="G481" i="1" a="1"/>
  <c r="G481" i="1" s="1"/>
  <c r="G480" i="1" a="1"/>
  <c r="G480" i="1" s="1"/>
  <c r="G479" i="1" a="1"/>
  <c r="G479" i="1" s="1"/>
  <c r="G478" i="1" a="1"/>
  <c r="G478" i="1" s="1"/>
  <c r="G477" i="1" a="1"/>
  <c r="G477" i="1" s="1"/>
  <c r="G476" i="1" a="1"/>
  <c r="G476" i="1" s="1"/>
  <c r="G475" i="1" a="1"/>
  <c r="G475" i="1" s="1"/>
  <c r="G474" i="1" a="1"/>
  <c r="G474" i="1" s="1"/>
  <c r="G473" i="1" a="1"/>
  <c r="G473" i="1" s="1"/>
  <c r="G472" i="1" a="1"/>
  <c r="G472" i="1" s="1"/>
  <c r="G471" i="1" a="1"/>
  <c r="G471" i="1" s="1"/>
  <c r="G470" i="1" a="1"/>
  <c r="G470" i="1" s="1"/>
  <c r="G469" i="1" a="1"/>
  <c r="G469" i="1" s="1"/>
  <c r="G468" i="1" a="1"/>
  <c r="G468" i="1" s="1"/>
  <c r="G467" i="1" a="1"/>
  <c r="G467" i="1" s="1"/>
  <c r="G466" i="1" a="1"/>
  <c r="G466" i="1" s="1"/>
  <c r="G465" i="1" a="1"/>
  <c r="G465" i="1" s="1"/>
  <c r="G464" i="1" a="1"/>
  <c r="G464" i="1" s="1"/>
  <c r="G463" i="1" a="1"/>
  <c r="G463" i="1" s="1"/>
  <c r="G462" i="1" a="1"/>
  <c r="G462" i="1" s="1"/>
  <c r="G461" i="1" a="1"/>
  <c r="G461" i="1" s="1"/>
  <c r="G460" i="1" a="1"/>
  <c r="G460" i="1" s="1"/>
  <c r="G459" i="1" a="1"/>
  <c r="G459" i="1" s="1"/>
  <c r="G458" i="1" a="1"/>
  <c r="G458" i="1" s="1"/>
  <c r="G457" i="1" a="1"/>
  <c r="G457" i="1" s="1"/>
  <c r="G456" i="1" a="1"/>
  <c r="G456" i="1" s="1"/>
  <c r="G455" i="1" a="1"/>
  <c r="G455" i="1" s="1"/>
  <c r="G454" i="1" a="1"/>
  <c r="G454" i="1" s="1"/>
  <c r="G453" i="1" a="1"/>
  <c r="G453" i="1" s="1"/>
  <c r="G452" i="1" a="1"/>
  <c r="G452" i="1" s="1"/>
  <c r="G451" i="1" a="1"/>
  <c r="G451" i="1" s="1"/>
  <c r="G450" i="1" a="1"/>
  <c r="G450" i="1" s="1"/>
  <c r="G449" i="1" a="1"/>
  <c r="G449" i="1" s="1"/>
  <c r="G448" i="1" a="1"/>
  <c r="G448" i="1" s="1"/>
  <c r="G447" i="1" a="1"/>
  <c r="G447" i="1" s="1"/>
  <c r="G446" i="1" a="1"/>
  <c r="G446" i="1" s="1"/>
  <c r="G445" i="1" a="1"/>
  <c r="G445" i="1" s="1"/>
  <c r="G444" i="1" a="1"/>
  <c r="G444" i="1" s="1"/>
  <c r="G443" i="1" a="1"/>
  <c r="G443" i="1" s="1"/>
  <c r="G442" i="1" a="1"/>
  <c r="G442" i="1" s="1"/>
  <c r="G441" i="1" a="1"/>
  <c r="G441" i="1" s="1"/>
  <c r="G440" i="1" a="1"/>
  <c r="G440" i="1" s="1"/>
  <c r="G439" i="1" a="1"/>
  <c r="G439" i="1" s="1"/>
  <c r="G438" i="1" a="1"/>
  <c r="G438" i="1" s="1"/>
  <c r="G437" i="1" a="1"/>
  <c r="G437" i="1" s="1"/>
  <c r="G436" i="1" a="1"/>
  <c r="G436" i="1" s="1"/>
  <c r="G435" i="1" a="1"/>
  <c r="G435" i="1" s="1"/>
  <c r="G434" i="1" a="1"/>
  <c r="G434" i="1" s="1"/>
  <c r="G433" i="1" a="1"/>
  <c r="G433" i="1" s="1"/>
  <c r="G432" i="1" a="1"/>
  <c r="G432" i="1" s="1"/>
  <c r="G431" i="1" a="1"/>
  <c r="G431" i="1" s="1"/>
  <c r="G430" i="1" a="1"/>
  <c r="G430" i="1" s="1"/>
  <c r="G429" i="1" a="1"/>
  <c r="G429" i="1" s="1"/>
  <c r="G428" i="1" a="1"/>
  <c r="G428" i="1" s="1"/>
  <c r="G427" i="1" a="1"/>
  <c r="G427" i="1" s="1"/>
  <c r="G426" i="1" a="1"/>
  <c r="G426" i="1" s="1"/>
  <c r="G425" i="1" a="1"/>
  <c r="G425" i="1" s="1"/>
  <c r="G424" i="1" a="1"/>
  <c r="G424" i="1" s="1"/>
  <c r="G423" i="1" a="1"/>
  <c r="G423" i="1" s="1"/>
  <c r="G422" i="1" a="1"/>
  <c r="G422" i="1" s="1"/>
  <c r="G421" i="1" a="1"/>
  <c r="G421" i="1" s="1"/>
  <c r="G420" i="1" a="1"/>
  <c r="G420" i="1" s="1"/>
  <c r="G419" i="1" a="1"/>
  <c r="G419" i="1" s="1"/>
  <c r="G418" i="1" a="1"/>
  <c r="G418" i="1" s="1"/>
  <c r="G417" i="1" a="1"/>
  <c r="G417" i="1" s="1"/>
  <c r="G416" i="1" a="1"/>
  <c r="G416" i="1" s="1"/>
  <c r="G415" i="1" a="1"/>
  <c r="G415" i="1" s="1"/>
  <c r="G414" i="1" a="1"/>
  <c r="G414" i="1" s="1"/>
  <c r="G413" i="1" a="1"/>
  <c r="G413" i="1" s="1"/>
  <c r="G412" i="1" a="1"/>
  <c r="G412" i="1" s="1"/>
  <c r="G411" i="1" a="1"/>
  <c r="G411" i="1" s="1"/>
  <c r="G410" i="1" a="1"/>
  <c r="G410" i="1" s="1"/>
  <c r="G409" i="1" a="1"/>
  <c r="G409" i="1" s="1"/>
  <c r="G408" i="1" a="1"/>
  <c r="G408" i="1" s="1"/>
  <c r="G407" i="1" a="1"/>
  <c r="G407" i="1" s="1"/>
  <c r="G406" i="1" a="1"/>
  <c r="G406" i="1" s="1"/>
  <c r="G405" i="1" a="1"/>
  <c r="G405" i="1" s="1"/>
  <c r="G404" i="1" a="1"/>
  <c r="G404" i="1" s="1"/>
  <c r="G403" i="1" a="1"/>
  <c r="G403" i="1" s="1"/>
  <c r="G402" i="1" a="1"/>
  <c r="G402" i="1" s="1"/>
  <c r="G401" i="1" a="1"/>
  <c r="G401" i="1" s="1"/>
  <c r="G400" i="1" a="1"/>
  <c r="G400" i="1" s="1"/>
  <c r="G399" i="1" a="1"/>
  <c r="G399" i="1" s="1"/>
  <c r="G398" i="1" a="1"/>
  <c r="G398" i="1" s="1"/>
  <c r="G397" i="1" a="1"/>
  <c r="G397" i="1" s="1"/>
  <c r="G396" i="1" a="1"/>
  <c r="G396" i="1" s="1"/>
  <c r="G395" i="1" a="1"/>
  <c r="G395" i="1" s="1"/>
  <c r="G394" i="1" a="1"/>
  <c r="G394" i="1" s="1"/>
  <c r="G393" i="1" a="1"/>
  <c r="G393" i="1" s="1"/>
  <c r="G392" i="1" a="1"/>
  <c r="G392" i="1" s="1"/>
  <c r="G391" i="1" a="1"/>
  <c r="G391" i="1" s="1"/>
  <c r="G390" i="1" a="1"/>
  <c r="G390" i="1" s="1"/>
  <c r="G389" i="1" a="1"/>
  <c r="G389" i="1" s="1"/>
  <c r="G388" i="1" a="1"/>
  <c r="G388" i="1" s="1"/>
  <c r="G387" i="1" a="1"/>
  <c r="G387" i="1" s="1"/>
  <c r="G386" i="1" a="1"/>
  <c r="G386" i="1" s="1"/>
  <c r="G385" i="1" a="1"/>
  <c r="G385" i="1" s="1"/>
  <c r="G384" i="1" a="1"/>
  <c r="G384" i="1" s="1"/>
  <c r="G383" i="1" a="1"/>
  <c r="G383" i="1" s="1"/>
  <c r="G382" i="1" a="1"/>
  <c r="G382" i="1" s="1"/>
  <c r="G381" i="1" a="1"/>
  <c r="G381" i="1" s="1"/>
  <c r="G380" i="1" a="1"/>
  <c r="G380" i="1" s="1"/>
  <c r="G379" i="1" a="1"/>
  <c r="G379" i="1" s="1"/>
  <c r="G378" i="1" a="1"/>
  <c r="G378" i="1" s="1"/>
  <c r="G377" i="1" a="1"/>
  <c r="G377" i="1" s="1"/>
  <c r="G376" i="1" a="1"/>
  <c r="G376" i="1" s="1"/>
  <c r="G375" i="1" a="1"/>
  <c r="G375" i="1" s="1"/>
  <c r="G374" i="1" a="1"/>
  <c r="G374" i="1" s="1"/>
  <c r="G373" i="1" a="1"/>
  <c r="G373" i="1" s="1"/>
  <c r="G372" i="1" a="1"/>
  <c r="G372" i="1" s="1"/>
  <c r="G371" i="1" a="1"/>
  <c r="G371" i="1" s="1"/>
  <c r="G370" i="1" a="1"/>
  <c r="G370" i="1" s="1"/>
  <c r="G369" i="1" a="1"/>
  <c r="G369" i="1" s="1"/>
  <c r="G368" i="1" a="1"/>
  <c r="G368" i="1" s="1"/>
  <c r="G367" i="1" a="1"/>
  <c r="G367" i="1" s="1"/>
  <c r="G366" i="1" a="1"/>
  <c r="G366" i="1" s="1"/>
  <c r="G365" i="1" a="1"/>
  <c r="G365" i="1" s="1"/>
  <c r="G364" i="1" a="1"/>
  <c r="G364" i="1" s="1"/>
  <c r="G363" i="1" a="1"/>
  <c r="G363" i="1" s="1"/>
  <c r="G362" i="1" a="1"/>
  <c r="G362" i="1" s="1"/>
  <c r="G361" i="1" a="1"/>
  <c r="G361" i="1" s="1"/>
  <c r="G360" i="1" a="1"/>
  <c r="G360" i="1" s="1"/>
  <c r="G359" i="1" a="1"/>
  <c r="G359" i="1" s="1"/>
  <c r="G358" i="1" a="1"/>
  <c r="G358" i="1" s="1"/>
  <c r="G357" i="1" a="1"/>
  <c r="G357" i="1" s="1"/>
  <c r="G356" i="1" a="1"/>
  <c r="G356" i="1" s="1"/>
  <c r="G355" i="1" a="1"/>
  <c r="G355" i="1" s="1"/>
  <c r="G354" i="1" a="1"/>
  <c r="G354" i="1" s="1"/>
  <c r="G353" i="1" a="1"/>
  <c r="G353" i="1" s="1"/>
  <c r="G352" i="1" a="1"/>
  <c r="G352" i="1" s="1"/>
  <c r="G351" i="1" a="1"/>
  <c r="G351" i="1" s="1"/>
  <c r="G350" i="1" a="1"/>
  <c r="G350" i="1" s="1"/>
  <c r="G349" i="1" a="1"/>
  <c r="G349" i="1" s="1"/>
  <c r="G348" i="1" a="1"/>
  <c r="G348" i="1" s="1"/>
  <c r="G347" i="1" a="1"/>
  <c r="G347" i="1" s="1"/>
  <c r="G346" i="1" a="1"/>
  <c r="G346" i="1" s="1"/>
  <c r="G345" i="1" a="1"/>
  <c r="G345" i="1" s="1"/>
  <c r="G344" i="1" a="1"/>
  <c r="G344" i="1" s="1"/>
  <c r="G343" i="1" a="1"/>
  <c r="G343" i="1" s="1"/>
  <c r="G342" i="1" a="1"/>
  <c r="G342" i="1" s="1"/>
  <c r="G341" i="1" a="1"/>
  <c r="G341" i="1" s="1"/>
  <c r="G340" i="1" a="1"/>
  <c r="G340" i="1" s="1"/>
  <c r="G339" i="1" a="1"/>
  <c r="G339" i="1" s="1"/>
  <c r="G338" i="1" a="1"/>
  <c r="G338" i="1" s="1"/>
  <c r="G337" i="1" a="1"/>
  <c r="G337" i="1" s="1"/>
  <c r="G336" i="1" a="1"/>
  <c r="G336" i="1" s="1"/>
  <c r="G335" i="1" a="1"/>
  <c r="G335" i="1" s="1"/>
  <c r="G334" i="1" a="1"/>
  <c r="G334" i="1" s="1"/>
  <c r="G333" i="1" a="1"/>
  <c r="G333" i="1" s="1"/>
  <c r="G332" i="1" a="1"/>
  <c r="G332" i="1" s="1"/>
  <c r="G331" i="1" a="1"/>
  <c r="G331" i="1" s="1"/>
  <c r="G330" i="1" a="1"/>
  <c r="G330" i="1" s="1"/>
  <c r="G329" i="1" a="1"/>
  <c r="G329" i="1" s="1"/>
  <c r="G328" i="1" a="1"/>
  <c r="G328" i="1" s="1"/>
  <c r="G327" i="1" a="1"/>
  <c r="G327" i="1" s="1"/>
  <c r="G326" i="1" a="1"/>
  <c r="G326" i="1" s="1"/>
  <c r="G325" i="1" a="1"/>
  <c r="G325" i="1" s="1"/>
  <c r="G324" i="1" a="1"/>
  <c r="G324" i="1" s="1"/>
  <c r="G323" i="1" a="1"/>
  <c r="G323" i="1" s="1"/>
  <c r="G322" i="1" a="1"/>
  <c r="G322" i="1" s="1"/>
  <c r="G321" i="1" a="1"/>
  <c r="G321" i="1" s="1"/>
  <c r="G320" i="1" a="1"/>
  <c r="G320" i="1" s="1"/>
  <c r="G319" i="1" a="1"/>
  <c r="G319" i="1" s="1"/>
  <c r="G318" i="1" a="1"/>
  <c r="G318" i="1" s="1"/>
  <c r="G317" i="1" a="1"/>
  <c r="G317" i="1" s="1"/>
  <c r="G316" i="1" a="1"/>
  <c r="G316" i="1" s="1"/>
  <c r="G315" i="1" a="1"/>
  <c r="G315" i="1" s="1"/>
  <c r="G314" i="1" a="1"/>
  <c r="G314" i="1" s="1"/>
  <c r="G313" i="1" a="1"/>
  <c r="G313" i="1" s="1"/>
  <c r="G312" i="1" a="1"/>
  <c r="G312" i="1" s="1"/>
  <c r="G311" i="1" a="1"/>
  <c r="G311" i="1" s="1"/>
  <c r="G310" i="1" a="1"/>
  <c r="G310" i="1" s="1"/>
  <c r="G309" i="1" a="1"/>
  <c r="G309" i="1" s="1"/>
  <c r="G308" i="1" a="1"/>
  <c r="G308" i="1" s="1"/>
  <c r="G307" i="1" a="1"/>
  <c r="G307" i="1" s="1"/>
  <c r="G306" i="1" a="1"/>
  <c r="G306" i="1" s="1"/>
  <c r="G305" i="1" a="1"/>
  <c r="G305" i="1" s="1"/>
  <c r="G304" i="1" a="1"/>
  <c r="G304" i="1" s="1"/>
  <c r="G303" i="1" a="1"/>
  <c r="G303" i="1" s="1"/>
  <c r="G302" i="1" a="1"/>
  <c r="G302" i="1" s="1"/>
  <c r="G301" i="1" a="1"/>
  <c r="G301" i="1" s="1"/>
  <c r="G300" i="1" a="1"/>
  <c r="G300" i="1" s="1"/>
  <c r="G299" i="1" a="1"/>
  <c r="G299" i="1" s="1"/>
  <c r="G298" i="1" a="1"/>
  <c r="G298" i="1" s="1"/>
  <c r="G297" i="1" a="1"/>
  <c r="G297" i="1" s="1"/>
  <c r="G296" i="1" a="1"/>
  <c r="G296" i="1" s="1"/>
  <c r="G295" i="1" a="1"/>
  <c r="G295" i="1" s="1"/>
  <c r="G294" i="1" a="1"/>
  <c r="G294" i="1" s="1"/>
  <c r="G293" i="1" a="1"/>
  <c r="G293" i="1" s="1"/>
  <c r="G292" i="1" a="1"/>
  <c r="G292" i="1" s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6" i="1" s="1"/>
  <c r="G285" i="1" a="1"/>
  <c r="G285" i="1" s="1"/>
  <c r="G284" i="1" a="1"/>
  <c r="G284" i="1" s="1"/>
  <c r="G283" i="1" a="1"/>
  <c r="G283" i="1" s="1"/>
  <c r="G282" i="1" a="1"/>
  <c r="G282" i="1" s="1"/>
  <c r="G281" i="1" a="1"/>
  <c r="G281" i="1" s="1"/>
  <c r="G280" i="1" a="1"/>
  <c r="G280" i="1" s="1"/>
  <c r="G279" i="1" a="1"/>
  <c r="G279" i="1" s="1"/>
  <c r="G278" i="1" a="1"/>
  <c r="G278" i="1" s="1"/>
  <c r="G277" i="1" a="1"/>
  <c r="G277" i="1" s="1"/>
  <c r="G276" i="1" a="1"/>
  <c r="G276" i="1" s="1"/>
  <c r="G275" i="1" a="1"/>
  <c r="G275" i="1" s="1"/>
  <c r="G274" i="1" a="1"/>
  <c r="G274" i="1" s="1"/>
  <c r="G273" i="1" a="1"/>
  <c r="G273" i="1" s="1"/>
  <c r="G272" i="1" a="1"/>
  <c r="G272" i="1" s="1"/>
  <c r="G271" i="1" a="1"/>
  <c r="G271" i="1" s="1"/>
  <c r="G270" i="1" a="1"/>
  <c r="G270" i="1" s="1"/>
  <c r="G269" i="1" a="1"/>
  <c r="G269" i="1" s="1"/>
  <c r="G268" i="1" a="1"/>
  <c r="G268" i="1" s="1"/>
  <c r="G267" i="1" a="1"/>
  <c r="G267" i="1" s="1"/>
  <c r="G266" i="1" a="1"/>
  <c r="G266" i="1" s="1"/>
  <c r="G265" i="1" a="1"/>
  <c r="G265" i="1" s="1"/>
  <c r="G264" i="1" a="1"/>
  <c r="G264" i="1" s="1"/>
  <c r="G263" i="1" a="1"/>
  <c r="G263" i="1" s="1"/>
  <c r="G262" i="1" a="1"/>
  <c r="G262" i="1" s="1"/>
  <c r="G261" i="1" a="1"/>
  <c r="G261" i="1" s="1"/>
  <c r="G260" i="1" a="1"/>
  <c r="G260" i="1" s="1"/>
  <c r="G259" i="1" a="1"/>
  <c r="G259" i="1" s="1"/>
  <c r="G258" i="1" a="1"/>
  <c r="G258" i="1" s="1"/>
  <c r="G257" i="1" a="1"/>
  <c r="G257" i="1" s="1"/>
  <c r="G256" i="1" a="1"/>
  <c r="G256" i="1" s="1"/>
  <c r="G255" i="1" a="1"/>
  <c r="G255" i="1" s="1"/>
  <c r="G254" i="1" a="1"/>
  <c r="G254" i="1" s="1"/>
  <c r="G253" i="1" a="1"/>
  <c r="G253" i="1" s="1"/>
  <c r="G252" i="1" a="1"/>
  <c r="G252" i="1" s="1"/>
  <c r="G251" i="1" a="1"/>
  <c r="G251" i="1" s="1"/>
  <c r="G250" i="1" a="1"/>
  <c r="G250" i="1" s="1"/>
  <c r="G249" i="1" a="1"/>
  <c r="G249" i="1" s="1"/>
  <c r="G248" i="1" a="1"/>
  <c r="G248" i="1" s="1"/>
  <c r="G247" i="1" a="1"/>
  <c r="G247" i="1" s="1"/>
  <c r="G246" i="1" a="1"/>
  <c r="G246" i="1" s="1"/>
  <c r="G245" i="1" a="1"/>
  <c r="G245" i="1" s="1"/>
  <c r="G244" i="1" a="1"/>
  <c r="G244" i="1" s="1"/>
  <c r="G243" i="1" a="1"/>
  <c r="G243" i="1" s="1"/>
  <c r="G242" i="1" a="1"/>
  <c r="G242" i="1" s="1"/>
  <c r="G241" i="1" a="1"/>
  <c r="G241" i="1" s="1"/>
  <c r="G240" i="1" a="1"/>
  <c r="G240" i="1" s="1"/>
  <c r="G239" i="1" a="1"/>
  <c r="G239" i="1" s="1"/>
  <c r="G238" i="1" a="1"/>
  <c r="G238" i="1" s="1"/>
  <c r="G237" i="1" a="1"/>
  <c r="G237" i="1" s="1"/>
  <c r="G236" i="1" a="1"/>
  <c r="G236" i="1" s="1"/>
  <c r="G235" i="1" a="1"/>
  <c r="G235" i="1" s="1"/>
  <c r="G234" i="1" a="1"/>
  <c r="G234" i="1" s="1"/>
  <c r="G233" i="1" a="1"/>
  <c r="G233" i="1" s="1"/>
  <c r="G232" i="1" a="1"/>
  <c r="G232" i="1" s="1"/>
  <c r="G231" i="1" a="1"/>
  <c r="G231" i="1" s="1"/>
  <c r="G230" i="1" a="1"/>
  <c r="G230" i="1" s="1"/>
  <c r="G229" i="1" a="1"/>
  <c r="G229" i="1" s="1"/>
  <c r="G228" i="1" a="1"/>
  <c r="G228" i="1" s="1"/>
  <c r="G227" i="1" a="1"/>
  <c r="G227" i="1" s="1"/>
  <c r="G226" i="1" a="1"/>
  <c r="G226" i="1" s="1"/>
  <c r="G225" i="1" a="1"/>
  <c r="G225" i="1" s="1"/>
  <c r="G224" i="1" a="1"/>
  <c r="G224" i="1" s="1"/>
  <c r="G223" i="1" a="1"/>
  <c r="G223" i="1" s="1"/>
  <c r="G222" i="1" a="1"/>
  <c r="G222" i="1" s="1"/>
  <c r="G221" i="1" a="1"/>
  <c r="G221" i="1" s="1"/>
  <c r="G220" i="1" a="1"/>
  <c r="G220" i="1" s="1"/>
  <c r="G219" i="1" a="1"/>
  <c r="G219" i="1" s="1"/>
  <c r="G218" i="1" a="1"/>
  <c r="G218" i="1" s="1"/>
  <c r="G217" i="1" a="1"/>
  <c r="G217" i="1" s="1"/>
  <c r="G216" i="1" a="1"/>
  <c r="G216" i="1" s="1"/>
  <c r="G215" i="1" a="1"/>
  <c r="G215" i="1" s="1"/>
  <c r="G214" i="1" a="1"/>
  <c r="G214" i="1" s="1"/>
  <c r="G213" i="1" a="1"/>
  <c r="G213" i="1" s="1"/>
  <c r="G212" i="1" a="1"/>
  <c r="G212" i="1" s="1"/>
  <c r="G211" i="1" a="1"/>
  <c r="G211" i="1" s="1"/>
  <c r="G210" i="1" a="1"/>
  <c r="G210" i="1" s="1"/>
  <c r="G209" i="1" a="1"/>
  <c r="G209" i="1" s="1"/>
  <c r="G208" i="1" a="1"/>
  <c r="G208" i="1" s="1"/>
  <c r="G207" i="1" a="1"/>
  <c r="G207" i="1" s="1"/>
  <c r="G206" i="1" a="1"/>
  <c r="G206" i="1" s="1"/>
  <c r="G205" i="1" a="1"/>
  <c r="G205" i="1" s="1"/>
  <c r="G204" i="1" a="1"/>
  <c r="G204" i="1" s="1"/>
  <c r="G203" i="1" a="1"/>
  <c r="G203" i="1" s="1"/>
  <c r="G202" i="1" a="1"/>
  <c r="G202" i="1" s="1"/>
  <c r="G201" i="1" a="1"/>
  <c r="G201" i="1" s="1"/>
  <c r="G200" i="1" a="1"/>
  <c r="G200" i="1" s="1"/>
  <c r="G199" i="1" a="1"/>
  <c r="G199" i="1" s="1"/>
  <c r="G198" i="1" a="1"/>
  <c r="G198" i="1" s="1"/>
  <c r="G197" i="1" a="1"/>
  <c r="G197" i="1" s="1"/>
  <c r="G196" i="1" a="1"/>
  <c r="G196" i="1" s="1"/>
  <c r="G195" i="1" a="1"/>
  <c r="G195" i="1" s="1"/>
  <c r="G194" i="1" a="1"/>
  <c r="G194" i="1" s="1"/>
  <c r="G193" i="1" a="1"/>
  <c r="G193" i="1" s="1"/>
  <c r="G192" i="1" a="1"/>
  <c r="G192" i="1" s="1"/>
  <c r="G191" i="1" a="1"/>
  <c r="G191" i="1" s="1"/>
  <c r="G190" i="1" a="1"/>
  <c r="G190" i="1" s="1"/>
  <c r="G189" i="1" a="1"/>
  <c r="G189" i="1" s="1"/>
  <c r="G188" i="1" a="1"/>
  <c r="G188" i="1" s="1"/>
  <c r="G187" i="1" a="1"/>
  <c r="G187" i="1" s="1"/>
  <c r="G186" i="1" a="1"/>
  <c r="G186" i="1" s="1"/>
  <c r="G185" i="1" a="1"/>
  <c r="G185" i="1" s="1"/>
  <c r="G184" i="1" a="1"/>
  <c r="G184" i="1" s="1"/>
  <c r="G183" i="1" a="1"/>
  <c r="G183" i="1" s="1"/>
  <c r="G182" i="1" a="1"/>
  <c r="G182" i="1" s="1"/>
  <c r="G181" i="1" a="1"/>
  <c r="G181" i="1" s="1"/>
  <c r="G180" i="1" a="1"/>
  <c r="G180" i="1" s="1"/>
  <c r="G179" i="1" a="1"/>
  <c r="G179" i="1" s="1"/>
  <c r="G178" i="1" a="1"/>
  <c r="G178" i="1" s="1"/>
  <c r="G177" i="1" a="1"/>
  <c r="G177" i="1" s="1"/>
  <c r="G176" i="1" a="1"/>
  <c r="G176" i="1" s="1"/>
  <c r="G175" i="1" a="1"/>
  <c r="G175" i="1" s="1"/>
  <c r="G174" i="1" a="1"/>
  <c r="G174" i="1" s="1"/>
  <c r="G173" i="1" a="1"/>
  <c r="G173" i="1" s="1"/>
  <c r="G172" i="1" a="1"/>
  <c r="G172" i="1" s="1"/>
  <c r="G171" i="1" a="1"/>
  <c r="G171" i="1" s="1"/>
  <c r="G170" i="1" a="1"/>
  <c r="G170" i="1" s="1"/>
  <c r="G169" i="1" a="1"/>
  <c r="G169" i="1" s="1"/>
  <c r="G168" i="1" a="1"/>
  <c r="G168" i="1" s="1"/>
  <c r="G167" i="1" a="1"/>
  <c r="G167" i="1" s="1"/>
  <c r="G166" i="1" a="1"/>
  <c r="G166" i="1" s="1"/>
  <c r="G165" i="1" a="1"/>
  <c r="G165" i="1" s="1"/>
  <c r="G164" i="1" a="1"/>
  <c r="G164" i="1" s="1"/>
  <c r="G163" i="1" a="1"/>
  <c r="G163" i="1" s="1"/>
  <c r="G162" i="1" a="1"/>
  <c r="G162" i="1" s="1"/>
  <c r="G161" i="1" a="1"/>
  <c r="G161" i="1" s="1"/>
  <c r="G160" i="1" a="1"/>
  <c r="G160" i="1" s="1"/>
  <c r="G159" i="1" a="1"/>
  <c r="G159" i="1" s="1"/>
  <c r="G158" i="1" a="1"/>
  <c r="G158" i="1" s="1"/>
  <c r="G157" i="1" a="1"/>
  <c r="G157" i="1" s="1"/>
  <c r="G156" i="1" a="1"/>
  <c r="G156" i="1" s="1"/>
  <c r="G155" i="1" a="1"/>
  <c r="G155" i="1" s="1"/>
  <c r="G154" i="1" a="1"/>
  <c r="G154" i="1" s="1"/>
  <c r="G153" i="1" a="1"/>
  <c r="G153" i="1" s="1"/>
  <c r="G152" i="1" a="1"/>
  <c r="G152" i="1" s="1"/>
  <c r="G151" i="1" a="1"/>
  <c r="G151" i="1" s="1"/>
  <c r="G150" i="1" a="1"/>
  <c r="G150" i="1" s="1"/>
  <c r="G149" i="1" a="1"/>
  <c r="G149" i="1" s="1"/>
  <c r="G148" i="1" a="1"/>
  <c r="G148" i="1" s="1"/>
  <c r="G147" i="1" a="1"/>
  <c r="G147" i="1" s="1"/>
  <c r="G146" i="1" a="1"/>
  <c r="G146" i="1" s="1"/>
  <c r="G145" i="1" a="1"/>
  <c r="G145" i="1" s="1"/>
  <c r="G144" i="1" a="1"/>
  <c r="G144" i="1" s="1"/>
  <c r="G143" i="1" a="1"/>
  <c r="G143" i="1" s="1"/>
  <c r="G142" i="1" a="1"/>
  <c r="G142" i="1" s="1"/>
  <c r="G141" i="1" a="1"/>
  <c r="G141" i="1" s="1"/>
  <c r="G140" i="1" a="1"/>
  <c r="G140" i="1" s="1"/>
  <c r="G139" i="1" a="1"/>
  <c r="G139" i="1" s="1"/>
  <c r="G138" i="1" a="1"/>
  <c r="G138" i="1" s="1"/>
  <c r="G137" i="1" a="1"/>
  <c r="G137" i="1" s="1"/>
  <c r="G136" i="1" a="1"/>
  <c r="G136" i="1" s="1"/>
  <c r="G135" i="1" a="1"/>
  <c r="G135" i="1" s="1"/>
  <c r="G134" i="1" a="1"/>
  <c r="G134" i="1" s="1"/>
  <c r="G133" i="1" a="1"/>
  <c r="G133" i="1" s="1"/>
  <c r="G132" i="1" a="1"/>
  <c r="G132" i="1" s="1"/>
  <c r="G131" i="1" a="1"/>
  <c r="G131" i="1" s="1"/>
  <c r="G130" i="1" a="1"/>
  <c r="G130" i="1" s="1"/>
  <c r="G129" i="1" a="1"/>
  <c r="G129" i="1" s="1"/>
  <c r="G128" i="1" a="1"/>
  <c r="G128" i="1" s="1"/>
  <c r="G127" i="1" a="1"/>
  <c r="G127" i="1" s="1"/>
  <c r="G126" i="1" a="1"/>
  <c r="G126" i="1" s="1"/>
  <c r="G125" i="1" a="1"/>
  <c r="G125" i="1" s="1"/>
  <c r="G124" i="1" a="1"/>
  <c r="G124" i="1" s="1"/>
  <c r="G123" i="1" a="1"/>
  <c r="G123" i="1" s="1"/>
  <c r="G122" i="1" a="1"/>
  <c r="G122" i="1" s="1"/>
  <c r="G121" i="1" a="1"/>
  <c r="G121" i="1" s="1"/>
  <c r="G120" i="1" a="1"/>
  <c r="G120" i="1" s="1"/>
  <c r="G119" i="1" a="1"/>
  <c r="G119" i="1" s="1"/>
  <c r="G118" i="1" a="1"/>
  <c r="G118" i="1" s="1"/>
  <c r="G117" i="1" a="1"/>
  <c r="G117" i="1" s="1"/>
  <c r="G116" i="1" a="1"/>
  <c r="G116" i="1" s="1"/>
  <c r="G115" i="1" a="1"/>
  <c r="G115" i="1" s="1"/>
  <c r="G114" i="1" a="1"/>
  <c r="G114" i="1" s="1"/>
  <c r="G113" i="1" a="1"/>
  <c r="G113" i="1" s="1"/>
  <c r="G112" i="1" a="1"/>
  <c r="G112" i="1" s="1"/>
  <c r="G111" i="1" a="1"/>
  <c r="G111" i="1" s="1"/>
  <c r="G110" i="1" a="1"/>
  <c r="G110" i="1" s="1"/>
  <c r="G109" i="1" a="1"/>
  <c r="G109" i="1" s="1"/>
  <c r="G108" i="1" a="1"/>
  <c r="G108" i="1" s="1"/>
  <c r="G107" i="1" a="1"/>
  <c r="G107" i="1" s="1"/>
  <c r="G106" i="1" a="1"/>
  <c r="G106" i="1" s="1"/>
  <c r="G105" i="1" a="1"/>
  <c r="G105" i="1" s="1"/>
  <c r="G104" i="1" a="1"/>
  <c r="G104" i="1" s="1"/>
  <c r="G103" i="1" a="1"/>
  <c r="G103" i="1" s="1"/>
  <c r="G102" i="1" a="1"/>
  <c r="G102" i="1" s="1"/>
  <c r="G101" i="1" a="1"/>
  <c r="G101" i="1" s="1"/>
  <c r="G100" i="1" a="1"/>
  <c r="G100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 a="1"/>
  <c r="G94" i="1" s="1"/>
  <c r="G93" i="1" a="1"/>
  <c r="G93" i="1" s="1"/>
  <c r="G92" i="1" a="1"/>
  <c r="G92" i="1" s="1"/>
  <c r="G91" i="1" a="1"/>
  <c r="G91" i="1" s="1"/>
  <c r="G90" i="1" a="1"/>
  <c r="G90" i="1" s="1"/>
  <c r="G89" i="1" a="1"/>
  <c r="G89" i="1" s="1"/>
  <c r="G88" i="1" a="1"/>
  <c r="G88" i="1" s="1"/>
  <c r="G87" i="1" a="1"/>
  <c r="G87" i="1" s="1"/>
  <c r="G86" i="1" a="1"/>
  <c r="G86" i="1" s="1"/>
  <c r="G85" i="1" a="1"/>
  <c r="G85" i="1" s="1"/>
  <c r="G84" i="1" a="1"/>
  <c r="G84" i="1" s="1"/>
  <c r="G83" i="1" a="1"/>
  <c r="G83" i="1" s="1"/>
  <c r="G82" i="1" a="1"/>
  <c r="G82" i="1" s="1"/>
  <c r="G81" i="1" a="1"/>
  <c r="G81" i="1" s="1"/>
  <c r="G80" i="1" a="1"/>
  <c r="G80" i="1" s="1"/>
  <c r="G79" i="1" a="1"/>
  <c r="G79" i="1" s="1"/>
  <c r="G78" i="1" a="1"/>
  <c r="G78" i="1" s="1"/>
  <c r="G77" i="1" a="1"/>
  <c r="G77" i="1" s="1"/>
  <c r="G76" i="1" a="1"/>
  <c r="G76" i="1" s="1"/>
  <c r="G75" i="1" a="1"/>
  <c r="G75" i="1" s="1"/>
  <c r="G74" i="1" a="1"/>
  <c r="G74" i="1" s="1"/>
  <c r="G73" i="1" a="1"/>
  <c r="G73" i="1" s="1"/>
  <c r="G72" i="1" a="1"/>
  <c r="G72" i="1" s="1"/>
  <c r="G71" i="1" a="1"/>
  <c r="G71" i="1" s="1"/>
  <c r="G70" i="1" a="1"/>
  <c r="G70" i="1" s="1"/>
  <c r="G69" i="1" a="1"/>
  <c r="G69" i="1" s="1"/>
  <c r="G68" i="1" a="1"/>
  <c r="G68" i="1" s="1"/>
  <c r="G67" i="1" a="1"/>
  <c r="G67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G50" i="1" a="1"/>
  <c r="G50" i="1" s="1"/>
  <c r="G49" i="1" a="1"/>
  <c r="G49" i="1" s="1"/>
  <c r="G48" i="1" a="1"/>
  <c r="G48" i="1" s="1"/>
  <c r="G47" i="1" a="1"/>
  <c r="G47" i="1" s="1"/>
  <c r="G46" i="1" a="1"/>
  <c r="G46" i="1" s="1"/>
  <c r="G45" i="1" a="1"/>
  <c r="G45" i="1" s="1"/>
  <c r="G44" i="1" a="1"/>
  <c r="G44" i="1" s="1"/>
  <c r="G43" i="1" a="1"/>
  <c r="G43" i="1" s="1"/>
  <c r="G42" i="1" a="1"/>
  <c r="G42" i="1" s="1"/>
  <c r="G41" i="1" a="1"/>
  <c r="G41" i="1" s="1"/>
  <c r="G40" i="1" a="1"/>
  <c r="G40" i="1" s="1"/>
  <c r="G39" i="1" a="1"/>
  <c r="G39" i="1" s="1"/>
  <c r="G38" i="1" a="1"/>
  <c r="G38" i="1" s="1"/>
  <c r="G37" i="1" a="1"/>
  <c r="G37" i="1" s="1"/>
  <c r="G36" i="1" a="1"/>
  <c r="G36" i="1" s="1"/>
  <c r="G35" i="1" a="1"/>
  <c r="G35" i="1" s="1"/>
  <c r="G34" i="1" a="1"/>
  <c r="G34" i="1" s="1"/>
  <c r="G33" i="1" a="1"/>
  <c r="G33" i="1" s="1"/>
  <c r="G32" i="1" a="1"/>
  <c r="G32" i="1" s="1"/>
  <c r="G31" i="1" a="1"/>
  <c r="G31" i="1" s="1"/>
  <c r="G30" i="1" a="1"/>
  <c r="G30" i="1" s="1"/>
  <c r="G29" i="1" a="1"/>
  <c r="G29" i="1" s="1"/>
  <c r="G28" i="1" a="1"/>
  <c r="G28" i="1" s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  <c r="F3203" i="1" a="1"/>
  <c r="F3203" i="1" s="1"/>
  <c r="F3202" i="1" a="1"/>
  <c r="F3202" i="1" s="1"/>
  <c r="F3201" i="1" a="1"/>
  <c r="F3201" i="1" s="1"/>
  <c r="F3200" i="1" a="1"/>
  <c r="F3200" i="1" s="1"/>
  <c r="F3199" i="1" a="1"/>
  <c r="F3199" i="1" s="1"/>
  <c r="F3198" i="1" a="1"/>
  <c r="F3198" i="1" s="1"/>
  <c r="F3197" i="1" a="1"/>
  <c r="F3197" i="1" s="1"/>
  <c r="F3196" i="1" a="1"/>
  <c r="F3196" i="1" s="1"/>
  <c r="F3195" i="1" a="1"/>
  <c r="F3195" i="1" s="1"/>
  <c r="F3194" i="1" a="1"/>
  <c r="F3194" i="1" s="1"/>
  <c r="F3193" i="1" a="1"/>
  <c r="F3193" i="1" s="1"/>
  <c r="F3192" i="1" a="1"/>
  <c r="F3192" i="1" s="1"/>
  <c r="F3191" i="1" a="1"/>
  <c r="F3191" i="1" s="1"/>
  <c r="F3190" i="1" a="1"/>
  <c r="F3190" i="1" s="1"/>
  <c r="F3189" i="1" a="1"/>
  <c r="F3189" i="1" s="1"/>
  <c r="H3189" i="1" s="1"/>
  <c r="F3188" i="1" a="1"/>
  <c r="F3188" i="1" s="1"/>
  <c r="F3187" i="1" a="1"/>
  <c r="F3187" i="1" s="1"/>
  <c r="F3186" i="1" a="1"/>
  <c r="F3186" i="1" s="1"/>
  <c r="F3185" i="1" a="1"/>
  <c r="F3185" i="1" s="1"/>
  <c r="F3184" i="1" a="1"/>
  <c r="F3184" i="1" s="1"/>
  <c r="H3184" i="1" s="1"/>
  <c r="F3183" i="1" a="1"/>
  <c r="F3183" i="1" s="1"/>
  <c r="H3183" i="1" s="1"/>
  <c r="F3182" i="1" a="1"/>
  <c r="F3182" i="1" s="1"/>
  <c r="F3181" i="1" a="1"/>
  <c r="F3181" i="1" s="1"/>
  <c r="F3180" i="1" a="1"/>
  <c r="F3180" i="1" s="1"/>
  <c r="F3179" i="1" a="1"/>
  <c r="F3179" i="1" s="1"/>
  <c r="H3179" i="1" s="1"/>
  <c r="F3178" i="1" a="1"/>
  <c r="F3178" i="1" s="1"/>
  <c r="F3177" i="1" a="1"/>
  <c r="F3177" i="1" s="1"/>
  <c r="H3177" i="1" s="1"/>
  <c r="F3176" i="1" a="1"/>
  <c r="F3176" i="1" s="1"/>
  <c r="F3175" i="1" a="1"/>
  <c r="F3175" i="1" s="1"/>
  <c r="F3174" i="1" a="1"/>
  <c r="F3174" i="1" s="1"/>
  <c r="H3174" i="1" s="1"/>
  <c r="F3173" i="1" a="1"/>
  <c r="F3173" i="1" s="1"/>
  <c r="H3173" i="1" s="1"/>
  <c r="F3172" i="1" a="1"/>
  <c r="F3172" i="1" s="1"/>
  <c r="F3171" i="1" a="1"/>
  <c r="F3171" i="1" s="1"/>
  <c r="F3170" i="1" a="1"/>
  <c r="F3170" i="1" s="1"/>
  <c r="H3170" i="1" s="1"/>
  <c r="F3169" i="1" a="1"/>
  <c r="F3169" i="1" s="1"/>
  <c r="H3169" i="1" s="1"/>
  <c r="F3168" i="1" a="1"/>
  <c r="F3168" i="1" s="1"/>
  <c r="F3167" i="1" a="1"/>
  <c r="F3167" i="1" s="1"/>
  <c r="F3166" i="1" a="1"/>
  <c r="F3166" i="1" s="1"/>
  <c r="F3165" i="1" a="1"/>
  <c r="F3165" i="1" s="1"/>
  <c r="F3164" i="1" a="1"/>
  <c r="F3164" i="1" s="1"/>
  <c r="F3163" i="1" a="1"/>
  <c r="F3163" i="1" s="1"/>
  <c r="F3162" i="1" a="1"/>
  <c r="F3162" i="1" s="1"/>
  <c r="F3161" i="1" a="1"/>
  <c r="F3161" i="1" s="1"/>
  <c r="F3160" i="1" a="1"/>
  <c r="F3160" i="1" s="1"/>
  <c r="H3160" i="1" s="1"/>
  <c r="F3159" i="1" a="1"/>
  <c r="F3159" i="1" s="1"/>
  <c r="F3158" i="1" a="1"/>
  <c r="F3158" i="1" s="1"/>
  <c r="H3158" i="1" s="1"/>
  <c r="F3157" i="1" a="1"/>
  <c r="F3157" i="1" s="1"/>
  <c r="F3156" i="1" a="1"/>
  <c r="F3156" i="1" s="1"/>
  <c r="F3155" i="1" a="1"/>
  <c r="F3155" i="1" s="1"/>
  <c r="F3154" i="1" a="1"/>
  <c r="F3154" i="1" s="1"/>
  <c r="F3153" i="1" a="1"/>
  <c r="F3153" i="1" s="1"/>
  <c r="F3152" i="1" a="1"/>
  <c r="F3152" i="1" s="1"/>
  <c r="F3151" i="1" a="1"/>
  <c r="F3151" i="1" s="1"/>
  <c r="F3150" i="1" a="1"/>
  <c r="F3150" i="1" s="1"/>
  <c r="H3150" i="1" s="1"/>
  <c r="F3149" i="1" a="1"/>
  <c r="F3149" i="1" s="1"/>
  <c r="F3148" i="1" a="1"/>
  <c r="F3148" i="1" s="1"/>
  <c r="F3147" i="1" a="1"/>
  <c r="F3147" i="1" s="1"/>
  <c r="F3146" i="1" a="1"/>
  <c r="F3146" i="1" s="1"/>
  <c r="H3146" i="1" s="1"/>
  <c r="F3145" i="1" a="1"/>
  <c r="F3145" i="1" s="1"/>
  <c r="H3145" i="1" s="1"/>
  <c r="F3144" i="1" a="1"/>
  <c r="F3144" i="1" s="1"/>
  <c r="F3143" i="1" a="1"/>
  <c r="F3143" i="1" s="1"/>
  <c r="F3142" i="1" a="1"/>
  <c r="F3142" i="1" s="1"/>
  <c r="F3141" i="1" a="1"/>
  <c r="F3141" i="1" s="1"/>
  <c r="H3141" i="1" s="1"/>
  <c r="F3140" i="1" a="1"/>
  <c r="F3140" i="1" s="1"/>
  <c r="H3140" i="1" s="1"/>
  <c r="F3139" i="1" a="1"/>
  <c r="F3139" i="1" s="1"/>
  <c r="F3138" i="1" a="1"/>
  <c r="F3138" i="1" s="1"/>
  <c r="F3137" i="1" a="1"/>
  <c r="F3137" i="1" s="1"/>
  <c r="F3136" i="1" a="1"/>
  <c r="F3136" i="1" s="1"/>
  <c r="F3135" i="1" a="1"/>
  <c r="F3135" i="1" s="1"/>
  <c r="F3134" i="1" a="1"/>
  <c r="F3134" i="1" s="1"/>
  <c r="F3133" i="1" a="1"/>
  <c r="F3133" i="1" s="1"/>
  <c r="F3132" i="1" a="1"/>
  <c r="F3132" i="1" s="1"/>
  <c r="F3131" i="1" a="1"/>
  <c r="F3131" i="1" s="1"/>
  <c r="F3130" i="1" a="1"/>
  <c r="F3130" i="1" s="1"/>
  <c r="F3129" i="1" a="1"/>
  <c r="F3129" i="1" s="1"/>
  <c r="H3129" i="1" s="1"/>
  <c r="F3128" i="1" a="1"/>
  <c r="F3128" i="1" s="1"/>
  <c r="F3127" i="1" a="1"/>
  <c r="F3127" i="1" s="1"/>
  <c r="F3126" i="1" a="1"/>
  <c r="F3126" i="1" s="1"/>
  <c r="F3125" i="1" a="1"/>
  <c r="F3125" i="1" s="1"/>
  <c r="F3124" i="1" a="1"/>
  <c r="F3124" i="1" s="1"/>
  <c r="F3123" i="1" a="1"/>
  <c r="F3123" i="1" s="1"/>
  <c r="F3122" i="1" a="1"/>
  <c r="F3122" i="1" s="1"/>
  <c r="F3121" i="1" a="1"/>
  <c r="F3121" i="1" s="1"/>
  <c r="F3120" i="1" a="1"/>
  <c r="F3120" i="1" s="1"/>
  <c r="F3119" i="1" a="1"/>
  <c r="F3119" i="1" s="1"/>
  <c r="F3118" i="1" a="1"/>
  <c r="F3118" i="1" s="1"/>
  <c r="F3117" i="1" a="1"/>
  <c r="F3117" i="1" s="1"/>
  <c r="F3116" i="1" a="1"/>
  <c r="F3116" i="1" s="1"/>
  <c r="F3115" i="1" a="1"/>
  <c r="F3115" i="1" s="1"/>
  <c r="F3114" i="1" a="1"/>
  <c r="F3114" i="1" s="1"/>
  <c r="F3113" i="1" a="1"/>
  <c r="F3113" i="1" s="1"/>
  <c r="H3113" i="1" s="1"/>
  <c r="F3112" i="1" a="1"/>
  <c r="F3112" i="1" s="1"/>
  <c r="H3112" i="1" s="1"/>
  <c r="F3111" i="1" a="1"/>
  <c r="F3111" i="1" s="1"/>
  <c r="H3111" i="1" s="1"/>
  <c r="F3110" i="1" a="1"/>
  <c r="F3110" i="1" s="1"/>
  <c r="F3109" i="1" a="1"/>
  <c r="F3109" i="1" s="1"/>
  <c r="F3108" i="1" a="1"/>
  <c r="F3108" i="1" s="1"/>
  <c r="F3107" i="1" a="1"/>
  <c r="F3107" i="1" s="1"/>
  <c r="H3107" i="1" s="1"/>
  <c r="F3106" i="1" a="1"/>
  <c r="F3106" i="1" s="1"/>
  <c r="F3105" i="1" a="1"/>
  <c r="F3105" i="1" s="1"/>
  <c r="H3105" i="1" s="1"/>
  <c r="F3104" i="1" a="1"/>
  <c r="F3104" i="1" s="1"/>
  <c r="F3103" i="1" a="1"/>
  <c r="F3103" i="1" s="1"/>
  <c r="H3103" i="1" s="1"/>
  <c r="F3102" i="1" a="1"/>
  <c r="F3102" i="1" s="1"/>
  <c r="H3102" i="1" s="1"/>
  <c r="F3101" i="1" a="1"/>
  <c r="F3101" i="1" s="1"/>
  <c r="F3100" i="1" a="1"/>
  <c r="F3100" i="1" s="1"/>
  <c r="H3100" i="1" s="1"/>
  <c r="F3099" i="1" a="1"/>
  <c r="F3099" i="1" s="1"/>
  <c r="H3099" i="1" s="1"/>
  <c r="F3098" i="1" a="1"/>
  <c r="F3098" i="1" s="1"/>
  <c r="H3098" i="1" s="1"/>
  <c r="F3097" i="1" a="1"/>
  <c r="F3097" i="1" s="1"/>
  <c r="F3096" i="1" a="1"/>
  <c r="F3096" i="1" s="1"/>
  <c r="F3095" i="1" a="1"/>
  <c r="F3095" i="1" s="1"/>
  <c r="F3094" i="1" a="1"/>
  <c r="F3094" i="1" s="1"/>
  <c r="H3094" i="1" s="1"/>
  <c r="F3093" i="1" a="1"/>
  <c r="F3093" i="1" s="1"/>
  <c r="F3092" i="1" a="1"/>
  <c r="F3092" i="1" s="1"/>
  <c r="F3091" i="1" a="1"/>
  <c r="F3091" i="1" s="1"/>
  <c r="H3091" i="1" s="1"/>
  <c r="F3090" i="1" a="1"/>
  <c r="F3090" i="1" s="1"/>
  <c r="F3089" i="1" a="1"/>
  <c r="F3089" i="1" s="1"/>
  <c r="H3089" i="1" s="1"/>
  <c r="F3088" i="1" a="1"/>
  <c r="F3088" i="1" s="1"/>
  <c r="H3088" i="1" s="1"/>
  <c r="F3087" i="1" a="1"/>
  <c r="F3087" i="1" s="1"/>
  <c r="H3087" i="1" s="1"/>
  <c r="F3086" i="1" a="1"/>
  <c r="F3086" i="1" s="1"/>
  <c r="H3086" i="1" s="1"/>
  <c r="F3085" i="1" a="1"/>
  <c r="F3085" i="1" s="1"/>
  <c r="F3084" i="1" a="1"/>
  <c r="F3084" i="1" s="1"/>
  <c r="H3084" i="1" s="1"/>
  <c r="F3083" i="1" a="1"/>
  <c r="F3083" i="1" s="1"/>
  <c r="F3082" i="1" a="1"/>
  <c r="F3082" i="1" s="1"/>
  <c r="H3082" i="1" s="1"/>
  <c r="F3081" i="1" a="1"/>
  <c r="F3081" i="1" s="1"/>
  <c r="F3080" i="1" a="1"/>
  <c r="F3080" i="1" s="1"/>
  <c r="F3079" i="1" a="1"/>
  <c r="F3079" i="1" s="1"/>
  <c r="H3079" i="1" s="1"/>
  <c r="F3078" i="1" a="1"/>
  <c r="F3078" i="1" s="1"/>
  <c r="F3077" i="1" a="1"/>
  <c r="F3077" i="1" s="1"/>
  <c r="H3077" i="1" s="1"/>
  <c r="F3076" i="1" a="1"/>
  <c r="F3076" i="1" s="1"/>
  <c r="H3076" i="1" s="1"/>
  <c r="F3075" i="1" a="1"/>
  <c r="F3075" i="1" s="1"/>
  <c r="F3074" i="1" a="1"/>
  <c r="F3074" i="1" s="1"/>
  <c r="F3073" i="1" a="1"/>
  <c r="F3073" i="1" s="1"/>
  <c r="F3072" i="1" a="1"/>
  <c r="F3072" i="1" s="1"/>
  <c r="H3072" i="1" s="1"/>
  <c r="F3071" i="1" a="1"/>
  <c r="F3071" i="1" s="1"/>
  <c r="F3070" i="1" a="1"/>
  <c r="F3070" i="1" s="1"/>
  <c r="F3069" i="1" a="1"/>
  <c r="F3069" i="1" s="1"/>
  <c r="F3068" i="1" a="1"/>
  <c r="F3068" i="1" s="1"/>
  <c r="F3067" i="1" a="1"/>
  <c r="F3067" i="1" s="1"/>
  <c r="H3067" i="1" s="1"/>
  <c r="F3066" i="1" a="1"/>
  <c r="F3066" i="1" s="1"/>
  <c r="H3066" i="1" s="1"/>
  <c r="F3065" i="1" a="1"/>
  <c r="F3065" i="1" s="1"/>
  <c r="H3065" i="1" s="1"/>
  <c r="F3064" i="1" a="1"/>
  <c r="F3064" i="1" s="1"/>
  <c r="H3064" i="1" s="1"/>
  <c r="F3063" i="1" a="1"/>
  <c r="F3063" i="1" s="1"/>
  <c r="H3063" i="1" s="1"/>
  <c r="F3062" i="1" a="1"/>
  <c r="F3062" i="1" s="1"/>
  <c r="H3062" i="1" s="1"/>
  <c r="F3061" i="1" a="1"/>
  <c r="F3061" i="1" s="1"/>
  <c r="H3061" i="1" s="1"/>
  <c r="F3060" i="1" a="1"/>
  <c r="F3060" i="1" s="1"/>
  <c r="F3059" i="1" a="1"/>
  <c r="F3059" i="1" s="1"/>
  <c r="F3058" i="1" a="1"/>
  <c r="F3058" i="1" s="1"/>
  <c r="H3058" i="1" s="1"/>
  <c r="F3057" i="1" a="1"/>
  <c r="F3057" i="1" s="1"/>
  <c r="H3057" i="1" s="1"/>
  <c r="F3056" i="1" a="1"/>
  <c r="F3056" i="1" s="1"/>
  <c r="F3055" i="1" a="1"/>
  <c r="F3055" i="1" s="1"/>
  <c r="F3054" i="1" a="1"/>
  <c r="F3054" i="1" s="1"/>
  <c r="H3054" i="1" s="1"/>
  <c r="F3053" i="1" a="1"/>
  <c r="F3053" i="1" s="1"/>
  <c r="H3053" i="1" s="1"/>
  <c r="F3052" i="1" a="1"/>
  <c r="F3052" i="1" s="1"/>
  <c r="F3051" i="1" a="1"/>
  <c r="F3051" i="1" s="1"/>
  <c r="H3051" i="1" s="1"/>
  <c r="F3050" i="1" a="1"/>
  <c r="F3050" i="1" s="1"/>
  <c r="H3050" i="1" s="1"/>
  <c r="F3049" i="1" a="1"/>
  <c r="F3049" i="1" s="1"/>
  <c r="F3048" i="1" a="1"/>
  <c r="F3048" i="1" s="1"/>
  <c r="F3047" i="1" a="1"/>
  <c r="F3047" i="1" s="1"/>
  <c r="H3047" i="1" s="1"/>
  <c r="F3046" i="1" a="1"/>
  <c r="F3046" i="1" s="1"/>
  <c r="H3046" i="1" s="1"/>
  <c r="F3045" i="1" a="1"/>
  <c r="F3045" i="1" s="1"/>
  <c r="H3045" i="1" s="1"/>
  <c r="F3044" i="1" a="1"/>
  <c r="F3044" i="1" s="1"/>
  <c r="H3044" i="1" s="1"/>
  <c r="F3043" i="1" a="1"/>
  <c r="F3043" i="1" s="1"/>
  <c r="H3043" i="1" s="1"/>
  <c r="F3042" i="1" a="1"/>
  <c r="F3042" i="1" s="1"/>
  <c r="H3042" i="1" s="1"/>
  <c r="F3041" i="1" a="1"/>
  <c r="F3041" i="1" s="1"/>
  <c r="F3040" i="1" a="1"/>
  <c r="F3040" i="1" s="1"/>
  <c r="H3040" i="1" s="1"/>
  <c r="F3039" i="1" a="1"/>
  <c r="F3039" i="1" s="1"/>
  <c r="H3039" i="1" s="1"/>
  <c r="F3038" i="1" a="1"/>
  <c r="F3038" i="1" s="1"/>
  <c r="F3037" i="1" a="1"/>
  <c r="F3037" i="1" s="1"/>
  <c r="F3036" i="1" a="1"/>
  <c r="F3036" i="1" s="1"/>
  <c r="H3036" i="1" s="1"/>
  <c r="F3035" i="1" a="1"/>
  <c r="F3035" i="1" s="1"/>
  <c r="F3034" i="1" a="1"/>
  <c r="F3034" i="1" s="1"/>
  <c r="F3033" i="1" a="1"/>
  <c r="F3033" i="1" s="1"/>
  <c r="F3032" i="1" a="1"/>
  <c r="F3032" i="1" s="1"/>
  <c r="F3031" i="1" a="1"/>
  <c r="F3031" i="1" s="1"/>
  <c r="H3031" i="1" s="1"/>
  <c r="F3030" i="1" a="1"/>
  <c r="F3030" i="1" s="1"/>
  <c r="F3029" i="1" a="1"/>
  <c r="F3029" i="1" s="1"/>
  <c r="F3028" i="1" a="1"/>
  <c r="F3028" i="1" s="1"/>
  <c r="H3028" i="1" s="1"/>
  <c r="F3027" i="1" a="1"/>
  <c r="F3027" i="1" s="1"/>
  <c r="F3026" i="1" a="1"/>
  <c r="F3026" i="1" s="1"/>
  <c r="F3025" i="1" a="1"/>
  <c r="F3025" i="1" s="1"/>
  <c r="F3024" i="1" a="1"/>
  <c r="F3024" i="1" s="1"/>
  <c r="F3023" i="1" a="1"/>
  <c r="F3023" i="1" s="1"/>
  <c r="F3022" i="1" a="1"/>
  <c r="F3022" i="1" s="1"/>
  <c r="H3022" i="1" s="1"/>
  <c r="F3021" i="1" a="1"/>
  <c r="F3021" i="1" s="1"/>
  <c r="F3020" i="1" a="1"/>
  <c r="F3020" i="1" s="1"/>
  <c r="F3019" i="1" a="1"/>
  <c r="F3019" i="1" s="1"/>
  <c r="H3019" i="1" s="1"/>
  <c r="F3018" i="1" a="1"/>
  <c r="F3018" i="1" s="1"/>
  <c r="F3017" i="1" a="1"/>
  <c r="F3017" i="1" s="1"/>
  <c r="F3016" i="1" a="1"/>
  <c r="F3016" i="1" s="1"/>
  <c r="F3015" i="1" a="1"/>
  <c r="F3015" i="1" s="1"/>
  <c r="F3014" i="1" a="1"/>
  <c r="F3014" i="1" s="1"/>
  <c r="F3013" i="1" a="1"/>
  <c r="F3013" i="1" s="1"/>
  <c r="F3012" i="1" a="1"/>
  <c r="F3012" i="1" s="1"/>
  <c r="F3011" i="1" a="1"/>
  <c r="F3011" i="1" s="1"/>
  <c r="H3011" i="1" s="1"/>
  <c r="F3010" i="1" a="1"/>
  <c r="F3010" i="1" s="1"/>
  <c r="F3009" i="1" a="1"/>
  <c r="F3009" i="1" s="1"/>
  <c r="F3008" i="1" a="1"/>
  <c r="F3008" i="1" s="1"/>
  <c r="F3007" i="1" a="1"/>
  <c r="F3007" i="1" s="1"/>
  <c r="F3006" i="1" a="1"/>
  <c r="F3006" i="1" s="1"/>
  <c r="F3005" i="1" a="1"/>
  <c r="F3005" i="1" s="1"/>
  <c r="H3005" i="1" s="1"/>
  <c r="F3004" i="1" a="1"/>
  <c r="F3004" i="1" s="1"/>
  <c r="F3003" i="1" a="1"/>
  <c r="F3003" i="1" s="1"/>
  <c r="H3003" i="1" s="1"/>
  <c r="F3002" i="1" a="1"/>
  <c r="F3002" i="1" s="1"/>
  <c r="F3001" i="1" a="1"/>
  <c r="F3001" i="1" s="1"/>
  <c r="F3000" i="1" a="1"/>
  <c r="F3000" i="1" s="1"/>
  <c r="F2999" i="1" a="1"/>
  <c r="F2999" i="1" s="1"/>
  <c r="F2998" i="1" a="1"/>
  <c r="F2998" i="1" s="1"/>
  <c r="H2998" i="1" s="1"/>
  <c r="F2997" i="1" a="1"/>
  <c r="F2997" i="1" s="1"/>
  <c r="F2996" i="1" a="1"/>
  <c r="F2996" i="1" s="1"/>
  <c r="F2995" i="1" a="1"/>
  <c r="F2995" i="1" s="1"/>
  <c r="F2994" i="1" a="1"/>
  <c r="F2994" i="1" s="1"/>
  <c r="F2993" i="1" a="1"/>
  <c r="F2993" i="1" s="1"/>
  <c r="F2992" i="1" a="1"/>
  <c r="F2992" i="1" s="1"/>
  <c r="F2991" i="1" a="1"/>
  <c r="F2991" i="1" s="1"/>
  <c r="H2991" i="1" s="1"/>
  <c r="F2990" i="1" a="1"/>
  <c r="F2990" i="1" s="1"/>
  <c r="F2989" i="1" a="1"/>
  <c r="F2989" i="1" s="1"/>
  <c r="F2988" i="1" a="1"/>
  <c r="F2988" i="1" s="1"/>
  <c r="F2987" i="1" a="1"/>
  <c r="F2987" i="1" s="1"/>
  <c r="F2986" i="1" a="1"/>
  <c r="F2986" i="1" s="1"/>
  <c r="F2985" i="1" a="1"/>
  <c r="F2985" i="1" s="1"/>
  <c r="F2984" i="1" a="1"/>
  <c r="F2984" i="1" s="1"/>
  <c r="F2983" i="1" a="1"/>
  <c r="F2983" i="1" s="1"/>
  <c r="F2982" i="1" a="1"/>
  <c r="F2982" i="1" s="1"/>
  <c r="F2981" i="1" a="1"/>
  <c r="F2981" i="1" s="1"/>
  <c r="F2980" i="1" a="1"/>
  <c r="F2980" i="1" s="1"/>
  <c r="F2979" i="1" a="1"/>
  <c r="F2979" i="1" s="1"/>
  <c r="F2978" i="1" a="1"/>
  <c r="F2978" i="1" s="1"/>
  <c r="F2977" i="1" a="1"/>
  <c r="F2977" i="1" s="1"/>
  <c r="F2976" i="1" a="1"/>
  <c r="F2976" i="1" s="1"/>
  <c r="F2975" i="1" a="1"/>
  <c r="F2975" i="1" s="1"/>
  <c r="F2974" i="1" a="1"/>
  <c r="F2974" i="1" s="1"/>
  <c r="F2973" i="1" a="1"/>
  <c r="F2973" i="1" s="1"/>
  <c r="F2972" i="1" a="1"/>
  <c r="F2972" i="1" s="1"/>
  <c r="F2971" i="1" a="1"/>
  <c r="F2971" i="1" s="1"/>
  <c r="F2970" i="1" a="1"/>
  <c r="F2970" i="1" s="1"/>
  <c r="F2969" i="1" a="1"/>
  <c r="F2969" i="1" s="1"/>
  <c r="H2969" i="1" s="1"/>
  <c r="F2968" i="1" a="1"/>
  <c r="F2968" i="1" s="1"/>
  <c r="F2967" i="1" a="1"/>
  <c r="F2967" i="1" s="1"/>
  <c r="F2966" i="1" a="1"/>
  <c r="F2966" i="1" s="1"/>
  <c r="F2965" i="1" a="1"/>
  <c r="F2965" i="1" s="1"/>
  <c r="F2964" i="1" a="1"/>
  <c r="F2964" i="1" s="1"/>
  <c r="F2963" i="1" a="1"/>
  <c r="F2963" i="1" s="1"/>
  <c r="F2962" i="1" a="1"/>
  <c r="F2962" i="1" s="1"/>
  <c r="F2961" i="1" a="1"/>
  <c r="F2961" i="1" s="1"/>
  <c r="F2960" i="1" a="1"/>
  <c r="F2960" i="1" s="1"/>
  <c r="H2960" i="1" s="1"/>
  <c r="F2959" i="1" a="1"/>
  <c r="F2959" i="1" s="1"/>
  <c r="F2958" i="1" a="1"/>
  <c r="F2958" i="1" s="1"/>
  <c r="F2957" i="1" a="1"/>
  <c r="F2957" i="1" s="1"/>
  <c r="F2956" i="1" a="1"/>
  <c r="F2956" i="1" s="1"/>
  <c r="F2955" i="1" a="1"/>
  <c r="F2955" i="1" s="1"/>
  <c r="H2955" i="1" s="1"/>
  <c r="F2954" i="1" a="1"/>
  <c r="F2954" i="1" s="1"/>
  <c r="F2953" i="1" a="1"/>
  <c r="F2953" i="1" s="1"/>
  <c r="H2953" i="1" s="1"/>
  <c r="F2952" i="1" a="1"/>
  <c r="F2952" i="1" s="1"/>
  <c r="F2951" i="1" a="1"/>
  <c r="F2951" i="1" s="1"/>
  <c r="F2950" i="1" a="1"/>
  <c r="F2950" i="1" s="1"/>
  <c r="F2949" i="1" a="1"/>
  <c r="F2949" i="1" s="1"/>
  <c r="F2948" i="1" a="1"/>
  <c r="F2948" i="1" s="1"/>
  <c r="F2947" i="1" a="1"/>
  <c r="F2947" i="1" s="1"/>
  <c r="F2946" i="1" a="1"/>
  <c r="F2946" i="1" s="1"/>
  <c r="H2946" i="1" s="1"/>
  <c r="F2945" i="1" a="1"/>
  <c r="F2945" i="1" s="1"/>
  <c r="F2944" i="1" a="1"/>
  <c r="F2944" i="1" s="1"/>
  <c r="F2943" i="1" a="1"/>
  <c r="F2943" i="1" s="1"/>
  <c r="F2942" i="1" a="1"/>
  <c r="F2942" i="1" s="1"/>
  <c r="F2941" i="1" a="1"/>
  <c r="F2941" i="1" s="1"/>
  <c r="F2940" i="1" a="1"/>
  <c r="F2940" i="1" s="1"/>
  <c r="H2940" i="1" s="1"/>
  <c r="F2939" i="1" a="1"/>
  <c r="F2939" i="1" s="1"/>
  <c r="F2938" i="1" a="1"/>
  <c r="F2938" i="1" s="1"/>
  <c r="F2937" i="1" a="1"/>
  <c r="F2937" i="1" s="1"/>
  <c r="F2936" i="1" a="1"/>
  <c r="F2936" i="1" s="1"/>
  <c r="F2935" i="1" a="1"/>
  <c r="F2935" i="1" s="1"/>
  <c r="F2934" i="1" a="1"/>
  <c r="F2934" i="1" s="1"/>
  <c r="F2933" i="1" a="1"/>
  <c r="F2933" i="1" s="1"/>
  <c r="F2932" i="1" a="1"/>
  <c r="F2932" i="1" s="1"/>
  <c r="F2931" i="1" a="1"/>
  <c r="F2931" i="1" s="1"/>
  <c r="F2930" i="1" a="1"/>
  <c r="F2930" i="1" s="1"/>
  <c r="F2929" i="1" a="1"/>
  <c r="F2929" i="1" s="1"/>
  <c r="F2928" i="1" a="1"/>
  <c r="F2928" i="1" s="1"/>
  <c r="F2927" i="1" a="1"/>
  <c r="F2927" i="1" s="1"/>
  <c r="F2926" i="1" a="1"/>
  <c r="F2926" i="1" s="1"/>
  <c r="H2926" i="1" s="1"/>
  <c r="F2925" i="1" a="1"/>
  <c r="F2925" i="1" s="1"/>
  <c r="H2925" i="1" s="1"/>
  <c r="F2924" i="1" a="1"/>
  <c r="F2924" i="1" s="1"/>
  <c r="F2923" i="1" a="1"/>
  <c r="F2923" i="1" s="1"/>
  <c r="H2923" i="1" s="1"/>
  <c r="F2922" i="1" a="1"/>
  <c r="F2922" i="1" s="1"/>
  <c r="F2921" i="1" a="1"/>
  <c r="F2921" i="1" s="1"/>
  <c r="F2920" i="1" a="1"/>
  <c r="F2920" i="1" s="1"/>
  <c r="F2919" i="1" a="1"/>
  <c r="F2919" i="1" s="1"/>
  <c r="F2918" i="1" a="1"/>
  <c r="F2918" i="1" s="1"/>
  <c r="F2917" i="1" a="1"/>
  <c r="F2917" i="1" s="1"/>
  <c r="H2917" i="1" s="1"/>
  <c r="F2916" i="1" a="1"/>
  <c r="F2916" i="1" s="1"/>
  <c r="F2915" i="1" a="1"/>
  <c r="F2915" i="1" s="1"/>
  <c r="F2914" i="1" a="1"/>
  <c r="F2914" i="1" s="1"/>
  <c r="F2913" i="1" a="1"/>
  <c r="F2913" i="1" s="1"/>
  <c r="F2912" i="1" a="1"/>
  <c r="F2912" i="1" s="1"/>
  <c r="F2911" i="1" a="1"/>
  <c r="F2911" i="1" s="1"/>
  <c r="F2910" i="1" a="1"/>
  <c r="F2910" i="1" s="1"/>
  <c r="F2909" i="1" a="1"/>
  <c r="F2909" i="1" s="1"/>
  <c r="F2908" i="1" a="1"/>
  <c r="F2908" i="1" s="1"/>
  <c r="F2907" i="1" a="1"/>
  <c r="F2907" i="1" s="1"/>
  <c r="F2906" i="1" a="1"/>
  <c r="F2906" i="1" s="1"/>
  <c r="F2905" i="1" a="1"/>
  <c r="F2905" i="1" s="1"/>
  <c r="F2904" i="1" a="1"/>
  <c r="F2904" i="1" s="1"/>
  <c r="F2903" i="1" a="1"/>
  <c r="F2903" i="1" s="1"/>
  <c r="F2902" i="1" a="1"/>
  <c r="F2902" i="1" s="1"/>
  <c r="F2901" i="1" a="1"/>
  <c r="F2901" i="1" s="1"/>
  <c r="F2900" i="1" a="1"/>
  <c r="F2900" i="1" s="1"/>
  <c r="F2899" i="1" a="1"/>
  <c r="F2899" i="1" s="1"/>
  <c r="F2898" i="1" a="1"/>
  <c r="F2898" i="1" s="1"/>
  <c r="F2897" i="1" a="1"/>
  <c r="F2897" i="1" s="1"/>
  <c r="F2896" i="1" a="1"/>
  <c r="F2896" i="1" s="1"/>
  <c r="F2895" i="1" a="1"/>
  <c r="F2895" i="1" s="1"/>
  <c r="F2894" i="1" a="1"/>
  <c r="F2894" i="1" s="1"/>
  <c r="F2893" i="1" a="1"/>
  <c r="F2893" i="1" s="1"/>
  <c r="F2892" i="1" a="1"/>
  <c r="F2892" i="1" s="1"/>
  <c r="F2891" i="1" a="1"/>
  <c r="F2891" i="1" s="1"/>
  <c r="F2890" i="1" a="1"/>
  <c r="F2890" i="1" s="1"/>
  <c r="F2889" i="1" a="1"/>
  <c r="F2889" i="1" s="1"/>
  <c r="F2888" i="1" a="1"/>
  <c r="F2888" i="1" s="1"/>
  <c r="F2887" i="1" a="1"/>
  <c r="F2887" i="1" s="1"/>
  <c r="F2886" i="1" a="1"/>
  <c r="F2886" i="1" s="1"/>
  <c r="F2885" i="1" a="1"/>
  <c r="F2885" i="1" s="1"/>
  <c r="F2884" i="1" a="1"/>
  <c r="F2884" i="1" s="1"/>
  <c r="F2883" i="1" a="1"/>
  <c r="F2883" i="1" s="1"/>
  <c r="F2882" i="1" a="1"/>
  <c r="F2882" i="1" s="1"/>
  <c r="F2881" i="1" a="1"/>
  <c r="F2881" i="1" s="1"/>
  <c r="F2880" i="1" a="1"/>
  <c r="F2880" i="1" s="1"/>
  <c r="F2879" i="1" a="1"/>
  <c r="F2879" i="1" s="1"/>
  <c r="F2878" i="1" a="1"/>
  <c r="F2878" i="1" s="1"/>
  <c r="F2877" i="1" a="1"/>
  <c r="F2877" i="1" s="1"/>
  <c r="F2876" i="1" a="1"/>
  <c r="F2876" i="1" s="1"/>
  <c r="F2875" i="1" a="1"/>
  <c r="F2875" i="1" s="1"/>
  <c r="F2874" i="1" a="1"/>
  <c r="F2874" i="1" s="1"/>
  <c r="F2873" i="1" a="1"/>
  <c r="F2873" i="1" s="1"/>
  <c r="F2872" i="1" a="1"/>
  <c r="F2872" i="1" s="1"/>
  <c r="H2872" i="1" s="1"/>
  <c r="F2871" i="1" a="1"/>
  <c r="F2871" i="1" s="1"/>
  <c r="F2870" i="1" a="1"/>
  <c r="F2870" i="1" s="1"/>
  <c r="F2869" i="1" a="1"/>
  <c r="F2869" i="1" s="1"/>
  <c r="F2868" i="1" a="1"/>
  <c r="F2868" i="1" s="1"/>
  <c r="F2867" i="1" a="1"/>
  <c r="F2867" i="1" s="1"/>
  <c r="F2866" i="1" a="1"/>
  <c r="F2866" i="1" s="1"/>
  <c r="H2866" i="1" s="1"/>
  <c r="F2865" i="1" a="1"/>
  <c r="F2865" i="1" s="1"/>
  <c r="F2864" i="1" a="1"/>
  <c r="F2864" i="1" s="1"/>
  <c r="F2863" i="1" a="1"/>
  <c r="F2863" i="1" s="1"/>
  <c r="F2862" i="1" a="1"/>
  <c r="F2862" i="1" s="1"/>
  <c r="F2861" i="1" a="1"/>
  <c r="F2861" i="1" s="1"/>
  <c r="H2861" i="1" s="1"/>
  <c r="F2860" i="1" a="1"/>
  <c r="F2860" i="1" s="1"/>
  <c r="F2859" i="1" a="1"/>
  <c r="F2859" i="1" s="1"/>
  <c r="H2859" i="1" s="1"/>
  <c r="F2858" i="1" a="1"/>
  <c r="F2858" i="1" s="1"/>
  <c r="F2857" i="1" a="1"/>
  <c r="F2857" i="1" s="1"/>
  <c r="F2856" i="1" a="1"/>
  <c r="F2856" i="1" s="1"/>
  <c r="F2855" i="1" a="1"/>
  <c r="F2855" i="1" s="1"/>
  <c r="F2854" i="1" a="1"/>
  <c r="F2854" i="1" s="1"/>
  <c r="F2853" i="1" a="1"/>
  <c r="F2853" i="1" s="1"/>
  <c r="F2852" i="1" a="1"/>
  <c r="F2852" i="1" s="1"/>
  <c r="F2851" i="1" a="1"/>
  <c r="F2851" i="1" s="1"/>
  <c r="F2850" i="1" a="1"/>
  <c r="F2850" i="1" s="1"/>
  <c r="F2849" i="1" a="1"/>
  <c r="F2849" i="1" s="1"/>
  <c r="F2848" i="1" a="1"/>
  <c r="F2848" i="1" s="1"/>
  <c r="F2847" i="1" a="1"/>
  <c r="F2847" i="1" s="1"/>
  <c r="F2846" i="1" a="1"/>
  <c r="F2846" i="1" s="1"/>
  <c r="F2845" i="1" a="1"/>
  <c r="F2845" i="1" s="1"/>
  <c r="F2844" i="1" a="1"/>
  <c r="F2844" i="1" s="1"/>
  <c r="F2843" i="1" a="1"/>
  <c r="F2843" i="1" s="1"/>
  <c r="F2842" i="1" a="1"/>
  <c r="F2842" i="1" s="1"/>
  <c r="F2841" i="1" a="1"/>
  <c r="F2841" i="1" s="1"/>
  <c r="F2840" i="1" a="1"/>
  <c r="F2840" i="1" s="1"/>
  <c r="F2839" i="1" a="1"/>
  <c r="F2839" i="1" s="1"/>
  <c r="F2838" i="1" a="1"/>
  <c r="F2838" i="1" s="1"/>
  <c r="F2837" i="1" a="1"/>
  <c r="F2837" i="1" s="1"/>
  <c r="F2836" i="1" a="1"/>
  <c r="F2836" i="1" s="1"/>
  <c r="F2835" i="1" a="1"/>
  <c r="F2835" i="1" s="1"/>
  <c r="F2834" i="1" a="1"/>
  <c r="F2834" i="1" s="1"/>
  <c r="H2834" i="1" s="1"/>
  <c r="F2833" i="1" a="1"/>
  <c r="F2833" i="1" s="1"/>
  <c r="F2832" i="1" a="1"/>
  <c r="F2832" i="1" s="1"/>
  <c r="F2831" i="1" a="1"/>
  <c r="F2831" i="1" s="1"/>
  <c r="F2830" i="1" a="1"/>
  <c r="F2830" i="1" s="1"/>
  <c r="F2829" i="1" a="1"/>
  <c r="F2829" i="1" s="1"/>
  <c r="F2828" i="1" a="1"/>
  <c r="F2828" i="1" s="1"/>
  <c r="F2827" i="1" a="1"/>
  <c r="F2827" i="1" s="1"/>
  <c r="F2826" i="1" a="1"/>
  <c r="F2826" i="1" s="1"/>
  <c r="F2825" i="1" a="1"/>
  <c r="F2825" i="1" s="1"/>
  <c r="F2824" i="1" a="1"/>
  <c r="F2824" i="1" s="1"/>
  <c r="F2823" i="1" a="1"/>
  <c r="F2823" i="1" s="1"/>
  <c r="F2822" i="1" a="1"/>
  <c r="F2822" i="1" s="1"/>
  <c r="F2821" i="1" a="1"/>
  <c r="F2821" i="1" s="1"/>
  <c r="H2821" i="1" s="1"/>
  <c r="F2820" i="1" a="1"/>
  <c r="F2820" i="1" s="1"/>
  <c r="H2820" i="1" s="1"/>
  <c r="F2819" i="1" a="1"/>
  <c r="F2819" i="1" s="1"/>
  <c r="H2819" i="1" s="1"/>
  <c r="F2818" i="1" a="1"/>
  <c r="F2818" i="1" s="1"/>
  <c r="H2818" i="1" s="1"/>
  <c r="F2817" i="1" a="1"/>
  <c r="F2817" i="1" s="1"/>
  <c r="H2817" i="1" s="1"/>
  <c r="F2816" i="1" a="1"/>
  <c r="F2816" i="1" s="1"/>
  <c r="F2815" i="1" a="1"/>
  <c r="F2815" i="1" s="1"/>
  <c r="F2814" i="1" a="1"/>
  <c r="F2814" i="1" s="1"/>
  <c r="F2813" i="1" a="1"/>
  <c r="F2813" i="1" s="1"/>
  <c r="F2812" i="1" a="1"/>
  <c r="F2812" i="1" s="1"/>
  <c r="F2811" i="1" a="1"/>
  <c r="F2811" i="1" s="1"/>
  <c r="H2811" i="1" s="1"/>
  <c r="F2810" i="1" a="1"/>
  <c r="F2810" i="1" s="1"/>
  <c r="F2809" i="1" a="1"/>
  <c r="F2809" i="1" s="1"/>
  <c r="H2809" i="1" s="1"/>
  <c r="F2808" i="1" a="1"/>
  <c r="F2808" i="1" s="1"/>
  <c r="H2808" i="1" s="1"/>
  <c r="F2807" i="1" a="1"/>
  <c r="F2807" i="1" s="1"/>
  <c r="F2806" i="1" a="1"/>
  <c r="F2806" i="1" s="1"/>
  <c r="F2805" i="1" a="1"/>
  <c r="F2805" i="1" s="1"/>
  <c r="F2804" i="1" a="1"/>
  <c r="F2804" i="1" s="1"/>
  <c r="F2803" i="1" a="1"/>
  <c r="F2803" i="1" s="1"/>
  <c r="F2802" i="1" a="1"/>
  <c r="F2802" i="1" s="1"/>
  <c r="F2801" i="1" a="1"/>
  <c r="F2801" i="1" s="1"/>
  <c r="H2801" i="1" s="1"/>
  <c r="F2800" i="1" a="1"/>
  <c r="F2800" i="1" s="1"/>
  <c r="F2799" i="1" a="1"/>
  <c r="F2799" i="1" s="1"/>
  <c r="H2799" i="1" s="1"/>
  <c r="F2798" i="1" a="1"/>
  <c r="F2798" i="1" s="1"/>
  <c r="F2797" i="1" a="1"/>
  <c r="F2797" i="1" s="1"/>
  <c r="H2797" i="1" s="1"/>
  <c r="F2796" i="1" a="1"/>
  <c r="F2796" i="1" s="1"/>
  <c r="F2795" i="1" a="1"/>
  <c r="F2795" i="1" s="1"/>
  <c r="F2794" i="1" a="1"/>
  <c r="F2794" i="1" s="1"/>
  <c r="F2793" i="1" a="1"/>
  <c r="F2793" i="1" s="1"/>
  <c r="F2792" i="1" a="1"/>
  <c r="F2792" i="1" s="1"/>
  <c r="F2791" i="1" a="1"/>
  <c r="F2791" i="1" s="1"/>
  <c r="F2790" i="1" a="1"/>
  <c r="F2790" i="1" s="1"/>
  <c r="F2789" i="1" a="1"/>
  <c r="F2789" i="1" s="1"/>
  <c r="F2788" i="1" a="1"/>
  <c r="F2788" i="1" s="1"/>
  <c r="F2787" i="1" a="1"/>
  <c r="F2787" i="1" s="1"/>
  <c r="H2787" i="1" s="1"/>
  <c r="F2786" i="1" a="1"/>
  <c r="F2786" i="1" s="1"/>
  <c r="H2786" i="1" s="1"/>
  <c r="F2785" i="1" a="1"/>
  <c r="F2785" i="1" s="1"/>
  <c r="H2785" i="1" s="1"/>
  <c r="F2784" i="1" a="1"/>
  <c r="F2784" i="1" s="1"/>
  <c r="H2784" i="1" s="1"/>
  <c r="F2783" i="1" a="1"/>
  <c r="F2783" i="1" s="1"/>
  <c r="H2783" i="1" s="1"/>
  <c r="F2782" i="1" a="1"/>
  <c r="F2782" i="1" s="1"/>
  <c r="H2782" i="1" s="1"/>
  <c r="F2781" i="1" a="1"/>
  <c r="F2781" i="1" s="1"/>
  <c r="F2780" i="1" a="1"/>
  <c r="F2780" i="1" s="1"/>
  <c r="F2779" i="1" a="1"/>
  <c r="F2779" i="1" s="1"/>
  <c r="H2779" i="1" s="1"/>
  <c r="F2778" i="1" a="1"/>
  <c r="F2778" i="1" s="1"/>
  <c r="F2777" i="1" a="1"/>
  <c r="F2777" i="1" s="1"/>
  <c r="H2777" i="1" s="1"/>
  <c r="F2776" i="1" a="1"/>
  <c r="F2776" i="1" s="1"/>
  <c r="F2775" i="1" a="1"/>
  <c r="F2775" i="1" s="1"/>
  <c r="H2775" i="1" s="1"/>
  <c r="F2774" i="1" a="1"/>
  <c r="F2774" i="1" s="1"/>
  <c r="H2774" i="1" s="1"/>
  <c r="F2773" i="1" a="1"/>
  <c r="F2773" i="1" s="1"/>
  <c r="F2772" i="1" a="1"/>
  <c r="F2772" i="1" s="1"/>
  <c r="F2771" i="1" a="1"/>
  <c r="F2771" i="1" s="1"/>
  <c r="F2770" i="1" a="1"/>
  <c r="F2770" i="1" s="1"/>
  <c r="H2770" i="1" s="1"/>
  <c r="F2769" i="1" a="1"/>
  <c r="F2769" i="1" s="1"/>
  <c r="F2768" i="1" a="1"/>
  <c r="F2768" i="1" s="1"/>
  <c r="H2768" i="1" s="1"/>
  <c r="F2767" i="1" a="1"/>
  <c r="F2767" i="1" s="1"/>
  <c r="F2766" i="1" a="1"/>
  <c r="F2766" i="1" s="1"/>
  <c r="F2765" i="1" a="1"/>
  <c r="F2765" i="1" s="1"/>
  <c r="F2764" i="1" a="1"/>
  <c r="F2764" i="1" s="1"/>
  <c r="H2764" i="1" s="1"/>
  <c r="F2763" i="1" a="1"/>
  <c r="F2763" i="1" s="1"/>
  <c r="H2763" i="1" s="1"/>
  <c r="F2762" i="1" a="1"/>
  <c r="F2762" i="1" s="1"/>
  <c r="H2762" i="1" s="1"/>
  <c r="F2761" i="1" a="1"/>
  <c r="F2761" i="1" s="1"/>
  <c r="H2761" i="1" s="1"/>
  <c r="F2760" i="1" a="1"/>
  <c r="F2760" i="1" s="1"/>
  <c r="H2760" i="1" s="1"/>
  <c r="F2759" i="1" a="1"/>
  <c r="F2759" i="1" s="1"/>
  <c r="F2758" i="1" a="1"/>
  <c r="F2758" i="1" s="1"/>
  <c r="F2757" i="1" a="1"/>
  <c r="F2757" i="1" s="1"/>
  <c r="H2757" i="1" s="1"/>
  <c r="F2756" i="1" a="1"/>
  <c r="F2756" i="1" s="1"/>
  <c r="F2755" i="1" a="1"/>
  <c r="F2755" i="1" s="1"/>
  <c r="H2755" i="1" s="1"/>
  <c r="F2754" i="1" a="1"/>
  <c r="F2754" i="1" s="1"/>
  <c r="H2754" i="1" s="1"/>
  <c r="F2753" i="1" a="1"/>
  <c r="F2753" i="1" s="1"/>
  <c r="F2752" i="1" a="1"/>
  <c r="F2752" i="1" s="1"/>
  <c r="F2751" i="1" a="1"/>
  <c r="F2751" i="1" s="1"/>
  <c r="F2750" i="1" a="1"/>
  <c r="F2750" i="1" s="1"/>
  <c r="F2749" i="1" a="1"/>
  <c r="F2749" i="1" s="1"/>
  <c r="F2748" i="1" a="1"/>
  <c r="F2748" i="1" s="1"/>
  <c r="F2747" i="1" a="1"/>
  <c r="F2747" i="1" s="1"/>
  <c r="F2746" i="1" a="1"/>
  <c r="F2746" i="1" s="1"/>
  <c r="F2745" i="1" a="1"/>
  <c r="F2745" i="1" s="1"/>
  <c r="F2744" i="1" a="1"/>
  <c r="F2744" i="1" s="1"/>
  <c r="H2744" i="1" s="1"/>
  <c r="F2743" i="1" a="1"/>
  <c r="F2743" i="1" s="1"/>
  <c r="F2742" i="1" a="1"/>
  <c r="F2742" i="1" s="1"/>
  <c r="H2742" i="1" s="1"/>
  <c r="F2741" i="1" a="1"/>
  <c r="F2741" i="1" s="1"/>
  <c r="F2740" i="1" a="1"/>
  <c r="F2740" i="1" s="1"/>
  <c r="F2739" i="1" a="1"/>
  <c r="F2739" i="1" s="1"/>
  <c r="F2738" i="1" a="1"/>
  <c r="F2738" i="1" s="1"/>
  <c r="F2737" i="1" a="1"/>
  <c r="F2737" i="1" s="1"/>
  <c r="F2736" i="1" a="1"/>
  <c r="F2736" i="1" s="1"/>
  <c r="F2735" i="1" a="1"/>
  <c r="F2735" i="1" s="1"/>
  <c r="F2734" i="1" a="1"/>
  <c r="F2734" i="1" s="1"/>
  <c r="F2733" i="1" a="1"/>
  <c r="F2733" i="1" s="1"/>
  <c r="F2732" i="1" a="1"/>
  <c r="F2732" i="1" s="1"/>
  <c r="F2731" i="1" a="1"/>
  <c r="F2731" i="1" s="1"/>
  <c r="H2731" i="1" s="1"/>
  <c r="F2730" i="1" a="1"/>
  <c r="F2730" i="1" s="1"/>
  <c r="F2729" i="1" a="1"/>
  <c r="F2729" i="1" s="1"/>
  <c r="F2728" i="1" a="1"/>
  <c r="F2728" i="1" s="1"/>
  <c r="F2727" i="1" a="1"/>
  <c r="F2727" i="1" s="1"/>
  <c r="F2726" i="1" a="1"/>
  <c r="F2726" i="1" s="1"/>
  <c r="H2726" i="1" s="1"/>
  <c r="F2725" i="1" a="1"/>
  <c r="F2725" i="1" s="1"/>
  <c r="F2724" i="1" a="1"/>
  <c r="F2724" i="1" s="1"/>
  <c r="H2724" i="1" s="1"/>
  <c r="F2723" i="1" a="1"/>
  <c r="F2723" i="1" s="1"/>
  <c r="F2722" i="1" a="1"/>
  <c r="F2722" i="1" s="1"/>
  <c r="F2721" i="1" a="1"/>
  <c r="F2721" i="1" s="1"/>
  <c r="F2720" i="1" a="1"/>
  <c r="F2720" i="1" s="1"/>
  <c r="H2720" i="1" s="1"/>
  <c r="F2719" i="1" a="1"/>
  <c r="F2719" i="1" s="1"/>
  <c r="F2718" i="1" a="1"/>
  <c r="F2718" i="1" s="1"/>
  <c r="F2717" i="1" a="1"/>
  <c r="F2717" i="1" s="1"/>
  <c r="F2716" i="1" a="1"/>
  <c r="F2716" i="1" s="1"/>
  <c r="F2715" i="1" a="1"/>
  <c r="F2715" i="1" s="1"/>
  <c r="F2714" i="1" a="1"/>
  <c r="F2714" i="1" s="1"/>
  <c r="F2713" i="1" a="1"/>
  <c r="F2713" i="1" s="1"/>
  <c r="F2712" i="1" a="1"/>
  <c r="F2712" i="1" s="1"/>
  <c r="H2712" i="1" s="1"/>
  <c r="F2711" i="1" a="1"/>
  <c r="F2711" i="1" s="1"/>
  <c r="F2710" i="1" a="1"/>
  <c r="F2710" i="1" s="1"/>
  <c r="F2709" i="1" a="1"/>
  <c r="F2709" i="1" s="1"/>
  <c r="F2708" i="1" a="1"/>
  <c r="F2708" i="1" s="1"/>
  <c r="F2707" i="1" a="1"/>
  <c r="F2707" i="1" s="1"/>
  <c r="H2707" i="1" s="1"/>
  <c r="F2706" i="1" a="1"/>
  <c r="F2706" i="1" s="1"/>
  <c r="F2705" i="1" a="1"/>
  <c r="F2705" i="1" s="1"/>
  <c r="F2704" i="1" a="1"/>
  <c r="F2704" i="1" s="1"/>
  <c r="F2703" i="1" a="1"/>
  <c r="F2703" i="1" s="1"/>
  <c r="H2703" i="1" s="1"/>
  <c r="F2702" i="1" a="1"/>
  <c r="F2702" i="1" s="1"/>
  <c r="F2701" i="1" a="1"/>
  <c r="F2701" i="1" s="1"/>
  <c r="F2700" i="1" a="1"/>
  <c r="F2700" i="1" s="1"/>
  <c r="F2699" i="1" a="1"/>
  <c r="F2699" i="1" s="1"/>
  <c r="F2698" i="1" a="1"/>
  <c r="F2698" i="1" s="1"/>
  <c r="F2697" i="1" a="1"/>
  <c r="F2697" i="1" s="1"/>
  <c r="F2696" i="1" a="1"/>
  <c r="F2696" i="1" s="1"/>
  <c r="F2695" i="1" a="1"/>
  <c r="F2695" i="1" s="1"/>
  <c r="F2694" i="1" a="1"/>
  <c r="F2694" i="1" s="1"/>
  <c r="F2693" i="1" a="1"/>
  <c r="F2693" i="1" s="1"/>
  <c r="F2692" i="1" a="1"/>
  <c r="F2692" i="1" s="1"/>
  <c r="F2691" i="1" a="1"/>
  <c r="F2691" i="1" s="1"/>
  <c r="F2690" i="1" a="1"/>
  <c r="F2690" i="1" s="1"/>
  <c r="H2690" i="1" s="1"/>
  <c r="F2689" i="1" a="1"/>
  <c r="F2689" i="1" s="1"/>
  <c r="H2689" i="1" s="1"/>
  <c r="F2688" i="1" a="1"/>
  <c r="F2688" i="1" s="1"/>
  <c r="H2688" i="1" s="1"/>
  <c r="F2687" i="1" a="1"/>
  <c r="F2687" i="1" s="1"/>
  <c r="F2686" i="1" a="1"/>
  <c r="F2686" i="1" s="1"/>
  <c r="F2685" i="1" a="1"/>
  <c r="F2685" i="1" s="1"/>
  <c r="F2684" i="1" a="1"/>
  <c r="F2684" i="1" s="1"/>
  <c r="F2683" i="1" a="1"/>
  <c r="F2683" i="1" s="1"/>
  <c r="F2682" i="1" a="1"/>
  <c r="F2682" i="1" s="1"/>
  <c r="F2681" i="1" a="1"/>
  <c r="F2681" i="1" s="1"/>
  <c r="F2680" i="1" a="1"/>
  <c r="F2680" i="1" s="1"/>
  <c r="F2679" i="1" a="1"/>
  <c r="F2679" i="1" s="1"/>
  <c r="F2678" i="1" a="1"/>
  <c r="F2678" i="1" s="1"/>
  <c r="F2677" i="1" a="1"/>
  <c r="F2677" i="1" s="1"/>
  <c r="F2676" i="1" a="1"/>
  <c r="F2676" i="1" s="1"/>
  <c r="H2676" i="1" s="1"/>
  <c r="F2675" i="1" a="1"/>
  <c r="F2675" i="1" s="1"/>
  <c r="F2674" i="1" a="1"/>
  <c r="F2674" i="1" s="1"/>
  <c r="F2673" i="1" a="1"/>
  <c r="F2673" i="1" s="1"/>
  <c r="F2672" i="1" a="1"/>
  <c r="F2672" i="1" s="1"/>
  <c r="H2672" i="1" s="1"/>
  <c r="F2671" i="1" a="1"/>
  <c r="F2671" i="1" s="1"/>
  <c r="F2670" i="1" a="1"/>
  <c r="F2670" i="1" s="1"/>
  <c r="F2669" i="1" a="1"/>
  <c r="F2669" i="1" s="1"/>
  <c r="H2669" i="1" s="1"/>
  <c r="F2668" i="1" a="1"/>
  <c r="F2668" i="1" s="1"/>
  <c r="F2667" i="1" a="1"/>
  <c r="F2667" i="1" s="1"/>
  <c r="H2667" i="1" s="1"/>
  <c r="F2666" i="1" a="1"/>
  <c r="F2666" i="1" s="1"/>
  <c r="F2665" i="1" a="1"/>
  <c r="F2665" i="1" s="1"/>
  <c r="F2664" i="1" a="1"/>
  <c r="F2664" i="1" s="1"/>
  <c r="F2663" i="1" a="1"/>
  <c r="F2663" i="1" s="1"/>
  <c r="F2662" i="1" a="1"/>
  <c r="F2662" i="1" s="1"/>
  <c r="H2662" i="1" s="1"/>
  <c r="F2661" i="1" a="1"/>
  <c r="F2661" i="1" s="1"/>
  <c r="F2660" i="1" a="1"/>
  <c r="F2660" i="1" s="1"/>
  <c r="F2659" i="1" a="1"/>
  <c r="F2659" i="1" s="1"/>
  <c r="F2658" i="1" a="1"/>
  <c r="F2658" i="1" s="1"/>
  <c r="F2657" i="1" a="1"/>
  <c r="F2657" i="1" s="1"/>
  <c r="H2657" i="1" s="1"/>
  <c r="F2656" i="1" a="1"/>
  <c r="F2656" i="1" s="1"/>
  <c r="F2655" i="1" a="1"/>
  <c r="F2655" i="1" s="1"/>
  <c r="F2654" i="1" a="1"/>
  <c r="F2654" i="1" s="1"/>
  <c r="H2654" i="1" s="1"/>
  <c r="F2653" i="1" a="1"/>
  <c r="F2653" i="1" s="1"/>
  <c r="F2652" i="1" a="1"/>
  <c r="F2652" i="1" s="1"/>
  <c r="F2651" i="1" a="1"/>
  <c r="F2651" i="1" s="1"/>
  <c r="F2650" i="1" a="1"/>
  <c r="F2650" i="1" s="1"/>
  <c r="F2649" i="1" a="1"/>
  <c r="F2649" i="1" s="1"/>
  <c r="H2649" i="1" s="1"/>
  <c r="F2648" i="1" a="1"/>
  <c r="F2648" i="1" s="1"/>
  <c r="F2647" i="1" a="1"/>
  <c r="F2647" i="1" s="1"/>
  <c r="F2646" i="1" a="1"/>
  <c r="F2646" i="1" s="1"/>
  <c r="H2646" i="1" s="1"/>
  <c r="F2645" i="1" a="1"/>
  <c r="F2645" i="1" s="1"/>
  <c r="F2644" i="1" a="1"/>
  <c r="F2644" i="1" s="1"/>
  <c r="F2643" i="1" a="1"/>
  <c r="F2643" i="1" s="1"/>
  <c r="F2642" i="1" a="1"/>
  <c r="F2642" i="1" s="1"/>
  <c r="H2642" i="1" s="1"/>
  <c r="F2641" i="1" a="1"/>
  <c r="F2641" i="1" s="1"/>
  <c r="H2641" i="1" s="1"/>
  <c r="F2640" i="1" a="1"/>
  <c r="F2640" i="1" s="1"/>
  <c r="F2639" i="1" a="1"/>
  <c r="F2639" i="1" s="1"/>
  <c r="F2638" i="1" a="1"/>
  <c r="F2638" i="1" s="1"/>
  <c r="H2638" i="1" s="1"/>
  <c r="F2637" i="1" a="1"/>
  <c r="F2637" i="1" s="1"/>
  <c r="F2636" i="1" a="1"/>
  <c r="F2636" i="1" s="1"/>
  <c r="H2636" i="1" s="1"/>
  <c r="F2635" i="1" a="1"/>
  <c r="F2635" i="1" s="1"/>
  <c r="F2634" i="1" a="1"/>
  <c r="F2634" i="1" s="1"/>
  <c r="F2633" i="1" a="1"/>
  <c r="F2633" i="1" s="1"/>
  <c r="H2633" i="1" s="1"/>
  <c r="F2632" i="1" a="1"/>
  <c r="F2632" i="1" s="1"/>
  <c r="H2632" i="1" s="1"/>
  <c r="F2631" i="1" a="1"/>
  <c r="F2631" i="1" s="1"/>
  <c r="F2630" i="1" a="1"/>
  <c r="F2630" i="1" s="1"/>
  <c r="F2629" i="1" a="1"/>
  <c r="F2629" i="1" s="1"/>
  <c r="H2629" i="1" s="1"/>
  <c r="F2628" i="1" a="1"/>
  <c r="F2628" i="1" s="1"/>
  <c r="F2627" i="1" a="1"/>
  <c r="F2627" i="1" s="1"/>
  <c r="H2627" i="1" s="1"/>
  <c r="F2626" i="1" a="1"/>
  <c r="F2626" i="1" s="1"/>
  <c r="H2626" i="1" s="1"/>
  <c r="F2625" i="1" a="1"/>
  <c r="F2625" i="1" s="1"/>
  <c r="F2624" i="1" a="1"/>
  <c r="F2624" i="1" s="1"/>
  <c r="F2623" i="1" a="1"/>
  <c r="F2623" i="1" s="1"/>
  <c r="F2622" i="1" a="1"/>
  <c r="F2622" i="1" s="1"/>
  <c r="F2621" i="1" a="1"/>
  <c r="F2621" i="1" s="1"/>
  <c r="F2620" i="1" a="1"/>
  <c r="F2620" i="1" s="1"/>
  <c r="F2619" i="1" a="1"/>
  <c r="F2619" i="1" s="1"/>
  <c r="F2618" i="1" a="1"/>
  <c r="F2618" i="1" s="1"/>
  <c r="F2617" i="1" a="1"/>
  <c r="F2617" i="1" s="1"/>
  <c r="F2616" i="1" a="1"/>
  <c r="F2616" i="1" s="1"/>
  <c r="F2615" i="1" a="1"/>
  <c r="F2615" i="1" s="1"/>
  <c r="F2614" i="1" a="1"/>
  <c r="F2614" i="1" s="1"/>
  <c r="H2614" i="1" s="1"/>
  <c r="F2613" i="1" a="1"/>
  <c r="F2613" i="1" s="1"/>
  <c r="H2613" i="1" s="1"/>
  <c r="F2612" i="1" a="1"/>
  <c r="F2612" i="1" s="1"/>
  <c r="F2611" i="1" a="1"/>
  <c r="F2611" i="1" s="1"/>
  <c r="F2610" i="1" a="1"/>
  <c r="F2610" i="1" s="1"/>
  <c r="F2609" i="1" a="1"/>
  <c r="F2609" i="1" s="1"/>
  <c r="H2609" i="1" s="1"/>
  <c r="F2608" i="1" a="1"/>
  <c r="F2608" i="1" s="1"/>
  <c r="F2607" i="1" a="1"/>
  <c r="F2607" i="1" s="1"/>
  <c r="F2606" i="1" a="1"/>
  <c r="F2606" i="1" s="1"/>
  <c r="F2605" i="1" a="1"/>
  <c r="F2605" i="1" s="1"/>
  <c r="F2604" i="1" a="1"/>
  <c r="F2604" i="1" s="1"/>
  <c r="F2603" i="1" a="1"/>
  <c r="F2603" i="1" s="1"/>
  <c r="F2602" i="1" a="1"/>
  <c r="F2602" i="1" s="1"/>
  <c r="H2602" i="1" s="1"/>
  <c r="F2601" i="1" a="1"/>
  <c r="F2601" i="1" s="1"/>
  <c r="H2601" i="1" s="1"/>
  <c r="F2600" i="1" a="1"/>
  <c r="F2600" i="1" s="1"/>
  <c r="F2599" i="1" a="1"/>
  <c r="F2599" i="1" s="1"/>
  <c r="F2598" i="1" a="1"/>
  <c r="F2598" i="1" s="1"/>
  <c r="H2598" i="1" s="1"/>
  <c r="F2597" i="1" a="1"/>
  <c r="F2597" i="1" s="1"/>
  <c r="F2596" i="1" a="1"/>
  <c r="F2596" i="1" s="1"/>
  <c r="H2596" i="1" s="1"/>
  <c r="F2595" i="1" a="1"/>
  <c r="F2595" i="1" s="1"/>
  <c r="F2594" i="1" a="1"/>
  <c r="F2594" i="1" s="1"/>
  <c r="F2593" i="1" a="1"/>
  <c r="F2593" i="1" s="1"/>
  <c r="F2592" i="1" a="1"/>
  <c r="F2592" i="1" s="1"/>
  <c r="H2592" i="1" s="1"/>
  <c r="F2591" i="1" a="1"/>
  <c r="F2591" i="1" s="1"/>
  <c r="H2591" i="1" s="1"/>
  <c r="F2590" i="1" a="1"/>
  <c r="F2590" i="1" s="1"/>
  <c r="F2589" i="1" a="1"/>
  <c r="F2589" i="1" s="1"/>
  <c r="F2588" i="1" a="1"/>
  <c r="F2588" i="1" s="1"/>
  <c r="F2587" i="1" a="1"/>
  <c r="F2587" i="1" s="1"/>
  <c r="H2587" i="1" s="1"/>
  <c r="F2586" i="1" a="1"/>
  <c r="F2586" i="1" s="1"/>
  <c r="F2585" i="1" a="1"/>
  <c r="F2585" i="1" s="1"/>
  <c r="F2584" i="1" a="1"/>
  <c r="F2584" i="1" s="1"/>
  <c r="F2583" i="1" a="1"/>
  <c r="F2583" i="1" s="1"/>
  <c r="H2583" i="1" s="1"/>
  <c r="F2582" i="1" a="1"/>
  <c r="F2582" i="1" s="1"/>
  <c r="F2581" i="1" a="1"/>
  <c r="F2581" i="1" s="1"/>
  <c r="H2581" i="1" s="1"/>
  <c r="F2580" i="1" a="1"/>
  <c r="F2580" i="1" s="1"/>
  <c r="F2579" i="1" a="1"/>
  <c r="F2579" i="1" s="1"/>
  <c r="F2578" i="1" a="1"/>
  <c r="F2578" i="1" s="1"/>
  <c r="H2578" i="1" s="1"/>
  <c r="F2577" i="1" a="1"/>
  <c r="F2577" i="1" s="1"/>
  <c r="F2576" i="1" a="1"/>
  <c r="F2576" i="1" s="1"/>
  <c r="F2575" i="1" a="1"/>
  <c r="F2575" i="1" s="1"/>
  <c r="H2575" i="1" s="1"/>
  <c r="F2574" i="1" a="1"/>
  <c r="F2574" i="1" s="1"/>
  <c r="F2573" i="1" a="1"/>
  <c r="F2573" i="1" s="1"/>
  <c r="H2573" i="1" s="1"/>
  <c r="F2572" i="1" a="1"/>
  <c r="F2572" i="1" s="1"/>
  <c r="F2571" i="1" a="1"/>
  <c r="F2571" i="1" s="1"/>
  <c r="H2571" i="1" s="1"/>
  <c r="F2570" i="1" a="1"/>
  <c r="F2570" i="1" s="1"/>
  <c r="F2569" i="1" a="1"/>
  <c r="F2569" i="1" s="1"/>
  <c r="H2569" i="1" s="1"/>
  <c r="F2568" i="1" a="1"/>
  <c r="F2568" i="1" s="1"/>
  <c r="F2567" i="1" a="1"/>
  <c r="F2567" i="1" s="1"/>
  <c r="H2567" i="1" s="1"/>
  <c r="F2566" i="1" a="1"/>
  <c r="F2566" i="1" s="1"/>
  <c r="F2565" i="1" a="1"/>
  <c r="F2565" i="1" s="1"/>
  <c r="H2565" i="1" s="1"/>
  <c r="F2564" i="1" a="1"/>
  <c r="F2564" i="1" s="1"/>
  <c r="H2564" i="1" s="1"/>
  <c r="F2563" i="1" a="1"/>
  <c r="F2563" i="1" s="1"/>
  <c r="H2563" i="1" s="1"/>
  <c r="F2562" i="1" a="1"/>
  <c r="F2562" i="1" s="1"/>
  <c r="H2562" i="1" s="1"/>
  <c r="F2561" i="1" a="1"/>
  <c r="F2561" i="1" s="1"/>
  <c r="H2561" i="1" s="1"/>
  <c r="F2560" i="1" a="1"/>
  <c r="F2560" i="1" s="1"/>
  <c r="F2559" i="1" a="1"/>
  <c r="F2559" i="1" s="1"/>
  <c r="F2558" i="1" a="1"/>
  <c r="F2558" i="1" s="1"/>
  <c r="F2557" i="1" a="1"/>
  <c r="F2557" i="1" s="1"/>
  <c r="H2557" i="1" s="1"/>
  <c r="F2556" i="1" a="1"/>
  <c r="F2556" i="1" s="1"/>
  <c r="F2555" i="1" a="1"/>
  <c r="F2555" i="1" s="1"/>
  <c r="F2554" i="1" a="1"/>
  <c r="F2554" i="1" s="1"/>
  <c r="H2554" i="1" s="1"/>
  <c r="F2553" i="1" a="1"/>
  <c r="F2553" i="1" s="1"/>
  <c r="H2553" i="1" s="1"/>
  <c r="F2552" i="1" a="1"/>
  <c r="F2552" i="1" s="1"/>
  <c r="F2551" i="1" a="1"/>
  <c r="F2551" i="1" s="1"/>
  <c r="F2550" i="1" a="1"/>
  <c r="F2550" i="1" s="1"/>
  <c r="H2550" i="1" s="1"/>
  <c r="F2549" i="1" a="1"/>
  <c r="F2549" i="1" s="1"/>
  <c r="H2549" i="1" s="1"/>
  <c r="F2548" i="1" a="1"/>
  <c r="F2548" i="1" s="1"/>
  <c r="H2548" i="1" s="1"/>
  <c r="F2547" i="1" a="1"/>
  <c r="F2547" i="1" s="1"/>
  <c r="H2547" i="1" s="1"/>
  <c r="F2546" i="1" a="1"/>
  <c r="F2546" i="1" s="1"/>
  <c r="F2545" i="1" a="1"/>
  <c r="F2545" i="1" s="1"/>
  <c r="H2545" i="1" s="1"/>
  <c r="F2544" i="1" a="1"/>
  <c r="F2544" i="1" s="1"/>
  <c r="F2543" i="1" a="1"/>
  <c r="F2543" i="1" s="1"/>
  <c r="F2542" i="1" a="1"/>
  <c r="F2542" i="1" s="1"/>
  <c r="F2541" i="1" a="1"/>
  <c r="F2541" i="1" s="1"/>
  <c r="H2541" i="1" s="1"/>
  <c r="F2540" i="1" a="1"/>
  <c r="F2540" i="1" s="1"/>
  <c r="H2540" i="1" s="1"/>
  <c r="F2539" i="1" a="1"/>
  <c r="F2539" i="1" s="1"/>
  <c r="F2538" i="1" a="1"/>
  <c r="F2538" i="1" s="1"/>
  <c r="F2537" i="1" a="1"/>
  <c r="F2537" i="1" s="1"/>
  <c r="H2537" i="1" s="1"/>
  <c r="F2536" i="1" a="1"/>
  <c r="F2536" i="1" s="1"/>
  <c r="F2535" i="1" a="1"/>
  <c r="F2535" i="1" s="1"/>
  <c r="H2535" i="1" s="1"/>
  <c r="F2534" i="1" a="1"/>
  <c r="F2534" i="1" s="1"/>
  <c r="F2533" i="1" a="1"/>
  <c r="F2533" i="1" s="1"/>
  <c r="H2533" i="1" s="1"/>
  <c r="F2532" i="1" a="1"/>
  <c r="F2532" i="1" s="1"/>
  <c r="H2532" i="1" s="1"/>
  <c r="F2531" i="1" a="1"/>
  <c r="F2531" i="1" s="1"/>
  <c r="F2530" i="1" a="1"/>
  <c r="F2530" i="1" s="1"/>
  <c r="F2529" i="1" a="1"/>
  <c r="F2529" i="1" s="1"/>
  <c r="F2528" i="1" a="1"/>
  <c r="F2528" i="1" s="1"/>
  <c r="H2528" i="1" s="1"/>
  <c r="F2527" i="1" a="1"/>
  <c r="F2527" i="1" s="1"/>
  <c r="F2526" i="1" a="1"/>
  <c r="F2526" i="1" s="1"/>
  <c r="F2525" i="1" a="1"/>
  <c r="F2525" i="1" s="1"/>
  <c r="H2525" i="1" s="1"/>
  <c r="F2524" i="1" a="1"/>
  <c r="F2524" i="1" s="1"/>
  <c r="F2523" i="1" a="1"/>
  <c r="F2523" i="1" s="1"/>
  <c r="F2522" i="1" a="1"/>
  <c r="F2522" i="1" s="1"/>
  <c r="F2521" i="1" a="1"/>
  <c r="F2521" i="1" s="1"/>
  <c r="F2520" i="1" a="1"/>
  <c r="F2520" i="1" s="1"/>
  <c r="F2519" i="1" a="1"/>
  <c r="F2519" i="1" s="1"/>
  <c r="H2519" i="1" s="1"/>
  <c r="F2518" i="1" a="1"/>
  <c r="F2518" i="1" s="1"/>
  <c r="F2517" i="1" a="1"/>
  <c r="F2517" i="1" s="1"/>
  <c r="F2516" i="1" a="1"/>
  <c r="F2516" i="1" s="1"/>
  <c r="H2516" i="1" s="1"/>
  <c r="F2515" i="1" a="1"/>
  <c r="F2515" i="1" s="1"/>
  <c r="F2514" i="1" a="1"/>
  <c r="F2514" i="1" s="1"/>
  <c r="H2514" i="1" s="1"/>
  <c r="F2513" i="1" a="1"/>
  <c r="F2513" i="1" s="1"/>
  <c r="H2513" i="1" s="1"/>
  <c r="F2512" i="1" a="1"/>
  <c r="F2512" i="1" s="1"/>
  <c r="F2511" i="1" a="1"/>
  <c r="F2511" i="1" s="1"/>
  <c r="F2510" i="1" a="1"/>
  <c r="F2510" i="1" s="1"/>
  <c r="H2510" i="1" s="1"/>
  <c r="F2509" i="1" a="1"/>
  <c r="F2509" i="1" s="1"/>
  <c r="F2508" i="1" a="1"/>
  <c r="F2508" i="1" s="1"/>
  <c r="H2508" i="1" s="1"/>
  <c r="F2507" i="1" a="1"/>
  <c r="F2507" i="1" s="1"/>
  <c r="H2507" i="1" s="1"/>
  <c r="F2506" i="1" a="1"/>
  <c r="F2506" i="1" s="1"/>
  <c r="F2505" i="1" a="1"/>
  <c r="F2505" i="1" s="1"/>
  <c r="F2504" i="1" a="1"/>
  <c r="F2504" i="1" s="1"/>
  <c r="H2504" i="1" s="1"/>
  <c r="F2503" i="1" a="1"/>
  <c r="F2503" i="1" s="1"/>
  <c r="F2502" i="1" a="1"/>
  <c r="F2502" i="1" s="1"/>
  <c r="H2502" i="1" s="1"/>
  <c r="F2501" i="1" a="1"/>
  <c r="F2501" i="1" s="1"/>
  <c r="H2501" i="1" s="1"/>
  <c r="F2500" i="1" a="1"/>
  <c r="F2500" i="1" s="1"/>
  <c r="H2500" i="1" s="1"/>
  <c r="F2499" i="1" a="1"/>
  <c r="F2499" i="1" s="1"/>
  <c r="F2498" i="1" a="1"/>
  <c r="F2498" i="1" s="1"/>
  <c r="H2498" i="1" s="1"/>
  <c r="F2497" i="1" a="1"/>
  <c r="F2497" i="1" s="1"/>
  <c r="F2496" i="1" a="1"/>
  <c r="F2496" i="1" s="1"/>
  <c r="F2495" i="1" a="1"/>
  <c r="F2495" i="1" s="1"/>
  <c r="F2494" i="1" a="1"/>
  <c r="F2494" i="1" s="1"/>
  <c r="F2493" i="1" a="1"/>
  <c r="F2493" i="1" s="1"/>
  <c r="H2493" i="1" s="1"/>
  <c r="F2492" i="1" a="1"/>
  <c r="F2492" i="1" s="1"/>
  <c r="F2491" i="1" a="1"/>
  <c r="F2491" i="1" s="1"/>
  <c r="F2490" i="1" a="1"/>
  <c r="F2490" i="1" s="1"/>
  <c r="F2489" i="1" a="1"/>
  <c r="F2489" i="1" s="1"/>
  <c r="H2489" i="1" s="1"/>
  <c r="F2488" i="1" a="1"/>
  <c r="F2488" i="1" s="1"/>
  <c r="F2487" i="1" a="1"/>
  <c r="F2487" i="1" s="1"/>
  <c r="H2487" i="1" s="1"/>
  <c r="F2486" i="1" a="1"/>
  <c r="F2486" i="1" s="1"/>
  <c r="F2485" i="1" a="1"/>
  <c r="F2485" i="1" s="1"/>
  <c r="F2484" i="1" a="1"/>
  <c r="F2484" i="1" s="1"/>
  <c r="F2483" i="1" a="1"/>
  <c r="F2483" i="1" s="1"/>
  <c r="F2482" i="1" a="1"/>
  <c r="F2482" i="1" s="1"/>
  <c r="F2481" i="1" a="1"/>
  <c r="F2481" i="1" s="1"/>
  <c r="F2480" i="1" a="1"/>
  <c r="F2480" i="1" s="1"/>
  <c r="F2479" i="1" a="1"/>
  <c r="F2479" i="1" s="1"/>
  <c r="F2478" i="1" a="1"/>
  <c r="F2478" i="1" s="1"/>
  <c r="F2477" i="1" a="1"/>
  <c r="F2477" i="1" s="1"/>
  <c r="F2476" i="1" a="1"/>
  <c r="F2476" i="1" s="1"/>
  <c r="F2475" i="1" a="1"/>
  <c r="F2475" i="1" s="1"/>
  <c r="F2474" i="1" a="1"/>
  <c r="F2474" i="1" s="1"/>
  <c r="F2473" i="1" a="1"/>
  <c r="F2473" i="1" s="1"/>
  <c r="F2472" i="1" a="1"/>
  <c r="F2472" i="1" s="1"/>
  <c r="H2472" i="1" s="1"/>
  <c r="F2471" i="1" a="1"/>
  <c r="F2471" i="1" s="1"/>
  <c r="F2470" i="1" a="1"/>
  <c r="F2470" i="1" s="1"/>
  <c r="F2469" i="1" a="1"/>
  <c r="F2469" i="1" s="1"/>
  <c r="H2469" i="1" s="1"/>
  <c r="F2468" i="1" a="1"/>
  <c r="F2468" i="1" s="1"/>
  <c r="H2468" i="1" s="1"/>
  <c r="F2467" i="1" a="1"/>
  <c r="F2467" i="1" s="1"/>
  <c r="F2466" i="1" a="1"/>
  <c r="F2466" i="1" s="1"/>
  <c r="F2465" i="1" a="1"/>
  <c r="F2465" i="1" s="1"/>
  <c r="F2464" i="1" a="1"/>
  <c r="F2464" i="1" s="1"/>
  <c r="H2464" i="1" s="1"/>
  <c r="F2463" i="1" a="1"/>
  <c r="F2463" i="1" s="1"/>
  <c r="F2462" i="1" a="1"/>
  <c r="F2462" i="1" s="1"/>
  <c r="F2461" i="1" a="1"/>
  <c r="F2461" i="1" s="1"/>
  <c r="F2460" i="1" a="1"/>
  <c r="F2460" i="1" s="1"/>
  <c r="F2459" i="1" a="1"/>
  <c r="F2459" i="1" s="1"/>
  <c r="F2458" i="1" a="1"/>
  <c r="F2458" i="1" s="1"/>
  <c r="F2457" i="1" a="1"/>
  <c r="F2457" i="1" s="1"/>
  <c r="H2457" i="1" s="1"/>
  <c r="F2456" i="1" a="1"/>
  <c r="F2456" i="1" s="1"/>
  <c r="H2456" i="1" s="1"/>
  <c r="F2455" i="1" a="1"/>
  <c r="F2455" i="1" s="1"/>
  <c r="F2454" i="1" a="1"/>
  <c r="F2454" i="1" s="1"/>
  <c r="H2454" i="1" s="1"/>
  <c r="F2453" i="1" a="1"/>
  <c r="F2453" i="1" s="1"/>
  <c r="H2453" i="1" s="1"/>
  <c r="F2452" i="1" a="1"/>
  <c r="F2452" i="1" s="1"/>
  <c r="F2451" i="1" a="1"/>
  <c r="F2451" i="1" s="1"/>
  <c r="F2450" i="1" a="1"/>
  <c r="F2450" i="1" s="1"/>
  <c r="F2449" i="1" a="1"/>
  <c r="F2449" i="1" s="1"/>
  <c r="F2448" i="1" a="1"/>
  <c r="F2448" i="1" s="1"/>
  <c r="F2447" i="1" a="1"/>
  <c r="F2447" i="1" s="1"/>
  <c r="H2447" i="1" s="1"/>
  <c r="F2446" i="1" a="1"/>
  <c r="F2446" i="1" s="1"/>
  <c r="F2445" i="1" a="1"/>
  <c r="F2445" i="1" s="1"/>
  <c r="H2445" i="1" s="1"/>
  <c r="F2444" i="1" a="1"/>
  <c r="F2444" i="1" s="1"/>
  <c r="F2443" i="1" a="1"/>
  <c r="F2443" i="1" s="1"/>
  <c r="F2442" i="1" a="1"/>
  <c r="F2442" i="1" s="1"/>
  <c r="F2441" i="1" a="1"/>
  <c r="F2441" i="1" s="1"/>
  <c r="H2441" i="1" s="1"/>
  <c r="F2440" i="1" a="1"/>
  <c r="F2440" i="1" s="1"/>
  <c r="H2440" i="1" s="1"/>
  <c r="F2439" i="1" a="1"/>
  <c r="F2439" i="1" s="1"/>
  <c r="H2439" i="1" s="1"/>
  <c r="F2438" i="1" a="1"/>
  <c r="F2438" i="1" s="1"/>
  <c r="H2438" i="1" s="1"/>
  <c r="F2437" i="1" a="1"/>
  <c r="F2437" i="1" s="1"/>
  <c r="F2436" i="1" a="1"/>
  <c r="F2436" i="1" s="1"/>
  <c r="F2435" i="1" a="1"/>
  <c r="F2435" i="1" s="1"/>
  <c r="F2434" i="1" a="1"/>
  <c r="F2434" i="1" s="1"/>
  <c r="F2433" i="1" a="1"/>
  <c r="F2433" i="1" s="1"/>
  <c r="F2432" i="1" a="1"/>
  <c r="F2432" i="1" s="1"/>
  <c r="H2432" i="1" s="1"/>
  <c r="F2431" i="1" a="1"/>
  <c r="F2431" i="1" s="1"/>
  <c r="F2430" i="1" a="1"/>
  <c r="F2430" i="1" s="1"/>
  <c r="F2429" i="1" a="1"/>
  <c r="F2429" i="1" s="1"/>
  <c r="F2428" i="1" a="1"/>
  <c r="F2428" i="1" s="1"/>
  <c r="H2428" i="1" s="1"/>
  <c r="F2427" i="1" a="1"/>
  <c r="F2427" i="1" s="1"/>
  <c r="H2427" i="1" s="1"/>
  <c r="F2426" i="1" a="1"/>
  <c r="F2426" i="1" s="1"/>
  <c r="F2425" i="1" a="1"/>
  <c r="F2425" i="1" s="1"/>
  <c r="H2425" i="1" s="1"/>
  <c r="F2424" i="1" a="1"/>
  <c r="F2424" i="1" s="1"/>
  <c r="F2423" i="1" a="1"/>
  <c r="F2423" i="1" s="1"/>
  <c r="F2422" i="1" a="1"/>
  <c r="F2422" i="1" s="1"/>
  <c r="H2422" i="1" s="1"/>
  <c r="F2421" i="1" a="1"/>
  <c r="F2421" i="1" s="1"/>
  <c r="F2420" i="1" a="1"/>
  <c r="F2420" i="1" s="1"/>
  <c r="F2419" i="1" a="1"/>
  <c r="F2419" i="1" s="1"/>
  <c r="H2419" i="1" s="1"/>
  <c r="F2418" i="1" a="1"/>
  <c r="F2418" i="1" s="1"/>
  <c r="F2417" i="1" a="1"/>
  <c r="F2417" i="1" s="1"/>
  <c r="H2417" i="1" s="1"/>
  <c r="F2416" i="1" a="1"/>
  <c r="F2416" i="1" s="1"/>
  <c r="F2415" i="1" a="1"/>
  <c r="F2415" i="1" s="1"/>
  <c r="F2414" i="1" a="1"/>
  <c r="F2414" i="1" s="1"/>
  <c r="F2413" i="1" a="1"/>
  <c r="F2413" i="1" s="1"/>
  <c r="H2413" i="1" s="1"/>
  <c r="F2412" i="1" a="1"/>
  <c r="F2412" i="1" s="1"/>
  <c r="H2412" i="1" s="1"/>
  <c r="F2411" i="1" a="1"/>
  <c r="F2411" i="1" s="1"/>
  <c r="F2410" i="1" a="1"/>
  <c r="F2410" i="1" s="1"/>
  <c r="F2409" i="1" a="1"/>
  <c r="F2409" i="1" s="1"/>
  <c r="H2409" i="1" s="1"/>
  <c r="F2408" i="1" a="1"/>
  <c r="F2408" i="1" s="1"/>
  <c r="H2408" i="1" s="1"/>
  <c r="F2407" i="1" a="1"/>
  <c r="F2407" i="1" s="1"/>
  <c r="H2407" i="1" s="1"/>
  <c r="F2406" i="1" a="1"/>
  <c r="F2406" i="1" s="1"/>
  <c r="F2405" i="1" a="1"/>
  <c r="F2405" i="1" s="1"/>
  <c r="F2404" i="1" a="1"/>
  <c r="F2404" i="1" s="1"/>
  <c r="F2403" i="1" a="1"/>
  <c r="F2403" i="1" s="1"/>
  <c r="F2402" i="1" a="1"/>
  <c r="F2402" i="1" s="1"/>
  <c r="F2401" i="1" a="1"/>
  <c r="F2401" i="1" s="1"/>
  <c r="F2400" i="1" a="1"/>
  <c r="F2400" i="1" s="1"/>
  <c r="F2399" i="1" a="1"/>
  <c r="F2399" i="1" s="1"/>
  <c r="F2398" i="1" a="1"/>
  <c r="F2398" i="1" s="1"/>
  <c r="F2397" i="1" a="1"/>
  <c r="F2397" i="1" s="1"/>
  <c r="F2396" i="1" a="1"/>
  <c r="F2396" i="1" s="1"/>
  <c r="F2395" i="1" a="1"/>
  <c r="F2395" i="1" s="1"/>
  <c r="H2395" i="1" s="1"/>
  <c r="F2394" i="1" a="1"/>
  <c r="F2394" i="1" s="1"/>
  <c r="F2393" i="1" a="1"/>
  <c r="F2393" i="1" s="1"/>
  <c r="H2393" i="1" s="1"/>
  <c r="F2392" i="1" a="1"/>
  <c r="F2392" i="1" s="1"/>
  <c r="H2392" i="1" s="1"/>
  <c r="F2391" i="1" a="1"/>
  <c r="F2391" i="1" s="1"/>
  <c r="H2391" i="1" s="1"/>
  <c r="F2390" i="1" a="1"/>
  <c r="F2390" i="1" s="1"/>
  <c r="H2390" i="1" s="1"/>
  <c r="F2389" i="1" a="1"/>
  <c r="F2389" i="1" s="1"/>
  <c r="H2389" i="1" s="1"/>
  <c r="F2388" i="1" a="1"/>
  <c r="F2388" i="1" s="1"/>
  <c r="F2387" i="1" a="1"/>
  <c r="F2387" i="1" s="1"/>
  <c r="H2387" i="1" s="1"/>
  <c r="F2386" i="1" a="1"/>
  <c r="F2386" i="1" s="1"/>
  <c r="H2386" i="1" s="1"/>
  <c r="F2385" i="1" a="1"/>
  <c r="F2385" i="1" s="1"/>
  <c r="H2385" i="1" s="1"/>
  <c r="F2384" i="1" a="1"/>
  <c r="F2384" i="1" s="1"/>
  <c r="H2384" i="1" s="1"/>
  <c r="F2383" i="1" a="1"/>
  <c r="F2383" i="1" s="1"/>
  <c r="F2382" i="1" a="1"/>
  <c r="F2382" i="1" s="1"/>
  <c r="F2381" i="1" a="1"/>
  <c r="F2381" i="1" s="1"/>
  <c r="F2380" i="1" a="1"/>
  <c r="F2380" i="1" s="1"/>
  <c r="H2380" i="1" s="1"/>
  <c r="F2379" i="1" a="1"/>
  <c r="F2379" i="1" s="1"/>
  <c r="F2378" i="1" a="1"/>
  <c r="F2378" i="1" s="1"/>
  <c r="F2377" i="1" a="1"/>
  <c r="F2377" i="1" s="1"/>
  <c r="F2376" i="1" a="1"/>
  <c r="F2376" i="1" s="1"/>
  <c r="F2375" i="1" a="1"/>
  <c r="F2375" i="1" s="1"/>
  <c r="H2375" i="1" s="1"/>
  <c r="F2374" i="1" a="1"/>
  <c r="F2374" i="1" s="1"/>
  <c r="H2374" i="1" s="1"/>
  <c r="F2373" i="1" a="1"/>
  <c r="F2373" i="1" s="1"/>
  <c r="F2372" i="1" a="1"/>
  <c r="F2372" i="1" s="1"/>
  <c r="F2371" i="1" a="1"/>
  <c r="F2371" i="1" s="1"/>
  <c r="H2371" i="1" s="1"/>
  <c r="F2370" i="1" a="1"/>
  <c r="F2370" i="1" s="1"/>
  <c r="H2370" i="1" s="1"/>
  <c r="F2369" i="1" a="1"/>
  <c r="F2369" i="1" s="1"/>
  <c r="H2369" i="1" s="1"/>
  <c r="F2368" i="1" a="1"/>
  <c r="F2368" i="1" s="1"/>
  <c r="H2368" i="1" s="1"/>
  <c r="F2367" i="1" a="1"/>
  <c r="F2367" i="1" s="1"/>
  <c r="H2367" i="1" s="1"/>
  <c r="F2366" i="1" a="1"/>
  <c r="F2366" i="1" s="1"/>
  <c r="H2366" i="1" s="1"/>
  <c r="F2365" i="1" a="1"/>
  <c r="F2365" i="1" s="1"/>
  <c r="F2364" i="1" a="1"/>
  <c r="F2364" i="1" s="1"/>
  <c r="H2364" i="1" s="1"/>
  <c r="F2363" i="1" a="1"/>
  <c r="F2363" i="1" s="1"/>
  <c r="H2363" i="1" s="1"/>
  <c r="F2362" i="1" a="1"/>
  <c r="F2362" i="1" s="1"/>
  <c r="H2362" i="1" s="1"/>
  <c r="F2361" i="1" a="1"/>
  <c r="F2361" i="1" s="1"/>
  <c r="H2361" i="1" s="1"/>
  <c r="F2360" i="1" a="1"/>
  <c r="F2360" i="1" s="1"/>
  <c r="H2360" i="1" s="1"/>
  <c r="F2359" i="1" a="1"/>
  <c r="F2359" i="1" s="1"/>
  <c r="H2359" i="1" s="1"/>
  <c r="F2358" i="1" a="1"/>
  <c r="F2358" i="1" s="1"/>
  <c r="H2358" i="1" s="1"/>
  <c r="F2357" i="1" a="1"/>
  <c r="F2357" i="1" s="1"/>
  <c r="H2357" i="1" s="1"/>
  <c r="F2356" i="1" a="1"/>
  <c r="F2356" i="1" s="1"/>
  <c r="H2356" i="1" s="1"/>
  <c r="F2355" i="1" a="1"/>
  <c r="F2355" i="1" s="1"/>
  <c r="F2354" i="1" a="1"/>
  <c r="F2354" i="1" s="1"/>
  <c r="H2354" i="1" s="1"/>
  <c r="F2353" i="1" a="1"/>
  <c r="F2353" i="1" s="1"/>
  <c r="H2353" i="1" s="1"/>
  <c r="F2352" i="1" a="1"/>
  <c r="F2352" i="1" s="1"/>
  <c r="H2352" i="1" s="1"/>
  <c r="F2351" i="1" a="1"/>
  <c r="F2351" i="1" s="1"/>
  <c r="F2350" i="1" a="1"/>
  <c r="F2350" i="1" s="1"/>
  <c r="H2350" i="1" s="1"/>
  <c r="F2349" i="1" a="1"/>
  <c r="F2349" i="1" s="1"/>
  <c r="H2349" i="1" s="1"/>
  <c r="F2348" i="1" a="1"/>
  <c r="F2348" i="1" s="1"/>
  <c r="H2348" i="1" s="1"/>
  <c r="F2347" i="1" a="1"/>
  <c r="F2347" i="1" s="1"/>
  <c r="F2346" i="1" a="1"/>
  <c r="F2346" i="1" s="1"/>
  <c r="H2346" i="1" s="1"/>
  <c r="F2345" i="1" a="1"/>
  <c r="F2345" i="1" s="1"/>
  <c r="F2344" i="1" a="1"/>
  <c r="F2344" i="1" s="1"/>
  <c r="H2344" i="1" s="1"/>
  <c r="F2343" i="1" a="1"/>
  <c r="F2343" i="1" s="1"/>
  <c r="F2342" i="1" a="1"/>
  <c r="F2342" i="1" s="1"/>
  <c r="F2341" i="1" a="1"/>
  <c r="F2341" i="1" s="1"/>
  <c r="H2341" i="1" s="1"/>
  <c r="F2340" i="1" a="1"/>
  <c r="F2340" i="1" s="1"/>
  <c r="F2339" i="1" a="1"/>
  <c r="F2339" i="1" s="1"/>
  <c r="H2339" i="1" s="1"/>
  <c r="F2338" i="1" a="1"/>
  <c r="F2338" i="1" s="1"/>
  <c r="F2337" i="1" a="1"/>
  <c r="F2337" i="1" s="1"/>
  <c r="F2336" i="1" a="1"/>
  <c r="F2336" i="1" s="1"/>
  <c r="H2336" i="1" s="1"/>
  <c r="F2335" i="1" a="1"/>
  <c r="F2335" i="1" s="1"/>
  <c r="F2334" i="1" a="1"/>
  <c r="F2334" i="1" s="1"/>
  <c r="H2334" i="1" s="1"/>
  <c r="F2333" i="1" a="1"/>
  <c r="F2333" i="1" s="1"/>
  <c r="F2332" i="1" a="1"/>
  <c r="F2332" i="1" s="1"/>
  <c r="F2331" i="1" a="1"/>
  <c r="F2331" i="1" s="1"/>
  <c r="F2330" i="1" a="1"/>
  <c r="F2330" i="1" s="1"/>
  <c r="H2330" i="1" s="1"/>
  <c r="F2329" i="1" a="1"/>
  <c r="F2329" i="1" s="1"/>
  <c r="H2329" i="1" s="1"/>
  <c r="F2328" i="1" a="1"/>
  <c r="F2328" i="1" s="1"/>
  <c r="F2327" i="1" a="1"/>
  <c r="F2327" i="1" s="1"/>
  <c r="F2326" i="1" a="1"/>
  <c r="F2326" i="1" s="1"/>
  <c r="F2325" i="1" a="1"/>
  <c r="F2325" i="1" s="1"/>
  <c r="F2324" i="1" a="1"/>
  <c r="F2324" i="1" s="1"/>
  <c r="H2324" i="1" s="1"/>
  <c r="F2323" i="1" a="1"/>
  <c r="F2323" i="1" s="1"/>
  <c r="F2322" i="1" a="1"/>
  <c r="F2322" i="1" s="1"/>
  <c r="F2321" i="1" a="1"/>
  <c r="F2321" i="1" s="1"/>
  <c r="F2320" i="1" a="1"/>
  <c r="F2320" i="1" s="1"/>
  <c r="F2319" i="1" a="1"/>
  <c r="F2319" i="1" s="1"/>
  <c r="H2319" i="1" s="1"/>
  <c r="F2318" i="1" a="1"/>
  <c r="F2318" i="1" s="1"/>
  <c r="H2318" i="1" s="1"/>
  <c r="F2317" i="1" a="1"/>
  <c r="F2317" i="1" s="1"/>
  <c r="F2316" i="1" a="1"/>
  <c r="F2316" i="1" s="1"/>
  <c r="F2315" i="1" a="1"/>
  <c r="F2315" i="1" s="1"/>
  <c r="H2315" i="1" s="1"/>
  <c r="F2314" i="1" a="1"/>
  <c r="F2314" i="1" s="1"/>
  <c r="F2313" i="1" a="1"/>
  <c r="F2313" i="1" s="1"/>
  <c r="F2312" i="1" a="1"/>
  <c r="F2312" i="1" s="1"/>
  <c r="F2311" i="1" a="1"/>
  <c r="F2311" i="1" s="1"/>
  <c r="H2311" i="1" s="1"/>
  <c r="F2310" i="1" a="1"/>
  <c r="F2310" i="1" s="1"/>
  <c r="F2309" i="1" a="1"/>
  <c r="F2309" i="1" s="1"/>
  <c r="F2308" i="1" a="1"/>
  <c r="F2308" i="1" s="1"/>
  <c r="H2308" i="1" s="1"/>
  <c r="F2307" i="1" a="1"/>
  <c r="F2307" i="1" s="1"/>
  <c r="F2306" i="1" a="1"/>
  <c r="F2306" i="1" s="1"/>
  <c r="F2305" i="1" a="1"/>
  <c r="F2305" i="1" s="1"/>
  <c r="H2305" i="1" s="1"/>
  <c r="F2304" i="1" a="1"/>
  <c r="F2304" i="1" s="1"/>
  <c r="F2303" i="1" a="1"/>
  <c r="F2303" i="1" s="1"/>
  <c r="H2303" i="1" s="1"/>
  <c r="F2302" i="1" a="1"/>
  <c r="F2302" i="1" s="1"/>
  <c r="F2301" i="1" a="1"/>
  <c r="F2301" i="1" s="1"/>
  <c r="F2300" i="1" a="1"/>
  <c r="F2300" i="1" s="1"/>
  <c r="F2299" i="1" a="1"/>
  <c r="F2299" i="1" s="1"/>
  <c r="H2299" i="1" s="1"/>
  <c r="F2298" i="1" a="1"/>
  <c r="F2298" i="1" s="1"/>
  <c r="F2297" i="1" a="1"/>
  <c r="F2297" i="1" s="1"/>
  <c r="F2296" i="1" a="1"/>
  <c r="F2296" i="1" s="1"/>
  <c r="F2295" i="1" a="1"/>
  <c r="F2295" i="1" s="1"/>
  <c r="F2294" i="1" a="1"/>
  <c r="F2294" i="1" s="1"/>
  <c r="H2294" i="1" s="1"/>
  <c r="F2293" i="1" a="1"/>
  <c r="F2293" i="1" s="1"/>
  <c r="H2293" i="1" s="1"/>
  <c r="F2292" i="1" a="1"/>
  <c r="F2292" i="1" s="1"/>
  <c r="F2291" i="1" a="1"/>
  <c r="F2291" i="1" s="1"/>
  <c r="H2291" i="1" s="1"/>
  <c r="F2290" i="1" a="1"/>
  <c r="F2290" i="1" s="1"/>
  <c r="H2290" i="1" s="1"/>
  <c r="F2289" i="1" a="1"/>
  <c r="F2289" i="1" s="1"/>
  <c r="F2288" i="1" a="1"/>
  <c r="F2288" i="1" s="1"/>
  <c r="F2287" i="1" a="1"/>
  <c r="F2287" i="1" s="1"/>
  <c r="F2286" i="1" a="1"/>
  <c r="F2286" i="1" s="1"/>
  <c r="F2285" i="1" a="1"/>
  <c r="F2285" i="1" s="1"/>
  <c r="F2284" i="1" a="1"/>
  <c r="F2284" i="1" s="1"/>
  <c r="F2283" i="1" a="1"/>
  <c r="F2283" i="1" s="1"/>
  <c r="F2282" i="1" a="1"/>
  <c r="F2282" i="1" s="1"/>
  <c r="H2282" i="1" s="1"/>
  <c r="F2281" i="1" a="1"/>
  <c r="F2281" i="1" s="1"/>
  <c r="F2280" i="1" a="1"/>
  <c r="F2280" i="1" s="1"/>
  <c r="F2279" i="1" a="1"/>
  <c r="F2279" i="1" s="1"/>
  <c r="F2278" i="1" a="1"/>
  <c r="F2278" i="1" s="1"/>
  <c r="F2277" i="1" a="1"/>
  <c r="F2277" i="1" s="1"/>
  <c r="F2276" i="1" a="1"/>
  <c r="F2276" i="1" s="1"/>
  <c r="F2275" i="1" a="1"/>
  <c r="F2275" i="1" s="1"/>
  <c r="F2274" i="1" a="1"/>
  <c r="F2274" i="1" s="1"/>
  <c r="H2274" i="1" s="1"/>
  <c r="F2273" i="1" a="1"/>
  <c r="F2273" i="1" s="1"/>
  <c r="F2272" i="1" a="1"/>
  <c r="F2272" i="1" s="1"/>
  <c r="F2271" i="1" a="1"/>
  <c r="F2271" i="1" s="1"/>
  <c r="F2270" i="1" a="1"/>
  <c r="F2270" i="1" s="1"/>
  <c r="F2269" i="1" a="1"/>
  <c r="F2269" i="1" s="1"/>
  <c r="F2268" i="1" a="1"/>
  <c r="F2268" i="1" s="1"/>
  <c r="F2267" i="1" a="1"/>
  <c r="F2267" i="1" s="1"/>
  <c r="H2267" i="1" s="1"/>
  <c r="F2266" i="1" a="1"/>
  <c r="F2266" i="1" s="1"/>
  <c r="F2265" i="1" a="1"/>
  <c r="F2265" i="1" s="1"/>
  <c r="H2265" i="1" s="1"/>
  <c r="F2264" i="1" a="1"/>
  <c r="F2264" i="1" s="1"/>
  <c r="F2263" i="1" a="1"/>
  <c r="F2263" i="1" s="1"/>
  <c r="H2263" i="1" s="1"/>
  <c r="F2262" i="1" a="1"/>
  <c r="F2262" i="1" s="1"/>
  <c r="H2262" i="1" s="1"/>
  <c r="F2261" i="1" a="1"/>
  <c r="F2261" i="1" s="1"/>
  <c r="H2261" i="1" s="1"/>
  <c r="F2260" i="1" a="1"/>
  <c r="F2260" i="1" s="1"/>
  <c r="H2260" i="1" s="1"/>
  <c r="F2259" i="1" a="1"/>
  <c r="F2259" i="1" s="1"/>
  <c r="F2258" i="1" a="1"/>
  <c r="F2258" i="1" s="1"/>
  <c r="F2257" i="1" a="1"/>
  <c r="F2257" i="1" s="1"/>
  <c r="H2257" i="1" s="1"/>
  <c r="F2256" i="1" a="1"/>
  <c r="F2256" i="1" s="1"/>
  <c r="F2255" i="1" a="1"/>
  <c r="F2255" i="1" s="1"/>
  <c r="F2254" i="1" a="1"/>
  <c r="F2254" i="1" s="1"/>
  <c r="H2254" i="1" s="1"/>
  <c r="F2253" i="1" a="1"/>
  <c r="F2253" i="1" s="1"/>
  <c r="H2253" i="1" s="1"/>
  <c r="F2252" i="1" a="1"/>
  <c r="F2252" i="1" s="1"/>
  <c r="F2251" i="1" a="1"/>
  <c r="F2251" i="1" s="1"/>
  <c r="H2251" i="1" s="1"/>
  <c r="F2250" i="1" a="1"/>
  <c r="F2250" i="1" s="1"/>
  <c r="F2249" i="1" a="1"/>
  <c r="F2249" i="1" s="1"/>
  <c r="F2248" i="1" a="1"/>
  <c r="F2248" i="1" s="1"/>
  <c r="H2248" i="1" s="1"/>
  <c r="F2247" i="1" a="1"/>
  <c r="F2247" i="1" s="1"/>
  <c r="F2246" i="1" a="1"/>
  <c r="F2246" i="1" s="1"/>
  <c r="F2245" i="1" a="1"/>
  <c r="F2245" i="1" s="1"/>
  <c r="H2245" i="1" s="1"/>
  <c r="F2244" i="1" a="1"/>
  <c r="F2244" i="1" s="1"/>
  <c r="H2244" i="1" s="1"/>
  <c r="F2243" i="1" a="1"/>
  <c r="F2243" i="1" s="1"/>
  <c r="H2243" i="1" s="1"/>
  <c r="F2242" i="1" a="1"/>
  <c r="F2242" i="1" s="1"/>
  <c r="H2242" i="1" s="1"/>
  <c r="F2241" i="1" a="1"/>
  <c r="F2241" i="1" s="1"/>
  <c r="F2240" i="1" a="1"/>
  <c r="F2240" i="1" s="1"/>
  <c r="H2240" i="1" s="1"/>
  <c r="F2239" i="1" a="1"/>
  <c r="F2239" i="1" s="1"/>
  <c r="H2239" i="1" s="1"/>
  <c r="F2238" i="1" a="1"/>
  <c r="F2238" i="1" s="1"/>
  <c r="F2237" i="1" a="1"/>
  <c r="F2237" i="1" s="1"/>
  <c r="F2236" i="1" a="1"/>
  <c r="F2236" i="1" s="1"/>
  <c r="F2235" i="1" a="1"/>
  <c r="F2235" i="1" s="1"/>
  <c r="F2234" i="1" a="1"/>
  <c r="F2234" i="1" s="1"/>
  <c r="H2234" i="1" s="1"/>
  <c r="F2233" i="1" a="1"/>
  <c r="F2233" i="1" s="1"/>
  <c r="H2233" i="1" s="1"/>
  <c r="F2232" i="1" a="1"/>
  <c r="F2232" i="1" s="1"/>
  <c r="H2232" i="1" s="1"/>
  <c r="F2231" i="1" a="1"/>
  <c r="F2231" i="1" s="1"/>
  <c r="H2231" i="1" s="1"/>
  <c r="F2230" i="1" a="1"/>
  <c r="F2230" i="1" s="1"/>
  <c r="F2229" i="1" a="1"/>
  <c r="F2229" i="1" s="1"/>
  <c r="F2228" i="1" a="1"/>
  <c r="F2228" i="1" s="1"/>
  <c r="H2228" i="1" s="1"/>
  <c r="F2227" i="1" a="1"/>
  <c r="F2227" i="1" s="1"/>
  <c r="H2227" i="1" s="1"/>
  <c r="F2226" i="1" a="1"/>
  <c r="F2226" i="1" s="1"/>
  <c r="F2225" i="1" a="1"/>
  <c r="F2225" i="1" s="1"/>
  <c r="F2224" i="1" a="1"/>
  <c r="F2224" i="1" s="1"/>
  <c r="F2223" i="1" a="1"/>
  <c r="F2223" i="1" s="1"/>
  <c r="H2223" i="1" s="1"/>
  <c r="F2222" i="1" a="1"/>
  <c r="F2222" i="1" s="1"/>
  <c r="F2221" i="1" a="1"/>
  <c r="F2221" i="1" s="1"/>
  <c r="F2220" i="1" a="1"/>
  <c r="F2220" i="1" s="1"/>
  <c r="F2219" i="1" a="1"/>
  <c r="F2219" i="1" s="1"/>
  <c r="F2218" i="1" a="1"/>
  <c r="F2218" i="1" s="1"/>
  <c r="H2218" i="1" s="1"/>
  <c r="F2217" i="1" a="1"/>
  <c r="F2217" i="1" s="1"/>
  <c r="F2216" i="1" a="1"/>
  <c r="F2216" i="1" s="1"/>
  <c r="F2215" i="1" a="1"/>
  <c r="F2215" i="1" s="1"/>
  <c r="H2215" i="1" s="1"/>
  <c r="F2214" i="1" a="1"/>
  <c r="F2214" i="1" s="1"/>
  <c r="F2213" i="1" a="1"/>
  <c r="F2213" i="1" s="1"/>
  <c r="H2213" i="1" s="1"/>
  <c r="F2212" i="1" a="1"/>
  <c r="F2212" i="1" s="1"/>
  <c r="H2212" i="1" s="1"/>
  <c r="F2211" i="1" a="1"/>
  <c r="F2211" i="1" s="1"/>
  <c r="H2211" i="1" s="1"/>
  <c r="F2210" i="1" a="1"/>
  <c r="F2210" i="1" s="1"/>
  <c r="H2210" i="1" s="1"/>
  <c r="F2209" i="1" a="1"/>
  <c r="F2209" i="1" s="1"/>
  <c r="H2209" i="1" s="1"/>
  <c r="F2208" i="1" a="1"/>
  <c r="F2208" i="1" s="1"/>
  <c r="H2208" i="1" s="1"/>
  <c r="F2207" i="1" a="1"/>
  <c r="F2207" i="1" s="1"/>
  <c r="F2206" i="1" a="1"/>
  <c r="F2206" i="1" s="1"/>
  <c r="H2206" i="1" s="1"/>
  <c r="F2205" i="1" a="1"/>
  <c r="F2205" i="1" s="1"/>
  <c r="F2204" i="1" a="1"/>
  <c r="F2204" i="1" s="1"/>
  <c r="F2203" i="1" a="1"/>
  <c r="F2203" i="1" s="1"/>
  <c r="H2203" i="1" s="1"/>
  <c r="F2202" i="1" a="1"/>
  <c r="F2202" i="1" s="1"/>
  <c r="F2201" i="1" a="1"/>
  <c r="F2201" i="1" s="1"/>
  <c r="F2200" i="1" a="1"/>
  <c r="F2200" i="1" s="1"/>
  <c r="F2199" i="1" a="1"/>
  <c r="F2199" i="1" s="1"/>
  <c r="F2198" i="1" a="1"/>
  <c r="F2198" i="1" s="1"/>
  <c r="F2197" i="1" a="1"/>
  <c r="F2197" i="1" s="1"/>
  <c r="F2196" i="1" a="1"/>
  <c r="F2196" i="1" s="1"/>
  <c r="F2195" i="1" a="1"/>
  <c r="F2195" i="1" s="1"/>
  <c r="F2194" i="1" a="1"/>
  <c r="F2194" i="1" s="1"/>
  <c r="H2194" i="1" s="1"/>
  <c r="F2193" i="1" a="1"/>
  <c r="F2193" i="1" s="1"/>
  <c r="H2193" i="1" s="1"/>
  <c r="F2192" i="1" a="1"/>
  <c r="F2192" i="1" s="1"/>
  <c r="H2192" i="1" s="1"/>
  <c r="F2191" i="1" a="1"/>
  <c r="F2191" i="1" s="1"/>
  <c r="F2190" i="1" a="1"/>
  <c r="F2190" i="1" s="1"/>
  <c r="F2189" i="1" a="1"/>
  <c r="F2189" i="1" s="1"/>
  <c r="H2189" i="1" s="1"/>
  <c r="F2188" i="1" a="1"/>
  <c r="F2188" i="1" s="1"/>
  <c r="F2187" i="1" a="1"/>
  <c r="F2187" i="1" s="1"/>
  <c r="H2187" i="1" s="1"/>
  <c r="F2186" i="1" a="1"/>
  <c r="F2186" i="1" s="1"/>
  <c r="F2185" i="1" a="1"/>
  <c r="F2185" i="1" s="1"/>
  <c r="F2184" i="1" a="1"/>
  <c r="F2184" i="1" s="1"/>
  <c r="F2183" i="1" a="1"/>
  <c r="F2183" i="1" s="1"/>
  <c r="H2183" i="1" s="1"/>
  <c r="F2182" i="1" a="1"/>
  <c r="F2182" i="1" s="1"/>
  <c r="H2182" i="1" s="1"/>
  <c r="F2181" i="1" a="1"/>
  <c r="F2181" i="1" s="1"/>
  <c r="H2181" i="1" s="1"/>
  <c r="F2180" i="1" a="1"/>
  <c r="F2180" i="1" s="1"/>
  <c r="F2179" i="1" a="1"/>
  <c r="F2179" i="1" s="1"/>
  <c r="F2178" i="1" a="1"/>
  <c r="F2178" i="1" s="1"/>
  <c r="H2178" i="1" s="1"/>
  <c r="F2177" i="1" a="1"/>
  <c r="F2177" i="1" s="1"/>
  <c r="F2176" i="1" a="1"/>
  <c r="F2176" i="1" s="1"/>
  <c r="H2176" i="1" s="1"/>
  <c r="F2175" i="1" a="1"/>
  <c r="F2175" i="1" s="1"/>
  <c r="H2175" i="1" s="1"/>
  <c r="F2174" i="1" a="1"/>
  <c r="F2174" i="1" s="1"/>
  <c r="H2174" i="1" s="1"/>
  <c r="F2173" i="1" a="1"/>
  <c r="F2173" i="1" s="1"/>
  <c r="F2172" i="1" a="1"/>
  <c r="F2172" i="1" s="1"/>
  <c r="H2172" i="1" s="1"/>
  <c r="F2171" i="1" a="1"/>
  <c r="F2171" i="1" s="1"/>
  <c r="F2170" i="1" a="1"/>
  <c r="F2170" i="1" s="1"/>
  <c r="F2169" i="1" a="1"/>
  <c r="F2169" i="1" s="1"/>
  <c r="F2168" i="1" a="1"/>
  <c r="F2168" i="1" s="1"/>
  <c r="F2167" i="1" a="1"/>
  <c r="F2167" i="1" s="1"/>
  <c r="F2166" i="1" a="1"/>
  <c r="F2166" i="1" s="1"/>
  <c r="F2165" i="1" a="1"/>
  <c r="F2165" i="1" s="1"/>
  <c r="F2164" i="1" a="1"/>
  <c r="F2164" i="1" s="1"/>
  <c r="H2164" i="1" s="1"/>
  <c r="F2163" i="1" a="1"/>
  <c r="F2163" i="1" s="1"/>
  <c r="F2162" i="1" a="1"/>
  <c r="F2162" i="1" s="1"/>
  <c r="F2161" i="1" a="1"/>
  <c r="F2161" i="1" s="1"/>
  <c r="F2160" i="1" a="1"/>
  <c r="F2160" i="1" s="1"/>
  <c r="H2160" i="1" s="1"/>
  <c r="F2159" i="1" a="1"/>
  <c r="F2159" i="1" s="1"/>
  <c r="F2158" i="1" a="1"/>
  <c r="F2158" i="1" s="1"/>
  <c r="H2158" i="1" s="1"/>
  <c r="F2157" i="1" a="1"/>
  <c r="F2157" i="1" s="1"/>
  <c r="H2157" i="1" s="1"/>
  <c r="F2156" i="1" a="1"/>
  <c r="F2156" i="1" s="1"/>
  <c r="F2155" i="1" a="1"/>
  <c r="F2155" i="1" s="1"/>
  <c r="F2154" i="1" a="1"/>
  <c r="F2154" i="1" s="1"/>
  <c r="F2153" i="1" a="1"/>
  <c r="F2153" i="1" s="1"/>
  <c r="F2152" i="1" a="1"/>
  <c r="F2152" i="1" s="1"/>
  <c r="H2152" i="1" s="1"/>
  <c r="F2151" i="1" a="1"/>
  <c r="F2151" i="1" s="1"/>
  <c r="F2150" i="1" a="1"/>
  <c r="F2150" i="1" s="1"/>
  <c r="F2149" i="1" a="1"/>
  <c r="F2149" i="1" s="1"/>
  <c r="H2149" i="1" s="1"/>
  <c r="F2148" i="1" a="1"/>
  <c r="F2148" i="1" s="1"/>
  <c r="F2147" i="1" a="1"/>
  <c r="F2147" i="1" s="1"/>
  <c r="F2146" i="1" a="1"/>
  <c r="F2146" i="1" s="1"/>
  <c r="F2145" i="1" a="1"/>
  <c r="F2145" i="1" s="1"/>
  <c r="F2144" i="1" a="1"/>
  <c r="F2144" i="1" s="1"/>
  <c r="H2144" i="1" s="1"/>
  <c r="F2143" i="1" a="1"/>
  <c r="F2143" i="1" s="1"/>
  <c r="H2143" i="1" s="1"/>
  <c r="F2142" i="1" a="1"/>
  <c r="F2142" i="1" s="1"/>
  <c r="F2141" i="1" a="1"/>
  <c r="F2141" i="1" s="1"/>
  <c r="F2140" i="1" a="1"/>
  <c r="F2140" i="1" s="1"/>
  <c r="H2140" i="1" s="1"/>
  <c r="F2139" i="1" a="1"/>
  <c r="F2139" i="1" s="1"/>
  <c r="H2139" i="1" s="1"/>
  <c r="F2138" i="1" a="1"/>
  <c r="F2138" i="1" s="1"/>
  <c r="F2137" i="1" a="1"/>
  <c r="F2137" i="1" s="1"/>
  <c r="H2137" i="1" s="1"/>
  <c r="F2136" i="1" a="1"/>
  <c r="F2136" i="1" s="1"/>
  <c r="F2135" i="1" a="1"/>
  <c r="F2135" i="1" s="1"/>
  <c r="F2134" i="1" a="1"/>
  <c r="F2134" i="1" s="1"/>
  <c r="F2133" i="1" a="1"/>
  <c r="F2133" i="1" s="1"/>
  <c r="H2133" i="1" s="1"/>
  <c r="F2132" i="1" a="1"/>
  <c r="F2132" i="1" s="1"/>
  <c r="H2132" i="1" s="1"/>
  <c r="F2131" i="1" a="1"/>
  <c r="F2131" i="1" s="1"/>
  <c r="F2130" i="1" a="1"/>
  <c r="F2130" i="1" s="1"/>
  <c r="F2129" i="1" a="1"/>
  <c r="F2129" i="1" s="1"/>
  <c r="F2128" i="1" a="1"/>
  <c r="F2128" i="1" s="1"/>
  <c r="F2127" i="1" a="1"/>
  <c r="F2127" i="1" s="1"/>
  <c r="F2126" i="1" a="1"/>
  <c r="F2126" i="1" s="1"/>
  <c r="F2125" i="1" a="1"/>
  <c r="F2125" i="1" s="1"/>
  <c r="F2124" i="1" a="1"/>
  <c r="F2124" i="1" s="1"/>
  <c r="H2124" i="1" s="1"/>
  <c r="F2123" i="1" a="1"/>
  <c r="F2123" i="1" s="1"/>
  <c r="H2123" i="1" s="1"/>
  <c r="F2122" i="1" a="1"/>
  <c r="F2122" i="1" s="1"/>
  <c r="F2121" i="1" a="1"/>
  <c r="F2121" i="1" s="1"/>
  <c r="H2121" i="1" s="1"/>
  <c r="F2120" i="1" a="1"/>
  <c r="F2120" i="1" s="1"/>
  <c r="F2119" i="1" a="1"/>
  <c r="F2119" i="1" s="1"/>
  <c r="H2119" i="1" s="1"/>
  <c r="F2118" i="1" a="1"/>
  <c r="F2118" i="1" s="1"/>
  <c r="F2117" i="1" a="1"/>
  <c r="F2117" i="1" s="1"/>
  <c r="H2117" i="1" s="1"/>
  <c r="F2116" i="1" a="1"/>
  <c r="F2116" i="1" s="1"/>
  <c r="F2115" i="1" a="1"/>
  <c r="F2115" i="1" s="1"/>
  <c r="F2114" i="1" a="1"/>
  <c r="F2114" i="1" s="1"/>
  <c r="F2113" i="1" a="1"/>
  <c r="F2113" i="1" s="1"/>
  <c r="F2112" i="1" a="1"/>
  <c r="F2112" i="1" s="1"/>
  <c r="F2111" i="1" a="1"/>
  <c r="F2111" i="1" s="1"/>
  <c r="F2110" i="1" a="1"/>
  <c r="F2110" i="1" s="1"/>
  <c r="H2110" i="1" s="1"/>
  <c r="F2109" i="1" a="1"/>
  <c r="F2109" i="1" s="1"/>
  <c r="H2109" i="1" s="1"/>
  <c r="F2108" i="1" a="1"/>
  <c r="F2108" i="1" s="1"/>
  <c r="F2107" i="1" a="1"/>
  <c r="F2107" i="1" s="1"/>
  <c r="F2106" i="1" a="1"/>
  <c r="F2106" i="1" s="1"/>
  <c r="H2106" i="1" s="1"/>
  <c r="F2105" i="1" a="1"/>
  <c r="F2105" i="1" s="1"/>
  <c r="F2104" i="1" a="1"/>
  <c r="F2104" i="1" s="1"/>
  <c r="H2104" i="1" s="1"/>
  <c r="F2103" i="1" a="1"/>
  <c r="F2103" i="1" s="1"/>
  <c r="H2103" i="1" s="1"/>
  <c r="F2102" i="1" a="1"/>
  <c r="F2102" i="1" s="1"/>
  <c r="H2102" i="1" s="1"/>
  <c r="F2101" i="1" a="1"/>
  <c r="F2101" i="1" s="1"/>
  <c r="H2101" i="1" s="1"/>
  <c r="F2100" i="1" a="1"/>
  <c r="F2100" i="1" s="1"/>
  <c r="H2100" i="1" s="1"/>
  <c r="F2099" i="1" a="1"/>
  <c r="F2099" i="1" s="1"/>
  <c r="F2098" i="1" a="1"/>
  <c r="F2098" i="1" s="1"/>
  <c r="H2098" i="1" s="1"/>
  <c r="F2097" i="1" a="1"/>
  <c r="F2097" i="1" s="1"/>
  <c r="F2096" i="1" a="1"/>
  <c r="F2096" i="1" s="1"/>
  <c r="H2096" i="1" s="1"/>
  <c r="F2095" i="1" a="1"/>
  <c r="F2095" i="1" s="1"/>
  <c r="H2095" i="1" s="1"/>
  <c r="F2094" i="1" a="1"/>
  <c r="F2094" i="1" s="1"/>
  <c r="H2094" i="1" s="1"/>
  <c r="F2093" i="1" a="1"/>
  <c r="F2093" i="1" s="1"/>
  <c r="F2092" i="1" a="1"/>
  <c r="F2092" i="1" s="1"/>
  <c r="F2091" i="1" a="1"/>
  <c r="F2091" i="1" s="1"/>
  <c r="H2091" i="1" s="1"/>
  <c r="F2090" i="1" a="1"/>
  <c r="F2090" i="1" s="1"/>
  <c r="H2090" i="1" s="1"/>
  <c r="F2089" i="1" a="1"/>
  <c r="F2089" i="1" s="1"/>
  <c r="F2088" i="1" a="1"/>
  <c r="F2088" i="1" s="1"/>
  <c r="H2088" i="1" s="1"/>
  <c r="F2087" i="1" a="1"/>
  <c r="F2087" i="1" s="1"/>
  <c r="F2086" i="1" a="1"/>
  <c r="F2086" i="1" s="1"/>
  <c r="H2086" i="1" s="1"/>
  <c r="F2085" i="1" a="1"/>
  <c r="F2085" i="1" s="1"/>
  <c r="F2084" i="1" a="1"/>
  <c r="F2084" i="1" s="1"/>
  <c r="H2084" i="1" s="1"/>
  <c r="F2083" i="1" a="1"/>
  <c r="F2083" i="1" s="1"/>
  <c r="F2082" i="1" a="1"/>
  <c r="F2082" i="1" s="1"/>
  <c r="F2081" i="1" a="1"/>
  <c r="F2081" i="1" s="1"/>
  <c r="H2081" i="1" s="1"/>
  <c r="F2080" i="1" a="1"/>
  <c r="F2080" i="1" s="1"/>
  <c r="F2079" i="1" a="1"/>
  <c r="F2079" i="1" s="1"/>
  <c r="F2078" i="1" a="1"/>
  <c r="F2078" i="1" s="1"/>
  <c r="F2077" i="1" a="1"/>
  <c r="F2077" i="1" s="1"/>
  <c r="H2077" i="1" s="1"/>
  <c r="F2076" i="1" a="1"/>
  <c r="F2076" i="1" s="1"/>
  <c r="H2076" i="1" s="1"/>
  <c r="F2075" i="1" a="1"/>
  <c r="F2075" i="1" s="1"/>
  <c r="H2075" i="1" s="1"/>
  <c r="F2074" i="1" a="1"/>
  <c r="F2074" i="1" s="1"/>
  <c r="F2073" i="1" a="1"/>
  <c r="F2073" i="1" s="1"/>
  <c r="H2073" i="1" s="1"/>
  <c r="F2072" i="1" a="1"/>
  <c r="F2072" i="1" s="1"/>
  <c r="H2072" i="1" s="1"/>
  <c r="F2071" i="1" a="1"/>
  <c r="F2071" i="1" s="1"/>
  <c r="F2070" i="1" a="1"/>
  <c r="F2070" i="1" s="1"/>
  <c r="F2069" i="1" a="1"/>
  <c r="F2069" i="1" s="1"/>
  <c r="F2068" i="1" a="1"/>
  <c r="F2068" i="1" s="1"/>
  <c r="F2067" i="1" a="1"/>
  <c r="F2067" i="1" s="1"/>
  <c r="H2067" i="1" s="1"/>
  <c r="F2066" i="1" a="1"/>
  <c r="F2066" i="1" s="1"/>
  <c r="H2066" i="1" s="1"/>
  <c r="F2065" i="1" a="1"/>
  <c r="F2065" i="1" s="1"/>
  <c r="F2064" i="1" a="1"/>
  <c r="F2064" i="1" s="1"/>
  <c r="H2064" i="1" s="1"/>
  <c r="F2063" i="1" a="1"/>
  <c r="F2063" i="1" s="1"/>
  <c r="F2062" i="1" a="1"/>
  <c r="F2062" i="1" s="1"/>
  <c r="F2061" i="1" a="1"/>
  <c r="F2061" i="1" s="1"/>
  <c r="F2060" i="1" a="1"/>
  <c r="F2060" i="1" s="1"/>
  <c r="F2059" i="1" a="1"/>
  <c r="F2059" i="1" s="1"/>
  <c r="H2059" i="1" s="1"/>
  <c r="F2058" i="1" a="1"/>
  <c r="F2058" i="1" s="1"/>
  <c r="H2058" i="1" s="1"/>
  <c r="F2057" i="1" a="1"/>
  <c r="F2057" i="1" s="1"/>
  <c r="H2057" i="1" s="1"/>
  <c r="F2056" i="1" a="1"/>
  <c r="F2056" i="1" s="1"/>
  <c r="H2056" i="1" s="1"/>
  <c r="F2055" i="1" a="1"/>
  <c r="F2055" i="1" s="1"/>
  <c r="H2055" i="1" s="1"/>
  <c r="F2054" i="1" a="1"/>
  <c r="F2054" i="1" s="1"/>
  <c r="F2053" i="1" a="1"/>
  <c r="F2053" i="1" s="1"/>
  <c r="F2052" i="1" a="1"/>
  <c r="F2052" i="1" s="1"/>
  <c r="F2051" i="1" a="1"/>
  <c r="F2051" i="1" s="1"/>
  <c r="H2051" i="1" s="1"/>
  <c r="F2050" i="1" a="1"/>
  <c r="F2050" i="1" s="1"/>
  <c r="F2049" i="1" a="1"/>
  <c r="F2049" i="1" s="1"/>
  <c r="F2048" i="1" a="1"/>
  <c r="F2048" i="1" s="1"/>
  <c r="F2047" i="1" a="1"/>
  <c r="F2047" i="1" s="1"/>
  <c r="F2046" i="1" a="1"/>
  <c r="F2046" i="1" s="1"/>
  <c r="F2045" i="1" a="1"/>
  <c r="F2045" i="1" s="1"/>
  <c r="F2044" i="1" a="1"/>
  <c r="F2044" i="1" s="1"/>
  <c r="H2044" i="1" s="1"/>
  <c r="F2043" i="1" a="1"/>
  <c r="F2043" i="1" s="1"/>
  <c r="H2043" i="1" s="1"/>
  <c r="F2042" i="1" a="1"/>
  <c r="F2042" i="1" s="1"/>
  <c r="F2041" i="1" a="1"/>
  <c r="F2041" i="1" s="1"/>
  <c r="F2040" i="1" a="1"/>
  <c r="F2040" i="1" s="1"/>
  <c r="F2039" i="1" a="1"/>
  <c r="F2039" i="1" s="1"/>
  <c r="F2038" i="1" a="1"/>
  <c r="F2038" i="1" s="1"/>
  <c r="H2038" i="1" s="1"/>
  <c r="F2037" i="1" a="1"/>
  <c r="F2037" i="1" s="1"/>
  <c r="F2036" i="1" a="1"/>
  <c r="F2036" i="1" s="1"/>
  <c r="F2035" i="1" a="1"/>
  <c r="F2035" i="1" s="1"/>
  <c r="H2035" i="1" s="1"/>
  <c r="F2034" i="1" a="1"/>
  <c r="F2034" i="1" s="1"/>
  <c r="H2034" i="1" s="1"/>
  <c r="F2033" i="1" a="1"/>
  <c r="F2033" i="1" s="1"/>
  <c r="F2032" i="1" a="1"/>
  <c r="F2032" i="1" s="1"/>
  <c r="F2031" i="1" a="1"/>
  <c r="F2031" i="1" s="1"/>
  <c r="F2030" i="1" a="1"/>
  <c r="F2030" i="1" s="1"/>
  <c r="F2029" i="1" a="1"/>
  <c r="F2029" i="1" s="1"/>
  <c r="F2028" i="1" a="1"/>
  <c r="F2028" i="1" s="1"/>
  <c r="H2028" i="1" s="1"/>
  <c r="F2027" i="1" a="1"/>
  <c r="F2027" i="1" s="1"/>
  <c r="F2026" i="1" a="1"/>
  <c r="F2026" i="1" s="1"/>
  <c r="F2025" i="1" a="1"/>
  <c r="F2025" i="1" s="1"/>
  <c r="F2024" i="1" a="1"/>
  <c r="F2024" i="1" s="1"/>
  <c r="F2023" i="1" a="1"/>
  <c r="F2023" i="1" s="1"/>
  <c r="F2022" i="1" a="1"/>
  <c r="F2022" i="1" s="1"/>
  <c r="F2021" i="1" a="1"/>
  <c r="F2021" i="1" s="1"/>
  <c r="F2020" i="1" a="1"/>
  <c r="F2020" i="1" s="1"/>
  <c r="F2019" i="1" a="1"/>
  <c r="F2019" i="1" s="1"/>
  <c r="F2018" i="1" a="1"/>
  <c r="F2018" i="1" s="1"/>
  <c r="F2017" i="1" a="1"/>
  <c r="F2017" i="1" s="1"/>
  <c r="F2016" i="1" a="1"/>
  <c r="F2016" i="1" s="1"/>
  <c r="F2015" i="1" a="1"/>
  <c r="F2015" i="1" s="1"/>
  <c r="F2014" i="1" a="1"/>
  <c r="F2014" i="1" s="1"/>
  <c r="F2013" i="1" a="1"/>
  <c r="F2013" i="1" s="1"/>
  <c r="H2013" i="1" s="1"/>
  <c r="F2012" i="1" a="1"/>
  <c r="F2012" i="1" s="1"/>
  <c r="H2012" i="1" s="1"/>
  <c r="F2011" i="1" a="1"/>
  <c r="F2011" i="1" s="1"/>
  <c r="F2010" i="1" a="1"/>
  <c r="F2010" i="1" s="1"/>
  <c r="F2009" i="1" a="1"/>
  <c r="F2009" i="1" s="1"/>
  <c r="F2008" i="1" a="1"/>
  <c r="F2008" i="1" s="1"/>
  <c r="F2007" i="1" a="1"/>
  <c r="F2007" i="1" s="1"/>
  <c r="F2006" i="1" a="1"/>
  <c r="F2006" i="1" s="1"/>
  <c r="F2005" i="1" a="1"/>
  <c r="F2005" i="1" s="1"/>
  <c r="H2005" i="1" s="1"/>
  <c r="F2004" i="1" a="1"/>
  <c r="F2004" i="1" s="1"/>
  <c r="F2003" i="1" a="1"/>
  <c r="F2003" i="1" s="1"/>
  <c r="H2003" i="1" s="1"/>
  <c r="F2002" i="1" a="1"/>
  <c r="F2002" i="1" s="1"/>
  <c r="F2001" i="1" a="1"/>
  <c r="F2001" i="1" s="1"/>
  <c r="F2000" i="1" a="1"/>
  <c r="F2000" i="1" s="1"/>
  <c r="F1999" i="1" a="1"/>
  <c r="F1999" i="1" s="1"/>
  <c r="F1998" i="1" a="1"/>
  <c r="F1998" i="1" s="1"/>
  <c r="F1997" i="1" a="1"/>
  <c r="F1997" i="1" s="1"/>
  <c r="H1997" i="1" s="1"/>
  <c r="F1996" i="1" a="1"/>
  <c r="F1996" i="1" s="1"/>
  <c r="H1996" i="1" s="1"/>
  <c r="F1995" i="1" a="1"/>
  <c r="F1995" i="1" s="1"/>
  <c r="F1994" i="1" a="1"/>
  <c r="F1994" i="1" s="1"/>
  <c r="F1993" i="1" a="1"/>
  <c r="F1993" i="1" s="1"/>
  <c r="F1992" i="1" a="1"/>
  <c r="F1992" i="1" s="1"/>
  <c r="F1991" i="1" a="1"/>
  <c r="F1991" i="1" s="1"/>
  <c r="F1990" i="1" a="1"/>
  <c r="F1990" i="1" s="1"/>
  <c r="H1990" i="1" s="1"/>
  <c r="F1989" i="1" a="1"/>
  <c r="F1989" i="1" s="1"/>
  <c r="F1988" i="1" a="1"/>
  <c r="F1988" i="1" s="1"/>
  <c r="F1987" i="1" a="1"/>
  <c r="F1987" i="1" s="1"/>
  <c r="F1986" i="1" a="1"/>
  <c r="F1986" i="1" s="1"/>
  <c r="H1986" i="1" s="1"/>
  <c r="F1985" i="1" a="1"/>
  <c r="F1985" i="1" s="1"/>
  <c r="H1985" i="1" s="1"/>
  <c r="F1984" i="1" a="1"/>
  <c r="F1984" i="1" s="1"/>
  <c r="H1984" i="1" s="1"/>
  <c r="F1983" i="1" a="1"/>
  <c r="F1983" i="1" s="1"/>
  <c r="H1983" i="1" s="1"/>
  <c r="F1982" i="1" a="1"/>
  <c r="F1982" i="1" s="1"/>
  <c r="H1982" i="1" s="1"/>
  <c r="F1981" i="1" a="1"/>
  <c r="F1981" i="1" s="1"/>
  <c r="H1981" i="1" s="1"/>
  <c r="F1980" i="1" a="1"/>
  <c r="F1980" i="1" s="1"/>
  <c r="F1979" i="1" a="1"/>
  <c r="F1979" i="1" s="1"/>
  <c r="F1978" i="1" a="1"/>
  <c r="F1978" i="1" s="1"/>
  <c r="F1977" i="1" a="1"/>
  <c r="F1977" i="1" s="1"/>
  <c r="H1977" i="1" s="1"/>
  <c r="F1976" i="1" a="1"/>
  <c r="F1976" i="1" s="1"/>
  <c r="H1976" i="1" s="1"/>
  <c r="F1975" i="1" a="1"/>
  <c r="F1975" i="1" s="1"/>
  <c r="H1975" i="1" s="1"/>
  <c r="F1974" i="1" a="1"/>
  <c r="F1974" i="1" s="1"/>
  <c r="F1973" i="1" a="1"/>
  <c r="F1973" i="1" s="1"/>
  <c r="H1973" i="1" s="1"/>
  <c r="F1972" i="1" a="1"/>
  <c r="F1972" i="1" s="1"/>
  <c r="F1971" i="1" a="1"/>
  <c r="F1971" i="1" s="1"/>
  <c r="F1970" i="1" a="1"/>
  <c r="F1970" i="1" s="1"/>
  <c r="H1970" i="1" s="1"/>
  <c r="F1969" i="1" a="1"/>
  <c r="F1969" i="1" s="1"/>
  <c r="H1969" i="1" s="1"/>
  <c r="F1968" i="1" a="1"/>
  <c r="F1968" i="1" s="1"/>
  <c r="H1968" i="1" s="1"/>
  <c r="F1967" i="1" a="1"/>
  <c r="F1967" i="1" s="1"/>
  <c r="F1966" i="1" a="1"/>
  <c r="F1966" i="1" s="1"/>
  <c r="H1966" i="1" s="1"/>
  <c r="F1965" i="1" a="1"/>
  <c r="F1965" i="1" s="1"/>
  <c r="F1964" i="1" a="1"/>
  <c r="F1964" i="1" s="1"/>
  <c r="H1964" i="1" s="1"/>
  <c r="F1963" i="1" a="1"/>
  <c r="F1963" i="1" s="1"/>
  <c r="H1963" i="1" s="1"/>
  <c r="F1962" i="1" a="1"/>
  <c r="F1962" i="1" s="1"/>
  <c r="F1961" i="1" a="1"/>
  <c r="F1961" i="1" s="1"/>
  <c r="F1960" i="1" a="1"/>
  <c r="F1960" i="1" s="1"/>
  <c r="H1960" i="1" s="1"/>
  <c r="F1959" i="1" a="1"/>
  <c r="F1959" i="1" s="1"/>
  <c r="F1958" i="1" a="1"/>
  <c r="F1958" i="1" s="1"/>
  <c r="F1957" i="1" a="1"/>
  <c r="F1957" i="1" s="1"/>
  <c r="H1957" i="1" s="1"/>
  <c r="F1956" i="1" a="1"/>
  <c r="F1956" i="1" s="1"/>
  <c r="H1956" i="1" s="1"/>
  <c r="F1955" i="1" a="1"/>
  <c r="F1955" i="1" s="1"/>
  <c r="H1955" i="1" s="1"/>
  <c r="F1954" i="1" a="1"/>
  <c r="F1954" i="1" s="1"/>
  <c r="F1953" i="1" a="1"/>
  <c r="F1953" i="1" s="1"/>
  <c r="H1953" i="1" s="1"/>
  <c r="F1952" i="1" a="1"/>
  <c r="F1952" i="1" s="1"/>
  <c r="F1951" i="1" a="1"/>
  <c r="F1951" i="1" s="1"/>
  <c r="F1950" i="1" a="1"/>
  <c r="F1950" i="1" s="1"/>
  <c r="H1950" i="1" s="1"/>
  <c r="F1949" i="1" a="1"/>
  <c r="F1949" i="1" s="1"/>
  <c r="H1949" i="1" s="1"/>
  <c r="F1948" i="1" a="1"/>
  <c r="F1948" i="1" s="1"/>
  <c r="F1947" i="1" a="1"/>
  <c r="F1947" i="1" s="1"/>
  <c r="F1946" i="1" a="1"/>
  <c r="F1946" i="1" s="1"/>
  <c r="F1945" i="1" a="1"/>
  <c r="F1945" i="1" s="1"/>
  <c r="F1944" i="1" a="1"/>
  <c r="F1944" i="1" s="1"/>
  <c r="F1943" i="1" a="1"/>
  <c r="F1943" i="1" s="1"/>
  <c r="F1942" i="1" a="1"/>
  <c r="F1942" i="1" s="1"/>
  <c r="H1942" i="1" s="1"/>
  <c r="F1941" i="1" a="1"/>
  <c r="F1941" i="1" s="1"/>
  <c r="F1940" i="1" a="1"/>
  <c r="F1940" i="1" s="1"/>
  <c r="F1939" i="1" a="1"/>
  <c r="F1939" i="1" s="1"/>
  <c r="F1938" i="1" a="1"/>
  <c r="F1938" i="1" s="1"/>
  <c r="F1937" i="1" a="1"/>
  <c r="F1937" i="1" s="1"/>
  <c r="F1936" i="1" a="1"/>
  <c r="F1936" i="1" s="1"/>
  <c r="F1935" i="1" a="1"/>
  <c r="F1935" i="1" s="1"/>
  <c r="F1934" i="1" a="1"/>
  <c r="F1934" i="1" s="1"/>
  <c r="H1934" i="1" s="1"/>
  <c r="F1933" i="1" a="1"/>
  <c r="F1933" i="1" s="1"/>
  <c r="H1933" i="1" s="1"/>
  <c r="F1932" i="1" a="1"/>
  <c r="F1932" i="1" s="1"/>
  <c r="H1932" i="1" s="1"/>
  <c r="F1931" i="1" a="1"/>
  <c r="F1931" i="1" s="1"/>
  <c r="F1930" i="1" a="1"/>
  <c r="F1930" i="1" s="1"/>
  <c r="F1929" i="1" a="1"/>
  <c r="F1929" i="1" s="1"/>
  <c r="F1928" i="1" a="1"/>
  <c r="F1928" i="1" s="1"/>
  <c r="H1928" i="1" s="1"/>
  <c r="F1927" i="1" a="1"/>
  <c r="F1927" i="1" s="1"/>
  <c r="H1927" i="1" s="1"/>
  <c r="F1926" i="1" a="1"/>
  <c r="F1926" i="1" s="1"/>
  <c r="H1926" i="1" s="1"/>
  <c r="F1925" i="1" a="1"/>
  <c r="F1925" i="1" s="1"/>
  <c r="F1924" i="1" a="1"/>
  <c r="F1924" i="1" s="1"/>
  <c r="F1923" i="1" a="1"/>
  <c r="F1923" i="1" s="1"/>
  <c r="F1922" i="1" a="1"/>
  <c r="F1922" i="1" s="1"/>
  <c r="F1921" i="1" a="1"/>
  <c r="F1921" i="1" s="1"/>
  <c r="F1920" i="1" a="1"/>
  <c r="F1920" i="1" s="1"/>
  <c r="F1919" i="1" a="1"/>
  <c r="F1919" i="1" s="1"/>
  <c r="F1918" i="1" a="1"/>
  <c r="F1918" i="1" s="1"/>
  <c r="F1917" i="1" a="1"/>
  <c r="F1917" i="1" s="1"/>
  <c r="F1916" i="1" a="1"/>
  <c r="F1916" i="1" s="1"/>
  <c r="H1916" i="1" s="1"/>
  <c r="F1915" i="1" a="1"/>
  <c r="F1915" i="1" s="1"/>
  <c r="F1914" i="1" a="1"/>
  <c r="F1914" i="1" s="1"/>
  <c r="F1913" i="1" a="1"/>
  <c r="F1913" i="1" s="1"/>
  <c r="F1912" i="1" a="1"/>
  <c r="F1912" i="1" s="1"/>
  <c r="H1912" i="1" s="1"/>
  <c r="F1911" i="1" a="1"/>
  <c r="F1911" i="1" s="1"/>
  <c r="F1910" i="1" a="1"/>
  <c r="F1910" i="1" s="1"/>
  <c r="H1910" i="1" s="1"/>
  <c r="F1909" i="1" a="1"/>
  <c r="F1909" i="1" s="1"/>
  <c r="F1908" i="1" a="1"/>
  <c r="F1908" i="1" s="1"/>
  <c r="H1908" i="1" s="1"/>
  <c r="F1907" i="1" a="1"/>
  <c r="F1907" i="1" s="1"/>
  <c r="F1906" i="1" a="1"/>
  <c r="F1906" i="1" s="1"/>
  <c r="F1905" i="1" a="1"/>
  <c r="F1905" i="1" s="1"/>
  <c r="F1904" i="1" a="1"/>
  <c r="F1904" i="1" s="1"/>
  <c r="F1903" i="1" a="1"/>
  <c r="F1903" i="1" s="1"/>
  <c r="F1902" i="1" a="1"/>
  <c r="F1902" i="1" s="1"/>
  <c r="F1901" i="1" a="1"/>
  <c r="F1901" i="1" s="1"/>
  <c r="F1900" i="1" a="1"/>
  <c r="F1900" i="1" s="1"/>
  <c r="H1900" i="1" s="1"/>
  <c r="F1899" i="1" a="1"/>
  <c r="F1899" i="1" s="1"/>
  <c r="F1898" i="1" a="1"/>
  <c r="F1898" i="1" s="1"/>
  <c r="H1898" i="1" s="1"/>
  <c r="F1897" i="1" a="1"/>
  <c r="F1897" i="1" s="1"/>
  <c r="H1897" i="1" s="1"/>
  <c r="F1896" i="1" a="1"/>
  <c r="F1896" i="1" s="1"/>
  <c r="H1896" i="1" s="1"/>
  <c r="F1895" i="1" a="1"/>
  <c r="F1895" i="1" s="1"/>
  <c r="H1895" i="1" s="1"/>
  <c r="F1894" i="1" a="1"/>
  <c r="F1894" i="1" s="1"/>
  <c r="F1893" i="1" a="1"/>
  <c r="F1893" i="1" s="1"/>
  <c r="H1893" i="1" s="1"/>
  <c r="F1892" i="1" a="1"/>
  <c r="F1892" i="1" s="1"/>
  <c r="F1891" i="1" a="1"/>
  <c r="F1891" i="1" s="1"/>
  <c r="F1890" i="1" a="1"/>
  <c r="F1890" i="1" s="1"/>
  <c r="H1890" i="1" s="1"/>
  <c r="F1889" i="1" a="1"/>
  <c r="F1889" i="1" s="1"/>
  <c r="F1888" i="1" a="1"/>
  <c r="F1888" i="1" s="1"/>
  <c r="H1888" i="1" s="1"/>
  <c r="F1887" i="1" a="1"/>
  <c r="F1887" i="1" s="1"/>
  <c r="F1886" i="1" a="1"/>
  <c r="F1886" i="1" s="1"/>
  <c r="H1886" i="1" s="1"/>
  <c r="F1885" i="1" a="1"/>
  <c r="F1885" i="1" s="1"/>
  <c r="H1885" i="1" s="1"/>
  <c r="F1884" i="1" a="1"/>
  <c r="F1884" i="1" s="1"/>
  <c r="H1884" i="1" s="1"/>
  <c r="F1883" i="1" a="1"/>
  <c r="F1883" i="1" s="1"/>
  <c r="H1883" i="1" s="1"/>
  <c r="F1882" i="1" a="1"/>
  <c r="F1882" i="1" s="1"/>
  <c r="F1881" i="1" a="1"/>
  <c r="F1881" i="1" s="1"/>
  <c r="H1881" i="1" s="1"/>
  <c r="F1880" i="1" a="1"/>
  <c r="F1880" i="1" s="1"/>
  <c r="F1879" i="1" a="1"/>
  <c r="F1879" i="1" s="1"/>
  <c r="F1878" i="1" a="1"/>
  <c r="F1878" i="1" s="1"/>
  <c r="F1877" i="1" a="1"/>
  <c r="F1877" i="1" s="1"/>
  <c r="F1876" i="1" a="1"/>
  <c r="F1876" i="1" s="1"/>
  <c r="H1876" i="1" s="1"/>
  <c r="F1875" i="1" a="1"/>
  <c r="F1875" i="1" s="1"/>
  <c r="F1874" i="1" a="1"/>
  <c r="F1874" i="1" s="1"/>
  <c r="F1873" i="1" a="1"/>
  <c r="F1873" i="1" s="1"/>
  <c r="F1872" i="1" a="1"/>
  <c r="F1872" i="1" s="1"/>
  <c r="F1871" i="1" a="1"/>
  <c r="F1871" i="1" s="1"/>
  <c r="F1870" i="1" a="1"/>
  <c r="F1870" i="1" s="1"/>
  <c r="F1869" i="1" a="1"/>
  <c r="F1869" i="1" s="1"/>
  <c r="F1868" i="1" a="1"/>
  <c r="F1868" i="1" s="1"/>
  <c r="F1867" i="1" a="1"/>
  <c r="F1867" i="1" s="1"/>
  <c r="F1866" i="1" a="1"/>
  <c r="F1866" i="1" s="1"/>
  <c r="F1865" i="1" a="1"/>
  <c r="F1865" i="1" s="1"/>
  <c r="F1864" i="1" a="1"/>
  <c r="F1864" i="1" s="1"/>
  <c r="H1864" i="1" s="1"/>
  <c r="F1863" i="1" a="1"/>
  <c r="F1863" i="1" s="1"/>
  <c r="F1862" i="1" a="1"/>
  <c r="F1862" i="1" s="1"/>
  <c r="F1861" i="1" a="1"/>
  <c r="F1861" i="1" s="1"/>
  <c r="F1860" i="1" a="1"/>
  <c r="F1860" i="1" s="1"/>
  <c r="F1859" i="1" a="1"/>
  <c r="F1859" i="1" s="1"/>
  <c r="F1858" i="1" a="1"/>
  <c r="F1858" i="1" s="1"/>
  <c r="F1857" i="1" a="1"/>
  <c r="F1857" i="1" s="1"/>
  <c r="H1857" i="1" s="1"/>
  <c r="F1856" i="1" a="1"/>
  <c r="F1856" i="1" s="1"/>
  <c r="F1855" i="1" a="1"/>
  <c r="F1855" i="1" s="1"/>
  <c r="F1854" i="1" a="1"/>
  <c r="F1854" i="1" s="1"/>
  <c r="H1854" i="1" s="1"/>
  <c r="F1853" i="1" a="1"/>
  <c r="F1853" i="1" s="1"/>
  <c r="F1852" i="1" a="1"/>
  <c r="F1852" i="1" s="1"/>
  <c r="F1851" i="1" a="1"/>
  <c r="F1851" i="1" s="1"/>
  <c r="F1850" i="1" a="1"/>
  <c r="F1850" i="1" s="1"/>
  <c r="F1849" i="1" a="1"/>
  <c r="F1849" i="1" s="1"/>
  <c r="F1848" i="1" a="1"/>
  <c r="F1848" i="1" s="1"/>
  <c r="H1848" i="1" s="1"/>
  <c r="F1847" i="1" a="1"/>
  <c r="F1847" i="1" s="1"/>
  <c r="H1847" i="1" s="1"/>
  <c r="F1846" i="1" a="1"/>
  <c r="F1846" i="1" s="1"/>
  <c r="H1846" i="1" s="1"/>
  <c r="F1845" i="1" a="1"/>
  <c r="F1845" i="1" s="1"/>
  <c r="H1845" i="1" s="1"/>
  <c r="F1844" i="1" a="1"/>
  <c r="F1844" i="1" s="1"/>
  <c r="H1844" i="1" s="1"/>
  <c r="F1843" i="1" a="1"/>
  <c r="F1843" i="1" s="1"/>
  <c r="H1843" i="1" s="1"/>
  <c r="F1842" i="1" a="1"/>
  <c r="F1842" i="1" s="1"/>
  <c r="F1841" i="1" a="1"/>
  <c r="F1841" i="1" s="1"/>
  <c r="F1840" i="1" a="1"/>
  <c r="F1840" i="1" s="1"/>
  <c r="F1839" i="1" a="1"/>
  <c r="F1839" i="1" s="1"/>
  <c r="F1838" i="1" a="1"/>
  <c r="F1838" i="1" s="1"/>
  <c r="H1838" i="1" s="1"/>
  <c r="F1837" i="1" a="1"/>
  <c r="F1837" i="1" s="1"/>
  <c r="H1837" i="1" s="1"/>
  <c r="F1836" i="1" a="1"/>
  <c r="F1836" i="1" s="1"/>
  <c r="F1835" i="1" a="1"/>
  <c r="F1835" i="1" s="1"/>
  <c r="F1834" i="1" a="1"/>
  <c r="F1834" i="1" s="1"/>
  <c r="F1833" i="1" a="1"/>
  <c r="F1833" i="1" s="1"/>
  <c r="H1833" i="1" s="1"/>
  <c r="F1832" i="1" a="1"/>
  <c r="F1832" i="1" s="1"/>
  <c r="F1831" i="1" a="1"/>
  <c r="F1831" i="1" s="1"/>
  <c r="F1830" i="1" a="1"/>
  <c r="F1830" i="1" s="1"/>
  <c r="F1829" i="1" a="1"/>
  <c r="F1829" i="1" s="1"/>
  <c r="F1828" i="1" a="1"/>
  <c r="F1828" i="1" s="1"/>
  <c r="F1827" i="1" a="1"/>
  <c r="F1827" i="1" s="1"/>
  <c r="F1826" i="1" a="1"/>
  <c r="F1826" i="1" s="1"/>
  <c r="F1825" i="1" a="1"/>
  <c r="F1825" i="1" s="1"/>
  <c r="F1824" i="1" a="1"/>
  <c r="F1824" i="1" s="1"/>
  <c r="H1824" i="1" s="1"/>
  <c r="F1823" i="1" a="1"/>
  <c r="F1823" i="1" s="1"/>
  <c r="F1822" i="1" a="1"/>
  <c r="F1822" i="1" s="1"/>
  <c r="H1822" i="1" s="1"/>
  <c r="F1821" i="1" a="1"/>
  <c r="F1821" i="1" s="1"/>
  <c r="H1821" i="1" s="1"/>
  <c r="F1820" i="1" a="1"/>
  <c r="F1820" i="1" s="1"/>
  <c r="F1819" i="1" a="1"/>
  <c r="F1819" i="1" s="1"/>
  <c r="F1818" i="1" a="1"/>
  <c r="F1818" i="1" s="1"/>
  <c r="F1817" i="1" a="1"/>
  <c r="F1817" i="1" s="1"/>
  <c r="H1817" i="1" s="1"/>
  <c r="F1816" i="1" a="1"/>
  <c r="F1816" i="1" s="1"/>
  <c r="F1815" i="1" a="1"/>
  <c r="F1815" i="1" s="1"/>
  <c r="H1815" i="1" s="1"/>
  <c r="F1814" i="1" a="1"/>
  <c r="F1814" i="1" s="1"/>
  <c r="F1813" i="1" a="1"/>
  <c r="F1813" i="1" s="1"/>
  <c r="F1812" i="1" a="1"/>
  <c r="F1812" i="1" s="1"/>
  <c r="F1811" i="1" a="1"/>
  <c r="F1811" i="1" s="1"/>
  <c r="F1810" i="1" a="1"/>
  <c r="F1810" i="1" s="1"/>
  <c r="F1809" i="1" a="1"/>
  <c r="F1809" i="1" s="1"/>
  <c r="H1809" i="1" s="1"/>
  <c r="F1808" i="1" a="1"/>
  <c r="F1808" i="1" s="1"/>
  <c r="F1807" i="1" a="1"/>
  <c r="F1807" i="1" s="1"/>
  <c r="F1806" i="1" a="1"/>
  <c r="F1806" i="1" s="1"/>
  <c r="H1806" i="1" s="1"/>
  <c r="F1805" i="1" a="1"/>
  <c r="F1805" i="1" s="1"/>
  <c r="F1804" i="1" a="1"/>
  <c r="F1804" i="1" s="1"/>
  <c r="F1803" i="1" a="1"/>
  <c r="F1803" i="1" s="1"/>
  <c r="F1802" i="1" a="1"/>
  <c r="F1802" i="1" s="1"/>
  <c r="H1802" i="1" s="1"/>
  <c r="F1801" i="1" a="1"/>
  <c r="F1801" i="1" s="1"/>
  <c r="F1800" i="1" a="1"/>
  <c r="F1800" i="1" s="1"/>
  <c r="F1799" i="1" a="1"/>
  <c r="F1799" i="1" s="1"/>
  <c r="F1798" i="1" a="1"/>
  <c r="F1798" i="1" s="1"/>
  <c r="H1798" i="1" s="1"/>
  <c r="F1797" i="1" a="1"/>
  <c r="F1797" i="1" s="1"/>
  <c r="F1796" i="1" a="1"/>
  <c r="F1796" i="1" s="1"/>
  <c r="F1795" i="1" a="1"/>
  <c r="F1795" i="1" s="1"/>
  <c r="F1794" i="1" a="1"/>
  <c r="F1794" i="1" s="1"/>
  <c r="F1793" i="1" a="1"/>
  <c r="F1793" i="1" s="1"/>
  <c r="H1793" i="1" s="1"/>
  <c r="F1792" i="1" a="1"/>
  <c r="F1792" i="1" s="1"/>
  <c r="F1791" i="1" a="1"/>
  <c r="F1791" i="1" s="1"/>
  <c r="F1790" i="1" a="1"/>
  <c r="F1790" i="1" s="1"/>
  <c r="H1790" i="1" s="1"/>
  <c r="F1789" i="1" a="1"/>
  <c r="F1789" i="1" s="1"/>
  <c r="H1789" i="1" s="1"/>
  <c r="F1788" i="1" a="1"/>
  <c r="F1788" i="1" s="1"/>
  <c r="F1787" i="1" a="1"/>
  <c r="F1787" i="1" s="1"/>
  <c r="H1787" i="1" s="1"/>
  <c r="F1786" i="1" a="1"/>
  <c r="F1786" i="1" s="1"/>
  <c r="F1785" i="1" a="1"/>
  <c r="F1785" i="1" s="1"/>
  <c r="H1785" i="1" s="1"/>
  <c r="F1784" i="1" a="1"/>
  <c r="F1784" i="1" s="1"/>
  <c r="H1784" i="1" s="1"/>
  <c r="F1783" i="1" a="1"/>
  <c r="F1783" i="1" s="1"/>
  <c r="F1782" i="1" a="1"/>
  <c r="F1782" i="1" s="1"/>
  <c r="F1781" i="1" a="1"/>
  <c r="F1781" i="1" s="1"/>
  <c r="F1780" i="1" a="1"/>
  <c r="F1780" i="1" s="1"/>
  <c r="H1780" i="1" s="1"/>
  <c r="F1779" i="1" a="1"/>
  <c r="F1779" i="1" s="1"/>
  <c r="F1778" i="1" a="1"/>
  <c r="F1778" i="1" s="1"/>
  <c r="F1777" i="1" a="1"/>
  <c r="F1777" i="1" s="1"/>
  <c r="F1776" i="1" a="1"/>
  <c r="F1776" i="1" s="1"/>
  <c r="H1776" i="1" s="1"/>
  <c r="F1775" i="1" a="1"/>
  <c r="F1775" i="1" s="1"/>
  <c r="H1775" i="1" s="1"/>
  <c r="F1774" i="1" a="1"/>
  <c r="F1774" i="1" s="1"/>
  <c r="F1773" i="1" a="1"/>
  <c r="F1773" i="1" s="1"/>
  <c r="F1772" i="1" a="1"/>
  <c r="F1772" i="1" s="1"/>
  <c r="F1771" i="1" a="1"/>
  <c r="F1771" i="1" s="1"/>
  <c r="F1770" i="1" a="1"/>
  <c r="F1770" i="1" s="1"/>
  <c r="H1770" i="1" s="1"/>
  <c r="F1769" i="1" a="1"/>
  <c r="F1769" i="1" s="1"/>
  <c r="F1768" i="1" a="1"/>
  <c r="F1768" i="1" s="1"/>
  <c r="F1767" i="1" a="1"/>
  <c r="F1767" i="1" s="1"/>
  <c r="H1767" i="1" s="1"/>
  <c r="F1766" i="1" a="1"/>
  <c r="F1766" i="1" s="1"/>
  <c r="F1765" i="1" a="1"/>
  <c r="F1765" i="1" s="1"/>
  <c r="H1765" i="1" s="1"/>
  <c r="F1764" i="1" a="1"/>
  <c r="F1764" i="1" s="1"/>
  <c r="H1764" i="1" s="1"/>
  <c r="F1763" i="1" a="1"/>
  <c r="F1763" i="1" s="1"/>
  <c r="F1762" i="1" a="1"/>
  <c r="F1762" i="1" s="1"/>
  <c r="F1761" i="1" a="1"/>
  <c r="F1761" i="1" s="1"/>
  <c r="F1760" i="1" a="1"/>
  <c r="F1760" i="1" s="1"/>
  <c r="F1759" i="1" a="1"/>
  <c r="F1759" i="1" s="1"/>
  <c r="H1759" i="1" s="1"/>
  <c r="F1758" i="1" a="1"/>
  <c r="F1758" i="1" s="1"/>
  <c r="H1758" i="1" s="1"/>
  <c r="F1757" i="1" a="1"/>
  <c r="F1757" i="1" s="1"/>
  <c r="H1757" i="1" s="1"/>
  <c r="F1756" i="1" a="1"/>
  <c r="F1756" i="1" s="1"/>
  <c r="H1756" i="1" s="1"/>
  <c r="F1755" i="1" a="1"/>
  <c r="F1755" i="1" s="1"/>
  <c r="H1755" i="1" s="1"/>
  <c r="F1754" i="1" a="1"/>
  <c r="F1754" i="1" s="1"/>
  <c r="H1754" i="1" s="1"/>
  <c r="F1753" i="1" a="1"/>
  <c r="F1753" i="1" s="1"/>
  <c r="H1753" i="1" s="1"/>
  <c r="F1752" i="1" a="1"/>
  <c r="F1752" i="1" s="1"/>
  <c r="H1752" i="1" s="1"/>
  <c r="F1751" i="1" a="1"/>
  <c r="F1751" i="1" s="1"/>
  <c r="F1750" i="1" a="1"/>
  <c r="F1750" i="1" s="1"/>
  <c r="H1750" i="1" s="1"/>
  <c r="F1749" i="1" a="1"/>
  <c r="F1749" i="1" s="1"/>
  <c r="H1749" i="1" s="1"/>
  <c r="F1748" i="1" a="1"/>
  <c r="F1748" i="1" s="1"/>
  <c r="H1748" i="1" s="1"/>
  <c r="F1747" i="1" a="1"/>
  <c r="F1747" i="1" s="1"/>
  <c r="F1746" i="1" a="1"/>
  <c r="F1746" i="1" s="1"/>
  <c r="F1745" i="1" a="1"/>
  <c r="F1745" i="1" s="1"/>
  <c r="F1744" i="1" a="1"/>
  <c r="F1744" i="1" s="1"/>
  <c r="F1743" i="1" a="1"/>
  <c r="F1743" i="1" s="1"/>
  <c r="H1743" i="1" s="1"/>
  <c r="F1742" i="1" a="1"/>
  <c r="F1742" i="1" s="1"/>
  <c r="F1741" i="1" a="1"/>
  <c r="F1741" i="1" s="1"/>
  <c r="F1740" i="1" a="1"/>
  <c r="F1740" i="1" s="1"/>
  <c r="F1739" i="1" a="1"/>
  <c r="F1739" i="1" s="1"/>
  <c r="H1739" i="1" s="1"/>
  <c r="F1738" i="1" a="1"/>
  <c r="F1738" i="1" s="1"/>
  <c r="F1737" i="1" a="1"/>
  <c r="F1737" i="1" s="1"/>
  <c r="H1737" i="1" s="1"/>
  <c r="F1736" i="1" a="1"/>
  <c r="F1736" i="1" s="1"/>
  <c r="F1735" i="1" a="1"/>
  <c r="F1735" i="1" s="1"/>
  <c r="H1735" i="1" s="1"/>
  <c r="F1734" i="1" a="1"/>
  <c r="F1734" i="1" s="1"/>
  <c r="H1734" i="1" s="1"/>
  <c r="F1733" i="1" a="1"/>
  <c r="F1733" i="1" s="1"/>
  <c r="F1732" i="1" a="1"/>
  <c r="F1732" i="1" s="1"/>
  <c r="F1731" i="1" a="1"/>
  <c r="F1731" i="1" s="1"/>
  <c r="H1731" i="1" s="1"/>
  <c r="F1730" i="1" a="1"/>
  <c r="F1730" i="1" s="1"/>
  <c r="F1729" i="1" a="1"/>
  <c r="F1729" i="1" s="1"/>
  <c r="H1729" i="1" s="1"/>
  <c r="F1728" i="1" a="1"/>
  <c r="F1728" i="1" s="1"/>
  <c r="H1728" i="1" s="1"/>
  <c r="F1727" i="1" a="1"/>
  <c r="F1727" i="1" s="1"/>
  <c r="H1727" i="1" s="1"/>
  <c r="F1726" i="1" a="1"/>
  <c r="F1726" i="1" s="1"/>
  <c r="H1726" i="1" s="1"/>
  <c r="F1725" i="1" a="1"/>
  <c r="F1725" i="1" s="1"/>
  <c r="H1725" i="1" s="1"/>
  <c r="F1724" i="1" a="1"/>
  <c r="F1724" i="1" s="1"/>
  <c r="F1723" i="1" a="1"/>
  <c r="F1723" i="1" s="1"/>
  <c r="F1722" i="1" a="1"/>
  <c r="F1722" i="1" s="1"/>
  <c r="H1722" i="1" s="1"/>
  <c r="F1721" i="1" a="1"/>
  <c r="F1721" i="1" s="1"/>
  <c r="H1721" i="1" s="1"/>
  <c r="F1720" i="1" a="1"/>
  <c r="F1720" i="1" s="1"/>
  <c r="F1719" i="1" a="1"/>
  <c r="F1719" i="1" s="1"/>
  <c r="H1719" i="1" s="1"/>
  <c r="F1718" i="1" a="1"/>
  <c r="F1718" i="1" s="1"/>
  <c r="H1718" i="1" s="1"/>
  <c r="F1717" i="1" a="1"/>
  <c r="F1717" i="1" s="1"/>
  <c r="F1716" i="1" a="1"/>
  <c r="F1716" i="1" s="1"/>
  <c r="F1715" i="1" a="1"/>
  <c r="F1715" i="1" s="1"/>
  <c r="F1714" i="1" a="1"/>
  <c r="F1714" i="1" s="1"/>
  <c r="H1714" i="1" s="1"/>
  <c r="F1713" i="1" a="1"/>
  <c r="F1713" i="1" s="1"/>
  <c r="F1712" i="1" a="1"/>
  <c r="F1712" i="1" s="1"/>
  <c r="H1712" i="1" s="1"/>
  <c r="F1711" i="1" a="1"/>
  <c r="F1711" i="1" s="1"/>
  <c r="F1710" i="1" a="1"/>
  <c r="F1710" i="1" s="1"/>
  <c r="F1709" i="1" a="1"/>
  <c r="F1709" i="1" s="1"/>
  <c r="F1708" i="1" a="1"/>
  <c r="F1708" i="1" s="1"/>
  <c r="H1708" i="1" s="1"/>
  <c r="F1707" i="1" a="1"/>
  <c r="F1707" i="1" s="1"/>
  <c r="H1707" i="1" s="1"/>
  <c r="F1706" i="1" a="1"/>
  <c r="F1706" i="1" s="1"/>
  <c r="F1705" i="1" a="1"/>
  <c r="F1705" i="1" s="1"/>
  <c r="F1704" i="1" a="1"/>
  <c r="F1704" i="1" s="1"/>
  <c r="F1703" i="1" a="1"/>
  <c r="F1703" i="1" s="1"/>
  <c r="F1702" i="1" a="1"/>
  <c r="F1702" i="1" s="1"/>
  <c r="F1701" i="1" a="1"/>
  <c r="F1701" i="1" s="1"/>
  <c r="H1701" i="1" s="1"/>
  <c r="F1700" i="1" a="1"/>
  <c r="F1700" i="1" s="1"/>
  <c r="H1700" i="1" s="1"/>
  <c r="F1699" i="1" a="1"/>
  <c r="F1699" i="1" s="1"/>
  <c r="H1699" i="1" s="1"/>
  <c r="F1698" i="1" a="1"/>
  <c r="F1698" i="1" s="1"/>
  <c r="H1698" i="1" s="1"/>
  <c r="F1697" i="1" a="1"/>
  <c r="F1697" i="1" s="1"/>
  <c r="F1696" i="1" a="1"/>
  <c r="F1696" i="1" s="1"/>
  <c r="F1695" i="1" a="1"/>
  <c r="F1695" i="1" s="1"/>
  <c r="F1694" i="1" a="1"/>
  <c r="F1694" i="1" s="1"/>
  <c r="H1694" i="1" s="1"/>
  <c r="F1693" i="1" a="1"/>
  <c r="F1693" i="1" s="1"/>
  <c r="F1692" i="1" a="1"/>
  <c r="F1692" i="1" s="1"/>
  <c r="H1692" i="1" s="1"/>
  <c r="F1691" i="1" a="1"/>
  <c r="F1691" i="1" s="1"/>
  <c r="F1690" i="1" a="1"/>
  <c r="F1690" i="1" s="1"/>
  <c r="F1689" i="1" a="1"/>
  <c r="F1689" i="1" s="1"/>
  <c r="F1688" i="1" a="1"/>
  <c r="F1688" i="1" s="1"/>
  <c r="F1687" i="1" a="1"/>
  <c r="F1687" i="1" s="1"/>
  <c r="F1686" i="1" a="1"/>
  <c r="F1686" i="1" s="1"/>
  <c r="H1686" i="1" s="1"/>
  <c r="F1685" i="1" a="1"/>
  <c r="F1685" i="1" s="1"/>
  <c r="F1684" i="1" a="1"/>
  <c r="F1684" i="1" s="1"/>
  <c r="F1683" i="1" a="1"/>
  <c r="F1683" i="1" s="1"/>
  <c r="F1682" i="1" a="1"/>
  <c r="F1682" i="1" s="1"/>
  <c r="H1682" i="1" s="1"/>
  <c r="F1681" i="1" a="1"/>
  <c r="F1681" i="1" s="1"/>
  <c r="H1681" i="1" s="1"/>
  <c r="F1680" i="1" a="1"/>
  <c r="F1680" i="1" s="1"/>
  <c r="H1680" i="1" s="1"/>
  <c r="F1679" i="1" a="1"/>
  <c r="F1679" i="1" s="1"/>
  <c r="H1679" i="1" s="1"/>
  <c r="F1678" i="1" a="1"/>
  <c r="F1678" i="1" s="1"/>
  <c r="F1677" i="1" a="1"/>
  <c r="F1677" i="1" s="1"/>
  <c r="F1676" i="1" a="1"/>
  <c r="F1676" i="1" s="1"/>
  <c r="F1675" i="1" a="1"/>
  <c r="F1675" i="1" s="1"/>
  <c r="H1675" i="1" s="1"/>
  <c r="F1674" i="1" a="1"/>
  <c r="F1674" i="1" s="1"/>
  <c r="F1673" i="1" a="1"/>
  <c r="F1673" i="1" s="1"/>
  <c r="F1672" i="1" a="1"/>
  <c r="F1672" i="1" s="1"/>
  <c r="H1672" i="1" s="1"/>
  <c r="F1671" i="1" a="1"/>
  <c r="F1671" i="1" s="1"/>
  <c r="F1670" i="1" a="1"/>
  <c r="F1670" i="1" s="1"/>
  <c r="F1669" i="1" a="1"/>
  <c r="F1669" i="1" s="1"/>
  <c r="F1668" i="1" a="1"/>
  <c r="F1668" i="1" s="1"/>
  <c r="H1668" i="1" s="1"/>
  <c r="F1667" i="1" a="1"/>
  <c r="F1667" i="1" s="1"/>
  <c r="H1667" i="1" s="1"/>
  <c r="F1666" i="1" a="1"/>
  <c r="F1666" i="1" s="1"/>
  <c r="H1666" i="1" s="1"/>
  <c r="F1665" i="1" a="1"/>
  <c r="F1665" i="1" s="1"/>
  <c r="H1665" i="1" s="1"/>
  <c r="F1664" i="1" a="1"/>
  <c r="F1664" i="1" s="1"/>
  <c r="H1664" i="1" s="1"/>
  <c r="F1663" i="1" a="1"/>
  <c r="F1663" i="1" s="1"/>
  <c r="H1663" i="1" s="1"/>
  <c r="F1662" i="1" a="1"/>
  <c r="F1662" i="1" s="1"/>
  <c r="H1662" i="1" s="1"/>
  <c r="F1661" i="1" a="1"/>
  <c r="F1661" i="1" s="1"/>
  <c r="H1661" i="1" s="1"/>
  <c r="F1660" i="1" a="1"/>
  <c r="F1660" i="1" s="1"/>
  <c r="H1660" i="1" s="1"/>
  <c r="F1659" i="1" a="1"/>
  <c r="F1659" i="1" s="1"/>
  <c r="F1658" i="1" a="1"/>
  <c r="F1658" i="1" s="1"/>
  <c r="F1657" i="1" a="1"/>
  <c r="F1657" i="1" s="1"/>
  <c r="F1656" i="1" a="1"/>
  <c r="F1656" i="1" s="1"/>
  <c r="F1655" i="1" a="1"/>
  <c r="F1655" i="1" s="1"/>
  <c r="H1655" i="1" s="1"/>
  <c r="F1654" i="1" a="1"/>
  <c r="F1654" i="1" s="1"/>
  <c r="F1653" i="1" a="1"/>
  <c r="F1653" i="1" s="1"/>
  <c r="F1652" i="1" a="1"/>
  <c r="F1652" i="1" s="1"/>
  <c r="F1651" i="1" a="1"/>
  <c r="F1651" i="1" s="1"/>
  <c r="F1650" i="1" a="1"/>
  <c r="F1650" i="1" s="1"/>
  <c r="H1650" i="1" s="1"/>
  <c r="F1649" i="1" a="1"/>
  <c r="F1649" i="1" s="1"/>
  <c r="F1648" i="1" a="1"/>
  <c r="F1648" i="1" s="1"/>
  <c r="H1648" i="1" s="1"/>
  <c r="F1647" i="1" a="1"/>
  <c r="F1647" i="1" s="1"/>
  <c r="F1646" i="1" a="1"/>
  <c r="F1646" i="1" s="1"/>
  <c r="F1645" i="1" a="1"/>
  <c r="F1645" i="1" s="1"/>
  <c r="F1644" i="1" a="1"/>
  <c r="F1644" i="1" s="1"/>
  <c r="F1643" i="1" a="1"/>
  <c r="F1643" i="1" s="1"/>
  <c r="H1643" i="1" s="1"/>
  <c r="F1642" i="1" a="1"/>
  <c r="F1642" i="1" s="1"/>
  <c r="F1641" i="1" a="1"/>
  <c r="F1641" i="1" s="1"/>
  <c r="F1640" i="1" a="1"/>
  <c r="F1640" i="1" s="1"/>
  <c r="F1639" i="1" a="1"/>
  <c r="F1639" i="1" s="1"/>
  <c r="F1638" i="1" a="1"/>
  <c r="F1638" i="1" s="1"/>
  <c r="H1638" i="1" s="1"/>
  <c r="F1637" i="1" a="1"/>
  <c r="F1637" i="1" s="1"/>
  <c r="H1637" i="1" s="1"/>
  <c r="F1636" i="1" a="1"/>
  <c r="F1636" i="1" s="1"/>
  <c r="H1636" i="1" s="1"/>
  <c r="F1635" i="1" a="1"/>
  <c r="F1635" i="1" s="1"/>
  <c r="H1635" i="1" s="1"/>
  <c r="F1634" i="1" a="1"/>
  <c r="F1634" i="1" s="1"/>
  <c r="F1633" i="1" a="1"/>
  <c r="F1633" i="1" s="1"/>
  <c r="H1633" i="1" s="1"/>
  <c r="F1632" i="1" a="1"/>
  <c r="F1632" i="1" s="1"/>
  <c r="F1631" i="1" a="1"/>
  <c r="F1631" i="1" s="1"/>
  <c r="F1630" i="1" a="1"/>
  <c r="F1630" i="1" s="1"/>
  <c r="H1630" i="1" s="1"/>
  <c r="F1629" i="1" a="1"/>
  <c r="F1629" i="1" s="1"/>
  <c r="F1628" i="1" a="1"/>
  <c r="F1628" i="1" s="1"/>
  <c r="H1628" i="1" s="1"/>
  <c r="F1627" i="1" a="1"/>
  <c r="F1627" i="1" s="1"/>
  <c r="F1626" i="1" a="1"/>
  <c r="F1626" i="1" s="1"/>
  <c r="H1626" i="1" s="1"/>
  <c r="F1625" i="1" a="1"/>
  <c r="F1625" i="1" s="1"/>
  <c r="F1624" i="1" a="1"/>
  <c r="F1624" i="1" s="1"/>
  <c r="F1623" i="1" a="1"/>
  <c r="F1623" i="1" s="1"/>
  <c r="F1622" i="1" a="1"/>
  <c r="F1622" i="1" s="1"/>
  <c r="F1621" i="1" a="1"/>
  <c r="F1621" i="1" s="1"/>
  <c r="F1620" i="1" a="1"/>
  <c r="F1620" i="1" s="1"/>
  <c r="F1619" i="1" a="1"/>
  <c r="F1619" i="1" s="1"/>
  <c r="H1619" i="1" s="1"/>
  <c r="F1618" i="1" a="1"/>
  <c r="F1618" i="1" s="1"/>
  <c r="F1617" i="1" a="1"/>
  <c r="F1617" i="1" s="1"/>
  <c r="H1617" i="1" s="1"/>
  <c r="F1616" i="1" a="1"/>
  <c r="F1616" i="1" s="1"/>
  <c r="H1616" i="1" s="1"/>
  <c r="F1615" i="1" a="1"/>
  <c r="F1615" i="1" s="1"/>
  <c r="H1615" i="1" s="1"/>
  <c r="F1614" i="1" a="1"/>
  <c r="F1614" i="1" s="1"/>
  <c r="F1613" i="1" a="1"/>
  <c r="F1613" i="1" s="1"/>
  <c r="F1612" i="1" a="1"/>
  <c r="F1612" i="1" s="1"/>
  <c r="F1611" i="1" a="1"/>
  <c r="F1611" i="1" s="1"/>
  <c r="F1610" i="1" a="1"/>
  <c r="F1610" i="1" s="1"/>
  <c r="H1610" i="1" s="1"/>
  <c r="F1609" i="1" a="1"/>
  <c r="F1609" i="1" s="1"/>
  <c r="F1608" i="1" a="1"/>
  <c r="F1608" i="1" s="1"/>
  <c r="F1607" i="1" a="1"/>
  <c r="F1607" i="1" s="1"/>
  <c r="F1606" i="1" a="1"/>
  <c r="F1606" i="1" s="1"/>
  <c r="F1605" i="1" a="1"/>
  <c r="F1605" i="1" s="1"/>
  <c r="F1604" i="1" a="1"/>
  <c r="F1604" i="1" s="1"/>
  <c r="H1604" i="1" s="1"/>
  <c r="F1603" i="1" a="1"/>
  <c r="F1603" i="1" s="1"/>
  <c r="H1603" i="1" s="1"/>
  <c r="F1602" i="1" a="1"/>
  <c r="F1602" i="1" s="1"/>
  <c r="H1602" i="1" s="1"/>
  <c r="F1601" i="1" a="1"/>
  <c r="F1601" i="1" s="1"/>
  <c r="F1600" i="1" a="1"/>
  <c r="F1600" i="1" s="1"/>
  <c r="F1599" i="1" a="1"/>
  <c r="F1599" i="1" s="1"/>
  <c r="H1599" i="1" s="1"/>
  <c r="F1598" i="1" a="1"/>
  <c r="F1598" i="1" s="1"/>
  <c r="H1598" i="1" s="1"/>
  <c r="F1597" i="1" a="1"/>
  <c r="F1597" i="1" s="1"/>
  <c r="F1596" i="1" a="1"/>
  <c r="F1596" i="1" s="1"/>
  <c r="F1595" i="1" a="1"/>
  <c r="F1595" i="1" s="1"/>
  <c r="F1594" i="1" a="1"/>
  <c r="F1594" i="1" s="1"/>
  <c r="F1593" i="1" a="1"/>
  <c r="F1593" i="1" s="1"/>
  <c r="F1592" i="1" a="1"/>
  <c r="F1592" i="1" s="1"/>
  <c r="F1591" i="1" a="1"/>
  <c r="F1591" i="1" s="1"/>
  <c r="H1591" i="1" s="1"/>
  <c r="F1590" i="1" a="1"/>
  <c r="F1590" i="1" s="1"/>
  <c r="F1589" i="1" a="1"/>
  <c r="F1589" i="1" s="1"/>
  <c r="H1589" i="1" s="1"/>
  <c r="F1588" i="1" a="1"/>
  <c r="F1588" i="1" s="1"/>
  <c r="F1587" i="1" a="1"/>
  <c r="F1587" i="1" s="1"/>
  <c r="F1586" i="1" a="1"/>
  <c r="F1586" i="1" s="1"/>
  <c r="F1585" i="1" a="1"/>
  <c r="F1585" i="1" s="1"/>
  <c r="H1585" i="1" s="1"/>
  <c r="F1584" i="1" a="1"/>
  <c r="F1584" i="1" s="1"/>
  <c r="H1584" i="1" s="1"/>
  <c r="F1583" i="1" a="1"/>
  <c r="F1583" i="1" s="1"/>
  <c r="H1583" i="1" s="1"/>
  <c r="F1582" i="1" a="1"/>
  <c r="F1582" i="1" s="1"/>
  <c r="F1581" i="1" a="1"/>
  <c r="F1581" i="1" s="1"/>
  <c r="H1581" i="1" s="1"/>
  <c r="F1580" i="1" a="1"/>
  <c r="F1580" i="1" s="1"/>
  <c r="H1580" i="1" s="1"/>
  <c r="F1579" i="1" a="1"/>
  <c r="F1579" i="1" s="1"/>
  <c r="H1579" i="1" s="1"/>
  <c r="F1578" i="1" a="1"/>
  <c r="F1578" i="1" s="1"/>
  <c r="F1577" i="1" a="1"/>
  <c r="F1577" i="1" s="1"/>
  <c r="H1577" i="1" s="1"/>
  <c r="F1576" i="1" a="1"/>
  <c r="F1576" i="1" s="1"/>
  <c r="F1575" i="1" a="1"/>
  <c r="F1575" i="1" s="1"/>
  <c r="H1575" i="1" s="1"/>
  <c r="F1574" i="1" a="1"/>
  <c r="F1574" i="1" s="1"/>
  <c r="H1574" i="1" s="1"/>
  <c r="F1573" i="1" a="1"/>
  <c r="F1573" i="1" s="1"/>
  <c r="F1572" i="1" a="1"/>
  <c r="F1572" i="1" s="1"/>
  <c r="H1572" i="1" s="1"/>
  <c r="F1571" i="1" a="1"/>
  <c r="F1571" i="1" s="1"/>
  <c r="F1570" i="1" a="1"/>
  <c r="F1570" i="1" s="1"/>
  <c r="F1569" i="1" a="1"/>
  <c r="F1569" i="1" s="1"/>
  <c r="F1568" i="1" a="1"/>
  <c r="F1568" i="1" s="1"/>
  <c r="F1567" i="1" a="1"/>
  <c r="F1567" i="1" s="1"/>
  <c r="H1567" i="1" s="1"/>
  <c r="F1566" i="1" a="1"/>
  <c r="F1566" i="1" s="1"/>
  <c r="H1566" i="1" s="1"/>
  <c r="F1565" i="1" a="1"/>
  <c r="F1565" i="1" s="1"/>
  <c r="F1564" i="1" a="1"/>
  <c r="F1564" i="1" s="1"/>
  <c r="H1564" i="1" s="1"/>
  <c r="F1563" i="1" a="1"/>
  <c r="F1563" i="1" s="1"/>
  <c r="F1562" i="1" a="1"/>
  <c r="F1562" i="1" s="1"/>
  <c r="F1561" i="1" a="1"/>
  <c r="F1561" i="1" s="1"/>
  <c r="F1560" i="1" a="1"/>
  <c r="F1560" i="1" s="1"/>
  <c r="H1560" i="1" s="1"/>
  <c r="F1559" i="1" a="1"/>
  <c r="F1559" i="1" s="1"/>
  <c r="H1559" i="1" s="1"/>
  <c r="F1558" i="1" a="1"/>
  <c r="F1558" i="1" s="1"/>
  <c r="F1557" i="1" a="1"/>
  <c r="F1557" i="1" s="1"/>
  <c r="H1557" i="1" s="1"/>
  <c r="F1556" i="1" a="1"/>
  <c r="F1556" i="1" s="1"/>
  <c r="F1555" i="1" a="1"/>
  <c r="F1555" i="1" s="1"/>
  <c r="F1554" i="1" a="1"/>
  <c r="F1554" i="1" s="1"/>
  <c r="F1553" i="1" a="1"/>
  <c r="F1553" i="1" s="1"/>
  <c r="H1553" i="1" s="1"/>
  <c r="F1552" i="1" a="1"/>
  <c r="F1552" i="1" s="1"/>
  <c r="F1551" i="1" a="1"/>
  <c r="F1551" i="1" s="1"/>
  <c r="F1550" i="1" a="1"/>
  <c r="F1550" i="1" s="1"/>
  <c r="F1549" i="1" a="1"/>
  <c r="F1549" i="1" s="1"/>
  <c r="F1548" i="1" a="1"/>
  <c r="F1548" i="1" s="1"/>
  <c r="F1547" i="1" a="1"/>
  <c r="F1547" i="1" s="1"/>
  <c r="H1547" i="1" s="1"/>
  <c r="F1546" i="1" a="1"/>
  <c r="F1546" i="1" s="1"/>
  <c r="H1546" i="1" s="1"/>
  <c r="F1545" i="1" a="1"/>
  <c r="F1545" i="1" s="1"/>
  <c r="F1544" i="1" a="1"/>
  <c r="F1544" i="1" s="1"/>
  <c r="H1544" i="1" s="1"/>
  <c r="F1543" i="1" a="1"/>
  <c r="F1543" i="1" s="1"/>
  <c r="F1542" i="1" a="1"/>
  <c r="F1542" i="1" s="1"/>
  <c r="H1542" i="1" s="1"/>
  <c r="F1541" i="1" a="1"/>
  <c r="F1541" i="1" s="1"/>
  <c r="H1541" i="1" s="1"/>
  <c r="F1540" i="1" a="1"/>
  <c r="F1540" i="1" s="1"/>
  <c r="H1540" i="1" s="1"/>
  <c r="F1539" i="1" a="1"/>
  <c r="F1539" i="1" s="1"/>
  <c r="H1539" i="1" s="1"/>
  <c r="F1538" i="1" a="1"/>
  <c r="F1538" i="1" s="1"/>
  <c r="H1538" i="1" s="1"/>
  <c r="F1537" i="1" a="1"/>
  <c r="F1537" i="1" s="1"/>
  <c r="F1536" i="1" a="1"/>
  <c r="F1536" i="1" s="1"/>
  <c r="H1536" i="1" s="1"/>
  <c r="F1535" i="1" a="1"/>
  <c r="F1535" i="1" s="1"/>
  <c r="F1534" i="1" a="1"/>
  <c r="F1534" i="1" s="1"/>
  <c r="F1533" i="1" a="1"/>
  <c r="F1533" i="1" s="1"/>
  <c r="F1532" i="1" a="1"/>
  <c r="F1532" i="1" s="1"/>
  <c r="H1532" i="1" s="1"/>
  <c r="F1531" i="1" a="1"/>
  <c r="F1531" i="1" s="1"/>
  <c r="H1531" i="1" s="1"/>
  <c r="F1530" i="1" a="1"/>
  <c r="F1530" i="1" s="1"/>
  <c r="F1529" i="1" a="1"/>
  <c r="F1529" i="1" s="1"/>
  <c r="H1529" i="1" s="1"/>
  <c r="F1528" i="1" a="1"/>
  <c r="F1528" i="1" s="1"/>
  <c r="F1527" i="1" a="1"/>
  <c r="F1527" i="1" s="1"/>
  <c r="H1527" i="1" s="1"/>
  <c r="F1526" i="1" a="1"/>
  <c r="F1526" i="1" s="1"/>
  <c r="F1525" i="1" a="1"/>
  <c r="F1525" i="1" s="1"/>
  <c r="F1524" i="1" a="1"/>
  <c r="F1524" i="1" s="1"/>
  <c r="F1523" i="1" a="1"/>
  <c r="F1523" i="1" s="1"/>
  <c r="F1522" i="1" a="1"/>
  <c r="F1522" i="1" s="1"/>
  <c r="F1521" i="1" a="1"/>
  <c r="F1521" i="1" s="1"/>
  <c r="H1521" i="1" s="1"/>
  <c r="F1520" i="1" a="1"/>
  <c r="F1520" i="1" s="1"/>
  <c r="H1520" i="1" s="1"/>
  <c r="F1519" i="1" a="1"/>
  <c r="F1519" i="1" s="1"/>
  <c r="H1519" i="1" s="1"/>
  <c r="F1518" i="1" a="1"/>
  <c r="F1518" i="1" s="1"/>
  <c r="H1518" i="1" s="1"/>
  <c r="F1517" i="1" a="1"/>
  <c r="F1517" i="1" s="1"/>
  <c r="F1516" i="1" a="1"/>
  <c r="F1516" i="1" s="1"/>
  <c r="H1516" i="1" s="1"/>
  <c r="F1515" i="1" a="1"/>
  <c r="F1515" i="1" s="1"/>
  <c r="F1514" i="1" a="1"/>
  <c r="F1514" i="1" s="1"/>
  <c r="H1514" i="1" s="1"/>
  <c r="F1513" i="1" a="1"/>
  <c r="F1513" i="1" s="1"/>
  <c r="H1513" i="1" s="1"/>
  <c r="F1512" i="1" a="1"/>
  <c r="F1512" i="1" s="1"/>
  <c r="H1512" i="1" s="1"/>
  <c r="F1511" i="1" a="1"/>
  <c r="F1511" i="1" s="1"/>
  <c r="F1510" i="1" a="1"/>
  <c r="F1510" i="1" s="1"/>
  <c r="H1510" i="1" s="1"/>
  <c r="F1509" i="1" a="1"/>
  <c r="F1509" i="1" s="1"/>
  <c r="F1508" i="1" a="1"/>
  <c r="F1508" i="1" s="1"/>
  <c r="H1508" i="1" s="1"/>
  <c r="F1507" i="1" a="1"/>
  <c r="F1507" i="1" s="1"/>
  <c r="F1506" i="1" a="1"/>
  <c r="F1506" i="1" s="1"/>
  <c r="F1505" i="1" a="1"/>
  <c r="F1505" i="1" s="1"/>
  <c r="H1505" i="1" s="1"/>
  <c r="F1504" i="1" a="1"/>
  <c r="F1504" i="1" s="1"/>
  <c r="H1504" i="1" s="1"/>
  <c r="F1503" i="1" a="1"/>
  <c r="F1503" i="1" s="1"/>
  <c r="H1503" i="1" s="1"/>
  <c r="F1502" i="1" a="1"/>
  <c r="F1502" i="1" s="1"/>
  <c r="F1501" i="1" a="1"/>
  <c r="F1501" i="1" s="1"/>
  <c r="H1501" i="1" s="1"/>
  <c r="F1500" i="1" a="1"/>
  <c r="F1500" i="1" s="1"/>
  <c r="H1500" i="1" s="1"/>
  <c r="F1499" i="1" a="1"/>
  <c r="F1499" i="1" s="1"/>
  <c r="H1499" i="1" s="1"/>
  <c r="F1498" i="1" a="1"/>
  <c r="F1498" i="1" s="1"/>
  <c r="H1498" i="1" s="1"/>
  <c r="F1497" i="1" a="1"/>
  <c r="F1497" i="1" s="1"/>
  <c r="F1496" i="1" a="1"/>
  <c r="F1496" i="1" s="1"/>
  <c r="F1495" i="1" a="1"/>
  <c r="F1495" i="1" s="1"/>
  <c r="F1494" i="1" a="1"/>
  <c r="F1494" i="1" s="1"/>
  <c r="H1494" i="1" s="1"/>
  <c r="F1493" i="1" a="1"/>
  <c r="F1493" i="1" s="1"/>
  <c r="F1492" i="1" a="1"/>
  <c r="F1492" i="1" s="1"/>
  <c r="H1492" i="1" s="1"/>
  <c r="F1491" i="1" a="1"/>
  <c r="F1491" i="1" s="1"/>
  <c r="H1491" i="1" s="1"/>
  <c r="F1490" i="1" a="1"/>
  <c r="F1490" i="1" s="1"/>
  <c r="H1490" i="1" s="1"/>
  <c r="F1489" i="1" a="1"/>
  <c r="F1489" i="1" s="1"/>
  <c r="F1488" i="1" a="1"/>
  <c r="F1488" i="1" s="1"/>
  <c r="F1487" i="1" a="1"/>
  <c r="F1487" i="1" s="1"/>
  <c r="H1487" i="1" s="1"/>
  <c r="F1486" i="1" a="1"/>
  <c r="F1486" i="1" s="1"/>
  <c r="H1486" i="1" s="1"/>
  <c r="F1485" i="1" a="1"/>
  <c r="F1485" i="1" s="1"/>
  <c r="H1485" i="1" s="1"/>
  <c r="F1484" i="1" a="1"/>
  <c r="F1484" i="1" s="1"/>
  <c r="F1483" i="1" a="1"/>
  <c r="F1483" i="1" s="1"/>
  <c r="F1482" i="1" a="1"/>
  <c r="F1482" i="1" s="1"/>
  <c r="F1481" i="1" a="1"/>
  <c r="F1481" i="1" s="1"/>
  <c r="H1481" i="1" s="1"/>
  <c r="F1480" i="1" a="1"/>
  <c r="F1480" i="1" s="1"/>
  <c r="F1479" i="1" a="1"/>
  <c r="F1479" i="1" s="1"/>
  <c r="H1479" i="1" s="1"/>
  <c r="F1478" i="1" a="1"/>
  <c r="F1478" i="1" s="1"/>
  <c r="F1477" i="1" a="1"/>
  <c r="F1477" i="1" s="1"/>
  <c r="F1476" i="1" a="1"/>
  <c r="F1476" i="1" s="1"/>
  <c r="F1475" i="1" a="1"/>
  <c r="F1475" i="1" s="1"/>
  <c r="H1475" i="1" s="1"/>
  <c r="F1474" i="1" a="1"/>
  <c r="F1474" i="1" s="1"/>
  <c r="F1473" i="1" a="1"/>
  <c r="F1473" i="1" s="1"/>
  <c r="F1472" i="1" a="1"/>
  <c r="F1472" i="1" s="1"/>
  <c r="H1472" i="1" s="1"/>
  <c r="F1471" i="1" a="1"/>
  <c r="F1471" i="1" s="1"/>
  <c r="F1470" i="1" a="1"/>
  <c r="F1470" i="1" s="1"/>
  <c r="H1470" i="1" s="1"/>
  <c r="F1469" i="1" a="1"/>
  <c r="F1469" i="1" s="1"/>
  <c r="H1469" i="1" s="1"/>
  <c r="F1468" i="1" a="1"/>
  <c r="F1468" i="1" s="1"/>
  <c r="F1467" i="1" a="1"/>
  <c r="F1467" i="1" s="1"/>
  <c r="H1467" i="1" s="1"/>
  <c r="F1466" i="1" a="1"/>
  <c r="F1466" i="1" s="1"/>
  <c r="H1466" i="1" s="1"/>
  <c r="F1465" i="1" a="1"/>
  <c r="F1465" i="1" s="1"/>
  <c r="H1465" i="1" s="1"/>
  <c r="F1464" i="1" a="1"/>
  <c r="F1464" i="1" s="1"/>
  <c r="F1463" i="1" a="1"/>
  <c r="F1463" i="1" s="1"/>
  <c r="H1463" i="1" s="1"/>
  <c r="F1462" i="1" a="1"/>
  <c r="F1462" i="1" s="1"/>
  <c r="H1462" i="1" s="1"/>
  <c r="F1461" i="1" a="1"/>
  <c r="F1461" i="1" s="1"/>
  <c r="F1460" i="1" a="1"/>
  <c r="F1460" i="1" s="1"/>
  <c r="H1460" i="1" s="1"/>
  <c r="F1459" i="1" a="1"/>
  <c r="F1459" i="1" s="1"/>
  <c r="F1458" i="1" a="1"/>
  <c r="F1458" i="1" s="1"/>
  <c r="F1457" i="1" a="1"/>
  <c r="F1457" i="1" s="1"/>
  <c r="F1456" i="1" a="1"/>
  <c r="F1456" i="1" s="1"/>
  <c r="F1455" i="1" a="1"/>
  <c r="F1455" i="1" s="1"/>
  <c r="H1455" i="1" s="1"/>
  <c r="F1454" i="1" a="1"/>
  <c r="F1454" i="1" s="1"/>
  <c r="F1453" i="1" a="1"/>
  <c r="F1453" i="1" s="1"/>
  <c r="F1452" i="1" a="1"/>
  <c r="F1452" i="1" s="1"/>
  <c r="H1452" i="1" s="1"/>
  <c r="F1451" i="1" a="1"/>
  <c r="F1451" i="1" s="1"/>
  <c r="F1450" i="1" a="1"/>
  <c r="F1450" i="1" s="1"/>
  <c r="H1450" i="1" s="1"/>
  <c r="F1449" i="1" a="1"/>
  <c r="F1449" i="1" s="1"/>
  <c r="F1448" i="1" a="1"/>
  <c r="F1448" i="1" s="1"/>
  <c r="F1447" i="1" a="1"/>
  <c r="F1447" i="1" s="1"/>
  <c r="F1446" i="1" a="1"/>
  <c r="F1446" i="1" s="1"/>
  <c r="H1446" i="1" s="1"/>
  <c r="F1445" i="1" a="1"/>
  <c r="F1445" i="1" s="1"/>
  <c r="H1445" i="1" s="1"/>
  <c r="F1444" i="1" a="1"/>
  <c r="F1444" i="1" s="1"/>
  <c r="H1444" i="1" s="1"/>
  <c r="F1443" i="1" a="1"/>
  <c r="F1443" i="1" s="1"/>
  <c r="H1443" i="1" s="1"/>
  <c r="F1442" i="1" a="1"/>
  <c r="F1442" i="1" s="1"/>
  <c r="H1442" i="1" s="1"/>
  <c r="F1441" i="1" a="1"/>
  <c r="F1441" i="1" s="1"/>
  <c r="H1441" i="1" s="1"/>
  <c r="F1440" i="1" a="1"/>
  <c r="F1440" i="1" s="1"/>
  <c r="H1440" i="1" s="1"/>
  <c r="F1439" i="1" a="1"/>
  <c r="F1439" i="1" s="1"/>
  <c r="F1438" i="1" a="1"/>
  <c r="F1438" i="1" s="1"/>
  <c r="F1437" i="1" a="1"/>
  <c r="F1437" i="1" s="1"/>
  <c r="H1437" i="1" s="1"/>
  <c r="F1436" i="1" a="1"/>
  <c r="F1436" i="1" s="1"/>
  <c r="H1436" i="1" s="1"/>
  <c r="F1435" i="1" a="1"/>
  <c r="F1435" i="1" s="1"/>
  <c r="F1434" i="1" a="1"/>
  <c r="F1434" i="1" s="1"/>
  <c r="H1434" i="1" s="1"/>
  <c r="F1433" i="1" a="1"/>
  <c r="F1433" i="1" s="1"/>
  <c r="H1433" i="1" s="1"/>
  <c r="F1432" i="1" a="1"/>
  <c r="F1432" i="1" s="1"/>
  <c r="F1431" i="1" a="1"/>
  <c r="F1431" i="1" s="1"/>
  <c r="F1430" i="1" a="1"/>
  <c r="F1430" i="1" s="1"/>
  <c r="H1430" i="1" s="1"/>
  <c r="F1429" i="1" a="1"/>
  <c r="F1429" i="1" s="1"/>
  <c r="F1428" i="1" a="1"/>
  <c r="F1428" i="1" s="1"/>
  <c r="H1428" i="1" s="1"/>
  <c r="F1427" i="1" a="1"/>
  <c r="F1427" i="1" s="1"/>
  <c r="F1426" i="1" a="1"/>
  <c r="F1426" i="1" s="1"/>
  <c r="F1425" i="1" a="1"/>
  <c r="F1425" i="1" s="1"/>
  <c r="F1424" i="1" a="1"/>
  <c r="F1424" i="1" s="1"/>
  <c r="F1423" i="1" a="1"/>
  <c r="F1423" i="1" s="1"/>
  <c r="H1423" i="1" s="1"/>
  <c r="F1422" i="1" a="1"/>
  <c r="F1422" i="1" s="1"/>
  <c r="F1421" i="1" a="1"/>
  <c r="F1421" i="1" s="1"/>
  <c r="H1421" i="1" s="1"/>
  <c r="F1420" i="1" a="1"/>
  <c r="F1420" i="1" s="1"/>
  <c r="F1419" i="1" a="1"/>
  <c r="F1419" i="1" s="1"/>
  <c r="H1419" i="1" s="1"/>
  <c r="F1418" i="1" a="1"/>
  <c r="F1418" i="1" s="1"/>
  <c r="H1418" i="1" s="1"/>
  <c r="F1417" i="1" a="1"/>
  <c r="F1417" i="1" s="1"/>
  <c r="H1417" i="1" s="1"/>
  <c r="F1416" i="1" a="1"/>
  <c r="F1416" i="1" s="1"/>
  <c r="F1415" i="1" a="1"/>
  <c r="F1415" i="1" s="1"/>
  <c r="F1414" i="1" a="1"/>
  <c r="F1414" i="1" s="1"/>
  <c r="H1414" i="1" s="1"/>
  <c r="F1413" i="1" a="1"/>
  <c r="F1413" i="1" s="1"/>
  <c r="H1413" i="1" s="1"/>
  <c r="F1412" i="1" a="1"/>
  <c r="F1412" i="1" s="1"/>
  <c r="F1411" i="1" a="1"/>
  <c r="F1411" i="1" s="1"/>
  <c r="F1410" i="1" a="1"/>
  <c r="F1410" i="1" s="1"/>
  <c r="H1410" i="1" s="1"/>
  <c r="F1409" i="1" a="1"/>
  <c r="F1409" i="1" s="1"/>
  <c r="H1409" i="1" s="1"/>
  <c r="F1408" i="1" a="1"/>
  <c r="F1408" i="1" s="1"/>
  <c r="H1408" i="1" s="1"/>
  <c r="F1407" i="1" a="1"/>
  <c r="F1407" i="1" s="1"/>
  <c r="H1407" i="1" s="1"/>
  <c r="F1406" i="1" a="1"/>
  <c r="F1406" i="1" s="1"/>
  <c r="H1406" i="1" s="1"/>
  <c r="F1405" i="1" a="1"/>
  <c r="F1405" i="1" s="1"/>
  <c r="F1404" i="1" a="1"/>
  <c r="F1404" i="1" s="1"/>
  <c r="H1404" i="1" s="1"/>
  <c r="F1403" i="1" a="1"/>
  <c r="F1403" i="1" s="1"/>
  <c r="F1402" i="1" a="1"/>
  <c r="F1402" i="1" s="1"/>
  <c r="H1402" i="1" s="1"/>
  <c r="F1401" i="1" a="1"/>
  <c r="F1401" i="1" s="1"/>
  <c r="F1400" i="1" a="1"/>
  <c r="F1400" i="1" s="1"/>
  <c r="H1400" i="1" s="1"/>
  <c r="F1399" i="1" a="1"/>
  <c r="F1399" i="1" s="1"/>
  <c r="F1398" i="1" a="1"/>
  <c r="F1398" i="1" s="1"/>
  <c r="F1397" i="1" a="1"/>
  <c r="F1397" i="1" s="1"/>
  <c r="F1396" i="1" a="1"/>
  <c r="F1396" i="1" s="1"/>
  <c r="F1395" i="1" a="1"/>
  <c r="F1395" i="1" s="1"/>
  <c r="F1394" i="1" a="1"/>
  <c r="F1394" i="1" s="1"/>
  <c r="F1393" i="1" a="1"/>
  <c r="F1393" i="1" s="1"/>
  <c r="H1393" i="1" s="1"/>
  <c r="F1392" i="1" a="1"/>
  <c r="F1392" i="1" s="1"/>
  <c r="F1391" i="1" a="1"/>
  <c r="F1391" i="1" s="1"/>
  <c r="H1391" i="1" s="1"/>
  <c r="F1390" i="1" a="1"/>
  <c r="F1390" i="1" s="1"/>
  <c r="H1390" i="1" s="1"/>
  <c r="F1389" i="1" a="1"/>
  <c r="F1389" i="1" s="1"/>
  <c r="H1389" i="1" s="1"/>
  <c r="F1388" i="1" a="1"/>
  <c r="F1388" i="1" s="1"/>
  <c r="H1388" i="1" s="1"/>
  <c r="F1387" i="1" a="1"/>
  <c r="F1387" i="1" s="1"/>
  <c r="H1387" i="1" s="1"/>
  <c r="F1386" i="1" a="1"/>
  <c r="F1386" i="1" s="1"/>
  <c r="H1386" i="1" s="1"/>
  <c r="F1385" i="1" a="1"/>
  <c r="F1385" i="1" s="1"/>
  <c r="F1384" i="1" a="1"/>
  <c r="F1384" i="1" s="1"/>
  <c r="H1384" i="1" s="1"/>
  <c r="F1383" i="1" a="1"/>
  <c r="F1383" i="1" s="1"/>
  <c r="H1383" i="1" s="1"/>
  <c r="F1382" i="1" a="1"/>
  <c r="F1382" i="1" s="1"/>
  <c r="H1382" i="1" s="1"/>
  <c r="F1381" i="1" a="1"/>
  <c r="F1381" i="1" s="1"/>
  <c r="F1380" i="1" a="1"/>
  <c r="F1380" i="1" s="1"/>
  <c r="H1380" i="1" s="1"/>
  <c r="F1379" i="1" a="1"/>
  <c r="F1379" i="1" s="1"/>
  <c r="F1378" i="1" a="1"/>
  <c r="F1378" i="1" s="1"/>
  <c r="F1377" i="1" a="1"/>
  <c r="F1377" i="1" s="1"/>
  <c r="F1376" i="1" a="1"/>
  <c r="F1376" i="1" s="1"/>
  <c r="F1375" i="1" a="1"/>
  <c r="F1375" i="1" s="1"/>
  <c r="F1374" i="1" a="1"/>
  <c r="F1374" i="1" s="1"/>
  <c r="H1374" i="1" s="1"/>
  <c r="F1373" i="1" a="1"/>
  <c r="F1373" i="1" s="1"/>
  <c r="F1372" i="1" a="1"/>
  <c r="F1372" i="1" s="1"/>
  <c r="F1371" i="1" a="1"/>
  <c r="F1371" i="1" s="1"/>
  <c r="H1371" i="1" s="1"/>
  <c r="F1370" i="1" a="1"/>
  <c r="F1370" i="1" s="1"/>
  <c r="F1369" i="1" a="1"/>
  <c r="F1369" i="1" s="1"/>
  <c r="F1368" i="1" a="1"/>
  <c r="F1368" i="1" s="1"/>
  <c r="H1368" i="1" s="1"/>
  <c r="F1367" i="1" a="1"/>
  <c r="F1367" i="1" s="1"/>
  <c r="H1367" i="1" s="1"/>
  <c r="F1366" i="1" a="1"/>
  <c r="F1366" i="1" s="1"/>
  <c r="H1366" i="1" s="1"/>
  <c r="F1365" i="1" a="1"/>
  <c r="F1365" i="1" s="1"/>
  <c r="H1365" i="1" s="1"/>
  <c r="F1364" i="1" a="1"/>
  <c r="F1364" i="1" s="1"/>
  <c r="F1363" i="1" a="1"/>
  <c r="F1363" i="1" s="1"/>
  <c r="F1362" i="1" a="1"/>
  <c r="F1362" i="1" s="1"/>
  <c r="F1361" i="1" a="1"/>
  <c r="F1361" i="1" s="1"/>
  <c r="H1361" i="1" s="1"/>
  <c r="F1360" i="1" a="1"/>
  <c r="F1360" i="1" s="1"/>
  <c r="F1359" i="1" a="1"/>
  <c r="F1359" i="1" s="1"/>
  <c r="H1359" i="1" s="1"/>
  <c r="F1358" i="1" a="1"/>
  <c r="F1358" i="1" s="1"/>
  <c r="F1357" i="1" a="1"/>
  <c r="F1357" i="1" s="1"/>
  <c r="F1356" i="1" a="1"/>
  <c r="F1356" i="1" s="1"/>
  <c r="H1356" i="1" s="1"/>
  <c r="F1355" i="1" a="1"/>
  <c r="F1355" i="1" s="1"/>
  <c r="F1354" i="1" a="1"/>
  <c r="F1354" i="1" s="1"/>
  <c r="F1353" i="1" a="1"/>
  <c r="F1353" i="1" s="1"/>
  <c r="H1353" i="1" s="1"/>
  <c r="F1352" i="1" a="1"/>
  <c r="F1352" i="1" s="1"/>
  <c r="H1352" i="1" s="1"/>
  <c r="F1351" i="1" a="1"/>
  <c r="F1351" i="1" s="1"/>
  <c r="F1350" i="1" a="1"/>
  <c r="F1350" i="1" s="1"/>
  <c r="H1350" i="1" s="1"/>
  <c r="F1349" i="1" a="1"/>
  <c r="F1349" i="1" s="1"/>
  <c r="H1349" i="1" s="1"/>
  <c r="F1348" i="1" a="1"/>
  <c r="F1348" i="1" s="1"/>
  <c r="H1348" i="1" s="1"/>
  <c r="F1347" i="1" a="1"/>
  <c r="F1347" i="1" s="1"/>
  <c r="H1347" i="1" s="1"/>
  <c r="F1346" i="1" a="1"/>
  <c r="F1346" i="1" s="1"/>
  <c r="F1345" i="1" a="1"/>
  <c r="F1345" i="1" s="1"/>
  <c r="F1344" i="1" a="1"/>
  <c r="F1344" i="1" s="1"/>
  <c r="H1344" i="1" s="1"/>
  <c r="F1343" i="1" a="1"/>
  <c r="F1343" i="1" s="1"/>
  <c r="F1342" i="1" a="1"/>
  <c r="F1342" i="1" s="1"/>
  <c r="H1342" i="1" s="1"/>
  <c r="F1341" i="1" a="1"/>
  <c r="F1341" i="1" s="1"/>
  <c r="F1340" i="1" a="1"/>
  <c r="F1340" i="1" s="1"/>
  <c r="H1340" i="1" s="1"/>
  <c r="F1339" i="1" a="1"/>
  <c r="F1339" i="1" s="1"/>
  <c r="F1338" i="1" a="1"/>
  <c r="F1338" i="1" s="1"/>
  <c r="F1337" i="1" a="1"/>
  <c r="F1337" i="1" s="1"/>
  <c r="H1337" i="1" s="1"/>
  <c r="F1336" i="1" a="1"/>
  <c r="F1336" i="1" s="1"/>
  <c r="H1336" i="1" s="1"/>
  <c r="F1335" i="1" a="1"/>
  <c r="F1335" i="1" s="1"/>
  <c r="F1334" i="1" a="1"/>
  <c r="F1334" i="1" s="1"/>
  <c r="H1334" i="1" s="1"/>
  <c r="F1333" i="1" a="1"/>
  <c r="F1333" i="1" s="1"/>
  <c r="F1332" i="1" a="1"/>
  <c r="F1332" i="1" s="1"/>
  <c r="H1332" i="1" s="1"/>
  <c r="F1331" i="1" a="1"/>
  <c r="F1331" i="1" s="1"/>
  <c r="H1331" i="1" s="1"/>
  <c r="F1330" i="1" a="1"/>
  <c r="F1330" i="1" s="1"/>
  <c r="F1329" i="1" a="1"/>
  <c r="F1329" i="1" s="1"/>
  <c r="F1328" i="1" a="1"/>
  <c r="F1328" i="1" s="1"/>
  <c r="F1327" i="1" a="1"/>
  <c r="F1327" i="1" s="1"/>
  <c r="H1327" i="1" s="1"/>
  <c r="F1326" i="1" a="1"/>
  <c r="F1326" i="1" s="1"/>
  <c r="F1325" i="1" a="1"/>
  <c r="F1325" i="1" s="1"/>
  <c r="H1325" i="1" s="1"/>
  <c r="F1324" i="1" a="1"/>
  <c r="F1324" i="1" s="1"/>
  <c r="H1324" i="1" s="1"/>
  <c r="F1323" i="1" a="1"/>
  <c r="F1323" i="1" s="1"/>
  <c r="F1322" i="1" a="1"/>
  <c r="F1322" i="1" s="1"/>
  <c r="F1321" i="1" a="1"/>
  <c r="F1321" i="1" s="1"/>
  <c r="F1320" i="1" a="1"/>
  <c r="F1320" i="1" s="1"/>
  <c r="F1319" i="1" a="1"/>
  <c r="F1319" i="1" s="1"/>
  <c r="H1319" i="1" s="1"/>
  <c r="F1318" i="1" a="1"/>
  <c r="F1318" i="1" s="1"/>
  <c r="H1318" i="1" s="1"/>
  <c r="F1317" i="1" a="1"/>
  <c r="F1317" i="1" s="1"/>
  <c r="F1316" i="1" a="1"/>
  <c r="F1316" i="1" s="1"/>
  <c r="F1315" i="1" a="1"/>
  <c r="F1315" i="1" s="1"/>
  <c r="F1314" i="1" a="1"/>
  <c r="F1314" i="1" s="1"/>
  <c r="F1313" i="1" a="1"/>
  <c r="F1313" i="1" s="1"/>
  <c r="H1313" i="1" s="1"/>
  <c r="F1312" i="1" a="1"/>
  <c r="F1312" i="1" s="1"/>
  <c r="F1311" i="1" a="1"/>
  <c r="F1311" i="1" s="1"/>
  <c r="F1310" i="1" a="1"/>
  <c r="F1310" i="1" s="1"/>
  <c r="H1310" i="1" s="1"/>
  <c r="F1309" i="1" a="1"/>
  <c r="F1309" i="1" s="1"/>
  <c r="F1308" i="1" a="1"/>
  <c r="F1308" i="1" s="1"/>
  <c r="H1308" i="1" s="1"/>
  <c r="F1307" i="1" a="1"/>
  <c r="F1307" i="1" s="1"/>
  <c r="H1307" i="1" s="1"/>
  <c r="F1306" i="1" a="1"/>
  <c r="F1306" i="1" s="1"/>
  <c r="H1306" i="1" s="1"/>
  <c r="F1305" i="1" a="1"/>
  <c r="F1305" i="1" s="1"/>
  <c r="F1304" i="1" a="1"/>
  <c r="F1304" i="1" s="1"/>
  <c r="H1304" i="1" s="1"/>
  <c r="F1303" i="1" a="1"/>
  <c r="F1303" i="1" s="1"/>
  <c r="H1303" i="1" s="1"/>
  <c r="F1302" i="1" a="1"/>
  <c r="F1302" i="1" s="1"/>
  <c r="F1301" i="1" a="1"/>
  <c r="F1301" i="1" s="1"/>
  <c r="H1301" i="1" s="1"/>
  <c r="F1300" i="1" a="1"/>
  <c r="F1300" i="1" s="1"/>
  <c r="H1300" i="1" s="1"/>
  <c r="F1299" i="1" a="1"/>
  <c r="F1299" i="1" s="1"/>
  <c r="H1299" i="1" s="1"/>
  <c r="F1298" i="1" a="1"/>
  <c r="F1298" i="1" s="1"/>
  <c r="F1297" i="1" a="1"/>
  <c r="F1297" i="1" s="1"/>
  <c r="F1296" i="1" a="1"/>
  <c r="F1296" i="1" s="1"/>
  <c r="F1295" i="1" a="1"/>
  <c r="F1295" i="1" s="1"/>
  <c r="H1295" i="1" s="1"/>
  <c r="F1294" i="1" a="1"/>
  <c r="F1294" i="1" s="1"/>
  <c r="F1293" i="1" a="1"/>
  <c r="F1293" i="1" s="1"/>
  <c r="H1293" i="1" s="1"/>
  <c r="F1292" i="1" a="1"/>
  <c r="F1292" i="1" s="1"/>
  <c r="F1291" i="1" a="1"/>
  <c r="F1291" i="1" s="1"/>
  <c r="H1291" i="1" s="1"/>
  <c r="F1290" i="1" a="1"/>
  <c r="F1290" i="1" s="1"/>
  <c r="F1289" i="1" a="1"/>
  <c r="F1289" i="1" s="1"/>
  <c r="F1288" i="1" a="1"/>
  <c r="F1288" i="1" s="1"/>
  <c r="H1288" i="1" s="1"/>
  <c r="F1287" i="1" a="1"/>
  <c r="F1287" i="1" s="1"/>
  <c r="F1286" i="1" a="1"/>
  <c r="F1286" i="1" s="1"/>
  <c r="H1286" i="1" s="1"/>
  <c r="F1285" i="1" a="1"/>
  <c r="F1285" i="1" s="1"/>
  <c r="F1284" i="1" a="1"/>
  <c r="F1284" i="1" s="1"/>
  <c r="H1284" i="1" s="1"/>
  <c r="F1283" i="1" a="1"/>
  <c r="F1283" i="1" s="1"/>
  <c r="H1283" i="1" s="1"/>
  <c r="F1282" i="1" a="1"/>
  <c r="F1282" i="1" s="1"/>
  <c r="F1281" i="1" a="1"/>
  <c r="F1281" i="1" s="1"/>
  <c r="H1281" i="1" s="1"/>
  <c r="F1280" i="1" a="1"/>
  <c r="F1280" i="1" s="1"/>
  <c r="F1279" i="1" a="1"/>
  <c r="F1279" i="1" s="1"/>
  <c r="H1279" i="1" s="1"/>
  <c r="F1278" i="1" a="1"/>
  <c r="F1278" i="1" s="1"/>
  <c r="F1277" i="1" a="1"/>
  <c r="F1277" i="1" s="1"/>
  <c r="H1277" i="1" s="1"/>
  <c r="F1276" i="1" a="1"/>
  <c r="F1276" i="1" s="1"/>
  <c r="H1276" i="1" s="1"/>
  <c r="F1275" i="1" a="1"/>
  <c r="F1275" i="1" s="1"/>
  <c r="H1275" i="1" s="1"/>
  <c r="F1274" i="1" a="1"/>
  <c r="F1274" i="1" s="1"/>
  <c r="H1274" i="1" s="1"/>
  <c r="F1273" i="1" a="1"/>
  <c r="F1273" i="1" s="1"/>
  <c r="H1273" i="1" s="1"/>
  <c r="F1272" i="1" a="1"/>
  <c r="F1272" i="1" s="1"/>
  <c r="F1271" i="1" a="1"/>
  <c r="F1271" i="1" s="1"/>
  <c r="H1271" i="1" s="1"/>
  <c r="F1270" i="1" a="1"/>
  <c r="F1270" i="1" s="1"/>
  <c r="F1269" i="1" a="1"/>
  <c r="F1269" i="1" s="1"/>
  <c r="F1268" i="1" a="1"/>
  <c r="F1268" i="1" s="1"/>
  <c r="H1268" i="1" s="1"/>
  <c r="F1267" i="1" a="1"/>
  <c r="F1267" i="1" s="1"/>
  <c r="F1266" i="1" a="1"/>
  <c r="F1266" i="1" s="1"/>
  <c r="H1266" i="1" s="1"/>
  <c r="F1265" i="1" a="1"/>
  <c r="F1265" i="1" s="1"/>
  <c r="F1264" i="1" a="1"/>
  <c r="F1264" i="1" s="1"/>
  <c r="F1263" i="1" a="1"/>
  <c r="F1263" i="1" s="1"/>
  <c r="H1263" i="1" s="1"/>
  <c r="F1262" i="1" a="1"/>
  <c r="F1262" i="1" s="1"/>
  <c r="F1261" i="1" a="1"/>
  <c r="F1261" i="1" s="1"/>
  <c r="H1261" i="1" s="1"/>
  <c r="F1260" i="1" a="1"/>
  <c r="F1260" i="1" s="1"/>
  <c r="F1259" i="1" a="1"/>
  <c r="F1259" i="1" s="1"/>
  <c r="F1258" i="1" a="1"/>
  <c r="F1258" i="1" s="1"/>
  <c r="H1258" i="1" s="1"/>
  <c r="F1257" i="1" a="1"/>
  <c r="F1257" i="1" s="1"/>
  <c r="H1257" i="1" s="1"/>
  <c r="F1256" i="1" a="1"/>
  <c r="F1256" i="1" s="1"/>
  <c r="H1256" i="1" s="1"/>
  <c r="F1255" i="1" a="1"/>
  <c r="F1255" i="1" s="1"/>
  <c r="H1255" i="1" s="1"/>
  <c r="F1254" i="1" a="1"/>
  <c r="F1254" i="1" s="1"/>
  <c r="F1253" i="1" a="1"/>
  <c r="F1253" i="1" s="1"/>
  <c r="H1253" i="1" s="1"/>
  <c r="F1252" i="1" a="1"/>
  <c r="F1252" i="1" s="1"/>
  <c r="F1251" i="1" a="1"/>
  <c r="F1251" i="1" s="1"/>
  <c r="H1251" i="1" s="1"/>
  <c r="F1250" i="1" a="1"/>
  <c r="F1250" i="1" s="1"/>
  <c r="H1250" i="1" s="1"/>
  <c r="F1249" i="1" a="1"/>
  <c r="F1249" i="1" s="1"/>
  <c r="H1249" i="1" s="1"/>
  <c r="F1248" i="1" a="1"/>
  <c r="F1248" i="1" s="1"/>
  <c r="F1247" i="1" a="1"/>
  <c r="F1247" i="1" s="1"/>
  <c r="H1247" i="1" s="1"/>
  <c r="F1246" i="1" a="1"/>
  <c r="F1246" i="1" s="1"/>
  <c r="F1245" i="1" a="1"/>
  <c r="F1245" i="1" s="1"/>
  <c r="F1244" i="1" a="1"/>
  <c r="F1244" i="1" s="1"/>
  <c r="F1243" i="1" a="1"/>
  <c r="F1243" i="1" s="1"/>
  <c r="F1242" i="1" a="1"/>
  <c r="F1242" i="1" s="1"/>
  <c r="H1242" i="1" s="1"/>
  <c r="F1241" i="1" a="1"/>
  <c r="F1241" i="1" s="1"/>
  <c r="F1240" i="1" a="1"/>
  <c r="F1240" i="1" s="1"/>
  <c r="H1240" i="1" s="1"/>
  <c r="F1239" i="1" a="1"/>
  <c r="F1239" i="1" s="1"/>
  <c r="H1239" i="1" s="1"/>
  <c r="F1238" i="1" a="1"/>
  <c r="F1238" i="1" s="1"/>
  <c r="F1237" i="1" a="1"/>
  <c r="F1237" i="1" s="1"/>
  <c r="F1236" i="1" a="1"/>
  <c r="F1236" i="1" s="1"/>
  <c r="H1236" i="1" s="1"/>
  <c r="F1235" i="1" a="1"/>
  <c r="F1235" i="1" s="1"/>
  <c r="F1234" i="1" a="1"/>
  <c r="F1234" i="1" s="1"/>
  <c r="F1233" i="1" a="1"/>
  <c r="F1233" i="1" s="1"/>
  <c r="H1233" i="1" s="1"/>
  <c r="F1232" i="1" a="1"/>
  <c r="F1232" i="1" s="1"/>
  <c r="H1232" i="1" s="1"/>
  <c r="F1231" i="1" a="1"/>
  <c r="F1231" i="1" s="1"/>
  <c r="F1230" i="1" a="1"/>
  <c r="F1230" i="1" s="1"/>
  <c r="F1229" i="1" a="1"/>
  <c r="F1229" i="1" s="1"/>
  <c r="F1228" i="1" a="1"/>
  <c r="F1228" i="1" s="1"/>
  <c r="H1228" i="1" s="1"/>
  <c r="F1227" i="1" a="1"/>
  <c r="F1227" i="1" s="1"/>
  <c r="H1227" i="1" s="1"/>
  <c r="F1226" i="1" a="1"/>
  <c r="F1226" i="1" s="1"/>
  <c r="H1226" i="1" s="1"/>
  <c r="F1225" i="1" a="1"/>
  <c r="F1225" i="1" s="1"/>
  <c r="H1225" i="1" s="1"/>
  <c r="F1224" i="1" a="1"/>
  <c r="F1224" i="1" s="1"/>
  <c r="H1224" i="1" s="1"/>
  <c r="F1223" i="1" a="1"/>
  <c r="F1223" i="1" s="1"/>
  <c r="F1222" i="1" a="1"/>
  <c r="F1222" i="1" s="1"/>
  <c r="F1221" i="1" a="1"/>
  <c r="F1221" i="1" s="1"/>
  <c r="H1221" i="1" s="1"/>
  <c r="F1220" i="1" a="1"/>
  <c r="F1220" i="1" s="1"/>
  <c r="H1220" i="1" s="1"/>
  <c r="F1219" i="1" a="1"/>
  <c r="F1219" i="1" s="1"/>
  <c r="H1219" i="1" s="1"/>
  <c r="F1218" i="1" a="1"/>
  <c r="F1218" i="1" s="1"/>
  <c r="F1217" i="1" a="1"/>
  <c r="F1217" i="1" s="1"/>
  <c r="H1217" i="1" s="1"/>
  <c r="F1216" i="1" a="1"/>
  <c r="F1216" i="1" s="1"/>
  <c r="F1215" i="1" a="1"/>
  <c r="F1215" i="1" s="1"/>
  <c r="F1214" i="1" a="1"/>
  <c r="F1214" i="1" s="1"/>
  <c r="H1214" i="1" s="1"/>
  <c r="F1213" i="1" a="1"/>
  <c r="F1213" i="1" s="1"/>
  <c r="H1213" i="1" s="1"/>
  <c r="F1212" i="1" a="1"/>
  <c r="F1212" i="1" s="1"/>
  <c r="H1212" i="1" s="1"/>
  <c r="F1211" i="1" a="1"/>
  <c r="F1211" i="1" s="1"/>
  <c r="H1211" i="1" s="1"/>
  <c r="F1210" i="1" a="1"/>
  <c r="F1210" i="1" s="1"/>
  <c r="H1210" i="1" s="1"/>
  <c r="F1209" i="1" a="1"/>
  <c r="F1209" i="1" s="1"/>
  <c r="H1209" i="1" s="1"/>
  <c r="F1208" i="1" a="1"/>
  <c r="F1208" i="1" s="1"/>
  <c r="F1207" i="1" a="1"/>
  <c r="F1207" i="1" s="1"/>
  <c r="F1206" i="1" a="1"/>
  <c r="F1206" i="1" s="1"/>
  <c r="F1205" i="1" a="1"/>
  <c r="F1205" i="1" s="1"/>
  <c r="F1204" i="1" a="1"/>
  <c r="F1204" i="1" s="1"/>
  <c r="H1204" i="1" s="1"/>
  <c r="F1203" i="1" a="1"/>
  <c r="F1203" i="1" s="1"/>
  <c r="F1202" i="1" a="1"/>
  <c r="F1202" i="1" s="1"/>
  <c r="F1201" i="1" a="1"/>
  <c r="F1201" i="1" s="1"/>
  <c r="H1201" i="1" s="1"/>
  <c r="F1200" i="1" a="1"/>
  <c r="F1200" i="1" s="1"/>
  <c r="H1200" i="1" s="1"/>
  <c r="F1199" i="1" a="1"/>
  <c r="F1199" i="1" s="1"/>
  <c r="H1199" i="1" s="1"/>
  <c r="F1198" i="1" a="1"/>
  <c r="F1198" i="1" s="1"/>
  <c r="H1198" i="1" s="1"/>
  <c r="F1197" i="1" a="1"/>
  <c r="F1197" i="1" s="1"/>
  <c r="H1197" i="1" s="1"/>
  <c r="F1196" i="1" a="1"/>
  <c r="F1196" i="1" s="1"/>
  <c r="H1196" i="1" s="1"/>
  <c r="F1195" i="1" a="1"/>
  <c r="F1195" i="1" s="1"/>
  <c r="H1195" i="1" s="1"/>
  <c r="F1194" i="1" a="1"/>
  <c r="F1194" i="1" s="1"/>
  <c r="H1194" i="1" s="1"/>
  <c r="F1193" i="1" a="1"/>
  <c r="F1193" i="1" s="1"/>
  <c r="F1192" i="1" a="1"/>
  <c r="F1192" i="1" s="1"/>
  <c r="H1192" i="1" s="1"/>
  <c r="F1191" i="1" a="1"/>
  <c r="F1191" i="1" s="1"/>
  <c r="H1191" i="1" s="1"/>
  <c r="F1190" i="1" a="1"/>
  <c r="F1190" i="1" s="1"/>
  <c r="H1190" i="1" s="1"/>
  <c r="F1189" i="1" a="1"/>
  <c r="F1189" i="1" s="1"/>
  <c r="H1189" i="1" s="1"/>
  <c r="F1188" i="1" a="1"/>
  <c r="F1188" i="1" s="1"/>
  <c r="H1188" i="1" s="1"/>
  <c r="F1187" i="1" a="1"/>
  <c r="F1187" i="1" s="1"/>
  <c r="F1186" i="1" a="1"/>
  <c r="F1186" i="1" s="1"/>
  <c r="H1186" i="1" s="1"/>
  <c r="F1185" i="1" a="1"/>
  <c r="F1185" i="1" s="1"/>
  <c r="F1184" i="1" a="1"/>
  <c r="F1184" i="1" s="1"/>
  <c r="F1183" i="1" a="1"/>
  <c r="F1183" i="1" s="1"/>
  <c r="F1182" i="1" a="1"/>
  <c r="F1182" i="1" s="1"/>
  <c r="H1182" i="1" s="1"/>
  <c r="F1181" i="1" a="1"/>
  <c r="F1181" i="1" s="1"/>
  <c r="H1181" i="1" s="1"/>
  <c r="F1180" i="1" a="1"/>
  <c r="F1180" i="1" s="1"/>
  <c r="H1180" i="1" s="1"/>
  <c r="F1179" i="1" a="1"/>
  <c r="F1179" i="1" s="1"/>
  <c r="F1178" i="1" a="1"/>
  <c r="F1178" i="1" s="1"/>
  <c r="F1177" i="1" a="1"/>
  <c r="F1177" i="1" s="1"/>
  <c r="H1177" i="1" s="1"/>
  <c r="F1176" i="1" a="1"/>
  <c r="F1176" i="1" s="1"/>
  <c r="H1176" i="1" s="1"/>
  <c r="F1175" i="1" a="1"/>
  <c r="F1175" i="1" s="1"/>
  <c r="F1174" i="1" a="1"/>
  <c r="F1174" i="1" s="1"/>
  <c r="H1174" i="1" s="1"/>
  <c r="F1173" i="1" a="1"/>
  <c r="F1173" i="1" s="1"/>
  <c r="H1173" i="1" s="1"/>
  <c r="F1172" i="1" a="1"/>
  <c r="F1172" i="1" s="1"/>
  <c r="F1171" i="1" a="1"/>
  <c r="F1171" i="1" s="1"/>
  <c r="H1171" i="1" s="1"/>
  <c r="F1170" i="1" a="1"/>
  <c r="F1170" i="1" s="1"/>
  <c r="F1169" i="1" a="1"/>
  <c r="F1169" i="1" s="1"/>
  <c r="F1168" i="1" a="1"/>
  <c r="F1168" i="1" s="1"/>
  <c r="F1167" i="1" a="1"/>
  <c r="F1167" i="1" s="1"/>
  <c r="H1167" i="1" s="1"/>
  <c r="F1166" i="1" a="1"/>
  <c r="F1166" i="1" s="1"/>
  <c r="H1166" i="1" s="1"/>
  <c r="F1165" i="1" a="1"/>
  <c r="F1165" i="1" s="1"/>
  <c r="H1165" i="1" s="1"/>
  <c r="F1164" i="1" a="1"/>
  <c r="F1164" i="1" s="1"/>
  <c r="H1164" i="1" s="1"/>
  <c r="F1163" i="1" a="1"/>
  <c r="F1163" i="1" s="1"/>
  <c r="H1163" i="1" s="1"/>
  <c r="F1162" i="1" a="1"/>
  <c r="F1162" i="1" s="1"/>
  <c r="H1162" i="1" s="1"/>
  <c r="F1161" i="1" a="1"/>
  <c r="F1161" i="1" s="1"/>
  <c r="F1160" i="1" a="1"/>
  <c r="F1160" i="1" s="1"/>
  <c r="H1160" i="1" s="1"/>
  <c r="F1159" i="1" a="1"/>
  <c r="F1159" i="1" s="1"/>
  <c r="F1158" i="1" a="1"/>
  <c r="F1158" i="1" s="1"/>
  <c r="H1158" i="1" s="1"/>
  <c r="F1157" i="1" a="1"/>
  <c r="F1157" i="1" s="1"/>
  <c r="F1156" i="1" a="1"/>
  <c r="F1156" i="1" s="1"/>
  <c r="H1156" i="1" s="1"/>
  <c r="F1155" i="1" a="1"/>
  <c r="F1155" i="1" s="1"/>
  <c r="F1154" i="1" a="1"/>
  <c r="F1154" i="1" s="1"/>
  <c r="H1154" i="1" s="1"/>
  <c r="F1153" i="1" a="1"/>
  <c r="F1153" i="1" s="1"/>
  <c r="H1153" i="1" s="1"/>
  <c r="F1152" i="1" a="1"/>
  <c r="F1152" i="1" s="1"/>
  <c r="F1151" i="1" a="1"/>
  <c r="F1151" i="1" s="1"/>
  <c r="H1151" i="1" s="1"/>
  <c r="F1150" i="1" a="1"/>
  <c r="F1150" i="1" s="1"/>
  <c r="F1149" i="1" a="1"/>
  <c r="F1149" i="1" s="1"/>
  <c r="H1149" i="1" s="1"/>
  <c r="F1148" i="1" a="1"/>
  <c r="F1148" i="1" s="1"/>
  <c r="F1147" i="1" a="1"/>
  <c r="F1147" i="1" s="1"/>
  <c r="H1147" i="1" s="1"/>
  <c r="F1146" i="1" a="1"/>
  <c r="F1146" i="1" s="1"/>
  <c r="H1146" i="1" s="1"/>
  <c r="F1145" i="1" a="1"/>
  <c r="F1145" i="1" s="1"/>
  <c r="F1144" i="1" a="1"/>
  <c r="F1144" i="1" s="1"/>
  <c r="H1144" i="1" s="1"/>
  <c r="F1143" i="1" a="1"/>
  <c r="F1143" i="1" s="1"/>
  <c r="F1142" i="1" a="1"/>
  <c r="F1142" i="1" s="1"/>
  <c r="H1142" i="1" s="1"/>
  <c r="F1141" i="1" a="1"/>
  <c r="F1141" i="1" s="1"/>
  <c r="F1140" i="1" a="1"/>
  <c r="F1140" i="1" s="1"/>
  <c r="H1140" i="1" s="1"/>
  <c r="F1139" i="1" a="1"/>
  <c r="F1139" i="1" s="1"/>
  <c r="H1139" i="1" s="1"/>
  <c r="F1138" i="1" a="1"/>
  <c r="F1138" i="1" s="1"/>
  <c r="H1138" i="1" s="1"/>
  <c r="F1137" i="1" a="1"/>
  <c r="F1137" i="1" s="1"/>
  <c r="F1136" i="1" a="1"/>
  <c r="F1136" i="1" s="1"/>
  <c r="H1136" i="1" s="1"/>
  <c r="F1135" i="1" a="1"/>
  <c r="F1135" i="1" s="1"/>
  <c r="H1135" i="1" s="1"/>
  <c r="F1134" i="1" a="1"/>
  <c r="F1134" i="1" s="1"/>
  <c r="F1133" i="1" a="1"/>
  <c r="F1133" i="1" s="1"/>
  <c r="F1132" i="1" a="1"/>
  <c r="F1132" i="1" s="1"/>
  <c r="F1131" i="1" a="1"/>
  <c r="F1131" i="1" s="1"/>
  <c r="H1131" i="1" s="1"/>
  <c r="F1130" i="1" a="1"/>
  <c r="F1130" i="1" s="1"/>
  <c r="H1130" i="1" s="1"/>
  <c r="F1129" i="1" a="1"/>
  <c r="F1129" i="1" s="1"/>
  <c r="H1129" i="1" s="1"/>
  <c r="F1128" i="1" a="1"/>
  <c r="F1128" i="1" s="1"/>
  <c r="H1128" i="1" s="1"/>
  <c r="F1127" i="1" a="1"/>
  <c r="F1127" i="1" s="1"/>
  <c r="H1127" i="1" s="1"/>
  <c r="F1126" i="1" a="1"/>
  <c r="F1126" i="1" s="1"/>
  <c r="H1126" i="1" s="1"/>
  <c r="F1125" i="1" a="1"/>
  <c r="F1125" i="1" s="1"/>
  <c r="H1125" i="1" s="1"/>
  <c r="F1124" i="1" a="1"/>
  <c r="F1124" i="1" s="1"/>
  <c r="H1124" i="1" s="1"/>
  <c r="F1123" i="1" a="1"/>
  <c r="F1123" i="1" s="1"/>
  <c r="H1123" i="1" s="1"/>
  <c r="F1122" i="1" a="1"/>
  <c r="F1122" i="1" s="1"/>
  <c r="F1121" i="1" a="1"/>
  <c r="F1121" i="1" s="1"/>
  <c r="F1120" i="1" a="1"/>
  <c r="F1120" i="1" s="1"/>
  <c r="F1119" i="1" a="1"/>
  <c r="F1119" i="1" s="1"/>
  <c r="F1118" i="1" a="1"/>
  <c r="F1118" i="1" s="1"/>
  <c r="F1117" i="1" a="1"/>
  <c r="F1117" i="1" s="1"/>
  <c r="H1117" i="1" s="1"/>
  <c r="F1116" i="1" a="1"/>
  <c r="F1116" i="1" s="1"/>
  <c r="H1116" i="1" s="1"/>
  <c r="F1115" i="1" a="1"/>
  <c r="F1115" i="1" s="1"/>
  <c r="F1114" i="1" a="1"/>
  <c r="F1114" i="1" s="1"/>
  <c r="F1113" i="1" a="1"/>
  <c r="F1113" i="1" s="1"/>
  <c r="H1113" i="1" s="1"/>
  <c r="F1112" i="1" a="1"/>
  <c r="F1112" i="1" s="1"/>
  <c r="H1112" i="1" s="1"/>
  <c r="F1111" i="1" a="1"/>
  <c r="F1111" i="1" s="1"/>
  <c r="H1111" i="1" s="1"/>
  <c r="F1110" i="1" a="1"/>
  <c r="F1110" i="1" s="1"/>
  <c r="H1110" i="1" s="1"/>
  <c r="F1109" i="1" a="1"/>
  <c r="F1109" i="1" s="1"/>
  <c r="H1109" i="1" s="1"/>
  <c r="F1108" i="1" a="1"/>
  <c r="F1108" i="1" s="1"/>
  <c r="F1107" i="1" a="1"/>
  <c r="F1107" i="1" s="1"/>
  <c r="H1107" i="1" s="1"/>
  <c r="F1106" i="1" a="1"/>
  <c r="F1106" i="1" s="1"/>
  <c r="F1105" i="1" a="1"/>
  <c r="F1105" i="1" s="1"/>
  <c r="H1105" i="1" s="1"/>
  <c r="F1104" i="1" a="1"/>
  <c r="F1104" i="1" s="1"/>
  <c r="H1104" i="1" s="1"/>
  <c r="F1103" i="1" a="1"/>
  <c r="F1103" i="1" s="1"/>
  <c r="F1102" i="1" a="1"/>
  <c r="F1102" i="1" s="1"/>
  <c r="F1101" i="1" a="1"/>
  <c r="F1101" i="1" s="1"/>
  <c r="H1101" i="1" s="1"/>
  <c r="F1100" i="1" a="1"/>
  <c r="F1100" i="1" s="1"/>
  <c r="H1100" i="1" s="1"/>
  <c r="F1099" i="1" a="1"/>
  <c r="F1099" i="1" s="1"/>
  <c r="H1099" i="1" s="1"/>
  <c r="F1098" i="1" a="1"/>
  <c r="F1098" i="1" s="1"/>
  <c r="H1098" i="1" s="1"/>
  <c r="F1097" i="1" a="1"/>
  <c r="F1097" i="1" s="1"/>
  <c r="H1097" i="1" s="1"/>
  <c r="F1096" i="1" a="1"/>
  <c r="F1096" i="1" s="1"/>
  <c r="F1095" i="1" a="1"/>
  <c r="F1095" i="1" s="1"/>
  <c r="F1094" i="1" a="1"/>
  <c r="F1094" i="1" s="1"/>
  <c r="H1094" i="1" s="1"/>
  <c r="F1093" i="1" a="1"/>
  <c r="F1093" i="1" s="1"/>
  <c r="H1093" i="1" s="1"/>
  <c r="F1092" i="1" a="1"/>
  <c r="F1092" i="1" s="1"/>
  <c r="H1092" i="1" s="1"/>
  <c r="F1091" i="1" a="1"/>
  <c r="F1091" i="1" s="1"/>
  <c r="H1091" i="1" s="1"/>
  <c r="F1090" i="1" a="1"/>
  <c r="F1090" i="1" s="1"/>
  <c r="H1090" i="1" s="1"/>
  <c r="F1089" i="1" a="1"/>
  <c r="F1089" i="1" s="1"/>
  <c r="F1088" i="1" a="1"/>
  <c r="F1088" i="1" s="1"/>
  <c r="H1088" i="1" s="1"/>
  <c r="F1087" i="1" a="1"/>
  <c r="F1087" i="1" s="1"/>
  <c r="F1086" i="1" a="1"/>
  <c r="F1086" i="1" s="1"/>
  <c r="F1085" i="1" a="1"/>
  <c r="F1085" i="1" s="1"/>
  <c r="F1084" i="1" a="1"/>
  <c r="F1084" i="1" s="1"/>
  <c r="F1083" i="1" a="1"/>
  <c r="F1083" i="1" s="1"/>
  <c r="F1082" i="1" a="1"/>
  <c r="F1082" i="1" s="1"/>
  <c r="F1081" i="1" a="1"/>
  <c r="F1081" i="1" s="1"/>
  <c r="H1081" i="1" s="1"/>
  <c r="F1080" i="1" a="1"/>
  <c r="F1080" i="1" s="1"/>
  <c r="F1079" i="1" a="1"/>
  <c r="F1079" i="1" s="1"/>
  <c r="F1078" i="1" a="1"/>
  <c r="F1078" i="1" s="1"/>
  <c r="H1078" i="1" s="1"/>
  <c r="F1077" i="1" a="1"/>
  <c r="F1077" i="1" s="1"/>
  <c r="H1077" i="1" s="1"/>
  <c r="F1076" i="1" a="1"/>
  <c r="F1076" i="1" s="1"/>
  <c r="H1076" i="1" s="1"/>
  <c r="F1075" i="1" a="1"/>
  <c r="F1075" i="1" s="1"/>
  <c r="H1075" i="1" s="1"/>
  <c r="F1074" i="1" a="1"/>
  <c r="F1074" i="1" s="1"/>
  <c r="F1073" i="1" a="1"/>
  <c r="F1073" i="1" s="1"/>
  <c r="H1073" i="1" s="1"/>
  <c r="F1072" i="1" a="1"/>
  <c r="F1072" i="1" s="1"/>
  <c r="H1072" i="1" s="1"/>
  <c r="F1071" i="1" a="1"/>
  <c r="F1071" i="1" s="1"/>
  <c r="F1070" i="1" a="1"/>
  <c r="F1070" i="1" s="1"/>
  <c r="F1069" i="1" a="1"/>
  <c r="F1069" i="1" s="1"/>
  <c r="H1069" i="1" s="1"/>
  <c r="F1068" i="1" a="1"/>
  <c r="F1068" i="1" s="1"/>
  <c r="H1068" i="1" s="1"/>
  <c r="F1067" i="1" a="1"/>
  <c r="F1067" i="1" s="1"/>
  <c r="H1067" i="1" s="1"/>
  <c r="F1066" i="1" a="1"/>
  <c r="F1066" i="1" s="1"/>
  <c r="F1065" i="1" a="1"/>
  <c r="F1065" i="1" s="1"/>
  <c r="H1065" i="1" s="1"/>
  <c r="F1064" i="1" a="1"/>
  <c r="F1064" i="1" s="1"/>
  <c r="F1063" i="1" a="1"/>
  <c r="F1063" i="1" s="1"/>
  <c r="H1063" i="1" s="1"/>
  <c r="F1062" i="1" a="1"/>
  <c r="F1062" i="1" s="1"/>
  <c r="F1061" i="1" a="1"/>
  <c r="F1061" i="1" s="1"/>
  <c r="H1061" i="1" s="1"/>
  <c r="F1060" i="1" a="1"/>
  <c r="F1060" i="1" s="1"/>
  <c r="F1059" i="1" a="1"/>
  <c r="F1059" i="1" s="1"/>
  <c r="H1059" i="1" s="1"/>
  <c r="F1058" i="1" a="1"/>
  <c r="F1058" i="1" s="1"/>
  <c r="F1057" i="1" a="1"/>
  <c r="F1057" i="1" s="1"/>
  <c r="F1056" i="1" a="1"/>
  <c r="F1056" i="1" s="1"/>
  <c r="H1056" i="1" s="1"/>
  <c r="F1055" i="1" a="1"/>
  <c r="F1055" i="1" s="1"/>
  <c r="F1054" i="1" a="1"/>
  <c r="F1054" i="1" s="1"/>
  <c r="H1054" i="1" s="1"/>
  <c r="F1053" i="1" a="1"/>
  <c r="F1053" i="1" s="1"/>
  <c r="F1052" i="1" a="1"/>
  <c r="F1052" i="1" s="1"/>
  <c r="F1051" i="1" a="1"/>
  <c r="F1051" i="1" s="1"/>
  <c r="H1051" i="1" s="1"/>
  <c r="F1050" i="1" a="1"/>
  <c r="F1050" i="1" s="1"/>
  <c r="H1050" i="1" s="1"/>
  <c r="F1049" i="1" a="1"/>
  <c r="F1049" i="1" s="1"/>
  <c r="H1049" i="1" s="1"/>
  <c r="F1048" i="1" a="1"/>
  <c r="F1048" i="1" s="1"/>
  <c r="F1047" i="1" a="1"/>
  <c r="F1047" i="1" s="1"/>
  <c r="H1047" i="1" s="1"/>
  <c r="F1046" i="1" a="1"/>
  <c r="F1046" i="1" s="1"/>
  <c r="F1045" i="1" a="1"/>
  <c r="F1045" i="1" s="1"/>
  <c r="H1045" i="1" s="1"/>
  <c r="F1044" i="1" a="1"/>
  <c r="F1044" i="1" s="1"/>
  <c r="F1043" i="1" a="1"/>
  <c r="F1043" i="1" s="1"/>
  <c r="H1043" i="1" s="1"/>
  <c r="F1042" i="1" a="1"/>
  <c r="F1042" i="1" s="1"/>
  <c r="H1042" i="1" s="1"/>
  <c r="F1041" i="1" a="1"/>
  <c r="F1041" i="1" s="1"/>
  <c r="H1041" i="1" s="1"/>
  <c r="F1040" i="1" a="1"/>
  <c r="F1040" i="1" s="1"/>
  <c r="F1039" i="1" a="1"/>
  <c r="F1039" i="1" s="1"/>
  <c r="F1038" i="1" a="1"/>
  <c r="F1038" i="1" s="1"/>
  <c r="F1037" i="1" a="1"/>
  <c r="F1037" i="1" s="1"/>
  <c r="H1037" i="1" s="1"/>
  <c r="F1036" i="1" a="1"/>
  <c r="F1036" i="1" s="1"/>
  <c r="H1036" i="1" s="1"/>
  <c r="F1035" i="1" a="1"/>
  <c r="F1035" i="1" s="1"/>
  <c r="H1035" i="1" s="1"/>
  <c r="F1034" i="1" a="1"/>
  <c r="F1034" i="1" s="1"/>
  <c r="H1034" i="1" s="1"/>
  <c r="F1033" i="1" a="1"/>
  <c r="F1033" i="1" s="1"/>
  <c r="F1032" i="1" a="1"/>
  <c r="F1032" i="1" s="1"/>
  <c r="H1032" i="1" s="1"/>
  <c r="F1031" i="1" a="1"/>
  <c r="F1031" i="1" s="1"/>
  <c r="H1031" i="1" s="1"/>
  <c r="F1030" i="1" a="1"/>
  <c r="F1030" i="1" s="1"/>
  <c r="F1029" i="1" a="1"/>
  <c r="F1029" i="1" s="1"/>
  <c r="H1029" i="1" s="1"/>
  <c r="F1028" i="1" a="1"/>
  <c r="F1028" i="1" s="1"/>
  <c r="F1027" i="1" a="1"/>
  <c r="F1027" i="1" s="1"/>
  <c r="F1026" i="1" a="1"/>
  <c r="F1026" i="1" s="1"/>
  <c r="H1026" i="1" s="1"/>
  <c r="F1025" i="1" a="1"/>
  <c r="F1025" i="1" s="1"/>
  <c r="F1024" i="1" a="1"/>
  <c r="F1024" i="1" s="1"/>
  <c r="H1024" i="1" s="1"/>
  <c r="F1023" i="1" a="1"/>
  <c r="F1023" i="1" s="1"/>
  <c r="F1022" i="1" a="1"/>
  <c r="F1022" i="1" s="1"/>
  <c r="F1021" i="1" a="1"/>
  <c r="F1021" i="1" s="1"/>
  <c r="H1021" i="1" s="1"/>
  <c r="F1020" i="1" a="1"/>
  <c r="F1020" i="1" s="1"/>
  <c r="H1020" i="1" s="1"/>
  <c r="F1019" i="1" a="1"/>
  <c r="F1019" i="1" s="1"/>
  <c r="H1019" i="1" s="1"/>
  <c r="F1018" i="1" a="1"/>
  <c r="F1018" i="1" s="1"/>
  <c r="H1018" i="1" s="1"/>
  <c r="F1017" i="1" a="1"/>
  <c r="F1017" i="1" s="1"/>
  <c r="F1016" i="1" a="1"/>
  <c r="F1016" i="1" s="1"/>
  <c r="H1016" i="1" s="1"/>
  <c r="F1015" i="1" a="1"/>
  <c r="F1015" i="1" s="1"/>
  <c r="H1015" i="1" s="1"/>
  <c r="F1014" i="1" a="1"/>
  <c r="F1014" i="1" s="1"/>
  <c r="F1013" i="1" a="1"/>
  <c r="F1013" i="1" s="1"/>
  <c r="H1013" i="1" s="1"/>
  <c r="F1012" i="1" a="1"/>
  <c r="F1012" i="1" s="1"/>
  <c r="H1012" i="1" s="1"/>
  <c r="F1011" i="1" a="1"/>
  <c r="F1011" i="1" s="1"/>
  <c r="F1010" i="1" a="1"/>
  <c r="F1010" i="1" s="1"/>
  <c r="F1009" i="1" a="1"/>
  <c r="F1009" i="1" s="1"/>
  <c r="H1009" i="1" s="1"/>
  <c r="F1008" i="1" a="1"/>
  <c r="F1008" i="1" s="1"/>
  <c r="H1008" i="1" s="1"/>
  <c r="F1007" i="1" a="1"/>
  <c r="F1007" i="1" s="1"/>
  <c r="H1007" i="1" s="1"/>
  <c r="F1006" i="1" a="1"/>
  <c r="F1006" i="1" s="1"/>
  <c r="H1006" i="1" s="1"/>
  <c r="F1005" i="1" a="1"/>
  <c r="F1005" i="1" s="1"/>
  <c r="H1005" i="1" s="1"/>
  <c r="F1004" i="1" a="1"/>
  <c r="F1004" i="1" s="1"/>
  <c r="H1004" i="1" s="1"/>
  <c r="F1003" i="1" a="1"/>
  <c r="F1003" i="1" s="1"/>
  <c r="F1002" i="1" a="1"/>
  <c r="F1002" i="1" s="1"/>
  <c r="H1002" i="1" s="1"/>
  <c r="F1001" i="1" a="1"/>
  <c r="F1001" i="1" s="1"/>
  <c r="F1000" i="1" a="1"/>
  <c r="F1000" i="1" s="1"/>
  <c r="H1000" i="1" s="1"/>
  <c r="F999" i="1" a="1"/>
  <c r="F999" i="1" s="1"/>
  <c r="H999" i="1" s="1"/>
  <c r="F998" i="1" a="1"/>
  <c r="F998" i="1" s="1"/>
  <c r="F997" i="1" a="1"/>
  <c r="F997" i="1" s="1"/>
  <c r="H997" i="1" s="1"/>
  <c r="F996" i="1" a="1"/>
  <c r="F996" i="1" s="1"/>
  <c r="F995" i="1" a="1"/>
  <c r="F995" i="1" s="1"/>
  <c r="H995" i="1" s="1"/>
  <c r="F994" i="1" a="1"/>
  <c r="F994" i="1" s="1"/>
  <c r="H994" i="1" s="1"/>
  <c r="F993" i="1" a="1"/>
  <c r="F993" i="1" s="1"/>
  <c r="H993" i="1" s="1"/>
  <c r="F992" i="1" a="1"/>
  <c r="F992" i="1" s="1"/>
  <c r="H992" i="1" s="1"/>
  <c r="F991" i="1" a="1"/>
  <c r="F991" i="1" s="1"/>
  <c r="H991" i="1" s="1"/>
  <c r="F990" i="1" a="1"/>
  <c r="F990" i="1" s="1"/>
  <c r="F989" i="1" a="1"/>
  <c r="F989" i="1" s="1"/>
  <c r="H989" i="1" s="1"/>
  <c r="F988" i="1" a="1"/>
  <c r="F988" i="1" s="1"/>
  <c r="F987" i="1" a="1"/>
  <c r="F987" i="1" s="1"/>
  <c r="F986" i="1" a="1"/>
  <c r="F986" i="1" s="1"/>
  <c r="H986" i="1" s="1"/>
  <c r="F985" i="1" a="1"/>
  <c r="F985" i="1" s="1"/>
  <c r="F984" i="1" a="1"/>
  <c r="F984" i="1" s="1"/>
  <c r="H984" i="1" s="1"/>
  <c r="F983" i="1" a="1"/>
  <c r="F983" i="1" s="1"/>
  <c r="H983" i="1" s="1"/>
  <c r="F982" i="1" a="1"/>
  <c r="F982" i="1" s="1"/>
  <c r="H982" i="1" s="1"/>
  <c r="F981" i="1" a="1"/>
  <c r="F981" i="1" s="1"/>
  <c r="H981" i="1" s="1"/>
  <c r="F980" i="1" a="1"/>
  <c r="F980" i="1" s="1"/>
  <c r="F979" i="1" a="1"/>
  <c r="F979" i="1" s="1"/>
  <c r="H979" i="1" s="1"/>
  <c r="F978" i="1" a="1"/>
  <c r="F978" i="1" s="1"/>
  <c r="H978" i="1" s="1"/>
  <c r="F977" i="1" a="1"/>
  <c r="F977" i="1" s="1"/>
  <c r="F976" i="1" a="1"/>
  <c r="F976" i="1" s="1"/>
  <c r="F975" i="1" a="1"/>
  <c r="F975" i="1" s="1"/>
  <c r="F974" i="1" a="1"/>
  <c r="F974" i="1" s="1"/>
  <c r="F973" i="1" a="1"/>
  <c r="F973" i="1" s="1"/>
  <c r="H973" i="1" s="1"/>
  <c r="F972" i="1" a="1"/>
  <c r="F972" i="1" s="1"/>
  <c r="F971" i="1" a="1"/>
  <c r="F971" i="1" s="1"/>
  <c r="H971" i="1" s="1"/>
  <c r="F970" i="1" a="1"/>
  <c r="F970" i="1" s="1"/>
  <c r="H970" i="1" s="1"/>
  <c r="F969" i="1" a="1"/>
  <c r="F969" i="1" s="1"/>
  <c r="F968" i="1" a="1"/>
  <c r="F968" i="1" s="1"/>
  <c r="F967" i="1" a="1"/>
  <c r="F967" i="1" s="1"/>
  <c r="H967" i="1" s="1"/>
  <c r="F966" i="1" a="1"/>
  <c r="F966" i="1" s="1"/>
  <c r="H966" i="1" s="1"/>
  <c r="F965" i="1" a="1"/>
  <c r="F965" i="1" s="1"/>
  <c r="H965" i="1" s="1"/>
  <c r="F964" i="1" a="1"/>
  <c r="F964" i="1" s="1"/>
  <c r="F963" i="1" a="1"/>
  <c r="F963" i="1" s="1"/>
  <c r="H963" i="1" s="1"/>
  <c r="F962" i="1" a="1"/>
  <c r="F962" i="1" s="1"/>
  <c r="F961" i="1" a="1"/>
  <c r="F961" i="1" s="1"/>
  <c r="F960" i="1" a="1"/>
  <c r="F960" i="1" s="1"/>
  <c r="F959" i="1" a="1"/>
  <c r="F959" i="1" s="1"/>
  <c r="F958" i="1" a="1"/>
  <c r="F958" i="1" s="1"/>
  <c r="H958" i="1" s="1"/>
  <c r="F957" i="1" a="1"/>
  <c r="F957" i="1" s="1"/>
  <c r="H957" i="1" s="1"/>
  <c r="F956" i="1" a="1"/>
  <c r="F956" i="1" s="1"/>
  <c r="F955" i="1" a="1"/>
  <c r="F955" i="1" s="1"/>
  <c r="H955" i="1" s="1"/>
  <c r="F954" i="1" a="1"/>
  <c r="F954" i="1" s="1"/>
  <c r="H954" i="1" s="1"/>
  <c r="F953" i="1" a="1"/>
  <c r="F953" i="1" s="1"/>
  <c r="F952" i="1" a="1"/>
  <c r="F952" i="1" s="1"/>
  <c r="H952" i="1" s="1"/>
  <c r="F951" i="1" a="1"/>
  <c r="F951" i="1" s="1"/>
  <c r="H951" i="1" s="1"/>
  <c r="F950" i="1" a="1"/>
  <c r="F950" i="1" s="1"/>
  <c r="H950" i="1" s="1"/>
  <c r="F949" i="1" a="1"/>
  <c r="F949" i="1" s="1"/>
  <c r="F948" i="1" a="1"/>
  <c r="F948" i="1" s="1"/>
  <c r="F947" i="1" a="1"/>
  <c r="F947" i="1" s="1"/>
  <c r="F946" i="1" a="1"/>
  <c r="F946" i="1" s="1"/>
  <c r="H946" i="1" s="1"/>
  <c r="F945" i="1" a="1"/>
  <c r="F945" i="1" s="1"/>
  <c r="F944" i="1" a="1"/>
  <c r="F944" i="1" s="1"/>
  <c r="H944" i="1" s="1"/>
  <c r="F943" i="1" a="1"/>
  <c r="F943" i="1" s="1"/>
  <c r="F942" i="1" a="1"/>
  <c r="F942" i="1" s="1"/>
  <c r="F941" i="1" a="1"/>
  <c r="F941" i="1" s="1"/>
  <c r="H941" i="1" s="1"/>
  <c r="F940" i="1" a="1"/>
  <c r="F940" i="1" s="1"/>
  <c r="F939" i="1" a="1"/>
  <c r="F939" i="1" s="1"/>
  <c r="F938" i="1" a="1"/>
  <c r="F938" i="1" s="1"/>
  <c r="H938" i="1" s="1"/>
  <c r="F937" i="1" a="1"/>
  <c r="F937" i="1" s="1"/>
  <c r="F936" i="1" a="1"/>
  <c r="F936" i="1" s="1"/>
  <c r="F935" i="1" a="1"/>
  <c r="F935" i="1" s="1"/>
  <c r="H935" i="1" s="1"/>
  <c r="F934" i="1" a="1"/>
  <c r="F934" i="1" s="1"/>
  <c r="F933" i="1" a="1"/>
  <c r="F933" i="1" s="1"/>
  <c r="F932" i="1" a="1"/>
  <c r="F932" i="1" s="1"/>
  <c r="H932" i="1" s="1"/>
  <c r="F931" i="1" a="1"/>
  <c r="F931" i="1" s="1"/>
  <c r="H931" i="1" s="1"/>
  <c r="F930" i="1" a="1"/>
  <c r="F930" i="1" s="1"/>
  <c r="F929" i="1" a="1"/>
  <c r="F929" i="1" s="1"/>
  <c r="F928" i="1" a="1"/>
  <c r="F928" i="1" s="1"/>
  <c r="F927" i="1" a="1"/>
  <c r="F927" i="1" s="1"/>
  <c r="H927" i="1" s="1"/>
  <c r="F926" i="1" a="1"/>
  <c r="F926" i="1" s="1"/>
  <c r="H926" i="1" s="1"/>
  <c r="F925" i="1" a="1"/>
  <c r="F925" i="1" s="1"/>
  <c r="H925" i="1" s="1"/>
  <c r="F924" i="1" a="1"/>
  <c r="F924" i="1" s="1"/>
  <c r="H924" i="1" s="1"/>
  <c r="F923" i="1" a="1"/>
  <c r="F923" i="1" s="1"/>
  <c r="F922" i="1" a="1"/>
  <c r="F922" i="1" s="1"/>
  <c r="H922" i="1" s="1"/>
  <c r="F921" i="1" a="1"/>
  <c r="F921" i="1" s="1"/>
  <c r="H921" i="1" s="1"/>
  <c r="F920" i="1" a="1"/>
  <c r="F920" i="1" s="1"/>
  <c r="F919" i="1" a="1"/>
  <c r="F919" i="1" s="1"/>
  <c r="F918" i="1" a="1"/>
  <c r="F918" i="1" s="1"/>
  <c r="F917" i="1" a="1"/>
  <c r="F917" i="1" s="1"/>
  <c r="F916" i="1" a="1"/>
  <c r="F916" i="1" s="1"/>
  <c r="F915" i="1" a="1"/>
  <c r="F915" i="1" s="1"/>
  <c r="F914" i="1" a="1"/>
  <c r="F914" i="1" s="1"/>
  <c r="F913" i="1" a="1"/>
  <c r="F913" i="1" s="1"/>
  <c r="F912" i="1" a="1"/>
  <c r="F912" i="1" s="1"/>
  <c r="H912" i="1" s="1"/>
  <c r="F911" i="1" a="1"/>
  <c r="F911" i="1" s="1"/>
  <c r="H911" i="1" s="1"/>
  <c r="F910" i="1" a="1"/>
  <c r="F910" i="1" s="1"/>
  <c r="F909" i="1" a="1"/>
  <c r="F909" i="1" s="1"/>
  <c r="H909" i="1" s="1"/>
  <c r="F908" i="1" a="1"/>
  <c r="F908" i="1" s="1"/>
  <c r="H908" i="1" s="1"/>
  <c r="F907" i="1" a="1"/>
  <c r="F907" i="1" s="1"/>
  <c r="F906" i="1" a="1"/>
  <c r="F906" i="1" s="1"/>
  <c r="H906" i="1" s="1"/>
  <c r="F905" i="1" a="1"/>
  <c r="F905" i="1" s="1"/>
  <c r="H905" i="1" s="1"/>
  <c r="F904" i="1" a="1"/>
  <c r="F904" i="1" s="1"/>
  <c r="H904" i="1" s="1"/>
  <c r="F903" i="1" a="1"/>
  <c r="F903" i="1" s="1"/>
  <c r="H903" i="1" s="1"/>
  <c r="F902" i="1" a="1"/>
  <c r="F902" i="1" s="1"/>
  <c r="H902" i="1" s="1"/>
  <c r="F901" i="1" a="1"/>
  <c r="F901" i="1" s="1"/>
  <c r="H901" i="1" s="1"/>
  <c r="F900" i="1" a="1"/>
  <c r="F900" i="1" s="1"/>
  <c r="F899" i="1" a="1"/>
  <c r="F899" i="1" s="1"/>
  <c r="H899" i="1" s="1"/>
  <c r="F898" i="1" a="1"/>
  <c r="F898" i="1" s="1"/>
  <c r="F897" i="1" a="1"/>
  <c r="F897" i="1" s="1"/>
  <c r="H897" i="1" s="1"/>
  <c r="F896" i="1" a="1"/>
  <c r="F896" i="1" s="1"/>
  <c r="F895" i="1" a="1"/>
  <c r="F895" i="1" s="1"/>
  <c r="H895" i="1" s="1"/>
  <c r="F894" i="1" a="1"/>
  <c r="F894" i="1" s="1"/>
  <c r="F893" i="1" a="1"/>
  <c r="F893" i="1" s="1"/>
  <c r="H893" i="1" s="1"/>
  <c r="F892" i="1" a="1"/>
  <c r="F892" i="1" s="1"/>
  <c r="F891" i="1" a="1"/>
  <c r="F891" i="1" s="1"/>
  <c r="H891" i="1" s="1"/>
  <c r="F890" i="1" a="1"/>
  <c r="F890" i="1" s="1"/>
  <c r="H890" i="1" s="1"/>
  <c r="F889" i="1" a="1"/>
  <c r="F889" i="1" s="1"/>
  <c r="F888" i="1" a="1"/>
  <c r="F888" i="1" s="1"/>
  <c r="H888" i="1" s="1"/>
  <c r="F887" i="1" a="1"/>
  <c r="F887" i="1" s="1"/>
  <c r="F886" i="1" a="1"/>
  <c r="F886" i="1" s="1"/>
  <c r="F885" i="1" a="1"/>
  <c r="F885" i="1" s="1"/>
  <c r="F884" i="1" a="1"/>
  <c r="F884" i="1" s="1"/>
  <c r="F883" i="1" a="1"/>
  <c r="F883" i="1" s="1"/>
  <c r="F882" i="1" a="1"/>
  <c r="F882" i="1" s="1"/>
  <c r="H882" i="1" s="1"/>
  <c r="F881" i="1" a="1"/>
  <c r="F881" i="1" s="1"/>
  <c r="H881" i="1" s="1"/>
  <c r="F880" i="1" a="1"/>
  <c r="F880" i="1" s="1"/>
  <c r="F879" i="1" a="1"/>
  <c r="F879" i="1" s="1"/>
  <c r="F878" i="1" a="1"/>
  <c r="F878" i="1" s="1"/>
  <c r="F877" i="1" a="1"/>
  <c r="F877" i="1" s="1"/>
  <c r="H877" i="1" s="1"/>
  <c r="F876" i="1" a="1"/>
  <c r="F876" i="1" s="1"/>
  <c r="F875" i="1" a="1"/>
  <c r="F875" i="1" s="1"/>
  <c r="F874" i="1" a="1"/>
  <c r="F874" i="1" s="1"/>
  <c r="H874" i="1" s="1"/>
  <c r="F873" i="1" a="1"/>
  <c r="F873" i="1" s="1"/>
  <c r="H873" i="1" s="1"/>
  <c r="F872" i="1" a="1"/>
  <c r="F872" i="1" s="1"/>
  <c r="F871" i="1" a="1"/>
  <c r="F871" i="1" s="1"/>
  <c r="H871" i="1" s="1"/>
  <c r="F870" i="1" a="1"/>
  <c r="F870" i="1" s="1"/>
  <c r="H870" i="1" s="1"/>
  <c r="F869" i="1" a="1"/>
  <c r="F869" i="1" s="1"/>
  <c r="F868" i="1" a="1"/>
  <c r="F868" i="1" s="1"/>
  <c r="H868" i="1" s="1"/>
  <c r="F867" i="1" a="1"/>
  <c r="F867" i="1" s="1"/>
  <c r="H867" i="1" s="1"/>
  <c r="F866" i="1" a="1"/>
  <c r="F866" i="1" s="1"/>
  <c r="H866" i="1" s="1"/>
  <c r="F865" i="1" a="1"/>
  <c r="F865" i="1" s="1"/>
  <c r="F864" i="1" a="1"/>
  <c r="F864" i="1" s="1"/>
  <c r="F863" i="1" a="1"/>
  <c r="F863" i="1" s="1"/>
  <c r="H863" i="1" s="1"/>
  <c r="F862" i="1" a="1"/>
  <c r="F862" i="1" s="1"/>
  <c r="F861" i="1" a="1"/>
  <c r="F861" i="1" s="1"/>
  <c r="F860" i="1" a="1"/>
  <c r="F860" i="1" s="1"/>
  <c r="H860" i="1" s="1"/>
  <c r="F859" i="1" a="1"/>
  <c r="F859" i="1" s="1"/>
  <c r="F858" i="1" a="1"/>
  <c r="F858" i="1" s="1"/>
  <c r="H858" i="1" s="1"/>
  <c r="F857" i="1" a="1"/>
  <c r="F857" i="1" s="1"/>
  <c r="F856" i="1" a="1"/>
  <c r="F856" i="1" s="1"/>
  <c r="H856" i="1" s="1"/>
  <c r="F855" i="1" a="1"/>
  <c r="F855" i="1" s="1"/>
  <c r="H855" i="1" s="1"/>
  <c r="F854" i="1" a="1"/>
  <c r="F854" i="1" s="1"/>
  <c r="H854" i="1" s="1"/>
  <c r="F853" i="1" a="1"/>
  <c r="F853" i="1" s="1"/>
  <c r="F852" i="1" a="1"/>
  <c r="F852" i="1" s="1"/>
  <c r="F851" i="1" a="1"/>
  <c r="F851" i="1" s="1"/>
  <c r="F850" i="1" a="1"/>
  <c r="F850" i="1" s="1"/>
  <c r="F849" i="1" a="1"/>
  <c r="F849" i="1" s="1"/>
  <c r="F848" i="1" a="1"/>
  <c r="F848" i="1" s="1"/>
  <c r="H848" i="1" s="1"/>
  <c r="F847" i="1" a="1"/>
  <c r="F847" i="1" s="1"/>
  <c r="H847" i="1" s="1"/>
  <c r="F846" i="1" a="1"/>
  <c r="F846" i="1" s="1"/>
  <c r="H846" i="1" s="1"/>
  <c r="F845" i="1" a="1"/>
  <c r="F845" i="1" s="1"/>
  <c r="H845" i="1" s="1"/>
  <c r="F844" i="1" a="1"/>
  <c r="F844" i="1" s="1"/>
  <c r="F843" i="1" a="1"/>
  <c r="F843" i="1" s="1"/>
  <c r="F842" i="1" a="1"/>
  <c r="F842" i="1" s="1"/>
  <c r="H842" i="1" s="1"/>
  <c r="F841" i="1" a="1"/>
  <c r="F841" i="1" s="1"/>
  <c r="F840" i="1" a="1"/>
  <c r="F840" i="1" s="1"/>
  <c r="F839" i="1" a="1"/>
  <c r="F839" i="1" s="1"/>
  <c r="F838" i="1" a="1"/>
  <c r="F838" i="1" s="1"/>
  <c r="H838" i="1" s="1"/>
  <c r="F837" i="1" a="1"/>
  <c r="F837" i="1" s="1"/>
  <c r="H837" i="1" s="1"/>
  <c r="F836" i="1" a="1"/>
  <c r="F836" i="1" s="1"/>
  <c r="F835" i="1" a="1"/>
  <c r="F835" i="1" s="1"/>
  <c r="F834" i="1" a="1"/>
  <c r="F834" i="1" s="1"/>
  <c r="H834" i="1" s="1"/>
  <c r="F833" i="1" a="1"/>
  <c r="F833" i="1" s="1"/>
  <c r="H833" i="1" s="1"/>
  <c r="F832" i="1" a="1"/>
  <c r="F832" i="1" s="1"/>
  <c r="H832" i="1" s="1"/>
  <c r="F831" i="1" a="1"/>
  <c r="F831" i="1" s="1"/>
  <c r="F830" i="1" a="1"/>
  <c r="F830" i="1" s="1"/>
  <c r="H830" i="1" s="1"/>
  <c r="F829" i="1" a="1"/>
  <c r="F829" i="1" s="1"/>
  <c r="H829" i="1" s="1"/>
  <c r="F828" i="1" a="1"/>
  <c r="F828" i="1" s="1"/>
  <c r="H828" i="1" s="1"/>
  <c r="F827" i="1" a="1"/>
  <c r="F827" i="1" s="1"/>
  <c r="F826" i="1" a="1"/>
  <c r="F826" i="1" s="1"/>
  <c r="F825" i="1" a="1"/>
  <c r="F825" i="1" s="1"/>
  <c r="F824" i="1" a="1"/>
  <c r="F824" i="1" s="1"/>
  <c r="F823" i="1" a="1"/>
  <c r="F823" i="1" s="1"/>
  <c r="H823" i="1" s="1"/>
  <c r="F822" i="1" a="1"/>
  <c r="F822" i="1" s="1"/>
  <c r="H822" i="1" s="1"/>
  <c r="F821" i="1" a="1"/>
  <c r="F821" i="1" s="1"/>
  <c r="F820" i="1" a="1"/>
  <c r="F820" i="1" s="1"/>
  <c r="H820" i="1" s="1"/>
  <c r="F819" i="1" a="1"/>
  <c r="F819" i="1" s="1"/>
  <c r="F818" i="1" a="1"/>
  <c r="F818" i="1" s="1"/>
  <c r="F817" i="1" a="1"/>
  <c r="F817" i="1" s="1"/>
  <c r="F816" i="1" a="1"/>
  <c r="F816" i="1" s="1"/>
  <c r="F815" i="1" a="1"/>
  <c r="F815" i="1" s="1"/>
  <c r="H815" i="1" s="1"/>
  <c r="F814" i="1" a="1"/>
  <c r="F814" i="1" s="1"/>
  <c r="F813" i="1" a="1"/>
  <c r="F813" i="1" s="1"/>
  <c r="F812" i="1" a="1"/>
  <c r="F812" i="1" s="1"/>
  <c r="H812" i="1" s="1"/>
  <c r="F811" i="1" a="1"/>
  <c r="F811" i="1" s="1"/>
  <c r="F810" i="1" a="1"/>
  <c r="F810" i="1" s="1"/>
  <c r="H810" i="1" s="1"/>
  <c r="F809" i="1" a="1"/>
  <c r="F809" i="1" s="1"/>
  <c r="H809" i="1" s="1"/>
  <c r="F808" i="1" a="1"/>
  <c r="F808" i="1" s="1"/>
  <c r="F807" i="1" a="1"/>
  <c r="F807" i="1" s="1"/>
  <c r="F806" i="1" a="1"/>
  <c r="F806" i="1" s="1"/>
  <c r="F805" i="1" a="1"/>
  <c r="F805" i="1" s="1"/>
  <c r="F804" i="1" a="1"/>
  <c r="F804" i="1" s="1"/>
  <c r="H804" i="1" s="1"/>
  <c r="F803" i="1" a="1"/>
  <c r="F803" i="1" s="1"/>
  <c r="H803" i="1" s="1"/>
  <c r="F802" i="1" a="1"/>
  <c r="F802" i="1" s="1"/>
  <c r="F801" i="1" a="1"/>
  <c r="F801" i="1" s="1"/>
  <c r="H801" i="1" s="1"/>
  <c r="F800" i="1" a="1"/>
  <c r="F800" i="1" s="1"/>
  <c r="H800" i="1" s="1"/>
  <c r="F799" i="1" a="1"/>
  <c r="F799" i="1" s="1"/>
  <c r="H799" i="1" s="1"/>
  <c r="F798" i="1" a="1"/>
  <c r="F798" i="1" s="1"/>
  <c r="H798" i="1" s="1"/>
  <c r="F797" i="1" a="1"/>
  <c r="F797" i="1" s="1"/>
  <c r="H797" i="1" s="1"/>
  <c r="F796" i="1" a="1"/>
  <c r="F796" i="1" s="1"/>
  <c r="F795" i="1" a="1"/>
  <c r="F795" i="1" s="1"/>
  <c r="F794" i="1" a="1"/>
  <c r="F794" i="1" s="1"/>
  <c r="F793" i="1" a="1"/>
  <c r="F793" i="1" s="1"/>
  <c r="F792" i="1" a="1"/>
  <c r="F792" i="1" s="1"/>
  <c r="F791" i="1" a="1"/>
  <c r="F791" i="1" s="1"/>
  <c r="H791" i="1" s="1"/>
  <c r="F790" i="1" a="1"/>
  <c r="F790" i="1" s="1"/>
  <c r="H790" i="1" s="1"/>
  <c r="F789" i="1" a="1"/>
  <c r="F789" i="1" s="1"/>
  <c r="H789" i="1" s="1"/>
  <c r="F788" i="1" a="1"/>
  <c r="F788" i="1" s="1"/>
  <c r="F787" i="1" a="1"/>
  <c r="F787" i="1" s="1"/>
  <c r="F786" i="1" a="1"/>
  <c r="F786" i="1" s="1"/>
  <c r="H786" i="1" s="1"/>
  <c r="F785" i="1" a="1"/>
  <c r="F785" i="1" s="1"/>
  <c r="H785" i="1" s="1"/>
  <c r="F784" i="1" a="1"/>
  <c r="F784" i="1" s="1"/>
  <c r="F783" i="1" a="1"/>
  <c r="F783" i="1" s="1"/>
  <c r="H783" i="1" s="1"/>
  <c r="F782" i="1" a="1"/>
  <c r="F782" i="1" s="1"/>
  <c r="H782" i="1" s="1"/>
  <c r="F781" i="1" a="1"/>
  <c r="F781" i="1" s="1"/>
  <c r="F780" i="1" a="1"/>
  <c r="F780" i="1" s="1"/>
  <c r="F779" i="1" a="1"/>
  <c r="F779" i="1" s="1"/>
  <c r="F778" i="1" a="1"/>
  <c r="F778" i="1" s="1"/>
  <c r="H778" i="1" s="1"/>
  <c r="F777" i="1" a="1"/>
  <c r="F777" i="1" s="1"/>
  <c r="H777" i="1" s="1"/>
  <c r="F776" i="1" a="1"/>
  <c r="F776" i="1" s="1"/>
  <c r="H776" i="1" s="1"/>
  <c r="F775" i="1" a="1"/>
  <c r="F775" i="1" s="1"/>
  <c r="H775" i="1" s="1"/>
  <c r="F774" i="1" a="1"/>
  <c r="F774" i="1" s="1"/>
  <c r="H774" i="1" s="1"/>
  <c r="F773" i="1" a="1"/>
  <c r="F773" i="1" s="1"/>
  <c r="F772" i="1" a="1"/>
  <c r="F772" i="1" s="1"/>
  <c r="F771" i="1" a="1"/>
  <c r="F771" i="1" s="1"/>
  <c r="F770" i="1" a="1"/>
  <c r="F770" i="1" s="1"/>
  <c r="H770" i="1" s="1"/>
  <c r="F769" i="1" a="1"/>
  <c r="F769" i="1" s="1"/>
  <c r="F768" i="1" a="1"/>
  <c r="F768" i="1" s="1"/>
  <c r="F767" i="1" a="1"/>
  <c r="F767" i="1" s="1"/>
  <c r="H767" i="1" s="1"/>
  <c r="F766" i="1" a="1"/>
  <c r="F766" i="1" s="1"/>
  <c r="F765" i="1" a="1"/>
  <c r="F765" i="1" s="1"/>
  <c r="F764" i="1" a="1"/>
  <c r="F764" i="1" s="1"/>
  <c r="F763" i="1" a="1"/>
  <c r="F763" i="1" s="1"/>
  <c r="F762" i="1" a="1"/>
  <c r="F762" i="1" s="1"/>
  <c r="F761" i="1" a="1"/>
  <c r="F761" i="1" s="1"/>
  <c r="H761" i="1" s="1"/>
  <c r="F760" i="1" a="1"/>
  <c r="F760" i="1" s="1"/>
  <c r="F759" i="1" a="1"/>
  <c r="F759" i="1" s="1"/>
  <c r="F758" i="1" a="1"/>
  <c r="F758" i="1" s="1"/>
  <c r="F757" i="1" a="1"/>
  <c r="F757" i="1" s="1"/>
  <c r="F756" i="1" a="1"/>
  <c r="F756" i="1" s="1"/>
  <c r="F755" i="1" a="1"/>
  <c r="F755" i="1" s="1"/>
  <c r="H755" i="1" s="1"/>
  <c r="F754" i="1" a="1"/>
  <c r="F754" i="1" s="1"/>
  <c r="H754" i="1" s="1"/>
  <c r="F753" i="1" a="1"/>
  <c r="F753" i="1" s="1"/>
  <c r="F752" i="1" a="1"/>
  <c r="F752" i="1" s="1"/>
  <c r="H752" i="1" s="1"/>
  <c r="F751" i="1" a="1"/>
  <c r="F751" i="1" s="1"/>
  <c r="F750" i="1" a="1"/>
  <c r="F750" i="1" s="1"/>
  <c r="F749" i="1" a="1"/>
  <c r="F749" i="1" s="1"/>
  <c r="F748" i="1" a="1"/>
  <c r="F748" i="1" s="1"/>
  <c r="F747" i="1" a="1"/>
  <c r="F747" i="1" s="1"/>
  <c r="F746" i="1" a="1"/>
  <c r="F746" i="1" s="1"/>
  <c r="H746" i="1" s="1"/>
  <c r="F745" i="1" a="1"/>
  <c r="F745" i="1" s="1"/>
  <c r="F744" i="1" a="1"/>
  <c r="F744" i="1" s="1"/>
  <c r="H744" i="1" s="1"/>
  <c r="F743" i="1" a="1"/>
  <c r="F743" i="1" s="1"/>
  <c r="F742" i="1" a="1"/>
  <c r="F742" i="1" s="1"/>
  <c r="F741" i="1" a="1"/>
  <c r="F741" i="1" s="1"/>
  <c r="F740" i="1" a="1"/>
  <c r="F740" i="1" s="1"/>
  <c r="F739" i="1" a="1"/>
  <c r="F739" i="1" s="1"/>
  <c r="H739" i="1" s="1"/>
  <c r="F738" i="1" a="1"/>
  <c r="F738" i="1" s="1"/>
  <c r="F737" i="1" a="1"/>
  <c r="F737" i="1" s="1"/>
  <c r="F736" i="1" a="1"/>
  <c r="F736" i="1" s="1"/>
  <c r="H736" i="1" s="1"/>
  <c r="F735" i="1" a="1"/>
  <c r="F735" i="1" s="1"/>
  <c r="F734" i="1" a="1"/>
  <c r="F734" i="1" s="1"/>
  <c r="F733" i="1" a="1"/>
  <c r="F733" i="1" s="1"/>
  <c r="F732" i="1" a="1"/>
  <c r="F732" i="1" s="1"/>
  <c r="F731" i="1" a="1"/>
  <c r="F731" i="1" s="1"/>
  <c r="F730" i="1" a="1"/>
  <c r="F730" i="1" s="1"/>
  <c r="H730" i="1" s="1"/>
  <c r="F729" i="1" a="1"/>
  <c r="F729" i="1" s="1"/>
  <c r="F728" i="1" a="1"/>
  <c r="F728" i="1" s="1"/>
  <c r="F727" i="1" a="1"/>
  <c r="F727" i="1" s="1"/>
  <c r="F726" i="1" a="1"/>
  <c r="F726" i="1" s="1"/>
  <c r="H726" i="1" s="1"/>
  <c r="F725" i="1" a="1"/>
  <c r="F725" i="1" s="1"/>
  <c r="F724" i="1" a="1"/>
  <c r="F724" i="1" s="1"/>
  <c r="F723" i="1" a="1"/>
  <c r="F723" i="1" s="1"/>
  <c r="F722" i="1" a="1"/>
  <c r="F722" i="1" s="1"/>
  <c r="F721" i="1" a="1"/>
  <c r="F721" i="1" s="1"/>
  <c r="H721" i="1" s="1"/>
  <c r="F720" i="1" a="1"/>
  <c r="F720" i="1" s="1"/>
  <c r="H720" i="1" s="1"/>
  <c r="F719" i="1" a="1"/>
  <c r="F719" i="1" s="1"/>
  <c r="F718" i="1" a="1"/>
  <c r="F718" i="1" s="1"/>
  <c r="H718" i="1" s="1"/>
  <c r="F717" i="1" a="1"/>
  <c r="F717" i="1" s="1"/>
  <c r="F716" i="1" a="1"/>
  <c r="F716" i="1" s="1"/>
  <c r="H716" i="1" s="1"/>
  <c r="F715" i="1" a="1"/>
  <c r="F715" i="1" s="1"/>
  <c r="H715" i="1" s="1"/>
  <c r="F714" i="1" a="1"/>
  <c r="F714" i="1" s="1"/>
  <c r="F713" i="1" a="1"/>
  <c r="F713" i="1" s="1"/>
  <c r="F712" i="1" a="1"/>
  <c r="F712" i="1" s="1"/>
  <c r="H712" i="1" s="1"/>
  <c r="F711" i="1" a="1"/>
  <c r="F711" i="1" s="1"/>
  <c r="F710" i="1" a="1"/>
  <c r="F710" i="1" s="1"/>
  <c r="F709" i="1" a="1"/>
  <c r="F709" i="1" s="1"/>
  <c r="F708" i="1" a="1"/>
  <c r="F708" i="1" s="1"/>
  <c r="F707" i="1" a="1"/>
  <c r="F707" i="1" s="1"/>
  <c r="F706" i="1" a="1"/>
  <c r="F706" i="1" s="1"/>
  <c r="F705" i="1" a="1"/>
  <c r="F705" i="1" s="1"/>
  <c r="F704" i="1" a="1"/>
  <c r="F704" i="1" s="1"/>
  <c r="H704" i="1" s="1"/>
  <c r="F703" i="1" a="1"/>
  <c r="F703" i="1" s="1"/>
  <c r="F702" i="1" a="1"/>
  <c r="F702" i="1" s="1"/>
  <c r="H702" i="1" s="1"/>
  <c r="F701" i="1" a="1"/>
  <c r="F701" i="1" s="1"/>
  <c r="F700" i="1" a="1"/>
  <c r="F700" i="1" s="1"/>
  <c r="F699" i="1" a="1"/>
  <c r="F699" i="1" s="1"/>
  <c r="F698" i="1" a="1"/>
  <c r="F698" i="1" s="1"/>
  <c r="F697" i="1" a="1"/>
  <c r="F697" i="1" s="1"/>
  <c r="H697" i="1" s="1"/>
  <c r="F696" i="1" a="1"/>
  <c r="F696" i="1" s="1"/>
  <c r="H696" i="1" s="1"/>
  <c r="F695" i="1" a="1"/>
  <c r="F695" i="1" s="1"/>
  <c r="F694" i="1" a="1"/>
  <c r="F694" i="1" s="1"/>
  <c r="F693" i="1" a="1"/>
  <c r="F693" i="1" s="1"/>
  <c r="F692" i="1" a="1"/>
  <c r="F692" i="1" s="1"/>
  <c r="H692" i="1" s="1"/>
  <c r="F691" i="1" a="1"/>
  <c r="F691" i="1" s="1"/>
  <c r="H691" i="1" s="1"/>
  <c r="F690" i="1" a="1"/>
  <c r="F690" i="1" s="1"/>
  <c r="H690" i="1" s="1"/>
  <c r="F689" i="1" a="1"/>
  <c r="F689" i="1" s="1"/>
  <c r="H689" i="1" s="1"/>
  <c r="F688" i="1" a="1"/>
  <c r="F688" i="1" s="1"/>
  <c r="F687" i="1" a="1"/>
  <c r="F687" i="1" s="1"/>
  <c r="H687" i="1" s="1"/>
  <c r="F686" i="1" a="1"/>
  <c r="F686" i="1" s="1"/>
  <c r="H686" i="1" s="1"/>
  <c r="F685" i="1" a="1"/>
  <c r="F685" i="1" s="1"/>
  <c r="F684" i="1" a="1"/>
  <c r="F684" i="1" s="1"/>
  <c r="F683" i="1" a="1"/>
  <c r="F683" i="1" s="1"/>
  <c r="F682" i="1" a="1"/>
  <c r="F682" i="1" s="1"/>
  <c r="F681" i="1" a="1"/>
  <c r="F681" i="1" s="1"/>
  <c r="H681" i="1" s="1"/>
  <c r="F680" i="1" a="1"/>
  <c r="F680" i="1" s="1"/>
  <c r="F679" i="1" a="1"/>
  <c r="F679" i="1" s="1"/>
  <c r="H679" i="1" s="1"/>
  <c r="F678" i="1" a="1"/>
  <c r="F678" i="1" s="1"/>
  <c r="H678" i="1" s="1"/>
  <c r="F677" i="1" a="1"/>
  <c r="F677" i="1" s="1"/>
  <c r="H677" i="1" s="1"/>
  <c r="F676" i="1" a="1"/>
  <c r="F676" i="1" s="1"/>
  <c r="H676" i="1" s="1"/>
  <c r="F675" i="1" a="1"/>
  <c r="F675" i="1" s="1"/>
  <c r="F674" i="1" a="1"/>
  <c r="F674" i="1" s="1"/>
  <c r="F673" i="1" a="1"/>
  <c r="F673" i="1" s="1"/>
  <c r="F672" i="1" a="1"/>
  <c r="F672" i="1" s="1"/>
  <c r="F671" i="1" a="1"/>
  <c r="F671" i="1" s="1"/>
  <c r="F670" i="1" a="1"/>
  <c r="F670" i="1" s="1"/>
  <c r="H670" i="1" s="1"/>
  <c r="F669" i="1" a="1"/>
  <c r="F669" i="1" s="1"/>
  <c r="F668" i="1" a="1"/>
  <c r="F668" i="1" s="1"/>
  <c r="H668" i="1" s="1"/>
  <c r="F667" i="1" a="1"/>
  <c r="F667" i="1" s="1"/>
  <c r="H667" i="1" s="1"/>
  <c r="F666" i="1" a="1"/>
  <c r="F666" i="1" s="1"/>
  <c r="H666" i="1" s="1"/>
  <c r="F665" i="1" a="1"/>
  <c r="F665" i="1" s="1"/>
  <c r="F664" i="1" a="1"/>
  <c r="F664" i="1" s="1"/>
  <c r="F663" i="1" a="1"/>
  <c r="F663" i="1" s="1"/>
  <c r="H663" i="1" s="1"/>
  <c r="F662" i="1" a="1"/>
  <c r="F662" i="1" s="1"/>
  <c r="F661" i="1" a="1"/>
  <c r="F661" i="1" s="1"/>
  <c r="F660" i="1" a="1"/>
  <c r="F660" i="1" s="1"/>
  <c r="F659" i="1" a="1"/>
  <c r="F659" i="1" s="1"/>
  <c r="F658" i="1" a="1"/>
  <c r="F658" i="1" s="1"/>
  <c r="F657" i="1" a="1"/>
  <c r="F657" i="1" s="1"/>
  <c r="H657" i="1" s="1"/>
  <c r="F656" i="1" a="1"/>
  <c r="F656" i="1" s="1"/>
  <c r="F655" i="1" a="1"/>
  <c r="F655" i="1" s="1"/>
  <c r="F654" i="1" a="1"/>
  <c r="F654" i="1" s="1"/>
  <c r="F653" i="1" a="1"/>
  <c r="F653" i="1" s="1"/>
  <c r="H653" i="1" s="1"/>
  <c r="F652" i="1" a="1"/>
  <c r="F652" i="1" s="1"/>
  <c r="F651" i="1" a="1"/>
  <c r="F651" i="1" s="1"/>
  <c r="H651" i="1" s="1"/>
  <c r="F650" i="1" a="1"/>
  <c r="F650" i="1" s="1"/>
  <c r="H650" i="1" s="1"/>
  <c r="F649" i="1" a="1"/>
  <c r="F649" i="1" s="1"/>
  <c r="F648" i="1" a="1"/>
  <c r="F648" i="1" s="1"/>
  <c r="H648" i="1" s="1"/>
  <c r="F647" i="1" a="1"/>
  <c r="F647" i="1" s="1"/>
  <c r="F646" i="1" a="1"/>
  <c r="F646" i="1" s="1"/>
  <c r="H646" i="1" s="1"/>
  <c r="F645" i="1" a="1"/>
  <c r="F645" i="1" s="1"/>
  <c r="F644" i="1" a="1"/>
  <c r="F644" i="1" s="1"/>
  <c r="F643" i="1" a="1"/>
  <c r="F643" i="1" s="1"/>
  <c r="F642" i="1" a="1"/>
  <c r="F642" i="1" s="1"/>
  <c r="H642" i="1" s="1"/>
  <c r="F641" i="1" a="1"/>
  <c r="F641" i="1" s="1"/>
  <c r="H641" i="1" s="1"/>
  <c r="F640" i="1" a="1"/>
  <c r="F640" i="1" s="1"/>
  <c r="H640" i="1" s="1"/>
  <c r="F639" i="1" a="1"/>
  <c r="F639" i="1" s="1"/>
  <c r="F638" i="1" a="1"/>
  <c r="F638" i="1" s="1"/>
  <c r="F637" i="1" a="1"/>
  <c r="F637" i="1" s="1"/>
  <c r="F636" i="1" a="1"/>
  <c r="F636" i="1" s="1"/>
  <c r="H636" i="1" s="1"/>
  <c r="F635" i="1" a="1"/>
  <c r="F635" i="1" s="1"/>
  <c r="H635" i="1" s="1"/>
  <c r="F634" i="1" a="1"/>
  <c r="F634" i="1" s="1"/>
  <c r="H634" i="1" s="1"/>
  <c r="F633" i="1" a="1"/>
  <c r="F633" i="1" s="1"/>
  <c r="H633" i="1" s="1"/>
  <c r="F632" i="1" a="1"/>
  <c r="F632" i="1" s="1"/>
  <c r="F631" i="1" a="1"/>
  <c r="F631" i="1" s="1"/>
  <c r="H631" i="1" s="1"/>
  <c r="F630" i="1" a="1"/>
  <c r="F630" i="1" s="1"/>
  <c r="F629" i="1" a="1"/>
  <c r="F629" i="1" s="1"/>
  <c r="F628" i="1" a="1"/>
  <c r="F628" i="1" s="1"/>
  <c r="F627" i="1" a="1"/>
  <c r="F627" i="1" s="1"/>
  <c r="F626" i="1" a="1"/>
  <c r="F626" i="1" s="1"/>
  <c r="F625" i="1" a="1"/>
  <c r="F625" i="1" s="1"/>
  <c r="F624" i="1" a="1"/>
  <c r="F624" i="1" s="1"/>
  <c r="H624" i="1" s="1"/>
  <c r="F623" i="1" a="1"/>
  <c r="F623" i="1" s="1"/>
  <c r="F622" i="1" a="1"/>
  <c r="F622" i="1" s="1"/>
  <c r="F621" i="1" a="1"/>
  <c r="F621" i="1" s="1"/>
  <c r="F620" i="1" a="1"/>
  <c r="F620" i="1" s="1"/>
  <c r="F619" i="1" a="1"/>
  <c r="F619" i="1" s="1"/>
  <c r="F618" i="1" a="1"/>
  <c r="F618" i="1" s="1"/>
  <c r="F617" i="1" a="1"/>
  <c r="F617" i="1" s="1"/>
  <c r="F616" i="1" a="1"/>
  <c r="F616" i="1" s="1"/>
  <c r="F615" i="1" a="1"/>
  <c r="F615" i="1" s="1"/>
  <c r="F614" i="1" a="1"/>
  <c r="F614" i="1" s="1"/>
  <c r="F613" i="1" a="1"/>
  <c r="F613" i="1" s="1"/>
  <c r="H613" i="1" s="1"/>
  <c r="F612" i="1" a="1"/>
  <c r="F612" i="1" s="1"/>
  <c r="H612" i="1" s="1"/>
  <c r="F611" i="1" a="1"/>
  <c r="F611" i="1" s="1"/>
  <c r="H611" i="1" s="1"/>
  <c r="F610" i="1" a="1"/>
  <c r="F610" i="1" s="1"/>
  <c r="F609" i="1" a="1"/>
  <c r="F609" i="1" s="1"/>
  <c r="F608" i="1" a="1"/>
  <c r="F608" i="1" s="1"/>
  <c r="F607" i="1" a="1"/>
  <c r="F607" i="1" s="1"/>
  <c r="F606" i="1" a="1"/>
  <c r="F606" i="1" s="1"/>
  <c r="H606" i="1" s="1"/>
  <c r="F605" i="1" a="1"/>
  <c r="F605" i="1" s="1"/>
  <c r="H605" i="1" s="1"/>
  <c r="F604" i="1" a="1"/>
  <c r="F604" i="1" s="1"/>
  <c r="F603" i="1" a="1"/>
  <c r="F603" i="1" s="1"/>
  <c r="H603" i="1" s="1"/>
  <c r="F602" i="1" a="1"/>
  <c r="F602" i="1" s="1"/>
  <c r="F601" i="1" a="1"/>
  <c r="F601" i="1" s="1"/>
  <c r="F600" i="1" a="1"/>
  <c r="F600" i="1" s="1"/>
  <c r="F599" i="1" a="1"/>
  <c r="F599" i="1" s="1"/>
  <c r="H599" i="1" s="1"/>
  <c r="F598" i="1" a="1"/>
  <c r="F598" i="1" s="1"/>
  <c r="H598" i="1" s="1"/>
  <c r="F597" i="1" a="1"/>
  <c r="F597" i="1" s="1"/>
  <c r="F596" i="1" a="1"/>
  <c r="F596" i="1" s="1"/>
  <c r="F595" i="1" a="1"/>
  <c r="F595" i="1" s="1"/>
  <c r="F594" i="1" a="1"/>
  <c r="F594" i="1" s="1"/>
  <c r="H594" i="1" s="1"/>
  <c r="F593" i="1" a="1"/>
  <c r="F593" i="1" s="1"/>
  <c r="F592" i="1" a="1"/>
  <c r="F592" i="1" s="1"/>
  <c r="H592" i="1" s="1"/>
  <c r="F591" i="1" a="1"/>
  <c r="F591" i="1" s="1"/>
  <c r="F590" i="1" a="1"/>
  <c r="F590" i="1" s="1"/>
  <c r="F589" i="1" a="1"/>
  <c r="F589" i="1" s="1"/>
  <c r="H589" i="1" s="1"/>
  <c r="F588" i="1" a="1"/>
  <c r="F588" i="1" s="1"/>
  <c r="H588" i="1" s="1"/>
  <c r="F587" i="1" a="1"/>
  <c r="F587" i="1" s="1"/>
  <c r="F586" i="1" a="1"/>
  <c r="F586" i="1" s="1"/>
  <c r="F585" i="1" a="1"/>
  <c r="F585" i="1" s="1"/>
  <c r="H585" i="1" s="1"/>
  <c r="F584" i="1" a="1"/>
  <c r="F584" i="1" s="1"/>
  <c r="H584" i="1" s="1"/>
  <c r="F583" i="1" a="1"/>
  <c r="F583" i="1" s="1"/>
  <c r="H583" i="1" s="1"/>
  <c r="F582" i="1" a="1"/>
  <c r="F582" i="1" s="1"/>
  <c r="F581" i="1" a="1"/>
  <c r="F581" i="1" s="1"/>
  <c r="H581" i="1" s="1"/>
  <c r="F580" i="1" a="1"/>
  <c r="F580" i="1" s="1"/>
  <c r="H580" i="1" s="1"/>
  <c r="F579" i="1" a="1"/>
  <c r="F579" i="1" s="1"/>
  <c r="F578" i="1" a="1"/>
  <c r="F578" i="1" s="1"/>
  <c r="F577" i="1" a="1"/>
  <c r="F577" i="1" s="1"/>
  <c r="H577" i="1" s="1"/>
  <c r="F576" i="1" a="1"/>
  <c r="F576" i="1" s="1"/>
  <c r="H576" i="1" s="1"/>
  <c r="F575" i="1" a="1"/>
  <c r="F575" i="1" s="1"/>
  <c r="F574" i="1" a="1"/>
  <c r="F574" i="1" s="1"/>
  <c r="F573" i="1" a="1"/>
  <c r="F573" i="1" s="1"/>
  <c r="F572" i="1" a="1"/>
  <c r="F572" i="1" s="1"/>
  <c r="F571" i="1" a="1"/>
  <c r="F571" i="1" s="1"/>
  <c r="F570" i="1" a="1"/>
  <c r="F570" i="1" s="1"/>
  <c r="H570" i="1" s="1"/>
  <c r="F569" i="1" a="1"/>
  <c r="F569" i="1" s="1"/>
  <c r="H569" i="1" s="1"/>
  <c r="F568" i="1" a="1"/>
  <c r="F568" i="1" s="1"/>
  <c r="F567" i="1" a="1"/>
  <c r="F567" i="1" s="1"/>
  <c r="F566" i="1" a="1"/>
  <c r="F566" i="1" s="1"/>
  <c r="H566" i="1" s="1"/>
  <c r="F565" i="1" a="1"/>
  <c r="F565" i="1" s="1"/>
  <c r="F564" i="1" a="1"/>
  <c r="F564" i="1" s="1"/>
  <c r="F563" i="1" a="1"/>
  <c r="F563" i="1" s="1"/>
  <c r="F562" i="1" a="1"/>
  <c r="F562" i="1" s="1"/>
  <c r="F561" i="1" a="1"/>
  <c r="F561" i="1" s="1"/>
  <c r="F560" i="1" a="1"/>
  <c r="F560" i="1" s="1"/>
  <c r="F559" i="1" a="1"/>
  <c r="F559" i="1" s="1"/>
  <c r="F558" i="1" a="1"/>
  <c r="F558" i="1" s="1"/>
  <c r="F557" i="1" a="1"/>
  <c r="F557" i="1" s="1"/>
  <c r="F556" i="1" a="1"/>
  <c r="F556" i="1" s="1"/>
  <c r="F555" i="1" a="1"/>
  <c r="F555" i="1" s="1"/>
  <c r="F554" i="1" a="1"/>
  <c r="F554" i="1" s="1"/>
  <c r="F553" i="1" a="1"/>
  <c r="F553" i="1" s="1"/>
  <c r="H553" i="1" s="1"/>
  <c r="F552" i="1" a="1"/>
  <c r="F552" i="1" s="1"/>
  <c r="F551" i="1" a="1"/>
  <c r="F551" i="1" s="1"/>
  <c r="H551" i="1" s="1"/>
  <c r="F550" i="1" a="1"/>
  <c r="F550" i="1" s="1"/>
  <c r="H550" i="1" s="1"/>
  <c r="F549" i="1" a="1"/>
  <c r="F549" i="1" s="1"/>
  <c r="F548" i="1" a="1"/>
  <c r="F548" i="1" s="1"/>
  <c r="F547" i="1" a="1"/>
  <c r="F547" i="1" s="1"/>
  <c r="H547" i="1" s="1"/>
  <c r="F546" i="1" a="1"/>
  <c r="F546" i="1" s="1"/>
  <c r="F545" i="1" a="1"/>
  <c r="F545" i="1" s="1"/>
  <c r="H545" i="1" s="1"/>
  <c r="F544" i="1" a="1"/>
  <c r="F544" i="1" s="1"/>
  <c r="F543" i="1" a="1"/>
  <c r="F543" i="1" s="1"/>
  <c r="H543" i="1" s="1"/>
  <c r="F542" i="1" a="1"/>
  <c r="F542" i="1" s="1"/>
  <c r="F541" i="1" a="1"/>
  <c r="F541" i="1" s="1"/>
  <c r="F540" i="1" a="1"/>
  <c r="F540" i="1" s="1"/>
  <c r="F539" i="1" a="1"/>
  <c r="F539" i="1" s="1"/>
  <c r="F538" i="1" a="1"/>
  <c r="F538" i="1" s="1"/>
  <c r="F537" i="1" a="1"/>
  <c r="F537" i="1" s="1"/>
  <c r="F536" i="1" a="1"/>
  <c r="F536" i="1" s="1"/>
  <c r="F535" i="1" a="1"/>
  <c r="F535" i="1" s="1"/>
  <c r="F534" i="1" a="1"/>
  <c r="F534" i="1" s="1"/>
  <c r="F533" i="1" a="1"/>
  <c r="F533" i="1" s="1"/>
  <c r="F532" i="1" a="1"/>
  <c r="F532" i="1" s="1"/>
  <c r="F531" i="1" a="1"/>
  <c r="F531" i="1" s="1"/>
  <c r="F530" i="1" a="1"/>
  <c r="F530" i="1" s="1"/>
  <c r="F529" i="1" a="1"/>
  <c r="F529" i="1" s="1"/>
  <c r="F528" i="1" a="1"/>
  <c r="F528" i="1" s="1"/>
  <c r="F527" i="1" a="1"/>
  <c r="F527" i="1" s="1"/>
  <c r="F526" i="1" a="1"/>
  <c r="F526" i="1" s="1"/>
  <c r="F525" i="1" a="1"/>
  <c r="F525" i="1" s="1"/>
  <c r="F524" i="1" a="1"/>
  <c r="F524" i="1" s="1"/>
  <c r="F523" i="1" a="1"/>
  <c r="F523" i="1" s="1"/>
  <c r="H523" i="1" s="1"/>
  <c r="F522" i="1" a="1"/>
  <c r="F522" i="1" s="1"/>
  <c r="F521" i="1" a="1"/>
  <c r="F521" i="1" s="1"/>
  <c r="F520" i="1" a="1"/>
  <c r="F520" i="1" s="1"/>
  <c r="F519" i="1" a="1"/>
  <c r="F519" i="1" s="1"/>
  <c r="F518" i="1" a="1"/>
  <c r="F518" i="1" s="1"/>
  <c r="F517" i="1" a="1"/>
  <c r="F517" i="1" s="1"/>
  <c r="H517" i="1" s="1"/>
  <c r="F516" i="1" a="1"/>
  <c r="F516" i="1" s="1"/>
  <c r="H516" i="1" s="1"/>
  <c r="F515" i="1" a="1"/>
  <c r="F515" i="1" s="1"/>
  <c r="F514" i="1" a="1"/>
  <c r="F514" i="1" s="1"/>
  <c r="H514" i="1" s="1"/>
  <c r="F513" i="1" a="1"/>
  <c r="F513" i="1" s="1"/>
  <c r="F512" i="1" a="1"/>
  <c r="F512" i="1" s="1"/>
  <c r="F511" i="1" a="1"/>
  <c r="F511" i="1" s="1"/>
  <c r="F510" i="1" a="1"/>
  <c r="F510" i="1" s="1"/>
  <c r="F509" i="1" a="1"/>
  <c r="F509" i="1" s="1"/>
  <c r="F508" i="1" a="1"/>
  <c r="F508" i="1" s="1"/>
  <c r="F507" i="1" a="1"/>
  <c r="F507" i="1" s="1"/>
  <c r="F506" i="1" a="1"/>
  <c r="F506" i="1" s="1"/>
  <c r="F505" i="1" a="1"/>
  <c r="F505" i="1" s="1"/>
  <c r="H505" i="1" s="1"/>
  <c r="F504" i="1" a="1"/>
  <c r="F504" i="1" s="1"/>
  <c r="F503" i="1" a="1"/>
  <c r="F503" i="1" s="1"/>
  <c r="F502" i="1" a="1"/>
  <c r="F502" i="1" s="1"/>
  <c r="F501" i="1" a="1"/>
  <c r="F501" i="1" s="1"/>
  <c r="F500" i="1" a="1"/>
  <c r="F500" i="1" s="1"/>
  <c r="F499" i="1" a="1"/>
  <c r="F499" i="1" s="1"/>
  <c r="F498" i="1" a="1"/>
  <c r="F498" i="1" s="1"/>
  <c r="H498" i="1" s="1"/>
  <c r="F497" i="1" a="1"/>
  <c r="F497" i="1" s="1"/>
  <c r="F496" i="1" a="1"/>
  <c r="F496" i="1" s="1"/>
  <c r="F495" i="1" a="1"/>
  <c r="F495" i="1" s="1"/>
  <c r="F494" i="1" a="1"/>
  <c r="F494" i="1" s="1"/>
  <c r="F493" i="1" a="1"/>
  <c r="F493" i="1" s="1"/>
  <c r="F492" i="1" a="1"/>
  <c r="F492" i="1" s="1"/>
  <c r="F491" i="1" a="1"/>
  <c r="F491" i="1" s="1"/>
  <c r="F490" i="1" a="1"/>
  <c r="F490" i="1" s="1"/>
  <c r="F489" i="1" a="1"/>
  <c r="F489" i="1" s="1"/>
  <c r="F488" i="1" a="1"/>
  <c r="F488" i="1" s="1"/>
  <c r="F487" i="1" a="1"/>
  <c r="F487" i="1" s="1"/>
  <c r="H487" i="1" s="1"/>
  <c r="F486" i="1" a="1"/>
  <c r="F486" i="1" s="1"/>
  <c r="F485" i="1" a="1"/>
  <c r="F485" i="1" s="1"/>
  <c r="F484" i="1" a="1"/>
  <c r="F484" i="1" s="1"/>
  <c r="F483" i="1" a="1"/>
  <c r="F483" i="1" s="1"/>
  <c r="F482" i="1" a="1"/>
  <c r="F482" i="1" s="1"/>
  <c r="F481" i="1" a="1"/>
  <c r="F481" i="1" s="1"/>
  <c r="H481" i="1" s="1"/>
  <c r="F480" i="1" a="1"/>
  <c r="F480" i="1" s="1"/>
  <c r="F479" i="1" a="1"/>
  <c r="F479" i="1" s="1"/>
  <c r="H479" i="1" s="1"/>
  <c r="F478" i="1" a="1"/>
  <c r="F478" i="1" s="1"/>
  <c r="H478" i="1" s="1"/>
  <c r="F477" i="1" a="1"/>
  <c r="F477" i="1" s="1"/>
  <c r="F476" i="1" a="1"/>
  <c r="F476" i="1" s="1"/>
  <c r="F475" i="1" a="1"/>
  <c r="F475" i="1" s="1"/>
  <c r="F474" i="1" a="1"/>
  <c r="F474" i="1" s="1"/>
  <c r="F473" i="1" a="1"/>
  <c r="F473" i="1" s="1"/>
  <c r="F472" i="1" a="1"/>
  <c r="F472" i="1" s="1"/>
  <c r="F471" i="1" a="1"/>
  <c r="F471" i="1" s="1"/>
  <c r="F470" i="1" a="1"/>
  <c r="F470" i="1" s="1"/>
  <c r="F469" i="1" a="1"/>
  <c r="F469" i="1" s="1"/>
  <c r="F468" i="1" a="1"/>
  <c r="F468" i="1" s="1"/>
  <c r="F467" i="1" a="1"/>
  <c r="F467" i="1" s="1"/>
  <c r="F466" i="1" a="1"/>
  <c r="F466" i="1" s="1"/>
  <c r="H466" i="1" s="1"/>
  <c r="F465" i="1" a="1"/>
  <c r="F465" i="1" s="1"/>
  <c r="F464" i="1" a="1"/>
  <c r="F464" i="1" s="1"/>
  <c r="F463" i="1" a="1"/>
  <c r="F463" i="1" s="1"/>
  <c r="F462" i="1" a="1"/>
  <c r="F462" i="1" s="1"/>
  <c r="H462" i="1" s="1"/>
  <c r="F461" i="1" a="1"/>
  <c r="F461" i="1" s="1"/>
  <c r="F460" i="1" a="1"/>
  <c r="F460" i="1" s="1"/>
  <c r="F459" i="1" a="1"/>
  <c r="F459" i="1" s="1"/>
  <c r="H459" i="1" s="1"/>
  <c r="F458" i="1" a="1"/>
  <c r="F458" i="1" s="1"/>
  <c r="F457" i="1" a="1"/>
  <c r="F457" i="1" s="1"/>
  <c r="F456" i="1" a="1"/>
  <c r="F456" i="1" s="1"/>
  <c r="F455" i="1" a="1"/>
  <c r="F455" i="1" s="1"/>
  <c r="H455" i="1" s="1"/>
  <c r="F454" i="1" a="1"/>
  <c r="F454" i="1" s="1"/>
  <c r="F453" i="1" a="1"/>
  <c r="F453" i="1" s="1"/>
  <c r="F452" i="1" a="1"/>
  <c r="F452" i="1" s="1"/>
  <c r="F451" i="1" a="1"/>
  <c r="F451" i="1" s="1"/>
  <c r="F450" i="1" a="1"/>
  <c r="F450" i="1" s="1"/>
  <c r="F449" i="1" a="1"/>
  <c r="F449" i="1" s="1"/>
  <c r="F448" i="1" a="1"/>
  <c r="F448" i="1" s="1"/>
  <c r="H448" i="1" s="1"/>
  <c r="F447" i="1" a="1"/>
  <c r="F447" i="1" s="1"/>
  <c r="F446" i="1" a="1"/>
  <c r="F446" i="1" s="1"/>
  <c r="F445" i="1" a="1"/>
  <c r="F445" i="1" s="1"/>
  <c r="H445" i="1" s="1"/>
  <c r="F444" i="1" a="1"/>
  <c r="F444" i="1" s="1"/>
  <c r="F443" i="1" a="1"/>
  <c r="F443" i="1" s="1"/>
  <c r="F442" i="1" a="1"/>
  <c r="F442" i="1" s="1"/>
  <c r="F441" i="1" a="1"/>
  <c r="F441" i="1" s="1"/>
  <c r="F440" i="1" a="1"/>
  <c r="F440" i="1" s="1"/>
  <c r="F439" i="1" a="1"/>
  <c r="F439" i="1" s="1"/>
  <c r="F438" i="1" a="1"/>
  <c r="F438" i="1" s="1"/>
  <c r="F437" i="1" a="1"/>
  <c r="F437" i="1" s="1"/>
  <c r="F436" i="1" a="1"/>
  <c r="F436" i="1" s="1"/>
  <c r="F435" i="1" a="1"/>
  <c r="F435" i="1" s="1"/>
  <c r="F434" i="1" a="1"/>
  <c r="F434" i="1" s="1"/>
  <c r="F433" i="1" a="1"/>
  <c r="F433" i="1" s="1"/>
  <c r="F432" i="1" a="1"/>
  <c r="F432" i="1" s="1"/>
  <c r="F431" i="1" a="1"/>
  <c r="F431" i="1" s="1"/>
  <c r="F430" i="1" a="1"/>
  <c r="F430" i="1" s="1"/>
  <c r="F429" i="1" a="1"/>
  <c r="F429" i="1" s="1"/>
  <c r="H429" i="1" s="1"/>
  <c r="F428" i="1" a="1"/>
  <c r="F428" i="1" s="1"/>
  <c r="F427" i="1" a="1"/>
  <c r="F427" i="1" s="1"/>
  <c r="F426" i="1" a="1"/>
  <c r="F426" i="1" s="1"/>
  <c r="F425" i="1" a="1"/>
  <c r="F425" i="1" s="1"/>
  <c r="F424" i="1" a="1"/>
  <c r="F424" i="1" s="1"/>
  <c r="H424" i="1" s="1"/>
  <c r="F423" i="1" a="1"/>
  <c r="F423" i="1" s="1"/>
  <c r="F422" i="1" a="1"/>
  <c r="F422" i="1" s="1"/>
  <c r="F421" i="1" a="1"/>
  <c r="F421" i="1" s="1"/>
  <c r="H421" i="1" s="1"/>
  <c r="F420" i="1" a="1"/>
  <c r="F420" i="1" s="1"/>
  <c r="F419" i="1" a="1"/>
  <c r="F419" i="1" s="1"/>
  <c r="H419" i="1" s="1"/>
  <c r="F418" i="1" a="1"/>
  <c r="F418" i="1" s="1"/>
  <c r="F417" i="1" a="1"/>
  <c r="F417" i="1" s="1"/>
  <c r="H417" i="1" s="1"/>
  <c r="F416" i="1" a="1"/>
  <c r="F416" i="1" s="1"/>
  <c r="F415" i="1" a="1"/>
  <c r="F415" i="1" s="1"/>
  <c r="F414" i="1" a="1"/>
  <c r="F414" i="1" s="1"/>
  <c r="H414" i="1" s="1"/>
  <c r="F413" i="1" a="1"/>
  <c r="F413" i="1" s="1"/>
  <c r="H413" i="1" s="1"/>
  <c r="F412" i="1" a="1"/>
  <c r="F412" i="1" s="1"/>
  <c r="F411" i="1" a="1"/>
  <c r="F411" i="1" s="1"/>
  <c r="F410" i="1" a="1"/>
  <c r="F410" i="1" s="1"/>
  <c r="F409" i="1" a="1"/>
  <c r="F409" i="1" s="1"/>
  <c r="H409" i="1" s="1"/>
  <c r="F408" i="1" a="1"/>
  <c r="F408" i="1" s="1"/>
  <c r="F407" i="1" a="1"/>
  <c r="F407" i="1" s="1"/>
  <c r="H407" i="1" s="1"/>
  <c r="F406" i="1" a="1"/>
  <c r="F406" i="1" s="1"/>
  <c r="F405" i="1" a="1"/>
  <c r="F405" i="1" s="1"/>
  <c r="F404" i="1" a="1"/>
  <c r="F404" i="1" s="1"/>
  <c r="F403" i="1" a="1"/>
  <c r="F403" i="1" s="1"/>
  <c r="F402" i="1" a="1"/>
  <c r="F402" i="1" s="1"/>
  <c r="F401" i="1" a="1"/>
  <c r="F401" i="1" s="1"/>
  <c r="H401" i="1" s="1"/>
  <c r="F400" i="1" a="1"/>
  <c r="F400" i="1" s="1"/>
  <c r="F399" i="1" a="1"/>
  <c r="F399" i="1" s="1"/>
  <c r="F398" i="1" a="1"/>
  <c r="F398" i="1" s="1"/>
  <c r="F397" i="1" a="1"/>
  <c r="F397" i="1" s="1"/>
  <c r="F396" i="1" a="1"/>
  <c r="F396" i="1" s="1"/>
  <c r="F395" i="1" a="1"/>
  <c r="F395" i="1" s="1"/>
  <c r="H395" i="1" s="1"/>
  <c r="F394" i="1" a="1"/>
  <c r="F394" i="1" s="1"/>
  <c r="F393" i="1" a="1"/>
  <c r="F393" i="1" s="1"/>
  <c r="F392" i="1" a="1"/>
  <c r="F392" i="1" s="1"/>
  <c r="F391" i="1" a="1"/>
  <c r="F391" i="1" s="1"/>
  <c r="F390" i="1" a="1"/>
  <c r="F390" i="1" s="1"/>
  <c r="F389" i="1" a="1"/>
  <c r="F389" i="1" s="1"/>
  <c r="H389" i="1" s="1"/>
  <c r="F388" i="1" a="1"/>
  <c r="F388" i="1" s="1"/>
  <c r="F387" i="1" a="1"/>
  <c r="F387" i="1" s="1"/>
  <c r="F386" i="1" a="1"/>
  <c r="F386" i="1" s="1"/>
  <c r="F385" i="1" a="1"/>
  <c r="F385" i="1" s="1"/>
  <c r="F384" i="1" a="1"/>
  <c r="F384" i="1" s="1"/>
  <c r="F383" i="1" a="1"/>
  <c r="F383" i="1" s="1"/>
  <c r="F382" i="1" a="1"/>
  <c r="F382" i="1" s="1"/>
  <c r="F381" i="1" a="1"/>
  <c r="F381" i="1" s="1"/>
  <c r="H381" i="1" s="1"/>
  <c r="F380" i="1" a="1"/>
  <c r="F380" i="1" s="1"/>
  <c r="F379" i="1" a="1"/>
  <c r="F379" i="1" s="1"/>
  <c r="F378" i="1" a="1"/>
  <c r="F378" i="1" s="1"/>
  <c r="F377" i="1" a="1"/>
  <c r="F377" i="1" s="1"/>
  <c r="F376" i="1" a="1"/>
  <c r="F376" i="1" s="1"/>
  <c r="F375" i="1" a="1"/>
  <c r="F375" i="1" s="1"/>
  <c r="F374" i="1" a="1"/>
  <c r="F374" i="1" s="1"/>
  <c r="F373" i="1" a="1"/>
  <c r="F373" i="1" s="1"/>
  <c r="F372" i="1" a="1"/>
  <c r="F372" i="1" s="1"/>
  <c r="F371" i="1" a="1"/>
  <c r="F371" i="1" s="1"/>
  <c r="F370" i="1" a="1"/>
  <c r="F370" i="1" s="1"/>
  <c r="F369" i="1" a="1"/>
  <c r="F369" i="1" s="1"/>
  <c r="F368" i="1" a="1"/>
  <c r="F368" i="1" s="1"/>
  <c r="F367" i="1" a="1"/>
  <c r="F367" i="1" s="1"/>
  <c r="H367" i="1" s="1"/>
  <c r="F366" i="1" a="1"/>
  <c r="F366" i="1" s="1"/>
  <c r="F365" i="1" a="1"/>
  <c r="F365" i="1" s="1"/>
  <c r="F364" i="1" a="1"/>
  <c r="F364" i="1" s="1"/>
  <c r="F363" i="1" a="1"/>
  <c r="F363" i="1" s="1"/>
  <c r="F362" i="1" a="1"/>
  <c r="F362" i="1" s="1"/>
  <c r="F361" i="1" a="1"/>
  <c r="F361" i="1" s="1"/>
  <c r="F360" i="1" a="1"/>
  <c r="F360" i="1" s="1"/>
  <c r="F359" i="1" a="1"/>
  <c r="F359" i="1" s="1"/>
  <c r="F358" i="1" a="1"/>
  <c r="F358" i="1" s="1"/>
  <c r="F357" i="1" a="1"/>
  <c r="F357" i="1" s="1"/>
  <c r="F356" i="1" a="1"/>
  <c r="F356" i="1" s="1"/>
  <c r="F355" i="1" a="1"/>
  <c r="F355" i="1" s="1"/>
  <c r="F354" i="1" a="1"/>
  <c r="F354" i="1" s="1"/>
  <c r="F353" i="1" a="1"/>
  <c r="F353" i="1" s="1"/>
  <c r="F352" i="1" a="1"/>
  <c r="F352" i="1" s="1"/>
  <c r="F351" i="1" a="1"/>
  <c r="F351" i="1" s="1"/>
  <c r="F350" i="1" a="1"/>
  <c r="F350" i="1" s="1"/>
  <c r="F349" i="1" a="1"/>
  <c r="F349" i="1" s="1"/>
  <c r="F348" i="1" a="1"/>
  <c r="F348" i="1" s="1"/>
  <c r="H348" i="1" s="1"/>
  <c r="F347" i="1" a="1"/>
  <c r="F347" i="1" s="1"/>
  <c r="H347" i="1" s="1"/>
  <c r="F346" i="1" a="1"/>
  <c r="F346" i="1" s="1"/>
  <c r="F345" i="1" a="1"/>
  <c r="F345" i="1" s="1"/>
  <c r="F344" i="1" a="1"/>
  <c r="F344" i="1" s="1"/>
  <c r="F343" i="1" a="1"/>
  <c r="F343" i="1" s="1"/>
  <c r="H343" i="1" s="1"/>
  <c r="F342" i="1" a="1"/>
  <c r="F342" i="1" s="1"/>
  <c r="F341" i="1" a="1"/>
  <c r="F341" i="1" s="1"/>
  <c r="F340" i="1" a="1"/>
  <c r="F340" i="1" s="1"/>
  <c r="F339" i="1" a="1"/>
  <c r="F339" i="1" s="1"/>
  <c r="H339" i="1" s="1"/>
  <c r="F338" i="1" a="1"/>
  <c r="F338" i="1" s="1"/>
  <c r="F337" i="1" a="1"/>
  <c r="F337" i="1" s="1"/>
  <c r="F336" i="1" a="1"/>
  <c r="F336" i="1" s="1"/>
  <c r="H336" i="1" s="1"/>
  <c r="F335" i="1" a="1"/>
  <c r="F335" i="1" s="1"/>
  <c r="F334" i="1" a="1"/>
  <c r="F334" i="1" s="1"/>
  <c r="H334" i="1" s="1"/>
  <c r="F333" i="1" a="1"/>
  <c r="F333" i="1" s="1"/>
  <c r="F332" i="1" a="1"/>
  <c r="F332" i="1" s="1"/>
  <c r="H332" i="1" s="1"/>
  <c r="F331" i="1" a="1"/>
  <c r="F331" i="1" s="1"/>
  <c r="H331" i="1" s="1"/>
  <c r="F330" i="1" a="1"/>
  <c r="F330" i="1" s="1"/>
  <c r="H330" i="1" s="1"/>
  <c r="F329" i="1" a="1"/>
  <c r="F329" i="1" s="1"/>
  <c r="F328" i="1" a="1"/>
  <c r="F328" i="1" s="1"/>
  <c r="F327" i="1" a="1"/>
  <c r="F327" i="1" s="1"/>
  <c r="F326" i="1" a="1"/>
  <c r="F326" i="1" s="1"/>
  <c r="F325" i="1" a="1"/>
  <c r="F325" i="1" s="1"/>
  <c r="F324" i="1" a="1"/>
  <c r="F324" i="1" s="1"/>
  <c r="F323" i="1" a="1"/>
  <c r="F323" i="1" s="1"/>
  <c r="F322" i="1" a="1"/>
  <c r="F322" i="1" s="1"/>
  <c r="F321" i="1" a="1"/>
  <c r="F321" i="1" s="1"/>
  <c r="H321" i="1" s="1"/>
  <c r="F320" i="1" a="1"/>
  <c r="F320" i="1" s="1"/>
  <c r="F319" i="1" a="1"/>
  <c r="F319" i="1" s="1"/>
  <c r="F318" i="1" a="1"/>
  <c r="F318" i="1" s="1"/>
  <c r="F317" i="1" a="1"/>
  <c r="F317" i="1" s="1"/>
  <c r="F316" i="1" a="1"/>
  <c r="F316" i="1" s="1"/>
  <c r="F315" i="1" a="1"/>
  <c r="F315" i="1" s="1"/>
  <c r="H315" i="1" s="1"/>
  <c r="F314" i="1" a="1"/>
  <c r="F314" i="1" s="1"/>
  <c r="F313" i="1" a="1"/>
  <c r="F313" i="1" s="1"/>
  <c r="H313" i="1" s="1"/>
  <c r="F312" i="1" a="1"/>
  <c r="F312" i="1" s="1"/>
  <c r="F311" i="1" a="1"/>
  <c r="F311" i="1" s="1"/>
  <c r="F310" i="1" a="1"/>
  <c r="F310" i="1" s="1"/>
  <c r="F309" i="1" a="1"/>
  <c r="F309" i="1" s="1"/>
  <c r="F308" i="1" a="1"/>
  <c r="F308" i="1" s="1"/>
  <c r="F307" i="1" a="1"/>
  <c r="F307" i="1" s="1"/>
  <c r="F306" i="1" a="1"/>
  <c r="F306" i="1" s="1"/>
  <c r="F305" i="1" a="1"/>
  <c r="F305" i="1" s="1"/>
  <c r="F304" i="1" a="1"/>
  <c r="F304" i="1" s="1"/>
  <c r="F303" i="1" a="1"/>
  <c r="F303" i="1" s="1"/>
  <c r="F302" i="1" a="1"/>
  <c r="F302" i="1" s="1"/>
  <c r="H302" i="1" s="1"/>
  <c r="F301" i="1" a="1"/>
  <c r="F301" i="1" s="1"/>
  <c r="F300" i="1" a="1"/>
  <c r="F300" i="1" s="1"/>
  <c r="F299" i="1" a="1"/>
  <c r="F299" i="1" s="1"/>
  <c r="F298" i="1" a="1"/>
  <c r="F298" i="1" s="1"/>
  <c r="H298" i="1" s="1"/>
  <c r="F297" i="1" a="1"/>
  <c r="F297" i="1" s="1"/>
  <c r="F296" i="1" a="1"/>
  <c r="F296" i="1" s="1"/>
  <c r="F295" i="1" a="1"/>
  <c r="F295" i="1" s="1"/>
  <c r="H295" i="1" s="1"/>
  <c r="F294" i="1" a="1"/>
  <c r="F294" i="1" s="1"/>
  <c r="F293" i="1" a="1"/>
  <c r="F293" i="1" s="1"/>
  <c r="F292" i="1" a="1"/>
  <c r="F292" i="1" s="1"/>
  <c r="F291" i="1" a="1"/>
  <c r="F291" i="1" s="1"/>
  <c r="F290" i="1" a="1"/>
  <c r="F290" i="1" s="1"/>
  <c r="F289" i="1" a="1"/>
  <c r="F289" i="1" s="1"/>
  <c r="F288" i="1" a="1"/>
  <c r="F288" i="1" s="1"/>
  <c r="F287" i="1" a="1"/>
  <c r="F287" i="1" s="1"/>
  <c r="F286" i="1" a="1"/>
  <c r="F286" i="1" s="1"/>
  <c r="F285" i="1" a="1"/>
  <c r="F285" i="1" s="1"/>
  <c r="F284" i="1" a="1"/>
  <c r="F284" i="1" s="1"/>
  <c r="H284" i="1" s="1"/>
  <c r="F283" i="1" a="1"/>
  <c r="F283" i="1" s="1"/>
  <c r="F282" i="1" a="1"/>
  <c r="F282" i="1" s="1"/>
  <c r="F281" i="1" a="1"/>
  <c r="F281" i="1" s="1"/>
  <c r="F280" i="1" a="1"/>
  <c r="F280" i="1" s="1"/>
  <c r="F279" i="1" a="1"/>
  <c r="F279" i="1" s="1"/>
  <c r="F278" i="1" a="1"/>
  <c r="F278" i="1" s="1"/>
  <c r="F277" i="1" a="1"/>
  <c r="F277" i="1" s="1"/>
  <c r="F276" i="1" a="1"/>
  <c r="F276" i="1" s="1"/>
  <c r="F275" i="1" a="1"/>
  <c r="F275" i="1" s="1"/>
  <c r="F274" i="1" a="1"/>
  <c r="F274" i="1" s="1"/>
  <c r="F273" i="1" a="1"/>
  <c r="F273" i="1" s="1"/>
  <c r="F272" i="1" a="1"/>
  <c r="F272" i="1" s="1"/>
  <c r="F271" i="1" a="1"/>
  <c r="F271" i="1" s="1"/>
  <c r="H271" i="1" s="1"/>
  <c r="F270" i="1" a="1"/>
  <c r="F270" i="1" s="1"/>
  <c r="F269" i="1" a="1"/>
  <c r="F269" i="1" s="1"/>
  <c r="F268" i="1" a="1"/>
  <c r="F268" i="1" s="1"/>
  <c r="F267" i="1" a="1"/>
  <c r="F267" i="1" s="1"/>
  <c r="H267" i="1" s="1"/>
  <c r="F266" i="1" a="1"/>
  <c r="F266" i="1" s="1"/>
  <c r="H266" i="1" s="1"/>
  <c r="F265" i="1" a="1"/>
  <c r="F265" i="1" s="1"/>
  <c r="H265" i="1" s="1"/>
  <c r="F264" i="1" a="1"/>
  <c r="F264" i="1" s="1"/>
  <c r="F263" i="1" a="1"/>
  <c r="F263" i="1" s="1"/>
  <c r="F262" i="1" a="1"/>
  <c r="F262" i="1" s="1"/>
  <c r="F261" i="1" a="1"/>
  <c r="F261" i="1" s="1"/>
  <c r="F260" i="1" a="1"/>
  <c r="F260" i="1" s="1"/>
  <c r="F259" i="1" a="1"/>
  <c r="F259" i="1" s="1"/>
  <c r="H259" i="1" s="1"/>
  <c r="F258" i="1" a="1"/>
  <c r="F258" i="1" s="1"/>
  <c r="H258" i="1" s="1"/>
  <c r="F257" i="1" a="1"/>
  <c r="F257" i="1" s="1"/>
  <c r="F256" i="1" a="1"/>
  <c r="F256" i="1" s="1"/>
  <c r="F255" i="1" a="1"/>
  <c r="F255" i="1" s="1"/>
  <c r="F254" i="1" a="1"/>
  <c r="F254" i="1" s="1"/>
  <c r="F253" i="1" a="1"/>
  <c r="F253" i="1" s="1"/>
  <c r="F252" i="1" a="1"/>
  <c r="F252" i="1" s="1"/>
  <c r="F251" i="1" a="1"/>
  <c r="F251" i="1" s="1"/>
  <c r="F250" i="1" a="1"/>
  <c r="F250" i="1" s="1"/>
  <c r="F249" i="1" a="1"/>
  <c r="F249" i="1" s="1"/>
  <c r="F248" i="1" a="1"/>
  <c r="F248" i="1" s="1"/>
  <c r="F247" i="1" a="1"/>
  <c r="F247" i="1" s="1"/>
  <c r="F246" i="1" a="1"/>
  <c r="F246" i="1" s="1"/>
  <c r="F245" i="1" a="1"/>
  <c r="F245" i="1" s="1"/>
  <c r="F244" i="1" a="1"/>
  <c r="F244" i="1" s="1"/>
  <c r="F243" i="1" a="1"/>
  <c r="F243" i="1" s="1"/>
  <c r="F242" i="1" a="1"/>
  <c r="F242" i="1" s="1"/>
  <c r="F241" i="1" a="1"/>
  <c r="F241" i="1" s="1"/>
  <c r="F240" i="1" a="1"/>
  <c r="F240" i="1" s="1"/>
  <c r="F239" i="1" a="1"/>
  <c r="F239" i="1" s="1"/>
  <c r="F238" i="1" a="1"/>
  <c r="F238" i="1" s="1"/>
  <c r="F237" i="1" a="1"/>
  <c r="F237" i="1" s="1"/>
  <c r="F236" i="1" a="1"/>
  <c r="F236" i="1" s="1"/>
  <c r="F235" i="1" a="1"/>
  <c r="F235" i="1" s="1"/>
  <c r="F234" i="1" a="1"/>
  <c r="F234" i="1" s="1"/>
  <c r="H234" i="1" s="1"/>
  <c r="F233" i="1" a="1"/>
  <c r="F233" i="1" s="1"/>
  <c r="H233" i="1" s="1"/>
  <c r="F232" i="1" a="1"/>
  <c r="F232" i="1" s="1"/>
  <c r="F231" i="1" a="1"/>
  <c r="F231" i="1" s="1"/>
  <c r="F230" i="1" a="1"/>
  <c r="F230" i="1" s="1"/>
  <c r="H230" i="1" s="1"/>
  <c r="F229" i="1" a="1"/>
  <c r="F229" i="1" s="1"/>
  <c r="F228" i="1" a="1"/>
  <c r="F228" i="1" s="1"/>
  <c r="F227" i="1" a="1"/>
  <c r="F227" i="1" s="1"/>
  <c r="F226" i="1" a="1"/>
  <c r="F226" i="1" s="1"/>
  <c r="F225" i="1" a="1"/>
  <c r="F225" i="1" s="1"/>
  <c r="F224" i="1" a="1"/>
  <c r="F224" i="1" s="1"/>
  <c r="F223" i="1" a="1"/>
  <c r="F223" i="1" s="1"/>
  <c r="F222" i="1" a="1"/>
  <c r="F222" i="1" s="1"/>
  <c r="F221" i="1" a="1"/>
  <c r="F221" i="1" s="1"/>
  <c r="F220" i="1" a="1"/>
  <c r="F220" i="1" s="1"/>
  <c r="F219" i="1" a="1"/>
  <c r="F219" i="1" s="1"/>
  <c r="F218" i="1" a="1"/>
  <c r="F218" i="1" s="1"/>
  <c r="F217" i="1" a="1"/>
  <c r="F217" i="1" s="1"/>
  <c r="F216" i="1" a="1"/>
  <c r="F216" i="1" s="1"/>
  <c r="F215" i="1" a="1"/>
  <c r="F215" i="1" s="1"/>
  <c r="F214" i="1" a="1"/>
  <c r="F214" i="1" s="1"/>
  <c r="F213" i="1" a="1"/>
  <c r="F213" i="1" s="1"/>
  <c r="F212" i="1" a="1"/>
  <c r="F212" i="1" s="1"/>
  <c r="F211" i="1" a="1"/>
  <c r="F211" i="1" s="1"/>
  <c r="F210" i="1" a="1"/>
  <c r="F210" i="1" s="1"/>
  <c r="F209" i="1" a="1"/>
  <c r="F209" i="1" s="1"/>
  <c r="F208" i="1" a="1"/>
  <c r="F208" i="1" s="1"/>
  <c r="F207" i="1" a="1"/>
  <c r="F207" i="1" s="1"/>
  <c r="H207" i="1" s="1"/>
  <c r="F206" i="1" a="1"/>
  <c r="F206" i="1" s="1"/>
  <c r="H206" i="1" s="1"/>
  <c r="F205" i="1" a="1"/>
  <c r="F205" i="1" s="1"/>
  <c r="F204" i="1" a="1"/>
  <c r="F204" i="1" s="1"/>
  <c r="F203" i="1" a="1"/>
  <c r="F203" i="1" s="1"/>
  <c r="F202" i="1" a="1"/>
  <c r="F202" i="1" s="1"/>
  <c r="F201" i="1" a="1"/>
  <c r="F201" i="1" s="1"/>
  <c r="F200" i="1" a="1"/>
  <c r="F200" i="1" s="1"/>
  <c r="F199" i="1" a="1"/>
  <c r="F199" i="1" s="1"/>
  <c r="F198" i="1" a="1"/>
  <c r="F198" i="1" s="1"/>
  <c r="F197" i="1" a="1"/>
  <c r="F197" i="1" s="1"/>
  <c r="H197" i="1" s="1"/>
  <c r="F196" i="1" a="1"/>
  <c r="F196" i="1" s="1"/>
  <c r="F195" i="1" a="1"/>
  <c r="F195" i="1" s="1"/>
  <c r="F194" i="1" a="1"/>
  <c r="F194" i="1" s="1"/>
  <c r="H194" i="1" s="1"/>
  <c r="F193" i="1" a="1"/>
  <c r="F193" i="1" s="1"/>
  <c r="F192" i="1" a="1"/>
  <c r="F192" i="1" s="1"/>
  <c r="F191" i="1" a="1"/>
  <c r="F191" i="1" s="1"/>
  <c r="F190" i="1" a="1"/>
  <c r="F190" i="1" s="1"/>
  <c r="F189" i="1" a="1"/>
  <c r="F189" i="1" s="1"/>
  <c r="F188" i="1" a="1"/>
  <c r="F188" i="1" s="1"/>
  <c r="F187" i="1" a="1"/>
  <c r="F187" i="1" s="1"/>
  <c r="F186" i="1" a="1"/>
  <c r="F186" i="1" s="1"/>
  <c r="F185" i="1" a="1"/>
  <c r="F185" i="1" s="1"/>
  <c r="F184" i="1" a="1"/>
  <c r="F184" i="1" s="1"/>
  <c r="F183" i="1" a="1"/>
  <c r="F183" i="1" s="1"/>
  <c r="F182" i="1" a="1"/>
  <c r="F182" i="1" s="1"/>
  <c r="F181" i="1" a="1"/>
  <c r="F181" i="1" s="1"/>
  <c r="H181" i="1" s="1"/>
  <c r="F180" i="1" a="1"/>
  <c r="F180" i="1" s="1"/>
  <c r="F179" i="1" a="1"/>
  <c r="F179" i="1" s="1"/>
  <c r="F178" i="1" a="1"/>
  <c r="F178" i="1" s="1"/>
  <c r="F177" i="1" a="1"/>
  <c r="F177" i="1" s="1"/>
  <c r="H177" i="1" s="1"/>
  <c r="F176" i="1" a="1"/>
  <c r="F176" i="1" s="1"/>
  <c r="F175" i="1" a="1"/>
  <c r="F175" i="1" s="1"/>
  <c r="F174" i="1" a="1"/>
  <c r="F174" i="1" s="1"/>
  <c r="F173" i="1" a="1"/>
  <c r="F173" i="1" s="1"/>
  <c r="H173" i="1" s="1"/>
  <c r="F172" i="1" a="1"/>
  <c r="F172" i="1" s="1"/>
  <c r="H172" i="1" s="1"/>
  <c r="F171" i="1" a="1"/>
  <c r="F171" i="1" s="1"/>
  <c r="F170" i="1" a="1"/>
  <c r="F170" i="1" s="1"/>
  <c r="F169" i="1" a="1"/>
  <c r="F169" i="1" s="1"/>
  <c r="H169" i="1" s="1"/>
  <c r="F168" i="1" a="1"/>
  <c r="F168" i="1" s="1"/>
  <c r="F167" i="1" a="1"/>
  <c r="F167" i="1" s="1"/>
  <c r="F166" i="1" a="1"/>
  <c r="F166" i="1" s="1"/>
  <c r="F165" i="1" a="1"/>
  <c r="F165" i="1" s="1"/>
  <c r="F164" i="1" a="1"/>
  <c r="F164" i="1" s="1"/>
  <c r="F163" i="1" a="1"/>
  <c r="F163" i="1" s="1"/>
  <c r="F162" i="1" a="1"/>
  <c r="F162" i="1" s="1"/>
  <c r="F161" i="1" a="1"/>
  <c r="F161" i="1" s="1"/>
  <c r="H161" i="1" s="1"/>
  <c r="F160" i="1" a="1"/>
  <c r="F160" i="1" s="1"/>
  <c r="H160" i="1" s="1"/>
  <c r="F159" i="1" a="1"/>
  <c r="F159" i="1" s="1"/>
  <c r="F158" i="1" a="1"/>
  <c r="F158" i="1" s="1"/>
  <c r="F157" i="1" a="1"/>
  <c r="F157" i="1" s="1"/>
  <c r="F156" i="1" a="1"/>
  <c r="F156" i="1" s="1"/>
  <c r="F155" i="1" a="1"/>
  <c r="F155" i="1" s="1"/>
  <c r="F154" i="1" a="1"/>
  <c r="F154" i="1" s="1"/>
  <c r="F153" i="1" a="1"/>
  <c r="F153" i="1" s="1"/>
  <c r="F152" i="1" a="1"/>
  <c r="F152" i="1" s="1"/>
  <c r="H152" i="1" s="1"/>
  <c r="F151" i="1" a="1"/>
  <c r="F151" i="1" s="1"/>
  <c r="F150" i="1" a="1"/>
  <c r="F150" i="1" s="1"/>
  <c r="F149" i="1" a="1"/>
  <c r="F149" i="1" s="1"/>
  <c r="F148" i="1" a="1"/>
  <c r="F148" i="1" s="1"/>
  <c r="F147" i="1" a="1"/>
  <c r="F147" i="1" s="1"/>
  <c r="F146" i="1" a="1"/>
  <c r="F146" i="1" s="1"/>
  <c r="F145" i="1" a="1"/>
  <c r="F145" i="1" s="1"/>
  <c r="F144" i="1" a="1"/>
  <c r="F144" i="1" s="1"/>
  <c r="F143" i="1" a="1"/>
  <c r="F143" i="1" s="1"/>
  <c r="F142" i="1" a="1"/>
  <c r="F142" i="1" s="1"/>
  <c r="F141" i="1" a="1"/>
  <c r="F141" i="1" s="1"/>
  <c r="F140" i="1" a="1"/>
  <c r="F140" i="1" s="1"/>
  <c r="F139" i="1" a="1"/>
  <c r="F139" i="1" s="1"/>
  <c r="F138" i="1" a="1"/>
  <c r="F138" i="1" s="1"/>
  <c r="F137" i="1" a="1"/>
  <c r="F137" i="1" s="1"/>
  <c r="F136" i="1" a="1"/>
  <c r="F136" i="1" s="1"/>
  <c r="H136" i="1" s="1"/>
  <c r="F135" i="1" a="1"/>
  <c r="F135" i="1" s="1"/>
  <c r="F134" i="1" a="1"/>
  <c r="F134" i="1" s="1"/>
  <c r="F133" i="1" a="1"/>
  <c r="F133" i="1" s="1"/>
  <c r="F132" i="1" a="1"/>
  <c r="F132" i="1" s="1"/>
  <c r="F131" i="1" a="1"/>
  <c r="F131" i="1" s="1"/>
  <c r="F130" i="1" a="1"/>
  <c r="F130" i="1" s="1"/>
  <c r="F129" i="1" a="1"/>
  <c r="F129" i="1" s="1"/>
  <c r="F128" i="1" a="1"/>
  <c r="F128" i="1" s="1"/>
  <c r="F127" i="1" a="1"/>
  <c r="F127" i="1" s="1"/>
  <c r="F126" i="1" a="1"/>
  <c r="F126" i="1" s="1"/>
  <c r="F125" i="1" a="1"/>
  <c r="F125" i="1" s="1"/>
  <c r="F124" i="1" a="1"/>
  <c r="F124" i="1" s="1"/>
  <c r="F123" i="1" a="1"/>
  <c r="F123" i="1" s="1"/>
  <c r="F122" i="1" a="1"/>
  <c r="F122" i="1" s="1"/>
  <c r="F121" i="1" a="1"/>
  <c r="F121" i="1" s="1"/>
  <c r="F120" i="1" a="1"/>
  <c r="F120" i="1" s="1"/>
  <c r="F119" i="1" a="1"/>
  <c r="F119" i="1" s="1"/>
  <c r="F118" i="1" a="1"/>
  <c r="F118" i="1" s="1"/>
  <c r="F117" i="1" a="1"/>
  <c r="F117" i="1" s="1"/>
  <c r="F116" i="1" a="1"/>
  <c r="F116" i="1" s="1"/>
  <c r="F115" i="1" a="1"/>
  <c r="F115" i="1" s="1"/>
  <c r="F114" i="1" a="1"/>
  <c r="F114" i="1" s="1"/>
  <c r="F113" i="1" a="1"/>
  <c r="F113" i="1" s="1"/>
  <c r="F112" i="1" a="1"/>
  <c r="F112" i="1" s="1"/>
  <c r="F111" i="1" a="1"/>
  <c r="F111" i="1" s="1"/>
  <c r="F110" i="1" a="1"/>
  <c r="F110" i="1" s="1"/>
  <c r="F109" i="1" a="1"/>
  <c r="F109" i="1" s="1"/>
  <c r="F108" i="1" a="1"/>
  <c r="F108" i="1" s="1"/>
  <c r="F107" i="1" a="1"/>
  <c r="F107" i="1" s="1"/>
  <c r="H107" i="1" s="1"/>
  <c r="F106" i="1" a="1"/>
  <c r="F106" i="1" s="1"/>
  <c r="F105" i="1" a="1"/>
  <c r="F105" i="1" s="1"/>
  <c r="F104" i="1" a="1"/>
  <c r="F104" i="1" s="1"/>
  <c r="F103" i="1" a="1"/>
  <c r="F103" i="1" s="1"/>
  <c r="F102" i="1" a="1"/>
  <c r="F102" i="1" s="1"/>
  <c r="H102" i="1" s="1"/>
  <c r="F101" i="1" a="1"/>
  <c r="F101" i="1" s="1"/>
  <c r="H101" i="1" s="1"/>
  <c r="F100" i="1" a="1"/>
  <c r="F100" i="1" s="1"/>
  <c r="F99" i="1" a="1"/>
  <c r="F99" i="1" s="1"/>
  <c r="H99" i="1" s="1"/>
  <c r="F98" i="1" a="1"/>
  <c r="F98" i="1" s="1"/>
  <c r="F97" i="1" a="1"/>
  <c r="F97" i="1" s="1"/>
  <c r="F96" i="1" a="1"/>
  <c r="F96" i="1" s="1"/>
  <c r="F95" i="1" a="1"/>
  <c r="F95" i="1" s="1"/>
  <c r="F94" i="1" a="1"/>
  <c r="F94" i="1" s="1"/>
  <c r="F93" i="1" a="1"/>
  <c r="F93" i="1" s="1"/>
  <c r="F92" i="1" a="1"/>
  <c r="F92" i="1" s="1"/>
  <c r="F91" i="1" a="1"/>
  <c r="F91" i="1" s="1"/>
  <c r="F90" i="1" a="1"/>
  <c r="F90" i="1" s="1"/>
  <c r="F89" i="1" a="1"/>
  <c r="F89" i="1" s="1"/>
  <c r="F88" i="1" a="1"/>
  <c r="F88" i="1" s="1"/>
  <c r="F87" i="1" a="1"/>
  <c r="F87" i="1" s="1"/>
  <c r="F86" i="1" a="1"/>
  <c r="F86" i="1" s="1"/>
  <c r="F85" i="1" a="1"/>
  <c r="F85" i="1" s="1"/>
  <c r="F84" i="1" a="1"/>
  <c r="F84" i="1" s="1"/>
  <c r="F83" i="1" a="1"/>
  <c r="F83" i="1" s="1"/>
  <c r="F82" i="1" a="1"/>
  <c r="F82" i="1" s="1"/>
  <c r="F81" i="1" a="1"/>
  <c r="F81" i="1" s="1"/>
  <c r="F80" i="1" a="1"/>
  <c r="F80" i="1" s="1"/>
  <c r="F79" i="1" a="1"/>
  <c r="F79" i="1" s="1"/>
  <c r="F78" i="1" a="1"/>
  <c r="F78" i="1" s="1"/>
  <c r="H78" i="1" s="1"/>
  <c r="F77" i="1" a="1"/>
  <c r="F77" i="1" s="1"/>
  <c r="F76" i="1" a="1"/>
  <c r="F76" i="1" s="1"/>
  <c r="F75" i="1" a="1"/>
  <c r="F75" i="1" s="1"/>
  <c r="F74" i="1" a="1"/>
  <c r="F74" i="1" s="1"/>
  <c r="F73" i="1" a="1"/>
  <c r="F73" i="1" s="1"/>
  <c r="F72" i="1" a="1"/>
  <c r="F72" i="1" s="1"/>
  <c r="F71" i="1" a="1"/>
  <c r="F71" i="1" s="1"/>
  <c r="F70" i="1" a="1"/>
  <c r="F70" i="1" s="1"/>
  <c r="F69" i="1" a="1"/>
  <c r="F69" i="1" s="1"/>
  <c r="F68" i="1" a="1"/>
  <c r="F68" i="1" s="1"/>
  <c r="F67" i="1" a="1"/>
  <c r="F67" i="1" s="1"/>
  <c r="F66" i="1" a="1"/>
  <c r="F66" i="1" s="1"/>
  <c r="F65" i="1" a="1"/>
  <c r="F65" i="1" s="1"/>
  <c r="F64" i="1" a="1"/>
  <c r="F64" i="1" s="1"/>
  <c r="F63" i="1" a="1"/>
  <c r="F63" i="1" s="1"/>
  <c r="F62" i="1" a="1"/>
  <c r="F62" i="1" s="1"/>
  <c r="F61" i="1" a="1"/>
  <c r="F61" i="1" s="1"/>
  <c r="F60" i="1" a="1"/>
  <c r="F60" i="1" s="1"/>
  <c r="F59" i="1" a="1"/>
  <c r="F59" i="1" s="1"/>
  <c r="F58" i="1" a="1"/>
  <c r="F58" i="1" s="1"/>
  <c r="F57" i="1" a="1"/>
  <c r="F57" i="1" s="1"/>
  <c r="F56" i="1" a="1"/>
  <c r="F56" i="1" s="1"/>
  <c r="F55" i="1" a="1"/>
  <c r="F55" i="1" s="1"/>
  <c r="F54" i="1" a="1"/>
  <c r="F54" i="1" s="1"/>
  <c r="F53" i="1" a="1"/>
  <c r="F53" i="1" s="1"/>
  <c r="F52" i="1" a="1"/>
  <c r="F52" i="1" s="1"/>
  <c r="F51" i="1" a="1"/>
  <c r="F51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F45" i="1" a="1"/>
  <c r="F45" i="1" s="1"/>
  <c r="F44" i="1" a="1"/>
  <c r="F44" i="1" s="1"/>
  <c r="F43" i="1" a="1"/>
  <c r="F43" i="1" s="1"/>
  <c r="F42" i="1" a="1"/>
  <c r="F42" i="1" s="1"/>
  <c r="F41" i="1" a="1"/>
  <c r="F41" i="1" s="1"/>
  <c r="F40" i="1" a="1"/>
  <c r="F40" i="1" s="1"/>
  <c r="F39" i="1" a="1"/>
  <c r="F39" i="1" s="1"/>
  <c r="F38" i="1" a="1"/>
  <c r="F38" i="1" s="1"/>
  <c r="F37" i="1" a="1"/>
  <c r="F37" i="1" s="1"/>
  <c r="F36" i="1" a="1"/>
  <c r="F36" i="1" s="1"/>
  <c r="F35" i="1" a="1"/>
  <c r="F35" i="1" s="1"/>
  <c r="H35" i="1" s="1"/>
  <c r="F34" i="1" a="1"/>
  <c r="F34" i="1" s="1"/>
  <c r="F33" i="1" a="1"/>
  <c r="F33" i="1" s="1"/>
  <c r="F32" i="1" a="1"/>
  <c r="F32" i="1" s="1"/>
  <c r="F31" i="1" a="1"/>
  <c r="F31" i="1" s="1"/>
  <c r="F30" i="1" a="1"/>
  <c r="F30" i="1" s="1"/>
  <c r="F29" i="1" a="1"/>
  <c r="F29" i="1" s="1"/>
  <c r="F28" i="1" a="1"/>
  <c r="F28" i="1" s="1"/>
  <c r="F27" i="1" a="1"/>
  <c r="F27" i="1" s="1"/>
  <c r="F26" i="1" a="1"/>
  <c r="F26" i="1" s="1"/>
  <c r="F25" i="1" a="1"/>
  <c r="F25" i="1" s="1"/>
  <c r="F24" i="1" a="1"/>
  <c r="F24" i="1" s="1"/>
  <c r="F23" i="1" a="1"/>
  <c r="F23" i="1" s="1"/>
  <c r="F22" i="1" a="1"/>
  <c r="F22" i="1" s="1"/>
  <c r="F21" i="1" a="1"/>
  <c r="F21" i="1" s="1"/>
  <c r="F20" i="1" a="1"/>
  <c r="F20" i="1" s="1"/>
  <c r="F19" i="1" a="1"/>
  <c r="F19" i="1" s="1"/>
  <c r="F18" i="1" a="1"/>
  <c r="F18" i="1" s="1"/>
  <c r="F17" i="1" a="1"/>
  <c r="F17" i="1" s="1"/>
  <c r="H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5" i="1" a="1"/>
  <c r="F5" i="1" s="1"/>
  <c r="F4" i="1" a="1"/>
  <c r="F4" i="1" s="1"/>
  <c r="F3" i="1" a="1"/>
  <c r="F3" i="1" s="1"/>
  <c r="F2" i="1" a="1"/>
  <c r="F2" i="1" s="1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117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3205" i="1" l="1"/>
  <c r="F3206" i="1" s="1"/>
  <c r="F3207" i="1" s="1"/>
  <c r="H5" i="1"/>
  <c r="H13" i="1"/>
  <c r="H21" i="1"/>
  <c r="H29" i="1"/>
  <c r="H37" i="1"/>
  <c r="H45" i="1"/>
  <c r="H53" i="1"/>
  <c r="H61" i="1"/>
  <c r="H69" i="1"/>
  <c r="H77" i="1"/>
  <c r="H85" i="1"/>
  <c r="H93" i="1"/>
  <c r="H109" i="1"/>
  <c r="H117" i="1"/>
  <c r="H6" i="1"/>
  <c r="H14" i="1"/>
  <c r="H22" i="1"/>
  <c r="H30" i="1"/>
  <c r="H38" i="1"/>
  <c r="H46" i="1"/>
  <c r="H54" i="1"/>
  <c r="H62" i="1"/>
  <c r="H70" i="1"/>
  <c r="H86" i="1"/>
  <c r="H94" i="1"/>
  <c r="H110" i="1"/>
  <c r="H118" i="1"/>
  <c r="H126" i="1"/>
  <c r="H134" i="1"/>
  <c r="H142" i="1"/>
  <c r="H150" i="1"/>
  <c r="H158" i="1"/>
  <c r="H166" i="1"/>
  <c r="H174" i="1"/>
  <c r="H182" i="1"/>
  <c r="H190" i="1"/>
  <c r="H198" i="1"/>
  <c r="H214" i="1"/>
  <c r="H222" i="1"/>
  <c r="H238" i="1"/>
  <c r="H246" i="1"/>
  <c r="H254" i="1"/>
  <c r="H262" i="1"/>
  <c r="H270" i="1"/>
  <c r="H278" i="1"/>
  <c r="H286" i="1"/>
  <c r="H294" i="1"/>
  <c r="H310" i="1"/>
  <c r="H318" i="1"/>
  <c r="H326" i="1"/>
  <c r="H342" i="1"/>
  <c r="H350" i="1"/>
  <c r="H358" i="1"/>
  <c r="H366" i="1"/>
  <c r="H374" i="1"/>
  <c r="H382" i="1"/>
  <c r="H390" i="1"/>
  <c r="H398" i="1"/>
  <c r="H406" i="1"/>
  <c r="H422" i="1"/>
  <c r="H430" i="1"/>
  <c r="H438" i="1"/>
  <c r="H446" i="1"/>
  <c r="H454" i="1"/>
  <c r="H470" i="1"/>
  <c r="H486" i="1"/>
  <c r="H494" i="1"/>
  <c r="H502" i="1"/>
  <c r="H510" i="1"/>
  <c r="H518" i="1"/>
  <c r="H526" i="1"/>
  <c r="H534" i="1"/>
  <c r="H542" i="1"/>
  <c r="H558" i="1"/>
  <c r="H574" i="1"/>
  <c r="H582" i="1"/>
  <c r="H590" i="1"/>
  <c r="H614" i="1"/>
  <c r="H622" i="1"/>
  <c r="H630" i="1"/>
  <c r="H638" i="1"/>
  <c r="H654" i="1"/>
  <c r="H662" i="1"/>
  <c r="H694" i="1"/>
  <c r="H710" i="1"/>
  <c r="H734" i="1"/>
  <c r="H742" i="1"/>
  <c r="H750" i="1"/>
  <c r="H758" i="1"/>
  <c r="H766" i="1"/>
  <c r="H806" i="1"/>
  <c r="H814" i="1"/>
  <c r="H862" i="1"/>
  <c r="H7" i="1"/>
  <c r="H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44" i="1"/>
  <c r="H9" i="1"/>
  <c r="H25" i="1"/>
  <c r="H33" i="1"/>
  <c r="H41" i="1"/>
  <c r="H49" i="1"/>
  <c r="H57" i="1"/>
  <c r="H65" i="1"/>
  <c r="H73" i="1"/>
  <c r="H81" i="1"/>
  <c r="H89" i="1"/>
  <c r="H97" i="1"/>
  <c r="H105" i="1"/>
  <c r="H113" i="1"/>
  <c r="H121" i="1"/>
  <c r="H129" i="1"/>
  <c r="H137" i="1"/>
  <c r="H145" i="1"/>
  <c r="H153" i="1"/>
  <c r="H185" i="1"/>
  <c r="H193" i="1"/>
  <c r="H201" i="1"/>
  <c r="H209" i="1"/>
  <c r="H217" i="1"/>
  <c r="H225" i="1"/>
  <c r="H241" i="1"/>
  <c r="H2" i="1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162" i="1"/>
  <c r="H170" i="1"/>
  <c r="H178" i="1"/>
  <c r="H186" i="1"/>
  <c r="H202" i="1"/>
  <c r="H210" i="1"/>
  <c r="H218" i="1"/>
  <c r="H226" i="1"/>
  <c r="H242" i="1"/>
  <c r="H250" i="1"/>
  <c r="H274" i="1"/>
  <c r="H282" i="1"/>
  <c r="H290" i="1"/>
  <c r="H306" i="1"/>
  <c r="H314" i="1"/>
  <c r="H322" i="1"/>
  <c r="H338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74" i="1"/>
  <c r="H482" i="1"/>
  <c r="H490" i="1"/>
  <c r="H506" i="1"/>
  <c r="H522" i="1"/>
  <c r="H530" i="1"/>
  <c r="H3" i="1"/>
  <c r="H11" i="1"/>
  <c r="H19" i="1"/>
  <c r="H27" i="1"/>
  <c r="H43" i="1"/>
  <c r="H51" i="1"/>
  <c r="H59" i="1"/>
  <c r="H67" i="1"/>
  <c r="H75" i="1"/>
  <c r="H83" i="1"/>
  <c r="H91" i="1"/>
  <c r="H115" i="1"/>
  <c r="H123" i="1"/>
  <c r="H131" i="1"/>
  <c r="H139" i="1"/>
  <c r="H147" i="1"/>
  <c r="H155" i="1"/>
  <c r="H163" i="1"/>
  <c r="H249" i="1"/>
  <c r="H257" i="1"/>
  <c r="H273" i="1"/>
  <c r="H281" i="1"/>
  <c r="H289" i="1"/>
  <c r="H297" i="1"/>
  <c r="H305" i="1"/>
  <c r="H329" i="1"/>
  <c r="H337" i="1"/>
  <c r="H345" i="1"/>
  <c r="H353" i="1"/>
  <c r="H361" i="1"/>
  <c r="H369" i="1"/>
  <c r="H377" i="1"/>
  <c r="H385" i="1"/>
  <c r="H393" i="1"/>
  <c r="H425" i="1"/>
  <c r="H433" i="1"/>
  <c r="H441" i="1"/>
  <c r="H449" i="1"/>
  <c r="H457" i="1"/>
  <c r="H465" i="1"/>
  <c r="H473" i="1"/>
  <c r="H489" i="1"/>
  <c r="H497" i="1"/>
  <c r="H513" i="1"/>
  <c r="H521" i="1"/>
  <c r="H529" i="1"/>
  <c r="H537" i="1"/>
  <c r="H561" i="1"/>
  <c r="H593" i="1"/>
  <c r="H601" i="1"/>
  <c r="H609" i="1"/>
  <c r="H617" i="1"/>
  <c r="H625" i="1"/>
  <c r="H649" i="1"/>
  <c r="H665" i="1"/>
  <c r="H673" i="1"/>
  <c r="H705" i="1"/>
  <c r="H713" i="1"/>
  <c r="H729" i="1"/>
  <c r="H737" i="1"/>
  <c r="H745" i="1"/>
  <c r="H753" i="1"/>
  <c r="H769" i="1"/>
  <c r="H793" i="1"/>
  <c r="H817" i="1"/>
  <c r="H825" i="1"/>
  <c r="H841" i="1"/>
  <c r="H849" i="1"/>
  <c r="H857" i="1"/>
  <c r="H865" i="1"/>
  <c r="H889" i="1"/>
  <c r="H913" i="1"/>
  <c r="H929" i="1"/>
  <c r="H937" i="1"/>
  <c r="H945" i="1"/>
  <c r="H953" i="1"/>
  <c r="H961" i="1"/>
  <c r="H969" i="1"/>
  <c r="H977" i="1"/>
  <c r="H985" i="1"/>
  <c r="H1001" i="1"/>
  <c r="H1017" i="1"/>
  <c r="H1025" i="1"/>
  <c r="H1033" i="1"/>
  <c r="H1057" i="1"/>
  <c r="H1089" i="1"/>
  <c r="H1121" i="1"/>
  <c r="H1137" i="1"/>
  <c r="H1145" i="1"/>
  <c r="H1161" i="1"/>
  <c r="H1169" i="1"/>
  <c r="H1185" i="1"/>
  <c r="H1193" i="1"/>
  <c r="H1241" i="1"/>
  <c r="H1265" i="1"/>
  <c r="H1289" i="1"/>
  <c r="H1297" i="1"/>
  <c r="H1305" i="1"/>
  <c r="H1321" i="1"/>
  <c r="H1329" i="1"/>
  <c r="H1345" i="1"/>
  <c r="H1369" i="1"/>
  <c r="H1377" i="1"/>
  <c r="H1385" i="1"/>
  <c r="H1401" i="1"/>
  <c r="H1425" i="1"/>
  <c r="H1449" i="1"/>
  <c r="H1457" i="1"/>
  <c r="H1473" i="1"/>
  <c r="H1489" i="1"/>
  <c r="H1497" i="1"/>
  <c r="H1537" i="1"/>
  <c r="H1545" i="1"/>
  <c r="H1561" i="1"/>
  <c r="H1569" i="1"/>
  <c r="H1593" i="1"/>
  <c r="H1601" i="1"/>
  <c r="H1609" i="1"/>
  <c r="H1625" i="1"/>
  <c r="H1641" i="1"/>
  <c r="H1649" i="1"/>
  <c r="H1657" i="1"/>
  <c r="H1673" i="1"/>
  <c r="H1689" i="1"/>
  <c r="H1697" i="1"/>
  <c r="H1705" i="1"/>
  <c r="H1713" i="1"/>
  <c r="H1745" i="1"/>
  <c r="H1761" i="1"/>
  <c r="H1769" i="1"/>
  <c r="H1777" i="1"/>
  <c r="H1801" i="1"/>
  <c r="H1825" i="1"/>
  <c r="H1841" i="1"/>
  <c r="H1849" i="1"/>
  <c r="H1865" i="1"/>
  <c r="H1873" i="1"/>
  <c r="H1889" i="1"/>
  <c r="H1905" i="1"/>
  <c r="H1913" i="1"/>
  <c r="H1921" i="1"/>
  <c r="H1929" i="1"/>
  <c r="H1937" i="1"/>
  <c r="H1945" i="1"/>
  <c r="H1961" i="1"/>
  <c r="H1993" i="1"/>
  <c r="H2001" i="1"/>
  <c r="H2009" i="1"/>
  <c r="H2017" i="1"/>
  <c r="H2025" i="1"/>
  <c r="H2033" i="1"/>
  <c r="H2041" i="1"/>
  <c r="H2049" i="1"/>
  <c r="H2065" i="1"/>
  <c r="H2089" i="1"/>
  <c r="H2097" i="1"/>
  <c r="H2105" i="1"/>
  <c r="H2113" i="1"/>
  <c r="H2129" i="1"/>
  <c r="H2145" i="1"/>
  <c r="H2153" i="1"/>
  <c r="H2161" i="1"/>
  <c r="H2169" i="1"/>
  <c r="H2177" i="1"/>
  <c r="H2185" i="1"/>
  <c r="H2201" i="1"/>
  <c r="H2217" i="1"/>
  <c r="H2225" i="1"/>
  <c r="H2241" i="1"/>
  <c r="H2249" i="1"/>
  <c r="H2273" i="1"/>
  <c r="H2281" i="1"/>
  <c r="H2289" i="1"/>
  <c r="H2297" i="1"/>
  <c r="H2313" i="1"/>
  <c r="H2321" i="1"/>
  <c r="H2337" i="1"/>
  <c r="H2345" i="1"/>
  <c r="H2377" i="1"/>
  <c r="H2401" i="1"/>
  <c r="H2433" i="1"/>
  <c r="H2449" i="1"/>
  <c r="H2465" i="1"/>
  <c r="H2473" i="1"/>
  <c r="H2481" i="1"/>
  <c r="H2497" i="1"/>
  <c r="H2505" i="1"/>
  <c r="H2521" i="1"/>
  <c r="H538" i="1"/>
  <c r="H546" i="1"/>
  <c r="H554" i="1"/>
  <c r="H562" i="1"/>
  <c r="H578" i="1"/>
  <c r="H586" i="1"/>
  <c r="H602" i="1"/>
  <c r="H610" i="1"/>
  <c r="H618" i="1"/>
  <c r="H626" i="1"/>
  <c r="H658" i="1"/>
  <c r="H674" i="1"/>
  <c r="H682" i="1"/>
  <c r="H698" i="1"/>
  <c r="H706" i="1"/>
  <c r="H714" i="1"/>
  <c r="H722" i="1"/>
  <c r="H738" i="1"/>
  <c r="H762" i="1"/>
  <c r="H794" i="1"/>
  <c r="H802" i="1"/>
  <c r="H818" i="1"/>
  <c r="H826" i="1"/>
  <c r="H850" i="1"/>
  <c r="H898" i="1"/>
  <c r="H914" i="1"/>
  <c r="H930" i="1"/>
  <c r="H962" i="1"/>
  <c r="H1010" i="1"/>
  <c r="H1058" i="1"/>
  <c r="H1066" i="1"/>
  <c r="H1074" i="1"/>
  <c r="H1082" i="1"/>
  <c r="H1106" i="1"/>
  <c r="H1114" i="1"/>
  <c r="H1122" i="1"/>
  <c r="H1170" i="1"/>
  <c r="H1178" i="1"/>
  <c r="H1202" i="1"/>
  <c r="H1218" i="1"/>
  <c r="H1234" i="1"/>
  <c r="H1282" i="1"/>
  <c r="H1290" i="1"/>
  <c r="H1298" i="1"/>
  <c r="H1314" i="1"/>
  <c r="H1322" i="1"/>
  <c r="H1330" i="1"/>
  <c r="H1338" i="1"/>
  <c r="H1346" i="1"/>
  <c r="H1354" i="1"/>
  <c r="H1362" i="1"/>
  <c r="H1370" i="1"/>
  <c r="H1378" i="1"/>
  <c r="H1394" i="1"/>
  <c r="H1426" i="1"/>
  <c r="H1458" i="1"/>
  <c r="H1474" i="1"/>
  <c r="H1482" i="1"/>
  <c r="H1506" i="1"/>
  <c r="H1522" i="1"/>
  <c r="H1530" i="1"/>
  <c r="H1554" i="1"/>
  <c r="H1562" i="1"/>
  <c r="H1570" i="1"/>
  <c r="H1578" i="1"/>
  <c r="H1586" i="1"/>
  <c r="H1594" i="1"/>
  <c r="H1618" i="1"/>
  <c r="H1634" i="1"/>
  <c r="H1642" i="1"/>
  <c r="H1658" i="1"/>
  <c r="H1674" i="1"/>
  <c r="H1690" i="1"/>
  <c r="H1706" i="1"/>
  <c r="H1730" i="1"/>
  <c r="H1738" i="1"/>
  <c r="H1746" i="1"/>
  <c r="H1762" i="1"/>
  <c r="H1778" i="1"/>
  <c r="H1786" i="1"/>
  <c r="H1794" i="1"/>
  <c r="H1810" i="1"/>
  <c r="H1818" i="1"/>
  <c r="H1826" i="1"/>
  <c r="H1834" i="1"/>
  <c r="H1842" i="1"/>
  <c r="H1850" i="1"/>
  <c r="H1858" i="1"/>
  <c r="H1866" i="1"/>
  <c r="H1874" i="1"/>
  <c r="H1882" i="1"/>
  <c r="H1906" i="1"/>
  <c r="H1914" i="1"/>
  <c r="H1922" i="1"/>
  <c r="H1930" i="1"/>
  <c r="H1938" i="1"/>
  <c r="H1946" i="1"/>
  <c r="H1954" i="1"/>
  <c r="H1962" i="1"/>
  <c r="H1978" i="1"/>
  <c r="H1994" i="1"/>
  <c r="H2002" i="1"/>
  <c r="H2010" i="1"/>
  <c r="H2018" i="1"/>
  <c r="H2026" i="1"/>
  <c r="H2042" i="1"/>
  <c r="H2050" i="1"/>
  <c r="H2074" i="1"/>
  <c r="H2082" i="1"/>
  <c r="H2114" i="1"/>
  <c r="H2122" i="1"/>
  <c r="H2130" i="1"/>
  <c r="H2138" i="1"/>
  <c r="H2146" i="1"/>
  <c r="H2154" i="1"/>
  <c r="H2162" i="1"/>
  <c r="H2170" i="1"/>
  <c r="H2186" i="1"/>
  <c r="H2202" i="1"/>
  <c r="H2226" i="1"/>
  <c r="H2250" i="1"/>
  <c r="H2258" i="1"/>
  <c r="H2266" i="1"/>
  <c r="H2298" i="1"/>
  <c r="H2306" i="1"/>
  <c r="H2314" i="1"/>
  <c r="H2322" i="1"/>
  <c r="H2338" i="1"/>
  <c r="H2378" i="1"/>
  <c r="H2394" i="1"/>
  <c r="H2402" i="1"/>
  <c r="H2410" i="1"/>
  <c r="H2418" i="1"/>
  <c r="H2426" i="1"/>
  <c r="H2434" i="1"/>
  <c r="H2442" i="1"/>
  <c r="H2450" i="1"/>
  <c r="H2458" i="1"/>
  <c r="H2466" i="1"/>
  <c r="H2474" i="1"/>
  <c r="H2482" i="1"/>
  <c r="H2490" i="1"/>
  <c r="H2506" i="1"/>
  <c r="H2522" i="1"/>
  <c r="H2530" i="1"/>
  <c r="H2538" i="1"/>
  <c r="H2546" i="1"/>
  <c r="H2570" i="1"/>
  <c r="H2586" i="1"/>
  <c r="H2594" i="1"/>
  <c r="H2610" i="1"/>
  <c r="H2618" i="1"/>
  <c r="H2634" i="1"/>
  <c r="H2650" i="1"/>
  <c r="H2658" i="1"/>
  <c r="H2666" i="1"/>
  <c r="H2674" i="1"/>
  <c r="H2682" i="1"/>
  <c r="H2698" i="1"/>
  <c r="H2706" i="1"/>
  <c r="H2714" i="1"/>
  <c r="H2722" i="1"/>
  <c r="H2730" i="1"/>
  <c r="H2738" i="1"/>
  <c r="H2746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164" i="1"/>
  <c r="H180" i="1"/>
  <c r="H188" i="1"/>
  <c r="H196" i="1"/>
  <c r="H204" i="1"/>
  <c r="H212" i="1"/>
  <c r="H125" i="1"/>
  <c r="H133" i="1"/>
  <c r="H141" i="1"/>
  <c r="H149" i="1"/>
  <c r="H157" i="1"/>
  <c r="H165" i="1"/>
  <c r="H189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397" i="1"/>
  <c r="H405" i="1"/>
  <c r="H437" i="1"/>
  <c r="H453" i="1"/>
  <c r="H461" i="1"/>
  <c r="H469" i="1"/>
  <c r="H477" i="1"/>
  <c r="H485" i="1"/>
  <c r="H493" i="1"/>
  <c r="H501" i="1"/>
  <c r="H509" i="1"/>
  <c r="H525" i="1"/>
  <c r="H533" i="1"/>
  <c r="H541" i="1"/>
  <c r="H549" i="1"/>
  <c r="H557" i="1"/>
  <c r="H565" i="1"/>
  <c r="H573" i="1"/>
  <c r="H597" i="1"/>
  <c r="H621" i="1"/>
  <c r="H629" i="1"/>
  <c r="H637" i="1"/>
  <c r="H645" i="1"/>
  <c r="H661" i="1"/>
  <c r="H669" i="1"/>
  <c r="H685" i="1"/>
  <c r="H693" i="1"/>
  <c r="H701" i="1"/>
  <c r="H709" i="1"/>
  <c r="H717" i="1"/>
  <c r="H725" i="1"/>
  <c r="H733" i="1"/>
  <c r="H741" i="1"/>
  <c r="H749" i="1"/>
  <c r="H757" i="1"/>
  <c r="H765" i="1"/>
  <c r="H773" i="1"/>
  <c r="H781" i="1"/>
  <c r="H805" i="1"/>
  <c r="H813" i="1"/>
  <c r="H821" i="1"/>
  <c r="H853" i="1"/>
  <c r="H861" i="1"/>
  <c r="H869" i="1"/>
  <c r="H885" i="1"/>
  <c r="H917" i="1"/>
  <c r="H933" i="1"/>
  <c r="H949" i="1"/>
  <c r="H1053" i="1"/>
  <c r="H1085" i="1"/>
  <c r="H1133" i="1"/>
  <c r="H1141" i="1"/>
  <c r="H1157" i="1"/>
  <c r="H1205" i="1"/>
  <c r="H1229" i="1"/>
  <c r="H1237" i="1"/>
  <c r="H1245" i="1"/>
  <c r="H1269" i="1"/>
  <c r="H1285" i="1"/>
  <c r="H1309" i="1"/>
  <c r="H1317" i="1"/>
  <c r="H1333" i="1"/>
  <c r="H1341" i="1"/>
  <c r="H1357" i="1"/>
  <c r="H1373" i="1"/>
  <c r="H1381" i="1"/>
  <c r="H1397" i="1"/>
  <c r="H1405" i="1"/>
  <c r="H1429" i="1"/>
  <c r="H1453" i="1"/>
  <c r="H1461" i="1"/>
  <c r="H1477" i="1"/>
  <c r="H1493" i="1"/>
  <c r="H1509" i="1"/>
  <c r="H1517" i="1"/>
  <c r="H1525" i="1"/>
  <c r="H1533" i="1"/>
  <c r="H1549" i="1"/>
  <c r="H1565" i="1"/>
  <c r="H1573" i="1"/>
  <c r="H1597" i="1"/>
  <c r="H1605" i="1"/>
  <c r="H1613" i="1"/>
  <c r="H1621" i="1"/>
  <c r="H1629" i="1"/>
  <c r="H1645" i="1"/>
  <c r="H1653" i="1"/>
  <c r="H1669" i="1"/>
  <c r="H1677" i="1"/>
  <c r="H1685" i="1"/>
  <c r="H1693" i="1"/>
  <c r="H1709" i="1"/>
  <c r="H1717" i="1"/>
  <c r="H1733" i="1"/>
  <c r="H1741" i="1"/>
  <c r="H1773" i="1"/>
  <c r="H1781" i="1"/>
  <c r="H1797" i="1"/>
  <c r="H1805" i="1"/>
  <c r="H1813" i="1"/>
  <c r="H1829" i="1"/>
  <c r="H1853" i="1"/>
  <c r="H1861" i="1"/>
  <c r="H1869" i="1"/>
  <c r="H1877" i="1"/>
  <c r="H1901" i="1"/>
  <c r="H1909" i="1"/>
  <c r="H1917" i="1"/>
  <c r="H1925" i="1"/>
  <c r="H1941" i="1"/>
  <c r="H878" i="1"/>
  <c r="H886" i="1"/>
  <c r="H894" i="1"/>
  <c r="H910" i="1"/>
  <c r="H918" i="1"/>
  <c r="H934" i="1"/>
  <c r="H942" i="1"/>
  <c r="H974" i="1"/>
  <c r="H990" i="1"/>
  <c r="H998" i="1"/>
  <c r="H1014" i="1"/>
  <c r="H1022" i="1"/>
  <c r="H1030" i="1"/>
  <c r="H1038" i="1"/>
  <c r="H1046" i="1"/>
  <c r="H1062" i="1"/>
  <c r="H1070" i="1"/>
  <c r="H1086" i="1"/>
  <c r="H1102" i="1"/>
  <c r="H1118" i="1"/>
  <c r="H1134" i="1"/>
  <c r="H1150" i="1"/>
  <c r="H1206" i="1"/>
  <c r="H1222" i="1"/>
  <c r="H1230" i="1"/>
  <c r="H1238" i="1"/>
  <c r="H1246" i="1"/>
  <c r="H1254" i="1"/>
  <c r="H1262" i="1"/>
  <c r="H1270" i="1"/>
  <c r="H1278" i="1"/>
  <c r="H1294" i="1"/>
  <c r="H1302" i="1"/>
  <c r="H1326" i="1"/>
  <c r="H1358" i="1"/>
  <c r="H1398" i="1"/>
  <c r="H1422" i="1"/>
  <c r="H1438" i="1"/>
  <c r="H1454" i="1"/>
  <c r="H1478" i="1"/>
  <c r="H1502" i="1"/>
  <c r="H1526" i="1"/>
  <c r="H1534" i="1"/>
  <c r="H1550" i="1"/>
  <c r="H1558" i="1"/>
  <c r="H1582" i="1"/>
  <c r="H1590" i="1"/>
  <c r="H1606" i="1"/>
  <c r="H1614" i="1"/>
  <c r="H1622" i="1"/>
  <c r="H1646" i="1"/>
  <c r="H1654" i="1"/>
  <c r="H1670" i="1"/>
  <c r="H1678" i="1"/>
  <c r="H1702" i="1"/>
  <c r="H1710" i="1"/>
  <c r="H1742" i="1"/>
  <c r="H1766" i="1"/>
  <c r="H1774" i="1"/>
  <c r="H1782" i="1"/>
  <c r="H1814" i="1"/>
  <c r="H1830" i="1"/>
  <c r="H1862" i="1"/>
  <c r="H1870" i="1"/>
  <c r="H1878" i="1"/>
  <c r="H1894" i="1"/>
  <c r="H1902" i="1"/>
  <c r="H1918" i="1"/>
  <c r="H1958" i="1"/>
  <c r="H1974" i="1"/>
  <c r="H1998" i="1"/>
  <c r="H2006" i="1"/>
  <c r="H2014" i="1"/>
  <c r="H2022" i="1"/>
  <c r="H2030" i="1"/>
  <c r="H2046" i="1"/>
  <c r="H2054" i="1"/>
  <c r="H2062" i="1"/>
  <c r="H2070" i="1"/>
  <c r="H2078" i="1"/>
  <c r="H2118" i="1"/>
  <c r="H2126" i="1"/>
  <c r="H2134" i="1"/>
  <c r="H2142" i="1"/>
  <c r="H2150" i="1"/>
  <c r="H2166" i="1"/>
  <c r="H2190" i="1"/>
  <c r="H2198" i="1"/>
  <c r="H2214" i="1"/>
  <c r="H2222" i="1"/>
  <c r="H2230" i="1"/>
  <c r="H2238" i="1"/>
  <c r="H2246" i="1"/>
  <c r="H2270" i="1"/>
  <c r="H2278" i="1"/>
  <c r="H2286" i="1"/>
  <c r="H2302" i="1"/>
  <c r="H2310" i="1"/>
  <c r="H2326" i="1"/>
  <c r="H2342" i="1"/>
  <c r="H2382" i="1"/>
  <c r="H2398" i="1"/>
  <c r="H2406" i="1"/>
  <c r="H2414" i="1"/>
  <c r="H2430" i="1"/>
  <c r="H2446" i="1"/>
  <c r="H2462" i="1"/>
  <c r="H2470" i="1"/>
  <c r="H2478" i="1"/>
  <c r="H2486" i="1"/>
  <c r="H2494" i="1"/>
  <c r="H2518" i="1"/>
  <c r="H2526" i="1"/>
  <c r="H2534" i="1"/>
  <c r="H2542" i="1"/>
  <c r="H2558" i="1"/>
  <c r="H2566" i="1"/>
  <c r="H2574" i="1"/>
  <c r="H2582" i="1"/>
  <c r="H2590" i="1"/>
  <c r="H2606" i="1"/>
  <c r="H2622" i="1"/>
  <c r="H2630" i="1"/>
  <c r="H2670" i="1"/>
  <c r="H2678" i="1"/>
  <c r="H2686" i="1"/>
  <c r="H2694" i="1"/>
  <c r="H2702" i="1"/>
  <c r="H2710" i="1"/>
  <c r="H2718" i="1"/>
  <c r="H2734" i="1"/>
  <c r="H2750" i="1"/>
  <c r="H2758" i="1"/>
  <c r="H2766" i="1"/>
  <c r="H2790" i="1"/>
  <c r="H2798" i="1"/>
  <c r="H2806" i="1"/>
  <c r="H2814" i="1"/>
  <c r="H2822" i="1"/>
  <c r="H2830" i="1"/>
  <c r="H2838" i="1"/>
  <c r="H2846" i="1"/>
  <c r="H2854" i="1"/>
  <c r="H2862" i="1"/>
  <c r="H2870" i="1"/>
  <c r="H2878" i="1"/>
  <c r="H2886" i="1"/>
  <c r="H2894" i="1"/>
  <c r="H2902" i="1"/>
  <c r="H2910" i="1"/>
  <c r="H2918" i="1"/>
  <c r="H2934" i="1"/>
  <c r="H2942" i="1"/>
  <c r="H2950" i="1"/>
  <c r="H2958" i="1"/>
  <c r="H2966" i="1"/>
  <c r="H2974" i="1"/>
  <c r="H2982" i="1"/>
  <c r="H2990" i="1"/>
  <c r="H3006" i="1"/>
  <c r="H3014" i="1"/>
  <c r="H3030" i="1"/>
  <c r="H3038" i="1"/>
  <c r="H3070" i="1"/>
  <c r="H3078" i="1"/>
  <c r="H3110" i="1"/>
  <c r="H3118" i="1"/>
  <c r="H3126" i="1"/>
  <c r="H3134" i="1"/>
  <c r="H3142" i="1"/>
  <c r="H3166" i="1"/>
  <c r="H3182" i="1"/>
  <c r="H3190" i="1"/>
  <c r="H3198" i="1"/>
  <c r="H15" i="1"/>
  <c r="H23" i="1"/>
  <c r="H31" i="1"/>
  <c r="H39" i="1"/>
  <c r="H47" i="1"/>
  <c r="H55" i="1"/>
  <c r="H63" i="1"/>
  <c r="H71" i="1"/>
  <c r="H79" i="1"/>
  <c r="H87" i="1"/>
  <c r="H95" i="1"/>
  <c r="H103" i="1"/>
  <c r="H111" i="1"/>
  <c r="H119" i="1"/>
  <c r="H127" i="1"/>
  <c r="H135" i="1"/>
  <c r="H143" i="1"/>
  <c r="H151" i="1"/>
  <c r="H159" i="1"/>
  <c r="H167" i="1"/>
  <c r="H175" i="1"/>
  <c r="H183" i="1"/>
  <c r="H191" i="1"/>
  <c r="H199" i="1"/>
  <c r="H215" i="1"/>
  <c r="H223" i="1"/>
  <c r="H231" i="1"/>
  <c r="H239" i="1"/>
  <c r="H247" i="1"/>
  <c r="H255" i="1"/>
  <c r="H263" i="1"/>
  <c r="H279" i="1"/>
  <c r="H287" i="1"/>
  <c r="H303" i="1"/>
  <c r="H311" i="1"/>
  <c r="H319" i="1"/>
  <c r="H327" i="1"/>
  <c r="H335" i="1"/>
  <c r="H351" i="1"/>
  <c r="H359" i="1"/>
  <c r="H375" i="1"/>
  <c r="H383" i="1"/>
  <c r="H391" i="1"/>
  <c r="H399" i="1"/>
  <c r="H415" i="1"/>
  <c r="H423" i="1"/>
  <c r="H431" i="1"/>
  <c r="H439" i="1"/>
  <c r="H447" i="1"/>
  <c r="H463" i="1"/>
  <c r="H471" i="1"/>
  <c r="H495" i="1"/>
  <c r="H503" i="1"/>
  <c r="H511" i="1"/>
  <c r="H519" i="1"/>
  <c r="H527" i="1"/>
  <c r="H535" i="1"/>
  <c r="H559" i="1"/>
  <c r="H567" i="1"/>
  <c r="H575" i="1"/>
  <c r="H591" i="1"/>
  <c r="H607" i="1"/>
  <c r="H615" i="1"/>
  <c r="H623" i="1"/>
  <c r="H639" i="1"/>
  <c r="H647" i="1"/>
  <c r="H655" i="1"/>
  <c r="H671" i="1"/>
  <c r="H695" i="1"/>
  <c r="H703" i="1"/>
  <c r="H711" i="1"/>
  <c r="H719" i="1"/>
  <c r="H727" i="1"/>
  <c r="H735" i="1"/>
  <c r="H743" i="1"/>
  <c r="H751" i="1"/>
  <c r="H759" i="1"/>
  <c r="H807" i="1"/>
  <c r="H831" i="1"/>
  <c r="H839" i="1"/>
  <c r="H879" i="1"/>
  <c r="H887" i="1"/>
  <c r="H919" i="1"/>
  <c r="H943" i="1"/>
  <c r="H959" i="1"/>
  <c r="H975" i="1"/>
  <c r="H1023" i="1"/>
  <c r="H1039" i="1"/>
  <c r="H1055" i="1"/>
  <c r="H1071" i="1"/>
  <c r="H1079" i="1"/>
  <c r="H1087" i="1"/>
  <c r="H1095" i="1"/>
  <c r="H1103" i="1"/>
  <c r="H1119" i="1"/>
  <c r="H1143" i="1"/>
  <c r="H1159" i="1"/>
  <c r="H1175" i="1"/>
  <c r="H1183" i="1"/>
  <c r="H1207" i="1"/>
  <c r="H1215" i="1"/>
  <c r="H1223" i="1"/>
  <c r="H1231" i="1"/>
  <c r="H1287" i="1"/>
  <c r="H1311" i="1"/>
  <c r="H1335" i="1"/>
  <c r="H1343" i="1"/>
  <c r="H1351" i="1"/>
  <c r="H1375" i="1"/>
  <c r="H1399" i="1"/>
  <c r="H1415" i="1"/>
  <c r="H1431" i="1"/>
  <c r="H1439" i="1"/>
  <c r="H1447" i="1"/>
  <c r="H1471" i="1"/>
  <c r="H1495" i="1"/>
  <c r="H1511" i="1"/>
  <c r="H1535" i="1"/>
  <c r="H1543" i="1"/>
  <c r="H1551" i="1"/>
  <c r="H1607" i="1"/>
  <c r="H1623" i="1"/>
  <c r="H1631" i="1"/>
  <c r="H1639" i="1"/>
  <c r="H1647" i="1"/>
  <c r="H1671" i="1"/>
  <c r="H1687" i="1"/>
  <c r="H1695" i="1"/>
  <c r="H1703" i="1"/>
  <c r="H1711" i="1"/>
  <c r="H1751" i="1"/>
  <c r="H1783" i="1"/>
  <c r="H1791" i="1"/>
  <c r="H1799" i="1"/>
  <c r="H1807" i="1"/>
  <c r="H1823" i="1"/>
  <c r="H1831" i="1"/>
  <c r="H1839" i="1"/>
  <c r="H1855" i="1"/>
  <c r="H1863" i="1"/>
  <c r="H1871" i="1"/>
  <c r="H1879" i="1"/>
  <c r="H1887" i="1"/>
  <c r="H1903" i="1"/>
  <c r="H1911" i="1"/>
  <c r="H1919" i="1"/>
  <c r="H1935" i="1"/>
  <c r="H1943" i="1"/>
  <c r="H1951" i="1"/>
  <c r="H1959" i="1"/>
  <c r="H1967" i="1"/>
  <c r="H1991" i="1"/>
  <c r="H1999" i="1"/>
  <c r="H2007" i="1"/>
  <c r="H2015" i="1"/>
  <c r="H2023" i="1"/>
  <c r="H2031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304" i="1"/>
  <c r="H312" i="1"/>
  <c r="H320" i="1"/>
  <c r="H328" i="1"/>
  <c r="H344" i="1"/>
  <c r="H352" i="1"/>
  <c r="H360" i="1"/>
  <c r="H368" i="1"/>
  <c r="H376" i="1"/>
  <c r="H384" i="1"/>
  <c r="H392" i="1"/>
  <c r="H400" i="1"/>
  <c r="H408" i="1"/>
  <c r="H416" i="1"/>
  <c r="H432" i="1"/>
  <c r="H440" i="1"/>
  <c r="H456" i="1"/>
  <c r="H464" i="1"/>
  <c r="H472" i="1"/>
  <c r="H480" i="1"/>
  <c r="H488" i="1"/>
  <c r="H496" i="1"/>
  <c r="H504" i="1"/>
  <c r="H512" i="1"/>
  <c r="H520" i="1"/>
  <c r="H528" i="1"/>
  <c r="H536" i="1"/>
  <c r="H544" i="1"/>
  <c r="H552" i="1"/>
  <c r="H560" i="1"/>
  <c r="H568" i="1"/>
  <c r="H600" i="1"/>
  <c r="H608" i="1"/>
  <c r="H616" i="1"/>
  <c r="H632" i="1"/>
  <c r="H656" i="1"/>
  <c r="H664" i="1"/>
  <c r="H672" i="1"/>
  <c r="H680" i="1"/>
  <c r="H688" i="1"/>
  <c r="H728" i="1"/>
  <c r="H760" i="1"/>
  <c r="H768" i="1"/>
  <c r="H784" i="1"/>
  <c r="H792" i="1"/>
  <c r="H808" i="1"/>
  <c r="H816" i="1"/>
  <c r="H824" i="1"/>
  <c r="H840" i="1"/>
  <c r="H864" i="1"/>
  <c r="H872" i="1"/>
  <c r="H880" i="1"/>
  <c r="H896" i="1"/>
  <c r="H920" i="1"/>
  <c r="H928" i="1"/>
  <c r="H936" i="1"/>
  <c r="H960" i="1"/>
  <c r="H968" i="1"/>
  <c r="H976" i="1"/>
  <c r="H1040" i="1"/>
  <c r="H1048" i="1"/>
  <c r="H1064" i="1"/>
  <c r="H1080" i="1"/>
  <c r="H1096" i="1"/>
  <c r="H1120" i="1"/>
  <c r="H1152" i="1"/>
  <c r="H1168" i="1"/>
  <c r="H1184" i="1"/>
  <c r="H1208" i="1"/>
  <c r="H1216" i="1"/>
  <c r="H1248" i="1"/>
  <c r="H1264" i="1"/>
  <c r="H1272" i="1"/>
  <c r="H1280" i="1"/>
  <c r="H1296" i="1"/>
  <c r="H1312" i="1"/>
  <c r="H1320" i="1"/>
  <c r="H1328" i="1"/>
  <c r="H1360" i="1"/>
  <c r="H1376" i="1"/>
  <c r="H1392" i="1"/>
  <c r="H1416" i="1"/>
  <c r="H1424" i="1"/>
  <c r="H1432" i="1"/>
  <c r="H1448" i="1"/>
  <c r="H1456" i="1"/>
  <c r="H1464" i="1"/>
  <c r="H1480" i="1"/>
  <c r="H1488" i="1"/>
  <c r="H1496" i="1"/>
  <c r="H1528" i="1"/>
  <c r="H1552" i="1"/>
  <c r="H1568" i="1"/>
  <c r="H1576" i="1"/>
  <c r="H1592" i="1"/>
  <c r="H1600" i="1"/>
  <c r="H1608" i="1"/>
  <c r="H1624" i="1"/>
  <c r="H1632" i="1"/>
  <c r="H1640" i="1"/>
  <c r="H1656" i="1"/>
  <c r="H1688" i="1"/>
  <c r="H1696" i="1"/>
  <c r="H1704" i="1"/>
  <c r="H1720" i="1"/>
  <c r="H1736" i="1"/>
  <c r="H1744" i="1"/>
  <c r="H1760" i="1"/>
  <c r="H1768" i="1"/>
  <c r="H1792" i="1"/>
  <c r="H1800" i="1"/>
  <c r="H1808" i="1"/>
  <c r="H1816" i="1"/>
  <c r="H1832" i="1"/>
  <c r="H1840" i="1"/>
  <c r="H1856" i="1"/>
  <c r="H1872" i="1"/>
  <c r="H1880" i="1"/>
  <c r="H1904" i="1"/>
  <c r="H1920" i="1"/>
  <c r="H1936" i="1"/>
  <c r="H1944" i="1"/>
  <c r="H1952" i="1"/>
  <c r="H1992" i="1"/>
  <c r="H2000" i="1"/>
  <c r="H2008" i="1"/>
  <c r="H2016" i="1"/>
  <c r="H2024" i="1"/>
  <c r="H2032" i="1"/>
  <c r="H171" i="1"/>
  <c r="H179" i="1"/>
  <c r="H187" i="1"/>
  <c r="H195" i="1"/>
  <c r="H203" i="1"/>
  <c r="H211" i="1"/>
  <c r="H219" i="1"/>
  <c r="H227" i="1"/>
  <c r="H235" i="1"/>
  <c r="H243" i="1"/>
  <c r="H251" i="1"/>
  <c r="H275" i="1"/>
  <c r="H283" i="1"/>
  <c r="H291" i="1"/>
  <c r="H299" i="1"/>
  <c r="H307" i="1"/>
  <c r="H323" i="1"/>
  <c r="H355" i="1"/>
  <c r="H363" i="1"/>
  <c r="H371" i="1"/>
  <c r="H379" i="1"/>
  <c r="H387" i="1"/>
  <c r="H403" i="1"/>
  <c r="H411" i="1"/>
  <c r="H427" i="1"/>
  <c r="H435" i="1"/>
  <c r="H443" i="1"/>
  <c r="H451" i="1"/>
  <c r="H467" i="1"/>
  <c r="H475" i="1"/>
  <c r="H483" i="1"/>
  <c r="H491" i="1"/>
  <c r="H499" i="1"/>
  <c r="H507" i="1"/>
  <c r="H515" i="1"/>
  <c r="H531" i="1"/>
  <c r="H539" i="1"/>
  <c r="H555" i="1"/>
  <c r="H563" i="1"/>
  <c r="H571" i="1"/>
  <c r="H579" i="1"/>
  <c r="H587" i="1"/>
  <c r="H595" i="1"/>
  <c r="H619" i="1"/>
  <c r="H627" i="1"/>
  <c r="H643" i="1"/>
  <c r="H659" i="1"/>
  <c r="H675" i="1"/>
  <c r="H683" i="1"/>
  <c r="H699" i="1"/>
  <c r="H707" i="1"/>
  <c r="H723" i="1"/>
  <c r="H731" i="1"/>
  <c r="H747" i="1"/>
  <c r="H763" i="1"/>
  <c r="H771" i="1"/>
  <c r="H779" i="1"/>
  <c r="H787" i="1"/>
  <c r="H795" i="1"/>
  <c r="H811" i="1"/>
  <c r="H819" i="1"/>
  <c r="H827" i="1"/>
  <c r="H835" i="1"/>
  <c r="H843" i="1"/>
  <c r="H851" i="1"/>
  <c r="H859" i="1"/>
  <c r="H875" i="1"/>
  <c r="H883" i="1"/>
  <c r="H907" i="1"/>
  <c r="H915" i="1"/>
  <c r="H923" i="1"/>
  <c r="H939" i="1"/>
  <c r="H947" i="1"/>
  <c r="H987" i="1"/>
  <c r="H1003" i="1"/>
  <c r="H1011" i="1"/>
  <c r="H1027" i="1"/>
  <c r="H1083" i="1"/>
  <c r="H1115" i="1"/>
  <c r="H1155" i="1"/>
  <c r="H1179" i="1"/>
  <c r="H1187" i="1"/>
  <c r="H1203" i="1"/>
  <c r="H1235" i="1"/>
  <c r="H1243" i="1"/>
  <c r="H1259" i="1"/>
  <c r="H1267" i="1"/>
  <c r="H1315" i="1"/>
  <c r="H1323" i="1"/>
  <c r="H1339" i="1"/>
  <c r="H1355" i="1"/>
  <c r="H1363" i="1"/>
  <c r="H1379" i="1"/>
  <c r="H1395" i="1"/>
  <c r="H1403" i="1"/>
  <c r="H1411" i="1"/>
  <c r="H1427" i="1"/>
  <c r="H1435" i="1"/>
  <c r="H1451" i="1"/>
  <c r="H1459" i="1"/>
  <c r="H1483" i="1"/>
  <c r="H1507" i="1"/>
  <c r="H1515" i="1"/>
  <c r="H1523" i="1"/>
  <c r="H1555" i="1"/>
  <c r="H1563" i="1"/>
  <c r="H1571" i="1"/>
  <c r="H1587" i="1"/>
  <c r="H1595" i="1"/>
  <c r="H1611" i="1"/>
  <c r="H1627" i="1"/>
  <c r="H1651" i="1"/>
  <c r="H1659" i="1"/>
  <c r="H1683" i="1"/>
  <c r="H1691" i="1"/>
  <c r="H1715" i="1"/>
  <c r="H1723" i="1"/>
  <c r="H1747" i="1"/>
  <c r="H1763" i="1"/>
  <c r="H1771" i="1"/>
  <c r="H1779" i="1"/>
  <c r="H1795" i="1"/>
  <c r="H1803" i="1"/>
  <c r="H1811" i="1"/>
  <c r="H1819" i="1"/>
  <c r="H1827" i="1"/>
  <c r="H1835" i="1"/>
  <c r="H1851" i="1"/>
  <c r="H1859" i="1"/>
  <c r="H1867" i="1"/>
  <c r="H1875" i="1"/>
  <c r="H1891" i="1"/>
  <c r="H1899" i="1"/>
  <c r="H1907" i="1"/>
  <c r="H1915" i="1"/>
  <c r="H1923" i="1"/>
  <c r="H1931" i="1"/>
  <c r="H1939" i="1"/>
  <c r="H1947" i="1"/>
  <c r="H1971" i="1"/>
  <c r="H1979" i="1"/>
  <c r="H1987" i="1"/>
  <c r="H1995" i="1"/>
  <c r="H2011" i="1"/>
  <c r="H2019" i="1"/>
  <c r="H2027" i="1"/>
  <c r="H2083" i="1"/>
  <c r="H2099" i="1"/>
  <c r="H2107" i="1"/>
  <c r="H2115" i="1"/>
  <c r="H2131" i="1"/>
  <c r="H2147" i="1"/>
  <c r="H2155" i="1"/>
  <c r="H2163" i="1"/>
  <c r="H2171" i="1"/>
  <c r="H2179" i="1"/>
  <c r="H2195" i="1"/>
  <c r="H2219" i="1"/>
  <c r="H2235" i="1"/>
  <c r="H2259" i="1"/>
  <c r="H2275" i="1"/>
  <c r="H2283" i="1"/>
  <c r="H2307" i="1"/>
  <c r="H220" i="1"/>
  <c r="H228" i="1"/>
  <c r="H236" i="1"/>
  <c r="H244" i="1"/>
  <c r="H252" i="1"/>
  <c r="H260" i="1"/>
  <c r="H268" i="1"/>
  <c r="H276" i="1"/>
  <c r="H292" i="1"/>
  <c r="H300" i="1"/>
  <c r="H308" i="1"/>
  <c r="H316" i="1"/>
  <c r="H324" i="1"/>
  <c r="H340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24" i="1"/>
  <c r="H532" i="1"/>
  <c r="H540" i="1"/>
  <c r="H548" i="1"/>
  <c r="H556" i="1"/>
  <c r="H564" i="1"/>
  <c r="H572" i="1"/>
  <c r="H596" i="1"/>
  <c r="H604" i="1"/>
  <c r="H620" i="1"/>
  <c r="H628" i="1"/>
  <c r="H644" i="1"/>
  <c r="H652" i="1"/>
  <c r="H660" i="1"/>
  <c r="H684" i="1"/>
  <c r="H700" i="1"/>
  <c r="H708" i="1"/>
  <c r="H724" i="1"/>
  <c r="H732" i="1"/>
  <c r="H740" i="1"/>
  <c r="H748" i="1"/>
  <c r="H756" i="1"/>
  <c r="H764" i="1"/>
  <c r="H772" i="1"/>
  <c r="H780" i="1"/>
  <c r="H788" i="1"/>
  <c r="H796" i="1"/>
  <c r="H836" i="1"/>
  <c r="H844" i="1"/>
  <c r="H852" i="1"/>
  <c r="H876" i="1"/>
  <c r="H884" i="1"/>
  <c r="H892" i="1"/>
  <c r="H900" i="1"/>
  <c r="H916" i="1"/>
  <c r="H940" i="1"/>
  <c r="H948" i="1"/>
  <c r="H956" i="1"/>
  <c r="H964" i="1"/>
  <c r="H972" i="1"/>
  <c r="H980" i="1"/>
  <c r="H988" i="1"/>
  <c r="H996" i="1"/>
  <c r="H1028" i="1"/>
  <c r="H1044" i="1"/>
  <c r="H1052" i="1"/>
  <c r="H1060" i="1"/>
  <c r="H1084" i="1"/>
  <c r="H1108" i="1"/>
  <c r="H1132" i="1"/>
  <c r="H1148" i="1"/>
  <c r="H1172" i="1"/>
  <c r="H1244" i="1"/>
  <c r="H1252" i="1"/>
  <c r="H1260" i="1"/>
  <c r="H1292" i="1"/>
  <c r="H1316" i="1"/>
  <c r="H1364" i="1"/>
  <c r="H1372" i="1"/>
  <c r="H1396" i="1"/>
  <c r="H1412" i="1"/>
  <c r="H1420" i="1"/>
  <c r="H1468" i="1"/>
  <c r="H1476" i="1"/>
  <c r="H1484" i="1"/>
  <c r="H1524" i="1"/>
  <c r="H1548" i="1"/>
  <c r="H1556" i="1"/>
  <c r="H1588" i="1"/>
  <c r="H1596" i="1"/>
  <c r="H1612" i="1"/>
  <c r="H1620" i="1"/>
  <c r="H1644" i="1"/>
  <c r="H1652" i="1"/>
  <c r="H1676" i="1"/>
  <c r="H1684" i="1"/>
  <c r="H1716" i="1"/>
  <c r="H1724" i="1"/>
  <c r="H1732" i="1"/>
  <c r="H1740" i="1"/>
  <c r="H1772" i="1"/>
  <c r="H1788" i="1"/>
  <c r="H1796" i="1"/>
  <c r="H1804" i="1"/>
  <c r="H1812" i="1"/>
  <c r="H1820" i="1"/>
  <c r="H1828" i="1"/>
  <c r="H1836" i="1"/>
  <c r="H1852" i="1"/>
  <c r="H1860" i="1"/>
  <c r="H1868" i="1"/>
  <c r="H1892" i="1"/>
  <c r="H1924" i="1"/>
  <c r="H1940" i="1"/>
  <c r="H1948" i="1"/>
  <c r="H1972" i="1"/>
  <c r="H1980" i="1"/>
  <c r="H1988" i="1"/>
  <c r="H2004" i="1"/>
  <c r="H2020" i="1"/>
  <c r="H2036" i="1"/>
  <c r="H2052" i="1"/>
  <c r="H2060" i="1"/>
  <c r="H2068" i="1"/>
  <c r="H2092" i="1"/>
  <c r="H2108" i="1"/>
  <c r="H2116" i="1"/>
  <c r="H2148" i="1"/>
  <c r="H2156" i="1"/>
  <c r="H2180" i="1"/>
  <c r="H2188" i="1"/>
  <c r="H2196" i="1"/>
  <c r="H2204" i="1"/>
  <c r="H2220" i="1"/>
  <c r="H2236" i="1"/>
  <c r="H2252" i="1"/>
  <c r="H2268" i="1"/>
  <c r="H2276" i="1"/>
  <c r="H2284" i="1"/>
  <c r="H2292" i="1"/>
  <c r="H2300" i="1"/>
  <c r="H2316" i="1"/>
  <c r="H2332" i="1"/>
  <c r="H2340" i="1"/>
  <c r="H2372" i="1"/>
  <c r="H2388" i="1"/>
  <c r="H2396" i="1"/>
  <c r="H2404" i="1"/>
  <c r="H2420" i="1"/>
  <c r="H2436" i="1"/>
  <c r="H2444" i="1"/>
  <c r="H2452" i="1"/>
  <c r="H2460" i="1"/>
  <c r="H1965" i="1"/>
  <c r="H1989" i="1"/>
  <c r="H2021" i="1"/>
  <c r="H2029" i="1"/>
  <c r="H2037" i="1"/>
  <c r="H2045" i="1"/>
  <c r="H2323" i="1"/>
  <c r="H2331" i="1"/>
  <c r="H2347" i="1"/>
  <c r="H2355" i="1"/>
  <c r="H2379" i="1"/>
  <c r="H2403" i="1"/>
  <c r="H2411" i="1"/>
  <c r="H2435" i="1"/>
  <c r="H2443" i="1"/>
  <c r="H2451" i="1"/>
  <c r="H2459" i="1"/>
  <c r="H2467" i="1"/>
  <c r="H2475" i="1"/>
  <c r="H2483" i="1"/>
  <c r="H2491" i="1"/>
  <c r="H2499" i="1"/>
  <c r="H2515" i="1"/>
  <c r="H2523" i="1"/>
  <c r="H2531" i="1"/>
  <c r="H2539" i="1"/>
  <c r="H2555" i="1"/>
  <c r="H2579" i="1"/>
  <c r="H2595" i="1"/>
  <c r="H2603" i="1"/>
  <c r="H2611" i="1"/>
  <c r="H2619" i="1"/>
  <c r="H2635" i="1"/>
  <c r="H2643" i="1"/>
  <c r="H2651" i="1"/>
  <c r="H2659" i="1"/>
  <c r="H2675" i="1"/>
  <c r="H2683" i="1"/>
  <c r="H2691" i="1"/>
  <c r="H2699" i="1"/>
  <c r="H2715" i="1"/>
  <c r="H2723" i="1"/>
  <c r="H2739" i="1"/>
  <c r="H2747" i="1"/>
  <c r="H2771" i="1"/>
  <c r="H2795" i="1"/>
  <c r="H2803" i="1"/>
  <c r="H2827" i="1"/>
  <c r="H2835" i="1"/>
  <c r="H2843" i="1"/>
  <c r="H2851" i="1"/>
  <c r="H2867" i="1"/>
  <c r="H2875" i="1"/>
  <c r="H2883" i="1"/>
  <c r="H2891" i="1"/>
  <c r="H2899" i="1"/>
  <c r="H2907" i="1"/>
  <c r="H2915" i="1"/>
  <c r="H2931" i="1"/>
  <c r="H2939" i="1"/>
  <c r="H2947" i="1"/>
  <c r="H2963" i="1"/>
  <c r="H2971" i="1"/>
  <c r="H2979" i="1"/>
  <c r="H2987" i="1"/>
  <c r="H2995" i="1"/>
  <c r="H3027" i="1"/>
  <c r="H3035" i="1"/>
  <c r="H3059" i="1"/>
  <c r="H3075" i="1"/>
  <c r="H3083" i="1"/>
  <c r="H3115" i="1"/>
  <c r="H3123" i="1"/>
  <c r="H3131" i="1"/>
  <c r="H3139" i="1"/>
  <c r="H3147" i="1"/>
  <c r="H3155" i="1"/>
  <c r="H3163" i="1"/>
  <c r="H3171" i="1"/>
  <c r="H3187" i="1"/>
  <c r="H3195" i="1"/>
  <c r="H3203" i="1"/>
  <c r="H2476" i="1"/>
  <c r="H2484" i="1"/>
  <c r="H2492" i="1"/>
  <c r="H2524" i="1"/>
  <c r="H2556" i="1"/>
  <c r="H2572" i="1"/>
  <c r="H2580" i="1"/>
  <c r="H2588" i="1"/>
  <c r="H2604" i="1"/>
  <c r="H2612" i="1"/>
  <c r="H2620" i="1"/>
  <c r="H2628" i="1"/>
  <c r="H2644" i="1"/>
  <c r="H2652" i="1"/>
  <c r="H2660" i="1"/>
  <c r="H2668" i="1"/>
  <c r="H2684" i="1"/>
  <c r="H2692" i="1"/>
  <c r="H2700" i="1"/>
  <c r="H2708" i="1"/>
  <c r="H2716" i="1"/>
  <c r="H2732" i="1"/>
  <c r="H2740" i="1"/>
  <c r="H2748" i="1"/>
  <c r="H2756" i="1"/>
  <c r="H2772" i="1"/>
  <c r="H2780" i="1"/>
  <c r="H2788" i="1"/>
  <c r="H2796" i="1"/>
  <c r="H2804" i="1"/>
  <c r="H2812" i="1"/>
  <c r="H2828" i="1"/>
  <c r="H2836" i="1"/>
  <c r="H2844" i="1"/>
  <c r="H2852" i="1"/>
  <c r="H2860" i="1"/>
  <c r="H2868" i="1"/>
  <c r="H2876" i="1"/>
  <c r="H2884" i="1"/>
  <c r="H2892" i="1"/>
  <c r="H2900" i="1"/>
  <c r="H2908" i="1"/>
  <c r="H2916" i="1"/>
  <c r="H2924" i="1"/>
  <c r="H2932" i="1"/>
  <c r="H2948" i="1"/>
  <c r="H2956" i="1"/>
  <c r="H2964" i="1"/>
  <c r="H2972" i="1"/>
  <c r="H2980" i="1"/>
  <c r="H2988" i="1"/>
  <c r="H2996" i="1"/>
  <c r="H3004" i="1"/>
  <c r="H3012" i="1"/>
  <c r="H3020" i="1"/>
  <c r="H3052" i="1"/>
  <c r="H3060" i="1"/>
  <c r="H3068" i="1"/>
  <c r="H3092" i="1"/>
  <c r="H3108" i="1"/>
  <c r="H3116" i="1"/>
  <c r="H3124" i="1"/>
  <c r="H3132" i="1"/>
  <c r="H3148" i="1"/>
  <c r="H3156" i="1"/>
  <c r="H3164" i="1"/>
  <c r="H3172" i="1"/>
  <c r="H3180" i="1"/>
  <c r="H3188" i="1"/>
  <c r="H3196" i="1"/>
  <c r="H2053" i="1"/>
  <c r="H2061" i="1"/>
  <c r="H2069" i="1"/>
  <c r="H2085" i="1"/>
  <c r="H2093" i="1"/>
  <c r="H2125" i="1"/>
  <c r="H2141" i="1"/>
  <c r="H2165" i="1"/>
  <c r="H2173" i="1"/>
  <c r="H2197" i="1"/>
  <c r="H2205" i="1"/>
  <c r="H2221" i="1"/>
  <c r="H2229" i="1"/>
  <c r="H2237" i="1"/>
  <c r="H2269" i="1"/>
  <c r="H2277" i="1"/>
  <c r="H2285" i="1"/>
  <c r="H2301" i="1"/>
  <c r="H2309" i="1"/>
  <c r="H2317" i="1"/>
  <c r="H2325" i="1"/>
  <c r="H2333" i="1"/>
  <c r="H2365" i="1"/>
  <c r="H2373" i="1"/>
  <c r="H2381" i="1"/>
  <c r="H2397" i="1"/>
  <c r="H2405" i="1"/>
  <c r="H2421" i="1"/>
  <c r="H2429" i="1"/>
  <c r="H2437" i="1"/>
  <c r="H2461" i="1"/>
  <c r="H2039" i="1"/>
  <c r="H2047" i="1"/>
  <c r="H2063" i="1"/>
  <c r="H2071" i="1"/>
  <c r="H2079" i="1"/>
  <c r="H2087" i="1"/>
  <c r="H2111" i="1"/>
  <c r="H2127" i="1"/>
  <c r="H2135" i="1"/>
  <c r="H2151" i="1"/>
  <c r="H2159" i="1"/>
  <c r="H2167" i="1"/>
  <c r="H2191" i="1"/>
  <c r="H2199" i="1"/>
  <c r="H2207" i="1"/>
  <c r="H2247" i="1"/>
  <c r="H2255" i="1"/>
  <c r="H2271" i="1"/>
  <c r="H2279" i="1"/>
  <c r="H2287" i="1"/>
  <c r="H2295" i="1"/>
  <c r="H2327" i="1"/>
  <c r="H2335" i="1"/>
  <c r="H2343" i="1"/>
  <c r="H2351" i="1"/>
  <c r="H2383" i="1"/>
  <c r="H2399" i="1"/>
  <c r="H2415" i="1"/>
  <c r="H2423" i="1"/>
  <c r="H2431" i="1"/>
  <c r="H2455" i="1"/>
  <c r="H2463" i="1"/>
  <c r="H2471" i="1"/>
  <c r="H2479" i="1"/>
  <c r="H2495" i="1"/>
  <c r="H2503" i="1"/>
  <c r="H2511" i="1"/>
  <c r="H2527" i="1"/>
  <c r="H2543" i="1"/>
  <c r="H2551" i="1"/>
  <c r="H2559" i="1"/>
  <c r="H2599" i="1"/>
  <c r="H2607" i="1"/>
  <c r="H2615" i="1"/>
  <c r="H2623" i="1"/>
  <c r="H2631" i="1"/>
  <c r="H2639" i="1"/>
  <c r="H2647" i="1"/>
  <c r="H2655" i="1"/>
  <c r="H2663" i="1"/>
  <c r="H2671" i="1"/>
  <c r="H2679" i="1"/>
  <c r="H2687" i="1"/>
  <c r="H2695" i="1"/>
  <c r="H2711" i="1"/>
  <c r="H2719" i="1"/>
  <c r="H2727" i="1"/>
  <c r="H2735" i="1"/>
  <c r="H2743" i="1"/>
  <c r="H2751" i="1"/>
  <c r="H2759" i="1"/>
  <c r="H2767" i="1"/>
  <c r="H2791" i="1"/>
  <c r="H2807" i="1"/>
  <c r="H2815" i="1"/>
  <c r="H2040" i="1"/>
  <c r="H2048" i="1"/>
  <c r="H2080" i="1"/>
  <c r="H2112" i="1"/>
  <c r="H2120" i="1"/>
  <c r="H2128" i="1"/>
  <c r="H2136" i="1"/>
  <c r="H2168" i="1"/>
  <c r="H2184" i="1"/>
  <c r="H2200" i="1"/>
  <c r="H2216" i="1"/>
  <c r="H2224" i="1"/>
  <c r="H2256" i="1"/>
  <c r="H2264" i="1"/>
  <c r="H2272" i="1"/>
  <c r="H2280" i="1"/>
  <c r="H2288" i="1"/>
  <c r="H2296" i="1"/>
  <c r="H2304" i="1"/>
  <c r="H2312" i="1"/>
  <c r="H2320" i="1"/>
  <c r="H2328" i="1"/>
  <c r="H2376" i="1"/>
  <c r="H2400" i="1"/>
  <c r="H2416" i="1"/>
  <c r="H2424" i="1"/>
  <c r="H2448" i="1"/>
  <c r="H2480" i="1"/>
  <c r="H2529" i="1"/>
  <c r="H2577" i="1"/>
  <c r="H2585" i="1"/>
  <c r="H2593" i="1"/>
  <c r="H2617" i="1"/>
  <c r="H2625" i="1"/>
  <c r="H2665" i="1"/>
  <c r="H2477" i="1"/>
  <c r="H2485" i="1"/>
  <c r="H2509" i="1"/>
  <c r="H2517" i="1"/>
  <c r="H2589" i="1"/>
  <c r="H2597" i="1"/>
  <c r="H2605" i="1"/>
  <c r="H2621" i="1"/>
  <c r="H2637" i="1"/>
  <c r="H2645" i="1"/>
  <c r="H2653" i="1"/>
  <c r="H2661" i="1"/>
  <c r="H2677" i="1"/>
  <c r="H2685" i="1"/>
  <c r="H2693" i="1"/>
  <c r="H2701" i="1"/>
  <c r="H2709" i="1"/>
  <c r="H2717" i="1"/>
  <c r="H2725" i="1"/>
  <c r="H2733" i="1"/>
  <c r="H2741" i="1"/>
  <c r="H2749" i="1"/>
  <c r="H2765" i="1"/>
  <c r="H2773" i="1"/>
  <c r="H2488" i="1"/>
  <c r="H2496" i="1"/>
  <c r="H2512" i="1"/>
  <c r="H2520" i="1"/>
  <c r="H2536" i="1"/>
  <c r="H2544" i="1"/>
  <c r="H2552" i="1"/>
  <c r="H2560" i="1"/>
  <c r="H2568" i="1"/>
  <c r="H2576" i="1"/>
  <c r="H2584" i="1"/>
  <c r="H2600" i="1"/>
  <c r="H2608" i="1"/>
  <c r="H2616" i="1"/>
  <c r="H2624" i="1"/>
  <c r="H2640" i="1"/>
  <c r="H2648" i="1"/>
  <c r="H2656" i="1"/>
  <c r="H2664" i="1"/>
  <c r="H2680" i="1"/>
  <c r="H2696" i="1"/>
  <c r="H2704" i="1"/>
  <c r="H2728" i="1"/>
  <c r="H2736" i="1"/>
  <c r="H2752" i="1"/>
  <c r="H2776" i="1"/>
  <c r="H2792" i="1"/>
  <c r="H2800" i="1"/>
  <c r="H2816" i="1"/>
  <c r="H2824" i="1"/>
  <c r="H2832" i="1"/>
  <c r="H2840" i="1"/>
  <c r="H2848" i="1"/>
  <c r="H2856" i="1"/>
  <c r="H2864" i="1"/>
  <c r="H2880" i="1"/>
  <c r="H2888" i="1"/>
  <c r="H2896" i="1"/>
  <c r="H2904" i="1"/>
  <c r="H2912" i="1"/>
  <c r="H2920" i="1"/>
  <c r="H2928" i="1"/>
  <c r="H2936" i="1"/>
  <c r="H2944" i="1"/>
  <c r="H2952" i="1"/>
  <c r="H2968" i="1"/>
  <c r="H2976" i="1"/>
  <c r="H2984" i="1"/>
  <c r="H2992" i="1"/>
  <c r="H3000" i="1"/>
  <c r="H3008" i="1"/>
  <c r="H3016" i="1"/>
  <c r="H3024" i="1"/>
  <c r="H3032" i="1"/>
  <c r="H3048" i="1"/>
  <c r="H3056" i="1"/>
  <c r="H3080" i="1"/>
  <c r="H3096" i="1"/>
  <c r="H3104" i="1"/>
  <c r="H3120" i="1"/>
  <c r="H3128" i="1"/>
  <c r="H3136" i="1"/>
  <c r="H3144" i="1"/>
  <c r="H3152" i="1"/>
  <c r="H3168" i="1"/>
  <c r="H3176" i="1"/>
  <c r="H3192" i="1"/>
  <c r="H3200" i="1"/>
  <c r="H2673" i="1"/>
  <c r="H2681" i="1"/>
  <c r="H2697" i="1"/>
  <c r="H2705" i="1"/>
  <c r="H2713" i="1"/>
  <c r="H2721" i="1"/>
  <c r="H2729" i="1"/>
  <c r="H2737" i="1"/>
  <c r="H2745" i="1"/>
  <c r="H2753" i="1"/>
  <c r="H2769" i="1"/>
  <c r="H2793" i="1"/>
  <c r="H2825" i="1"/>
  <c r="H2833" i="1"/>
  <c r="H2841" i="1"/>
  <c r="H2849" i="1"/>
  <c r="H2857" i="1"/>
  <c r="H2865" i="1"/>
  <c r="H2873" i="1"/>
  <c r="H2881" i="1"/>
  <c r="H2889" i="1"/>
  <c r="H2897" i="1"/>
  <c r="H2905" i="1"/>
  <c r="H2913" i="1"/>
  <c r="H2921" i="1"/>
  <c r="H2929" i="1"/>
  <c r="H2937" i="1"/>
  <c r="H2945" i="1"/>
  <c r="H2961" i="1"/>
  <c r="H2977" i="1"/>
  <c r="H2985" i="1"/>
  <c r="H2993" i="1"/>
  <c r="H3001" i="1"/>
  <c r="H3009" i="1"/>
  <c r="H3017" i="1"/>
  <c r="H3025" i="1"/>
  <c r="H3033" i="1"/>
  <c r="H3041" i="1"/>
  <c r="H3049" i="1"/>
  <c r="H3073" i="1"/>
  <c r="H3081" i="1"/>
  <c r="H3097" i="1"/>
  <c r="H3121" i="1"/>
  <c r="H3137" i="1"/>
  <c r="H3153" i="1"/>
  <c r="H3161" i="1"/>
  <c r="H3185" i="1"/>
  <c r="H2781" i="1"/>
  <c r="H2789" i="1"/>
  <c r="H2805" i="1"/>
  <c r="H2813" i="1"/>
  <c r="H2829" i="1"/>
  <c r="H2837" i="1"/>
  <c r="H2845" i="1"/>
  <c r="H2853" i="1"/>
  <c r="H2869" i="1"/>
  <c r="H2877" i="1"/>
  <c r="H2885" i="1"/>
  <c r="H2893" i="1"/>
  <c r="H2901" i="1"/>
  <c r="H2909" i="1"/>
  <c r="H2933" i="1"/>
  <c r="H2941" i="1"/>
  <c r="H2949" i="1"/>
  <c r="H2957" i="1"/>
  <c r="H2965" i="1"/>
  <c r="H2973" i="1"/>
  <c r="H2981" i="1"/>
  <c r="H2989" i="1"/>
  <c r="H2997" i="1"/>
  <c r="H3013" i="1"/>
  <c r="H3021" i="1"/>
  <c r="H3029" i="1"/>
  <c r="H3037" i="1"/>
  <c r="H3069" i="1"/>
  <c r="H3085" i="1"/>
  <c r="H3093" i="1"/>
  <c r="H3101" i="1"/>
  <c r="H3109" i="1"/>
  <c r="H3117" i="1"/>
  <c r="H3125" i="1"/>
  <c r="H3133" i="1"/>
  <c r="H3149" i="1"/>
  <c r="H3157" i="1"/>
  <c r="H3165" i="1"/>
  <c r="H3181" i="1"/>
  <c r="H3197" i="1"/>
  <c r="H2823" i="1"/>
  <c r="H2831" i="1"/>
  <c r="H2839" i="1"/>
  <c r="H2847" i="1"/>
  <c r="H2855" i="1"/>
  <c r="H2863" i="1"/>
  <c r="H2871" i="1"/>
  <c r="H2879" i="1"/>
  <c r="H2887" i="1"/>
  <c r="H2895" i="1"/>
  <c r="H2903" i="1"/>
  <c r="H2911" i="1"/>
  <c r="H2919" i="1"/>
  <c r="H2927" i="1"/>
  <c r="H2935" i="1"/>
  <c r="H2943" i="1"/>
  <c r="H2951" i="1"/>
  <c r="H2959" i="1"/>
  <c r="H2967" i="1"/>
  <c r="H2975" i="1"/>
  <c r="H2983" i="1"/>
  <c r="H2999" i="1"/>
  <c r="H3007" i="1"/>
  <c r="H3015" i="1"/>
  <c r="H3023" i="1"/>
  <c r="H3055" i="1"/>
  <c r="H3071" i="1"/>
  <c r="H3095" i="1"/>
  <c r="H3119" i="1"/>
  <c r="H3127" i="1"/>
  <c r="H3135" i="1"/>
  <c r="H3143" i="1"/>
  <c r="H3151" i="1"/>
  <c r="H3159" i="1"/>
  <c r="H3167" i="1"/>
  <c r="H3175" i="1"/>
  <c r="H3191" i="1"/>
  <c r="H3199" i="1"/>
  <c r="H3193" i="1"/>
  <c r="H3201" i="1"/>
  <c r="H2778" i="1"/>
  <c r="H2794" i="1"/>
  <c r="H2802" i="1"/>
  <c r="H2810" i="1"/>
  <c r="H2826" i="1"/>
  <c r="H2842" i="1"/>
  <c r="H2850" i="1"/>
  <c r="H2858" i="1"/>
  <c r="H2874" i="1"/>
  <c r="H2882" i="1"/>
  <c r="H2890" i="1"/>
  <c r="H2898" i="1"/>
  <c r="H2906" i="1"/>
  <c r="H2914" i="1"/>
  <c r="H2922" i="1"/>
  <c r="H2930" i="1"/>
  <c r="H2938" i="1"/>
  <c r="H2954" i="1"/>
  <c r="H2962" i="1"/>
  <c r="H2970" i="1"/>
  <c r="H2978" i="1"/>
  <c r="H2986" i="1"/>
  <c r="H2994" i="1"/>
  <c r="H3002" i="1"/>
  <c r="H3010" i="1"/>
  <c r="H3018" i="1"/>
  <c r="H3026" i="1"/>
  <c r="H3034" i="1"/>
  <c r="H3074" i="1"/>
  <c r="H3090" i="1"/>
  <c r="H3106" i="1"/>
  <c r="H3114" i="1"/>
  <c r="H3122" i="1"/>
  <c r="H3130" i="1"/>
  <c r="H3138" i="1"/>
  <c r="H3154" i="1"/>
  <c r="H3162" i="1"/>
  <c r="H3178" i="1"/>
  <c r="H3186" i="1"/>
  <c r="H3194" i="1"/>
  <c r="H3202" i="1"/>
  <c r="F1227" i="3"/>
  <c r="F1226" i="3"/>
  <c r="H3205" i="1" l="1"/>
  <c r="H3206" i="1" s="1"/>
  <c r="F1228" i="3"/>
  <c r="H320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<sst xmlns="http://schemas.openxmlformats.org/spreadsheetml/2006/main" count="11170" uniqueCount="6233">
  <si>
    <t>No</t>
  </si>
  <si>
    <t>Nama</t>
  </si>
  <si>
    <t>Hasjimy Masidin</t>
  </si>
  <si>
    <t>Haroetomo</t>
  </si>
  <si>
    <t>Prijono</t>
  </si>
  <si>
    <t>Rachmad PH.</t>
  </si>
  <si>
    <t>Soeminto</t>
  </si>
  <si>
    <t>Soebardi</t>
  </si>
  <si>
    <t>Soeprapto</t>
  </si>
  <si>
    <t>Iskandar Hidayat</t>
  </si>
  <si>
    <t>Djamhari</t>
  </si>
  <si>
    <t>Suharsana</t>
  </si>
  <si>
    <t>MARTOYO</t>
  </si>
  <si>
    <t>Soepono</t>
  </si>
  <si>
    <t>Soeta'at</t>
  </si>
  <si>
    <t>Aryono Prihandito</t>
  </si>
  <si>
    <t>Soegiharto</t>
  </si>
  <si>
    <t>Slamet Basuki</t>
  </si>
  <si>
    <t>Sobar Sutisna</t>
  </si>
  <si>
    <t>Hendro Tjahjono</t>
  </si>
  <si>
    <t>Sri Narni</t>
  </si>
  <si>
    <t>Djawahir</t>
  </si>
  <si>
    <t>Hadiman</t>
  </si>
  <si>
    <t>Tono Saksono</t>
  </si>
  <si>
    <t>Yohannes</t>
  </si>
  <si>
    <t>Nurhadi Kusmantoro</t>
  </si>
  <si>
    <t>Agus Santosa</t>
  </si>
  <si>
    <t>Dopang Tambunan</t>
  </si>
  <si>
    <t>Bambang Yuwono</t>
  </si>
  <si>
    <t>Bambang Hariyanto</t>
  </si>
  <si>
    <t>Soechemi</t>
  </si>
  <si>
    <t>Sudiro</t>
  </si>
  <si>
    <t>Syamsul Hadi</t>
  </si>
  <si>
    <t>Joko Santoso</t>
  </si>
  <si>
    <t>Hamdan</t>
  </si>
  <si>
    <t>DM.Bachrumsyah</t>
  </si>
  <si>
    <t>Fuad Rummy</t>
  </si>
  <si>
    <t>Sutomo Kahar</t>
  </si>
  <si>
    <t>Haryono</t>
  </si>
  <si>
    <t>Edhi Suryono</t>
  </si>
  <si>
    <t>Warsito</t>
  </si>
  <si>
    <t>RE. Diady Sidharta</t>
  </si>
  <si>
    <t>M.Nazir</t>
  </si>
  <si>
    <t>Pradono Joanes De Deo</t>
  </si>
  <si>
    <t>Sudarmanto</t>
  </si>
  <si>
    <t>Subiyanto</t>
  </si>
  <si>
    <t>Soekirno Prasodjo</t>
  </si>
  <si>
    <t>Hamdi Rachman</t>
  </si>
  <si>
    <t>Cuk Atmajiarso</t>
  </si>
  <si>
    <t>RM. Hardjoko</t>
  </si>
  <si>
    <t>Bambang Supriyadi</t>
  </si>
  <si>
    <t>Suratno</t>
  </si>
  <si>
    <t>Sigid Suwarno</t>
  </si>
  <si>
    <t>B.Hendarbowo</t>
  </si>
  <si>
    <t>Muthohar Heru Santosa</t>
  </si>
  <si>
    <t>Muchtar Luthfie</t>
  </si>
  <si>
    <t>Christine Noegroho Kartini</t>
  </si>
  <si>
    <t>ROF. Witjaksono</t>
  </si>
  <si>
    <t>Djoko Ismono</t>
  </si>
  <si>
    <t>Sobirin Mukhlis</t>
  </si>
  <si>
    <t>Anwar Haryono</t>
  </si>
  <si>
    <t>Djoko Krisnanu</t>
  </si>
  <si>
    <t>Syamsul Bachri</t>
  </si>
  <si>
    <t>Gunawan Wibisono</t>
  </si>
  <si>
    <t>Hartono</t>
  </si>
  <si>
    <t>Dradjat Suhardja</t>
  </si>
  <si>
    <t>Purwoto</t>
  </si>
  <si>
    <t>Kristijono</t>
  </si>
  <si>
    <t>A. Suka Hinarta</t>
  </si>
  <si>
    <t>Sutiadi</t>
  </si>
  <si>
    <t>Setiarso</t>
  </si>
  <si>
    <t>Slamet Soetanto Boedyo Raharso</t>
  </si>
  <si>
    <t>Pudjo Hestu Widyatmanto</t>
  </si>
  <si>
    <t>Pangarso Yudho Utomo</t>
  </si>
  <si>
    <t>Subarman</t>
  </si>
  <si>
    <t>Harmen Batubara</t>
  </si>
  <si>
    <t>Endang A. Dimyatie</t>
  </si>
  <si>
    <t>Agus Priyadi</t>
  </si>
  <si>
    <t>Ibnu Wardono</t>
  </si>
  <si>
    <t>Chaizi Nasocha</t>
  </si>
  <si>
    <t>Dominikhus Bambang Sudarsono</t>
  </si>
  <si>
    <t>Edi Sutopo</t>
  </si>
  <si>
    <t>Sumartono</t>
  </si>
  <si>
    <t>Subaryono</t>
  </si>
  <si>
    <t>Yulianus Sri Handoyo</t>
  </si>
  <si>
    <t>Agus Wardoyo</t>
  </si>
  <si>
    <t>Mochammad Asnawi</t>
  </si>
  <si>
    <t>Mohammad Singgih</t>
  </si>
  <si>
    <t>Danial M.Yunus</t>
  </si>
  <si>
    <t>Sunarto</t>
  </si>
  <si>
    <t>Bawono</t>
  </si>
  <si>
    <t>Edi Martoyo</t>
  </si>
  <si>
    <t>Damianus Hendro Santoso</t>
  </si>
  <si>
    <t>Trijanto Djaka Suprapta</t>
  </si>
  <si>
    <t>Bambang Sulistyono</t>
  </si>
  <si>
    <t>Indartono</t>
  </si>
  <si>
    <t>Janes Tampubolon</t>
  </si>
  <si>
    <t>Firmansyah</t>
  </si>
  <si>
    <t>Untung Rahardjo</t>
  </si>
  <si>
    <t>Tri Pangarso</t>
  </si>
  <si>
    <t>Tjahjo Arianto</t>
  </si>
  <si>
    <t>Istarno</t>
  </si>
  <si>
    <t>Rijanto</t>
  </si>
  <si>
    <t>Fauzy Abusudjak</t>
  </si>
  <si>
    <t>Bambang  Dwi Ari Saputro</t>
  </si>
  <si>
    <t>Tarcisius  Aris Sunantyo</t>
  </si>
  <si>
    <t>Laksito Pararto</t>
  </si>
  <si>
    <t>Andreas Suradji</t>
  </si>
  <si>
    <t>Bambang Wisang Sumartono</t>
  </si>
  <si>
    <t>Bachruddin</t>
  </si>
  <si>
    <t>Sujitno</t>
  </si>
  <si>
    <t>Wisman Hari Ismoyo</t>
  </si>
  <si>
    <t>Bambang Sulistyo</t>
  </si>
  <si>
    <t>Risbadiyono</t>
  </si>
  <si>
    <t>Agus Sarwoko</t>
  </si>
  <si>
    <t>Johan Lukman</t>
  </si>
  <si>
    <t>Soeharno Prapto</t>
  </si>
  <si>
    <t>Iswinardi</t>
  </si>
  <si>
    <t>Budi Pramono</t>
  </si>
  <si>
    <t>Yohanes Budhi Dharmawan</t>
  </si>
  <si>
    <t>Suhartril Janaus</t>
  </si>
  <si>
    <t>Anton Purnomo</t>
  </si>
  <si>
    <t>I Gusti Agung Bagus Mawantara</t>
  </si>
  <si>
    <t>Suluh Riyanto</t>
  </si>
  <si>
    <t>Fikhuddin Soedjono</t>
  </si>
  <si>
    <t>Sri Djoko Santoso</t>
  </si>
  <si>
    <t>Sri Susanto</t>
  </si>
  <si>
    <t>Bambang Eko Haryoko</t>
  </si>
  <si>
    <t>Dwi Hary Dhirmantoro</t>
  </si>
  <si>
    <t>Abdul Rachman Nasution</t>
  </si>
  <si>
    <t>Widarto Widodo</t>
  </si>
  <si>
    <t>Tjiptadi</t>
  </si>
  <si>
    <t>Ronny Theophilus</t>
  </si>
  <si>
    <t>Djoko Sukarjono</t>
  </si>
  <si>
    <t>Zafrollah Nur</t>
  </si>
  <si>
    <t>Agus Sapto Warsono</t>
  </si>
  <si>
    <t>Jimmy Sinaga</t>
  </si>
  <si>
    <t>Joko Purnomo</t>
  </si>
  <si>
    <t>Giantoro Pamungkas</t>
  </si>
  <si>
    <t>Aminuddin Denuang</t>
  </si>
  <si>
    <t>Bambang Riyanto</t>
  </si>
  <si>
    <t>Surjanto</t>
  </si>
  <si>
    <t>Henricus Maria Hery Sukendro</t>
  </si>
  <si>
    <t>Sukrisno</t>
  </si>
  <si>
    <t>Min Adi Prawira</t>
  </si>
  <si>
    <t>Iksiarni Yulianti Srinarti</t>
  </si>
  <si>
    <t>Moch.Sudjatmiko</t>
  </si>
  <si>
    <t>Taufiq</t>
  </si>
  <si>
    <t>Supyan Asauri</t>
  </si>
  <si>
    <t>Yuswanto Dwi Krismastono</t>
  </si>
  <si>
    <t>Djoko Dwi Tjiptanto</t>
  </si>
  <si>
    <t>Prijonggo Djoko Soejono</t>
  </si>
  <si>
    <t xml:space="preserve">Zul Azmy </t>
  </si>
  <si>
    <t>Sri Yusmiati</t>
  </si>
  <si>
    <t>Agus Sulistijo Adi</t>
  </si>
  <si>
    <t>Sutarman Arsjad</t>
  </si>
  <si>
    <t>Njadi Gallio Putra</t>
  </si>
  <si>
    <t>Stefanus Heru Pambudi</t>
  </si>
  <si>
    <t>Parseno</t>
  </si>
  <si>
    <t>Muslim</t>
  </si>
  <si>
    <t>Hamidin</t>
  </si>
  <si>
    <t>Suharno</t>
  </si>
  <si>
    <t>Agus Prajitno</t>
  </si>
  <si>
    <t>Agung Purwono Prijo</t>
  </si>
  <si>
    <t>Sunu Riyadi</t>
  </si>
  <si>
    <t>Arifin Suprijanto</t>
  </si>
  <si>
    <t>Agus Setjanto</t>
  </si>
  <si>
    <t>Gondang Riyadi</t>
  </si>
  <si>
    <t>Juskes</t>
  </si>
  <si>
    <t>Supardiono</t>
  </si>
  <si>
    <t>Prijono Nugroho Djojomartono</t>
  </si>
  <si>
    <t>Irwan Syafri</t>
  </si>
  <si>
    <t>Sujanto</t>
  </si>
  <si>
    <t>Ratmasjar Saib</t>
  </si>
  <si>
    <t>Ambar Adi Nugroho</t>
  </si>
  <si>
    <t>Tri Padmasari</t>
  </si>
  <si>
    <t>JB. Bambang Gumono</t>
  </si>
  <si>
    <t>Edmundus Eddy Hendarto</t>
  </si>
  <si>
    <t>Djurdjani</t>
  </si>
  <si>
    <t>Chatarina Nurjati</t>
  </si>
  <si>
    <t>Prijanto Wibowo</t>
  </si>
  <si>
    <t>Henny Leksmana Hadi Kusuma</t>
  </si>
  <si>
    <t>Eddy Prijono</t>
  </si>
  <si>
    <t>Samekto</t>
  </si>
  <si>
    <t>Sumy Sukara</t>
  </si>
  <si>
    <t>Fachrurazie</t>
  </si>
  <si>
    <t>Widodo</t>
  </si>
  <si>
    <t>Sudjono</t>
  </si>
  <si>
    <t>Agus Nugroho</t>
  </si>
  <si>
    <t>Emil Zamzany</t>
  </si>
  <si>
    <t>Said Asa'ad</t>
  </si>
  <si>
    <t>Djajanto</t>
  </si>
  <si>
    <t>Kusdarmanto</t>
  </si>
  <si>
    <t>Sudarjo</t>
  </si>
  <si>
    <t>Aris Rahardjo</t>
  </si>
  <si>
    <t>Dudih Parjudih</t>
  </si>
  <si>
    <t>J.Indro Baskhoro</t>
  </si>
  <si>
    <t>Bisarwono</t>
  </si>
  <si>
    <t>Eddy Panusunan</t>
  </si>
  <si>
    <t>Atiek Sumaryati</t>
  </si>
  <si>
    <t>Agus Riyanto</t>
  </si>
  <si>
    <t>Mohammad Nurhadi</t>
  </si>
  <si>
    <t>Humam</t>
  </si>
  <si>
    <t>Mudjijana</t>
  </si>
  <si>
    <t>Faqih Usman</t>
  </si>
  <si>
    <t>Mudji Rustomo</t>
  </si>
  <si>
    <t>Waljiyanto</t>
  </si>
  <si>
    <t>Kiswanto</t>
  </si>
  <si>
    <t>Wahyudi Purnomo</t>
  </si>
  <si>
    <t>Bernadus Setya Adi</t>
  </si>
  <si>
    <t>Supriadi</t>
  </si>
  <si>
    <t>Wibowo</t>
  </si>
  <si>
    <t>Suyono</t>
  </si>
  <si>
    <t>Endang</t>
  </si>
  <si>
    <t>Trijono</t>
  </si>
  <si>
    <t>Sutarto</t>
  </si>
  <si>
    <t>Jamil Murcito</t>
  </si>
  <si>
    <t>Suparyanto</t>
  </si>
  <si>
    <t>Bambbang Hedrawan</t>
  </si>
  <si>
    <t>Bambang Sugeng Hidayat</t>
  </si>
  <si>
    <t>Erwin Romel</t>
  </si>
  <si>
    <t>Eko Sigit Siswojo</t>
  </si>
  <si>
    <t>Antonius Adiwahyono</t>
  </si>
  <si>
    <t>Supriyatno</t>
  </si>
  <si>
    <t>Wilibrordus Wimbarhadi</t>
  </si>
  <si>
    <t>Antonius Tony Budiono</t>
  </si>
  <si>
    <t>Dinar Dwi Anugrah Putranto</t>
  </si>
  <si>
    <t>Joko Poerwono</t>
  </si>
  <si>
    <t>Bambang Riyadi</t>
  </si>
  <si>
    <t>Mustofa Hanafi</t>
  </si>
  <si>
    <t>Cipto Mulyono</t>
  </si>
  <si>
    <t>Suryoto</t>
  </si>
  <si>
    <t>Imron Yusuf</t>
  </si>
  <si>
    <t>Panca Atmaji</t>
  </si>
  <si>
    <t>Eko Nugroho</t>
  </si>
  <si>
    <t>Mukhtasar</t>
  </si>
  <si>
    <t>Mohamad Soleh</t>
  </si>
  <si>
    <t>Ilham Marsudi</t>
  </si>
  <si>
    <t>Benny Koloway</t>
  </si>
  <si>
    <t>Andreas Purwoadi</t>
  </si>
  <si>
    <t>Cahyo Pribadi</t>
  </si>
  <si>
    <t>Suwardi</t>
  </si>
  <si>
    <t>Marhenda Arvai Kemala Sakti</t>
  </si>
  <si>
    <t>Sulistyo Hartanto</t>
  </si>
  <si>
    <t>Hani'ah</t>
  </si>
  <si>
    <t>Longdong Jefferson</t>
  </si>
  <si>
    <t>Wahyu Adi Bintoro</t>
  </si>
  <si>
    <t>Bambang Trihatmono</t>
  </si>
  <si>
    <t>Yahmanto</t>
  </si>
  <si>
    <t>Nurdin</t>
  </si>
  <si>
    <t>Edi Susilo</t>
  </si>
  <si>
    <t>Faustinus Sulistyo</t>
  </si>
  <si>
    <t>Yusup Yuniarto</t>
  </si>
  <si>
    <t>Subarjono</t>
  </si>
  <si>
    <t>Djoko Suprayitno</t>
  </si>
  <si>
    <t>Salamun</t>
  </si>
  <si>
    <t>Agus Pudjanarto</t>
  </si>
  <si>
    <t>Winaryanto Budiono</t>
  </si>
  <si>
    <t>Laur Joko Wahyono</t>
  </si>
  <si>
    <t>Sunar Rochmadi</t>
  </si>
  <si>
    <t>Iwan Gunawan</t>
  </si>
  <si>
    <t>Murdini</t>
  </si>
  <si>
    <t>Nicholas Sutopo</t>
  </si>
  <si>
    <t>Sulistio Wibowo</t>
  </si>
  <si>
    <t>Endri Diyatmo</t>
  </si>
  <si>
    <t>Sudomo</t>
  </si>
  <si>
    <t>Agus Budijono</t>
  </si>
  <si>
    <t>Saratri Wilono Yudho</t>
  </si>
  <si>
    <t>Edi Suryanto</t>
  </si>
  <si>
    <t>Purnomo Siddy</t>
  </si>
  <si>
    <t>Nanang Wismadi</t>
  </si>
  <si>
    <t>Marjana</t>
  </si>
  <si>
    <t>M. Djalil</t>
  </si>
  <si>
    <t>Tuti Sumarningsih</t>
  </si>
  <si>
    <t>Suroso</t>
  </si>
  <si>
    <t>Agus Suharyanto</t>
  </si>
  <si>
    <t>Bambang Drajat</t>
  </si>
  <si>
    <t>Tri Wahono</t>
  </si>
  <si>
    <t>Ignatius Surjandjono</t>
  </si>
  <si>
    <t>Tri Darmana</t>
  </si>
  <si>
    <t>Sapto Agus Praptanto</t>
  </si>
  <si>
    <t>Endang Nurjaman Firmansyah</t>
  </si>
  <si>
    <t>Firdaus</t>
  </si>
  <si>
    <t>Nur Isnin Istiarto</t>
  </si>
  <si>
    <t>Muhammad Ruslin Anwar</t>
  </si>
  <si>
    <t>Joko Hartadi</t>
  </si>
  <si>
    <t>Parjianto</t>
  </si>
  <si>
    <t>Agus Imam Bukhori</t>
  </si>
  <si>
    <t>Supriyadi</t>
  </si>
  <si>
    <t>Titi Rahayuningsih</t>
  </si>
  <si>
    <t>Suparman</t>
  </si>
  <si>
    <t>Ispen Syafrel</t>
  </si>
  <si>
    <t>Harto Wibisono</t>
  </si>
  <si>
    <t>Agnes Sri Mulyani</t>
  </si>
  <si>
    <t>Toto Swastyo</t>
  </si>
  <si>
    <t>Donald Armand Sundah</t>
  </si>
  <si>
    <t>Khafodi Maslat</t>
  </si>
  <si>
    <t>Subarja</t>
  </si>
  <si>
    <t>Eddy Harpanto</t>
  </si>
  <si>
    <t>Petrus Sucipto</t>
  </si>
  <si>
    <t>Pardi</t>
  </si>
  <si>
    <t>Kahar Ruyitno</t>
  </si>
  <si>
    <t>Iwan Suwandi</t>
  </si>
  <si>
    <t>Sumarsono</t>
  </si>
  <si>
    <t>Zainal Arifin</t>
  </si>
  <si>
    <t>Aris Riyanta</t>
  </si>
  <si>
    <t>Liem Tjoong Sioe</t>
  </si>
  <si>
    <t>Joko Supriyanto</t>
  </si>
  <si>
    <t>Agustono Edy Prabowo</t>
  </si>
  <si>
    <t>Umar Kayam</t>
  </si>
  <si>
    <t>Hari Martono</t>
  </si>
  <si>
    <t>Titis Pratami</t>
  </si>
  <si>
    <t>Soebiyakto</t>
  </si>
  <si>
    <t>Thomas Indar Pramudi</t>
  </si>
  <si>
    <t>Jefry Deson</t>
  </si>
  <si>
    <t>Sukoco Benu Siswadi</t>
  </si>
  <si>
    <t>Pramudita</t>
  </si>
  <si>
    <t>Gia Noor Bahagia</t>
  </si>
  <si>
    <t>Agung Wuryanto</t>
  </si>
  <si>
    <t>I Nyoman Aryana</t>
  </si>
  <si>
    <t>Dasad Irzani</t>
  </si>
  <si>
    <t>Indra Priatna</t>
  </si>
  <si>
    <t>Rony Primanto Hari</t>
  </si>
  <si>
    <t>Achmad Asngadi</t>
  </si>
  <si>
    <t>Aris Sri Mulyanto</t>
  </si>
  <si>
    <t>T.Bagus Mokhamad Noor Kholilul</t>
  </si>
  <si>
    <t>Muhammad Isnaini</t>
  </si>
  <si>
    <t>Sigit Budiarso</t>
  </si>
  <si>
    <t>Sutanto</t>
  </si>
  <si>
    <t>Agus Sugiarto</t>
  </si>
  <si>
    <t>Petrus Wisnu Wibowo</t>
  </si>
  <si>
    <t>Eling Susiardi</t>
  </si>
  <si>
    <t>Sri Santoso</t>
  </si>
  <si>
    <t>Widi Yulianto</t>
  </si>
  <si>
    <t>Nugroho</t>
  </si>
  <si>
    <t>Sri Sukoco</t>
  </si>
  <si>
    <t>Indra Sujono</t>
  </si>
  <si>
    <t>Sukandar</t>
  </si>
  <si>
    <t>Budi Santoso</t>
  </si>
  <si>
    <t>I Dewa Made Dhyana Putra</t>
  </si>
  <si>
    <t>Turijan</t>
  </si>
  <si>
    <t>Sutriso Sardjono</t>
  </si>
  <si>
    <t>Budi Susetyo</t>
  </si>
  <si>
    <t>Jusak Sunaryo</t>
  </si>
  <si>
    <t>Bambang Sutedjo</t>
  </si>
  <si>
    <t>Sutopo</t>
  </si>
  <si>
    <t>Raden Rudi Prayitno</t>
  </si>
  <si>
    <t>Sangidu Umar</t>
  </si>
  <si>
    <t>Achmad Mudjamil</t>
  </si>
  <si>
    <t>Sundoro Soekarno Effendie</t>
  </si>
  <si>
    <t>Suhirman</t>
  </si>
  <si>
    <t>Sulam</t>
  </si>
  <si>
    <t>Eko Susilo Adi Utomo</t>
  </si>
  <si>
    <t>Edi Kusdianto</t>
  </si>
  <si>
    <t>Albertus Maharsanto</t>
  </si>
  <si>
    <t>Raden Tri Susetyo</t>
  </si>
  <si>
    <t>Heru Supadmo Djahriadi</t>
  </si>
  <si>
    <t>Obed Tri Pambudi</t>
  </si>
  <si>
    <t>Muhammad Nasrudin Amin</t>
  </si>
  <si>
    <t>Fatih Effendi</t>
  </si>
  <si>
    <t>Bambang Heryanto</t>
  </si>
  <si>
    <t>I. Wayan Suartika</t>
  </si>
  <si>
    <t>Muhammad Djais</t>
  </si>
  <si>
    <t>D. Shantory</t>
  </si>
  <si>
    <t>Andy Partiko Widodo</t>
  </si>
  <si>
    <t>Sidik Hariyono</t>
  </si>
  <si>
    <t>F.Tri Dwi Budi Riyanto</t>
  </si>
  <si>
    <t>Harsono Subagyo</t>
  </si>
  <si>
    <t>Sigit Budiyono</t>
  </si>
  <si>
    <t>Yosef Adiwahyanto</t>
  </si>
  <si>
    <t>Mukhamad Jaldan</t>
  </si>
  <si>
    <t>Djati Harsono</t>
  </si>
  <si>
    <t>Ahmad Hilmi Muhaimin</t>
  </si>
  <si>
    <t>Purwanto</t>
  </si>
  <si>
    <t>Dwi Haryantono</t>
  </si>
  <si>
    <t>Samsu Harjito</t>
  </si>
  <si>
    <t>Hisyam</t>
  </si>
  <si>
    <t>Hari Sentosa</t>
  </si>
  <si>
    <t>Tingkat</t>
  </si>
  <si>
    <t>Perdananto Aribowo</t>
  </si>
  <si>
    <t>Pramban Budiharto</t>
  </si>
  <si>
    <t>Azam Muhammady</t>
  </si>
  <si>
    <t>R. Didi Suryadi</t>
  </si>
  <si>
    <t>Fauzi Derry</t>
  </si>
  <si>
    <t>Fadrinsyah Anwar</t>
  </si>
  <si>
    <t>Oentoeng Effendi</t>
  </si>
  <si>
    <t>Hari Budijanto</t>
  </si>
  <si>
    <t>Mohammad Besar Djoko Putranto</t>
  </si>
  <si>
    <t>Tutus Alun Asoka Sakti</t>
  </si>
  <si>
    <t>Santoso</t>
  </si>
  <si>
    <t>Sugiyantoro</t>
  </si>
  <si>
    <t>Yohanes De Britto Sundarso</t>
  </si>
  <si>
    <t>Marsudi</t>
  </si>
  <si>
    <t>Busroni Arif</t>
  </si>
  <si>
    <t>Krisno Sudibyo</t>
  </si>
  <si>
    <t>Agus Widiyanto</t>
  </si>
  <si>
    <t>Dwi Nowo Martono</t>
  </si>
  <si>
    <t>Susanto</t>
  </si>
  <si>
    <t>Suparto</t>
  </si>
  <si>
    <t>Ketut Giri Melaya</t>
  </si>
  <si>
    <t>Budi Purwanto</t>
  </si>
  <si>
    <t>Sunaryo</t>
  </si>
  <si>
    <t>I. Gusti Wayan Budi Setiawan</t>
  </si>
  <si>
    <t>Heru Djoko Purwanto</t>
  </si>
  <si>
    <t>Dasuki</t>
  </si>
  <si>
    <t>Ariatmawan Prihandono</t>
  </si>
  <si>
    <t>Sapto Prio Rahadi</t>
  </si>
  <si>
    <t>Clemens Hofbaner Supranowo</t>
  </si>
  <si>
    <t>I. Komang Wedana</t>
  </si>
  <si>
    <t>Addie Priono</t>
  </si>
  <si>
    <t>Presti Yudono</t>
  </si>
  <si>
    <t>Rochmat Manu Martono</t>
  </si>
  <si>
    <t>Sutaryo</t>
  </si>
  <si>
    <t>Djoko Trilaksono</t>
  </si>
  <si>
    <t>Edy Juana</t>
  </si>
  <si>
    <t>Sugiarto</t>
  </si>
  <si>
    <t>Tony</t>
  </si>
  <si>
    <t>Heru Joko Lukito</t>
  </si>
  <si>
    <t>Cundono</t>
  </si>
  <si>
    <t>Ibrahim Madjid</t>
  </si>
  <si>
    <t>Nursatyo Argo</t>
  </si>
  <si>
    <t>Raden Mas Mulyo Seto</t>
  </si>
  <si>
    <t>Suharto</t>
  </si>
  <si>
    <t>Wahyu Hidayat</t>
  </si>
  <si>
    <t>Misbach Nurdin</t>
  </si>
  <si>
    <t>MJA Sutjipto</t>
  </si>
  <si>
    <t>Kristadji</t>
  </si>
  <si>
    <t>Nugroho Sanyoto</t>
  </si>
  <si>
    <t>Muchamad Chusban</t>
  </si>
  <si>
    <t>Sulistyo Budi</t>
  </si>
  <si>
    <t>Yudhi Riyarso</t>
  </si>
  <si>
    <t>Kartika Adi</t>
  </si>
  <si>
    <t>Adi Isdiarto</t>
  </si>
  <si>
    <t>Suherwan</t>
  </si>
  <si>
    <t>Bambang Sumantri</t>
  </si>
  <si>
    <t>Gatot Suritno</t>
  </si>
  <si>
    <t>Raden Mas Yono Seto</t>
  </si>
  <si>
    <t>Sakur Hamid</t>
  </si>
  <si>
    <t>Bernadus Sujamto</t>
  </si>
  <si>
    <t>Imam Nugroho Heru Santoso</t>
  </si>
  <si>
    <t>Agul Irianto</t>
  </si>
  <si>
    <t>Kurniawati</t>
  </si>
  <si>
    <t>Hari Purnomo</t>
  </si>
  <si>
    <t>Bagus Puji Wahyono</t>
  </si>
  <si>
    <t>Agus Dwi Widiyanto</t>
  </si>
  <si>
    <t>Joko Susilo</t>
  </si>
  <si>
    <t>Bambang Wardoyo</t>
  </si>
  <si>
    <t>Yansen Harsono</t>
  </si>
  <si>
    <t>Gabriel Triwibawa</t>
  </si>
  <si>
    <t>Sakdillah</t>
  </si>
  <si>
    <t>Nadhir</t>
  </si>
  <si>
    <t>Muhhani</t>
  </si>
  <si>
    <t>Adji Wijono</t>
  </si>
  <si>
    <t>Sudjatmiko Rahrdjo</t>
  </si>
  <si>
    <t>Endro Purwoadi</t>
  </si>
  <si>
    <t>Lilik Supriyanto</t>
  </si>
  <si>
    <t>Moh. Aedy Hendradi</t>
  </si>
  <si>
    <t>G.Y Yoegeria  Marhaen Jayanti</t>
  </si>
  <si>
    <t>Rukmarata</t>
  </si>
  <si>
    <t>Sri Hardono</t>
  </si>
  <si>
    <t>Muhtadi Ganda Sutrisna</t>
  </si>
  <si>
    <t>Romanus Noor Widarto</t>
  </si>
  <si>
    <t>Sapto Priyono</t>
  </si>
  <si>
    <t>Andy Martha</t>
  </si>
  <si>
    <t>Afrizal</t>
  </si>
  <si>
    <t>Muhammad Bariq Utama</t>
  </si>
  <si>
    <t>Andy Susanto</t>
  </si>
  <si>
    <t>Bambang Widjanarko</t>
  </si>
  <si>
    <t>Haruno Wibowo</t>
  </si>
  <si>
    <t>Tri Cahyana Tristiaji</t>
  </si>
  <si>
    <t>Marsono YuliantoTjahjo Purnomo</t>
  </si>
  <si>
    <t>Taat Tri Purwiyono</t>
  </si>
  <si>
    <t>Budi Sulistyo</t>
  </si>
  <si>
    <t>Suprayitno (69)</t>
  </si>
  <si>
    <t>Handoyo</t>
  </si>
  <si>
    <t>Hanoko</t>
  </si>
  <si>
    <t>Frediansyah</t>
  </si>
  <si>
    <t>Robertus Maria Supranowo</t>
  </si>
  <si>
    <t>Hidro Harjanto</t>
  </si>
  <si>
    <t>Prasetya Jati</t>
  </si>
  <si>
    <t>R. Agus Wahyudi Koeshendratno</t>
  </si>
  <si>
    <t>Tan Kian Djiang</t>
  </si>
  <si>
    <t>Sujoko</t>
  </si>
  <si>
    <t>Djoko Prasetyo</t>
  </si>
  <si>
    <t>Sofyan Noor</t>
  </si>
  <si>
    <t>Widjono Santoso</t>
  </si>
  <si>
    <t>R. R. Eny Putranti</t>
  </si>
  <si>
    <t>Bambang Gatot Nugroho</t>
  </si>
  <si>
    <t>Marcus Sudarmaji</t>
  </si>
  <si>
    <t>Rochmat Muryamto</t>
  </si>
  <si>
    <t>Landung Kadaryanto</t>
  </si>
  <si>
    <t>Cipto Waluyo</t>
  </si>
  <si>
    <t>Muhamad Alief Yaniar</t>
  </si>
  <si>
    <t>Anthony</t>
  </si>
  <si>
    <t>Fauzan Murdapa</t>
  </si>
  <si>
    <t>Hanuri Effendi</t>
  </si>
  <si>
    <t>Retno Kusumastanti</t>
  </si>
  <si>
    <t>Marjudi</t>
  </si>
  <si>
    <t>Singgih Supriyanto</t>
  </si>
  <si>
    <t>Fransiscus Frito Marcevianto</t>
  </si>
  <si>
    <t>Zulbahri</t>
  </si>
  <si>
    <t>Sutoko</t>
  </si>
  <si>
    <t>Pranowo</t>
  </si>
  <si>
    <t>Budi Doyo</t>
  </si>
  <si>
    <t>Gregorius Nugroho Anindito</t>
  </si>
  <si>
    <t>Marzuki Nur</t>
  </si>
  <si>
    <t>Subekti Alief</t>
  </si>
  <si>
    <t>Harwan Triantono</t>
  </si>
  <si>
    <t>Yahya Hamidun</t>
  </si>
  <si>
    <t>Sugiyanto</t>
  </si>
  <si>
    <t>Budiyono</t>
  </si>
  <si>
    <t>R. Muh. Adi Darmawan</t>
  </si>
  <si>
    <t>Pepen Supendi</t>
  </si>
  <si>
    <t>Karyawan Budianto</t>
  </si>
  <si>
    <t>Sumardi</t>
  </si>
  <si>
    <t>Zaenuri</t>
  </si>
  <si>
    <t>Supriyanto</t>
  </si>
  <si>
    <t>Herman Purnomo</t>
  </si>
  <si>
    <t>Hendra</t>
  </si>
  <si>
    <t>Sutyasno</t>
  </si>
  <si>
    <t>Joko Trimartono</t>
  </si>
  <si>
    <t>Syahril</t>
  </si>
  <si>
    <t>Nasrul Entezam</t>
  </si>
  <si>
    <t>Santosa</t>
  </si>
  <si>
    <t>Yuli Mardiyono</t>
  </si>
  <si>
    <t>Jesa Ariawan</t>
  </si>
  <si>
    <t>Tri Margo Yuwono</t>
  </si>
  <si>
    <t>Mundir Sugito</t>
  </si>
  <si>
    <t>Sujatna Budi Wibowo</t>
  </si>
  <si>
    <t>YF. Dicky Harsono</t>
  </si>
  <si>
    <t>Winduno</t>
  </si>
  <si>
    <t>Wahju Sri Harini</t>
  </si>
  <si>
    <t>I Ketut Sutarga</t>
  </si>
  <si>
    <t>Hadi Pratama</t>
  </si>
  <si>
    <t>Budi Wahana</t>
  </si>
  <si>
    <t>Handoyono</t>
  </si>
  <si>
    <t>Purwadi</t>
  </si>
  <si>
    <t>Sawitri Subiyanto</t>
  </si>
  <si>
    <t>Murdoko</t>
  </si>
  <si>
    <t>Andi Darmawan</t>
  </si>
  <si>
    <t>Bedy Wahjudi</t>
  </si>
  <si>
    <t>Prihartanto</t>
  </si>
  <si>
    <t>Edy Meidarto</t>
  </si>
  <si>
    <t>Syafrian Himawan</t>
  </si>
  <si>
    <t>Teguh Mulyadi</t>
  </si>
  <si>
    <t>Jon Indra Wahyu</t>
  </si>
  <si>
    <t>Arista Adiyanto</t>
  </si>
  <si>
    <t>Haryanto</t>
  </si>
  <si>
    <t>Tri Wibowo</t>
  </si>
  <si>
    <t>Hendry Patria Rosa</t>
  </si>
  <si>
    <t>Gatot Priyo Laksono</t>
  </si>
  <si>
    <t>Ali Nor Hidayat</t>
  </si>
  <si>
    <t>Widigdyono</t>
  </si>
  <si>
    <t>Jonahar</t>
  </si>
  <si>
    <t>Dawud Susilo</t>
  </si>
  <si>
    <t>Agus Harijanto</t>
  </si>
  <si>
    <t>Zainal Abidin</t>
  </si>
  <si>
    <t>Setiawan</t>
  </si>
  <si>
    <t>Mumtaz Ali</t>
  </si>
  <si>
    <t>Agus Sugeng</t>
  </si>
  <si>
    <t>Hadi Sukresno</t>
  </si>
  <si>
    <t>Eko Budi Wahyono</t>
  </si>
  <si>
    <t>M. Afthoni</t>
  </si>
  <si>
    <t>Isgiyanto</t>
  </si>
  <si>
    <t>Yoepidha Laksamijarta Soemantri</t>
  </si>
  <si>
    <t>Pujiyanto</t>
  </si>
  <si>
    <t>Helen Muliadi</t>
  </si>
  <si>
    <t>Bambang Ludy Harsono</t>
  </si>
  <si>
    <t>Masdata Nasarenandar</t>
  </si>
  <si>
    <t>Arip Pramana</t>
  </si>
  <si>
    <t>Agung Pramano Rahadi</t>
  </si>
  <si>
    <t>Sri Widodo</t>
  </si>
  <si>
    <t>Haryo Wijoseno</t>
  </si>
  <si>
    <t>Sugeng Rahardjo</t>
  </si>
  <si>
    <t>Chrispius Joko Sriyanto</t>
  </si>
  <si>
    <t>Triyono</t>
  </si>
  <si>
    <t>Lukman</t>
  </si>
  <si>
    <t>Ridwan Heri Mahmudi</t>
  </si>
  <si>
    <t>Novie Riyanto Rahardjo</t>
  </si>
  <si>
    <t>Sigit Wahyudi</t>
  </si>
  <si>
    <t>Aniek Juliarini</t>
  </si>
  <si>
    <t>Leo Pantimena</t>
  </si>
  <si>
    <t>Hail Surisno</t>
  </si>
  <si>
    <t>Winahju Mahartono</t>
  </si>
  <si>
    <t>Nurrohmat Widjajanti</t>
  </si>
  <si>
    <t>Gregorius Haryuatmanto</t>
  </si>
  <si>
    <t>Iwan Hapsoro Iswanto</t>
  </si>
  <si>
    <t>Teguh Riyono</t>
  </si>
  <si>
    <t>Edi Ali Dahlan</t>
  </si>
  <si>
    <t>Anastasia Cakunani</t>
  </si>
  <si>
    <t>Mulana Arbani</t>
  </si>
  <si>
    <t>Eko Prihriyadi</t>
  </si>
  <si>
    <t>Antonius Anwar Hariyanto</t>
  </si>
  <si>
    <t>Wisnu Prajardi</t>
  </si>
  <si>
    <t>Aris Munanto</t>
  </si>
  <si>
    <t>Indra Yudosaputra</t>
  </si>
  <si>
    <t>Pungky Sulistyo Gunawan</t>
  </si>
  <si>
    <t>Eko Artanto</t>
  </si>
  <si>
    <t>Sutriono Hadi</t>
  </si>
  <si>
    <t>Mu'it Makruf</t>
  </si>
  <si>
    <t>Triana Aryanti</t>
  </si>
  <si>
    <t>Beson Soekarno</t>
  </si>
  <si>
    <t>Hedie</t>
  </si>
  <si>
    <t>Agustinus Didit Nuriyanto</t>
  </si>
  <si>
    <t>Handry Widiyarto</t>
  </si>
  <si>
    <t>Antonius Harjo Utomo</t>
  </si>
  <si>
    <t>Yohannes I Ketut Dedy Muliastr</t>
  </si>
  <si>
    <t>Iwa Susilo</t>
  </si>
  <si>
    <t>Tonni Suherman</t>
  </si>
  <si>
    <t>Achmad Istiyanto</t>
  </si>
  <si>
    <t>Wahyudi Kiswantoro</t>
  </si>
  <si>
    <t>Agus Setyawan</t>
  </si>
  <si>
    <t>Edy Sarwoko</t>
  </si>
  <si>
    <t>Masdarminto</t>
  </si>
  <si>
    <t>Herwini Wahyu Susanti</t>
  </si>
  <si>
    <t>Heri Gunawan</t>
  </si>
  <si>
    <t>Immaculata Christiana</t>
  </si>
  <si>
    <t>Thesesi Surini</t>
  </si>
  <si>
    <t>Embun Sari</t>
  </si>
  <si>
    <t>Pangihutan Sihombing</t>
  </si>
  <si>
    <t>David Gading Edison Purba</t>
  </si>
  <si>
    <t>Julianto</t>
  </si>
  <si>
    <t>Tandyo Winarno</t>
  </si>
  <si>
    <t>Herra Fajarriawan</t>
  </si>
  <si>
    <t>Raden Sayuti</t>
  </si>
  <si>
    <t>Giri Budi Santoso</t>
  </si>
  <si>
    <t>Teguh Karyadi</t>
  </si>
  <si>
    <t>Setiyawan Utama</t>
  </si>
  <si>
    <t>Amin Widada Lestariya</t>
  </si>
  <si>
    <t>Heru Asmoro</t>
  </si>
  <si>
    <t>Citrawati</t>
  </si>
  <si>
    <t>Agung Muhammad Prakoso</t>
  </si>
  <si>
    <t>I Dewa Ketut Spatika</t>
  </si>
  <si>
    <t>Tri Rayono</t>
  </si>
  <si>
    <t>Rachmad</t>
  </si>
  <si>
    <t>Bayu Wahyudi</t>
  </si>
  <si>
    <t>As'ari Lukmanul Hakim</t>
  </si>
  <si>
    <t>Tri Fatah Suryono</t>
  </si>
  <si>
    <t>Thomas Pramuji Singgih Riyanto</t>
  </si>
  <si>
    <t>Kartono Agustiyono</t>
  </si>
  <si>
    <t>Mochammad Afif</t>
  </si>
  <si>
    <t>Budi Prayitno</t>
  </si>
  <si>
    <t>Suharta</t>
  </si>
  <si>
    <t>Purbo Hantoro</t>
  </si>
  <si>
    <t>Makin Basuki</t>
  </si>
  <si>
    <t>Tri Wahyusidi</t>
  </si>
  <si>
    <t>Diyono</t>
  </si>
  <si>
    <t>Kresna Fitriansyah</t>
  </si>
  <si>
    <t>Leni Sophia Heliani</t>
  </si>
  <si>
    <t>Eddy Soewardi</t>
  </si>
  <si>
    <t>Mochammad Indro Buwono</t>
  </si>
  <si>
    <t>Albert Muntarie</t>
  </si>
  <si>
    <t>Suparno</t>
  </si>
  <si>
    <t>Saifudin Ashari</t>
  </si>
  <si>
    <t>Subekti Widiyasno</t>
  </si>
  <si>
    <t>Agus Purnama</t>
  </si>
  <si>
    <t>Sri Sukmawati</t>
  </si>
  <si>
    <t>Arief Syaifullah</t>
  </si>
  <si>
    <t>Sigit Rachmawan Adhi</t>
  </si>
  <si>
    <t>Isaac Dono Rahmoko Adhy</t>
  </si>
  <si>
    <t>Sustiana Mudarsih</t>
  </si>
  <si>
    <t>Nursugi</t>
  </si>
  <si>
    <t>Salim Suparlan Basir</t>
  </si>
  <si>
    <t>Yosep Edy Susanto</t>
  </si>
  <si>
    <t>Suharyanto</t>
  </si>
  <si>
    <t>Mahfud Yusron Tri Kuncoro</t>
  </si>
  <si>
    <t>Mujahidin Ma'ruf</t>
  </si>
  <si>
    <t>Raden Rara Dyah Maharani</t>
  </si>
  <si>
    <t>Bambang Utaya</t>
  </si>
  <si>
    <t>Agus Makmuriyanto</t>
  </si>
  <si>
    <t>Andries Buntoro</t>
  </si>
  <si>
    <t>Wahyu Edy Santoso</t>
  </si>
  <si>
    <t>Agung Prasetya</t>
  </si>
  <si>
    <t>Marlis Yunanto</t>
  </si>
  <si>
    <t>Hery Kusnanto</t>
  </si>
  <si>
    <t>Agus Joko Nugroho</t>
  </si>
  <si>
    <t>Aris Eka Agustin</t>
  </si>
  <si>
    <t>Apriana Budi Satanta</t>
  </si>
  <si>
    <t>Sintayawati Wisnigraha</t>
  </si>
  <si>
    <t>Suharto Martowagiyo</t>
  </si>
  <si>
    <t>Gunawan Asrori Arif</t>
  </si>
  <si>
    <t>Tri Wibisono</t>
  </si>
  <si>
    <t>Yohanes Iwan Kurniawan</t>
  </si>
  <si>
    <t>Dwi Budi Martono</t>
  </si>
  <si>
    <t>Bambang Raraswanto</t>
  </si>
  <si>
    <t>Sulistiyono</t>
  </si>
  <si>
    <t>Kusworo</t>
  </si>
  <si>
    <t>Heri Purwanto</t>
  </si>
  <si>
    <t>G. Wajan Harivan Chandra</t>
  </si>
  <si>
    <t>Weny Setyabakti</t>
  </si>
  <si>
    <t>Wan Muhammad Yunus</t>
  </si>
  <si>
    <t>Hafis Ahmad Setyadi</t>
  </si>
  <si>
    <t>Agung Budi Cahyono</t>
  </si>
  <si>
    <t>Budi Setyana</t>
  </si>
  <si>
    <t>Fajarudin Ahmad</t>
  </si>
  <si>
    <t>Martinus Edwin Tjahjajdi</t>
  </si>
  <si>
    <t>Eko Suharsono</t>
  </si>
  <si>
    <t>Tensa Nurdiyanti</t>
  </si>
  <si>
    <t>Susika Murdhayanti</t>
  </si>
  <si>
    <t>Catur Aries Rokhmana</t>
  </si>
  <si>
    <t>Irfa Almarotib</t>
  </si>
  <si>
    <t>Agus Indra Murti</t>
  </si>
  <si>
    <t>Yusiyanto</t>
  </si>
  <si>
    <t>Nurhadi</t>
  </si>
  <si>
    <t>Pujianto</t>
  </si>
  <si>
    <t>Margaretha Elya LP</t>
  </si>
  <si>
    <t>Zain Kiswari</t>
  </si>
  <si>
    <t>Mohammad Sofyan</t>
  </si>
  <si>
    <t>Heri Martanta</t>
  </si>
  <si>
    <t>Ali Ridlo</t>
  </si>
  <si>
    <t>R. Agus Tri Yuwono</t>
  </si>
  <si>
    <t>Suprapta</t>
  </si>
  <si>
    <t>Martinus Surawan Budi Santosa</t>
  </si>
  <si>
    <t>Edi Rianto</t>
  </si>
  <si>
    <t>Prihantono</t>
  </si>
  <si>
    <t>Sardiyono</t>
  </si>
  <si>
    <t>Jaenal Arifin</t>
  </si>
  <si>
    <t>Muchammad Sigit Widodo</t>
  </si>
  <si>
    <t>Hadi Nuryanto</t>
  </si>
  <si>
    <t>Sri Sudarmi</t>
  </si>
  <si>
    <t>Tanjung Nugroho</t>
  </si>
  <si>
    <t>Tri Prabowo Rahardjo</t>
  </si>
  <si>
    <t>Himawan Dwi Saputro</t>
  </si>
  <si>
    <t>Yusi Avianto</t>
  </si>
  <si>
    <t>Muh. Nurdin</t>
  </si>
  <si>
    <t>Abdullah</t>
  </si>
  <si>
    <t>Judiar</t>
  </si>
  <si>
    <t>Sunar Widiyanto</t>
  </si>
  <si>
    <t>Joko Ananto</t>
  </si>
  <si>
    <t>Ratna Dewi Sarahwati</t>
  </si>
  <si>
    <t>Hary Sudiarto</t>
  </si>
  <si>
    <t>Agus Gunawan</t>
  </si>
  <si>
    <t>Aprijanto</t>
  </si>
  <si>
    <t>Raden Rudianto Suryobinantoro</t>
  </si>
  <si>
    <t>Haryadi</t>
  </si>
  <si>
    <t>Triyanto</t>
  </si>
  <si>
    <t>Raden Indra Noer Sakti</t>
  </si>
  <si>
    <t>Unggul Sembodo</t>
  </si>
  <si>
    <t>Teguh  Mulyadi</t>
  </si>
  <si>
    <t>Sutana</t>
  </si>
  <si>
    <t>Bambang Sujudi</t>
  </si>
  <si>
    <t>Sunjoto</t>
  </si>
  <si>
    <t>Tjatur Agung Nindijanto</t>
  </si>
  <si>
    <t>Ignatius Yudhi Nurcahyo</t>
  </si>
  <si>
    <t>Achmad Saiful Hadi</t>
  </si>
  <si>
    <t>Besar Condro Widodo</t>
  </si>
  <si>
    <t>Teguh Sujatmiko</t>
  </si>
  <si>
    <t>Amir Mahmud</t>
  </si>
  <si>
    <t>Lilik Kurniawan</t>
  </si>
  <si>
    <t>Agus Parwanto</t>
  </si>
  <si>
    <t>Ida Bagus Setiawan</t>
  </si>
  <si>
    <t>Hernadi Tri Hartanta</t>
  </si>
  <si>
    <t>Riko Cahyo Pribadi</t>
  </si>
  <si>
    <t>Indradi Vembri H.</t>
  </si>
  <si>
    <t>Andianto Haryoko</t>
  </si>
  <si>
    <t>Hadiningrat NMP.</t>
  </si>
  <si>
    <t>Badrul Munir</t>
  </si>
  <si>
    <t>Dwinarno Wahyu Jatmiko</t>
  </si>
  <si>
    <t>Teguh Hartono</t>
  </si>
  <si>
    <t>Fathur Romdloni</t>
  </si>
  <si>
    <t>Dody Sutrisno</t>
  </si>
  <si>
    <t>Yunus Susilo</t>
  </si>
  <si>
    <t>Luluk Hariyadi</t>
  </si>
  <si>
    <t>Fajar Teguh Budi Prasetyo</t>
  </si>
  <si>
    <t>Muhammad Nuruddin Hidayat</t>
  </si>
  <si>
    <t>Rino Ermawan</t>
  </si>
  <si>
    <t>Bilal Ma'ruf</t>
  </si>
  <si>
    <t>Anggit Sunarta</t>
  </si>
  <si>
    <t>Susmanta</t>
  </si>
  <si>
    <t>Harintaka</t>
  </si>
  <si>
    <t>Farchan Herry Prasetyo</t>
  </si>
  <si>
    <t>Budi Endra Gunarta</t>
  </si>
  <si>
    <t>Raden Mas Danardono</t>
  </si>
  <si>
    <t>Fahmi Bajuber</t>
  </si>
  <si>
    <t>Yulaikhah</t>
  </si>
  <si>
    <t>Raden Ajeng Siti Kusumastuti</t>
  </si>
  <si>
    <t>Sudung Manurung</t>
  </si>
  <si>
    <t>Bambang Hartono</t>
  </si>
  <si>
    <t>Erwin Sasongko</t>
  </si>
  <si>
    <t>Abdul Basith</t>
  </si>
  <si>
    <t>Dedhy Wahyudi Kandar</t>
  </si>
  <si>
    <t>Hasto Atmoko</t>
  </si>
  <si>
    <t>Istha Dewata</t>
  </si>
  <si>
    <t>Hery Setiawan</t>
  </si>
  <si>
    <t>Iwan Sumarwan</t>
  </si>
  <si>
    <t>Syarif Hidayatullah</t>
  </si>
  <si>
    <t>Eko Suharto</t>
  </si>
  <si>
    <t>Haryadi Condro Cahyono</t>
  </si>
  <si>
    <t>Agus Sulistyono</t>
  </si>
  <si>
    <t>Agung Harmawan</t>
  </si>
  <si>
    <t>Vida Andriani</t>
  </si>
  <si>
    <t>Rakhmat Yasin</t>
  </si>
  <si>
    <t>Anak Agung Mahadhyani Sadhaka</t>
  </si>
  <si>
    <t>Suwaryo</t>
  </si>
  <si>
    <t>Sukmono Djoko Susilo</t>
  </si>
  <si>
    <t>Iim Ibrahim Nur</t>
  </si>
  <si>
    <t>Wahyu Sutarto</t>
  </si>
  <si>
    <t>Farid Hidayat</t>
  </si>
  <si>
    <t>Agus Margiono</t>
  </si>
  <si>
    <t>Agung Nugroho Bimasena</t>
  </si>
  <si>
    <t>Muhammad Yazid</t>
  </si>
  <si>
    <t>Panggih Murdowijatmo</t>
  </si>
  <si>
    <t>Akhmad Helmy Pusponegoro</t>
  </si>
  <si>
    <t>Yudi Kristanto</t>
  </si>
  <si>
    <t>Bambang Suharmono</t>
  </si>
  <si>
    <t>Fakhrurrazi</t>
  </si>
  <si>
    <t>Mariyadi</t>
  </si>
  <si>
    <t>Blasius Tjahjo Adi Wibawa</t>
  </si>
  <si>
    <t>Agus Susmiyanto</t>
  </si>
  <si>
    <t>Agus Hartanto</t>
  </si>
  <si>
    <t>Sri Tampomas L.Tobing</t>
  </si>
  <si>
    <t>YI. Joko Purnomo</t>
  </si>
  <si>
    <t>Henny Magdalena</t>
  </si>
  <si>
    <t>Winarto</t>
  </si>
  <si>
    <t>Agustinus Tri Untoro</t>
  </si>
  <si>
    <t>Eko Sarjanto</t>
  </si>
  <si>
    <t>Ali Fauzi</t>
  </si>
  <si>
    <t>Utantyo Wuryatmo</t>
  </si>
  <si>
    <t>Pambudi Susila</t>
  </si>
  <si>
    <t>Arbadi</t>
  </si>
  <si>
    <t>Dahliani</t>
  </si>
  <si>
    <t>Purnama Budi Santosa</t>
  </si>
  <si>
    <t>Faturrochman</t>
  </si>
  <si>
    <t>Abdi Darma Ginting</t>
  </si>
  <si>
    <t>Kusumo Purwanto</t>
  </si>
  <si>
    <t>Djaja Amanda</t>
  </si>
  <si>
    <t>Duta Buwana Putra</t>
  </si>
  <si>
    <t>Yanto Budisantoso</t>
  </si>
  <si>
    <t>Riza Pramudya</t>
  </si>
  <si>
    <t>Hendro Wicaksono</t>
  </si>
  <si>
    <t>Imam Susanto</t>
  </si>
  <si>
    <t>Teguh Marsetyawan</t>
  </si>
  <si>
    <t>Elisabeth Indah Retno Pangesti</t>
  </si>
  <si>
    <t>Anwari</t>
  </si>
  <si>
    <t>Muhammad Ahdian Noor</t>
  </si>
  <si>
    <t>Andreas Dwinugroho Trisatmoko</t>
  </si>
  <si>
    <t>Anom Binoro</t>
  </si>
  <si>
    <t>Trusta Tri Widanta</t>
  </si>
  <si>
    <t>Kunto Seno Aji</t>
  </si>
  <si>
    <t>Elham</t>
  </si>
  <si>
    <t>Sawal</t>
  </si>
  <si>
    <t>Winantu Maharsanto</t>
  </si>
  <si>
    <t>Roully Konversio Naldy Saragih</t>
  </si>
  <si>
    <t>Wawan Junaedi</t>
  </si>
  <si>
    <t>Katmo Paryanto</t>
  </si>
  <si>
    <t>Sri Suhartoyo</t>
  </si>
  <si>
    <t>Yudi Subiantoro</t>
  </si>
  <si>
    <t>Agus Saptaji</t>
  </si>
  <si>
    <t>Yodaphat Adriyanto</t>
  </si>
  <si>
    <t>Fajriyanto</t>
  </si>
  <si>
    <t>Muhammad Ariansyah</t>
  </si>
  <si>
    <t>Iman Rohimat W</t>
  </si>
  <si>
    <t>Era Alfansuri</t>
  </si>
  <si>
    <t>Satyawati Tyas Rahayu</t>
  </si>
  <si>
    <t>Safran Nasution</t>
  </si>
  <si>
    <t>Nurhidayat Agam</t>
  </si>
  <si>
    <t>Dian Budi Dharma</t>
  </si>
  <si>
    <t>Surjo Hanendo Putro</t>
  </si>
  <si>
    <t>Edy Purnomo</t>
  </si>
  <si>
    <t>Toman Colbert Manalu</t>
  </si>
  <si>
    <t>Dwi Sapto Hananireki</t>
  </si>
  <si>
    <t>Yuli Kusumawati</t>
  </si>
  <si>
    <t>Selamat Riyadi Nadaek</t>
  </si>
  <si>
    <t>Trias Alam Sari</t>
  </si>
  <si>
    <t>I. Gede Mantrayasa</t>
  </si>
  <si>
    <t>Abdul Muttaqin</t>
  </si>
  <si>
    <t>Yonas Salya</t>
  </si>
  <si>
    <t>Anthonius Alexander Nababan</t>
  </si>
  <si>
    <t>Paisal</t>
  </si>
  <si>
    <t>Danang Santoso</t>
  </si>
  <si>
    <t>Sarwanto</t>
  </si>
  <si>
    <t>Anang Susbandono</t>
  </si>
  <si>
    <t>Handryanto</t>
  </si>
  <si>
    <t>Poedjiasri</t>
  </si>
  <si>
    <t>Eko Indriyanto</t>
  </si>
  <si>
    <t>Tanjung Lita Sari</t>
  </si>
  <si>
    <t>Satian Sapta</t>
  </si>
  <si>
    <t>Heri Pramono</t>
  </si>
  <si>
    <t>Siti Fatimah</t>
  </si>
  <si>
    <t>Bambang Darmo Yuwono</t>
  </si>
  <si>
    <t>Moehammad Awaludin</t>
  </si>
  <si>
    <t>Anang Iwan Nugroho</t>
  </si>
  <si>
    <t>Suwandi Prasetya</t>
  </si>
  <si>
    <t>I. Ketut Gde Arya Sucaya</t>
  </si>
  <si>
    <t>Yohanes Suparno</t>
  </si>
  <si>
    <t>R. Agung Setyawan</t>
  </si>
  <si>
    <t>Adianto Legowo</t>
  </si>
  <si>
    <t>Sadikin</t>
  </si>
  <si>
    <t>Benyamin Nahak</t>
  </si>
  <si>
    <t>Yudi Pratna</t>
  </si>
  <si>
    <t>Udiyanto</t>
  </si>
  <si>
    <t>Widyasttuti Rien Utari</t>
  </si>
  <si>
    <t>Dwi Lestari</t>
  </si>
  <si>
    <t>Ta'awudz Indrabinawan</t>
  </si>
  <si>
    <t>Joko Sugiyono</t>
  </si>
  <si>
    <t>Wisku Bambang DH</t>
  </si>
  <si>
    <t>Agus Setiadi</t>
  </si>
  <si>
    <t>Haryo Susilo</t>
  </si>
  <si>
    <t>Winarno Triatmodjo</t>
  </si>
  <si>
    <t>Slamet Hartanto</t>
  </si>
  <si>
    <t>Obed Krisnantyo Aji Saptomo</t>
  </si>
  <si>
    <t>Herman Kayame</t>
  </si>
  <si>
    <t>Yosep Sadya Wulandono</t>
  </si>
  <si>
    <t>Riyadi Hari Prasetya</t>
  </si>
  <si>
    <t>Adi Pujiwiyono</t>
  </si>
  <si>
    <t>Mirmo Muntala</t>
  </si>
  <si>
    <t>Hermawan Sudaryanto</t>
  </si>
  <si>
    <t>Sapto Mijarsono</t>
  </si>
  <si>
    <t>Paiman</t>
  </si>
  <si>
    <t>Arif Pambudi</t>
  </si>
  <si>
    <t>Rusdiyantoro</t>
  </si>
  <si>
    <t>Zainul Ulum</t>
  </si>
  <si>
    <t>Tri Haryo Sagoro</t>
  </si>
  <si>
    <t>P. D Tri Budi Suryanto</t>
  </si>
  <si>
    <t>Slamet Riyadi</t>
  </si>
  <si>
    <t>Heru Purnomo</t>
  </si>
  <si>
    <t>R. Yustiono</t>
  </si>
  <si>
    <t>Sang Putu Adiwijaya</t>
  </si>
  <si>
    <t>Nanung Nur Wibowo</t>
  </si>
  <si>
    <t>Ferry Yanu Aristanto</t>
  </si>
  <si>
    <t>Eko Resmono</t>
  </si>
  <si>
    <t>Salviah Eko Wahyuni</t>
  </si>
  <si>
    <t>Saiful Amin</t>
  </si>
  <si>
    <t>Saptono Hari Supriyadi</t>
  </si>
  <si>
    <t>Agus Salim Tri Utama</t>
  </si>
  <si>
    <t>Heri Sutanta</t>
  </si>
  <si>
    <t>Agus Adri Purwanto</t>
  </si>
  <si>
    <t>Eka Nuryadi</t>
  </si>
  <si>
    <t>Abdul Wahib</t>
  </si>
  <si>
    <t>Teguh Rismanto</t>
  </si>
  <si>
    <t>Eko Putranto Hadi</t>
  </si>
  <si>
    <t>Susana Tri Astuti</t>
  </si>
  <si>
    <t>Mufleh Rahman</t>
  </si>
  <si>
    <t>Firsta Eka Purwana</t>
  </si>
  <si>
    <t>Ari Joko Cahyono</t>
  </si>
  <si>
    <t>Setya Handaka</t>
  </si>
  <si>
    <t>Yohana Antin</t>
  </si>
  <si>
    <t>Falichul Chakam</t>
  </si>
  <si>
    <t>Muhammad Mustaqim</t>
  </si>
  <si>
    <t>Dini Wirastri</t>
  </si>
  <si>
    <t>Danu Patmoko</t>
  </si>
  <si>
    <t>Ronald Hasibuhan</t>
  </si>
  <si>
    <t>Cahyono Budi Santoso</t>
  </si>
  <si>
    <t>Milona Ilza Sakantira</t>
  </si>
  <si>
    <t>Tri Hidayat</t>
  </si>
  <si>
    <t>Hanafi Sudaryanto</t>
  </si>
  <si>
    <t>M. Hendro Purwanto</t>
  </si>
  <si>
    <t>Arif Misbahul Mustagfirin</t>
  </si>
  <si>
    <t>Akhmad Sutardi</t>
  </si>
  <si>
    <t>Yohanes Gayuh Utomo</t>
  </si>
  <si>
    <t>Frederik Kiuk</t>
  </si>
  <si>
    <t>Radian Aji Sasongko</t>
  </si>
  <si>
    <t>Cipta Rahardjo</t>
  </si>
  <si>
    <t>Jazeri</t>
  </si>
  <si>
    <t>Novi Trihastuti</t>
  </si>
  <si>
    <t>Zudiantoro</t>
  </si>
  <si>
    <t>Tanti Widyastuti</t>
  </si>
  <si>
    <t>Johan Handoko</t>
  </si>
  <si>
    <t>Jerry Kristianto</t>
  </si>
  <si>
    <t>Endah Nugrahini</t>
  </si>
  <si>
    <t>Gerardus Setianto</t>
  </si>
  <si>
    <t>Dwi Priyanto</t>
  </si>
  <si>
    <t>Alam Ramdani</t>
  </si>
  <si>
    <t>Ria Resty</t>
  </si>
  <si>
    <t>Yakobus Hermanus Manu</t>
  </si>
  <si>
    <t>I Gusti Agung Gde Swandana</t>
  </si>
  <si>
    <t>Jane Johana Podung</t>
  </si>
  <si>
    <t>Heri Mulyanti</t>
  </si>
  <si>
    <t>Meijum Yuszarmen</t>
  </si>
  <si>
    <t>Raden Idhiar Nugroho</t>
  </si>
  <si>
    <t>Riyanto</t>
  </si>
  <si>
    <t>Made Widiantoro</t>
  </si>
  <si>
    <t>Wahyu Daryatin</t>
  </si>
  <si>
    <t>Danis Prahita</t>
  </si>
  <si>
    <t>Nuria Ardhini</t>
  </si>
  <si>
    <t>Septiana Yusnita Dwinani</t>
  </si>
  <si>
    <t>Yunita Utaminingsih</t>
  </si>
  <si>
    <t>Budi Harto</t>
  </si>
  <si>
    <t>Maria Yashinta W.S</t>
  </si>
  <si>
    <t>Agung Wibowo</t>
  </si>
  <si>
    <t>Setiyono</t>
  </si>
  <si>
    <t>Arif Budiharyanto</t>
  </si>
  <si>
    <t>Noor Arifin</t>
  </si>
  <si>
    <t>Suroto Yudo Pramono</t>
  </si>
  <si>
    <t>Amiril Hidayat</t>
  </si>
  <si>
    <t>Ivone Fajarwati</t>
  </si>
  <si>
    <t>I Gede Yudi Sukarya</t>
  </si>
  <si>
    <t>Ronggo Arie Wibowo</t>
  </si>
  <si>
    <t>Agustinus Sigalingging</t>
  </si>
  <si>
    <t>Dony Kurniawan B.S</t>
  </si>
  <si>
    <t>Arief Edi Wibowo</t>
  </si>
  <si>
    <t>Tiur Hotdelima Simanulang</t>
  </si>
  <si>
    <t>Variawati</t>
  </si>
  <si>
    <t>Rolly Angetula Lahagu</t>
  </si>
  <si>
    <t>Gregorius Agung Nugroho S</t>
  </si>
  <si>
    <t>Kun Priyatmadi</t>
  </si>
  <si>
    <t>Windy Skandiasari Y</t>
  </si>
  <si>
    <t>Nur Rochman</t>
  </si>
  <si>
    <t>Yudhana Widiatmoko</t>
  </si>
  <si>
    <t>Idris Hendro Wibowo</t>
  </si>
  <si>
    <t>Mulyadi</t>
  </si>
  <si>
    <t>Ilmiati</t>
  </si>
  <si>
    <t>Achmad Ali Abdul Majid</t>
  </si>
  <si>
    <t>Muhammad Thohir</t>
  </si>
  <si>
    <t>Erline Satyawati</t>
  </si>
  <si>
    <t>Indah Purwaningsih</t>
  </si>
  <si>
    <t>Noor Ainiza</t>
  </si>
  <si>
    <t>Joko Suprojo</t>
  </si>
  <si>
    <t>Doni Anderson</t>
  </si>
  <si>
    <t>Hasnaini</t>
  </si>
  <si>
    <t>Moh. Qisthi Amarona</t>
  </si>
  <si>
    <t>Widi Apidiyanto</t>
  </si>
  <si>
    <t>Dahlina Nopilawati</t>
  </si>
  <si>
    <t>Dian Sadhiana Nurhikmat</t>
  </si>
  <si>
    <t>Moh. Andhi Kurniawan</t>
  </si>
  <si>
    <t>Subkhi Abdul Hakim</t>
  </si>
  <si>
    <t>Aji Ratno</t>
  </si>
  <si>
    <t>Dwi Supriyanto</t>
  </si>
  <si>
    <t>Budi Prayogo</t>
  </si>
  <si>
    <t>Eka Mustikawati</t>
  </si>
  <si>
    <t>Aji Tri Martono</t>
  </si>
  <si>
    <t>Milana Chandra Dewi</t>
  </si>
  <si>
    <t>Komang Amanda W</t>
  </si>
  <si>
    <t>Bambang Arif Mulato S</t>
  </si>
  <si>
    <t>Tajudin</t>
  </si>
  <si>
    <t>Siti Jamilah</t>
  </si>
  <si>
    <t>Djoni Kisworo Ignatius</t>
  </si>
  <si>
    <t>Elkis Liyunita Indradewi</t>
  </si>
  <si>
    <t>Cahyo Nugroho</t>
  </si>
  <si>
    <t>Hery Nugroho Hariyanto</t>
  </si>
  <si>
    <t>Dewi Gustanti</t>
  </si>
  <si>
    <t>Ibrahim Aji</t>
  </si>
  <si>
    <t>Seno Hadiyanto</t>
  </si>
  <si>
    <t>Yunina Ratna Susila Dewi</t>
  </si>
  <si>
    <t>Yuni Marbowo</t>
  </si>
  <si>
    <t>Dhenny Diah Rullyta</t>
  </si>
  <si>
    <t>Nur Sigit Pramana</t>
  </si>
  <si>
    <t>BLASIUS TOTOK SUMARYANTO</t>
  </si>
  <si>
    <t>HERI SUKMADI</t>
  </si>
  <si>
    <t>BAYUAJI</t>
  </si>
  <si>
    <t>GUNAWAN</t>
  </si>
  <si>
    <t>KRISTIONO HARMOKO</t>
  </si>
  <si>
    <t>WIYONO</t>
  </si>
  <si>
    <t>BINTANG OLYBERT SIDABUTAR</t>
  </si>
  <si>
    <t>1960</t>
  </si>
  <si>
    <t>1961</t>
  </si>
  <si>
    <t>1959</t>
  </si>
  <si>
    <t>1968</t>
  </si>
  <si>
    <t>1970</t>
  </si>
  <si>
    <t>1971</t>
  </si>
  <si>
    <t>1969</t>
  </si>
  <si>
    <t>1973</t>
  </si>
  <si>
    <t>1972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</si>
  <si>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</si>
  <si>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</si>
  <si>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</si>
  <si>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</si>
  <si>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</si>
  <si>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</si>
  <si>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</si>
  <si>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</si>
  <si>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</si>
  <si>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1992</t>
  </si>
  <si>
    <t>1983</t>
  </si>
  <si>
    <t>1987</t>
  </si>
  <si>
    <t>1984</t>
  </si>
  <si>
    <t>1986</t>
  </si>
  <si>
    <t>1985</t>
  </si>
  <si>
    <t>1988</t>
  </si>
  <si>
    <t>1989</t>
  </si>
  <si>
    <t>1990</t>
  </si>
  <si>
    <t>1991</t>
  </si>
  <si>
    <t>1993</t>
  </si>
  <si>
    <t>1994</t>
  </si>
  <si>
    <t>1995</t>
  </si>
  <si>
    <t>1996</t>
  </si>
  <si>
    <t>1997</t>
  </si>
  <si>
    <t>1998</t>
  </si>
  <si>
    <t>1999</t>
  </si>
  <si>
    <t>NIU</t>
  </si>
  <si>
    <t>Tahun Masuk</t>
  </si>
  <si>
    <t>Tahun Lulus</t>
  </si>
  <si>
    <t>Blasius Totok Sumaryanto</t>
  </si>
  <si>
    <t>Muh Ali Yusron</t>
  </si>
  <si>
    <t>Simon Hasibuan</t>
  </si>
  <si>
    <t>Moh Farid Ariyanto</t>
  </si>
  <si>
    <t>Anastasia Widoretno</t>
  </si>
  <si>
    <t>Anton Rahmat Widodo</t>
  </si>
  <si>
    <t>Heru Puji Ismana</t>
  </si>
  <si>
    <t>Juni Al Amin</t>
  </si>
  <si>
    <t>Aminuddin  Juhri</t>
  </si>
  <si>
    <t>Sigit Hartanto</t>
  </si>
  <si>
    <t>Ni Luh Sudiartini</t>
  </si>
  <si>
    <t>Dwi Nuryanto</t>
  </si>
  <si>
    <t>Arif Patmainuddin</t>
  </si>
  <si>
    <t>Yossi Oktorini</t>
  </si>
  <si>
    <t>Suranto</t>
  </si>
  <si>
    <t>Widayati Nawangsih</t>
  </si>
  <si>
    <t>Dian Agung Susanto</t>
  </si>
  <si>
    <t>Iin Herawati</t>
  </si>
  <si>
    <t>Harsono</t>
  </si>
  <si>
    <t>Bambang Kuncoro</t>
  </si>
  <si>
    <t>Risnandar</t>
  </si>
  <si>
    <t>Muhammad Syukur</t>
  </si>
  <si>
    <t>Aribudi Sunarko</t>
  </si>
  <si>
    <t>Wahyudin Joko Saputro</t>
  </si>
  <si>
    <t>Suryo Jatmiko</t>
  </si>
  <si>
    <t>Musdadi</t>
  </si>
  <si>
    <t>Heri Sukmadi</t>
  </si>
  <si>
    <t>Karnanto H.M.</t>
  </si>
  <si>
    <t>Aswin</t>
  </si>
  <si>
    <t>Nafsi Putri Noviasih</t>
  </si>
  <si>
    <t>Fathoni Ariyanto</t>
  </si>
  <si>
    <t>Amin Nurdin</t>
  </si>
  <si>
    <t>I Made Andi Arsana</t>
  </si>
  <si>
    <t>Irsadi</t>
  </si>
  <si>
    <t>Marzuqi Abadi</t>
  </si>
  <si>
    <t>Prameswara Bratha S</t>
  </si>
  <si>
    <t>Ahmad Muhthofa Haqqi</t>
  </si>
  <si>
    <t>Manapar B Nahor</t>
  </si>
  <si>
    <t>Prasetya</t>
  </si>
  <si>
    <t>Ezrom Deddy Budyantho</t>
  </si>
  <si>
    <t>Muhammad Fahruddin</t>
  </si>
  <si>
    <t>Imanda Surya Samudra</t>
  </si>
  <si>
    <t>Dadi Muradi</t>
  </si>
  <si>
    <t>Fadlun S Adam</t>
  </si>
  <si>
    <t>Medina</t>
  </si>
  <si>
    <t>Diyah Lestari Widianingrum</t>
  </si>
  <si>
    <t>Jarot Sugistoro</t>
  </si>
  <si>
    <t>Bayuaji</t>
  </si>
  <si>
    <t>Fajar Setiawan</t>
  </si>
  <si>
    <t>Toni Sobran</t>
  </si>
  <si>
    <t>Raden Artanto Risky Cahyono</t>
  </si>
  <si>
    <t>Susilawati</t>
  </si>
  <si>
    <t>Dewa Ketut Darma Yudha</t>
  </si>
  <si>
    <t>Aris Budi Pratomo</t>
  </si>
  <si>
    <t>Ardi Irfandi</t>
  </si>
  <si>
    <t>Muhammad Taufiq</t>
  </si>
  <si>
    <t>Intan Laila Akbari I</t>
  </si>
  <si>
    <t>Yohannes Gianto Budhi Anggoro</t>
  </si>
  <si>
    <t>Thomas Aquino Budi Prasetya</t>
  </si>
  <si>
    <t>Prastowo Adi Wibawa</t>
  </si>
  <si>
    <t>Bambang Prasongko</t>
  </si>
  <si>
    <t>Agni Cahyanti</t>
  </si>
  <si>
    <t>Aluysia Endah Setiyowati</t>
  </si>
  <si>
    <t>I Gede Ferry Aditya Kusuma</t>
  </si>
  <si>
    <t>Ferry Armeinus</t>
  </si>
  <si>
    <t>Indah Husnaeni</t>
  </si>
  <si>
    <t>Gregorius Yerusalem</t>
  </si>
  <si>
    <t>Mohtarom</t>
  </si>
  <si>
    <t>Hery Purnomo</t>
  </si>
  <si>
    <t>Muhammad Aziz</t>
  </si>
  <si>
    <t>Ahmad Bunyamin</t>
  </si>
  <si>
    <t>Yessy Afriani</t>
  </si>
  <si>
    <t>Woody Jauhari Rosyid</t>
  </si>
  <si>
    <t>Somadiyono</t>
  </si>
  <si>
    <t>I Nyoman Darmawan</t>
  </si>
  <si>
    <t>Hary Susetyo</t>
  </si>
  <si>
    <t>Katria Tuhing Jayantie</t>
  </si>
  <si>
    <t>Baharudin Ahmad</t>
  </si>
  <si>
    <t>Enik Yunifah</t>
  </si>
  <si>
    <t>Roby Cahayadi</t>
  </si>
  <si>
    <t>Ronald Peterson</t>
  </si>
  <si>
    <t>Hendro Sulistyo Utomo</t>
  </si>
  <si>
    <t>Atik S Priyo Utomo</t>
  </si>
  <si>
    <t>Risa Indrastuti</t>
  </si>
  <si>
    <t>Jerry Yoestiadie</t>
  </si>
  <si>
    <t>Farid Hendro Adiyanto</t>
  </si>
  <si>
    <t>Arief Widianto</t>
  </si>
  <si>
    <t>Kumala Sari Ashria Abidin</t>
  </si>
  <si>
    <t>Ivan Sandy</t>
  </si>
  <si>
    <t>Theo Febri Handoko</t>
  </si>
  <si>
    <t>Moh Fuad</t>
  </si>
  <si>
    <t>Hary Listantyo Prabowo</t>
  </si>
  <si>
    <t>Wandha Tri Hapsari</t>
  </si>
  <si>
    <t>Yudhi Prayitno</t>
  </si>
  <si>
    <t>Shanti Satyarini Santoso</t>
  </si>
  <si>
    <t>Dwi Palupi Kartikasari</t>
  </si>
  <si>
    <t>Istin Kurnianingsih</t>
  </si>
  <si>
    <t>Gunawan Jaya</t>
  </si>
  <si>
    <t>Muhammad Fathoni</t>
  </si>
  <si>
    <t>Elinsiha Nunes</t>
  </si>
  <si>
    <t>Hadi Firmansyah</t>
  </si>
  <si>
    <t>Ketut  Chandra Utama</t>
  </si>
  <si>
    <t>Mozazi Walterman</t>
  </si>
  <si>
    <t>Surifah</t>
  </si>
  <si>
    <t>Yanti Nelvia M.</t>
  </si>
  <si>
    <t>Dian Oktiari</t>
  </si>
  <si>
    <t>Mesita Swagerisa</t>
  </si>
  <si>
    <t>Mawan Triantana</t>
  </si>
  <si>
    <t>Herdiyanto Yuniawan</t>
  </si>
  <si>
    <t>Kristanta Dwi Nugraha</t>
  </si>
  <si>
    <t>Eko Susilo</t>
  </si>
  <si>
    <t>Mohammad Sidik Maulana</t>
  </si>
  <si>
    <t>Mugito</t>
  </si>
  <si>
    <t>Gunawan</t>
  </si>
  <si>
    <t>Hendra Sugara Martha</t>
  </si>
  <si>
    <t>Kusmiarto</t>
  </si>
  <si>
    <t>Ahmad Zaky Zamani</t>
  </si>
  <si>
    <t>Purnama Sari Surbakti</t>
  </si>
  <si>
    <t>Puguh Wahyu Sadewo</t>
  </si>
  <si>
    <t>Navia Kaviati</t>
  </si>
  <si>
    <t>Yudhi Indarwoko</t>
  </si>
  <si>
    <t>Moh Zaki Muslim</t>
  </si>
  <si>
    <t>Subagiyo</t>
  </si>
  <si>
    <t>Rachmat Indra Thaher</t>
  </si>
  <si>
    <t>Meri Haryani</t>
  </si>
  <si>
    <t>Yudo Prasetyo</t>
  </si>
  <si>
    <t>Zulferinanda</t>
  </si>
  <si>
    <t>Aliza Isnain</t>
  </si>
  <si>
    <t>Bernadeta Farida W.</t>
  </si>
  <si>
    <t>Vensiana</t>
  </si>
  <si>
    <t>Winoto Darmawan</t>
  </si>
  <si>
    <t>Sujadi</t>
  </si>
  <si>
    <t>Aidil Busyira</t>
  </si>
  <si>
    <t>Amril Siddiq</t>
  </si>
  <si>
    <t>Iwan Ridwan</t>
  </si>
  <si>
    <t>Widodo Nanang Satrio</t>
  </si>
  <si>
    <t>Purwoko</t>
  </si>
  <si>
    <t>Yoseph Adin Krisnandaru</t>
  </si>
  <si>
    <t>Awan Prasetyo</t>
  </si>
  <si>
    <t>Wahyu Heriyadi</t>
  </si>
  <si>
    <t>Jajah Ardi Iriawan</t>
  </si>
  <si>
    <t>Ade Candra Wijaya</t>
  </si>
  <si>
    <t>Isnawan Sabtanto</t>
  </si>
  <si>
    <t>Sunny Junaida S.</t>
  </si>
  <si>
    <t>Sang Nyoman Wirahadi</t>
  </si>
  <si>
    <t>Tedjo Sumantri</t>
  </si>
  <si>
    <t>Wikanti Waskitaningtiyas</t>
  </si>
  <si>
    <t>Windah Sawitri Mahanggi</t>
  </si>
  <si>
    <t>Afriani A.R.</t>
  </si>
  <si>
    <t>Muhammad Reza</t>
  </si>
  <si>
    <t>Lukman Rinanto</t>
  </si>
  <si>
    <t>Fegi Nurhabni</t>
  </si>
  <si>
    <t>Rustat Widayanta</t>
  </si>
  <si>
    <t>Imam Subekti</t>
  </si>
  <si>
    <t>Pradapa Setya Wulandoko</t>
  </si>
  <si>
    <t>David Partonggo Oloan</t>
  </si>
  <si>
    <t>Arli Buchari</t>
  </si>
  <si>
    <t>Muh Arif Suhattanto</t>
  </si>
  <si>
    <t>Endriyanto</t>
  </si>
  <si>
    <t>Joni Setiyawan</t>
  </si>
  <si>
    <t>Yanti Sumekar</t>
  </si>
  <si>
    <t>Wilfirdaerlinda B.B.</t>
  </si>
  <si>
    <t>Danang Cahyo Nugroho</t>
  </si>
  <si>
    <t>Sofyan Hadi</t>
  </si>
  <si>
    <t>Sektiawan Ratnasari</t>
  </si>
  <si>
    <t>Novita Sari Harahap</t>
  </si>
  <si>
    <t>Nopi Daelami Pirdaus</t>
  </si>
  <si>
    <t>Nico Seniar</t>
  </si>
  <si>
    <t>Wahyu Kurnia Joko Prihantoro</t>
  </si>
  <si>
    <t xml:space="preserve">Endro Sigit Kurniawan </t>
  </si>
  <si>
    <t>Anton Suprojo Hadiyanto</t>
  </si>
  <si>
    <t>Juni Awal Saragih</t>
  </si>
  <si>
    <t>Idin Yunindra Ibnu Parasu</t>
  </si>
  <si>
    <t>Enggar Prasetyawan</t>
  </si>
  <si>
    <t>Trisia Oktori Lado</t>
  </si>
  <si>
    <t>Arif Kurniawan</t>
  </si>
  <si>
    <t>Sunarsih</t>
  </si>
  <si>
    <t>Jun Wahyudiyanto</t>
  </si>
  <si>
    <t>Yulianni Sulistyowati</t>
  </si>
  <si>
    <t>Wisnu Indarto</t>
  </si>
  <si>
    <t>Henra Sastrawan</t>
  </si>
  <si>
    <t>Arief Panuju</t>
  </si>
  <si>
    <t>Rini Wulandari</t>
  </si>
  <si>
    <t>Faus Tinus Handi Feryandi</t>
  </si>
  <si>
    <t>Tri Agnasari</t>
  </si>
  <si>
    <t>Heru Sumbogo</t>
  </si>
  <si>
    <t>Dony Novantoro</t>
  </si>
  <si>
    <t>Wahyu Sari Sabekti</t>
  </si>
  <si>
    <t>Lenni Meliyanti Fanggi</t>
  </si>
  <si>
    <t>Gallaeh Pandu Laga Wete</t>
  </si>
  <si>
    <t>Gde Sastrawangsa</t>
  </si>
  <si>
    <t>Dendi Kurniawan</t>
  </si>
  <si>
    <t>Munawar</t>
  </si>
  <si>
    <t>Maurinus Roy Anggun Cahyadi</t>
  </si>
  <si>
    <t>Ketut Yudhya Wira Sutantha</t>
  </si>
  <si>
    <t>Willybordus Wahyu Prananto</t>
  </si>
  <si>
    <t>Agus Indra Gunawan</t>
  </si>
  <si>
    <t>Theng Gwat Hwa (Christine)</t>
  </si>
  <si>
    <t>Setyowati</t>
  </si>
  <si>
    <t>Ida Arianingsih</t>
  </si>
  <si>
    <t>Wahyu Wibowo</t>
  </si>
  <si>
    <t>Tri Buwono</t>
  </si>
  <si>
    <t>Bambang Yuniarto</t>
  </si>
  <si>
    <t>Yc. Fajar Nugroho Adi</t>
  </si>
  <si>
    <t>Dwipa Suyanta</t>
  </si>
  <si>
    <t>Siska Ria Andriyani</t>
  </si>
  <si>
    <t>Cahyadi Widyatmoko</t>
  </si>
  <si>
    <t>Junetty Sinabariba</t>
  </si>
  <si>
    <t>Danang Praktikto Kurniawan</t>
  </si>
  <si>
    <t>Ernalisa Br.Peranginangin</t>
  </si>
  <si>
    <t>Nani Anggorowati</t>
  </si>
  <si>
    <t>Muhamad Rusdi</t>
  </si>
  <si>
    <t>Benny Ryanto</t>
  </si>
  <si>
    <t>Arofa Abdilla Rahman</t>
  </si>
  <si>
    <t>Muhammad Zaki Hidayat</t>
  </si>
  <si>
    <t>Satyo Riessadono</t>
  </si>
  <si>
    <t>Hanhan Lukman Syahid</t>
  </si>
  <si>
    <t>Nugroho Kuncoro Yekti</t>
  </si>
  <si>
    <t>Dony Setiawan Septiono</t>
  </si>
  <si>
    <t>Yofri Furqani Hakim</t>
  </si>
  <si>
    <t>Lukfi Halim</t>
  </si>
  <si>
    <t>Syafaatun Naimah</t>
  </si>
  <si>
    <t>Hepi Hapsari Handayani</t>
  </si>
  <si>
    <t>Agung Ariwibowo</t>
  </si>
  <si>
    <t>Jati Wisnu Murthy</t>
  </si>
  <si>
    <t>Trigus Eko</t>
  </si>
  <si>
    <t>Subekti</t>
  </si>
  <si>
    <t>Alexandra Murtiningrum</t>
  </si>
  <si>
    <t>Roswaty Tapo</t>
  </si>
  <si>
    <t>Suhada</t>
  </si>
  <si>
    <t>Kristiono Harmoko</t>
  </si>
  <si>
    <t>Lushanti Kusumastuti</t>
  </si>
  <si>
    <t>Dani Yusmana</t>
  </si>
  <si>
    <t>Imanuel Kurniawan Latuputty</t>
  </si>
  <si>
    <t>I Ketut Margawan</t>
  </si>
  <si>
    <t>Ristiningsih</t>
  </si>
  <si>
    <t>Bambang Pamungkas</t>
  </si>
  <si>
    <t>Desy</t>
  </si>
  <si>
    <t>Laluyusuf Anshary</t>
  </si>
  <si>
    <t>Puja Laksana Prabawa Gunawan</t>
  </si>
  <si>
    <t>Eny Setyowati</t>
  </si>
  <si>
    <t>Mega Handayani</t>
  </si>
  <si>
    <t>Asep Slamet Mulyana</t>
  </si>
  <si>
    <t>Romey Rusdayanti</t>
  </si>
  <si>
    <t>Nifti Ventin Cahyani</t>
  </si>
  <si>
    <t>Irawan Setia Budi</t>
  </si>
  <si>
    <t>Helmy Firmansyah</t>
  </si>
  <si>
    <t>Edi Sukoco</t>
  </si>
  <si>
    <t>Havid Fauzi As Syidiq</t>
  </si>
  <si>
    <t>Antono Wirastro</t>
  </si>
  <si>
    <t>Rudy Hantoro</t>
  </si>
  <si>
    <t>Ika Yulianti</t>
  </si>
  <si>
    <t>Devryanto Panca Setyadi</t>
  </si>
  <si>
    <t>Hengky Risart Mamanua</t>
  </si>
  <si>
    <t>Catharina Nanik Subroto</t>
  </si>
  <si>
    <t>Ari Rubiasih</t>
  </si>
  <si>
    <t>Harvini Wulansari</t>
  </si>
  <si>
    <t>Agus Prasetyanto</t>
  </si>
  <si>
    <t>Ady Sihol Turnip</t>
  </si>
  <si>
    <t>Kristiawan Tri Nugroho</t>
  </si>
  <si>
    <t>Bayumurti Suryoprabowo</t>
  </si>
  <si>
    <t>Ady Prasetyawan</t>
  </si>
  <si>
    <t>Karima Kartesa</t>
  </si>
  <si>
    <t>Aria Yuliawan</t>
  </si>
  <si>
    <t>Mas Bambang Agus Wijaya</t>
  </si>
  <si>
    <t>Simon Masudiyanto</t>
  </si>
  <si>
    <t>Rizky Hendranahta Awikara</t>
  </si>
  <si>
    <t>Iwan Setiawan</t>
  </si>
  <si>
    <t>Rahmat Sudiana</t>
  </si>
  <si>
    <t>Fajar Prasetyo</t>
  </si>
  <si>
    <t>Rahmayanty</t>
  </si>
  <si>
    <t>Dovina Triastuti</t>
  </si>
  <si>
    <t>Rachmanita</t>
  </si>
  <si>
    <t>Elyta  Widyaningrum</t>
  </si>
  <si>
    <t>Diyah Novita Kurnianti</t>
  </si>
  <si>
    <t>Daniel Adi Nugroho</t>
  </si>
  <si>
    <t>Vitriani</t>
  </si>
  <si>
    <t>Chris Triwarseno</t>
  </si>
  <si>
    <t>Syamsul Bahri</t>
  </si>
  <si>
    <t>Eka Arifa Rusqiyati</t>
  </si>
  <si>
    <t>Hendro Prastowo</t>
  </si>
  <si>
    <t>Laswanto</t>
  </si>
  <si>
    <t>Tri Wahyu Widadi</t>
  </si>
  <si>
    <t>Yeane Kaya</t>
  </si>
  <si>
    <t>Indra Syafriya</t>
  </si>
  <si>
    <t>Akhmad Muktamar</t>
  </si>
  <si>
    <t>Yoni Eko Hardono</t>
  </si>
  <si>
    <t>Yogi Surnayanto</t>
  </si>
  <si>
    <t>Ikhwan Darusalam</t>
  </si>
  <si>
    <t>Arief Dwijayanto</t>
  </si>
  <si>
    <t>Aditya Sidik Waskito</t>
  </si>
  <si>
    <t>Budi Parjanto</t>
  </si>
  <si>
    <t>Ridwan Jali Nurcahyo</t>
  </si>
  <si>
    <t>Amelia Apresia Sipahutar</t>
  </si>
  <si>
    <t>Dia'lah Hokosuja Hutabalian</t>
  </si>
  <si>
    <t>Wiyono</t>
  </si>
  <si>
    <t>Dewi Andriani Waas</t>
  </si>
  <si>
    <t>Asih Nirbiyanti</t>
  </si>
  <si>
    <t>Taufik</t>
  </si>
  <si>
    <t>Bisri Musthofa</t>
  </si>
  <si>
    <t>Inge Wijaya</t>
  </si>
  <si>
    <t>Niken Zakiyati Sa'adiyah</t>
  </si>
  <si>
    <t>Dwi Haryanto</t>
  </si>
  <si>
    <t>Qurrotu'ainy</t>
  </si>
  <si>
    <t>Farida Adriyani</t>
  </si>
  <si>
    <t>Yohanes Bruri Setia Bima</t>
  </si>
  <si>
    <t>Blasius Anggoro Yuwono</t>
  </si>
  <si>
    <t>Herman Susilo Raharjo</t>
  </si>
  <si>
    <t>Mahmudi</t>
  </si>
  <si>
    <t>Tri Widaryanto</t>
  </si>
  <si>
    <t>Tri Hendrasmara Saputra</t>
  </si>
  <si>
    <t>Dedi Atunggal Sp</t>
  </si>
  <si>
    <t>King Firsa</t>
  </si>
  <si>
    <t>Cicilia Hesti Widayati</t>
  </si>
  <si>
    <t>Leo Agung Widiarto</t>
  </si>
  <si>
    <t>Yulieta</t>
  </si>
  <si>
    <t>Wahyu Suci Andirachman</t>
  </si>
  <si>
    <t>Mulia Inda Rahayu</t>
  </si>
  <si>
    <t>Adi Permadi</t>
  </si>
  <si>
    <t>Triyatmoko</t>
  </si>
  <si>
    <t>Sukamto</t>
  </si>
  <si>
    <t>Mulkal</t>
  </si>
  <si>
    <t>Iwan Junaedi</t>
  </si>
  <si>
    <t>Restitutus Biantara</t>
  </si>
  <si>
    <t>Nursidiq</t>
  </si>
  <si>
    <t>Novi Febrianti</t>
  </si>
  <si>
    <t>Yudho Dwi Hadiarto</t>
  </si>
  <si>
    <t>Yemima</t>
  </si>
  <si>
    <t>Dwi Anton Atmoko</t>
  </si>
  <si>
    <t>Hermawan Harrisaputra</t>
  </si>
  <si>
    <t>Sukartono Haribowo</t>
  </si>
  <si>
    <t>Yanuar Sulaksono</t>
  </si>
  <si>
    <t>Rinaldo Kurniawan</t>
  </si>
  <si>
    <t>Joko Nova Arianto</t>
  </si>
  <si>
    <t>Bambang Kun Cahyono</t>
  </si>
  <si>
    <t>Aryo Sudiatmoko</t>
  </si>
  <si>
    <t>Ambar Nur Hadi</t>
  </si>
  <si>
    <t>Dyah Myalisa</t>
  </si>
  <si>
    <t>Yohanes Yudo Harsanto</t>
  </si>
  <si>
    <t>Aulia Akbar</t>
  </si>
  <si>
    <t>Sam Ilham Hartoko</t>
  </si>
  <si>
    <t>Yeni Puspitasari</t>
  </si>
  <si>
    <t>Reny Octaviana</t>
  </si>
  <si>
    <t>Fachry Ansori Akbar</t>
  </si>
  <si>
    <t>Rohmiatun</t>
  </si>
  <si>
    <t>Maryoto</t>
  </si>
  <si>
    <t>Lambang Puspito Jati Y.</t>
  </si>
  <si>
    <t>Hasan Marzuki</t>
  </si>
  <si>
    <t>Komang Sri Hartini</t>
  </si>
  <si>
    <t>Septein Paramia Swantika</t>
  </si>
  <si>
    <t>Diana Wisnu Wardani</t>
  </si>
  <si>
    <t>Andri Sutopo</t>
  </si>
  <si>
    <t>Wiwit Widi Nugroho</t>
  </si>
  <si>
    <t>Maryono</t>
  </si>
  <si>
    <t>Roy Asmara</t>
  </si>
  <si>
    <t>Agus Purnama Ilham</t>
  </si>
  <si>
    <t>Gatot Esti Wijayanto</t>
  </si>
  <si>
    <t>Sa'dianor</t>
  </si>
  <si>
    <t>Muhammad Ramli S.</t>
  </si>
  <si>
    <t>I Made Martawan</t>
  </si>
  <si>
    <t>Arie Yulfa</t>
  </si>
  <si>
    <t>Ikhwanuddin</t>
  </si>
  <si>
    <t>Thomas Hardy</t>
  </si>
  <si>
    <t>Libria Sefita Dewi</t>
  </si>
  <si>
    <t>Hendra Kustono</t>
  </si>
  <si>
    <t>Rizki Niode</t>
  </si>
  <si>
    <t>Muhammad Hilmansyah</t>
  </si>
  <si>
    <t>Wahyu Andika</t>
  </si>
  <si>
    <t>Didot Indriardi</t>
  </si>
  <si>
    <t>Noviyanto Purnomohadi</t>
  </si>
  <si>
    <t>Bayu Triyogo Widyantoro</t>
  </si>
  <si>
    <t>Rahmawati</t>
  </si>
  <si>
    <t>Asep Wisnu Raharjo</t>
  </si>
  <si>
    <t>Andreas Ari Putro Dwi Nanto</t>
  </si>
  <si>
    <t>Titik Hariyanti</t>
  </si>
  <si>
    <t>Andi Wijayanto</t>
  </si>
  <si>
    <t>Arief Wicaksana</t>
  </si>
  <si>
    <t>Haeru Kusumah</t>
  </si>
  <si>
    <t>Freddy Sanjaya</t>
  </si>
  <si>
    <t>Agung Panji Patria</t>
  </si>
  <si>
    <t>Vinsensius Joko Lelono</t>
  </si>
  <si>
    <t>Jumiran</t>
  </si>
  <si>
    <t>Agung Murdhianto</t>
  </si>
  <si>
    <t>Aditya Dimas Dewanto</t>
  </si>
  <si>
    <t>Abidin</t>
  </si>
  <si>
    <t>Elfira</t>
  </si>
  <si>
    <t>Hermawan Eko Sutrisno</t>
  </si>
  <si>
    <t>Germino Wahyu Broto</t>
  </si>
  <si>
    <t>Eko Prasetyo Wibisono Mukti Nugroho</t>
  </si>
  <si>
    <t>Hendriyanto Zaki Nur Rahmat</t>
  </si>
  <si>
    <t>Hardi Suseno</t>
  </si>
  <si>
    <t>Bintang Olybert Sidabutar</t>
  </si>
  <si>
    <t>Yuda Agung Nugroho</t>
  </si>
  <si>
    <t>Ade Candra</t>
  </si>
  <si>
    <t>Aris Setiyadi</t>
  </si>
  <si>
    <t>Arif Setiawan</t>
  </si>
  <si>
    <t>IWAN NURHIDAYAT</t>
  </si>
  <si>
    <t>KRISNADI</t>
  </si>
  <si>
    <t>PRAYITNO</t>
  </si>
  <si>
    <t>ADIB PRIYATNO</t>
  </si>
  <si>
    <t>DIMAS PUTRA GEODIKA</t>
  </si>
  <si>
    <t>Alna Kharisma Paramandita</t>
  </si>
  <si>
    <t>BISMA AJI NUGRAHA</t>
  </si>
  <si>
    <t>SIDRATUL MUNTAHA</t>
  </si>
  <si>
    <t>2000</t>
  </si>
  <si>
    <t>2001</t>
  </si>
  <si>
    <t>2002</t>
  </si>
  <si>
    <t>2003</t>
  </si>
  <si>
    <t>2004</t>
  </si>
  <si>
    <t>2005</t>
  </si>
  <si>
    <t>Wahyu Setyaningrum</t>
  </si>
  <si>
    <t>Syafrisar Masri Limart</t>
  </si>
  <si>
    <t>Dharu Wedy Sunarnyoto</t>
  </si>
  <si>
    <t>Chuk Triwibowo Hadiyanto</t>
  </si>
  <si>
    <t>Aan Hasanah</t>
  </si>
  <si>
    <t>Iwan Nurhidayat</t>
  </si>
  <si>
    <t>Anita Rosalina</t>
  </si>
  <si>
    <t>Erna Purwoko</t>
  </si>
  <si>
    <t>Ruli Andaru</t>
  </si>
  <si>
    <t>Joni Setiawan</t>
  </si>
  <si>
    <t>Aris Sukmono</t>
  </si>
  <si>
    <t>Mohamad Gugus Perdana</t>
  </si>
  <si>
    <t>Zuldi Suharyanto</t>
  </si>
  <si>
    <t>Dany Sulthan</t>
  </si>
  <si>
    <t>Diyan Kurniawan</t>
  </si>
  <si>
    <t>R. Iwan Trisnawan Sagita</t>
  </si>
  <si>
    <t>Rinny Ardiyani</t>
  </si>
  <si>
    <t>Agus Dwi Atmoko</t>
  </si>
  <si>
    <t>Muchamad Wahyu Trinugroho</t>
  </si>
  <si>
    <t xml:space="preserve">Antonius Bayu Wicaksono </t>
  </si>
  <si>
    <t>Arif Rachman Rustamaji</t>
  </si>
  <si>
    <t>Endra Ecstasy</t>
  </si>
  <si>
    <t>Agung Nugroho</t>
  </si>
  <si>
    <t>Dede Wahyudi</t>
  </si>
  <si>
    <t>Cicilia Susy Setyo Cahyani</t>
  </si>
  <si>
    <t>Dimas Hanityawan Suryopuspito</t>
  </si>
  <si>
    <t>Ratu Ayu Dinar Wira Pertiwi</t>
  </si>
  <si>
    <t>Zamilul Muttaqien</t>
  </si>
  <si>
    <t>Hotmatio</t>
  </si>
  <si>
    <t>Andhy Natalis</t>
  </si>
  <si>
    <t>Dimas Rahadian</t>
  </si>
  <si>
    <t>Eko Budiarto</t>
  </si>
  <si>
    <t>Sudirno</t>
  </si>
  <si>
    <t>Wira Yunanda</t>
  </si>
  <si>
    <t>Budiansani</t>
  </si>
  <si>
    <t>Syohraeni</t>
  </si>
  <si>
    <t>Gentur Muryanto</t>
  </si>
  <si>
    <t>Muhammad Alfath</t>
  </si>
  <si>
    <t>Nurida Fatmawati</t>
  </si>
  <si>
    <t>Tri Nindyah Taptosari</t>
  </si>
  <si>
    <t>Juni Tri Ratnasari</t>
  </si>
  <si>
    <t>Aan Afianto</t>
  </si>
  <si>
    <t>Arrief Prambodo</t>
  </si>
  <si>
    <t>I Wayan Sesana Samiarta</t>
  </si>
  <si>
    <t>Fx. Widorasmo Aji</t>
  </si>
  <si>
    <t>Yuli Asnanto</t>
  </si>
  <si>
    <t>Badruszaman</t>
  </si>
  <si>
    <t>Rino Ari Wibowo</t>
  </si>
  <si>
    <t>Fery Mulyadi</t>
  </si>
  <si>
    <t>Danang Agus Cahyono</t>
  </si>
  <si>
    <t>Eka Dian Ratri</t>
  </si>
  <si>
    <t>Aris Wibowo</t>
  </si>
  <si>
    <t>Iman Sadesmesli</t>
  </si>
  <si>
    <t>Cut Susanti</t>
  </si>
  <si>
    <t>Andika Budi Pratama</t>
  </si>
  <si>
    <t>Endah Pakarti</t>
  </si>
  <si>
    <t>Yusrizal Fahmi</t>
  </si>
  <si>
    <t>Yan Fouradi Surbakti</t>
  </si>
  <si>
    <t>April Tonapa</t>
  </si>
  <si>
    <t>Saipul Bahri</t>
  </si>
  <si>
    <t>Herman Effendi</t>
  </si>
  <si>
    <t>Advian Wahdi</t>
  </si>
  <si>
    <t>Nofri Kurniawan</t>
  </si>
  <si>
    <t>Fendi Sulistiyo</t>
  </si>
  <si>
    <t>Irwan Wahyu Kurniawan</t>
  </si>
  <si>
    <t>Evendi Nugroho</t>
  </si>
  <si>
    <t>Roni Ismail Marzuqi</t>
  </si>
  <si>
    <t>Paulus Setyo Dwipradigdo</t>
  </si>
  <si>
    <t>Oka Pratama</t>
  </si>
  <si>
    <t>Aris Santoso</t>
  </si>
  <si>
    <t>Yahya</t>
  </si>
  <si>
    <t>Krisnadi</t>
  </si>
  <si>
    <t>Imam Baskoro</t>
  </si>
  <si>
    <t>Pirmansah</t>
  </si>
  <si>
    <t>Adi Kusnawan</t>
  </si>
  <si>
    <t>Nila Aulia</t>
  </si>
  <si>
    <t>Yuni Catur Utami</t>
  </si>
  <si>
    <t>Gunawan Wisnu Wardhana</t>
  </si>
  <si>
    <t>Nur Handayani</t>
  </si>
  <si>
    <t>Prayitno</t>
  </si>
  <si>
    <t>Prasetyo Wibowo</t>
  </si>
  <si>
    <t>Sigit Kurniawan</t>
  </si>
  <si>
    <t>Roni Fajar Wibowo</t>
  </si>
  <si>
    <t>Adhityo Susilo Nugroho</t>
  </si>
  <si>
    <t>Nugroho Bayu Saputro</t>
  </si>
  <si>
    <t>Subhan Bahri</t>
  </si>
  <si>
    <t>Hari Sutopo</t>
  </si>
  <si>
    <t>Hendra Kurnia Febriawan</t>
  </si>
  <si>
    <t>Tanto Setiawan</t>
  </si>
  <si>
    <t>Boby Dwi Arisona</t>
  </si>
  <si>
    <t>Sigit Prabowo</t>
  </si>
  <si>
    <t>Marice Kristiana Manulang</t>
  </si>
  <si>
    <t>Bisma Jaya Zakaria</t>
  </si>
  <si>
    <t>Rika Ermaya Maysaroch</t>
  </si>
  <si>
    <t>Titis Listyowati</t>
  </si>
  <si>
    <t>Michael Yanu Kusumakristi</t>
  </si>
  <si>
    <t>Ifah Rahmawati</t>
  </si>
  <si>
    <t>Tamim Thobibah</t>
  </si>
  <si>
    <t>Eko Widi Susanto</t>
  </si>
  <si>
    <t>Muhammad Irfan</t>
  </si>
  <si>
    <t>Sukmawati Setyaningtyas</t>
  </si>
  <si>
    <t>San Pamunkas Rudianto</t>
  </si>
  <si>
    <t>Handoko Putro Wicaksono</t>
  </si>
  <si>
    <t>Erwin Prasetiyo</t>
  </si>
  <si>
    <t>Dwi Rini Hartati</t>
  </si>
  <si>
    <t>Zilfananda</t>
  </si>
  <si>
    <t>Khikmanto Supribadi</t>
  </si>
  <si>
    <t>Tunjung Purnamasari</t>
  </si>
  <si>
    <t>Hendra Ahmad Firdaus</t>
  </si>
  <si>
    <t>Awan Setiawan</t>
  </si>
  <si>
    <t>Anom Wijono</t>
  </si>
  <si>
    <t>Erfan Dany Variandy</t>
  </si>
  <si>
    <t>Dian Pertiwi</t>
  </si>
  <si>
    <t>I Gst Ngurah Anom</t>
  </si>
  <si>
    <t>Sigit Nurcahyono</t>
  </si>
  <si>
    <t>Fajar Sunarjanto</t>
  </si>
  <si>
    <t>Sumarno</t>
  </si>
  <si>
    <t>Hendra Ramdhani</t>
  </si>
  <si>
    <t>Muhamad Imam Sayuti</t>
  </si>
  <si>
    <t>Fredy Hary Purwanto</t>
  </si>
  <si>
    <t>A Maria Tanjung</t>
  </si>
  <si>
    <t>Dicky Zulkarnain</t>
  </si>
  <si>
    <t>Hadi Yuntarto</t>
  </si>
  <si>
    <t>Runni Noviani</t>
  </si>
  <si>
    <t>Novianingrum Ekarina Sudaryanto</t>
  </si>
  <si>
    <t>Ariawan Prasetyo</t>
  </si>
  <si>
    <t>Sigitjoko Purwanto</t>
  </si>
  <si>
    <t>Bayu Kurniawan Rumono</t>
  </si>
  <si>
    <t>Fitria Sekar Endah</t>
  </si>
  <si>
    <t>Trika Cipta Utama</t>
  </si>
  <si>
    <t>Indra Darusman</t>
  </si>
  <si>
    <t>Guron Septoharjo</t>
  </si>
  <si>
    <t>Parulian Sihaloho</t>
  </si>
  <si>
    <t>Amy Muharam</t>
  </si>
  <si>
    <t>Rheindera Bagus Setiawan</t>
  </si>
  <si>
    <t>Irawan Prayoko</t>
  </si>
  <si>
    <t>Adib Priyatno</t>
  </si>
  <si>
    <t>Muzammil Rahapurna</t>
  </si>
  <si>
    <t>Ensi Estianto Ari P</t>
  </si>
  <si>
    <t>Welly Christian Saropati Zaluchu</t>
  </si>
  <si>
    <t>Lita Dhamayanti</t>
  </si>
  <si>
    <t>Dina Prananingrum</t>
  </si>
  <si>
    <t>Najib Khoerul Amin</t>
  </si>
  <si>
    <t>Hendry Yuli Wibowo</t>
  </si>
  <si>
    <t>Agung Prastowo</t>
  </si>
  <si>
    <t>Rahmanudin</t>
  </si>
  <si>
    <t>Muhammad Afif Nugroho</t>
  </si>
  <si>
    <t>Rully Widyaningsih</t>
  </si>
  <si>
    <t>Enda Latersia Br. Pinem</t>
  </si>
  <si>
    <t>Jefry Arianta Timisela</t>
  </si>
  <si>
    <t>Deni Indriani</t>
  </si>
  <si>
    <t>Rofi’ah</t>
  </si>
  <si>
    <t>Kawit Fitriyani</t>
  </si>
  <si>
    <t>Ardhinov Jagis Theogarfokk</t>
  </si>
  <si>
    <t>Aditya Arie Wibowo</t>
  </si>
  <si>
    <t>Ariyanto Suryotejo</t>
  </si>
  <si>
    <t>Aldiansyah</t>
  </si>
  <si>
    <t>Yudha Adicita</t>
  </si>
  <si>
    <t>Januarisni Tri Wardani</t>
  </si>
  <si>
    <t>Herlambang Eka Andriyanta</t>
  </si>
  <si>
    <t>Danang Widitomo</t>
  </si>
  <si>
    <t>Seprizki Prayuda</t>
  </si>
  <si>
    <t>Lesmana Jauharie</t>
  </si>
  <si>
    <t>Deddy Kurniawan</t>
  </si>
  <si>
    <t>Risa Rahajeng</t>
  </si>
  <si>
    <t>Reni Mujiandari</t>
  </si>
  <si>
    <t>Anik Endah Puspitasari</t>
  </si>
  <si>
    <t>Mei Eko Susanto</t>
  </si>
  <si>
    <t>Albert Launardus</t>
  </si>
  <si>
    <t>Sukmo Pinuji</t>
  </si>
  <si>
    <t>I Gede Pasek Sutrana Andyana</t>
  </si>
  <si>
    <t>I Made Priastina</t>
  </si>
  <si>
    <t>Eva Novita</t>
  </si>
  <si>
    <t>Dwi Siang Pratiwi</t>
  </si>
  <si>
    <t>Wulung Prasetya</t>
  </si>
  <si>
    <t>Foremil Deila Pandu Silalahi</t>
  </si>
  <si>
    <t>Johan Ari Nirmana</t>
  </si>
  <si>
    <t>Achmad Widiyanto</t>
  </si>
  <si>
    <t>Bambang Nurjaka</t>
  </si>
  <si>
    <t>Raden Rara Patricia Agustin Dian Artarini Bere Mayor</t>
  </si>
  <si>
    <t>Ali Nurmoko</t>
  </si>
  <si>
    <t>Marthalina Indhawati</t>
  </si>
  <si>
    <t>Wulansih</t>
  </si>
  <si>
    <t>Sulistyono</t>
  </si>
  <si>
    <t>Dyera Costulani Manik</t>
  </si>
  <si>
    <t>Endah Susanti</t>
  </si>
  <si>
    <t>Sekarputri Damaringtyas</t>
  </si>
  <si>
    <t>Eka Juli Fitriyaningrum</t>
  </si>
  <si>
    <t>Puspo Dwi Nugroho</t>
  </si>
  <si>
    <t>Dewi Nyonyo Rezkiani</t>
  </si>
  <si>
    <t>Singga Darajat</t>
  </si>
  <si>
    <t>A. Haris</t>
  </si>
  <si>
    <t>Irfan Arfianto</t>
  </si>
  <si>
    <t>Astur Kurniawan</t>
  </si>
  <si>
    <t>Nurul Hani</t>
  </si>
  <si>
    <t>Muhammad Adenan</t>
  </si>
  <si>
    <t>Maharani Sekarlaranti  Rp</t>
  </si>
  <si>
    <t>Atriyon Julzarika</t>
  </si>
  <si>
    <t>Reni Swastika</t>
  </si>
  <si>
    <t>Ita Dwi Kisworini</t>
  </si>
  <si>
    <t>Djoko Purnomo</t>
  </si>
  <si>
    <t>John David Perkasa Munthe</t>
  </si>
  <si>
    <t>Anthonius Anggoro Kristiyanto</t>
  </si>
  <si>
    <t>Adi Ristanto</t>
  </si>
  <si>
    <t>Guntur Ari Waspodo</t>
  </si>
  <si>
    <t>Hermawan</t>
  </si>
  <si>
    <t>Alfandi Pramandaru</t>
  </si>
  <si>
    <t>Andy Rolofson Sinaga</t>
  </si>
  <si>
    <t>Arum Lestari</t>
  </si>
  <si>
    <t>Yunita Irawati</t>
  </si>
  <si>
    <t>Endah Kurniati</t>
  </si>
  <si>
    <t>Fitra Rochendi</t>
  </si>
  <si>
    <t>Bambang Anggoro Wiratno</t>
  </si>
  <si>
    <t>Roy Arixona Ginting</t>
  </si>
  <si>
    <t>Indra Karyanto</t>
  </si>
  <si>
    <t>Fran Rante Mende</t>
  </si>
  <si>
    <t>Nur Aliya</t>
  </si>
  <si>
    <t>Adnan Arif Nurdian Syah</t>
  </si>
  <si>
    <t>Fursan Arif</t>
  </si>
  <si>
    <t>Iqro Firmani</t>
  </si>
  <si>
    <t>Ema Novitaningrum</t>
  </si>
  <si>
    <t>Riza Sahputra</t>
  </si>
  <si>
    <t>Damianus Kusuma Dwitanto</t>
  </si>
  <si>
    <t>Imanuddin</t>
  </si>
  <si>
    <t>Hidayat</t>
  </si>
  <si>
    <t>Ariyo Danang Satriyo</t>
  </si>
  <si>
    <t>Nugroho Ajisantoso</t>
  </si>
  <si>
    <t>Khoirul Umar</t>
  </si>
  <si>
    <t>Fitri Astika Mahargyaning Tyas</t>
  </si>
  <si>
    <t>Atika Pribawanti</t>
  </si>
  <si>
    <t>Hanief Muttaqien</t>
  </si>
  <si>
    <t>David Roma Simanungkalit</t>
  </si>
  <si>
    <t>Rolina Dc. Bobihoe</t>
  </si>
  <si>
    <t>Thomas Dedi Kurniawan</t>
  </si>
  <si>
    <t>Afdoni</t>
  </si>
  <si>
    <t>Hafid Aji Prasetyo</t>
  </si>
  <si>
    <t>Sagita Nuraini</t>
  </si>
  <si>
    <t>Aditia Dwi Cahyani Fatah</t>
  </si>
  <si>
    <t xml:space="preserve">Rahmatyas Puspaningrum </t>
  </si>
  <si>
    <t>Ade Jimmy Syafrul</t>
  </si>
  <si>
    <t>Neni Triana</t>
  </si>
  <si>
    <t>Eko Budi Prabowo</t>
  </si>
  <si>
    <t>Fika Monika</t>
  </si>
  <si>
    <t>Budi Afriadi</t>
  </si>
  <si>
    <t>Abu Yasir Sunaryo</t>
  </si>
  <si>
    <t>Imam Syaifudin</t>
  </si>
  <si>
    <t>Maximillian Kolbe Widhi Wijayanto</t>
  </si>
  <si>
    <t>Eko Sulistiyono</t>
  </si>
  <si>
    <t>Lalu Akhmad Rifaat</t>
  </si>
  <si>
    <t>Welly Sonhaji</t>
  </si>
  <si>
    <t>Novilia</t>
  </si>
  <si>
    <t>Edi Wirawan</t>
  </si>
  <si>
    <t>W. Dodie N.P. Pangaribuan</t>
  </si>
  <si>
    <t>Bagus Waskito Adi</t>
  </si>
  <si>
    <t>Jungjungan Partogi Hasintongan Lumbantobing</t>
  </si>
  <si>
    <t>Mohammad Fatchurochman</t>
  </si>
  <si>
    <t>Satria Eka Permana</t>
  </si>
  <si>
    <t>Linda Permata Sari</t>
  </si>
  <si>
    <t>Alif Ardy Saputra</t>
  </si>
  <si>
    <t>Afpin Prabowo S</t>
  </si>
  <si>
    <t>Heri Mulyantoro</t>
  </si>
  <si>
    <t>Sofyan Jaya Wardana</t>
  </si>
  <si>
    <t>Listiyo Fitri</t>
  </si>
  <si>
    <t>Muhamad Agung Rahman</t>
  </si>
  <si>
    <t>Arwan Putra Wijaya</t>
  </si>
  <si>
    <t>Didik Nugroho</t>
  </si>
  <si>
    <t>Syamsul Rajab</t>
  </si>
  <si>
    <t>Fauzya Rachman</t>
  </si>
  <si>
    <t>Febriani Ayuningsih</t>
  </si>
  <si>
    <t>Nidya Anggasari</t>
  </si>
  <si>
    <t>Ihsan Rivano</t>
  </si>
  <si>
    <t>Intan Mestika</t>
  </si>
  <si>
    <t>Renhard Siahaan</t>
  </si>
  <si>
    <t>Saiful Bahri</t>
  </si>
  <si>
    <t>Sidiq Isnanto</t>
  </si>
  <si>
    <t>Adhi Yudha Perwita</t>
  </si>
  <si>
    <t>Haryo Kusuma Wibawa</t>
  </si>
  <si>
    <t>Kelmindo Andwidono Wibowo</t>
  </si>
  <si>
    <t>Bernard Saragih Sidabutar</t>
  </si>
  <si>
    <t>Fransiscus Xaverius Wisnu Prabawa</t>
  </si>
  <si>
    <t>I Gede Agus Sudiatmika</t>
  </si>
  <si>
    <t>Irfanuddin</t>
  </si>
  <si>
    <t>Valka Perwara</t>
  </si>
  <si>
    <t>Dimas Putra Geodika</t>
  </si>
  <si>
    <t>I Wayan Gede Krisna Arimjaya</t>
  </si>
  <si>
    <t>Nanang Ariyanto</t>
  </si>
  <si>
    <t>Farid Yuniar</t>
  </si>
  <si>
    <t>Anggo Puguh Nugroho</t>
  </si>
  <si>
    <t>Rina Fajar Kusuma</t>
  </si>
  <si>
    <t>Jatmiko</t>
  </si>
  <si>
    <t>Chandra Wardana</t>
  </si>
  <si>
    <t>Budi Yanto</t>
  </si>
  <si>
    <t>Sumadi</t>
  </si>
  <si>
    <t>Devi Mawat Dzatawa Rohmah</t>
  </si>
  <si>
    <t>Ilham Lailurrahman</t>
  </si>
  <si>
    <t>Yayat Ardiansyah</t>
  </si>
  <si>
    <t>Asih Isqiatin</t>
  </si>
  <si>
    <t>Suryanto</t>
  </si>
  <si>
    <t>Ulul Ashar Kuswantoro</t>
  </si>
  <si>
    <t>Ika Kristina Noviyanti</t>
  </si>
  <si>
    <t>Susilo Widiyantoro</t>
  </si>
  <si>
    <t>Dwiko Unggul Prabowo</t>
  </si>
  <si>
    <t>Niajeng Pramesti</t>
  </si>
  <si>
    <t>Ria Kusuma Rizki</t>
  </si>
  <si>
    <t>Riadianti Anisz Pararti Putri</t>
  </si>
  <si>
    <t>Abdul Muthalib Hamid</t>
  </si>
  <si>
    <t>Made Riski Prayoga</t>
  </si>
  <si>
    <t>Ilham Arifudin Latief</t>
  </si>
  <si>
    <t>Vito Haga Mursa</t>
  </si>
  <si>
    <t>Neti Kusumastuti</t>
  </si>
  <si>
    <t xml:space="preserve">Julian Saputra   </t>
  </si>
  <si>
    <t>Anof Frianzah</t>
  </si>
  <si>
    <t>Ardian Munawar</t>
  </si>
  <si>
    <t>Perdana Rian</t>
  </si>
  <si>
    <t>Mohammad Aldiaka Perdana Ikrartaruna</t>
  </si>
  <si>
    <t>Ariffin Ghozali</t>
  </si>
  <si>
    <t>Deasy Rizqiana</t>
  </si>
  <si>
    <t>Febri Iswanto</t>
  </si>
  <si>
    <t>M. Harish Mafaaza</t>
  </si>
  <si>
    <t>Wahyu Marta Mutiarasari</t>
  </si>
  <si>
    <t>Steffi Dwithasari</t>
  </si>
  <si>
    <t>Denni Pascasakti</t>
  </si>
  <si>
    <t>Yosafat Reza Leonard</t>
  </si>
  <si>
    <t>Aisyiyah Destri Widyani</t>
  </si>
  <si>
    <t xml:space="preserve">N. Nala Aswina Dharmawan </t>
  </si>
  <si>
    <t>Eli Juniati</t>
  </si>
  <si>
    <t>Panji Galih Persada</t>
  </si>
  <si>
    <t>Yudhi Prabowo</t>
  </si>
  <si>
    <t>Chandra Dwi Wiratno</t>
  </si>
  <si>
    <t>Bisma Aji Nugraha</t>
  </si>
  <si>
    <t>Sidratul Muntaha</t>
  </si>
  <si>
    <t>Antonius Ardi Nugroho</t>
  </si>
  <si>
    <t>Eka Sukma Nugraha</t>
  </si>
  <si>
    <t>Ihsan Handoko Saputro</t>
  </si>
  <si>
    <t xml:space="preserve">Rifqi Efiariha </t>
  </si>
  <si>
    <t>Prilnali Eka Putra</t>
  </si>
  <si>
    <t>Yudhi Rahmadi</t>
  </si>
  <si>
    <t>Noor Faiq</t>
  </si>
  <si>
    <t>Sinta Arisona</t>
  </si>
  <si>
    <t>Didi Tri Wibowo</t>
  </si>
  <si>
    <t>Jackson Valentinus  Simanjuntak</t>
  </si>
  <si>
    <t>Elisa Septriyani</t>
  </si>
  <si>
    <t>Febrylian Fahmi C.</t>
  </si>
  <si>
    <t>Annisa Rohmah Suciani</t>
  </si>
  <si>
    <t>Galih Setiawan</t>
  </si>
  <si>
    <t>Rusihan Anwar Diniy</t>
  </si>
  <si>
    <t>Rahardina Permata Sari</t>
  </si>
  <si>
    <t>Amalia Siti Rohma</t>
  </si>
  <si>
    <t>Dina Citra Nirmala</t>
  </si>
  <si>
    <t>Aldino Rizaldy</t>
  </si>
  <si>
    <t>Sofyan Khairul Anwar</t>
  </si>
  <si>
    <t>Adhitya Eka Pria Wardhana</t>
  </si>
  <si>
    <t>JATI WIJAYATMO</t>
  </si>
  <si>
    <t>MUZAYYIN MAHBUB</t>
  </si>
  <si>
    <t>Wieta Martiane</t>
  </si>
  <si>
    <t>Amanah Anggun Prabandari</t>
  </si>
  <si>
    <t>Mahardhika Ega Nugrahaeni</t>
  </si>
  <si>
    <t>Faiz Karmani</t>
  </si>
  <si>
    <t>Dwiyanthi Kusumawardhani</t>
  </si>
  <si>
    <t>Riza Taufiq Akbar</t>
  </si>
  <si>
    <t>Wendhi Aptara Kustomo</t>
  </si>
  <si>
    <t>Martein Adigana</t>
  </si>
  <si>
    <t>Pratita Yuniasri</t>
  </si>
  <si>
    <t>GITA DELLA MARAHATI</t>
  </si>
  <si>
    <t>MULYA SINA DIPUTRA</t>
  </si>
  <si>
    <t>I Gede Widana</t>
  </si>
  <si>
    <t>Rr. Suspima Wulandari</t>
  </si>
  <si>
    <t>Gia Adi Pramanda</t>
  </si>
  <si>
    <t>Irene Septifa Wihasti</t>
  </si>
  <si>
    <t>Dwi Purnasari</t>
  </si>
  <si>
    <t>Budhi Aprianti</t>
  </si>
  <si>
    <t>Putri Hilda Zubaidiyah</t>
  </si>
  <si>
    <t>Elisa Maiyenti</t>
  </si>
  <si>
    <t>I Wayan Agus Darma</t>
  </si>
  <si>
    <t>Sekar Pranadita</t>
  </si>
  <si>
    <t>Zuriabangkit Muazisanjaya</t>
  </si>
  <si>
    <t>Nur Fajriah</t>
  </si>
  <si>
    <t>Juang Putra Widyangga</t>
  </si>
  <si>
    <t>Fitria Laili Azizah</t>
  </si>
  <si>
    <t>Haryo Widianing Wibowo</t>
  </si>
  <si>
    <t>Khusnul Fathoni</t>
  </si>
  <si>
    <t>Aryati Widiastuti</t>
  </si>
  <si>
    <t>Wafa Ginanjar Putra</t>
  </si>
  <si>
    <t>Ari Wicaksono</t>
  </si>
  <si>
    <t>Mochamad Reza Novaryanto</t>
  </si>
  <si>
    <t>Hafidzur Rosyad Al Makhi</t>
  </si>
  <si>
    <t>Restu Khoerul Umam</t>
  </si>
  <si>
    <t>Dinal Haqie</t>
  </si>
  <si>
    <t>Pega Aji Sitama</t>
  </si>
  <si>
    <t>Farchan Safri Banna</t>
  </si>
  <si>
    <t>Singgih Ari Wibowo</t>
  </si>
  <si>
    <t>Retna Handayani</t>
  </si>
  <si>
    <t>Githa Eka Rosalina</t>
  </si>
  <si>
    <t>I Gst Ngr Yoga Jayantara</t>
  </si>
  <si>
    <t>Nurul Rahma Putri Dika</t>
  </si>
  <si>
    <t>Hardian Iskandar</t>
  </si>
  <si>
    <t>Aghuts Salim</t>
  </si>
  <si>
    <t>Agus Sukma Yogiswara</t>
  </si>
  <si>
    <t>Wahyu Eko Purnomo</t>
  </si>
  <si>
    <t>Paolo Tuanakotta Siregar</t>
  </si>
  <si>
    <t>Nadila Tania</t>
  </si>
  <si>
    <t>Zulaika Sukma</t>
  </si>
  <si>
    <t>Sekendi Andriaji</t>
  </si>
  <si>
    <t>Ady Satya Kurniawan</t>
  </si>
  <si>
    <t>Irfani Indra Nur Rokhman</t>
  </si>
  <si>
    <t>Rizky Al Ikhlas</t>
  </si>
  <si>
    <t>Fitri Wulandari</t>
  </si>
  <si>
    <t>Zulfa Syathari</t>
  </si>
  <si>
    <t>Muhammad Ainun Najib</t>
  </si>
  <si>
    <t>Monzeri Desilva</t>
  </si>
  <si>
    <t>Gogo Matondi Rambe</t>
  </si>
  <si>
    <t>I Nyoman Hendy Gian Janitra</t>
  </si>
  <si>
    <t>Berlin Janrico Makarios Naibaho</t>
  </si>
  <si>
    <t>Aqil Rahmatullah</t>
  </si>
  <si>
    <t>Sufyan Noviansyah</t>
  </si>
  <si>
    <t>Rizky Erlangga</t>
  </si>
  <si>
    <t>Gusti Hurmuzan Ardiansyah</t>
  </si>
  <si>
    <t>Rosit Setiawan</t>
  </si>
  <si>
    <t>Audi Rahmat Avicienda</t>
  </si>
  <si>
    <t>Dewanto Prasetyo Aji</t>
  </si>
  <si>
    <t>Febrian Bayu Dwi Pramana Putra</t>
  </si>
  <si>
    <t>Agung Widcha Aulia Rachman</t>
  </si>
  <si>
    <t>Ardy Setya Prayoga</t>
  </si>
  <si>
    <t>Aizzat Abd Fattah</t>
  </si>
  <si>
    <t>Sri Windari</t>
  </si>
  <si>
    <t>Siti Nurjanah</t>
  </si>
  <si>
    <t>Edward Wijaya</t>
  </si>
  <si>
    <t>Dhani Aditya</t>
  </si>
  <si>
    <t>Muhamad Saydul Bilad</t>
  </si>
  <si>
    <t>Sang Putu Indra Gunawan</t>
  </si>
  <si>
    <t>Erlyna Nour Arrofiqoh</t>
  </si>
  <si>
    <t>Hilmiyati Ulinnuha</t>
  </si>
  <si>
    <t>Rahmat Sidik</t>
  </si>
  <si>
    <t>Yoga Bayu Aji Pradana</t>
  </si>
  <si>
    <t>Indro Wicaksono</t>
  </si>
  <si>
    <t>Ida Melasari</t>
  </si>
  <si>
    <t>Dessy Apriyanti</t>
  </si>
  <si>
    <t>Yasir Agus Hartanto</t>
  </si>
  <si>
    <t>Darnila</t>
  </si>
  <si>
    <t>Wulansari Ebtasetyaningsih</t>
  </si>
  <si>
    <t>Brigitta Yolanda Puspa Persada</t>
  </si>
  <si>
    <t>Dicky Prima Dimantikha</t>
  </si>
  <si>
    <t>Dian Kristiana Tanjung</t>
  </si>
  <si>
    <t>Heppy Wulandari</t>
  </si>
  <si>
    <t>Siti Rahmi Pratiwi</t>
  </si>
  <si>
    <t>Isna Uswatun Khasanah</t>
  </si>
  <si>
    <t>Dito Prasetyo</t>
  </si>
  <si>
    <t>Arys Setya Gusmana</t>
  </si>
  <si>
    <t>Cendekia Ivanna Fatmawati</t>
  </si>
  <si>
    <t>Ginanjar Ihsan Prabowo</t>
  </si>
  <si>
    <t>Sukma Nur Oktavia</t>
  </si>
  <si>
    <t>Arum Wahyu Hastuti</t>
  </si>
  <si>
    <t>Azizul Izza</t>
  </si>
  <si>
    <t>Ramdhan Hidayat</t>
  </si>
  <si>
    <t>Diah Kartikasari Nasution</t>
  </si>
  <si>
    <t>Hanif Ilmawan</t>
  </si>
  <si>
    <t>Winda Kurniawati</t>
  </si>
  <si>
    <t>Muhammad Ashar</t>
  </si>
  <si>
    <t>Nimas Hayu Merlina Anggarini</t>
  </si>
  <si>
    <t>Charlinda Puspitasari</t>
  </si>
  <si>
    <t>Novi Aristia</t>
  </si>
  <si>
    <t>Nikma Fista Safrina</t>
  </si>
  <si>
    <t>Widastama Angga Permana</t>
  </si>
  <si>
    <t>Pethit Gantang Dewantoro</t>
  </si>
  <si>
    <t>Miranty Noor Sulistyawati</t>
  </si>
  <si>
    <t>Septin Mulatsih Rezki</t>
  </si>
  <si>
    <t>Dian Sulaksono</t>
  </si>
  <si>
    <t>Zulfan Nazal</t>
  </si>
  <si>
    <t>Anindya Sricandra Prasidya</t>
  </si>
  <si>
    <t>Made Ayu Juni Hartini</t>
  </si>
  <si>
    <t>Rizky Ayu Pratiwi</t>
  </si>
  <si>
    <t>Achmad Radama Rinardi</t>
  </si>
  <si>
    <t>Muhammad Rahadian Barnadib</t>
  </si>
  <si>
    <t>I Made Indra Wirawan</t>
  </si>
  <si>
    <t>Abdussalam Hidayat</t>
  </si>
  <si>
    <t>Wardono</t>
  </si>
  <si>
    <t>Dedyk Ade Iskandar</t>
  </si>
  <si>
    <t>Ajeng Arimiratna Kripsiana</t>
  </si>
  <si>
    <t>M. Rizqi</t>
  </si>
  <si>
    <t>Yoga Aratama</t>
  </si>
  <si>
    <t>Heri Yusman</t>
  </si>
  <si>
    <t>Rizqie Adhitrisna Budhi</t>
  </si>
  <si>
    <t>Bayu Afdilla Al-Husain</t>
  </si>
  <si>
    <t>Fahmi Yuni Andari</t>
  </si>
  <si>
    <t>Ibnu Listian Kautsartama</t>
  </si>
  <si>
    <t>Siti Noor Chayati</t>
  </si>
  <si>
    <t>Brilyan Jati Wijaya</t>
  </si>
  <si>
    <t>Muhammad Ardian</t>
  </si>
  <si>
    <t>Patra Manda Sinulingga</t>
  </si>
  <si>
    <t>Ussisa Annisari</t>
  </si>
  <si>
    <t>Afradon Aditya Setyawan</t>
  </si>
  <si>
    <t>Guge Faizal Rahman Bastarie</t>
  </si>
  <si>
    <t>Qori Tri Kurnia</t>
  </si>
  <si>
    <t>Saptiana Mardhiyah</t>
  </si>
  <si>
    <t>Christanto Michael Pandapotan Nainggolan</t>
  </si>
  <si>
    <t>Fajar Sidiq Palupi</t>
  </si>
  <si>
    <t>Hastika Darmawati</t>
  </si>
  <si>
    <t>I Made Surya Adi Chandra</t>
  </si>
  <si>
    <t>Kusmantoyo Ardi Pamungkas</t>
  </si>
  <si>
    <t>Muhammad Irsan Sinaga</t>
  </si>
  <si>
    <t>Nurulita Dewi Tri Aryuni</t>
  </si>
  <si>
    <t>Ahmad Arvy Fachrully</t>
  </si>
  <si>
    <t>Ali Ibadurohman</t>
  </si>
  <si>
    <t>Riya Nur Azizah</t>
  </si>
  <si>
    <t>Muhammad Reza Muzadhin</t>
  </si>
  <si>
    <t>Riki Nursetiyadi</t>
  </si>
  <si>
    <t>Anisa Adinaningrum</t>
  </si>
  <si>
    <t>Muhammad Arif Sudibyo</t>
  </si>
  <si>
    <t>Ni Putu Praja Chintya</t>
  </si>
  <si>
    <t>Ita Margasari</t>
  </si>
  <si>
    <t>Wildan Wahyu Saputra</t>
  </si>
  <si>
    <t>Syafrisar Putra Asbintari</t>
  </si>
  <si>
    <t>Okky Aditia Nur Pratama</t>
  </si>
  <si>
    <t>Yudhono Prakoso</t>
  </si>
  <si>
    <t>Arif Setyaji</t>
  </si>
  <si>
    <t>Nur Aini Salamah</t>
  </si>
  <si>
    <t>Fresy Bastyan Nosicca</t>
  </si>
  <si>
    <t>Maritsa Faridatunnisa</t>
  </si>
  <si>
    <t>Adeit Arafat</t>
  </si>
  <si>
    <t>Adib Muhammad Shodiq</t>
  </si>
  <si>
    <t>Annisaa Mayangsari</t>
  </si>
  <si>
    <t>Adelia Rahmah</t>
  </si>
  <si>
    <t>Hesti Nur Septa Anggraini</t>
  </si>
  <si>
    <t>Dwi Wahyuningrum</t>
  </si>
  <si>
    <t>Monica Maharani</t>
  </si>
  <si>
    <t>Rahmawati Dwi Kusumasari</t>
  </si>
  <si>
    <t>Adelino Soares Fernandes</t>
  </si>
  <si>
    <t>Kusumo Nugroho</t>
  </si>
  <si>
    <t>Lintang Ratri</t>
  </si>
  <si>
    <t>Ardyanto Dito Prayogo</t>
  </si>
  <si>
    <t>Diyah Nova Nurjanah</t>
  </si>
  <si>
    <t>M. Fariz Yudistira</t>
  </si>
  <si>
    <t>Lutfi Laudza'i</t>
  </si>
  <si>
    <t>Akhla Sabila</t>
  </si>
  <si>
    <t>Muhamad Aridha</t>
  </si>
  <si>
    <t>Zhafirah Syarafina</t>
  </si>
  <si>
    <t>Advent Cahya Aji</t>
  </si>
  <si>
    <t>Angga Vergianto</t>
  </si>
  <si>
    <t>Muhammad Reza Hasan Fahmi</t>
  </si>
  <si>
    <t>Teguh Sulistian</t>
  </si>
  <si>
    <t>Wahyu Dwiyani Eko</t>
  </si>
  <si>
    <t>Muhammad Aulia Adhyawan</t>
  </si>
  <si>
    <t>Niken Dwi Sulistyaningrum</t>
  </si>
  <si>
    <t>Shafira Dwi Cahyani</t>
  </si>
  <si>
    <t>Maria Yozantika</t>
  </si>
  <si>
    <t>Endy Agustian</t>
  </si>
  <si>
    <t>Halim Wiranata</t>
  </si>
  <si>
    <t>Saiful Annas</t>
  </si>
  <si>
    <t>Muhammad Syahrullah Fathulhuda</t>
  </si>
  <si>
    <t>Bayu Tri Wibowo</t>
  </si>
  <si>
    <t>Aldila Desy Nuryana Putri</t>
  </si>
  <si>
    <t>Febrian Catur Wahyu Saputra</t>
  </si>
  <si>
    <t>Susana Da Costa Marcal Fraga</t>
  </si>
  <si>
    <t>Ivan Busthomi</t>
  </si>
  <si>
    <t>Agung Prastyo Nugroho</t>
  </si>
  <si>
    <t>Syahrial</t>
  </si>
  <si>
    <t>Reza Ariesta Muhammad</t>
  </si>
  <si>
    <t>Yulfa Intan Yuraida</t>
  </si>
  <si>
    <t>Made Yoga Permana</t>
  </si>
  <si>
    <t>Yanu Agung Wicaksono</t>
  </si>
  <si>
    <t>Muhammad Afzal</t>
  </si>
  <si>
    <t>Afifuddin</t>
  </si>
  <si>
    <t>Horas Philip Bergins Togatorop</t>
  </si>
  <si>
    <t>Muhammad Hardien Alfath Tegar Lestantyo</t>
  </si>
  <si>
    <t>Reza Yudha Prasetya</t>
  </si>
  <si>
    <t>Fitrawan Pradanakusuma</t>
  </si>
  <si>
    <t>Yusva Hardiyanti</t>
  </si>
  <si>
    <t>Imron Syaifulloh Ahmad</t>
  </si>
  <si>
    <t>Adinda Herdia Rahmawati</t>
  </si>
  <si>
    <t>Jane Warda Karima</t>
  </si>
  <si>
    <t>Arum Suryandari</t>
  </si>
  <si>
    <t>M. Andya Duta Ardha Rosyadi</t>
  </si>
  <si>
    <t>Dasita Meygan Pratiwi</t>
  </si>
  <si>
    <t>Dwi Putra Ananta</t>
  </si>
  <si>
    <t>Kesi Dewi Emawati</t>
  </si>
  <si>
    <t>Kristin Apriani Yeninar</t>
  </si>
  <si>
    <t>Trias Sugeng Prayoga</t>
  </si>
  <si>
    <t>Bayu Murti Wijayanto</t>
  </si>
  <si>
    <t>Irwan Diaprianda</t>
  </si>
  <si>
    <t>Muhammad Ulil Azmi Rasyidin</t>
  </si>
  <si>
    <t>Ilda Mariana Da Silva</t>
  </si>
  <si>
    <t>M. Bagas Lail Ramadhan</t>
  </si>
  <si>
    <t>Windiarto</t>
  </si>
  <si>
    <t>Cahyati Sari Endah</t>
  </si>
  <si>
    <t>Endy Prasetyo</t>
  </si>
  <si>
    <t>Irfan Ammar Perdana</t>
  </si>
  <si>
    <t>Rio Andi Pancaraka</t>
  </si>
  <si>
    <t>Rizqy Ismail</t>
  </si>
  <si>
    <t>Cherli Estefania Soares Dos Santos</t>
  </si>
  <si>
    <t>Fatimah Tri Ayuningsih</t>
  </si>
  <si>
    <t>Faiz Mahbubi</t>
  </si>
  <si>
    <t>Kajat Muntalib</t>
  </si>
  <si>
    <t>Diyas Syaiful Rohman</t>
  </si>
  <si>
    <t>Hamari Sikyarto</t>
  </si>
  <si>
    <t>Rd. Akhmad Faizal Prabowo Sarwono</t>
  </si>
  <si>
    <t>Septi Dwi Astuti</t>
  </si>
  <si>
    <t>Banu Try Anggodo</t>
  </si>
  <si>
    <t>Fauzi Antoni</t>
  </si>
  <si>
    <t>Made Ngurah Adhi Wangsa Wigraha</t>
  </si>
  <si>
    <t>Muhamad Thariq</t>
  </si>
  <si>
    <t>Ivan Sidabutar</t>
  </si>
  <si>
    <t>Ahmad Khatib</t>
  </si>
  <si>
    <t>Lidya Antika Sari</t>
  </si>
  <si>
    <t>Josua Sahala Silaban</t>
  </si>
  <si>
    <t>Purwoto Hutagalung</t>
  </si>
  <si>
    <t>Mentari Diantifani Putri</t>
  </si>
  <si>
    <t>Imung Arta Gumeidhidta</t>
  </si>
  <si>
    <t>Rosita Andari Eka Putri</t>
  </si>
  <si>
    <t>Rizki Iman Sari</t>
  </si>
  <si>
    <t>Auliantya Ayurin Putri</t>
  </si>
  <si>
    <t>Bondan Galih Dewanto</t>
  </si>
  <si>
    <t>Eldynand Trissandi Tyawarman</t>
  </si>
  <si>
    <t>Muhammad Anugrah Juni Ardian</t>
  </si>
  <si>
    <t>Al Antra Adefan</t>
  </si>
  <si>
    <t>Puji Nurhidayah</t>
  </si>
  <si>
    <t>Susilo Utomo</t>
  </si>
  <si>
    <t>Kartika Vina Pramita</t>
  </si>
  <si>
    <t>Galih Yudha Wahyu Saputra</t>
  </si>
  <si>
    <t>Arsha Yuditha Amiranti</t>
  </si>
  <si>
    <t>Aninda Rizki Dhani Susanto</t>
  </si>
  <si>
    <t>Muamar Mujab</t>
  </si>
  <si>
    <t>Aeny Sugianto</t>
  </si>
  <si>
    <t>I Made Sapta Hadi</t>
  </si>
  <si>
    <t>Rudi Asdi Yanto</t>
  </si>
  <si>
    <t>Ria Purnama Putri</t>
  </si>
  <si>
    <t>Abdurrosyid</t>
  </si>
  <si>
    <t>Muhammad Ghaly Kurniawan</t>
  </si>
  <si>
    <t>Kevin Alkindy</t>
  </si>
  <si>
    <t>Isna Oktiana Nur Rachma</t>
  </si>
  <si>
    <t>Ilham Satria</t>
  </si>
  <si>
    <t>Mahendra Ari Perdana</t>
  </si>
  <si>
    <t>Aulia Fadhilah Zahro</t>
  </si>
  <si>
    <t>Hammam Abdurrahman</t>
  </si>
  <si>
    <t>Retno Agus Pratiwi</t>
  </si>
  <si>
    <t>Sheila Amalia Burhanudin</t>
  </si>
  <si>
    <t>Made Ditha Ary Sanjaya</t>
  </si>
  <si>
    <t>Raymond Abdi Imanuel Simamora</t>
  </si>
  <si>
    <t>Fandi Riwanto</t>
  </si>
  <si>
    <t>Fanny Zafira Mukti</t>
  </si>
  <si>
    <t>Muhamad Milzam Muharam</t>
  </si>
  <si>
    <t>Rusdiyanto</t>
  </si>
  <si>
    <t>Agnes Ryskintia Radiastuti</t>
  </si>
  <si>
    <t>Elpakhri Akmal</t>
  </si>
  <si>
    <t>Agustina Nur Syafarianty</t>
  </si>
  <si>
    <t>Dendy Syahrir Pradana</t>
  </si>
  <si>
    <t>Amalia Nurwijayanti</t>
  </si>
  <si>
    <t>Fuad Alwi Swastiko</t>
  </si>
  <si>
    <t>Masitha Pangulu</t>
  </si>
  <si>
    <t>Luthfi Ghina Barka</t>
  </si>
  <si>
    <t>Praditya Mukti Ali</t>
  </si>
  <si>
    <t>Dwi Cahyo Wicaksono</t>
  </si>
  <si>
    <t>Luthfi Izzaty</t>
  </si>
  <si>
    <t>Aditya Sanjaya</t>
  </si>
  <si>
    <t>Muhammad Nur Abrianto</t>
  </si>
  <si>
    <t>Teguh Prihanto</t>
  </si>
  <si>
    <t>Ridho Furqan Bakas Abdullah</t>
  </si>
  <si>
    <t>Rahmat Hanif Ashari</t>
  </si>
  <si>
    <t>Ulfah Syahlianawati</t>
  </si>
  <si>
    <t>Iqromatul Fadliyah</t>
  </si>
  <si>
    <t>Oktavinno Permadi</t>
  </si>
  <si>
    <t>Dedi Wahyu Sasongko</t>
  </si>
  <si>
    <t>Sidik Dwi Pamungkas</t>
  </si>
  <si>
    <t>Yunan Zainuddin Afandi</t>
  </si>
  <si>
    <t>Muhammad Anugrah Firdaus</t>
  </si>
  <si>
    <t>Adi Susilo</t>
  </si>
  <si>
    <t>Herwinda Rosyid</t>
  </si>
  <si>
    <t>Mira Sri Yuanda</t>
  </si>
  <si>
    <t>Raudah Husna</t>
  </si>
  <si>
    <t>Ika Safitri Kurniastuti</t>
  </si>
  <si>
    <t>Ajeng Hening Tyas Wulansari</t>
  </si>
  <si>
    <t>Vebrianka Primatura</t>
  </si>
  <si>
    <t>Ryan Aditya Yuwono</t>
  </si>
  <si>
    <t>Evan Berta Pramudhita</t>
  </si>
  <si>
    <t>Siti Gora Krisdhi Ramadhania Putri</t>
  </si>
  <si>
    <t>Resda Widhi Arstuti</t>
  </si>
  <si>
    <t>Miftah Al-Ilmi</t>
  </si>
  <si>
    <t>Arie Sudrajat</t>
  </si>
  <si>
    <t>Muhammad Iqbal Tawakal</t>
  </si>
  <si>
    <t>Enggar Budhi Suryo Hutomo</t>
  </si>
  <si>
    <t>Bil Afin</t>
  </si>
  <si>
    <t>Desy Ana Ari Isyudrianti</t>
  </si>
  <si>
    <t>Arie Januar Budianto</t>
  </si>
  <si>
    <t>Andrian Eka Pramudita</t>
  </si>
  <si>
    <t>Zufri Arifiansyah</t>
  </si>
  <si>
    <t>Putri Azizah</t>
  </si>
  <si>
    <t>Lukman Hakim</t>
  </si>
  <si>
    <t>Audita Widya Astuti</t>
  </si>
  <si>
    <t>Puji Setianingsih</t>
  </si>
  <si>
    <t>Buana Putra Rimba Giri</t>
  </si>
  <si>
    <t>Adhisye Rahmawati</t>
  </si>
  <si>
    <t>Rofiqoh</t>
  </si>
  <si>
    <t>Nuaim Hammad Ausi</t>
  </si>
  <si>
    <t>Mus Mukandar</t>
  </si>
  <si>
    <t>Imasti Dhani Pratiwi</t>
  </si>
  <si>
    <t>Andri Darmansyah Putra Perdana</t>
  </si>
  <si>
    <t>Tegar Pualam Syuhada</t>
  </si>
  <si>
    <t>Rachmat Hidayat</t>
  </si>
  <si>
    <t>Akbar Dwi Kusuma</t>
  </si>
  <si>
    <t>Azidan Pradityatama</t>
  </si>
  <si>
    <t>Bima Adi Nugraha Immanuel</t>
  </si>
  <si>
    <t>Ahmad Fitrian Akbar</t>
  </si>
  <si>
    <t>Nur Izzahudin</t>
  </si>
  <si>
    <t>Sardila Nurulhikmah Sailellah</t>
  </si>
  <si>
    <t>Sherly Shinta Emalia</t>
  </si>
  <si>
    <t>Khoirunnisaa' Ronaa' Fairuuz</t>
  </si>
  <si>
    <t>Rahmah Devi Hapsari</t>
  </si>
  <si>
    <t>Eka Pertiwi</t>
  </si>
  <si>
    <t>Rachmadhiya Salsabila</t>
  </si>
  <si>
    <t>Buyung Wahyu Prinatama</t>
  </si>
  <si>
    <t>Ela Novalinda.Ar</t>
  </si>
  <si>
    <t>Ni Komang Supartini</t>
  </si>
  <si>
    <t>Larassita Ninda Pradana</t>
  </si>
  <si>
    <t>Yuda Saputra</t>
  </si>
  <si>
    <t>Irghan Santiz Ruqi A</t>
  </si>
  <si>
    <t>Andes Saragi</t>
  </si>
  <si>
    <t>Febrian Fitryanik Susanta</t>
  </si>
  <si>
    <t>Ginanjar Kukuh Pramana</t>
  </si>
  <si>
    <t>Muhammad Afif</t>
  </si>
  <si>
    <t>Siti Syarafina Yuliandari</t>
  </si>
  <si>
    <t>Nur Fani Habibah</t>
  </si>
  <si>
    <t>Ramadhani Abdan Syakuro</t>
  </si>
  <si>
    <t>Kevin Rifky Pratama</t>
  </si>
  <si>
    <t>Nur Ikhsan</t>
  </si>
  <si>
    <t>Rafi Aulia Rahman</t>
  </si>
  <si>
    <t>Farikhotul Chusnayah</t>
  </si>
  <si>
    <t>Sulastri</t>
  </si>
  <si>
    <t>Ade Surakhman</t>
  </si>
  <si>
    <t>Kholqi Azam Rizaldi</t>
  </si>
  <si>
    <t>Ghina Kusumawardhani</t>
  </si>
  <si>
    <t>Ilham Rakhmatullah</t>
  </si>
  <si>
    <t>Fitriadi Alimuddin</t>
  </si>
  <si>
    <t>Febriana Hidayati</t>
  </si>
  <si>
    <t>Syam Nugraha</t>
  </si>
  <si>
    <t>Ikhsan Yulianto</t>
  </si>
  <si>
    <t>Zefanya Marum Lumban Raja</t>
  </si>
  <si>
    <t>Hanif Hatta Mustofa</t>
  </si>
  <si>
    <t>Rais Afif</t>
  </si>
  <si>
    <t>Rizcky Ridho Prasetio</t>
  </si>
  <si>
    <t>Nur Latifah</t>
  </si>
  <si>
    <t>Dita Ardya Gharini</t>
  </si>
  <si>
    <t>Barnabas Jamot Tambun</t>
  </si>
  <si>
    <t>Gunayel Kharis</t>
  </si>
  <si>
    <t>Yoseph Dimas Ardian</t>
  </si>
  <si>
    <t>Steffan Rico Ronaldo</t>
  </si>
  <si>
    <t>Gugun Mitra Perdana Sitorus</t>
  </si>
  <si>
    <t>Dinda Chyntia Jamal</t>
  </si>
  <si>
    <t>Septi Rohmiyani</t>
  </si>
  <si>
    <t>Gilang Rizky Ramadhan</t>
  </si>
  <si>
    <t>Umar Abdurrohman</t>
  </si>
  <si>
    <t>Raka Andrian Noor</t>
  </si>
  <si>
    <t>Ghotfani Kaukabi</t>
  </si>
  <si>
    <t>I Gede Sukma Nata Permana</t>
  </si>
  <si>
    <t>Reza Alimarda Budhimeida</t>
  </si>
  <si>
    <t>Sahit Tuntas Sadono</t>
  </si>
  <si>
    <t>Dita Dwi Agustina</t>
  </si>
  <si>
    <t>Rivan Arief</t>
  </si>
  <si>
    <t>Fajar Pranata</t>
  </si>
  <si>
    <t>Khaerul Hidayatullah</t>
  </si>
  <si>
    <t>Ratna Prastyani</t>
  </si>
  <si>
    <t>Dewa Ayu Wahyu Risnaadi</t>
  </si>
  <si>
    <t>Muhammad Darwin Hammaadi</t>
  </si>
  <si>
    <t>Luthfia Rachmatika Noeris</t>
  </si>
  <si>
    <t>Dwi Septri Hastuti</t>
  </si>
  <si>
    <t>Ridho Ilahi</t>
  </si>
  <si>
    <t>Nabila Hasnah Wisnuwardhani</t>
  </si>
  <si>
    <t>Yuri Gama Rivandi</t>
  </si>
  <si>
    <t>Rendra Fauzi</t>
  </si>
  <si>
    <t>Nevy Ardianto</t>
  </si>
  <si>
    <t>Regina Egar Fajrine Swadwipa</t>
  </si>
  <si>
    <t>Devito Nugraha</t>
  </si>
  <si>
    <t>Deny Saputra Yusuf</t>
  </si>
  <si>
    <t>Rafie Mikram Sani</t>
  </si>
  <si>
    <t>Afridoni Pradipta</t>
  </si>
  <si>
    <t>Muhammad Irham Akbar Hasri</t>
  </si>
  <si>
    <t>Nurkhalis Rahili</t>
  </si>
  <si>
    <t>Rachmat Nitriansyah</t>
  </si>
  <si>
    <t>Rahman Nurabriansyah</t>
  </si>
  <si>
    <t>Diah Pratiwi</t>
  </si>
  <si>
    <t>Mohamad Bagas Setiawan</t>
  </si>
  <si>
    <t>Mega Ratri Adiela Sari</t>
  </si>
  <si>
    <t>Aditya Saputra</t>
  </si>
  <si>
    <t>Jongko Satrio Aji</t>
  </si>
  <si>
    <t>Novia Dini Pangestu</t>
  </si>
  <si>
    <t>Fauzan Ramadhan</t>
  </si>
  <si>
    <t>Fajar Andi Sugiyanto</t>
  </si>
  <si>
    <t>Yoanna Anita Christy</t>
  </si>
  <si>
    <t>Anggraita Darmata Nanda</t>
  </si>
  <si>
    <t>Rio Muhammad Fadhli</t>
  </si>
  <si>
    <t>Febriananda Ladivanov</t>
  </si>
  <si>
    <t>Muhammad Ulin Nuha</t>
  </si>
  <si>
    <t>Adhiana Mulawarman</t>
  </si>
  <si>
    <t>Naveda Harditya Pratama</t>
  </si>
  <si>
    <t>Arinda Pinasti</t>
  </si>
  <si>
    <t>Riska Fajrul Ummi</t>
  </si>
  <si>
    <t>Renika Purwanti</t>
  </si>
  <si>
    <t>Een Lujainatul Isnaini</t>
  </si>
  <si>
    <t>Agatha Astrisele</t>
  </si>
  <si>
    <t>Zulfa Sinta Filavati</t>
  </si>
  <si>
    <t>Anugerah Satria Pradana Budiyono</t>
  </si>
  <si>
    <t>Panji Krisdianto</t>
  </si>
  <si>
    <t>Fatikhah Nurrahmi Andina</t>
  </si>
  <si>
    <t>Roeslely Wandasari</t>
  </si>
  <si>
    <t>Taufiq Irawan</t>
  </si>
  <si>
    <t>Zelin Resiana</t>
  </si>
  <si>
    <t>Egix Turnando</t>
  </si>
  <si>
    <t>Abdullah Hamas Faqih</t>
  </si>
  <si>
    <t>Tulus Kurniawan</t>
  </si>
  <si>
    <t>Kurniawan Adi Pradana</t>
  </si>
  <si>
    <t>Fauzie Aditya</t>
  </si>
  <si>
    <t>Yoakhim Satrio Waskito</t>
  </si>
  <si>
    <t>Satria Kusuma Putra</t>
  </si>
  <si>
    <t>Yan Erick O. Baransano</t>
  </si>
  <si>
    <t>Dwi Haryati</t>
  </si>
  <si>
    <t>Yoga Adhitama</t>
  </si>
  <si>
    <t>Daniel Eka Prasetya Nugraha</t>
  </si>
  <si>
    <t>Citra Amalia Putri</t>
  </si>
  <si>
    <t>Carisa Pravitasari</t>
  </si>
  <si>
    <t>Winni Annisa</t>
  </si>
  <si>
    <t>Herry Supriyanto</t>
  </si>
  <si>
    <t>Novia Ardelia</t>
  </si>
  <si>
    <t>Imam Ahmad Kodri</t>
  </si>
  <si>
    <t>Sutantyo Budy Pramono S. P.</t>
  </si>
  <si>
    <t>Muchammad Reza Nugraha</t>
  </si>
  <si>
    <t>Zafira Nur Pratiwi</t>
  </si>
  <si>
    <t>Joel Tony Hottas</t>
  </si>
  <si>
    <t>Virgiawan Aji Saputra</t>
  </si>
  <si>
    <t>Wan Mardhiyah</t>
  </si>
  <si>
    <t>Nurul Aisyah Amini</t>
  </si>
  <si>
    <t>Raden Muhammad Lukman Fauzi Perkesit</t>
  </si>
  <si>
    <t>Jannatul Firdaus</t>
  </si>
  <si>
    <t>Ardiansyah Reza Pahlevi</t>
  </si>
  <si>
    <t>Muthia Khanza Alifta Putri</t>
  </si>
  <si>
    <t>Novie Chiuman</t>
  </si>
  <si>
    <t>Wiby Setya Permana</t>
  </si>
  <si>
    <t>Faqih Rohmatulloh</t>
  </si>
  <si>
    <t>M. Dariz Fauzan</t>
  </si>
  <si>
    <t>Rizqy Tri Argarini</t>
  </si>
  <si>
    <t>Wahyu Banitara</t>
  </si>
  <si>
    <t>Jhontrado Aprilando Haloho</t>
  </si>
  <si>
    <t>Fuad Rizki Wibowo</t>
  </si>
  <si>
    <t>Krishna Fitranto Nugroho</t>
  </si>
  <si>
    <t>Bagas Dwi Prasetyo</t>
  </si>
  <si>
    <t>Eric Kurniawan</t>
  </si>
  <si>
    <t>Muhammad Syafiq</t>
  </si>
  <si>
    <t>Nadya Haniffa Masnur</t>
  </si>
  <si>
    <t>Romy Indra Widjayanta</t>
  </si>
  <si>
    <t>Farahmitha Aulia Prijadi</t>
  </si>
  <si>
    <t>Syamsudin Al Amin</t>
  </si>
  <si>
    <t>Akmal Wahyu Fakhruddin</t>
  </si>
  <si>
    <t>David Muhamad Yusuf</t>
  </si>
  <si>
    <t>Laksita Amelia Paramesti</t>
  </si>
  <si>
    <t>Akhlis Herin Prabowo Putra</t>
  </si>
  <si>
    <t>Lutfiah Dwi Utami</t>
  </si>
  <si>
    <t>Rizqa Dzulkafi Maulana</t>
  </si>
  <si>
    <t>Mohammad Faishal Ruffendi</t>
  </si>
  <si>
    <t>Sonia Pradana Indah Sari</t>
  </si>
  <si>
    <t>Wahyuni</t>
  </si>
  <si>
    <t>Muhammad Ichsan Fadhil Arafah</t>
  </si>
  <si>
    <t>Adieb Muttaqie Yulmi</t>
  </si>
  <si>
    <t>Pradia Mutiara Ainihafsah</t>
  </si>
  <si>
    <t>Tasya Vuji Al-Vatia</t>
  </si>
  <si>
    <t>Dawam Muhtar</t>
  </si>
  <si>
    <t>Lukas Tatang Prasetya</t>
  </si>
  <si>
    <t>Ayu Fitria</t>
  </si>
  <si>
    <t>Rindhy Dwiantikagustin</t>
  </si>
  <si>
    <t>Annan Fahry</t>
  </si>
  <si>
    <t>Lilis Widyaningsih</t>
  </si>
  <si>
    <t>Adlyani Husna</t>
  </si>
  <si>
    <t>Dewi Candraningtyas</t>
  </si>
  <si>
    <t>Michael Tanoto</t>
  </si>
  <si>
    <t>Hilmy Fauzan</t>
  </si>
  <si>
    <t>Citra Amalia Wulansari</t>
  </si>
  <si>
    <t>Aisyah Novitarima</t>
  </si>
  <si>
    <t>Andi Hasta Permana</t>
  </si>
  <si>
    <t>Fauzia Aristalindra</t>
  </si>
  <si>
    <t>Herning Ivan Sabastian</t>
  </si>
  <si>
    <t>Panji Suprobo</t>
  </si>
  <si>
    <t>Dwiky Rama Yanuar</t>
  </si>
  <si>
    <t>Anjar Ilham Pambudi</t>
  </si>
  <si>
    <t>Amalia Tiera Siddiq</t>
  </si>
  <si>
    <t>Fildzah Zainati Fadhilah</t>
  </si>
  <si>
    <t>Shelli Yanti Arini</t>
  </si>
  <si>
    <t>Iffati Ifadati</t>
  </si>
  <si>
    <t>Fadilatul Arrohmah Maisyaroh</t>
  </si>
  <si>
    <t>Indah Restumi</t>
  </si>
  <si>
    <t>Ermawanto</t>
  </si>
  <si>
    <t>Ni Luh Kompyang Sariani</t>
  </si>
  <si>
    <t>Alfi Khazanah Vanga</t>
  </si>
  <si>
    <t>Muhammad Amar Fazlul Rahman</t>
  </si>
  <si>
    <t>Sesar Andi Prayitno</t>
  </si>
  <si>
    <t>Ryan Kurniahadi</t>
  </si>
  <si>
    <t>Bagus Wijanarko</t>
  </si>
  <si>
    <t>Iga Refianti</t>
  </si>
  <si>
    <t>Muhammad Muas Ramadhani</t>
  </si>
  <si>
    <t>Tika Widya Sari</t>
  </si>
  <si>
    <t>Yehezkiel Ara Deo Haloho</t>
  </si>
  <si>
    <t>Izha Ananta Azra</t>
  </si>
  <si>
    <t>Mega Andina</t>
  </si>
  <si>
    <t>M. Arif Mumtaz</t>
  </si>
  <si>
    <t>Adelia Sekarsari</t>
  </si>
  <si>
    <t>Annisa Nasywa Atsilah</t>
  </si>
  <si>
    <t>Agan Aul Rizki</t>
  </si>
  <si>
    <t>Annisa Nur Rahmati</t>
  </si>
  <si>
    <t>Retno Eka Yuni Purwaningsih</t>
  </si>
  <si>
    <t>Ghea Ayunda Siami</t>
  </si>
  <si>
    <t>Taufiq Andri Setiawan</t>
  </si>
  <si>
    <t>Anisya Apriliyanti Putri</t>
  </si>
  <si>
    <t>Gabriella Trisna Yudhanti</t>
  </si>
  <si>
    <t>Kresna Hadhinata</t>
  </si>
  <si>
    <t>Mohammad Jihan Kholid</t>
  </si>
  <si>
    <t>Marselia Dora Sanjaya</t>
  </si>
  <si>
    <t>Ceriil Alfa Karina</t>
  </si>
  <si>
    <t>Bagus Eko Saputra</t>
  </si>
  <si>
    <t>Fenny Tri Adhisty</t>
  </si>
  <si>
    <t>Annisa Nur Afifah</t>
  </si>
  <si>
    <t>Rizky Fadzilah Nur</t>
  </si>
  <si>
    <t>Bayu Nata</t>
  </si>
  <si>
    <t>Vincent Tandy</t>
  </si>
  <si>
    <t>Ana Mardhiyana Alawiyah</t>
  </si>
  <si>
    <t>Muhammad Ruzaldi Puluala</t>
  </si>
  <si>
    <t>Yustina Novi Anggari</t>
  </si>
  <si>
    <t>Nabilla Dwi Chandra Kumala</t>
  </si>
  <si>
    <t>Lantip Setiasmara Saputra</t>
  </si>
  <si>
    <t>Rahmadika Dandianto</t>
  </si>
  <si>
    <t>Damon Petersoni Alfiqi</t>
  </si>
  <si>
    <t>Vebryan Nour Oktavianto</t>
  </si>
  <si>
    <t>Nurul Fitri Febryani</t>
  </si>
  <si>
    <t>Haifa Embun Berdita</t>
  </si>
  <si>
    <t>Yofita Indah Saputri</t>
  </si>
  <si>
    <t>Abdul Hafish</t>
  </si>
  <si>
    <t>Abdurrohman Rizal</t>
  </si>
  <si>
    <t>Priyo Arif Sadewo</t>
  </si>
  <si>
    <t>Anindika Nursyahrani Putri</t>
  </si>
  <si>
    <t>Salma Ari Nur Annisa</t>
  </si>
  <si>
    <t>Frida Carisa Rosyada</t>
  </si>
  <si>
    <t>Primaning Pangasa</t>
  </si>
  <si>
    <t>Bella Ayu Permata</t>
  </si>
  <si>
    <t>Dea Andara Sari</t>
  </si>
  <si>
    <t>Adi Nurcahyo</t>
  </si>
  <si>
    <t>Maelani Puspitasari</t>
  </si>
  <si>
    <t>Berliana Adinda Putri</t>
  </si>
  <si>
    <t>Evi Listyorini</t>
  </si>
  <si>
    <t>Esatmaja Hanief Sinatria</t>
  </si>
  <si>
    <t>Adita Kusuma Wardani</t>
  </si>
  <si>
    <t>FA Lugas Surya Pratama</t>
  </si>
  <si>
    <t>Dinda Amar Pradana</t>
  </si>
  <si>
    <t>Nindita Shita Devi</t>
  </si>
  <si>
    <t>Faishal Fakhri</t>
  </si>
  <si>
    <t>Rohmat Fauzi</t>
  </si>
  <si>
    <t>Fatchul Arifin</t>
  </si>
  <si>
    <t>Akram Sripandam Prihanantya</t>
  </si>
  <si>
    <t>Silvia Tri Anugradewi</t>
  </si>
  <si>
    <t>Rakhadito Edra Fadhil</t>
  </si>
  <si>
    <t>Muhammad Farisi Gustaf Ferdinan</t>
  </si>
  <si>
    <t>Ignatius Ivan Rizky Marcelino</t>
  </si>
  <si>
    <t>Rizki Abdilah</t>
  </si>
  <si>
    <t>Annisa Baroroh</t>
  </si>
  <si>
    <t>Muhammad Faqih Muqaddam</t>
  </si>
  <si>
    <t>Mahasin Raihan Farras</t>
  </si>
  <si>
    <t>Sarah Chairunisa</t>
  </si>
  <si>
    <t>Salsabila Ramadhani Prasetya</t>
  </si>
  <si>
    <t>Caesar Aprilia Kurnia Sari</t>
  </si>
  <si>
    <t>Cahyo Wibowo</t>
  </si>
  <si>
    <t>M. Wildan Habibi</t>
  </si>
  <si>
    <t>Faisal Budi Hermawan</t>
  </si>
  <si>
    <t>Wilsa Nazuha Syahansyah</t>
  </si>
  <si>
    <t>Dwi Nawaseptia Rakhman</t>
  </si>
  <si>
    <t>Nawangsih Ayuningtyas</t>
  </si>
  <si>
    <t>Muhammad Bima Perkasa</t>
  </si>
  <si>
    <t>Jihan Maulia</t>
  </si>
  <si>
    <t>Erlita Singgih Maulani</t>
  </si>
  <si>
    <t>Moh Arief Herusiswoyo</t>
  </si>
  <si>
    <t>Hafidza Safara Zahratunnisa</t>
  </si>
  <si>
    <t>Akbar Nugroho</t>
  </si>
  <si>
    <t>Yeni Ikawati</t>
  </si>
  <si>
    <t>Naufal Azhar Pratama</t>
  </si>
  <si>
    <t>Naufal Javier Iza</t>
  </si>
  <si>
    <t>Ajiputra Arisyah Prayoga</t>
  </si>
  <si>
    <t>Imam Nur Aziz</t>
  </si>
  <si>
    <t>Annisa Rizky Kusuma</t>
  </si>
  <si>
    <t>Antonius Raditya Seno Aji</t>
  </si>
  <si>
    <t>Royafitrah Andami Nafa</t>
  </si>
  <si>
    <t>Evi Dwi Kurniasari</t>
  </si>
  <si>
    <t>Melinda Alamsyah</t>
  </si>
  <si>
    <t>Nani P. Magdalena Simanjuntak</t>
  </si>
  <si>
    <t>Rafif Fadhil</t>
  </si>
  <si>
    <t>Dwi Larasati Melliningrum</t>
  </si>
  <si>
    <t>Irma Yusiyanti</t>
  </si>
  <si>
    <t>Moh. Mahrus Ali</t>
  </si>
  <si>
    <t>Rizal Mubarok</t>
  </si>
  <si>
    <t>Sheilla Evelinda</t>
  </si>
  <si>
    <t>Siti Nurul Annisa</t>
  </si>
  <si>
    <t>Khynant Fadil Muhamad</t>
  </si>
  <si>
    <t>Tattyana Wening Kalbuadi Prajardi</t>
  </si>
  <si>
    <t>Vanny Milenia</t>
  </si>
  <si>
    <t>Calvin Wijaya</t>
  </si>
  <si>
    <t>Labisa Wafdan</t>
  </si>
  <si>
    <t>Rr. Wuye Handini Wulantantri</t>
  </si>
  <si>
    <t>Rizka Auliya Dianisa</t>
  </si>
  <si>
    <t>Muhammad Hasnan Fadlullah</t>
  </si>
  <si>
    <t>Indira Vania Utami</t>
  </si>
  <si>
    <t>Yon Ernes Simbolon</t>
  </si>
  <si>
    <t>Fadly Askalani Permana</t>
  </si>
  <si>
    <t>Bernadus Aditya Driarkara</t>
  </si>
  <si>
    <t>Rayhan Bagus Pratama</t>
  </si>
  <si>
    <t>Farida Sofyana Andaruni</t>
  </si>
  <si>
    <t>Nanda Putri Prihandini</t>
  </si>
  <si>
    <t>Helmy Refka Kaunganten</t>
  </si>
  <si>
    <t>Mulia Haqqi Nadhar</t>
  </si>
  <si>
    <t>Affina Dyan Setyawati</t>
  </si>
  <si>
    <t>Muhammad Aldy Fakhryan</t>
  </si>
  <si>
    <t>Jadhug Ario Bismo</t>
  </si>
  <si>
    <t>L. Rinaldi Rizky Mulia</t>
  </si>
  <si>
    <t>Romanza Wiradinata Putra</t>
  </si>
  <si>
    <t>Tiara Ana Ndofah</t>
  </si>
  <si>
    <t>Chika Laksita Dewi</t>
  </si>
  <si>
    <t>Ikhlas Ibnu Pamungkas</t>
  </si>
  <si>
    <t>Indana Zulfa</t>
  </si>
  <si>
    <t>Rayhan Muhammad Herlambang</t>
  </si>
  <si>
    <t>Tutus Al-Meyda Mujahid</t>
  </si>
  <si>
    <t>Muhammad Naufal Jaladika</t>
  </si>
  <si>
    <t>Rivaldo</t>
  </si>
  <si>
    <t>Fadiya Salsabila</t>
  </si>
  <si>
    <t>I Made Andi Darma Kesuma</t>
  </si>
  <si>
    <t>Rozana Zakiyya Nabila</t>
  </si>
  <si>
    <t>Prasa Fakhriyah Mumtaz</t>
  </si>
  <si>
    <t>Yanuar Nugraha</t>
  </si>
  <si>
    <t>Muh. Pijar Putra Alda</t>
  </si>
  <si>
    <t>Sekar Ayu Retno Palupi</t>
  </si>
  <si>
    <t>Muhammad Faris Hazim</t>
  </si>
  <si>
    <t>Fairuz Nabilah</t>
  </si>
  <si>
    <t>Naufal Fata Anshafa</t>
  </si>
  <si>
    <t>Meutia Santi Nurmalita</t>
  </si>
  <si>
    <t>Akhmad Zamharir Zuhdi</t>
  </si>
  <si>
    <t>Rachel Maleka Layyena</t>
  </si>
  <si>
    <t>Isna Mutia Rini</t>
  </si>
  <si>
    <t>Venny Nur Farida</t>
  </si>
  <si>
    <t>Rika Kartika</t>
  </si>
  <si>
    <t>Narlita Saras Ulkharimah</t>
  </si>
  <si>
    <t>Sandy Setyanagara</t>
  </si>
  <si>
    <t>Nu'man Aldiansyah</t>
  </si>
  <si>
    <t>Daffa Akbar Dwifa</t>
  </si>
  <si>
    <t>Joel Piero Nainggolan</t>
  </si>
  <si>
    <t>Muhammad Rizki Ryanza</t>
  </si>
  <si>
    <t>Adiyatma Aria Wardana</t>
  </si>
  <si>
    <t>Nadia Fadillatul Husna</t>
  </si>
  <si>
    <t>Syaiful Rohman</t>
  </si>
  <si>
    <t>Syauqi Maula Rohman</t>
  </si>
  <si>
    <t>Elisabeth Vena Andarisna</t>
  </si>
  <si>
    <t>Aqshal Subhan Bani Nugraha</t>
  </si>
  <si>
    <t>Nayaka Pandya</t>
  </si>
  <si>
    <t>Raniah Salsabila</t>
  </si>
  <si>
    <t>Andhana Pratistha Nugraha</t>
  </si>
  <si>
    <t>Intan Arianti</t>
  </si>
  <si>
    <t>Rr. Widyaningrum Dyah Aprianne</t>
  </si>
  <si>
    <t>Aditia Avin Prasetya</t>
  </si>
  <si>
    <t>Ansgarius Asa</t>
  </si>
  <si>
    <t>Raka Yudha Manuari</t>
  </si>
  <si>
    <t>Azizil Jabarri</t>
  </si>
  <si>
    <t>Amelia Dwi Nugraheni</t>
  </si>
  <si>
    <t>Karien Alifatullaili</t>
  </si>
  <si>
    <t>Umi Fadillah</t>
  </si>
  <si>
    <t>Winda Eka Putri</t>
  </si>
  <si>
    <t>Yaumi Khoirotul Fajriyah</t>
  </si>
  <si>
    <t>Puguh Bekti Utomo</t>
  </si>
  <si>
    <t>Saiful Rahmad</t>
  </si>
  <si>
    <t>Yesi Tri Winarni</t>
  </si>
  <si>
    <t>Salwa Ramadhanti</t>
  </si>
  <si>
    <t>Syofia Rafifa Jauhar</t>
  </si>
  <si>
    <t>Ahmad Nur Aly</t>
  </si>
  <si>
    <t>Mohammad Zainul Mukhlis</t>
  </si>
  <si>
    <t>Muhammad Naufal Fadil Mutawakkil ‘Alallah</t>
  </si>
  <si>
    <t>Dani Suprayogo</t>
  </si>
  <si>
    <t>Muhammad Imran Hafiduddin</t>
  </si>
  <si>
    <t>Latif Yusron Ramadhan</t>
  </si>
  <si>
    <t>Agnezte Berthryvena</t>
  </si>
  <si>
    <t>Dinar Putri Bintari</t>
  </si>
  <si>
    <t>Yuni Sari</t>
  </si>
  <si>
    <t>Nugroho Dwi Yulianto</t>
  </si>
  <si>
    <t>Firman Budi Satya</t>
  </si>
  <si>
    <t>Irfan Wahyu Wicaksono</t>
  </si>
  <si>
    <t>Farhan Akmal Noer Rosadi</t>
  </si>
  <si>
    <t>Muhamad Robi Rusdianto</t>
  </si>
  <si>
    <t>Ridho Dhiya'ul Haq</t>
  </si>
  <si>
    <t>Sondang Riski Wanti Sihombing</t>
  </si>
  <si>
    <t>Adrian Nugroho Pamungkas</t>
  </si>
  <si>
    <t>Anisa'ul Khoiriyah Afandi</t>
  </si>
  <si>
    <t>Arinda Tasya Avrianti</t>
  </si>
  <si>
    <t>Aulia Nurusyifa</t>
  </si>
  <si>
    <t>Bonatua Palsius Situmorang</t>
  </si>
  <si>
    <t>Fairuz Akmal Pradana</t>
  </si>
  <si>
    <t>Firman Ramadhan Putra</t>
  </si>
  <si>
    <t>Hafizh Ryan Kurniawan</t>
  </si>
  <si>
    <t>Joseph Arimathea Sahala Siagian</t>
  </si>
  <si>
    <t>Nafra Anandya Caesarea</t>
  </si>
  <si>
    <t>Nopris Pratama Putra</t>
  </si>
  <si>
    <t>Tsania Mazaya Rahajeng Laksmiwati</t>
  </si>
  <si>
    <t>Wahyu Ismi Azizah</t>
  </si>
  <si>
    <t>Alfarobi Maula Zakka</t>
  </si>
  <si>
    <t>Esther Riris Yunita Sinamo</t>
  </si>
  <si>
    <t>Mega Srinuryati</t>
  </si>
  <si>
    <t>Rifqi Alghifari Wibowo</t>
  </si>
  <si>
    <t>Tegar Putra Pamungkas</t>
  </si>
  <si>
    <t>Aida Maliyatullah Missasi</t>
  </si>
  <si>
    <t>Farizan Qolbu Alkhudia</t>
  </si>
  <si>
    <t>Rafiqi Ariawidoyoko Raharjo</t>
  </si>
  <si>
    <t>Iqbal Pratama Nugraha</t>
  </si>
  <si>
    <t>Imawan Wichaksana</t>
  </si>
  <si>
    <t>Romi Fajar Prihutomo</t>
  </si>
  <si>
    <t>Febriana Krisna Putri</t>
  </si>
  <si>
    <t>Muhammad Raihan Arkan</t>
  </si>
  <si>
    <t>Yana Oktaviana</t>
  </si>
  <si>
    <t>Hendra Noviantara</t>
  </si>
  <si>
    <t>Jeremi Benito Sihombing</t>
  </si>
  <si>
    <t>Muhammad Iqbal Habiburrohim</t>
  </si>
  <si>
    <t>Muhammad Zulfa Lazuardhy</t>
  </si>
  <si>
    <t>Pungky Susilo Rachmawati</t>
  </si>
  <si>
    <t>Dilan Janiyar Ramadhani</t>
  </si>
  <si>
    <t>Rochmat Darmawan</t>
  </si>
  <si>
    <t>Asy Syifa Sekarariani</t>
  </si>
  <si>
    <t>Michael Valeri S</t>
  </si>
  <si>
    <t>Frastiwi Widya Azkiyya</t>
  </si>
  <si>
    <t>Dennis Surya</t>
  </si>
  <si>
    <t>Mahfud Amin</t>
  </si>
  <si>
    <t>Muhammad Ibnu Hananto</t>
  </si>
  <si>
    <t>Sekar Nur Amalia</t>
  </si>
  <si>
    <t>Tio Dominggus Sihotang</t>
  </si>
  <si>
    <t>Arif Candra Prasetya</t>
  </si>
  <si>
    <t>Imania Nur Anissa</t>
  </si>
  <si>
    <t>Candra Kurniawan</t>
  </si>
  <si>
    <t>Ade Irma Kurnia Putri</t>
  </si>
  <si>
    <t>Hyatma Adikara Ajrin</t>
  </si>
  <si>
    <t>Nida Makarim</t>
  </si>
  <si>
    <t>Farda Fadila</t>
  </si>
  <si>
    <t>Prasasti Nurmaning Ratri</t>
  </si>
  <si>
    <t>Daffa Athallah Pangestu</t>
  </si>
  <si>
    <t>Elizabeth Angela Prasetyarini</t>
  </si>
  <si>
    <t>Handika Setiawan Putra</t>
  </si>
  <si>
    <t>Rahadian Fajar Sulistyo</t>
  </si>
  <si>
    <t>Syifa Foila Para Fauzia</t>
  </si>
  <si>
    <t>Yulia Eka Sulistyoningrum</t>
  </si>
  <si>
    <t>Dinar Surya Nugraheni</t>
  </si>
  <si>
    <t>Iqbal Habib Ramadhan</t>
  </si>
  <si>
    <t>Naqibah Putri Zahrah</t>
  </si>
  <si>
    <t>Rifka Handitasari</t>
  </si>
  <si>
    <t>Beladona Nisa Realita</t>
  </si>
  <si>
    <t>Farhan Aji Kumara</t>
  </si>
  <si>
    <t>Safira Indah Andika Putri</t>
  </si>
  <si>
    <t>Kristoforus Alvin Andrian Mugiyono</t>
  </si>
  <si>
    <t>Aisha Heyda</t>
  </si>
  <si>
    <t>Nur Aisyah Lutfi Fatmawati</t>
  </si>
  <si>
    <t>Afnan Ainun Na'im</t>
  </si>
  <si>
    <t>Faiz Ahmad Maulana Khan</t>
  </si>
  <si>
    <t>Farizki Kharisa Indrawan</t>
  </si>
  <si>
    <t>Kholiftia Mu'arifah</t>
  </si>
  <si>
    <t>Muhammad Mikail Al - Farisi</t>
  </si>
  <si>
    <t>Salimah Nur Huda</t>
  </si>
  <si>
    <t>Deri Arya Wiratama</t>
  </si>
  <si>
    <t>Ridho Aziz Priambudi</t>
  </si>
  <si>
    <t>Yudha Shidqi Annas</t>
  </si>
  <si>
    <t>Asmaa'ul Husna Eka Andhyni</t>
  </si>
  <si>
    <t>Indira Sekar Ningtyas</t>
  </si>
  <si>
    <t>Muhammad Afif Rahman</t>
  </si>
  <si>
    <t>Arga Ibnu Kurniawan</t>
  </si>
  <si>
    <t>Khairul Amiruddin</t>
  </si>
  <si>
    <t>Rindu Hidayatul Ardi</t>
  </si>
  <si>
    <t>Fawwaz Zufarysa Aryoko</t>
  </si>
  <si>
    <t>Maria Maharani Gloria Nusantara</t>
  </si>
  <si>
    <t>Arya Wiranata</t>
  </si>
  <si>
    <t>Feraldo Trio Carrera</t>
  </si>
  <si>
    <t>Teguh Arya Wibawa</t>
  </si>
  <si>
    <t>Adhe Aulia Rahadian</t>
  </si>
  <si>
    <t>Andi Kristian Purba</t>
  </si>
  <si>
    <t>Aulia Dwi Rachmawati</t>
  </si>
  <si>
    <t>Balqis Dera Lingswand Asrofi</t>
  </si>
  <si>
    <t>Defrian Krisnasurya</t>
  </si>
  <si>
    <t>Idfiga Este Islamey</t>
  </si>
  <si>
    <t>Muhammad Fauzan</t>
  </si>
  <si>
    <t>Syafri Nurmaulana Sya'bani</t>
  </si>
  <si>
    <t>Hefni Rae Rafsanzani Azzahra</t>
  </si>
  <si>
    <t>Imaduddin Saktyo Nagoro</t>
  </si>
  <si>
    <t>Muhammad Dimitry Nanda Shahreza</t>
  </si>
  <si>
    <t>Selvyana Ayu Pratiwi</t>
  </si>
  <si>
    <t>Sigit Pamungkas</t>
  </si>
  <si>
    <t>Fina Alfi Khasanah</t>
  </si>
  <si>
    <t>Nandisa Dwiliana Yuandina</t>
  </si>
  <si>
    <t>Kinanthi Puteri Nastiti</t>
  </si>
  <si>
    <t>Jonathan Edward</t>
  </si>
  <si>
    <t>Ardiansyah Nugroho Wicaksono</t>
  </si>
  <si>
    <t>Muhammad Odi Rizkiansyah</t>
  </si>
  <si>
    <t>Swilfred Gabriel Damanik</t>
  </si>
  <si>
    <t>Hawa' Qurrota A'yun</t>
  </si>
  <si>
    <t>Muhammad Rifky Reza</t>
  </si>
  <si>
    <t>Rizky Firstia Nita Putri Uluputty</t>
  </si>
  <si>
    <t>Ade Mawardi</t>
  </si>
  <si>
    <t>Gabriel Saud Sihombing</t>
  </si>
  <si>
    <t>Muhammad Farhan Abiyyu</t>
  </si>
  <si>
    <t>Sheva Aulia Rahman</t>
  </si>
  <si>
    <t>Aris Dwi Setyawan</t>
  </si>
  <si>
    <t>Ifan Maulana</t>
  </si>
  <si>
    <t>Lutfy Angsoka Novita</t>
  </si>
  <si>
    <t>Muhammad Adikka Bagus Mahendra</t>
  </si>
  <si>
    <t>Pasadina Dwi Tatakun</t>
  </si>
  <si>
    <t>Divara Bonifasia Sutopo</t>
  </si>
  <si>
    <t>Khilda Nadhifa</t>
  </si>
  <si>
    <t>Muhammad Rifki</t>
  </si>
  <si>
    <t>Muhadzdzib Dzaky Ra'uf</t>
  </si>
  <si>
    <t>Daffa Mumtaza Jabbar</t>
  </si>
  <si>
    <t>Pavel Parulian Sihaloho</t>
  </si>
  <si>
    <t>Affero Sulthan Abyan</t>
  </si>
  <si>
    <t>Aji Sugiantoro</t>
  </si>
  <si>
    <t>Faradilla Rizki Rufia</t>
  </si>
  <si>
    <t>Nisrina Firdausi Ramadhani</t>
  </si>
  <si>
    <t>Praba Sultan Arian Alhamdy Syukron</t>
  </si>
  <si>
    <t>Putri Rut Monica Aprinia</t>
  </si>
  <si>
    <t>Muhammad Zaenal Abidin</t>
  </si>
  <si>
    <t>Hasna Silvia Widiyani</t>
  </si>
  <si>
    <t>Shinta Puspa Megawanti</t>
  </si>
  <si>
    <t>Mayla Tasya Nabila</t>
  </si>
  <si>
    <t>Devin Vedyan Arkananta</t>
  </si>
  <si>
    <t>Farah Fadila Winarko</t>
  </si>
  <si>
    <t>Rahardiani Retnaningtyas</t>
  </si>
  <si>
    <t>Safira Ardelia Oktaviani</t>
  </si>
  <si>
    <t>Vernika Silviana</t>
  </si>
  <si>
    <t>Dimas Hammam Abyan</t>
  </si>
  <si>
    <t>Enjel Lyka Siahaan</t>
  </si>
  <si>
    <t>Yolanda Wulandari</t>
  </si>
  <si>
    <t>Adilla Hana Salsabila</t>
  </si>
  <si>
    <t>Divina Diananda Putri</t>
  </si>
  <si>
    <t>Wiritania Raisa Maharani</t>
  </si>
  <si>
    <t>Mukhammad Naufal Ali Khayati</t>
  </si>
  <si>
    <t>Ahmad Nafi'ul Lubab</t>
  </si>
  <si>
    <t>Syarafina Rizka Lutviani</t>
  </si>
  <si>
    <t>Alfin Adiasmara Jati</t>
  </si>
  <si>
    <t>Firda Nur Azizah</t>
  </si>
  <si>
    <t>Michael Krisna Revio Putra</t>
  </si>
  <si>
    <t>Adinda Widya Kusuma Dewi</t>
  </si>
  <si>
    <t>David Cleo Gultom</t>
  </si>
  <si>
    <t>Fairus Naveel Mubarok</t>
  </si>
  <si>
    <t>Gregorius Pragnya Dipta Baskara</t>
  </si>
  <si>
    <t>Assyfa Hesa Maharani</t>
  </si>
  <si>
    <t>Molek Dara Cahayamata</t>
  </si>
  <si>
    <t>Noviana Firdha Devira Ramadhanti</t>
  </si>
  <si>
    <t>Rahimima Dyah Nur Aisyah</t>
  </si>
  <si>
    <t>Satria Arya Wibisono</t>
  </si>
  <si>
    <t>Yudhisthira Lukman Kestiarto</t>
  </si>
  <si>
    <t>Akmal Noor Hidayat</t>
  </si>
  <si>
    <t>Nisrina Azza Salma</t>
  </si>
  <si>
    <t>Nanda Aragani Putra</t>
  </si>
  <si>
    <t>Muhamad Dani</t>
  </si>
  <si>
    <t>Muhammad Dzaki Pratama Ramadaniyoko</t>
  </si>
  <si>
    <t>Ridwan Widahana</t>
  </si>
  <si>
    <t>Rizky Diyan Adityo</t>
  </si>
  <si>
    <t>Rizky Ghiffaari Hafydh</t>
  </si>
  <si>
    <t>Muhammad Ibnu Fauzi</t>
  </si>
  <si>
    <t>Sonia Mahiranisa</t>
  </si>
  <si>
    <t>Muhammad Fakhreza Atfiansyah</t>
  </si>
  <si>
    <t>Alvin Diro</t>
  </si>
  <si>
    <t>Muhammad Azhar Rafi' Samudra</t>
  </si>
  <si>
    <t>Nayunda Ichda Malikul Chusna</t>
  </si>
  <si>
    <t>Anda Lusia</t>
  </si>
  <si>
    <t>Tiara Asri Aryati</t>
  </si>
  <si>
    <t>Muhammad Zikri Ramadhan Hr</t>
  </si>
  <si>
    <t>Muhammad Alif Arrasyid Hurraeroh</t>
  </si>
  <si>
    <t>Mutiara Yulia Bunga Pertiwi</t>
  </si>
  <si>
    <t>Salsabila Hamada Wisanggeni</t>
  </si>
  <si>
    <t>Raphael Aji Kuncoro</t>
  </si>
  <si>
    <t>Raffi Satya Nugraha</t>
  </si>
  <si>
    <t>Fiqri Fahra</t>
  </si>
  <si>
    <t>Zahra Tul Fuada</t>
  </si>
  <si>
    <t>Dimas Aldy Yuditama</t>
  </si>
  <si>
    <t>Catra Adya Pradipta</t>
  </si>
  <si>
    <t>Ardine Bagus Fernanda</t>
  </si>
  <si>
    <t>Kirana Pirandika Ayuputri</t>
  </si>
  <si>
    <t>Maisya Wafda Yushinayuha</t>
  </si>
  <si>
    <t>Arindra Wening Safira</t>
  </si>
  <si>
    <t>Mohammad Zulfi Rahadi Putra</t>
  </si>
  <si>
    <t>Alya Rahmadiani Faiza</t>
  </si>
  <si>
    <t>Zulviana Rahmadina</t>
  </si>
  <si>
    <t>Mardiyah Ayu Parahita</t>
  </si>
  <si>
    <t>Najieda Azka</t>
  </si>
  <si>
    <t>Wahyu Cahyaningrum Kusumawati</t>
  </si>
  <si>
    <t>Salzabila Enzal Putri</t>
  </si>
  <si>
    <t>Anak Agung Adi Putra Wiguna Jaya</t>
  </si>
  <si>
    <t>Aviena Lovi Istiqomah</t>
  </si>
  <si>
    <t>Abel Sanova Haspi</t>
  </si>
  <si>
    <t>Krishna Duta Wibisono</t>
  </si>
  <si>
    <t>Roy Fikrian</t>
  </si>
  <si>
    <t>Lintang Restu Fatikhah</t>
  </si>
  <si>
    <t>Affan Syamaidzar</t>
  </si>
  <si>
    <t>Fadia Aulia Wirdanayah</t>
  </si>
  <si>
    <t>Muhammad Rakha Fadhila</t>
  </si>
  <si>
    <t>Galendra Brilliana Putsa Johanna</t>
  </si>
  <si>
    <t>Cantika Prameswari Darmawan</t>
  </si>
  <si>
    <t>Natasha Devy Larasati</t>
  </si>
  <si>
    <t>Yuafa Natasha Amanna</t>
  </si>
  <si>
    <t>Naila Nabila Zulfah</t>
  </si>
  <si>
    <t>Muhammad Rafi Hakimi</t>
  </si>
  <si>
    <t>Bayana Afifah Dharmajati</t>
  </si>
  <si>
    <t>Nur Intan Komala Dewi</t>
  </si>
  <si>
    <t>Lissatu Qurrotil Ainiyyah</t>
  </si>
  <si>
    <t>Rifqi Dhiya Musyaffa</t>
  </si>
  <si>
    <t>Sinta Alfi Royanul Mansurina</t>
  </si>
  <si>
    <t>Daniel Hisar Siahaan</t>
  </si>
  <si>
    <t>Naflah Khansa Imtinan</t>
  </si>
  <si>
    <t>Wiranto Aji Abimanyu</t>
  </si>
  <si>
    <t>Muhammad Irfan Fadlil Amal</t>
  </si>
  <si>
    <t>Azis Mulya Affandy</t>
  </si>
  <si>
    <t>Afifudin Nudianto</t>
  </si>
  <si>
    <t>Kevin Duta Mulia</t>
  </si>
  <si>
    <t>Mochammad Irdan Bagus Prasetyo</t>
  </si>
  <si>
    <t>Muhammad Ichsanuddin Naufal</t>
  </si>
  <si>
    <t>Medhia Miftahurroyan</t>
  </si>
  <si>
    <t>Nabila Putri Azzahra</t>
  </si>
  <si>
    <t>Rusdy Wastu Kancana</t>
  </si>
  <si>
    <t>Ketut Angga Nadiartha</t>
  </si>
  <si>
    <t>Michael Ariel Brema Pinem</t>
  </si>
  <si>
    <t>Sayyida Amalia Zahra</t>
  </si>
  <si>
    <t>Ade Putri Nurvadia</t>
  </si>
  <si>
    <t>Putri Ainul Hamdi</t>
  </si>
  <si>
    <t>Dionysius Swedha Cahya Danendra</t>
  </si>
  <si>
    <t>Widya Desy Inaya Rawi</t>
  </si>
  <si>
    <t>Anqori Shofia Alfariza Baroroh</t>
  </si>
  <si>
    <t>Fahrudinar Rosyid Muhammad</t>
  </si>
  <si>
    <t>Muhammad Ahsanul Adib</t>
  </si>
  <si>
    <t>Bramudya Rizqi Alvianto</t>
  </si>
  <si>
    <t>Aisya Nur Rahmawati</t>
  </si>
  <si>
    <t>Larasati Salma Rosyadi</t>
  </si>
  <si>
    <t>Farashya Zikrina Dewantoro</t>
  </si>
  <si>
    <t>Mochammad Afifuddin</t>
  </si>
  <si>
    <t>Hani Nikmah Syafira</t>
  </si>
  <si>
    <t>Ilham Satria Wiwoho</t>
  </si>
  <si>
    <t>Muhammad Farrell Wardhana</t>
  </si>
  <si>
    <t>Rizqi Adi Bagus Wicaksono</t>
  </si>
  <si>
    <t>Ferina Ade Ratri</t>
  </si>
  <si>
    <t>Bias Rambu Suchinta</t>
  </si>
  <si>
    <t>Ikraminuzul Shiyam Husaini</t>
  </si>
  <si>
    <t>Rafy Hendriawan</t>
  </si>
  <si>
    <t>Feni Kusuma Maharani</t>
  </si>
  <si>
    <t>Muhammad Abdul Ghofur Assyauqy</t>
  </si>
  <si>
    <t>Yasmin Menanda Haliza</t>
  </si>
  <si>
    <t>Rahmat Dwi Kurniawan</t>
  </si>
  <si>
    <t>Jevan Rofelix Pardede</t>
  </si>
  <si>
    <t>Nadia Angelina Putri</t>
  </si>
  <si>
    <t>Falah Ahsan Muhammad</t>
  </si>
  <si>
    <t>Nugroho Faisal Pawiro</t>
  </si>
  <si>
    <t>Adhy Prasongko</t>
  </si>
  <si>
    <t>Naufal Hilmi Yanuar</t>
  </si>
  <si>
    <t>Nada Nafilatu Zulfa</t>
  </si>
  <si>
    <t>Ardhian Raka Saputra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</si>
  <si>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</si>
  <si>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</si>
  <si>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</si>
  <si>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</si>
  <si>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</si>
  <si>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</si>
  <si>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</si>
  <si>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</si>
  <si>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</si>
  <si>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</si>
  <si>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</si>
  <si>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</si>
  <si>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</si>
  <si>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</si>
  <si>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</si>
  <si>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</si>
  <si>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Parningotan Hasudungan Situmorang</t>
  </si>
  <si>
    <t>Rahmat Adityanto</t>
  </si>
  <si>
    <t>Suryo Agustomo</t>
  </si>
  <si>
    <t>Garawahyu Chrissandi</t>
  </si>
  <si>
    <t>Fredy Andiamo Estrada</t>
  </si>
  <si>
    <t>Raisha Sukma Wijaya</t>
  </si>
  <si>
    <t>Muhammad Roihan Azhari</t>
  </si>
  <si>
    <t>Landriatni Kapita Resmi</t>
  </si>
  <si>
    <t>Gama Hirawan Utomo</t>
  </si>
  <si>
    <t>Boma Rangga Sarengat Yosoputro</t>
  </si>
  <si>
    <t>Wira Sunukusuma</t>
  </si>
  <si>
    <t>Hestuwinar Hapsoro</t>
  </si>
  <si>
    <t>Veronika T</t>
  </si>
  <si>
    <t>Arifuddin Yusuf</t>
  </si>
  <si>
    <t>Danang Setiaji</t>
  </si>
  <si>
    <t>Sutrisno</t>
  </si>
  <si>
    <t>Wahyu Irawan</t>
  </si>
  <si>
    <t>Laras Kartika Sari</t>
  </si>
  <si>
    <t xml:space="preserve">Rakhmat Aries Raharjo </t>
  </si>
  <si>
    <t>Febrian Wahyu Hersanto</t>
  </si>
  <si>
    <t>Hidayat Panuntun</t>
  </si>
  <si>
    <t>M Trianda Dasa Prima</t>
  </si>
  <si>
    <t>Juniar Hidayat</t>
  </si>
  <si>
    <t>Dhany Rakhmad</t>
  </si>
  <si>
    <t>M. Riza Alfan</t>
  </si>
  <si>
    <t>Syska Ratna Yushinta</t>
  </si>
  <si>
    <t>Bayu Fibrianto</t>
  </si>
  <si>
    <t>Septy Nurul Ngizzah</t>
  </si>
  <si>
    <t>Adhi Wirawan</t>
  </si>
  <si>
    <t>Rina Surayya Famaldiana</t>
  </si>
  <si>
    <t>Dina Fitriana</t>
  </si>
  <si>
    <t>Rofika Dyah Maharani</t>
  </si>
  <si>
    <t>Ardian Aji Saputra</t>
  </si>
  <si>
    <t>Fajar Subhianto</t>
  </si>
  <si>
    <t>Dopit Saputra</t>
  </si>
  <si>
    <t>Emanuella Gilarsari</t>
  </si>
  <si>
    <t>Agri Kristal</t>
  </si>
  <si>
    <t>Inggit Diah Novitaningrum</t>
  </si>
  <si>
    <t>Rangga Waban Muhammad</t>
  </si>
  <si>
    <t>Erna Purwatiningsih</t>
  </si>
  <si>
    <t>Angger Novi Ferdian</t>
  </si>
  <si>
    <t>Desiyani</t>
  </si>
  <si>
    <t>Fernandes M.</t>
  </si>
  <si>
    <t>Yesia Nanda Widho Pramana</t>
  </si>
  <si>
    <t>Bharoto Bayu Prasetyo</t>
  </si>
  <si>
    <t>Hendrawan Dwi Raharjo</t>
  </si>
  <si>
    <t>Jati Wijayatmo</t>
  </si>
  <si>
    <t>Herry Risdianto</t>
  </si>
  <si>
    <t>Burhan Sidqi</t>
  </si>
  <si>
    <t>Asep Ali Usman</t>
  </si>
  <si>
    <t>Pristanti  Handayani</t>
  </si>
  <si>
    <t>Aprilia Noor Rosyida</t>
  </si>
  <si>
    <t>Agus Susiyanto</t>
  </si>
  <si>
    <t>Artika  Widowati</t>
  </si>
  <si>
    <t>Dimas Agung Ghifari</t>
  </si>
  <si>
    <t>Eryan Sakti Nugroho</t>
  </si>
  <si>
    <t xml:space="preserve">Mahendra Septritikahardi </t>
  </si>
  <si>
    <t>Andar Sujaryanto</t>
  </si>
  <si>
    <t>Fatkhur Rohman Fajar Nugroho</t>
  </si>
  <si>
    <t>Ade Wirawan</t>
  </si>
  <si>
    <t xml:space="preserve"> Yoga Tsanindita</t>
  </si>
  <si>
    <t>Ade Nugraha</t>
  </si>
  <si>
    <t>Agus Prasetyo Widodo</t>
  </si>
  <si>
    <t>Anggriawan Dwi Sartono</t>
  </si>
  <si>
    <t>Muzayyin Mahbub</t>
  </si>
  <si>
    <t>Fathul Anam</t>
  </si>
  <si>
    <t>Puji Ambarwati</t>
  </si>
  <si>
    <t>Safirotul Huda</t>
  </si>
  <si>
    <t>Rindi Kurnianti</t>
  </si>
  <si>
    <t>Adisty Pratamasari</t>
  </si>
  <si>
    <t>Maria Ulfa Hijriana</t>
  </si>
  <si>
    <t>Naufal Setiawan</t>
  </si>
  <si>
    <t>Maratun Sholihah</t>
  </si>
  <si>
    <t>Dany Puguh Laksono</t>
  </si>
  <si>
    <t>Ellen Martha Kondotana</t>
  </si>
  <si>
    <t>Ari Widyawati</t>
  </si>
  <si>
    <t>Vinche Jhonsmart Lase</t>
  </si>
  <si>
    <t>Ria Pradianita</t>
  </si>
  <si>
    <t>Dewinda Novitasari</t>
  </si>
  <si>
    <t>Harka Amrossalma</t>
  </si>
  <si>
    <t>Dwi Arso Budi Laksono</t>
  </si>
  <si>
    <t>Ratih Primasari Puteri</t>
  </si>
  <si>
    <t>Dominikus Rinto Adhi  Wicaksono</t>
  </si>
  <si>
    <t>Dyah Kartika Sari</t>
  </si>
  <si>
    <t>Getarina Dewi Purnamasari</t>
  </si>
  <si>
    <t>Siti Purwanti</t>
  </si>
  <si>
    <t>Anung Anandito</t>
  </si>
  <si>
    <t>David Prasetyo</t>
  </si>
  <si>
    <t>Burhan Baskoro</t>
  </si>
  <si>
    <t>Raden Wahyu Bagus Widigdo</t>
  </si>
  <si>
    <t>Didi Intan Setiaji</t>
  </si>
  <si>
    <t>Adyanta Karo-Karo</t>
  </si>
  <si>
    <t>Dicky Binsar Putra Sihotang</t>
  </si>
  <si>
    <t>Dani Sinaga</t>
  </si>
  <si>
    <t>Didik Parwanto</t>
  </si>
  <si>
    <t>Ghani Yanuargo Dondiarta</t>
  </si>
  <si>
    <t>M. Jefri Saputra</t>
  </si>
  <si>
    <t>Made Nova Sanjaya</t>
  </si>
  <si>
    <t>Fanny Alfarisy</t>
  </si>
  <si>
    <t>Marda Khoiria Fajari</t>
  </si>
  <si>
    <t>Arief Yoga Pratama</t>
  </si>
  <si>
    <t>Oktoriwanda</t>
  </si>
  <si>
    <t>Oktadi Prayoga</t>
  </si>
  <si>
    <t>Andrey Pratama Murti Ambangkoro</t>
  </si>
  <si>
    <t>Senoaji Suryo Wardono</t>
  </si>
  <si>
    <t>Adnan Aditya Putra</t>
  </si>
  <si>
    <t>Afden Mahyeda</t>
  </si>
  <si>
    <t>Lilik Utamadi Maryono</t>
  </si>
  <si>
    <t>Gito Sumarno</t>
  </si>
  <si>
    <t>Indina Shinta Dewi</t>
  </si>
  <si>
    <t>Yusniar Rah  Ayu Ristiantri</t>
  </si>
  <si>
    <t>Setiawan Nurachman Romcho</t>
  </si>
  <si>
    <t>Ferdy Aprilim Tambunan</t>
  </si>
  <si>
    <t>Jeffry Jan Piter Simamora</t>
  </si>
  <si>
    <t>Rendhy Putra Virizky</t>
  </si>
  <si>
    <t>Giri Indra Harjanto</t>
  </si>
  <si>
    <t>Joko Andi Harnanto</t>
  </si>
  <si>
    <t>Oktarina Purbawati</t>
  </si>
  <si>
    <t>Laksono Ade Muliawan</t>
  </si>
  <si>
    <t>Marthin Johannes Purba</t>
  </si>
  <si>
    <t>Phisca Yudha Pratama</t>
  </si>
  <si>
    <t>Eko Wahyu Nugroho</t>
  </si>
  <si>
    <t>Adnan Buyung Ma’nawi</t>
  </si>
  <si>
    <t xml:space="preserve"> Fanika Dovi Kristiawan</t>
  </si>
  <si>
    <t>Anas Afifi</t>
  </si>
  <si>
    <t>Nur Khairani Zulfah</t>
  </si>
  <si>
    <t>Samantha Dwi Parana</t>
  </si>
  <si>
    <t>Rifaatul Mahmudah</t>
  </si>
  <si>
    <t>Dini Pamulat Utami</t>
  </si>
  <si>
    <t>Binar Rona Nugraha</t>
  </si>
  <si>
    <t>Frans Herriyudhi Aritonang</t>
  </si>
  <si>
    <t>Totok Prawoto</t>
  </si>
  <si>
    <t>Rudal Sulaiman</t>
  </si>
  <si>
    <t>I Made Dipta Sudana</t>
  </si>
  <si>
    <t>Amon Yoga Musaura</t>
  </si>
  <si>
    <t>Muhammad Fajar Prasetyo</t>
  </si>
  <si>
    <t>Rizang Daru Nafian</t>
  </si>
  <si>
    <t>Peni Suciningrum</t>
  </si>
  <si>
    <t>Nur Ikawati</t>
  </si>
  <si>
    <t>Anggun Wara Pangesti</t>
  </si>
  <si>
    <t>Dwi Herwandono</t>
  </si>
  <si>
    <t>Siti Ruhama</t>
  </si>
  <si>
    <t>Mohamad Abiyoso</t>
  </si>
  <si>
    <t>Ferdian Kurnianto</t>
  </si>
  <si>
    <t>Yoga Prakosa</t>
  </si>
  <si>
    <t>Theodorus Yan Neovanny</t>
  </si>
  <si>
    <t>Luthfi Ahsana Muhtarom</t>
  </si>
  <si>
    <t>Arga Sasmita Abadi</t>
  </si>
  <si>
    <t>Arief Wicaksono Budi K.</t>
  </si>
  <si>
    <t>Hafizha Nuri Afifah</t>
  </si>
  <si>
    <t>Jati Wahyu Tranggono</t>
  </si>
  <si>
    <t>Khairunnissa Dwi Utami</t>
  </si>
  <si>
    <t>Shinta Aprilia Indarwati</t>
  </si>
  <si>
    <t>Windy Liestyani</t>
  </si>
  <si>
    <t>Gregorius Anselmus Vincentio Aurelius</t>
  </si>
  <si>
    <t>Fatma Kurnia Sari</t>
  </si>
  <si>
    <t>Widiyarto</t>
  </si>
  <si>
    <t>Anggun Wara  Rahajeng</t>
  </si>
  <si>
    <t>Yani Priyo Nugroho</t>
  </si>
  <si>
    <t>Nadya Oktaviani</t>
  </si>
  <si>
    <t>Kitri Aru Saputra</t>
  </si>
  <si>
    <t>Kuncoro Andrie Widiyanto</t>
  </si>
  <si>
    <t>Defri Nur Ariffah</t>
  </si>
  <si>
    <t>Prima Yuda Septiyadi</t>
  </si>
  <si>
    <t>Eva Aida Musavia</t>
  </si>
  <si>
    <t>Gary Isnuardani</t>
  </si>
  <si>
    <t>Ayu Wandira Purba</t>
  </si>
  <si>
    <t>Catur Susilo Ardi</t>
  </si>
  <si>
    <t>Luthviasari Astudiro</t>
  </si>
  <si>
    <t>Heruningtyas Desi Purnamasari</t>
  </si>
  <si>
    <t>Ratih Hidayah</t>
  </si>
  <si>
    <t>Arif Prihananto</t>
  </si>
  <si>
    <t>Rifqiya Luthfiyani</t>
  </si>
  <si>
    <t>Anjas Bandarso</t>
  </si>
  <si>
    <t>Danang Setyawan</t>
  </si>
  <si>
    <t>Widi Suryo Wibowo</t>
  </si>
  <si>
    <t>Nasrudin Bachtiar</t>
  </si>
  <si>
    <t>Raditya Danar S.</t>
  </si>
  <si>
    <t>Tia Rizka Nuzula R</t>
  </si>
  <si>
    <t>Novi Pristianti</t>
  </si>
  <si>
    <t>Mukti Fatimah</t>
  </si>
  <si>
    <t>Yuli Purwaningsih</t>
  </si>
  <si>
    <t>Fetri Ago H.R</t>
  </si>
  <si>
    <t>I Made Diky Ade Hermawan</t>
  </si>
  <si>
    <t>Reza Ananda</t>
  </si>
  <si>
    <t>Safira Yudha Wijayanti</t>
  </si>
  <si>
    <t>Yulia Indri Astuty</t>
  </si>
  <si>
    <t>Neintien Yenisari</t>
  </si>
  <si>
    <t>Gita Della Marahati</t>
  </si>
  <si>
    <t>Merlinda Norma P</t>
  </si>
  <si>
    <t>Bagas Triarahmadhana</t>
  </si>
  <si>
    <t>Erna Kusumawati</t>
  </si>
  <si>
    <t>Tri Utami Handayaningsih</t>
  </si>
  <si>
    <t>Yunanta Cahya Daniswara</t>
  </si>
  <si>
    <t>Maulida Fitri</t>
  </si>
  <si>
    <t>Jali Octariady</t>
  </si>
  <si>
    <t>Anita Priyani</t>
  </si>
  <si>
    <t>Nani Frea Wika</t>
  </si>
  <si>
    <t>Sari Kurniawati</t>
  </si>
  <si>
    <t>Mulya Sina Diputra</t>
  </si>
  <si>
    <t>Slamet Riswanto</t>
  </si>
  <si>
    <t>Rahadian Fauzi</t>
  </si>
  <si>
    <t>Yanuar Reza Yuwana</t>
  </si>
  <si>
    <t>Juanda Cahyaputra</t>
  </si>
  <si>
    <t>Rastika Widiastuti</t>
  </si>
  <si>
    <t>Azmiyatul Arifati</t>
  </si>
  <si>
    <t>Elysabeth Jane P</t>
  </si>
  <si>
    <t>Lani'ah</t>
  </si>
  <si>
    <t>Siti Nur Sa'idah</t>
  </si>
  <si>
    <t>Bara Aranandita Fata</t>
  </si>
  <si>
    <t>Fajar Aji Nidyamukti</t>
  </si>
  <si>
    <t>Brigitta Maria Iedha</t>
  </si>
  <si>
    <t>Erison Nathanael</t>
  </si>
  <si>
    <t>Hadi Wijaya Kusuma Abdillah</t>
  </si>
  <si>
    <t>Afit Budimantoro</t>
  </si>
  <si>
    <t>Septi Arini</t>
  </si>
  <si>
    <t>Ainal Mardiah Hasibuan</t>
  </si>
  <si>
    <t>Monikha Dyah Wulandari</t>
  </si>
  <si>
    <t>Siska Nurul Inayati</t>
  </si>
  <si>
    <t>Dovan Priliandika</t>
  </si>
  <si>
    <t>Ajeng Putri Larasati</t>
  </si>
  <si>
    <t>Naufal Sandro</t>
  </si>
  <si>
    <t>Ridzky Zulfikar Widyo Baskoro</t>
  </si>
  <si>
    <t>Luthfiani Azizah</t>
  </si>
  <si>
    <t>Ajeng Ramadhani Gunawan</t>
  </si>
  <si>
    <t>Muhammad Arsyad Fauzi</t>
  </si>
  <si>
    <t>Irma Riswanda Laksita</t>
  </si>
  <si>
    <t>Muhammad Faiz Zulfikar</t>
  </si>
  <si>
    <t>Firmania Yogastina</t>
  </si>
  <si>
    <t>Annisa Wulandari</t>
  </si>
  <si>
    <t>Abdullah Bin Abad</t>
  </si>
  <si>
    <t>Bayu Wisnu Putra</t>
  </si>
  <si>
    <t>Fitrian Adiyaksa</t>
  </si>
  <si>
    <t>Yudha Noor Rachmat</t>
  </si>
  <si>
    <t>Junus Ramadhani</t>
  </si>
  <si>
    <t>Rangga Jati Suprojo</t>
  </si>
  <si>
    <t>Yunita Kartika Sari</t>
  </si>
  <si>
    <t>Fajar Sutejo</t>
  </si>
  <si>
    <t>Alian Fathira Khomaini</t>
  </si>
  <si>
    <t>Eko Prayetno</t>
  </si>
  <si>
    <t>Pandu Kurnia</t>
  </si>
  <si>
    <t>Helmi Nurul Wahid</t>
  </si>
  <si>
    <t>Handung Ramadhan Divido</t>
  </si>
  <si>
    <t>Gustini Rizki Fudianti</t>
  </si>
  <si>
    <t>Nafisa Andika Putri</t>
  </si>
  <si>
    <t>Ridha Nur Rahmawati</t>
  </si>
  <si>
    <t>Ikhsan Luthfi Aradea</t>
  </si>
  <si>
    <t>Hera Ratnawati</t>
  </si>
  <si>
    <t>Aditya Ajie Firmansyah Marsoedy</t>
  </si>
  <si>
    <t>Yusuf</t>
  </si>
  <si>
    <t>Muhammad Wahyu Dwimulyo</t>
  </si>
  <si>
    <t>Ghieselva La Toya</t>
  </si>
  <si>
    <t>Astika Novia Pramundita</t>
  </si>
  <si>
    <t>Septi Praja Abdiana</t>
  </si>
  <si>
    <t>Novita Nugraheni</t>
  </si>
  <si>
    <t>Safira Naomi Sugianto</t>
  </si>
  <si>
    <t>Anes Anggraeni</t>
  </si>
  <si>
    <t>Gustomi Arry Widodo</t>
  </si>
  <si>
    <t>Gilang Akhyuta</t>
  </si>
  <si>
    <t>Siskasari Satoto</t>
  </si>
  <si>
    <t>Ayudya Noshico Husna</t>
  </si>
  <si>
    <t>Jiyon Ataa Nurmufti Adam</t>
  </si>
  <si>
    <t>Dhega Wasi Wihikan</t>
  </si>
  <si>
    <t>Fikri Fattah Firdaus</t>
  </si>
  <si>
    <t>Saidina Abid Munawwar</t>
  </si>
  <si>
    <t>Nadia Hanifah Ayuningtyas</t>
  </si>
  <si>
    <t>Nurul Ninatin</t>
  </si>
  <si>
    <t>Ihza Rizki Fauzi</t>
  </si>
  <si>
    <t>Suci Tresna Novianti</t>
  </si>
  <si>
    <t>Ali Surojaya</t>
  </si>
  <si>
    <t>Lantip Supratiko</t>
  </si>
  <si>
    <t>Mustika Dewi Siburian</t>
  </si>
  <si>
    <t>Anisah</t>
  </si>
  <si>
    <t>Gede Bayu Wirawan</t>
  </si>
  <si>
    <t>Febriani Nursanti</t>
  </si>
  <si>
    <t>Putu Adipratama Baratha Wangsa</t>
  </si>
  <si>
    <t>Muhammad Sofyan Satari</t>
  </si>
  <si>
    <t>Agia Cika Alamanda</t>
  </si>
  <si>
    <t>Elang Manglarmonga Assidiq</t>
  </si>
  <si>
    <t>Andika Anggara Pribadi</t>
  </si>
  <si>
    <t>Asdiztia Nurul Fatima</t>
  </si>
  <si>
    <t>Azizun Rohman</t>
  </si>
  <si>
    <t>Fadhila Sanityasari</t>
  </si>
  <si>
    <t>Imam Sholichin</t>
  </si>
  <si>
    <t>Kartika Haryo Kusumo</t>
  </si>
  <si>
    <t>Nerissa Mutiara Christy</t>
  </si>
  <si>
    <t>Sherin Ajeng Norliani</t>
  </si>
  <si>
    <t>Oggy Viana Nella Putri Widyanata</t>
  </si>
  <si>
    <t>Trizchia Aprillita</t>
  </si>
  <si>
    <t>Alun Sagara Putra</t>
  </si>
  <si>
    <t>Ananta Wiweka Dharmawan</t>
  </si>
  <si>
    <t>Dita Dwi Aryani</t>
  </si>
  <si>
    <t>Fadilla Ivana Ayuningtyas</t>
  </si>
  <si>
    <t>Hasan Al Banna</t>
  </si>
  <si>
    <t>Ida Nurul Azizah</t>
  </si>
  <si>
    <t>Mayang Lumongga</t>
  </si>
  <si>
    <t>Windy Hapsari</t>
  </si>
  <si>
    <t>Intan Nuria Maharani</t>
  </si>
  <si>
    <t>Winarci Puji Lestari</t>
  </si>
  <si>
    <t>Rifda Dwi Lestari</t>
  </si>
  <si>
    <t>Poppy Andriani Wirawan</t>
  </si>
  <si>
    <t>Rifqi Hanif</t>
  </si>
  <si>
    <t>Demmax's Iriyanto Asso</t>
  </si>
  <si>
    <t>Dzulfikar Ali Ridho</t>
  </si>
  <si>
    <t>Tri Hadi Warsono Sitanggang</t>
  </si>
  <si>
    <t>Krisna Dipa Yana Putra</t>
  </si>
  <si>
    <t>Puji Lestari Handayani</t>
  </si>
  <si>
    <t>Natasya Safetyani</t>
  </si>
  <si>
    <t>Herlita Ayu Pratiwi</t>
  </si>
  <si>
    <t>M Bintang Anugerah</t>
  </si>
  <si>
    <t>Ali Nurul Ihsan</t>
  </si>
  <si>
    <t>Alda Oktaviani Miftah Putri</t>
  </si>
  <si>
    <t>Garnisa Prima Nida Devi</t>
  </si>
  <si>
    <t>Buana Syaban Akbar</t>
  </si>
  <si>
    <t>Suci Prima Putri</t>
  </si>
  <si>
    <t>Dwiranty Aprillya</t>
  </si>
  <si>
    <t>Ranisa Amalia Sholikhah</t>
  </si>
  <si>
    <t>Rifan Yunantara</t>
  </si>
  <si>
    <t>Monicha Sherly Marshela</t>
  </si>
  <si>
    <t>Atanasius Sindhu Adi Pradana</t>
  </si>
  <si>
    <t>Rossa Purnama Dewi</t>
  </si>
  <si>
    <t>Fa Lugas Surya Pratama</t>
  </si>
  <si>
    <t>Henry Alin Setiawan</t>
  </si>
  <si>
    <t>Alya Sitaningrum</t>
  </si>
  <si>
    <t>Fredy Rizal Pratama</t>
  </si>
  <si>
    <t>Muhammad Apriliano Bagaskara</t>
  </si>
  <si>
    <t>Virra Hanindia</t>
  </si>
  <si>
    <t>Farry Handika Nuradhiba</t>
  </si>
  <si>
    <t>Muhamad Rury Romdani</t>
  </si>
  <si>
    <t>Muhammad Zaqia Mumtaz</t>
  </si>
  <si>
    <t>Nando Yudhanto Ajisukma</t>
  </si>
  <si>
    <t>Miftachul Huda</t>
  </si>
  <si>
    <t>Salma Hanun Hanifah</t>
  </si>
  <si>
    <t>Leo Nanda Renaldo Syah</t>
  </si>
  <si>
    <t>Sultan Dzaki Zhulfaliant</t>
  </si>
  <si>
    <t>Asha Devyanika</t>
  </si>
  <si>
    <t>Ms. Diyan Daflisal Putra</t>
  </si>
  <si>
    <t>Email</t>
  </si>
  <si>
    <t>Angkatan</t>
  </si>
  <si>
    <t>No Telp / WA</t>
  </si>
  <si>
    <t>Zuditax@gmail.com</t>
  </si>
  <si>
    <t>08127906633</t>
  </si>
  <si>
    <t>Lia.Roedji@gmail.com</t>
  </si>
  <si>
    <t>081297584822</t>
  </si>
  <si>
    <t xml:space="preserve">ntrihastuti2021@gmail.com </t>
  </si>
  <si>
    <t>0811887538</t>
  </si>
  <si>
    <t>ojiktgd@gmail.com</t>
  </si>
  <si>
    <t>082123359959</t>
  </si>
  <si>
    <t>prilnali.eka@gmail.com</t>
  </si>
  <si>
    <t>081226953100</t>
  </si>
  <si>
    <t>rizapramudya72@gmail.com</t>
  </si>
  <si>
    <t>087812433972</t>
  </si>
  <si>
    <t>Baron Yuri Setiawan</t>
  </si>
  <si>
    <t>Angingunung1@gmail.com</t>
  </si>
  <si>
    <t>08153890045</t>
  </si>
  <si>
    <t>niajengp@gmail.com</t>
  </si>
  <si>
    <t>089695016457</t>
  </si>
  <si>
    <t>wahyudhe@gmail.com</t>
  </si>
  <si>
    <t>089629923698</t>
  </si>
  <si>
    <t>b.gatotnugroho@gmail.com</t>
  </si>
  <si>
    <t>08121329649</t>
  </si>
  <si>
    <t>calvinwjy81@gmail.com</t>
  </si>
  <si>
    <t>08117481709</t>
  </si>
  <si>
    <t>mulyasina@gmail.com</t>
  </si>
  <si>
    <t>08567645323</t>
  </si>
  <si>
    <t>Agus indra gunawan</t>
  </si>
  <si>
    <t>agusindragunawan79@gmail.com</t>
  </si>
  <si>
    <t>082155202005</t>
  </si>
  <si>
    <t>muhammad.nuha@gt.itera.ac.id</t>
  </si>
  <si>
    <t>081327586410</t>
  </si>
  <si>
    <t>Rakhmat Abidin</t>
  </si>
  <si>
    <t>rakhmada@gmail.com</t>
  </si>
  <si>
    <t>081215670988</t>
  </si>
  <si>
    <t>nasbachtiar@gmail.com</t>
  </si>
  <si>
    <t>082225088626</t>
  </si>
  <si>
    <t>Muchammad Masykur</t>
  </si>
  <si>
    <t>masykurgd@gmail.com</t>
  </si>
  <si>
    <t>081259974655</t>
  </si>
  <si>
    <t>gatopl66@gmail.com</t>
  </si>
  <si>
    <t>0811164320</t>
  </si>
  <si>
    <t>pijar1999@gmail.com</t>
  </si>
  <si>
    <t>081342809311</t>
  </si>
  <si>
    <t>adeitarafat@gmail.com</t>
  </si>
  <si>
    <t>087774430999</t>
  </si>
  <si>
    <t>awal210874@gmail.com</t>
  </si>
  <si>
    <t>081328949848</t>
  </si>
  <si>
    <t>suranto96@gmail.com</t>
  </si>
  <si>
    <t>081280375896</t>
  </si>
  <si>
    <t>Muhammad Nasihun</t>
  </si>
  <si>
    <t>nashihun@gmail.com</t>
  </si>
  <si>
    <t>081298737575</t>
  </si>
  <si>
    <t>SAWAL</t>
  </si>
  <si>
    <t>Sawalmsaleh@gmail.com</t>
  </si>
  <si>
    <t>08122442435</t>
  </si>
  <si>
    <t>Janewardakarima@gmail.com</t>
  </si>
  <si>
    <t>087836725527</t>
  </si>
  <si>
    <t>diyonost@gmail.com</t>
  </si>
  <si>
    <t>08122788347</t>
  </si>
  <si>
    <t>agussusiyanto85@gmail.com</t>
  </si>
  <si>
    <t>081326437867</t>
  </si>
  <si>
    <t>baharudinahmad.st@gmail.com</t>
  </si>
  <si>
    <t>081256148380</t>
  </si>
  <si>
    <t>Ahmad Mujamil</t>
  </si>
  <si>
    <t>amudjamil@gmail.com</t>
  </si>
  <si>
    <t>08128545257</t>
  </si>
  <si>
    <t>idinyunindra@gmail.com</t>
  </si>
  <si>
    <t>08118801123</t>
  </si>
  <si>
    <t>littledng@gmail.com</t>
  </si>
  <si>
    <t>081328762472</t>
  </si>
  <si>
    <t>elpakhriakmal@gmail.com</t>
  </si>
  <si>
    <t>081218185513</t>
  </si>
  <si>
    <t>hakanpraha@gmail.com</t>
  </si>
  <si>
    <t>081398973126</t>
  </si>
  <si>
    <t>hery.hariyanto19@gmail.com</t>
  </si>
  <si>
    <t>081390872198</t>
  </si>
  <si>
    <t>krisnaarimjaya@gmail.com</t>
  </si>
  <si>
    <t>085652052054</t>
  </si>
  <si>
    <t xml:space="preserve">Eko.resmono@gmail.com </t>
  </si>
  <si>
    <t>081315506150</t>
  </si>
  <si>
    <t>bisma.aji@gmail.com</t>
  </si>
  <si>
    <t>081322220700</t>
  </si>
  <si>
    <t>ayussari@gmail.com</t>
  </si>
  <si>
    <t>081228594055</t>
  </si>
  <si>
    <t>iqbaltaftazani@ugm.ac.id</t>
  </si>
  <si>
    <t>081227503890</t>
  </si>
  <si>
    <t>yessy.elysia@gmail.com</t>
  </si>
  <si>
    <t>083176083109</t>
  </si>
  <si>
    <t>djonikisworo@gmail.com</t>
  </si>
  <si>
    <t>085702580789</t>
  </si>
  <si>
    <t>danang.tgd92@gmail.com</t>
  </si>
  <si>
    <t>081212224624</t>
  </si>
  <si>
    <t>Benny Ronald Emor</t>
  </si>
  <si>
    <t>bennyemor@gmail.com</t>
  </si>
  <si>
    <t>081219935511</t>
  </si>
  <si>
    <t>hammamabdurrahman@gmail.com</t>
  </si>
  <si>
    <t>082134466071</t>
  </si>
  <si>
    <t>di2t.setiawan@gmail.com</t>
  </si>
  <si>
    <t>082188339949</t>
  </si>
  <si>
    <t>Lunaleya@gmail.com</t>
  </si>
  <si>
    <t>081329509906</t>
  </si>
  <si>
    <t>adyprasetyawan79@gmail.com</t>
  </si>
  <si>
    <t>081392238397</t>
  </si>
  <si>
    <t>andi.arif34@gmail.com</t>
  </si>
  <si>
    <t>0811539342</t>
  </si>
  <si>
    <t>putrihildaz@gmail.com</t>
  </si>
  <si>
    <t>085727777720</t>
  </si>
  <si>
    <t>Edi misael nainggolan</t>
  </si>
  <si>
    <t>edi.nainggolan85@gmail.com</t>
  </si>
  <si>
    <t>081227635505</t>
  </si>
  <si>
    <t>yossi oktorini</t>
  </si>
  <si>
    <t>oktorini.yossi@lecturer.unri.ac.id</t>
  </si>
  <si>
    <t>085274916661</t>
  </si>
  <si>
    <t>anindards@gmail.com</t>
  </si>
  <si>
    <t>085740015001</t>
  </si>
  <si>
    <t>oktadip@gmail.com</t>
  </si>
  <si>
    <t>085643111393</t>
  </si>
  <si>
    <t>akmalwahyuf@gmail.com</t>
  </si>
  <si>
    <t>081293517819</t>
  </si>
  <si>
    <t>otnasu99@gmail.com</t>
  </si>
  <si>
    <t>085333587644</t>
  </si>
  <si>
    <t>TASYA VUJI AL-VATIA</t>
  </si>
  <si>
    <t>tasyavuji2811@gmail.com</t>
  </si>
  <si>
    <t>082391841368</t>
  </si>
  <si>
    <t>mr.barnadib@gmail.com</t>
  </si>
  <si>
    <t>082177452421</t>
  </si>
  <si>
    <t>cristagael@gmail,com</t>
  </si>
  <si>
    <t>081339437051</t>
  </si>
  <si>
    <t>Iin herawati</t>
  </si>
  <si>
    <t>heraarifianto@yahoo.com</t>
  </si>
  <si>
    <t>081286134887</t>
  </si>
  <si>
    <t>nr.rochman@gmail.com</t>
  </si>
  <si>
    <t>08155121591</t>
  </si>
  <si>
    <t>anfhry@gmail.com</t>
  </si>
  <si>
    <t>081333834942</t>
  </si>
  <si>
    <t>rusdiyanto1994@mail.ugm.ac.id</t>
  </si>
  <si>
    <t>085225789988</t>
  </si>
  <si>
    <t>madewidiantoro@gmail.com</t>
  </si>
  <si>
    <t>081366921169</t>
  </si>
  <si>
    <t>mawan.triantana@gmail.com</t>
  </si>
  <si>
    <t>08157990378</t>
  </si>
  <si>
    <t>Wuriyanto Marso</t>
  </si>
  <si>
    <t>wuriyanto.mraso@gmail.com</t>
  </si>
  <si>
    <t>087888190352</t>
  </si>
  <si>
    <t>masithapangulu95@gmail.com</t>
  </si>
  <si>
    <t>082259996730</t>
  </si>
  <si>
    <t>muhamadmilzammuharam@gmail.com</t>
  </si>
  <si>
    <t>082226216061</t>
  </si>
  <si>
    <t>ajengramadhanigunawan@gmail.com</t>
  </si>
  <si>
    <t>081268300817</t>
  </si>
  <si>
    <t>gugefaizal@gmail.com</t>
  </si>
  <si>
    <t>085227561199</t>
  </si>
  <si>
    <t>roul.kns@gmail.com</t>
  </si>
  <si>
    <t>08111920089</t>
  </si>
  <si>
    <t>febrianfsusanta@gmail.com</t>
  </si>
  <si>
    <t>081333053718</t>
  </si>
  <si>
    <t>elhamindo@gmail.com</t>
  </si>
  <si>
    <t>081367228875</t>
  </si>
  <si>
    <t>mzuriabangkit@gmail.com</t>
  </si>
  <si>
    <t>081288901614</t>
  </si>
  <si>
    <t>armeinus@gmail.com</t>
  </si>
  <si>
    <t>085796891980</t>
  </si>
  <si>
    <t>ndkurniati@gmail.com</t>
  </si>
  <si>
    <t>081380732022</t>
  </si>
  <si>
    <t>mattnad71@gmail.com</t>
  </si>
  <si>
    <t>081316471901</t>
  </si>
  <si>
    <t>ags.sulist@gmail.com</t>
  </si>
  <si>
    <t>08121055463</t>
  </si>
  <si>
    <t>gunawan.dbu@gmail.com</t>
  </si>
  <si>
    <t>082124512728</t>
  </si>
  <si>
    <t>fanggilenni@gmail.com</t>
  </si>
  <si>
    <t>082144849340</t>
  </si>
  <si>
    <t>anindya.sricandra.p@ugm.ac.id</t>
  </si>
  <si>
    <t>085602878713</t>
  </si>
  <si>
    <t>setiawan.nr@gmail.com</t>
  </si>
  <si>
    <t>087883171707</t>
  </si>
  <si>
    <t>Erwin Triansyah</t>
  </si>
  <si>
    <t>etriansyah@gmail.com</t>
  </si>
  <si>
    <t>081254522479</t>
  </si>
  <si>
    <t>huyali2@gmail.com</t>
  </si>
  <si>
    <t>081392435539</t>
  </si>
  <si>
    <t>R. Wahyu Widodo</t>
  </si>
  <si>
    <t>rwwidodo.gis@gmail.com</t>
  </si>
  <si>
    <t>081327797130</t>
  </si>
  <si>
    <t>abrianto.05@gmail.com</t>
  </si>
  <si>
    <t>081331591618</t>
  </si>
  <si>
    <t>5ut3ps@gmail.com</t>
  </si>
  <si>
    <t>08122771402</t>
  </si>
  <si>
    <t>artanto.cahyono@gmail.com</t>
  </si>
  <si>
    <t>08129660004</t>
  </si>
  <si>
    <t>medinapalembang@gmail.com</t>
  </si>
  <si>
    <t>081360011404</t>
  </si>
  <si>
    <t>danu. patmoko@gmail.com</t>
  </si>
  <si>
    <t>082149917633</t>
  </si>
  <si>
    <t>Purnomo Hadi</t>
  </si>
  <si>
    <t>purnomio61@gmail.com</t>
  </si>
  <si>
    <t>08128066765</t>
  </si>
  <si>
    <t>adina.ningrum@gmail.com</t>
  </si>
  <si>
    <t>08161320223</t>
  </si>
  <si>
    <t>nursidiq.sdq@gmail.com</t>
  </si>
  <si>
    <t>081389423865</t>
  </si>
  <si>
    <t>variawati@gmail.com</t>
  </si>
  <si>
    <t>085228377713</t>
  </si>
  <si>
    <t>Hariyanto</t>
  </si>
  <si>
    <t>hariyantosdh@gmail.com</t>
  </si>
  <si>
    <t>081218889557</t>
  </si>
  <si>
    <t>Iwan Qodar Himawan</t>
  </si>
  <si>
    <t>iwanqh@gmail.com</t>
  </si>
  <si>
    <t>0811948761</t>
  </si>
  <si>
    <t>ekoindrianto46@gmail.com</t>
  </si>
  <si>
    <t>081392712426</t>
  </si>
  <si>
    <t>Ivan.sandy97@gmail.com</t>
  </si>
  <si>
    <t>081210333677</t>
  </si>
  <si>
    <t>Mars Maududdin</t>
  </si>
  <si>
    <t>Marsnaufals@gmail.com</t>
  </si>
  <si>
    <t>085290463913</t>
  </si>
  <si>
    <t>dony.kbs@gmail.com</t>
  </si>
  <si>
    <t>085811884251</t>
  </si>
  <si>
    <t>poedjiasri@gmail.com</t>
  </si>
  <si>
    <t>087884001614</t>
  </si>
  <si>
    <t xml:space="preserve">Yudhipry@gmail.com </t>
  </si>
  <si>
    <t>085230219221</t>
  </si>
  <si>
    <t>gitov.sheva@gmail.com</t>
  </si>
  <si>
    <t>081386787117</t>
  </si>
  <si>
    <t>purnamabs@ugm.ac.id</t>
  </si>
  <si>
    <t>081328867079</t>
  </si>
  <si>
    <t>widodo_59@yahoo.com</t>
  </si>
  <si>
    <t>0817785354</t>
  </si>
  <si>
    <t>cnugross@gmail.com</t>
  </si>
  <si>
    <t>085268846225</t>
  </si>
  <si>
    <t>atiks.priyo@gmail.com</t>
  </si>
  <si>
    <t>081210261931</t>
  </si>
  <si>
    <t>Ardisiak@gmail.com</t>
  </si>
  <si>
    <t>0817271177</t>
  </si>
  <si>
    <t>ngurah.sidharta@gmail.com</t>
  </si>
  <si>
    <t>08112448866</t>
  </si>
  <si>
    <t>afdenmahyeda@gmail.com</t>
  </si>
  <si>
    <t>081294770701</t>
  </si>
  <si>
    <t>masmunawar@yahoo.com</t>
  </si>
  <si>
    <t>085719459462</t>
  </si>
  <si>
    <t>awanesta@gmail.com</t>
  </si>
  <si>
    <t>081225925600</t>
  </si>
  <si>
    <t>kurniabi37@yahoo.co.id</t>
  </si>
  <si>
    <t>081316616684</t>
  </si>
  <si>
    <t>anurdin147@gmail.com</t>
  </si>
  <si>
    <t>081325508759</t>
  </si>
  <si>
    <t>arismunanto65@gmail.com</t>
  </si>
  <si>
    <t>0811974514</t>
  </si>
  <si>
    <t>Suripahheri@gmail.com</t>
  </si>
  <si>
    <t>085101181372</t>
  </si>
  <si>
    <t>mahendraariperdana@gmail.com</t>
  </si>
  <si>
    <t>085244372236</t>
  </si>
  <si>
    <t>auliafzahro@gmail.com</t>
  </si>
  <si>
    <t>085742748474</t>
  </si>
  <si>
    <t>kresna.fitriansyah@gmail.com</t>
  </si>
  <si>
    <t>081335820236</t>
  </si>
  <si>
    <t>haryo_sg@yahoo.com</t>
  </si>
  <si>
    <t>081328266382</t>
  </si>
  <si>
    <t>prameswaras@gmail.com</t>
  </si>
  <si>
    <t>08117570803</t>
  </si>
  <si>
    <t>aribudi.pekanbaru@gmail.com</t>
  </si>
  <si>
    <t>08127548776</t>
  </si>
  <si>
    <t>ekobudiwahyono3@gmail.com</t>
  </si>
  <si>
    <t>082329471490</t>
  </si>
  <si>
    <t>wb.agung@gmail.com</t>
  </si>
  <si>
    <t>081335591546</t>
  </si>
  <si>
    <t>msmaulana90@gmail.com</t>
  </si>
  <si>
    <t>081328200880</t>
  </si>
  <si>
    <t>fkiuk1971@gmail.com</t>
  </si>
  <si>
    <t>081246929796</t>
  </si>
  <si>
    <t>ais.amini96@gmail.com</t>
  </si>
  <si>
    <t>085606199686</t>
  </si>
  <si>
    <t>Iwan.ridwan270878@gmail.com</t>
  </si>
  <si>
    <t>08115020961</t>
  </si>
  <si>
    <t>supri11516@gmail.com</t>
  </si>
  <si>
    <t>081226605464</t>
  </si>
  <si>
    <t>Edi</t>
  </si>
  <si>
    <t>Edi_kacong@yahoo.com</t>
  </si>
  <si>
    <t>08113788927</t>
  </si>
  <si>
    <t>sugiyanto78@gmail.com</t>
  </si>
  <si>
    <t>081336222753</t>
  </si>
  <si>
    <t>ditha.ary.sanjaya@gmail.com</t>
  </si>
  <si>
    <t>082225279096</t>
  </si>
  <si>
    <t>Bangsuk@gmail.com</t>
  </si>
  <si>
    <t>0811194864</t>
  </si>
  <si>
    <t>Azis Djabbarudin</t>
  </si>
  <si>
    <t>azisdjabbarudin@gmail.com</t>
  </si>
  <si>
    <t>081230161345</t>
  </si>
  <si>
    <t>nofriesms@gmail.com</t>
  </si>
  <si>
    <t>081254085757</t>
  </si>
  <si>
    <t>intan.laila@me.com</t>
  </si>
  <si>
    <t>08125501124</t>
  </si>
  <si>
    <t>Krisnadi.btm@gmail.com</t>
  </si>
  <si>
    <t>0817269597</t>
  </si>
  <si>
    <t>widorasmo@gmail.com</t>
  </si>
  <si>
    <t>08111178925</t>
  </si>
  <si>
    <t>juniawal1979@gmail.com</t>
  </si>
  <si>
    <t>081371973815</t>
  </si>
  <si>
    <t>ya2abid@yahoo.co.id</t>
  </si>
  <si>
    <t>081347460430</t>
  </si>
  <si>
    <t>Udientajudien@gmail.com</t>
  </si>
  <si>
    <t>081322005163</t>
  </si>
  <si>
    <t>ramadhani.junus@gmail.com</t>
  </si>
  <si>
    <t>082114645112</t>
  </si>
  <si>
    <t>noviliaspbantul@gmail.com</t>
  </si>
  <si>
    <t>081904011310</t>
  </si>
  <si>
    <t>rizqianadeasy@gmail.com</t>
  </si>
  <si>
    <t>0811596070</t>
  </si>
  <si>
    <t>ABDULLAH HAMAS FAQIH</t>
  </si>
  <si>
    <t>hamasfaqih@gmail.com</t>
  </si>
  <si>
    <t>085740527865</t>
  </si>
  <si>
    <t>rachmatnitriansyah@gmail.com</t>
  </si>
  <si>
    <t>082179000690</t>
  </si>
  <si>
    <t>Jerry kristianto</t>
  </si>
  <si>
    <t>jerryjose0920@gmail.com</t>
  </si>
  <si>
    <t>081280728072</t>
  </si>
  <si>
    <t>dayat.geodet@gmail.com</t>
  </si>
  <si>
    <t>085268282928</t>
  </si>
  <si>
    <t>gugunn.mps@gmail.com</t>
  </si>
  <si>
    <t>081376281935</t>
  </si>
  <si>
    <t>nurikhsan.x@gmail.com</t>
  </si>
  <si>
    <t>081228953737</t>
  </si>
  <si>
    <t>mokotarget@gmail.com</t>
  </si>
  <si>
    <t>085268612099</t>
  </si>
  <si>
    <t>I made surya adi chandra</t>
  </si>
  <si>
    <t>Surya.adi.c@gmail.com</t>
  </si>
  <si>
    <t>085737603630</t>
  </si>
  <si>
    <t>bennycimboy@gmail.com</t>
  </si>
  <si>
    <t>082389967965</t>
  </si>
  <si>
    <t>rositaandari@gmail.com</t>
  </si>
  <si>
    <t>082221470139</t>
  </si>
  <si>
    <t>Setyo handoko</t>
  </si>
  <si>
    <t>om.handoko21@gmail.com</t>
  </si>
  <si>
    <t>081212325707</t>
  </si>
  <si>
    <t>atrimartanto73@gmail.com</t>
  </si>
  <si>
    <t>08155121603</t>
  </si>
  <si>
    <t>bambang.geodet@gmail.com</t>
  </si>
  <si>
    <t>082137349606</t>
  </si>
  <si>
    <t>Rdhilahi@gmail.com</t>
  </si>
  <si>
    <t>081256636527</t>
  </si>
  <si>
    <t>LUTHFIA RACHMATIKA NOERIS</t>
  </si>
  <si>
    <t>Luthfia.rn@gmail.com</t>
  </si>
  <si>
    <t>082166204417</t>
  </si>
  <si>
    <t>nevy.ardiantoo@gmail.com</t>
  </si>
  <si>
    <t>082266593400</t>
  </si>
  <si>
    <t>fauzieaditya1996@gmail.com</t>
  </si>
  <si>
    <t>081391651510</t>
  </si>
  <si>
    <t>hasan.marzuki@gmail.com</t>
  </si>
  <si>
    <t>08113502210</t>
  </si>
  <si>
    <t>PRAPTI YUDHANI</t>
  </si>
  <si>
    <t>Yudhani.prap92@gmail.com</t>
  </si>
  <si>
    <t>081586548943</t>
  </si>
  <si>
    <t>alex.nababan74@gmail.com</t>
  </si>
  <si>
    <t>087785559407</t>
  </si>
  <si>
    <t>jayagunawan@gmail.com</t>
  </si>
  <si>
    <t>081241965335</t>
  </si>
  <si>
    <t>juliansaputra.mr@gmail.com</t>
  </si>
  <si>
    <t>082153549177</t>
  </si>
  <si>
    <t>muhammadghaly@gmail.com</t>
  </si>
  <si>
    <t>085266620582</t>
  </si>
  <si>
    <t>Safran.nasution@yahoo.com</t>
  </si>
  <si>
    <t>081286125509</t>
  </si>
  <si>
    <t>Ricos.ltr@gmail.com</t>
  </si>
  <si>
    <t>081327181334</t>
  </si>
  <si>
    <t>Ali.nurmoko@gmail.com</t>
  </si>
  <si>
    <t>081617999116</t>
  </si>
  <si>
    <t>MARTEIN ADIGANA</t>
  </si>
  <si>
    <t>martein.adigana@gmail.com</t>
  </si>
  <si>
    <t>081340202342</t>
  </si>
  <si>
    <t>Ni Made Kesuma Astuti Indrianingsih Putri</t>
  </si>
  <si>
    <t>nkesumaputri@gmail.com</t>
  </si>
  <si>
    <t>081328366632</t>
  </si>
  <si>
    <t>wnmrrr@gmail.com</t>
  </si>
  <si>
    <t>085327953447</t>
  </si>
  <si>
    <t>triasaditya@ugm.ac.id</t>
  </si>
  <si>
    <t>087839676089</t>
  </si>
  <si>
    <t>bayucatatan@gmail.com</t>
  </si>
  <si>
    <t>08980571733</t>
  </si>
  <si>
    <t>andhi.mak@gmail.com</t>
  </si>
  <si>
    <t>081380000860</t>
  </si>
  <si>
    <t>opi.nafsi@gmail.com</t>
  </si>
  <si>
    <t>081914601761</t>
  </si>
  <si>
    <t>tegkaryadi@gmail.com</t>
  </si>
  <si>
    <t>085269376474</t>
  </si>
  <si>
    <t>trifatah66@gmail.com</t>
  </si>
  <si>
    <t>08170431499</t>
  </si>
  <si>
    <t>hanifilmawan@gmail.com</t>
  </si>
  <si>
    <t>085227402237</t>
  </si>
  <si>
    <t>Rahmatika Linggar Meisar</t>
  </si>
  <si>
    <t>linggarmeisar@gmail.com</t>
  </si>
  <si>
    <t>085158805950</t>
  </si>
  <si>
    <t>ekhar2023@gmail.com</t>
  </si>
  <si>
    <t>085229999695</t>
  </si>
  <si>
    <t>dadimalik78@gmail.com</t>
  </si>
  <si>
    <t>08127893125</t>
  </si>
  <si>
    <t>siska.inayati97@gmail.com</t>
  </si>
  <si>
    <t>085701702432</t>
  </si>
  <si>
    <t>Fajar Waskito</t>
  </si>
  <si>
    <t>fajarwaskito@gmail.com</t>
  </si>
  <si>
    <t>08157973529</t>
  </si>
  <si>
    <t>wahyudinjsaputro@gmail.com</t>
  </si>
  <si>
    <t>08111171208</t>
  </si>
  <si>
    <t>riyadi.hape@gmail.com</t>
  </si>
  <si>
    <t>085219141113</t>
  </si>
  <si>
    <t>Sagita nuraini</t>
  </si>
  <si>
    <t>Sagita8888@gmail.com</t>
  </si>
  <si>
    <t>081319016853</t>
  </si>
  <si>
    <t>farchan@arunikacorp.com</t>
  </si>
  <si>
    <t>081232743474</t>
  </si>
  <si>
    <t>sinulingga.patra@gmail.com</t>
  </si>
  <si>
    <t>085729887232</t>
  </si>
  <si>
    <t>satria27kusuma@gmail.com</t>
  </si>
  <si>
    <t>081353995339</t>
  </si>
  <si>
    <t>ronggo.aw@gmail.com</t>
  </si>
  <si>
    <t>08121575822</t>
  </si>
  <si>
    <t>achmad.radama@gmail.com</t>
  </si>
  <si>
    <t>082243644693</t>
  </si>
  <si>
    <t>081310107311</t>
  </si>
  <si>
    <t>raudahhusna@gmail.com</t>
  </si>
  <si>
    <t>089656394759</t>
  </si>
  <si>
    <t>saptahadi9@gmail.com</t>
  </si>
  <si>
    <t>082225171869</t>
  </si>
  <si>
    <t>Haqqi.mushtof@gmail.com</t>
  </si>
  <si>
    <t>08118967640</t>
  </si>
  <si>
    <t>sudung manurung</t>
  </si>
  <si>
    <t>Sudung048@gmail.com</t>
  </si>
  <si>
    <t>081292684633</t>
  </si>
  <si>
    <t>AGUS SUSMIYANTO</t>
  </si>
  <si>
    <t>aguspb2tr@gmail.com</t>
  </si>
  <si>
    <t>081210940728</t>
  </si>
  <si>
    <t>Ikasafitrikurniast@gmail.com</t>
  </si>
  <si>
    <t>0895629655995</t>
  </si>
  <si>
    <t>fathuha@gmail.com</t>
  </si>
  <si>
    <t>ulfa nuryati</t>
  </si>
  <si>
    <t>ulfanuryati@gmail.com</t>
  </si>
  <si>
    <t>081585839160</t>
  </si>
  <si>
    <t>azarinsha@gmail.com</t>
  </si>
  <si>
    <t>087854229262</t>
  </si>
  <si>
    <t>yoez72@gmail.com</t>
  </si>
  <si>
    <t>0818458424</t>
  </si>
  <si>
    <t>riomuhammadfadhli@gmail.com</t>
  </si>
  <si>
    <t>08566363123</t>
  </si>
  <si>
    <t>andri.darmansyah11@gmail.com</t>
  </si>
  <si>
    <t>082136155446</t>
  </si>
  <si>
    <t>ardiansaputra17@gmail.com</t>
  </si>
  <si>
    <t>085640431750</t>
  </si>
  <si>
    <t>hakam.bgr11@gmail.com</t>
  </si>
  <si>
    <t>08128539430‬</t>
  </si>
  <si>
    <t>Ramadhani.Syakuro@gmail.com</t>
  </si>
  <si>
    <t>085726591021</t>
  </si>
  <si>
    <t>haryosusilo14@gmail.com</t>
  </si>
  <si>
    <t>089693753198</t>
  </si>
  <si>
    <t>Kukuhpramana@gmail.com</t>
  </si>
  <si>
    <t>087841735530</t>
  </si>
  <si>
    <t>kobush96@gmail.com</t>
  </si>
  <si>
    <t>081283272123</t>
  </si>
  <si>
    <t>Reni mujiandari</t>
  </si>
  <si>
    <t>reni.mujiandari@gmail.com</t>
  </si>
  <si>
    <t>081808245044</t>
  </si>
  <si>
    <t>1sigit.widodo@gmail.com</t>
  </si>
  <si>
    <t>08119107541</t>
  </si>
  <si>
    <t>firmani.iqro@gmail.com</t>
  </si>
  <si>
    <t>085282666333</t>
  </si>
  <si>
    <t>indra.syafriya@gmail.com</t>
  </si>
  <si>
    <t>08112541584</t>
  </si>
  <si>
    <t>btjahjaadiwibawa@gmail.com</t>
  </si>
  <si>
    <t>08125515667</t>
  </si>
  <si>
    <t>bachtiar.syamsu@gmail.com</t>
  </si>
  <si>
    <t>0818144126</t>
  </si>
  <si>
    <t>Irwan diaprianda</t>
  </si>
  <si>
    <t>Irwandiaprianda@gmail.com</t>
  </si>
  <si>
    <t>082154874285</t>
  </si>
  <si>
    <t>kusumastanti@gmail.com</t>
  </si>
  <si>
    <t>08128325081</t>
  </si>
  <si>
    <t>qori1313@gmail.com</t>
  </si>
  <si>
    <t>081391165656</t>
  </si>
  <si>
    <t>wadhdhucha.ir@gmail.com</t>
  </si>
  <si>
    <t>085225066843</t>
  </si>
  <si>
    <t>Deddy kurniawan</t>
  </si>
  <si>
    <t>Deddyku25@gmail.com</t>
  </si>
  <si>
    <t>085287711781</t>
  </si>
  <si>
    <t>Heroziana@gmail.com</t>
  </si>
  <si>
    <t>081390625454</t>
  </si>
  <si>
    <t>caris@ugm.ac.id</t>
  </si>
  <si>
    <t>081328053065</t>
  </si>
  <si>
    <t>elisameiyenti@gmail.com</t>
  </si>
  <si>
    <t>082220355611</t>
  </si>
  <si>
    <t>wulandonoyosep@gmail.com</t>
  </si>
  <si>
    <t>08115131167</t>
  </si>
  <si>
    <t xml:space="preserve">adnssurv@gmail.com </t>
  </si>
  <si>
    <t>081328217198</t>
  </si>
  <si>
    <t>sea.moonth@gmail.com</t>
  </si>
  <si>
    <t>08871830080</t>
  </si>
  <si>
    <t>impriastina@gmail.com</t>
  </si>
  <si>
    <t>081226773777</t>
  </si>
  <si>
    <t>saragiandes@gmail.com</t>
  </si>
  <si>
    <t>082214843680</t>
  </si>
  <si>
    <t>adibpriya@gmail.com</t>
  </si>
  <si>
    <t>085255615485</t>
  </si>
  <si>
    <t>saiful.amin.sa3@gmail.com</t>
  </si>
  <si>
    <t>085694202825</t>
  </si>
  <si>
    <t>rinoermawan.inti@gmail.com</t>
  </si>
  <si>
    <t>085210767769</t>
  </si>
  <si>
    <t>Mba.tya1303@gmail.com</t>
  </si>
  <si>
    <t>0811285222</t>
  </si>
  <si>
    <t>Alexsander Marito Sitompul</t>
  </si>
  <si>
    <t>xander_ms@yahoo.com</t>
  </si>
  <si>
    <t>0818460049</t>
  </si>
  <si>
    <t>citraamalia1998@gmail.com</t>
  </si>
  <si>
    <t>082230766817</t>
  </si>
  <si>
    <t>ahmad.fitrian.a@mail.ugm.ac.id</t>
  </si>
  <si>
    <t>087738711394</t>
  </si>
  <si>
    <t>basith.ab@gmail.com</t>
  </si>
  <si>
    <t>085725904600</t>
  </si>
  <si>
    <t>andikadado@gmail.com</t>
  </si>
  <si>
    <t>081806166427</t>
  </si>
  <si>
    <t>prijadifarahmitha@gmail.com</t>
  </si>
  <si>
    <t>08111491497</t>
  </si>
  <si>
    <t>dendysyahrir@pu.go.id</t>
  </si>
  <si>
    <t>082213952387</t>
  </si>
  <si>
    <t>081217503403</t>
  </si>
  <si>
    <t>ajenghtw@gmail.com</t>
  </si>
  <si>
    <t>08119566004</t>
  </si>
  <si>
    <t>guronseptoharjo@gmail.com</t>
  </si>
  <si>
    <t>08115911919</t>
  </si>
  <si>
    <t>dian.oktiari@gmail.com</t>
  </si>
  <si>
    <t>081381377564</t>
  </si>
  <si>
    <t>abinorosci@gmail.com</t>
  </si>
  <si>
    <t>081314596655</t>
  </si>
  <si>
    <t>tanti.widyastuti@gmail.com</t>
  </si>
  <si>
    <t>081310730281</t>
  </si>
  <si>
    <t>gsastrawangsa@gmail.com</t>
  </si>
  <si>
    <t>08113851358</t>
  </si>
  <si>
    <t>fyaristanto@gmail.com</t>
  </si>
  <si>
    <t>089688817466</t>
  </si>
  <si>
    <t>gabriel333wibawa@gmail.com</t>
  </si>
  <si>
    <t>081328723559</t>
  </si>
  <si>
    <t>erlinesetyawati76@gmail.com</t>
  </si>
  <si>
    <t>081910383825</t>
  </si>
  <si>
    <t>iwanroshayani@gmail.com</t>
  </si>
  <si>
    <t>082120781307</t>
  </si>
  <si>
    <t>ibsspeed669@gmail.com</t>
  </si>
  <si>
    <t>081237056963</t>
  </si>
  <si>
    <t>hermawan.tgd02@gmail.com</t>
  </si>
  <si>
    <t>081328533534</t>
  </si>
  <si>
    <t>luthfiahsanam@gmail.com</t>
  </si>
  <si>
    <t>081231721608</t>
  </si>
  <si>
    <t>maria.yozantika@gmail.com</t>
  </si>
  <si>
    <t>082299315479</t>
  </si>
  <si>
    <t>maz_boed@yahoo.co.id</t>
  </si>
  <si>
    <t>081279541893</t>
  </si>
  <si>
    <t>sypramono@gmail.com</t>
  </si>
  <si>
    <t>0818204660</t>
  </si>
  <si>
    <t>yoepidha@yahoo.com</t>
  </si>
  <si>
    <t>08128573167</t>
  </si>
  <si>
    <t>dwilestari@ugm.ac.id</t>
  </si>
  <si>
    <t>081328175507</t>
  </si>
  <si>
    <t>trias.pln@gmail.com</t>
  </si>
  <si>
    <t>081385192186</t>
  </si>
  <si>
    <t>Rahmat sidik</t>
  </si>
  <si>
    <t>Rahmat.sidim8@gmail.com</t>
  </si>
  <si>
    <t>082323442088</t>
  </si>
  <si>
    <t>Bambang</t>
  </si>
  <si>
    <t>soeyoedibambang@gmail.com</t>
  </si>
  <si>
    <t>08111375738</t>
  </si>
  <si>
    <t>zanauf@gmail.com</t>
  </si>
  <si>
    <t>08156857510</t>
  </si>
  <si>
    <t>agnesryskintia@gmail.com</t>
  </si>
  <si>
    <t>082312202966</t>
  </si>
  <si>
    <t>rindhy.antikagustin@gmail.com</t>
  </si>
  <si>
    <t>085647790869</t>
  </si>
  <si>
    <t>gerardusetianto@gmail.com</t>
  </si>
  <si>
    <t>08156502999</t>
  </si>
  <si>
    <t>Yunanzai@gmail.com</t>
  </si>
  <si>
    <t>082322508888</t>
  </si>
  <si>
    <t>anwari6913.as@gmail.com</t>
  </si>
  <si>
    <t>08127615390</t>
  </si>
  <si>
    <t>shpakpahan@gmail.com</t>
  </si>
  <si>
    <t>081316928948</t>
  </si>
  <si>
    <t>barjono@gmail.com</t>
  </si>
  <si>
    <t>082113991368</t>
  </si>
  <si>
    <t>Heni Setyawati</t>
  </si>
  <si>
    <t>Henith69@gmaiil.com</t>
  </si>
  <si>
    <t>08161402169</t>
  </si>
  <si>
    <t>citraprakoso@gmail.com</t>
  </si>
  <si>
    <t>082138404065</t>
  </si>
  <si>
    <t>Ari joko cahyono</t>
  </si>
  <si>
    <t>ari.cahyono3@gmail.com</t>
  </si>
  <si>
    <t>081287169945</t>
  </si>
  <si>
    <t>fannyzafiramukti@gmail.com</t>
  </si>
  <si>
    <t>085729285444</t>
  </si>
  <si>
    <t>harysuse@gmail.com</t>
  </si>
  <si>
    <t>08126948773</t>
  </si>
  <si>
    <t>arif270103@gmail.com</t>
  </si>
  <si>
    <t>085250690723</t>
  </si>
  <si>
    <t>fuadswastiko@gmail.com</t>
  </si>
  <si>
    <t>081252189533</t>
  </si>
  <si>
    <t>mohammad fatchurochman</t>
  </si>
  <si>
    <t>mohammad.fatchurochman@gmail.com</t>
  </si>
  <si>
    <t>081348920680</t>
  </si>
  <si>
    <t>nursigitpramanamail@gmail.com</t>
  </si>
  <si>
    <t>082137815757</t>
  </si>
  <si>
    <t>pradityamuktiali@gmail.com</t>
  </si>
  <si>
    <t>081314839231</t>
  </si>
  <si>
    <t>slamet mulyadi</t>
  </si>
  <si>
    <t>slamul@gmail.com</t>
  </si>
  <si>
    <t>083878082049</t>
  </si>
  <si>
    <t>karnantohendra@gmail.com</t>
  </si>
  <si>
    <t>081227455832</t>
  </si>
  <si>
    <t>agus.dery@gmqil.com</t>
  </si>
  <si>
    <t>081517106704</t>
  </si>
  <si>
    <t>nanangsatrio78@gmail.com</t>
  </si>
  <si>
    <t>08155600633</t>
  </si>
  <si>
    <t>Nanang Pribadi</t>
  </si>
  <si>
    <t>Mimakoifarm@gmail.com</t>
  </si>
  <si>
    <t>082142184768</t>
  </si>
  <si>
    <t>FAJRIYANTO</t>
  </si>
  <si>
    <t>fajriyanto251@gmail.com</t>
  </si>
  <si>
    <t>08119194554</t>
  </si>
  <si>
    <t>Jajah ardi iriawan</t>
  </si>
  <si>
    <t>jardiiriawan@gmail.com</t>
  </si>
  <si>
    <t>08112791946</t>
  </si>
  <si>
    <t>novita.harahap@gmail.com</t>
  </si>
  <si>
    <t>085254524040</t>
  </si>
  <si>
    <t>risnandarbisnis@gmail.com</t>
  </si>
  <si>
    <t>082145072193</t>
  </si>
  <si>
    <t>laniahnoor@gmail.com</t>
  </si>
  <si>
    <t>085747515972</t>
  </si>
  <si>
    <t>Rahmat adityanto</t>
  </si>
  <si>
    <t>rahmat.adityanto@yahoo.com</t>
  </si>
  <si>
    <t>082339017673</t>
  </si>
  <si>
    <t>arezapahlevi.12@gmail.com</t>
  </si>
  <si>
    <t>085878567992</t>
  </si>
  <si>
    <t>Jeanita Siagian</t>
  </si>
  <si>
    <t>Jeanita.siagian@gmail.com</t>
  </si>
  <si>
    <t>0817275284</t>
  </si>
  <si>
    <t>g.agung.ns@gmail.com</t>
  </si>
  <si>
    <t>08179804870</t>
  </si>
  <si>
    <t>Danang_widi@yahoo.com</t>
  </si>
  <si>
    <t>081251086731</t>
  </si>
  <si>
    <t>dodiepangaribuan@gmail.com</t>
  </si>
  <si>
    <t>081288934982</t>
  </si>
  <si>
    <t>dtsanjaya@gmail.com</t>
  </si>
  <si>
    <t>082221495649</t>
  </si>
  <si>
    <t>Yoga.tama38@gmail.com</t>
  </si>
  <si>
    <t>081255882242</t>
  </si>
  <si>
    <t>chy_luhur@yahoo.com</t>
  </si>
  <si>
    <t>08562787248</t>
  </si>
  <si>
    <t>Bersihbersinar@gmail.com</t>
  </si>
  <si>
    <t>081373819229</t>
  </si>
  <si>
    <t>thejack0007@gmail.com</t>
  </si>
  <si>
    <t>0811169730</t>
  </si>
  <si>
    <t>wiscov@gmail.com</t>
  </si>
  <si>
    <t>089670010363</t>
  </si>
  <si>
    <t>nugroho061285@gmail.com</t>
  </si>
  <si>
    <t>082290338066</t>
  </si>
  <si>
    <t>darul.fathan@gmail.com</t>
  </si>
  <si>
    <t>085228022760</t>
  </si>
  <si>
    <t>eki.dwisapto@gmail.com</t>
  </si>
  <si>
    <t>082336164899</t>
  </si>
  <si>
    <t>kuncoro.andrie@gmail.com</t>
  </si>
  <si>
    <t>081328848565</t>
  </si>
  <si>
    <t>sheilaamalia85@gmail.com</t>
  </si>
  <si>
    <t>08989227462</t>
  </si>
  <si>
    <t>dwiatmokophone@gmail.com</t>
  </si>
  <si>
    <t>08179419919</t>
  </si>
  <si>
    <t>arisona.andra35@gmail.com</t>
  </si>
  <si>
    <t>081377778514</t>
  </si>
  <si>
    <t>endalatersia02@gmail.com</t>
  </si>
  <si>
    <t>081166040492</t>
  </si>
  <si>
    <t>handoko.barajp@gmail.com</t>
  </si>
  <si>
    <t>082267676767</t>
  </si>
  <si>
    <t>dianartarini1983@gmail.com</t>
  </si>
  <si>
    <t>088268041543</t>
  </si>
  <si>
    <t>arifsetiawan12@gmail.com</t>
  </si>
  <si>
    <t>08112576970</t>
  </si>
  <si>
    <t>Antony Atamimi</t>
  </si>
  <si>
    <t>Atami02@yahoo.com</t>
  </si>
  <si>
    <t>15624123687</t>
  </si>
  <si>
    <t>sakurhamid18@gmail.com</t>
  </si>
  <si>
    <t>085692246902</t>
  </si>
  <si>
    <t>fredysultra@gmail.com</t>
  </si>
  <si>
    <t>081327473236</t>
  </si>
  <si>
    <t>girimelaya22@gmail.com</t>
  </si>
  <si>
    <t>081280956428</t>
  </si>
  <si>
    <t>Adyanta karo-karo</t>
  </si>
  <si>
    <t>Adyanta.karokaro@gmail.com</t>
  </si>
  <si>
    <t>081212002606</t>
  </si>
  <si>
    <t>hidayat.juniar@gmail.com</t>
  </si>
  <si>
    <t>085318957777</t>
  </si>
  <si>
    <t>ari.rubiasih@gmail.com</t>
  </si>
  <si>
    <t>085694839440</t>
  </si>
  <si>
    <t>niluhkompyangsariani@gmail.com</t>
  </si>
  <si>
    <t>081353622106</t>
  </si>
  <si>
    <t>zilfanzizi@gmail.com</t>
  </si>
  <si>
    <t>085278005499</t>
  </si>
  <si>
    <t>rizki.sari7@gmail.com</t>
  </si>
  <si>
    <t>08990237006</t>
  </si>
  <si>
    <t>Heri mulyantoro</t>
  </si>
  <si>
    <t>herimulyantoro@gmail.com</t>
  </si>
  <si>
    <t>081390497377</t>
  </si>
  <si>
    <t>bowo.earthline@gmail.com</t>
  </si>
  <si>
    <t>081383108434</t>
  </si>
  <si>
    <t>amprakoso@gmail.com</t>
  </si>
  <si>
    <t>0818820120</t>
  </si>
  <si>
    <t>amalianurwijayanti97@gmail.com</t>
  </si>
  <si>
    <t>085727193167</t>
  </si>
  <si>
    <t>djurdjani@ugm.ac.id</t>
  </si>
  <si>
    <t>081227922349</t>
  </si>
  <si>
    <t>dwibudimartono@gmail.com</t>
  </si>
  <si>
    <t>0811342769</t>
  </si>
  <si>
    <t>aryati2s@gmail.com</t>
  </si>
  <si>
    <t>082323269396</t>
  </si>
  <si>
    <t>sucitresnanovianti@gmail.com</t>
  </si>
  <si>
    <t>087836601054</t>
  </si>
  <si>
    <t>daniel.ekapn@gmail.com</t>
  </si>
  <si>
    <t>08112944800</t>
  </si>
  <si>
    <t>tri.hadi@big.go.id</t>
  </si>
  <si>
    <t>081225733412</t>
  </si>
  <si>
    <t>ranisaamalia99@gmail.com</t>
  </si>
  <si>
    <t>089619509130</t>
  </si>
  <si>
    <t>wulung.prasetya@gmail.com</t>
  </si>
  <si>
    <t>081226940614</t>
  </si>
  <si>
    <t>muhtadi_gs@yahoo.com</t>
  </si>
  <si>
    <t>08129576408</t>
  </si>
  <si>
    <t>Tri Susatyo</t>
  </si>
  <si>
    <t>0818754884</t>
  </si>
  <si>
    <t>Dian pertiwi</t>
  </si>
  <si>
    <t>emailnya.dian@gmail.com</t>
  </si>
  <si>
    <t>087728777904</t>
  </si>
  <si>
    <t>sujadi774@gmail.com</t>
  </si>
  <si>
    <t>081311111831</t>
  </si>
  <si>
    <t>trisusatyo976@gmail.com</t>
  </si>
  <si>
    <t>dasadirzani@yahoo.com</t>
  </si>
  <si>
    <t>0811887477</t>
  </si>
  <si>
    <t>ariefyogapratama@gmail.com</t>
  </si>
  <si>
    <t>082132984097</t>
  </si>
  <si>
    <t>trisusatyo@gmail.com</t>
  </si>
  <si>
    <t>bu2nkrw@gmail.com</t>
  </si>
  <si>
    <t>085718165219</t>
  </si>
  <si>
    <t>Anugke5@gmail.com</t>
  </si>
  <si>
    <t>082149440483</t>
  </si>
  <si>
    <t>burhansdg@gmail.com</t>
  </si>
  <si>
    <t>081288341321</t>
  </si>
  <si>
    <t>marzukinur10@gmail.com</t>
  </si>
  <si>
    <t>081325112077</t>
  </si>
  <si>
    <t>Arinda.pinasti@mail.ugm.ac.id</t>
  </si>
  <si>
    <t>082138750675</t>
  </si>
  <si>
    <t>Zaimnh@gmail.com</t>
  </si>
  <si>
    <t>0811511901</t>
  </si>
  <si>
    <t xml:space="preserve">sufahmad157@gmail.com </t>
  </si>
  <si>
    <t>082112021853</t>
  </si>
  <si>
    <t>Himawan dwi saputro</t>
  </si>
  <si>
    <t>Zaidanhimawan@gmail.com</t>
  </si>
  <si>
    <t>08176441275</t>
  </si>
  <si>
    <t>Nugroho.dwi.yulianto@mail.ugm.ac.id</t>
  </si>
  <si>
    <t>085155243883</t>
  </si>
  <si>
    <t>dita.agharini@mail.atrbpn.go.id</t>
  </si>
  <si>
    <t>085387650544</t>
  </si>
  <si>
    <t>siskasarisatoto@gmail.com</t>
  </si>
  <si>
    <t>082243305329</t>
  </si>
  <si>
    <t>Muhammad Rusdin Rangga Putra</t>
  </si>
  <si>
    <t>Rusdin.rangga00@gmail.com</t>
  </si>
  <si>
    <t>081339894441</t>
  </si>
  <si>
    <t>Ghinakusuma7@gmail.com</t>
  </si>
  <si>
    <t>081329708999</t>
  </si>
  <si>
    <t>hansdjamari@gmail.com</t>
  </si>
  <si>
    <t>083183715252</t>
  </si>
  <si>
    <t>singgih.ariw@gmail.com</t>
  </si>
  <si>
    <t>082134700250</t>
  </si>
  <si>
    <t>kotak13@gmail.com</t>
  </si>
  <si>
    <t>08156856949</t>
  </si>
  <si>
    <t>monicha.sherly@gmail.com</t>
  </si>
  <si>
    <t>08783985310</t>
  </si>
  <si>
    <t>noorfaiq@gmail.com</t>
  </si>
  <si>
    <t>085325390010</t>
  </si>
  <si>
    <t>jiyonadamw@gmail.com</t>
  </si>
  <si>
    <t>082223008302</t>
  </si>
  <si>
    <t>tjlitasari@yahoo.com</t>
  </si>
  <si>
    <t>081270215000</t>
  </si>
  <si>
    <t>Dikyadeh@gmail.com</t>
  </si>
  <si>
    <t>08113990404</t>
  </si>
  <si>
    <t>dwiputraananta19@gmail.com</t>
  </si>
  <si>
    <t>085268634870</t>
  </si>
  <si>
    <t>anggit.sunarta@yahoo.com</t>
  </si>
  <si>
    <t>081297065750</t>
  </si>
  <si>
    <t>garnisapnd@gmail.com</t>
  </si>
  <si>
    <t>085827883383</t>
  </si>
  <si>
    <t>yahya.mhj@gmail.com</t>
  </si>
  <si>
    <t>08174910991</t>
  </si>
  <si>
    <t>Yudi88@gmail.com</t>
  </si>
  <si>
    <t>0811185950</t>
  </si>
  <si>
    <t>Juliantomt234@gmail.com</t>
  </si>
  <si>
    <t>081312000986</t>
  </si>
  <si>
    <t>irfaniindra@gmail.com</t>
  </si>
  <si>
    <t>082220028449</t>
  </si>
  <si>
    <t>king.abdoel.02@gmail.com</t>
  </si>
  <si>
    <t>08118076386</t>
  </si>
  <si>
    <t>nutrika23@gmail.com</t>
  </si>
  <si>
    <t>08121557547</t>
  </si>
  <si>
    <t>adi.fitpra@gmail.com</t>
  </si>
  <si>
    <t>081392227575</t>
  </si>
  <si>
    <t>sitirahmipratiw.rosy@gmail.com</t>
  </si>
  <si>
    <t>087839793226</t>
  </si>
  <si>
    <t>prinug@ugm.ac.id</t>
  </si>
  <si>
    <t>082331319040</t>
  </si>
  <si>
    <t>Yandrianto</t>
  </si>
  <si>
    <t>Adriyanto_jakal@yahoo.com</t>
  </si>
  <si>
    <t>08128831463</t>
  </si>
  <si>
    <t>wahyuni.ww9@gmail.com</t>
  </si>
  <si>
    <t>085260073668</t>
  </si>
  <si>
    <t>widi4all@gmail.com</t>
  </si>
  <si>
    <t>082117809250</t>
  </si>
  <si>
    <t>Saidinaabidmunawwar@gmail.com</t>
  </si>
  <si>
    <t>082306933603</t>
  </si>
  <si>
    <t>pujisetn@gmail.com</t>
  </si>
  <si>
    <t>081393035481</t>
  </si>
  <si>
    <t>suharmonobambang@yahoo.co.id</t>
  </si>
  <si>
    <t>081327725943</t>
  </si>
  <si>
    <t>irfanuddin4384@gmail.com</t>
  </si>
  <si>
    <t>081256586809</t>
  </si>
  <si>
    <t>Wibowo.hendry@gmail.com</t>
  </si>
  <si>
    <t>081584583860</t>
  </si>
  <si>
    <t>RM Supramono</t>
  </si>
  <si>
    <t>rmsupramono@gmail.com</t>
  </si>
  <si>
    <t>08122772926</t>
  </si>
  <si>
    <t>endy.prasetyo.33@gmail.com</t>
  </si>
  <si>
    <t>085231327838</t>
  </si>
  <si>
    <t>dpriliandika06@gmail.com</t>
  </si>
  <si>
    <t>082232335939</t>
  </si>
  <si>
    <t>Toni sobran</t>
  </si>
  <si>
    <t>Toni@adaro.com</t>
  </si>
  <si>
    <t>08115005300</t>
  </si>
  <si>
    <t>nurdin237@gmail.com</t>
  </si>
  <si>
    <t>0811288659</t>
  </si>
  <si>
    <t>madeandi@ugm.ac.id</t>
  </si>
  <si>
    <t>08112633348</t>
  </si>
  <si>
    <t>mesitasw@gmail.com</t>
  </si>
  <si>
    <t>08111771800</t>
  </si>
  <si>
    <t>krishnafitranto@gmail.com</t>
  </si>
  <si>
    <t>081316051850</t>
  </si>
  <si>
    <t>bdyuwono92@gmail.com</t>
  </si>
  <si>
    <t>087825996001</t>
  </si>
  <si>
    <t>amril_siddiq@yahoo.com</t>
  </si>
  <si>
    <t>08114104010</t>
  </si>
  <si>
    <t>eric.kurniawan.ugm@gmail.com</t>
  </si>
  <si>
    <t>081329041357</t>
  </si>
  <si>
    <t>herningivan@gmail.com</t>
  </si>
  <si>
    <t>081392000230</t>
  </si>
  <si>
    <t>hmawan2015@gmail.com</t>
  </si>
  <si>
    <t>085656772064</t>
  </si>
  <si>
    <t>Widi apidiyanto</t>
  </si>
  <si>
    <t>Widiapidianto2@gmail.com</t>
  </si>
  <si>
    <t>081227007021</t>
  </si>
  <si>
    <t>bismajz@gmail.com</t>
  </si>
  <si>
    <t>08179075977</t>
  </si>
  <si>
    <t>riaresty334@gmail.com</t>
  </si>
  <si>
    <t>081275128045</t>
  </si>
  <si>
    <t>WIDODO</t>
  </si>
  <si>
    <t>musdodo@gmail.com</t>
  </si>
  <si>
    <t>081366186135</t>
  </si>
  <si>
    <t>agussetyanto40@gmail.com</t>
  </si>
  <si>
    <t>085219953344</t>
  </si>
  <si>
    <t>08121594412</t>
  </si>
  <si>
    <t>herwini.susanti@gmail.com</t>
  </si>
  <si>
    <t>087791177851</t>
  </si>
  <si>
    <t>komangwidana.id@gmail.com</t>
  </si>
  <si>
    <t>081239782944</t>
  </si>
  <si>
    <t>yustrahmat@gmail.com</t>
  </si>
  <si>
    <t>081212412827</t>
  </si>
  <si>
    <t>Win270973@gmail.com</t>
  </si>
  <si>
    <t>Yuni Nurrahmawati</t>
  </si>
  <si>
    <t>varian060806@gmail.com</t>
  </si>
  <si>
    <t>085729796678</t>
  </si>
  <si>
    <t>drw.indonesia@gmail.com</t>
  </si>
  <si>
    <t>082242916077</t>
  </si>
  <si>
    <t>yudhana.widiatmoko@gmail.com</t>
  </si>
  <si>
    <t>081289010839</t>
  </si>
  <si>
    <t>soma.varian@gmail.com</t>
  </si>
  <si>
    <t>085729803888</t>
  </si>
  <si>
    <t>agoeswah@gmail.com</t>
  </si>
  <si>
    <t>082111617061</t>
  </si>
  <si>
    <t>tandyo.winarno@gmail.com</t>
  </si>
  <si>
    <t>081318062685</t>
  </si>
  <si>
    <t>alianfathira@gmail.com</t>
  </si>
  <si>
    <t>081231332385</t>
  </si>
  <si>
    <t>Arip pramana</t>
  </si>
  <si>
    <t>arifpramana69@gmail.com</t>
  </si>
  <si>
    <t>08122693891</t>
  </si>
  <si>
    <t>anggopuguhnugroho@gmail.com</t>
  </si>
  <si>
    <t>085643011712</t>
  </si>
  <si>
    <t>SRI SUHARTOYO</t>
  </si>
  <si>
    <t>sri.suhartoyo@gmail.com</t>
  </si>
  <si>
    <t>0895400121100</t>
  </si>
  <si>
    <t>moh fuad</t>
  </si>
  <si>
    <t>prabu.fuad@gmail.com</t>
  </si>
  <si>
    <t>0816931512</t>
  </si>
  <si>
    <t>usagala73@gmail.com</t>
  </si>
  <si>
    <t>081213771218</t>
  </si>
  <si>
    <t>Rochmah Dalmah Sutera</t>
  </si>
  <si>
    <t>rochmahdalmahs@mail.ugm.ac.id</t>
  </si>
  <si>
    <t>085700443239</t>
  </si>
  <si>
    <t>Hadi Nusantoro</t>
  </si>
  <si>
    <t>hadi.nusantoro@gmail.com</t>
  </si>
  <si>
    <t>08122736938</t>
  </si>
  <si>
    <t>nugrohoidhiar@gmail.com</t>
  </si>
  <si>
    <t>082223540779</t>
  </si>
  <si>
    <t>aminwidada@gmail.com</t>
  </si>
  <si>
    <t>08111344798</t>
  </si>
  <si>
    <t>priyatma.adi@gmail.com</t>
  </si>
  <si>
    <t>08157932020</t>
  </si>
  <si>
    <t>pharisupriyadi@gmail.com</t>
  </si>
  <si>
    <t>081339105464</t>
  </si>
  <si>
    <t>fadiyasalsabila@mail.ugm.ac.id</t>
  </si>
  <si>
    <t>085640922492</t>
  </si>
  <si>
    <t>mf.ruffendi@gmail.com</t>
  </si>
  <si>
    <t>081330198814</t>
  </si>
  <si>
    <t>riantofsh04@gmail.com</t>
  </si>
  <si>
    <t>081904291337</t>
  </si>
  <si>
    <t>dimasgeodika@gmail.com</t>
  </si>
  <si>
    <t>081229988801</t>
  </si>
  <si>
    <t>Faustinus Handi</t>
  </si>
  <si>
    <t>faustinushandi@gmail.com</t>
  </si>
  <si>
    <t>081328888909</t>
  </si>
  <si>
    <t>herumbudi69@ Gmail.com</t>
  </si>
  <si>
    <t>08567876125</t>
  </si>
  <si>
    <t>Sumaryo Djojosumarto</t>
  </si>
  <si>
    <t>sumaryo@ugm.ac.id</t>
  </si>
  <si>
    <t>089633247119</t>
  </si>
  <si>
    <t>fajarandis777@gmail.com</t>
  </si>
  <si>
    <t>083834553947</t>
  </si>
  <si>
    <t>rahmanyaagung@gmail.com</t>
  </si>
  <si>
    <t>08170419903</t>
  </si>
  <si>
    <t>nwidjajanti@ugm.ac.id</t>
  </si>
  <si>
    <t>081218205341</t>
  </si>
  <si>
    <t>fyogastina@gmail.com</t>
  </si>
  <si>
    <t>088706631751</t>
  </si>
  <si>
    <t>prajardi@gmail.com</t>
  </si>
  <si>
    <t>081312556787</t>
  </si>
  <si>
    <t>busroni812@gmail.com</t>
  </si>
  <si>
    <t>0816923789</t>
  </si>
  <si>
    <t>iwanhapsoro123@gmail.com</t>
  </si>
  <si>
    <t>081281226726</t>
  </si>
  <si>
    <t>endra.dpmptsp21n@gmail.com</t>
  </si>
  <si>
    <t>085717566885</t>
  </si>
  <si>
    <t>muchammadrezanugraha@gmail.com</t>
  </si>
  <si>
    <t>081392306596</t>
  </si>
  <si>
    <t>afthonitoni@gmail.com</t>
  </si>
  <si>
    <t>081391692272</t>
  </si>
  <si>
    <t>anisakhoiriyah12@gmail.com</t>
  </si>
  <si>
    <t>085815963116</t>
  </si>
  <si>
    <t>rissarahajeng@gmail.com</t>
  </si>
  <si>
    <t>081908693745</t>
  </si>
  <si>
    <t>wharyow@yahoo.com</t>
  </si>
  <si>
    <t>081297360007</t>
  </si>
  <si>
    <t>Kla_sik@yahoo.com</t>
  </si>
  <si>
    <t>081370161056</t>
  </si>
  <si>
    <t>ema.novitaningrum@gmail.com</t>
  </si>
  <si>
    <t>081328224261</t>
  </si>
  <si>
    <t>Asih nirbiyanti</t>
  </si>
  <si>
    <t>Asihsulistiyo@gmail.com</t>
  </si>
  <si>
    <t>087888298379</t>
  </si>
  <si>
    <t>085725728985</t>
  </si>
  <si>
    <t>dinar.dputranto@gmail.com</t>
  </si>
  <si>
    <t>0816356932</t>
  </si>
  <si>
    <t>taufikrahman@yahoo.com</t>
  </si>
  <si>
    <t>085242004579</t>
  </si>
  <si>
    <t>alfandipramandaru@gmail.com</t>
  </si>
  <si>
    <t>08121552919</t>
  </si>
  <si>
    <t>wahju.sharini@gmail.com</t>
  </si>
  <si>
    <t>08176010418</t>
  </si>
  <si>
    <t>FIRSTA EKA PURWANA</t>
  </si>
  <si>
    <t>firsta.ep@gmail.com</t>
  </si>
  <si>
    <t>081259260212</t>
  </si>
  <si>
    <t>yunus.susilo@unitomo.ac.id</t>
  </si>
  <si>
    <t>08164295268</t>
  </si>
  <si>
    <t>09pungkyysr@mail.ugm.ac.id</t>
  </si>
  <si>
    <t>089652386502</t>
  </si>
  <si>
    <t>hilmansyahmuhammad@yahoo.com</t>
  </si>
  <si>
    <t>08117878962</t>
  </si>
  <si>
    <t>hidayat.panuntun@ugm.ac.id</t>
  </si>
  <si>
    <t>085624758767</t>
  </si>
  <si>
    <t>DJOKO TRILAKSONO</t>
  </si>
  <si>
    <t>jktrilaksono2763@gmail.com</t>
  </si>
  <si>
    <t>081806617600</t>
  </si>
  <si>
    <t>wahyu.edysantoso@gmail.com</t>
  </si>
  <si>
    <t>08115427662</t>
  </si>
  <si>
    <t>taufiqsetiaqan727@gmail.com</t>
  </si>
  <si>
    <t>noviadinipangestu@gmail.com</t>
  </si>
  <si>
    <t>082223512361</t>
  </si>
  <si>
    <t>untgd53@gmail.com</t>
  </si>
  <si>
    <t>082137969815</t>
  </si>
  <si>
    <t>fismads@gmail.com</t>
  </si>
  <si>
    <t>085213717268</t>
  </si>
  <si>
    <t>anamardhiyanaa@gmail.com</t>
  </si>
  <si>
    <t>085779472147</t>
  </si>
  <si>
    <t>sutana.aaa@gmail.com</t>
  </si>
  <si>
    <t>081393616438</t>
  </si>
  <si>
    <t>zahratunnisafara@gmail.com</t>
  </si>
  <si>
    <t>083836572349</t>
  </si>
  <si>
    <t>hartantovembri@gmail.com</t>
  </si>
  <si>
    <t>081310088141</t>
  </si>
  <si>
    <t>99nabilla@gmail.com</t>
  </si>
  <si>
    <t>085782876194</t>
  </si>
  <si>
    <t>plaksito@yahoo.com</t>
  </si>
  <si>
    <t>08161966441</t>
  </si>
  <si>
    <t>donkeple@gmail.com</t>
  </si>
  <si>
    <t>0816953574</t>
  </si>
  <si>
    <t>igarefianti08@gmail.com</t>
  </si>
  <si>
    <t>082378319021</t>
  </si>
  <si>
    <t>teguhsujatmiko69@gmail.com</t>
  </si>
  <si>
    <t>08129397486</t>
  </si>
  <si>
    <t>igag_swandana@yahoo.com</t>
  </si>
  <si>
    <t>08123660537</t>
  </si>
  <si>
    <t>lheliani@ugm.ac.id</t>
  </si>
  <si>
    <t>081804001460</t>
  </si>
  <si>
    <t>dediatunggal@ugm.ac.id</t>
  </si>
  <si>
    <t>081325744814</t>
  </si>
  <si>
    <t>muhammadauliaadhyawan@gmail.com</t>
  </si>
  <si>
    <t>082210491177</t>
  </si>
  <si>
    <t>ariaylwn@gmail.com</t>
  </si>
  <si>
    <t>081802592551</t>
  </si>
  <si>
    <t>wd7178@gmail.com</t>
  </si>
  <si>
    <t>08115759824</t>
  </si>
  <si>
    <t>Heru Effendy</t>
  </si>
  <si>
    <t>massjabrik@yahoo.com</t>
  </si>
  <si>
    <t>085385380040</t>
  </si>
  <si>
    <t>rusdaryantiromey@gmail.com</t>
  </si>
  <si>
    <t>085642907159</t>
  </si>
  <si>
    <t>chandra.bpn@gmail.com</t>
  </si>
  <si>
    <t>08115823939</t>
  </si>
  <si>
    <t>marthalina_in@yahoo.com</t>
  </si>
  <si>
    <t>08122501817</t>
  </si>
  <si>
    <t>Tri wibisono</t>
  </si>
  <si>
    <t>triwibisono.tw@gmail.com</t>
  </si>
  <si>
    <t>081289070110</t>
  </si>
  <si>
    <t>Mumtaz2704@yahoo.com</t>
  </si>
  <si>
    <t>08129610361</t>
  </si>
  <si>
    <t>sat1ansapta@gmail.com</t>
  </si>
  <si>
    <t>082224175069</t>
  </si>
  <si>
    <t>narto.shineon@gmail.com</t>
  </si>
  <si>
    <t>081328857469</t>
  </si>
  <si>
    <t>rakhmatyasin69@gmail.com</t>
  </si>
  <si>
    <t>085211754129</t>
  </si>
  <si>
    <t>fathurromdloni5@gmail.com</t>
  </si>
  <si>
    <t>081399443034</t>
  </si>
  <si>
    <t>ketriadji156@gmail.com</t>
  </si>
  <si>
    <t>081392584455</t>
  </si>
  <si>
    <t>elmoudy@gmail.com</t>
  </si>
  <si>
    <t>082211115717</t>
  </si>
  <si>
    <t>endridiyanto@yahoo.com</t>
  </si>
  <si>
    <t>081280237425</t>
  </si>
  <si>
    <t>aluycia.setiyowati@gmail.com</t>
  </si>
  <si>
    <t>08994858686</t>
  </si>
  <si>
    <t>akhmadsutardi@yahoo.com</t>
  </si>
  <si>
    <t>0811250374</t>
  </si>
  <si>
    <t>jesaaria@gmail.com</t>
  </si>
  <si>
    <t>081399242955</t>
  </si>
  <si>
    <t>mahasinraihanf@gmail.com</t>
  </si>
  <si>
    <t>082223309873</t>
  </si>
  <si>
    <t>hermawan.tgd98@gmail.com</t>
  </si>
  <si>
    <t>0812517497</t>
  </si>
  <si>
    <t>ruli andaru</t>
  </si>
  <si>
    <t>ruliandaru@ugm.ac.id</t>
  </si>
  <si>
    <t>08175583603</t>
  </si>
  <si>
    <t>hengkymamanua@gmail.com</t>
  </si>
  <si>
    <t>081327775581</t>
  </si>
  <si>
    <t>arindatasyaa@gmail.com</t>
  </si>
  <si>
    <t>082138144700</t>
  </si>
  <si>
    <t>rino.ari.wibowo82@gmail.com</t>
  </si>
  <si>
    <t>081328116903</t>
  </si>
  <si>
    <t>Arifrachmanrustamaji@gmail.com</t>
  </si>
  <si>
    <t>08562949404</t>
  </si>
  <si>
    <t>singgih8213849@gmail.com</t>
  </si>
  <si>
    <t>081319640604</t>
  </si>
  <si>
    <t>kayyisa.ok@gmail.com</t>
  </si>
  <si>
    <t>081392333656</t>
  </si>
  <si>
    <t>irnovian21@gmail.com</t>
  </si>
  <si>
    <t>081375792850</t>
  </si>
  <si>
    <t>Yuli asnanto</t>
  </si>
  <si>
    <t>yuli.ssnp@gmail.com</t>
  </si>
  <si>
    <t>081326392820</t>
  </si>
  <si>
    <t>mustbenk22@gmail.com</t>
  </si>
  <si>
    <t>08157955535</t>
  </si>
  <si>
    <t>s.paramia@gmail.com</t>
  </si>
  <si>
    <t>087883475453</t>
  </si>
  <si>
    <t>prambodo.arrief@gmail.com</t>
  </si>
  <si>
    <t>085251289899</t>
  </si>
  <si>
    <t>sugistoro@gmail.com</t>
  </si>
  <si>
    <t>081294236916</t>
  </si>
  <si>
    <t>rheindra@gmail.com</t>
  </si>
  <si>
    <t>081328518585</t>
  </si>
  <si>
    <t>wyunanda@gmail.com</t>
  </si>
  <si>
    <t>085364538883</t>
  </si>
  <si>
    <t>Badruszaman256682@gmail.com</t>
  </si>
  <si>
    <t>081585015625</t>
  </si>
  <si>
    <t>luthvia@gmail.com</t>
  </si>
  <si>
    <t>08111717892</t>
  </si>
  <si>
    <t>Hernadi tri hartanta</t>
  </si>
  <si>
    <t>hengnadi@gmail.com</t>
  </si>
  <si>
    <t>08122722250</t>
  </si>
  <si>
    <t>sptwsn@gmail.com</t>
  </si>
  <si>
    <t>085135498125</t>
  </si>
  <si>
    <t>SA'DIANOOR</t>
  </si>
  <si>
    <t>sadibawan@gmail.com</t>
  </si>
  <si>
    <t>081372704625</t>
  </si>
  <si>
    <t>setiawan.bogor@gmail.com</t>
  </si>
  <si>
    <t>085384667688</t>
  </si>
  <si>
    <t>erlitamaulani@gmail.com</t>
  </si>
  <si>
    <t>082242629303</t>
  </si>
  <si>
    <t>085866285519</t>
  </si>
  <si>
    <t>Adhityo susilo nugroho</t>
  </si>
  <si>
    <t>adhityo.susilo@gmail.com</t>
  </si>
  <si>
    <t>08563075030</t>
  </si>
  <si>
    <t>dewantoprasetyoaji@gmail.com</t>
  </si>
  <si>
    <t>081388585825</t>
  </si>
  <si>
    <t>gugus.bpn@gmail.com</t>
  </si>
  <si>
    <t>081254774109</t>
  </si>
  <si>
    <t>big.anggriawan@gmail.com</t>
  </si>
  <si>
    <t>081215198296</t>
  </si>
  <si>
    <t>agrikristal@gmail.com</t>
  </si>
  <si>
    <t>081380287074</t>
  </si>
  <si>
    <t>juangputra001@gmail.com</t>
  </si>
  <si>
    <t>085163503918</t>
  </si>
  <si>
    <t>qonitasayang15@gmail.com</t>
  </si>
  <si>
    <t>082121851445</t>
  </si>
  <si>
    <t>Aris Pratomo</t>
  </si>
  <si>
    <t>arisbpratama@gmail.com</t>
  </si>
  <si>
    <t>08159563285</t>
  </si>
  <si>
    <t>adysatya@pu.go.id</t>
  </si>
  <si>
    <t>085645796917</t>
  </si>
  <si>
    <t>ipoez_301m@yahoo.com</t>
  </si>
  <si>
    <t>081347495592</t>
  </si>
  <si>
    <t>jihanmaulia22@gmail.com</t>
  </si>
  <si>
    <t>087723394568</t>
  </si>
  <si>
    <t>iqromatulfadliyah@gmail.com</t>
  </si>
  <si>
    <t>085742264468</t>
  </si>
  <si>
    <t>zuldi.suharyanto@gmail.com</t>
  </si>
  <si>
    <t>081352474574</t>
  </si>
  <si>
    <t>andre.tp.psp@gmail.com</t>
  </si>
  <si>
    <t>082153986064</t>
  </si>
  <si>
    <t>herisukmadi01@gmail.com</t>
  </si>
  <si>
    <t>081328151050</t>
  </si>
  <si>
    <t>dopitsaputra@gmail.com</t>
  </si>
  <si>
    <t>082166900479</t>
  </si>
  <si>
    <t>nursugi@gmail.com</t>
  </si>
  <si>
    <t>08998584777</t>
  </si>
  <si>
    <t>hersan18@gmail.com</t>
  </si>
  <si>
    <t>085292304962</t>
  </si>
  <si>
    <t>titikhariyantist@gmail.com</t>
  </si>
  <si>
    <t>081350058281</t>
  </si>
  <si>
    <t>dngchyn@gmail.com</t>
  </si>
  <si>
    <t>085868272985</t>
  </si>
  <si>
    <t>bharotobayu@gmail.com</t>
  </si>
  <si>
    <t>085647800133</t>
  </si>
  <si>
    <t>humam1802@gmail.com</t>
  </si>
  <si>
    <t>08276005548</t>
  </si>
  <si>
    <t>ajuliarini@gmail.go.id</t>
  </si>
  <si>
    <t>08122700958</t>
  </si>
  <si>
    <t>ifadati.iffati@gmail.com</t>
  </si>
  <si>
    <t>085394156065</t>
  </si>
  <si>
    <t>edysarwoko1@gmail.com</t>
  </si>
  <si>
    <t>081227220880</t>
  </si>
  <si>
    <t>antonius.anwar@gmail.com</t>
  </si>
  <si>
    <t>081806813663</t>
  </si>
  <si>
    <t>Mujamaruf@gmail.com</t>
  </si>
  <si>
    <t>08176719090</t>
  </si>
  <si>
    <t>arie.komang@gmail.com</t>
  </si>
  <si>
    <t>08118988272</t>
  </si>
  <si>
    <t>bayu_triyogo@yahoo.co.uk</t>
  </si>
  <si>
    <t>08118946071</t>
  </si>
  <si>
    <t>nieenaa@gmail.com</t>
  </si>
  <si>
    <t>0817189691</t>
  </si>
  <si>
    <t>yuswantodk@gmail.com</t>
  </si>
  <si>
    <t>08123196771</t>
  </si>
  <si>
    <t>muzayyin.mahbub@gmail.com</t>
  </si>
  <si>
    <t>081281019040</t>
  </si>
  <si>
    <t>herisutanta@gmail.com</t>
  </si>
  <si>
    <t>085867223355</t>
  </si>
  <si>
    <t>nimas.hayu.m@gmail.com</t>
  </si>
  <si>
    <t>06584349384</t>
  </si>
  <si>
    <t>qisthi.amarona@gmail.com</t>
  </si>
  <si>
    <t>081281212075</t>
  </si>
  <si>
    <t>yemimanatisha@gmail.com</t>
  </si>
  <si>
    <t>082255252913</t>
  </si>
  <si>
    <t>Ilhamrakhmatullahgds@gmail.com</t>
  </si>
  <si>
    <t>081332732119</t>
  </si>
  <si>
    <t>Heriyadi Condro</t>
  </si>
  <si>
    <t>hariyadicondro@yahoo.com</t>
  </si>
  <si>
    <t>088210360320</t>
  </si>
  <si>
    <t>astur.kurniawan@gmail.com</t>
  </si>
  <si>
    <t>081392357402</t>
  </si>
  <si>
    <t>Rendy putra virizky</t>
  </si>
  <si>
    <t>ren.putra@gmail.com</t>
  </si>
  <si>
    <t>085233860600</t>
  </si>
  <si>
    <t>zamilul.m@gmail.com</t>
  </si>
  <si>
    <t>085778305330</t>
  </si>
  <si>
    <t>septiana.dwinani@yahoo.co.uk</t>
  </si>
  <si>
    <t>081218610560</t>
  </si>
  <si>
    <t>Mifah Al-Ilmi</t>
  </si>
  <si>
    <t>al.ilmi.182@gmail.com</t>
  </si>
  <si>
    <t>085743100378</t>
  </si>
  <si>
    <t>Thomas Rudiyanto</t>
  </si>
  <si>
    <t>thomasrd81@gmail.com</t>
  </si>
  <si>
    <t>082158744227</t>
  </si>
  <si>
    <t>yulaikhah@ugm.ac.id</t>
  </si>
  <si>
    <t>08164220214</t>
  </si>
  <si>
    <t>aswaskito@gmail.com</t>
  </si>
  <si>
    <t>082111225758</t>
  </si>
  <si>
    <t>andiantoharyoko@gmail.com</t>
  </si>
  <si>
    <t>08128012922</t>
  </si>
  <si>
    <t>Purbo hantoro</t>
  </si>
  <si>
    <t>purbohantoro@gmail.com</t>
  </si>
  <si>
    <t>082326685023</t>
  </si>
  <si>
    <t>triagnasari@yahoo.com</t>
  </si>
  <si>
    <t>085377706212</t>
  </si>
  <si>
    <t>watigeodesi1903@gmail.com</t>
  </si>
  <si>
    <t>0816399780</t>
  </si>
  <si>
    <t>abdisimamora@gmail.com</t>
  </si>
  <si>
    <t>08116009393</t>
  </si>
  <si>
    <t>wawanjunaedi@gmail.com</t>
  </si>
  <si>
    <t>081215370955</t>
  </si>
  <si>
    <t>didi3wibowo@gmail.com</t>
  </si>
  <si>
    <t>082183543123</t>
  </si>
  <si>
    <t>wahyudwiyanieko@gmail.com</t>
  </si>
  <si>
    <t>081911125695</t>
  </si>
  <si>
    <t>reni.swasti@gmail.com</t>
  </si>
  <si>
    <t>08122729625</t>
  </si>
  <si>
    <t>Rahmayantykurniawan@gmail.com</t>
  </si>
  <si>
    <t>082123878074</t>
  </si>
  <si>
    <t>ssitipurwanti@gmail.com</t>
  </si>
  <si>
    <t>081210376155</t>
  </si>
  <si>
    <t>herypurnomo345@gmail.com</t>
  </si>
  <si>
    <t>081328065487</t>
  </si>
  <si>
    <t>ronie.tanggamus@gmail.com</t>
  </si>
  <si>
    <t>081328129235</t>
  </si>
  <si>
    <t>marthin.johannes@gmail.com</t>
  </si>
  <si>
    <t>081327069198</t>
  </si>
  <si>
    <t>Paoloregar@gmail.com</t>
  </si>
  <si>
    <t>082134660747</t>
  </si>
  <si>
    <t>agung.geodesi06@gmail.com</t>
  </si>
  <si>
    <t>082225982389</t>
  </si>
  <si>
    <t>Dominikus.rinto@gmail.com</t>
  </si>
  <si>
    <t>082186994467</t>
  </si>
  <si>
    <t>seno.33386@gmail.com</t>
  </si>
  <si>
    <t>081283229500</t>
  </si>
  <si>
    <t>hijriana.lili@gmail.com</t>
  </si>
  <si>
    <t>081804099030</t>
  </si>
  <si>
    <t>Diana wisnu wardani</t>
  </si>
  <si>
    <t>dianaping17@gmail.com</t>
  </si>
  <si>
    <t>081908455433</t>
  </si>
  <si>
    <t>Heri Setiawan</t>
  </si>
  <si>
    <t>herso10@yahoo.com</t>
  </si>
  <si>
    <t>0406941674</t>
  </si>
  <si>
    <t>triandadp@gmail.com</t>
  </si>
  <si>
    <t>081310008015</t>
  </si>
  <si>
    <t>muzzammil.rahapurna@gmail.com</t>
  </si>
  <si>
    <t>081804048092</t>
  </si>
  <si>
    <t>kartikalaras@gmail.com</t>
  </si>
  <si>
    <t>081329068181</t>
  </si>
  <si>
    <t>Lagawicaks@gmail.com</t>
  </si>
  <si>
    <t>082195060809</t>
  </si>
  <si>
    <t>simuntaha@yahoo.com</t>
  </si>
  <si>
    <t>081215533779</t>
  </si>
  <si>
    <t>Novita Rahmadani</t>
  </si>
  <si>
    <t>novita.rahmadani@pu.go.id</t>
  </si>
  <si>
    <t>081265416137</t>
  </si>
  <si>
    <t>Arif Hidayat</t>
  </si>
  <si>
    <t>a12iefh.08@gmail.com</t>
  </si>
  <si>
    <t>085813484112</t>
  </si>
  <si>
    <t>arifinnoor76@gmail.com</t>
  </si>
  <si>
    <t>081226825125</t>
  </si>
  <si>
    <t>jatigeodesi06@gmail.com</t>
  </si>
  <si>
    <t>085293334488</t>
  </si>
  <si>
    <t>Agus setiadi</t>
  </si>
  <si>
    <t>setiadji8@gmail.com</t>
  </si>
  <si>
    <t>081317092288</t>
  </si>
  <si>
    <t>Dmangunsudarmo@gmail.com</t>
  </si>
  <si>
    <t>085921637056</t>
  </si>
  <si>
    <t>laswant@gmail.com</t>
  </si>
  <si>
    <t>081274926463</t>
  </si>
  <si>
    <t>adripurwa@gmail.com</t>
  </si>
  <si>
    <t>081513076667</t>
  </si>
  <si>
    <t>hamarisikyarto.hs@gmail.com</t>
  </si>
  <si>
    <t>082134688915</t>
  </si>
  <si>
    <t>abusalm09@gmail.com</t>
  </si>
  <si>
    <t>08127510124</t>
  </si>
  <si>
    <t>sigitwahyudi99@gmail.com</t>
  </si>
  <si>
    <t>082156969994</t>
  </si>
  <si>
    <t>davidsimanungkalit@yahoo.com</t>
  </si>
  <si>
    <t>085292382156</t>
  </si>
  <si>
    <t>dasita.meygan.p@gmail.com</t>
  </si>
  <si>
    <t>085641752925</t>
  </si>
  <si>
    <t>berlinjanrico@gmail.com</t>
  </si>
  <si>
    <t>085292867440</t>
  </si>
  <si>
    <t>zulaikasukma89@gmail.com</t>
  </si>
  <si>
    <t>08111095809</t>
  </si>
  <si>
    <t>adistyp26@gmail.com</t>
  </si>
  <si>
    <t>081217012248</t>
  </si>
  <si>
    <t>yudhinor@gmail.com</t>
  </si>
  <si>
    <t>081295595598</t>
  </si>
  <si>
    <t>fauziantoni@gmail.com</t>
  </si>
  <si>
    <t>082214136313</t>
  </si>
  <si>
    <t>Afifuddin212@gmail.com</t>
  </si>
  <si>
    <t>081347702250</t>
  </si>
  <si>
    <t>rob700000@gmail.com</t>
  </si>
  <si>
    <t>082172682717</t>
  </si>
  <si>
    <t>asepsmulyana80@gmail.com</t>
  </si>
  <si>
    <t>081904569000</t>
  </si>
  <si>
    <t>rizky.fpu@mail.ugm.ac.id</t>
  </si>
  <si>
    <t>082231153598</t>
  </si>
  <si>
    <t>itrisnawan@gmail.com</t>
  </si>
  <si>
    <t>0817563703</t>
  </si>
  <si>
    <t>mh_isnaini@yahoo.co.id</t>
  </si>
  <si>
    <t>08128096877</t>
  </si>
  <si>
    <t>Fabianus Tato Krusaido</t>
  </si>
  <si>
    <t>fabianus.krusaido@gmail.com</t>
  </si>
  <si>
    <t>081280088840</t>
  </si>
  <si>
    <t>NRISTI219@gmail.com</t>
  </si>
  <si>
    <t>083821140307</t>
  </si>
  <si>
    <t>Kariyono</t>
  </si>
  <si>
    <t>kariyono.atrbpn@gmail.com</t>
  </si>
  <si>
    <t>081390516630</t>
  </si>
  <si>
    <t>hari.sutopo80@gmail.com</t>
  </si>
  <si>
    <t>081328541061</t>
  </si>
  <si>
    <t>kholis0715@gmail.com</t>
  </si>
  <si>
    <t>087863436278</t>
  </si>
  <si>
    <t>dwidaningrum7@gmail.com</t>
  </si>
  <si>
    <t>082112933250</t>
  </si>
  <si>
    <t>bambangprasongko190675@gmail.com</t>
  </si>
  <si>
    <t>081266157571</t>
  </si>
  <si>
    <t>novifebrianti1980@gmail.com</t>
  </si>
  <si>
    <t>082297007604</t>
  </si>
  <si>
    <t>bremamichael@gmail.com</t>
  </si>
  <si>
    <t>081277036587</t>
  </si>
  <si>
    <t>qurrotahawa11@gmail.com</t>
  </si>
  <si>
    <t>082328818596</t>
  </si>
  <si>
    <t>faizahmadmkhan@gmail.com</t>
  </si>
  <si>
    <t>099673091</t>
  </si>
  <si>
    <t>wahyu.bagus25@gmail.com</t>
  </si>
  <si>
    <t>081337930599</t>
  </si>
  <si>
    <t>m.aris.sukmono@gmail.com</t>
  </si>
  <si>
    <t>081217188906</t>
  </si>
  <si>
    <t>imadsaktyo@gmail.com</t>
  </si>
  <si>
    <t>081804231441</t>
  </si>
  <si>
    <t>sondangsihombing30@gmail.com</t>
  </si>
  <si>
    <t>082243559885</t>
  </si>
  <si>
    <t>bayuaji.leo@gmail.com</t>
  </si>
  <si>
    <t>081325474670</t>
  </si>
  <si>
    <t>Tribuwono</t>
  </si>
  <si>
    <t>tribunatmodjo@gmail.com</t>
  </si>
  <si>
    <t>08158250033</t>
  </si>
  <si>
    <t>dwisupriyanto.202051004@gmail.com</t>
  </si>
  <si>
    <t>081318811835</t>
  </si>
  <si>
    <t>laksonoade@gmail.com</t>
  </si>
  <si>
    <t>08122660776</t>
  </si>
  <si>
    <t>didiknugroho@gmail.com</t>
  </si>
  <si>
    <t>081343480400</t>
  </si>
  <si>
    <t>Toto</t>
  </si>
  <si>
    <t>laguna.nexian@gmail.com</t>
  </si>
  <si>
    <t>082244560666</t>
  </si>
  <si>
    <t>andigerga4@gmail.com</t>
  </si>
  <si>
    <t>08982852354</t>
  </si>
  <si>
    <t>hasnawidiyani@gmail.com</t>
  </si>
  <si>
    <t>089666909140</t>
  </si>
  <si>
    <t>fawwazza@gmail.com</t>
  </si>
  <si>
    <t>081327212095</t>
  </si>
  <si>
    <t>maylatasya@gmail.com</t>
  </si>
  <si>
    <t>0895360230210</t>
  </si>
  <si>
    <t>kusmiarto@stpn.ac.id</t>
  </si>
  <si>
    <t>081904000850</t>
  </si>
  <si>
    <t>Aatriguseko@gmail.com</t>
  </si>
  <si>
    <t>081341764715</t>
  </si>
  <si>
    <t>imawan.wichaksana@gmail.com</t>
  </si>
  <si>
    <t>082137176937</t>
  </si>
  <si>
    <t>yudhaannas17@gmail.com</t>
  </si>
  <si>
    <t>081575783562</t>
  </si>
  <si>
    <t>dasukisy@gmail.com</t>
  </si>
  <si>
    <t>08122882352</t>
  </si>
  <si>
    <t>sy.putra.a@gmail.com</t>
  </si>
  <si>
    <t>08117505593</t>
  </si>
  <si>
    <t>afika.rayya@gmail.com</t>
  </si>
  <si>
    <t>087837964375</t>
  </si>
  <si>
    <t>adnanaditya@gmail.com</t>
  </si>
  <si>
    <t>081327194721</t>
  </si>
  <si>
    <t>rifqiwibo@gmail.com</t>
  </si>
  <si>
    <t>081318884161</t>
  </si>
  <si>
    <t>Arlibuchari11@gmail.com</t>
  </si>
  <si>
    <t>085216036347</t>
  </si>
  <si>
    <t>aulia4681@gmail.com</t>
  </si>
  <si>
    <t>08196030291</t>
  </si>
  <si>
    <t>irawanprayoko@gmail.com</t>
  </si>
  <si>
    <t>082182692380</t>
  </si>
  <si>
    <t>bambangkun@ugm.ac.id</t>
  </si>
  <si>
    <t>081542802561</t>
  </si>
  <si>
    <t>ova.arahman@gmail.com</t>
  </si>
  <si>
    <t>085216078157</t>
  </si>
  <si>
    <t>havidfauzi@gmail.com</t>
  </si>
  <si>
    <t>081386969691</t>
  </si>
  <si>
    <t>yudopotter@gmail.com</t>
  </si>
  <si>
    <t>08112744779</t>
  </si>
  <si>
    <t>hesticicilia@gmail.com</t>
  </si>
  <si>
    <t>081218605480</t>
  </si>
  <si>
    <t>haya.haryanto@gmail.com</t>
  </si>
  <si>
    <t>081352761581</t>
  </si>
  <si>
    <t>masbobby55@gmail.com</t>
  </si>
  <si>
    <t>081282022120</t>
  </si>
  <si>
    <t>syohraenist@gmail.com</t>
  </si>
  <si>
    <t>081282707550</t>
  </si>
  <si>
    <t>Iwan setiawan</t>
  </si>
  <si>
    <t>Iwan_stwn@yahoo.com</t>
  </si>
  <si>
    <t>081318339606</t>
  </si>
  <si>
    <t>muhiqbal11401@mail.ugm.ac.id</t>
  </si>
  <si>
    <t>081238471568</t>
  </si>
  <si>
    <t>xxrohmat@gmail.com</t>
  </si>
  <si>
    <t>082243116531</t>
  </si>
  <si>
    <t>Irfa almarotib</t>
  </si>
  <si>
    <t>marotib05@gmail.com</t>
  </si>
  <si>
    <t>085879706322</t>
  </si>
  <si>
    <t>Hintbabyshop@gmail.com</t>
  </si>
  <si>
    <t>082122544054</t>
  </si>
  <si>
    <t>hendra.sugara1@gmail.com</t>
  </si>
  <si>
    <t>081272132999</t>
  </si>
  <si>
    <t>ihsan.rivano@gmail.com</t>
  </si>
  <si>
    <t>081328226262</t>
  </si>
  <si>
    <t>Made.martawan26@gmail.com</t>
  </si>
  <si>
    <t>081218288466</t>
  </si>
  <si>
    <t>okkyaditianurpratama@gmail com</t>
  </si>
  <si>
    <t>081243370300</t>
  </si>
  <si>
    <t>igunawan2@gmail.com</t>
  </si>
  <si>
    <t>08128882028</t>
  </si>
  <si>
    <t>Teguh riyono</t>
  </si>
  <si>
    <t>teguh.riyono@gmail.com</t>
  </si>
  <si>
    <t>0816773999</t>
  </si>
  <si>
    <t>zazatuzax@gmail.com</t>
  </si>
  <si>
    <t>0811106521</t>
  </si>
  <si>
    <t>arumarums1234@gmail.com</t>
  </si>
  <si>
    <t>085691868508</t>
  </si>
  <si>
    <t>ali.ridlo.ar@gmail.com</t>
  </si>
  <si>
    <t>082137388998</t>
  </si>
  <si>
    <t>hestinsa@gmail.com</t>
  </si>
  <si>
    <t>081228488838</t>
  </si>
  <si>
    <t>mastotokprawoto73@gmail.com</t>
  </si>
  <si>
    <t>085326345858</t>
  </si>
  <si>
    <t>sitinoorchayati@gmail.com</t>
  </si>
  <si>
    <t>082313967926</t>
  </si>
  <si>
    <t>lutfi.mdn@gmail.com</t>
  </si>
  <si>
    <t>085330941125</t>
  </si>
  <si>
    <t>kjskb.april@gmail.com</t>
  </si>
  <si>
    <t>08115455618</t>
  </si>
  <si>
    <t>monica.maharani28@gmail.com</t>
  </si>
  <si>
    <t>081212987288</t>
  </si>
  <si>
    <t>agassti@gmail.com</t>
  </si>
  <si>
    <t>081218757848</t>
  </si>
  <si>
    <t>Danang</t>
  </si>
  <si>
    <t>danankz@gmail.com</t>
  </si>
  <si>
    <t>081359433388</t>
  </si>
  <si>
    <t>fbadjuber@gmail.com</t>
  </si>
  <si>
    <t>0811925851</t>
  </si>
  <si>
    <t>sekitarkita77@gmail.com</t>
  </si>
  <si>
    <t>082137837920</t>
  </si>
  <si>
    <t>budiwemail@gmail.com</t>
  </si>
  <si>
    <t>08122720025</t>
  </si>
  <si>
    <t>ralam1009@gmail.com</t>
  </si>
  <si>
    <t>081216661009</t>
  </si>
  <si>
    <t>khairul.amiruddin@mail.ugm.ac.id</t>
  </si>
  <si>
    <t>085819031569</t>
  </si>
  <si>
    <t>Ratna Kumala Dyah M</t>
  </si>
  <si>
    <t>ratnaminang@gmail.com</t>
  </si>
  <si>
    <t>081283741830</t>
  </si>
  <si>
    <t>anitarosalina82@gmail.com</t>
  </si>
  <si>
    <t>081321934807</t>
  </si>
  <si>
    <t>totoksumarianto005@gmail.com</t>
  </si>
  <si>
    <t>082340858672</t>
  </si>
  <si>
    <t>suntea.avril@gmail.com</t>
  </si>
  <si>
    <t>087712851213</t>
  </si>
  <si>
    <t>wikantiwaskita@gmail.com</t>
  </si>
  <si>
    <t>081315900805</t>
  </si>
  <si>
    <t>triyonooks7@gmail.com</t>
  </si>
  <si>
    <t>081228007801</t>
  </si>
  <si>
    <t>akhlasabila@gmail.com</t>
  </si>
  <si>
    <t>082226740916</t>
  </si>
  <si>
    <t>sahitaanggana@yahoo.co.id</t>
  </si>
  <si>
    <t>08176860755</t>
  </si>
  <si>
    <t>lukman rinanto</t>
  </si>
  <si>
    <t>rinanto13@gmail.com</t>
  </si>
  <si>
    <t>081392692000</t>
  </si>
  <si>
    <t>Eko Wibisono</t>
  </si>
  <si>
    <t>Echo.wibi@gmail.com</t>
  </si>
  <si>
    <t>081380276210</t>
  </si>
  <si>
    <t>detyaprenica@gmail.com</t>
  </si>
  <si>
    <t>08115451415</t>
  </si>
  <si>
    <t>ikhsanluthfiaradea@gmail.com</t>
  </si>
  <si>
    <t>082138252488</t>
  </si>
  <si>
    <t>sofyanhadi_cb@yahoo.co.id</t>
  </si>
  <si>
    <t>081354875247</t>
  </si>
  <si>
    <t>syamsulpsusu99@gmail.com</t>
  </si>
  <si>
    <t>08115006692</t>
  </si>
  <si>
    <t>febrian.bayu86@gmail.com</t>
  </si>
  <si>
    <t>082121333331</t>
  </si>
  <si>
    <t>ameliasipahutar80@gmail.com</t>
  </si>
  <si>
    <t>081318731008</t>
  </si>
  <si>
    <t>082181569674</t>
  </si>
  <si>
    <t>adelinegoda@gmail.com</t>
  </si>
  <si>
    <t>Yulius Ariyanto</t>
  </si>
  <si>
    <t>yuliusarie@gmail.com</t>
  </si>
  <si>
    <t>082155458812</t>
  </si>
  <si>
    <t>dickyzulkarnain01@gmail.com</t>
  </si>
  <si>
    <t>08122768846</t>
  </si>
  <si>
    <t>Sri sukoco</t>
  </si>
  <si>
    <t>sskc0827@gmail.com</t>
  </si>
  <si>
    <t>081384840122</t>
  </si>
  <si>
    <t>permatabellaayu@gmail.com</t>
  </si>
  <si>
    <t>083856797316</t>
  </si>
  <si>
    <t>akhlisherinpp@gmail.com</t>
  </si>
  <si>
    <t>082241226282</t>
  </si>
  <si>
    <t>risaindrastuti@gmail.com</t>
  </si>
  <si>
    <t>085220014584</t>
  </si>
  <si>
    <t>Erlindaruba@gmail.com</t>
  </si>
  <si>
    <t>081297352909</t>
  </si>
  <si>
    <t>MOHAMAD BAGAS SETIAWAN</t>
  </si>
  <si>
    <t>mohamad.bagas.s@mail.ugm.ac.id</t>
  </si>
  <si>
    <t>085729962301</t>
  </si>
  <si>
    <t>ridwan.net@gmail.com</t>
  </si>
  <si>
    <t>081310127532</t>
  </si>
  <si>
    <t>Thesesi surini</t>
  </si>
  <si>
    <t>thesesi2017@gmail.com</t>
  </si>
  <si>
    <t>08779117851</t>
  </si>
  <si>
    <t>Jefri.180588@gmail.com</t>
  </si>
  <si>
    <t>08111455799</t>
  </si>
  <si>
    <t>I made indra wirawan</t>
  </si>
  <si>
    <t>Imadeindrawirawan@gmail.com</t>
  </si>
  <si>
    <t>087703332690</t>
  </si>
  <si>
    <t>ipimpngsaa@gmail.com</t>
  </si>
  <si>
    <t>082268491399</t>
  </si>
  <si>
    <t>alfikhazanahva@gmail.com</t>
  </si>
  <si>
    <t>081228480412</t>
  </si>
  <si>
    <t>Anas afifi</t>
  </si>
  <si>
    <t>anas.geodesi@gmail.com</t>
  </si>
  <si>
    <t>081342210153</t>
  </si>
  <si>
    <t>sigitrach69@gmail.com</t>
  </si>
  <si>
    <t>081377559559</t>
  </si>
  <si>
    <t>komangwir27@gmail.com</t>
  </si>
  <si>
    <t>08127190030</t>
  </si>
  <si>
    <t>Imam.ahmad.k@mail.ugm.ac.id</t>
  </si>
  <si>
    <t>087790374003</t>
  </si>
  <si>
    <t>ferdy_at@ymail.com</t>
  </si>
  <si>
    <t>08119702039</t>
  </si>
  <si>
    <t>surayya.rina@gmail.com</t>
  </si>
  <si>
    <t>085327135103</t>
  </si>
  <si>
    <t>Sitikusumastuti71@gmail.com</t>
  </si>
  <si>
    <t>08127348963</t>
  </si>
  <si>
    <t>antonrwidodo@gmail.com</t>
  </si>
  <si>
    <t>08115401673</t>
  </si>
  <si>
    <t>sherly.emalia@gmail.com</t>
  </si>
  <si>
    <t>081220189595</t>
  </si>
  <si>
    <t>pamungkas.sigit33@gmail.com</t>
  </si>
  <si>
    <t>082324594437</t>
  </si>
  <si>
    <t>sutantyobudi1@gmail.com</t>
  </si>
  <si>
    <t>081327561909</t>
  </si>
  <si>
    <t>dimas.hanityawan@gmail.com</t>
  </si>
  <si>
    <t>081808427561</t>
  </si>
  <si>
    <t>Dewanto Ngadiran</t>
  </si>
  <si>
    <t>dewantojakon@gmail.com</t>
  </si>
  <si>
    <t>08111171731</t>
  </si>
  <si>
    <t>08122765500</t>
  </si>
  <si>
    <t>rayonotri@gmail</t>
  </si>
  <si>
    <t>081348382570</t>
  </si>
  <si>
    <t>helminurul96@gmail.com</t>
  </si>
  <si>
    <t>082138641391</t>
  </si>
  <si>
    <t>amirilhepi@gmail.com</t>
  </si>
  <si>
    <t>081217493413</t>
  </si>
  <si>
    <t>m.must4qim@gmail.com</t>
  </si>
  <si>
    <t>08157987453</t>
  </si>
  <si>
    <t>ROMANUS NOOR WIDARTO</t>
  </si>
  <si>
    <t>64romanuz@gmail.com</t>
  </si>
  <si>
    <t>08127343676</t>
  </si>
  <si>
    <t>dicky_gds@yahoo.co.id</t>
  </si>
  <si>
    <t>081258700413</t>
  </si>
  <si>
    <t>doni_a@yahoo.com</t>
  </si>
  <si>
    <t>081388373780</t>
  </si>
  <si>
    <t>bwahyu12@gmail.com</t>
  </si>
  <si>
    <t>082377666552</t>
  </si>
  <si>
    <t>hamdut.mbul@gmail.com</t>
  </si>
  <si>
    <t>087809577526</t>
  </si>
  <si>
    <t>Arif.bm@gmail.com</t>
  </si>
  <si>
    <t>0818224927</t>
  </si>
  <si>
    <t>Yuyun Salviah</t>
  </si>
  <si>
    <t>yuyun.salviah@gmail.com</t>
  </si>
  <si>
    <t>081392206484</t>
  </si>
  <si>
    <t>galihyudhaaws@gmail.com</t>
  </si>
  <si>
    <t>082136502310</t>
  </si>
  <si>
    <t>agusmakmuriyanto@gmail.com</t>
  </si>
  <si>
    <t>08158124405</t>
  </si>
  <si>
    <t>Mira sri yuanda</t>
  </si>
  <si>
    <t>msyuanda15@gmail.com</t>
  </si>
  <si>
    <t>082247528868</t>
  </si>
  <si>
    <t>mardakhoiriafajari@gmail.com</t>
  </si>
  <si>
    <t>085257132124</t>
  </si>
  <si>
    <t>ellie.nunes17@gmail.com</t>
  </si>
  <si>
    <t>0675858381</t>
  </si>
  <si>
    <t>safrinabarraslogi@gmail.com</t>
  </si>
  <si>
    <t>081282661758</t>
  </si>
  <si>
    <t>081395443504</t>
  </si>
  <si>
    <t>Sardila.sailellah@dc.tohoku.ac.jp</t>
  </si>
  <si>
    <t>Danisinaga89@gmail.com</t>
  </si>
  <si>
    <t>081257165956</t>
  </si>
  <si>
    <t>nadyahaniffam@gmail.com</t>
  </si>
  <si>
    <t>081364549792</t>
  </si>
  <si>
    <t>naufal.sandro@mail.ugm.ac.id</t>
  </si>
  <si>
    <t>hepihapsari@gmail.com</t>
  </si>
  <si>
    <t>081217418612</t>
  </si>
  <si>
    <t>just.soekamto18@gmail.com</t>
  </si>
  <si>
    <t>085272105765</t>
  </si>
  <si>
    <t>fika.maharani@gmail.com</t>
  </si>
  <si>
    <t>085643453408</t>
  </si>
  <si>
    <t>ctriwarseno@gmail.com</t>
  </si>
  <si>
    <t>081381182290</t>
  </si>
  <si>
    <t>081229771710</t>
  </si>
  <si>
    <t>alfathhatma@gmail.com</t>
  </si>
  <si>
    <t>08122765362</t>
  </si>
  <si>
    <t>pujinurhidayahh@gmail.com</t>
  </si>
  <si>
    <t>haryantoaskarlo82@gmail.com</t>
  </si>
  <si>
    <t>081229999140</t>
  </si>
  <si>
    <t>apanji25@gmail.com</t>
  </si>
  <si>
    <t>085368472250</t>
  </si>
  <si>
    <t>abidinzaenal556@gmail.com</t>
  </si>
  <si>
    <t>082257024816</t>
  </si>
  <si>
    <t>jongkosatrio@gmail.com</t>
  </si>
  <si>
    <t>082122959436</t>
  </si>
  <si>
    <t>musmukandar@gmail.com</t>
  </si>
  <si>
    <t>082226882350</t>
  </si>
  <si>
    <t>irfanamal03@gmail.com</t>
  </si>
  <si>
    <t>081228014737</t>
  </si>
  <si>
    <t>meti.haryani@gmail.com</t>
  </si>
  <si>
    <t>081932071979</t>
  </si>
  <si>
    <t>rachmadhiya.salsabila@mail.ugm.ac.id</t>
  </si>
  <si>
    <t>081281855103</t>
  </si>
  <si>
    <t>ambaradi76@gmail.com</t>
  </si>
  <si>
    <t>08118012450</t>
  </si>
  <si>
    <t>Prasetyo</t>
  </si>
  <si>
    <t>ra4se@yahoo.com</t>
  </si>
  <si>
    <t>081349720847</t>
  </si>
  <si>
    <t>anandito.anung@gmail.com</t>
  </si>
  <si>
    <t>081328406056</t>
  </si>
  <si>
    <t>akbardwik@gmail.com</t>
  </si>
  <si>
    <t>082134350282</t>
  </si>
  <si>
    <t>Wiwit widi nugroho</t>
  </si>
  <si>
    <t>astama2014@gmail.com</t>
  </si>
  <si>
    <t>081351827291</t>
  </si>
  <si>
    <t>rizaalfan@gmail.com</t>
  </si>
  <si>
    <t>082351986086</t>
  </si>
  <si>
    <t>Nur handayani</t>
  </si>
  <si>
    <t>handyaranur@gmail.com</t>
  </si>
  <si>
    <t>081548546796</t>
  </si>
  <si>
    <t>SRI SUKMAWATI</t>
  </si>
  <si>
    <t>srisukmawati@unej.ac.id</t>
  </si>
  <si>
    <t>082233191945</t>
  </si>
  <si>
    <t>Thomas Rudi Hartono</t>
  </si>
  <si>
    <t>dewigustanti05@gmail.com</t>
  </si>
  <si>
    <t>08115846377</t>
  </si>
  <si>
    <t>Aguspwidodo808@gmail.com</t>
  </si>
  <si>
    <t>085887730005</t>
  </si>
  <si>
    <t>isnaoktianarr@gmail.com</t>
  </si>
  <si>
    <t>081340303551</t>
  </si>
  <si>
    <t>dzakipratamaramadaniyoko@gmail.com</t>
  </si>
  <si>
    <t>089666441554</t>
  </si>
  <si>
    <t>adeirma01@mail.ugm.ac.id</t>
  </si>
  <si>
    <t>08960687489</t>
  </si>
  <si>
    <t>setiwawan123456789@gmail.com</t>
  </si>
  <si>
    <t>082176709057</t>
  </si>
  <si>
    <t>santiz.irghan@gmail.com</t>
  </si>
  <si>
    <t>082113937458</t>
  </si>
  <si>
    <t>rindikurnianti@gmail.com</t>
  </si>
  <si>
    <t>081293989828</t>
  </si>
  <si>
    <t>yantobudisusanto@gmail.com</t>
  </si>
  <si>
    <t>085226361602</t>
  </si>
  <si>
    <t>izzatabdfattah@gmail.com</t>
  </si>
  <si>
    <t>081805260845</t>
  </si>
  <si>
    <t>indinashinta@gmail.com</t>
  </si>
  <si>
    <t>085643275691</t>
  </si>
  <si>
    <t>novitasaridewinda@gmail.com</t>
  </si>
  <si>
    <t>081287126178</t>
  </si>
  <si>
    <t>hendra.ramdhani@gmail.com</t>
  </si>
  <si>
    <t>081221761372</t>
  </si>
  <si>
    <t>yunitautaminingsih@gmail.com</t>
  </si>
  <si>
    <t>085266211977</t>
  </si>
  <si>
    <t>frans.aritonang@gmail.com</t>
  </si>
  <si>
    <t>082110367730</t>
  </si>
  <si>
    <t>fetriagoagix@gmail.com</t>
  </si>
  <si>
    <t>085292123331</t>
  </si>
  <si>
    <t>Prastyo Bayu Nugroho</t>
  </si>
  <si>
    <t>prastyobayu102@gmail.com</t>
  </si>
  <si>
    <t>081390671642</t>
  </si>
  <si>
    <t>adizdiz03@gmail.com</t>
  </si>
  <si>
    <t>082135158468</t>
  </si>
  <si>
    <t>ronyprimanto@gmail.com</t>
  </si>
  <si>
    <t>0816688147</t>
  </si>
  <si>
    <t>royafitrah98@gmail.com</t>
  </si>
  <si>
    <t>082384171898</t>
  </si>
  <si>
    <t>Wietamartiane@gmail.com</t>
  </si>
  <si>
    <t>082155237472</t>
  </si>
  <si>
    <t>yudhi.rhmdi@gmail.com</t>
  </si>
  <si>
    <t>081347122333</t>
  </si>
  <si>
    <t>adillahana.salsabila@gmail.com</t>
  </si>
  <si>
    <t>08991294876</t>
  </si>
  <si>
    <t>businessbaju@gmail.com</t>
  </si>
  <si>
    <t>081226593804</t>
  </si>
  <si>
    <t>nugraheni.novi17@gmail.com</t>
  </si>
  <si>
    <t>08975905428</t>
  </si>
  <si>
    <t>puspitaz@gmail.com</t>
  </si>
  <si>
    <t>081279441231</t>
  </si>
  <si>
    <t>jatmikosuryo@gmail.com</t>
  </si>
  <si>
    <t>08122743357</t>
  </si>
  <si>
    <t>zida.gadiz@gmail.com</t>
  </si>
  <si>
    <t>081231363925</t>
  </si>
  <si>
    <t>ulli_cancer@yahoo.com</t>
  </si>
  <si>
    <t>081542692630</t>
  </si>
  <si>
    <t>rifda.lestari@gmail.com</t>
  </si>
  <si>
    <t>081249682033</t>
  </si>
  <si>
    <t>f.lugas@mail.ugm.ac.id</t>
  </si>
  <si>
    <t>085229111887</t>
  </si>
  <si>
    <t>Widhiwijayanto@gmail.com</t>
  </si>
  <si>
    <t>081218506510</t>
  </si>
  <si>
    <t>mlumongga@mail.ugm.ac.id</t>
  </si>
  <si>
    <t>087833588599</t>
  </si>
  <si>
    <t>diyahnova28@gmail.com</t>
  </si>
  <si>
    <t>087836320566</t>
  </si>
  <si>
    <t>sayasusanto518@gmail.com</t>
  </si>
  <si>
    <t>081250292487</t>
  </si>
  <si>
    <t>rzk90210@gmail.com</t>
  </si>
  <si>
    <t>081377000110</t>
  </si>
  <si>
    <t>Hardi Sentosa</t>
  </si>
  <si>
    <t>disentosa@yahoo.com</t>
  </si>
  <si>
    <t>081517120199</t>
  </si>
  <si>
    <t>subhianto.fajar@gmail.com</t>
  </si>
  <si>
    <t>082154201160</t>
  </si>
  <si>
    <t>Gilangrr11@gmail.com</t>
  </si>
  <si>
    <t>087832790888</t>
  </si>
  <si>
    <t>azizun.rohman@mail.ugm.ac.id</t>
  </si>
  <si>
    <t>081567993567</t>
  </si>
  <si>
    <t>ardianjuni93@gmail.com</t>
  </si>
  <si>
    <t>08984924370</t>
  </si>
  <si>
    <t>cipapanda28@gmail.com</t>
  </si>
  <si>
    <t>085801015908</t>
  </si>
  <si>
    <t>adikkabagusm23@gmail.com</t>
  </si>
  <si>
    <t>085156041325</t>
  </si>
  <si>
    <t>Mdarizfauzan@gmail.com</t>
  </si>
  <si>
    <t>082384021278</t>
  </si>
  <si>
    <t>annisa.rizky.kusuma@mail.ugm.ac.id</t>
  </si>
  <si>
    <t>08892416768</t>
  </si>
  <si>
    <t>Dinda Zahra Ramadhanti</t>
  </si>
  <si>
    <t>dindazahraramadhanti@gmail.com</t>
  </si>
  <si>
    <t>081918944006</t>
  </si>
  <si>
    <t>CHRISTIANTO ARIO WIBOWO</t>
  </si>
  <si>
    <t>christiantoario86@gmail.com</t>
  </si>
  <si>
    <t>082328651941</t>
  </si>
  <si>
    <t>naufal.ali1412@mail.ugm.ac.id</t>
  </si>
  <si>
    <t>089650024601</t>
  </si>
  <si>
    <t>ketut.angga.nadiartha@gmail.com</t>
  </si>
  <si>
    <t>081931531969</t>
  </si>
  <si>
    <t>Natasya Fani R</t>
  </si>
  <si>
    <t>natasyafani@mail.ugm.ac.id</t>
  </si>
  <si>
    <t>082226491411</t>
  </si>
  <si>
    <t>kristanto196905@gmail.com</t>
  </si>
  <si>
    <t>08122972651</t>
  </si>
  <si>
    <t>khilda.nadhifa07@gmail.com</t>
  </si>
  <si>
    <t>087829077767</t>
  </si>
  <si>
    <t>syarafinariz@gmail.com</t>
  </si>
  <si>
    <t>0895321900302</t>
  </si>
  <si>
    <t>sigitwahyudi3003@gmail.com</t>
  </si>
  <si>
    <t>081255621775</t>
  </si>
  <si>
    <t>sumadineverdie@gmail.com</t>
  </si>
  <si>
    <t>081299521984</t>
  </si>
  <si>
    <t>davidgultom29@gmail.com</t>
  </si>
  <si>
    <t>08117529293</t>
  </si>
  <si>
    <t>budioyama@gmail.com</t>
  </si>
  <si>
    <t>gsaud111@gmail.com</t>
  </si>
  <si>
    <t>082287507329</t>
  </si>
  <si>
    <t>molekdara@mail.ugm.ac.id</t>
  </si>
  <si>
    <t>081215769982</t>
  </si>
  <si>
    <t>imamsayuti14@gmail.com</t>
  </si>
  <si>
    <t>082250184609</t>
  </si>
  <si>
    <t>divinadiananda@mail.ugm.ac.id</t>
  </si>
  <si>
    <t>0895351274725</t>
  </si>
  <si>
    <t>Ari Sugiarto</t>
  </si>
  <si>
    <t>arisugy884@gmail.com</t>
  </si>
  <si>
    <t>085848519777</t>
  </si>
  <si>
    <t>ariyanto.suryotejo@gmail.com</t>
  </si>
  <si>
    <t>081578032032</t>
  </si>
  <si>
    <t>yunimar77@gmail.com</t>
  </si>
  <si>
    <t>082151228994</t>
  </si>
  <si>
    <t>DEDHY WAHYUDI KANDAR</t>
  </si>
  <si>
    <t>dedhywahyudi@yahoo.com</t>
  </si>
  <si>
    <t>081253102318</t>
  </si>
  <si>
    <t>zafira1907@gmail.com</t>
  </si>
  <si>
    <t>085875767037</t>
  </si>
  <si>
    <t>hamdanpohan997@gmail.com</t>
  </si>
  <si>
    <t>082179868750</t>
  </si>
  <si>
    <t>Yuskes</t>
  </si>
  <si>
    <t>yuskes1956@gmail.com</t>
  </si>
  <si>
    <t>081212171506</t>
  </si>
  <si>
    <t>Khikmanto supribadi</t>
  </si>
  <si>
    <t>Khikmanto@gmail.com</t>
  </si>
  <si>
    <t>081328164564</t>
  </si>
  <si>
    <t>evi.dwi.k@mail.ugm.ac.id</t>
  </si>
  <si>
    <t>085727358765</t>
  </si>
  <si>
    <t>gregoriusyerusalem1979@gmail.com</t>
  </si>
  <si>
    <t>081392312790</t>
  </si>
  <si>
    <t>vebryannn@gmail.com</t>
  </si>
  <si>
    <t>081328875045</t>
  </si>
  <si>
    <t>arhizt@gmail.com</t>
  </si>
  <si>
    <t>081266000633</t>
  </si>
  <si>
    <t>082154539729</t>
  </si>
  <si>
    <t>muliadihelen@gmail.com</t>
  </si>
  <si>
    <t>081278901978</t>
  </si>
  <si>
    <t>priyoarifsadewo@gmail.com</t>
  </si>
  <si>
    <t>081213017787</t>
  </si>
  <si>
    <t>hakim.attigholy@gmail.com</t>
  </si>
  <si>
    <t>081335552566</t>
  </si>
  <si>
    <t>tjahjoarianto@gmail.com</t>
  </si>
  <si>
    <t>08567357706</t>
  </si>
  <si>
    <t>yofrifh@gmail.com</t>
  </si>
  <si>
    <t>085691316834</t>
  </si>
  <si>
    <t>agnesyani.79@gmail.com</t>
  </si>
  <si>
    <t>08128535421</t>
  </si>
  <si>
    <t>sgt.geo@gmail.com</t>
  </si>
  <si>
    <t>0861307875</t>
  </si>
  <si>
    <t>vebrianka.eksternal@gmail.com</t>
  </si>
  <si>
    <t>082284001473</t>
  </si>
  <si>
    <t>rifkimuhammadd67@gmail.com</t>
  </si>
  <si>
    <t>082387387167</t>
  </si>
  <si>
    <t>satyo.r@gmail.com</t>
  </si>
  <si>
    <t>08157911986</t>
  </si>
  <si>
    <t>aldipayjohn@gmail.com</t>
  </si>
  <si>
    <t>081254973730</t>
  </si>
  <si>
    <t>ary.sucaya@gmail.com</t>
  </si>
  <si>
    <t>0811868633</t>
  </si>
  <si>
    <t>Renggo Lawe</t>
  </si>
  <si>
    <t>iman.sadesmesli@big.go.id</t>
  </si>
  <si>
    <t>081362309209</t>
  </si>
  <si>
    <t>baguz.waskito@gmail.com</t>
  </si>
  <si>
    <t>081227320010</t>
  </si>
  <si>
    <t>pradapa2014@gmail.com</t>
  </si>
  <si>
    <t>085293016951</t>
  </si>
  <si>
    <t>roeslely.wandasari@gmail.com</t>
  </si>
  <si>
    <t>087864404376</t>
  </si>
  <si>
    <t>nurcahyoadi00@gmail.com</t>
  </si>
  <si>
    <t>085726303609</t>
  </si>
  <si>
    <t>abdullahbinabad39@gmail.com</t>
  </si>
  <si>
    <t>087731375500</t>
  </si>
  <si>
    <t>fritofrm@yahoo.co.id</t>
  </si>
  <si>
    <t>08159556518</t>
  </si>
  <si>
    <t>ariefsyaif69@gmail.com</t>
  </si>
  <si>
    <t>081392055689</t>
  </si>
  <si>
    <t>hendrowi84@gmail.com</t>
  </si>
  <si>
    <t>088226690888</t>
  </si>
  <si>
    <t>retnoeka99@gmail.com</t>
  </si>
  <si>
    <t>082234460963</t>
  </si>
  <si>
    <t xml:space="preserve">Wellyspirits@gmail.com </t>
  </si>
  <si>
    <t>081290901959</t>
  </si>
  <si>
    <t>yasinta.wongasare77@gmail.com</t>
  </si>
  <si>
    <t>085337310047</t>
  </si>
  <si>
    <t>ARIS SRI MULYANTO</t>
  </si>
  <si>
    <t>arismulyato750617@gmail.com</t>
  </si>
  <si>
    <t>widiyanto.agus@gmail.com</t>
  </si>
  <si>
    <t>0811183889</t>
  </si>
  <si>
    <t>mudjijana08@gmail.com</t>
  </si>
  <si>
    <t>081289335034</t>
  </si>
  <si>
    <t>sanpam19@gmail.com</t>
  </si>
  <si>
    <t>081568479160</t>
  </si>
  <si>
    <t>ugm_bernard@yahoo.com.au</t>
  </si>
  <si>
    <t>081392562930</t>
  </si>
  <si>
    <t>jomicut@gmail.com</t>
  </si>
  <si>
    <t>081936744759</t>
  </si>
  <si>
    <t>nn.triana85@gmail.com</t>
  </si>
  <si>
    <t>082282693114</t>
  </si>
  <si>
    <t>herrysupriyanto000@gmail.com</t>
  </si>
  <si>
    <t>082250576907</t>
  </si>
  <si>
    <t>andy721964@gmail.com</t>
  </si>
  <si>
    <t>08127400293</t>
  </si>
  <si>
    <t>edi.sukoco@mail.ugm.ac.id</t>
  </si>
  <si>
    <t>081349525856</t>
  </si>
  <si>
    <t>yosef.dwi64@gmail.com</t>
  </si>
  <si>
    <t>081285707076</t>
  </si>
  <si>
    <t>Cahyowibowo@mail.ugm.ac.id</t>
  </si>
  <si>
    <t>085281137603</t>
  </si>
  <si>
    <t>jmaipura@gmail.com</t>
  </si>
  <si>
    <t>085326913119</t>
  </si>
  <si>
    <t>ikets64@gmail.com</t>
  </si>
  <si>
    <t>081280318848</t>
  </si>
  <si>
    <t>teguhhartono2789@gmail.com</t>
  </si>
  <si>
    <t>081392830168</t>
  </si>
  <si>
    <t>lesmana.jauharie@gmail.com</t>
  </si>
  <si>
    <t>081227201869</t>
  </si>
  <si>
    <t>afridonipradipta46@gmail.com</t>
  </si>
  <si>
    <t>081250261572</t>
  </si>
  <si>
    <t>listiyofitri@gmail.com</t>
  </si>
  <si>
    <t>081268601615</t>
  </si>
  <si>
    <t>verbhakov@gmail.com</t>
  </si>
  <si>
    <t>085693518343</t>
  </si>
  <si>
    <t>farryhandika.n79@gmail.com</t>
  </si>
  <si>
    <t>082159443183</t>
  </si>
  <si>
    <t>Fery Aditya Kusuma</t>
  </si>
  <si>
    <t>ferryjuve1897@gmail.com</t>
  </si>
  <si>
    <t>082341111828</t>
  </si>
  <si>
    <t>ali.nor@big.go.id</t>
  </si>
  <si>
    <t>081282137300</t>
  </si>
  <si>
    <t>Yuni catur utami</t>
  </si>
  <si>
    <t>yunicatur2018@gmail.com</t>
  </si>
  <si>
    <t>081328118046</t>
  </si>
  <si>
    <t>ANTONIUS RADITYA SENO AJI</t>
  </si>
  <si>
    <t>radityaaji24@gmail.com</t>
  </si>
  <si>
    <t>0818910702</t>
  </si>
  <si>
    <t>kusumo31@gmail.com</t>
  </si>
  <si>
    <t>085647179375</t>
  </si>
  <si>
    <t>afpinnew@gmail.com</t>
  </si>
  <si>
    <t>087722052226</t>
  </si>
  <si>
    <t>mundirgombong@gmail.com</t>
  </si>
  <si>
    <t>08129352991</t>
  </si>
  <si>
    <t>hubungiharir@gmail.com</t>
  </si>
  <si>
    <t>082331826341</t>
  </si>
  <si>
    <t>rocky.xyz@yahoo.com</t>
  </si>
  <si>
    <t>081285238024</t>
  </si>
  <si>
    <t>dahlina.nhw@gmail.com</t>
  </si>
  <si>
    <t>081364490006</t>
  </si>
  <si>
    <t>dadiek61@gmail.com</t>
  </si>
  <si>
    <t>082338257161</t>
  </si>
  <si>
    <t>farhanabiyyu@mail.ugm.ac.id</t>
  </si>
  <si>
    <t>089613813000</t>
  </si>
  <si>
    <t>rioandip2011@gmail.com</t>
  </si>
  <si>
    <t>081215896735</t>
  </si>
  <si>
    <t>ma.rafisamudra@gmail.com</t>
  </si>
  <si>
    <t>085886054066</t>
  </si>
  <si>
    <t>bramudyara@gmail.com</t>
  </si>
  <si>
    <t>089604249822</t>
  </si>
  <si>
    <t>dionysius.swe2003@mail.ugm.ac.id</t>
  </si>
  <si>
    <t>085100987939</t>
  </si>
  <si>
    <t>nayunda.ichda.malikul.chusna@mail.ugm.ac.id</t>
  </si>
  <si>
    <t>081332621681</t>
  </si>
  <si>
    <t>biasrambu@gmail.com</t>
  </si>
  <si>
    <t>085200420304</t>
  </si>
  <si>
    <t>royfikrian01@gmail.com</t>
  </si>
  <si>
    <t>089666795166</t>
  </si>
  <si>
    <t>putri.ainul.hamdi@mail.ugm.ac.id</t>
  </si>
  <si>
    <t>082284157505</t>
  </si>
  <si>
    <t>fahrudinar.rosyid.muhammad@mail.ugm.ac.id</t>
  </si>
  <si>
    <t>082232217278</t>
  </si>
  <si>
    <t>wibigunawans@gmail.com</t>
  </si>
  <si>
    <t>087788088012</t>
  </si>
  <si>
    <t>alkindy.ka@gmail.com</t>
  </si>
  <si>
    <t>0175845707</t>
  </si>
  <si>
    <t>syamnugraha@gmail.com</t>
  </si>
  <si>
    <t>085715146669</t>
  </si>
  <si>
    <t>yudhonoprakoso@hotmail.com</t>
  </si>
  <si>
    <t>081280103624</t>
  </si>
  <si>
    <t>lidya.antik20@gmail.com</t>
  </si>
  <si>
    <t>081239932017</t>
  </si>
  <si>
    <t>krishna.dut2002@mail.ugm.ac.id</t>
  </si>
  <si>
    <t>0895387476449</t>
  </si>
  <si>
    <t>ensiprabowo@gmail.com</t>
  </si>
  <si>
    <t>087838186177</t>
  </si>
  <si>
    <t>sunaruny@gmail.com</t>
  </si>
  <si>
    <t>082133421472</t>
  </si>
  <si>
    <t>mhanafi_mgi@yahoo.co.id</t>
  </si>
  <si>
    <t>08164201564</t>
  </si>
  <si>
    <t>naila.nabila.zulfah@mail.ugm.ac.id</t>
  </si>
  <si>
    <t>085747363021</t>
  </si>
  <si>
    <t>mestika.intan@gmail.com</t>
  </si>
  <si>
    <t>081234560474</t>
  </si>
  <si>
    <t>dyahdika14@gmail.com</t>
  </si>
  <si>
    <t>082292181314</t>
  </si>
  <si>
    <t>bnurjaka@gmail.com</t>
  </si>
  <si>
    <t>081392434879</t>
  </si>
  <si>
    <t>elya.margaretha@gmail.com</t>
  </si>
  <si>
    <t>081392296108</t>
  </si>
  <si>
    <t>naflah.khansa.imtinan@mail.ugm.ac.id</t>
  </si>
  <si>
    <t>081215769957</t>
  </si>
  <si>
    <t>igwbudis@yahoo.com</t>
  </si>
  <si>
    <t>0811899588</t>
  </si>
  <si>
    <t>hani.nikmah1103@mail.ugm.ac.id</t>
  </si>
  <si>
    <t>087834008816</t>
  </si>
  <si>
    <t>reddeo88@gmail.com</t>
  </si>
  <si>
    <t>08129814525</t>
  </si>
  <si>
    <t>jopasti213@gmail.com</t>
  </si>
  <si>
    <t>08122715280</t>
  </si>
  <si>
    <t>rifqi.efiriha@yahoo.com</t>
  </si>
  <si>
    <t>087839706627</t>
  </si>
  <si>
    <t>henz.febriawan@gmail.com</t>
  </si>
  <si>
    <t>081319894254</t>
  </si>
  <si>
    <t>anggradarmata@gmail.com</t>
  </si>
  <si>
    <t>085729864662</t>
  </si>
  <si>
    <t>joko suyanto</t>
  </si>
  <si>
    <t>joko_suyanto1960@yahoo.com</t>
  </si>
  <si>
    <t>082145479626</t>
  </si>
  <si>
    <t>Ciptoir123@gmail.com</t>
  </si>
  <si>
    <t>081225688690</t>
  </si>
  <si>
    <t>senoparseno@gmail.com</t>
  </si>
  <si>
    <t>zozax_grs@yahoo.com</t>
  </si>
  <si>
    <t>081227722979</t>
  </si>
  <si>
    <t>arindra.wening.safira@mail.ugm.ac.id</t>
  </si>
  <si>
    <t>081238221718</t>
  </si>
  <si>
    <t>danarhadisuseno@gmail</t>
  </si>
  <si>
    <t>081324030199</t>
  </si>
  <si>
    <t>f.aristalindra@gmail.com</t>
  </si>
  <si>
    <t>082245368471</t>
  </si>
  <si>
    <t>endah2001geodesi@gmail.com</t>
  </si>
  <si>
    <t>085725788514</t>
  </si>
  <si>
    <t>prihantono04@gmail.com</t>
  </si>
  <si>
    <t>08122629201</t>
  </si>
  <si>
    <t>supraz1974@gmail.com</t>
  </si>
  <si>
    <t>081316053573</t>
  </si>
  <si>
    <t>niken.sulistya249@gmail.com</t>
  </si>
  <si>
    <t>088700026228</t>
  </si>
  <si>
    <t>agusdwi.ab1546se@gmail.com</t>
  </si>
  <si>
    <t>0811506886</t>
  </si>
  <si>
    <t>azizulizza1990@gmail.com</t>
  </si>
  <si>
    <t>081325944894</t>
  </si>
  <si>
    <t xml:space="preserve">tritristiaji@gmail.comt </t>
  </si>
  <si>
    <t>0811857025</t>
  </si>
  <si>
    <t>azam.muhammady@gmail.com</t>
  </si>
  <si>
    <t>085214430689</t>
  </si>
  <si>
    <t>teguhmars@yahoo.com</t>
  </si>
  <si>
    <t>087730326228</t>
  </si>
  <si>
    <t>thomas.ab.prasetya@gmail.com</t>
  </si>
  <si>
    <t>081253900032</t>
  </si>
  <si>
    <t>suhada535@gmail.com</t>
  </si>
  <si>
    <t>0811251367</t>
  </si>
  <si>
    <t>adisusilo137@gmail.com</t>
  </si>
  <si>
    <t>085325377666</t>
  </si>
  <si>
    <t>nurabriansyah@gmail.com</t>
  </si>
  <si>
    <t>085342152038</t>
  </si>
  <si>
    <t>fn.adi80@gmail.com</t>
  </si>
  <si>
    <t>081282226259</t>
  </si>
  <si>
    <t>fauzi.arsyad@gmail.com</t>
  </si>
  <si>
    <t>085333338950</t>
  </si>
  <si>
    <t>yudharachmat55@gmail.com</t>
  </si>
  <si>
    <t>082152257924</t>
  </si>
  <si>
    <t>dnuryanto95@gmail.com</t>
  </si>
  <si>
    <t>08115419430</t>
  </si>
  <si>
    <t>wahyu_sutarto@rocketmail.com</t>
  </si>
  <si>
    <t>081228232323</t>
  </si>
  <si>
    <t>indrasujono.is@gmail.com</t>
  </si>
  <si>
    <t>0811716616</t>
  </si>
  <si>
    <t>Yoestiadi1@gmail.com</t>
  </si>
  <si>
    <t>081514007066</t>
  </si>
  <si>
    <t>afradon aditya setyawan</t>
  </si>
  <si>
    <t>afradon.aditya@gmail.com</t>
  </si>
  <si>
    <t>082112286587</t>
  </si>
  <si>
    <t>arigeod@gmail.com</t>
  </si>
  <si>
    <t>0818279254</t>
  </si>
  <si>
    <t>vitomursa@gmail.com</t>
  </si>
  <si>
    <t>08111719186</t>
  </si>
  <si>
    <t>Ita.dkisworini@gmail.com</t>
  </si>
  <si>
    <t>081328436569</t>
  </si>
  <si>
    <t>sanityasarifadhila@gmail.com</t>
  </si>
  <si>
    <t>081280650185</t>
  </si>
  <si>
    <t>Mahmud Singke</t>
  </si>
  <si>
    <t>daengmute@gmail.com</t>
  </si>
  <si>
    <t>085240156606</t>
  </si>
  <si>
    <t>daisywin.wina@gmail.com</t>
  </si>
  <si>
    <t>085642218842</t>
  </si>
  <si>
    <t>hartono. bambang@gmail.com</t>
  </si>
  <si>
    <t>08161927355</t>
  </si>
  <si>
    <t>Yasir agus Hartanto</t>
  </si>
  <si>
    <t>yasiragus91@gmail.com</t>
  </si>
  <si>
    <t>087839880416</t>
  </si>
  <si>
    <t>Resturesturestu@gmail.com</t>
  </si>
  <si>
    <t>082316842365</t>
  </si>
  <si>
    <t>frastiwiwidya@mail.ugm.ac.id</t>
  </si>
  <si>
    <t>081393602330</t>
  </si>
  <si>
    <t>yulianing09@gmail.com</t>
  </si>
  <si>
    <t>081319760001</t>
  </si>
  <si>
    <t>gedewidana86@yahoo.com</t>
  </si>
  <si>
    <t>082221291124</t>
  </si>
  <si>
    <t>whendro06@gmail.com</t>
  </si>
  <si>
    <t>085241093377</t>
  </si>
  <si>
    <t>dwi.purnasari@big.go.id</t>
  </si>
  <si>
    <t>085743434035</t>
  </si>
  <si>
    <t>muktifatimah@gmail.com</t>
  </si>
  <si>
    <t>085727718751</t>
  </si>
  <si>
    <t>Ari wicaksono</t>
  </si>
  <si>
    <t>ariwicaksono21@gmail.com</t>
  </si>
  <si>
    <t>082298399743</t>
  </si>
  <si>
    <t>Sang putu indra gunawan</t>
  </si>
  <si>
    <t>sangptindragunawan@gmail.com</t>
  </si>
  <si>
    <t>081805411357</t>
  </si>
  <si>
    <t>naviakaviati@gmail.com</t>
  </si>
  <si>
    <t>0816688010</t>
  </si>
  <si>
    <t>Sunaryoadi66@gmail.com</t>
  </si>
  <si>
    <t>08127173246</t>
  </si>
  <si>
    <t>Gayatri Yugeria</t>
  </si>
  <si>
    <t>Gayatri.ymj@gmail.com</t>
  </si>
  <si>
    <t>08158830713</t>
  </si>
  <si>
    <t>bagas.tria@gmail.com</t>
  </si>
  <si>
    <t>+6281383093620</t>
  </si>
  <si>
    <t>Dony setiawan septiono</t>
  </si>
  <si>
    <t>donysetiawanseptiono@gmail.com</t>
  </si>
  <si>
    <t>08129963994</t>
  </si>
  <si>
    <t>Dea Deinda Putri</t>
  </si>
  <si>
    <t>deadeinda02@mail.ugm.ac.id</t>
  </si>
  <si>
    <t>085325604546</t>
  </si>
  <si>
    <t>Ika Shahira</t>
  </si>
  <si>
    <t>ika.shahira2908@gmail.com</t>
  </si>
  <si>
    <t>085155107099</t>
  </si>
  <si>
    <t>ghiffari1421@gmail.com</t>
  </si>
  <si>
    <t>085740280424</t>
  </si>
  <si>
    <t>kris.harmoko@gmail.com</t>
  </si>
  <si>
    <t>081285658401</t>
  </si>
  <si>
    <t>prabasultan@mail.ugm.ac.id</t>
  </si>
  <si>
    <t>08988829960</t>
  </si>
  <si>
    <t>Alwan Rafif T.B.</t>
  </si>
  <si>
    <t>alwanrafif1114@gmail.com</t>
  </si>
  <si>
    <t>089671752296</t>
  </si>
  <si>
    <t>Difani Ghina Alya Gumilang</t>
  </si>
  <si>
    <t>difanigumilang26@gmail.com</t>
  </si>
  <si>
    <t>085887348933</t>
  </si>
  <si>
    <t>nisrinafirdausi@mail.ugm.ac.id</t>
  </si>
  <si>
    <t>081391544432</t>
  </si>
  <si>
    <t>nanda.aragani.putra@mail.ugm.ac.id</t>
  </si>
  <si>
    <t>082135653575</t>
  </si>
  <si>
    <t>asha.d@mail.ugm.ac.id</t>
  </si>
  <si>
    <t>0895605920275</t>
  </si>
  <si>
    <t>adindawkd@gmail.com</t>
  </si>
  <si>
    <t>08985312855</t>
  </si>
  <si>
    <t>Indah Fitriyany</t>
  </si>
  <si>
    <t>indahfitriyaa11@gmail.com</t>
  </si>
  <si>
    <t>081390578864</t>
  </si>
  <si>
    <t>gregoriusbaskara16@gmail.com</t>
  </si>
  <si>
    <t>081911127010</t>
  </si>
  <si>
    <t>sheva.4r@gmail.com</t>
  </si>
  <si>
    <t>082237405546</t>
  </si>
  <si>
    <t>masguna97@yahoo.com</t>
  </si>
  <si>
    <t>085246407535</t>
  </si>
  <si>
    <t>Lisa Dwi Saryani</t>
  </si>
  <si>
    <t>lisa.dwi.saryani@mail.ugm.ac.id</t>
  </si>
  <si>
    <t>081567639636</t>
  </si>
  <si>
    <t>susan.murwanto@gmail.com</t>
  </si>
  <si>
    <t>081281664652</t>
  </si>
  <si>
    <t>wsawitry2778@gmail.com</t>
  </si>
  <si>
    <t>08194104813</t>
  </si>
  <si>
    <t>rastika.widiastuti@gmail.com</t>
  </si>
  <si>
    <t>082226206670</t>
  </si>
  <si>
    <t>muttaqindini@gmail.com</t>
  </si>
  <si>
    <t>082221379038</t>
  </si>
  <si>
    <t>affero.abyan@gmail.com</t>
  </si>
  <si>
    <t>087723479430</t>
  </si>
  <si>
    <t>naveel.mubarok@gmail.com</t>
  </si>
  <si>
    <t>085641679665</t>
  </si>
  <si>
    <t>jonathanedward28@gmail.com</t>
  </si>
  <si>
    <t>085866366631</t>
  </si>
  <si>
    <t>sugenggeidet82@gmail.com</t>
  </si>
  <si>
    <t>satriaarya6661@gmail.com</t>
  </si>
  <si>
    <t>085235776625</t>
  </si>
  <si>
    <t>GH anto</t>
  </si>
  <si>
    <t>geomatica321@gmail.com</t>
  </si>
  <si>
    <t>0811193440</t>
  </si>
  <si>
    <t>antoniushu@yahoo.com</t>
  </si>
  <si>
    <t>0811331011</t>
  </si>
  <si>
    <t>Abdul.hafish@gmail.com</t>
  </si>
  <si>
    <t>082284112565</t>
  </si>
  <si>
    <t xml:space="preserve">Ika Shahira </t>
  </si>
  <si>
    <t>muhammadodi12@gmail.com</t>
  </si>
  <si>
    <t>081615359405</t>
  </si>
  <si>
    <t xml:space="preserve">infraswil.bappedasit@gmail.com </t>
  </si>
  <si>
    <t>085232269338</t>
  </si>
  <si>
    <t>082156669194</t>
  </si>
  <si>
    <t>fredyrizal01@gmail.com</t>
  </si>
  <si>
    <t>087733934315</t>
  </si>
  <si>
    <t>bf.wiedya@gmail.com</t>
  </si>
  <si>
    <t>081317441882</t>
  </si>
  <si>
    <t>ivanbusthomi@gmail.com</t>
  </si>
  <si>
    <t>085339525252</t>
  </si>
  <si>
    <t>Afdoni.st@gmail.com</t>
  </si>
  <si>
    <t>rositsetiawan@gmail.com</t>
  </si>
  <si>
    <t>085642417007</t>
  </si>
  <si>
    <t>Cheicylia</t>
  </si>
  <si>
    <t>cheicylgh@gmail.com</t>
  </si>
  <si>
    <t>088210075649</t>
  </si>
  <si>
    <t>nillafauzi@gmail.com</t>
  </si>
  <si>
    <t>081326609822</t>
  </si>
  <si>
    <t>shintapuspam43@gmail.com</t>
  </si>
  <si>
    <t>088802577201</t>
  </si>
  <si>
    <t>novipristianti@gmail.com</t>
  </si>
  <si>
    <t>082299115943</t>
  </si>
  <si>
    <t>arief.uju@gmail.com</t>
  </si>
  <si>
    <t>087889113970</t>
  </si>
  <si>
    <t>arisafiq3@gmail.com</t>
  </si>
  <si>
    <t>0816684779</t>
  </si>
  <si>
    <t>imamssubekti0014@gmail.com</t>
  </si>
  <si>
    <t>08157910347</t>
  </si>
  <si>
    <t>Sugianto Tjhie</t>
  </si>
  <si>
    <t>tjhie.sugianto@gmail.com</t>
  </si>
  <si>
    <t>08111335558</t>
  </si>
  <si>
    <t xml:space="preserve">sosmedhalim@gmail.com </t>
  </si>
  <si>
    <t>Prasbow@gmail.com</t>
  </si>
  <si>
    <t>081213860009</t>
  </si>
  <si>
    <t>siska.ria7@gmail.com</t>
  </si>
  <si>
    <t>081367014860</t>
  </si>
  <si>
    <t>Phisca.pratama@gmail.com</t>
  </si>
  <si>
    <t>085643525566</t>
  </si>
  <si>
    <t>2121adityadimas@gmail.com</t>
  </si>
  <si>
    <t>08121572121</t>
  </si>
  <si>
    <t>frohmatulloh@gmail.com</t>
  </si>
  <si>
    <t>083870024576</t>
  </si>
  <si>
    <t>Noviyanto purnomohadi</t>
  </si>
  <si>
    <t>noviyanto1811@gmail.com</t>
  </si>
  <si>
    <t>087836050009</t>
  </si>
  <si>
    <t>masri.limart@gmail.com</t>
  </si>
  <si>
    <t>082171990099</t>
  </si>
  <si>
    <t>windiarto64@gmail.com</t>
  </si>
  <si>
    <t>085290589363</t>
  </si>
  <si>
    <t>vernikasilviana@mail.ugm.ac.id</t>
  </si>
  <si>
    <t>082220870552</t>
  </si>
  <si>
    <t>yulietaaji@gmail.com</t>
  </si>
  <si>
    <t>081352710395</t>
  </si>
  <si>
    <t xml:space="preserve">ussisaannisari@yahoo.com </t>
  </si>
  <si>
    <t>085223724552</t>
  </si>
  <si>
    <t>listyowatititis@gmail.com</t>
  </si>
  <si>
    <t>082324908571</t>
  </si>
  <si>
    <t>Winda.kurniawati92@gmail.com</t>
  </si>
  <si>
    <t>081231158473</t>
  </si>
  <si>
    <t>olybert21dabutar@gmail.com</t>
  </si>
  <si>
    <t>081396345581</t>
  </si>
  <si>
    <t>abayu.wicaksono@gmail.com</t>
  </si>
  <si>
    <t>0474651670‬</t>
  </si>
  <si>
    <t>harysudiarto88@gmail.com</t>
  </si>
  <si>
    <t>081329948629</t>
  </si>
  <si>
    <t>indrapriatna1405@gmail.com</t>
  </si>
  <si>
    <t>0811816541</t>
  </si>
  <si>
    <t>putrirut8@gmail.com</t>
  </si>
  <si>
    <t>088232774663</t>
  </si>
  <si>
    <t>perhiasandunia954@gmail.com</t>
  </si>
  <si>
    <t>0818083255505</t>
  </si>
  <si>
    <t>Parjiyanto</t>
  </si>
  <si>
    <t>parjiyanto@hydrocore.co.id</t>
  </si>
  <si>
    <t>081280530545</t>
  </si>
  <si>
    <t>bilal.maruf@ugm.ac.id</t>
  </si>
  <si>
    <t>081227680457</t>
  </si>
  <si>
    <t>Efendi Nugroho</t>
  </si>
  <si>
    <t>smurf2404@gmail.com</t>
  </si>
  <si>
    <t>0811502661</t>
  </si>
  <si>
    <t>isnawansbt@gmail.com</t>
  </si>
  <si>
    <t>08158339240</t>
  </si>
  <si>
    <t>Cintia Lirifa</t>
  </si>
  <si>
    <t>lirifaasmarani@gmail.com</t>
  </si>
  <si>
    <t>081228826259</t>
  </si>
  <si>
    <t>pavel.sihaloho@mail.ugm.ac.id</t>
  </si>
  <si>
    <t>pujiyantodm@gmail.com</t>
  </si>
  <si>
    <t>082114084188</t>
  </si>
  <si>
    <t>Binantoro71@gmail.com</t>
  </si>
  <si>
    <t>08161485523</t>
  </si>
  <si>
    <t>istarno</t>
  </si>
  <si>
    <t>istarno@ugm.ac.id</t>
  </si>
  <si>
    <t>08122700669</t>
  </si>
  <si>
    <t>ariseka67@yahoo.co.id</t>
  </si>
  <si>
    <t>081281957238</t>
  </si>
  <si>
    <t>Syahrastania Q E</t>
  </si>
  <si>
    <t>syahrastaniaertono@gmail.com</t>
  </si>
  <si>
    <t>081235547045</t>
  </si>
  <si>
    <t>Ali ibadurohman</t>
  </si>
  <si>
    <t>aliibadurohman91@gmail.com</t>
  </si>
  <si>
    <t>081911991858</t>
  </si>
  <si>
    <t>imam syaifudin</t>
  </si>
  <si>
    <t>imamsyaifudintgd@gmail.com</t>
  </si>
  <si>
    <t>085228012967</t>
  </si>
  <si>
    <t>fitri.viqa@gmail.com</t>
  </si>
  <si>
    <t>08122887209</t>
  </si>
  <si>
    <t>rachmanita1926@gmail.com</t>
  </si>
  <si>
    <t>085386719764</t>
  </si>
  <si>
    <t>mrezanto@gmail.com</t>
  </si>
  <si>
    <t>081945444447</t>
  </si>
  <si>
    <t>rofiiarbadi@gmail.com</t>
  </si>
  <si>
    <t>082314327649</t>
  </si>
  <si>
    <t>lulukhariyadi13@gmail.com</t>
  </si>
  <si>
    <t>08125438563</t>
  </si>
  <si>
    <t>amalia.sitirohmah@gmail.com</t>
  </si>
  <si>
    <t>085290325501</t>
  </si>
  <si>
    <t>eli.juniati@gmail.com</t>
  </si>
  <si>
    <t>085729506534</t>
  </si>
  <si>
    <t xml:space="preserve">Sugandi Nainggolan </t>
  </si>
  <si>
    <t>sugandi.nainggolan@gmail.com</t>
  </si>
  <si>
    <t>081229955647</t>
  </si>
  <si>
    <t>kurniawan.tulus95@gmail.com</t>
  </si>
  <si>
    <t>082138333650</t>
  </si>
  <si>
    <t>rahayuningsihtiti@gmail.com</t>
  </si>
  <si>
    <t>08123389044</t>
  </si>
  <si>
    <t>gia.adi.pramanda@gmail.com</t>
  </si>
  <si>
    <t>081293474909</t>
  </si>
  <si>
    <t>sukmayogiswara08@gmail.com</t>
  </si>
  <si>
    <t>081391070752</t>
  </si>
  <si>
    <t>Luluk hariyadi</t>
  </si>
  <si>
    <t>priyani.anita@gmail.com</t>
  </si>
  <si>
    <t>085287209556</t>
  </si>
  <si>
    <t>galendrajohanna@gmail.com</t>
  </si>
  <si>
    <t>081211079793</t>
  </si>
  <si>
    <t>nararya.sulistiyono@gmail.com</t>
  </si>
  <si>
    <t>081348363919</t>
  </si>
  <si>
    <t>sarikurniawati22@gmail.com</t>
  </si>
  <si>
    <t>085702466434</t>
  </si>
  <si>
    <t>tensa_n@yahoo.com</t>
  </si>
  <si>
    <t>08161105480</t>
  </si>
  <si>
    <t>ikakristinanoviyanti@gmail.com</t>
  </si>
  <si>
    <t>081329199980</t>
  </si>
  <si>
    <t>fatimahtriayu@gmail.com</t>
  </si>
  <si>
    <t>081240532219</t>
  </si>
  <si>
    <t>Widanarko</t>
  </si>
  <si>
    <t>Wida.danar@gmail.com</t>
  </si>
  <si>
    <t>081278224977</t>
  </si>
  <si>
    <t>anggunrahajeng@gmail.com</t>
  </si>
  <si>
    <t>085777917901</t>
  </si>
  <si>
    <t>2104.alvin@gmail.com</t>
  </si>
  <si>
    <t>089617772336</t>
  </si>
  <si>
    <t>arifprih@gmail.com</t>
  </si>
  <si>
    <t>085228083131</t>
  </si>
  <si>
    <t>titispratami4.00@gmail.com</t>
  </si>
  <si>
    <t>085786720183</t>
  </si>
  <si>
    <t>donorahmoko.dra@gmail.com</t>
  </si>
  <si>
    <t>082310202289</t>
  </si>
  <si>
    <t>immachristiana@gmail.com</t>
  </si>
  <si>
    <t>08112030651</t>
  </si>
  <si>
    <t>firda.n.a@mail.ugm.ac.id</t>
  </si>
  <si>
    <t>081236801050</t>
  </si>
  <si>
    <t>Teguhsulistian17@gmail.com</t>
  </si>
  <si>
    <t>081222635359</t>
  </si>
  <si>
    <t>ika.shahira2908@mail.ugm.ac.id</t>
  </si>
  <si>
    <t>arisdwi2020@mail.ugm.ac.id</t>
  </si>
  <si>
    <t>085878237425</t>
  </si>
  <si>
    <t>sutarto.mb@gmail.com</t>
  </si>
  <si>
    <t>085216856191</t>
  </si>
  <si>
    <t>arisrahardjo57@gmail.com</t>
  </si>
  <si>
    <t>082233854926</t>
  </si>
  <si>
    <t>Michael.tanoto@gmail.com</t>
  </si>
  <si>
    <t>082365230835</t>
  </si>
  <si>
    <t>arif.ptgws@gmail.com</t>
  </si>
  <si>
    <t>082110123296</t>
  </si>
  <si>
    <t>pasadinadwi02@mail.ugm.ac.id</t>
  </si>
  <si>
    <t>085870964731</t>
  </si>
  <si>
    <t>priyadiagus506@gmail.com</t>
  </si>
  <si>
    <t>08127190124</t>
  </si>
  <si>
    <t>Ademawardi@mail.ugm.ac.id</t>
  </si>
  <si>
    <t>082143400668</t>
  </si>
  <si>
    <t>b.yolanda28@gmail.com</t>
  </si>
  <si>
    <t>081390361719</t>
  </si>
  <si>
    <t>henny_magdalena@ft.unmul.ac.id</t>
  </si>
  <si>
    <t>082261564854</t>
  </si>
  <si>
    <t>nurfajriah.09@gmail.com</t>
  </si>
  <si>
    <t>081286879713</t>
  </si>
  <si>
    <t>veronikabpnri@gmail.com</t>
  </si>
  <si>
    <t>082166669681</t>
  </si>
  <si>
    <t>advent.cahya.a@gmail.com</t>
  </si>
  <si>
    <t>081214292208</t>
  </si>
  <si>
    <t>syarifbc@yahoo.co.id</t>
  </si>
  <si>
    <t>085246663905</t>
  </si>
  <si>
    <t>dewiwaas81@gmail.com</t>
  </si>
  <si>
    <t>08179419205</t>
  </si>
  <si>
    <t>Kurniawan R</t>
  </si>
  <si>
    <t>wanpocophone@gmail.com</t>
  </si>
  <si>
    <t>08214636562</t>
  </si>
  <si>
    <t>Adeliarahmah1993@gmail.com</t>
  </si>
  <si>
    <t>082225507465</t>
  </si>
  <si>
    <t>radohaloho30@gmail.com</t>
  </si>
  <si>
    <t>081280304007</t>
  </si>
  <si>
    <t>gitadellam@gmail.com</t>
  </si>
  <si>
    <t>085249143030</t>
  </si>
  <si>
    <t>Annisa Cameilia Nawangsari</t>
  </si>
  <si>
    <t>annisa.cameilia26@gmail.com</t>
  </si>
  <si>
    <t>085923337056</t>
  </si>
  <si>
    <t>Bayu Pamungkas</t>
  </si>
  <si>
    <t>bayupamungkaskg@gmail.com</t>
  </si>
  <si>
    <t>088215195064</t>
  </si>
  <si>
    <t>adji_ugm@yahoo.com</t>
  </si>
  <si>
    <t>081327471251</t>
  </si>
  <si>
    <t>wisnu.prabawa@gmail.com</t>
  </si>
  <si>
    <t>0811506172</t>
  </si>
  <si>
    <t>wafagp84@gmail.com</t>
  </si>
  <si>
    <t>081258690077</t>
  </si>
  <si>
    <t>Bayu.afdilla@gmail.com</t>
  </si>
  <si>
    <t>08568501486</t>
  </si>
  <si>
    <t>luthfi.g.barka@gmail.com</t>
  </si>
  <si>
    <t>082138315629</t>
  </si>
  <si>
    <t>emailkewildan@gmail.com</t>
  </si>
  <si>
    <t>085647072010</t>
  </si>
  <si>
    <t>febrianahidayati@gmail.com</t>
  </si>
  <si>
    <t>081310042281</t>
  </si>
  <si>
    <t>bambangadut@gmail.com</t>
  </si>
  <si>
    <t>085729367307</t>
  </si>
  <si>
    <t>razaqsukandar@gmail.com</t>
  </si>
  <si>
    <t>081288302010</t>
  </si>
  <si>
    <t>evan.b.p.1993@gmail.com</t>
  </si>
  <si>
    <t>081578152735</t>
  </si>
  <si>
    <t>buana.putra77@gmail.com</t>
  </si>
  <si>
    <t>085642025001</t>
  </si>
  <si>
    <t>Salmahanun2020@mail.ugm.ac.id</t>
  </si>
  <si>
    <t>081229857737</t>
  </si>
  <si>
    <t>fadzilahnurrizky@gmail.com</t>
  </si>
  <si>
    <t>082137425996</t>
  </si>
  <si>
    <t>dindaamar1998@gmail.com</t>
  </si>
  <si>
    <t>085231282380</t>
  </si>
  <si>
    <t>Gatot esti wijayanto</t>
  </si>
  <si>
    <t>gatot_esti@yahoo.co.id</t>
  </si>
  <si>
    <t>081242128915</t>
  </si>
  <si>
    <t>Elfirapanay5290@gmail.com</t>
  </si>
  <si>
    <t>082137841754</t>
  </si>
  <si>
    <t>berlianaadindap@gmail.com</t>
  </si>
  <si>
    <t>082125460820</t>
  </si>
  <si>
    <t>kristiawan.nugroho@gmail.com</t>
  </si>
  <si>
    <t>0133842241</t>
  </si>
  <si>
    <t>widastama angga permana</t>
  </si>
  <si>
    <t>anggapermana110691@gmail.com</t>
  </si>
  <si>
    <t>082137832800</t>
  </si>
  <si>
    <t>Aji Putra Arisyah Prayoga</t>
  </si>
  <si>
    <t>ajiprayoga29@gmail.com</t>
  </si>
  <si>
    <t>082137904250</t>
  </si>
  <si>
    <t>Rahmadikadandianto98@gmail.com</t>
  </si>
  <si>
    <t>089647393667</t>
  </si>
  <si>
    <t>Sudarman Harjasaputra</t>
  </si>
  <si>
    <t>sharjasaputra@gmail.com</t>
  </si>
  <si>
    <t>081297797767</t>
  </si>
  <si>
    <t>aqildonlot@gmail.com</t>
  </si>
  <si>
    <t>081285347187</t>
  </si>
  <si>
    <t>081311107597</t>
  </si>
  <si>
    <t>ambar_nh@yahoo.com</t>
  </si>
  <si>
    <t>081328006465</t>
  </si>
  <si>
    <t>Anisa Putri Ambiani</t>
  </si>
  <si>
    <t>anisaputri2020@mail.ugm.ac.id</t>
  </si>
  <si>
    <t>088227268672</t>
  </si>
  <si>
    <t>danimuhammad202@mail.ugm.ac.id</t>
  </si>
  <si>
    <t>085156344121</t>
  </si>
  <si>
    <t>lpjylpjy@gmail.com</t>
  </si>
  <si>
    <t>08175453632</t>
  </si>
  <si>
    <t>fatmanurida1@gmail.com</t>
  </si>
  <si>
    <t>082152239567</t>
  </si>
  <si>
    <t>rusdemuhamad@gmail.com</t>
  </si>
  <si>
    <t>082236462858</t>
  </si>
  <si>
    <t>damonpetersonialfiqi@gmail.com</t>
  </si>
  <si>
    <t>08989524024</t>
  </si>
  <si>
    <t>wiyono1980@gmail.com</t>
  </si>
  <si>
    <t>082119227107</t>
  </si>
  <si>
    <t>lantipsaputra32@gmail.com</t>
  </si>
  <si>
    <t>08884036905</t>
  </si>
  <si>
    <t>Rolinabobihoe@gmail.com</t>
  </si>
  <si>
    <t>085228222213</t>
  </si>
  <si>
    <t>Berliana Kharisma Putri</t>
  </si>
  <si>
    <t>berlianaputri247@gmail.com</t>
  </si>
  <si>
    <t>082243140152</t>
  </si>
  <si>
    <t>Isnaini Annuriah Mundakir</t>
  </si>
  <si>
    <t>isnaini.annuriahm@gmail.com</t>
  </si>
  <si>
    <t>082384424141</t>
  </si>
  <si>
    <t>David Emmanuel</t>
  </si>
  <si>
    <t>chrisyal9@gmail.com</t>
  </si>
  <si>
    <t>085877904439</t>
  </si>
  <si>
    <t>andriesbuntoro67@gmail.com</t>
  </si>
  <si>
    <t>08172181418</t>
  </si>
  <si>
    <t>hendrizaki@gmail.com</t>
  </si>
  <si>
    <t>081802711868</t>
  </si>
  <si>
    <t>diahk.nasution@gmail.com</t>
  </si>
  <si>
    <t>087738845449</t>
  </si>
  <si>
    <t>fajarudin.ahmad@yahoo.co.id</t>
  </si>
  <si>
    <t>081226853330</t>
  </si>
  <si>
    <t>Herdi.yuniawan@Gmail.com</t>
  </si>
  <si>
    <t>Ari Supriyadi</t>
  </si>
  <si>
    <t>ariimogiri@gmail.com</t>
  </si>
  <si>
    <t>089619783384</t>
  </si>
  <si>
    <t>putriazizah6795@gmail.com</t>
  </si>
  <si>
    <t>087805560907</t>
  </si>
  <si>
    <t>Farhan HP</t>
  </si>
  <si>
    <t>Farhan.zahra.fz@gmail.com</t>
  </si>
  <si>
    <t>08129269894</t>
  </si>
  <si>
    <t>ade.cdr@gmail.com</t>
  </si>
  <si>
    <t>081362999775</t>
  </si>
  <si>
    <t>n1c0.s3n14r@gmail.com</t>
  </si>
  <si>
    <t>082162225015</t>
  </si>
  <si>
    <t>wrx6656@gmail.com</t>
  </si>
  <si>
    <t>081256666543</t>
  </si>
  <si>
    <t>prayitnomulia96@gmail.com</t>
  </si>
  <si>
    <t>081392033090</t>
  </si>
  <si>
    <t>banggodo@fmi.com</t>
  </si>
  <si>
    <t>081311249727</t>
  </si>
  <si>
    <t>Satya Budi Ahmad</t>
  </si>
  <si>
    <t>satyabudiahmad08@gmail.com</t>
  </si>
  <si>
    <t>082182355335</t>
  </si>
  <si>
    <t>ctrardi@gmail.com</t>
  </si>
  <si>
    <t>081314132291</t>
  </si>
  <si>
    <t>Yan Septedyas</t>
  </si>
  <si>
    <t>septedyas1968@gmail.com</t>
  </si>
  <si>
    <t>0811290322</t>
  </si>
  <si>
    <t>sirairone99@gmail.com</t>
  </si>
  <si>
    <t>08119895283</t>
  </si>
  <si>
    <t>ninditashita@gmail.com</t>
  </si>
  <si>
    <t>087848884023</t>
  </si>
  <si>
    <t>first.ronald@gmail.com</t>
  </si>
  <si>
    <t>082197078985</t>
  </si>
  <si>
    <t>adita.kusuma@gmail.com</t>
  </si>
  <si>
    <t>085803626926</t>
  </si>
  <si>
    <t>Handriyanto</t>
  </si>
  <si>
    <t>handriyanto@gmail.com</t>
  </si>
  <si>
    <t>081327961484</t>
  </si>
  <si>
    <t>slamet.riswanto@gmail.com</t>
  </si>
  <si>
    <t>081904785915</t>
  </si>
  <si>
    <t>wsandirachman@gmail.com</t>
  </si>
  <si>
    <t>08114805227</t>
  </si>
  <si>
    <t>CHRISTANTO MICHAEL PANDAPOTAN NAINGGOLAN</t>
  </si>
  <si>
    <t>christantonainggolan@gmail.com</t>
  </si>
  <si>
    <t>085270220442</t>
  </si>
  <si>
    <t>bayu fibrianto</t>
  </si>
  <si>
    <t>fibrianto.bayu@gmail.com</t>
  </si>
  <si>
    <t>082125441247</t>
  </si>
  <si>
    <t>Agus hartanto</t>
  </si>
  <si>
    <t>AgusHar@gmail.com</t>
  </si>
  <si>
    <t>087700288872</t>
  </si>
  <si>
    <t>susenohardi@gmail.com</t>
  </si>
  <si>
    <t>081328507380</t>
  </si>
  <si>
    <t>fandi.riwanto@gmail.com</t>
  </si>
  <si>
    <t>081215637507</t>
  </si>
  <si>
    <t>ernakusumaerna@gmail.com</t>
  </si>
  <si>
    <t>081328799269</t>
  </si>
  <si>
    <t>afifudin804@gmail.com</t>
  </si>
  <si>
    <t>081334920808</t>
  </si>
  <si>
    <t>Dicky Caesar Muharawan</t>
  </si>
  <si>
    <t>Dicky.muharawan@gmail.com</t>
  </si>
  <si>
    <t>085228555000</t>
  </si>
  <si>
    <t>harnanto.ndik24@gmail.com</t>
  </si>
  <si>
    <t>082138265174</t>
  </si>
  <si>
    <t>Renaldy Aditya Putra Ramadhan</t>
  </si>
  <si>
    <t>renaldyramadhan944@gmail.com</t>
  </si>
  <si>
    <t>082226045998</t>
  </si>
  <si>
    <t>Widayati nawangsih</t>
  </si>
  <si>
    <t>sramadhanipr@gmail.com</t>
  </si>
  <si>
    <t>082227013575</t>
  </si>
  <si>
    <t>f4djat@gmail.com</t>
  </si>
  <si>
    <t>081373960000</t>
  </si>
  <si>
    <t>rizky.d.a@mail.ugm.ac.id</t>
  </si>
  <si>
    <t>082338207115</t>
  </si>
  <si>
    <t>Zferinanda@gmail.com</t>
  </si>
  <si>
    <t>082385868708</t>
  </si>
  <si>
    <t>arissetiyadi@yahoo.com</t>
  </si>
  <si>
    <t>081346327871</t>
  </si>
  <si>
    <t>4prijanto@gmail.com</t>
  </si>
  <si>
    <t>081578850057</t>
  </si>
  <si>
    <t>hkustono79@gmail.com</t>
  </si>
  <si>
    <t>08170706667</t>
  </si>
  <si>
    <t>fachryansori81@gmail.com</t>
  </si>
  <si>
    <t>081392030969</t>
  </si>
  <si>
    <t>MAHANDIKA LWN</t>
  </si>
  <si>
    <t>mahandika.lwn@gmail.com</t>
  </si>
  <si>
    <t>081330117699</t>
  </si>
  <si>
    <t>oka pratama</t>
  </si>
  <si>
    <t>theokapratama@gmail.com</t>
  </si>
  <si>
    <t>081245225758</t>
  </si>
  <si>
    <t>fanmoe@gmail.com</t>
  </si>
  <si>
    <t>082160291397</t>
  </si>
  <si>
    <t>merpatisurat2016@gmail.com</t>
  </si>
  <si>
    <t>081211531256</t>
  </si>
  <si>
    <t>tantos1022@gmail.com</t>
  </si>
  <si>
    <t>08174129514</t>
  </si>
  <si>
    <t>Satriabudiyono@gmail.com</t>
  </si>
  <si>
    <t>081393057555</t>
  </si>
  <si>
    <t>mrf181003@gmail.com</t>
  </si>
  <si>
    <t>087784176589</t>
  </si>
  <si>
    <t>adibmuhammad.am@gmail.com</t>
  </si>
  <si>
    <t>081937927004</t>
  </si>
  <si>
    <t>agus_ceub@yahoo.com</t>
  </si>
  <si>
    <t>08123382945</t>
  </si>
  <si>
    <t>biantara77@gmail.com</t>
  </si>
  <si>
    <t>081372236675</t>
  </si>
  <si>
    <t>085877532110</t>
  </si>
  <si>
    <t>081364492091</t>
  </si>
  <si>
    <t>ediwirawan85@gmail.com</t>
  </si>
  <si>
    <t>08122787905</t>
  </si>
  <si>
    <t>lukfi halim</t>
  </si>
  <si>
    <t>lukfihalim@gmail.com</t>
  </si>
  <si>
    <t>081310632990</t>
  </si>
  <si>
    <t>ira.one.mgl@gmail.com</t>
  </si>
  <si>
    <t>jungjungan_tobing@yahoo.co.id</t>
  </si>
  <si>
    <t>081251480204</t>
  </si>
  <si>
    <t>lillo.esdpu⁰@gmail.com</t>
  </si>
  <si>
    <t>085647521347</t>
  </si>
  <si>
    <t>Ryan Zulqifli</t>
  </si>
  <si>
    <t>ryanzulqifli622@mail.ugm.ac.id</t>
  </si>
  <si>
    <t>088293638268</t>
  </si>
  <si>
    <t>bayu nata</t>
  </si>
  <si>
    <t>bayunata009@gmail.com</t>
  </si>
  <si>
    <t>085801340402</t>
  </si>
  <si>
    <t>dian.sulaksono17@gmail.com</t>
  </si>
  <si>
    <t>082219211990</t>
  </si>
  <si>
    <t>faishalf014@gmail.com</t>
  </si>
  <si>
    <t>085778906720</t>
  </si>
  <si>
    <t>d.wahyuningrum2@gmail.com</t>
  </si>
  <si>
    <t>085786777408</t>
  </si>
  <si>
    <t>Sam ilham hartoko</t>
  </si>
  <si>
    <t>samilhamhartoko@gmail.com</t>
  </si>
  <si>
    <t>081386993635</t>
  </si>
  <si>
    <t>oktarinapurbawati@gmail.com</t>
  </si>
  <si>
    <t>082218490705</t>
  </si>
  <si>
    <t>Jany Danny Assa</t>
  </si>
  <si>
    <t>dentud@yahoo.com</t>
  </si>
  <si>
    <t>081356196969</t>
  </si>
  <si>
    <t xml:space="preserve">muhammad.naufal.jaladika@mail.ugm.ac.id </t>
  </si>
  <si>
    <t>082137735074</t>
  </si>
  <si>
    <t>Ariwfwicaksana.official@hmail.com</t>
  </si>
  <si>
    <t>081385967902</t>
  </si>
  <si>
    <t>meijum93@yahoo.com</t>
  </si>
  <si>
    <t>08128792040</t>
  </si>
  <si>
    <t>riapurnamaputri@gmail.com</t>
  </si>
  <si>
    <t>081297286196</t>
  </si>
  <si>
    <t>dede.wahyudi@yahoo.co.id</t>
  </si>
  <si>
    <t>082161702395</t>
  </si>
  <si>
    <t>Juliustobing21@gmail.com</t>
  </si>
  <si>
    <t>081376194708</t>
  </si>
  <si>
    <t>alnakharisma82@gmail.com</t>
  </si>
  <si>
    <t>08197575799</t>
  </si>
  <si>
    <t>julysmine@gmail.com</t>
  </si>
  <si>
    <t>087717441980</t>
  </si>
  <si>
    <t>hedolismo@gmail.com</t>
  </si>
  <si>
    <t>08115001414</t>
  </si>
  <si>
    <t>reny.octaviana81@gmail.com</t>
  </si>
  <si>
    <t>085891101801</t>
  </si>
  <si>
    <t>binawanindra@gmail.com</t>
  </si>
  <si>
    <t>081931795966</t>
  </si>
  <si>
    <t>endro.sigit03@gmail.com</t>
  </si>
  <si>
    <t>089622180992</t>
  </si>
  <si>
    <t>turnip.adysihol@gmail.com</t>
  </si>
  <si>
    <t>08116126928</t>
  </si>
  <si>
    <t>Column1</t>
  </si>
  <si>
    <t>Sudah</t>
  </si>
  <si>
    <t>Belum</t>
  </si>
  <si>
    <t>Muhammad Iqbal Taftazani</t>
  </si>
  <si>
    <t>Didit Eko Setiawan</t>
  </si>
  <si>
    <t>Edi Misael Nainggolan</t>
  </si>
  <si>
    <t>Wimbo Cahyono</t>
  </si>
  <si>
    <t>I Gusti Ngurah Sidharta Kenceng K</t>
  </si>
  <si>
    <t>Prapti Yudhani</t>
  </si>
  <si>
    <t>Trias Aditya Kurniawan Muhammad</t>
  </si>
  <si>
    <t>Ulfa Nuryati</t>
  </si>
  <si>
    <t>Wadhdhucha Imron Rosadi</t>
  </si>
  <si>
    <t>S. Halomoan Pakpahan</t>
  </si>
  <si>
    <t>Darul Ikhan Kholiq</t>
  </si>
  <si>
    <t>Mokhammad Zaim Nurhidayat</t>
  </si>
  <si>
    <t>M. Akta Jeli Maipura</t>
  </si>
  <si>
    <t>Julius Hamonangan Lumbatobing</t>
  </si>
  <si>
    <t>John Muryandhi Syahputra Zojak Girsang</t>
  </si>
  <si>
    <t>Joko Suyanto</t>
  </si>
  <si>
    <t>Y. Dwi Sigit Purnomo</t>
  </si>
  <si>
    <t>Detia Prenica Hydya</t>
  </si>
  <si>
    <t>Filipus Aristrianto Boim</t>
  </si>
  <si>
    <t>Irnovian M. Seribulan</t>
  </si>
  <si>
    <t>Paulus Saptono Hari Supriyadi</t>
  </si>
  <si>
    <t>Total</t>
  </si>
  <si>
    <t xml:space="preserve"> Angkatan</t>
  </si>
  <si>
    <t>a_trimartanto@yahoo.com</t>
  </si>
  <si>
    <t>a.akbar.idn@gmail.com</t>
  </si>
  <si>
    <t>a.tonapa@gmail.com</t>
  </si>
  <si>
    <t>aamgoin@gmail.com</t>
  </si>
  <si>
    <t>BLASIUS ANGGORO YUWONO</t>
  </si>
  <si>
    <t>aangku@yahoo.com</t>
  </si>
  <si>
    <t>abdurrohmanrizal25@gmail.com</t>
  </si>
  <si>
    <t>Achmad Bachtiar Firman</t>
  </si>
  <si>
    <t>achmadbfirman@gmail.com</t>
  </si>
  <si>
    <t>adelinegolda@yahoo.com</t>
  </si>
  <si>
    <t>adhi.geodesi@gmail.com</t>
  </si>
  <si>
    <t>adityayanp@gmail.com</t>
  </si>
  <si>
    <t>adnssurv@gmail.com</t>
  </si>
  <si>
    <t>adwiranty@gmail.com</t>
  </si>
  <si>
    <t>AFDEN MAHYEDA</t>
  </si>
  <si>
    <t>AGUNG PRASETYA</t>
  </si>
  <si>
    <t>agung.hmw@gmail.com</t>
  </si>
  <si>
    <t>agung.prastyo.202@gmail.com</t>
  </si>
  <si>
    <t>agung1mur@gmail.com</t>
  </si>
  <si>
    <t>agusantohartanto@yahoo.com</t>
  </si>
  <si>
    <t>agustomosuryo@gmail.com</t>
  </si>
  <si>
    <t>AISYIYAH DESTRI WIDYANI</t>
  </si>
  <si>
    <t>aisyiyahdestri@gmail.com</t>
  </si>
  <si>
    <t>ajeng arimiratna kripsiana</t>
  </si>
  <si>
    <t>ajengarimiratnak@gmail.com</t>
  </si>
  <si>
    <t>akram.prihanantya@gmail.com</t>
  </si>
  <si>
    <t>alifardy@gmail.com</t>
  </si>
  <si>
    <t>Mohammad Andhi Kurniawan</t>
  </si>
  <si>
    <t>andreypratamamurti@gmail.com</t>
  </si>
  <si>
    <t>ANDRI DARMANSYAH PUTRA PERDANA</t>
  </si>
  <si>
    <t>andriajisekendi@gmail.com</t>
  </si>
  <si>
    <t>angger.novi@elnusa.co.id</t>
  </si>
  <si>
    <t>anggoro073184@gmail.com</t>
  </si>
  <si>
    <t>anggun.pbr@gmail.com</t>
  </si>
  <si>
    <t>anjuliarini@gmail.com</t>
  </si>
  <si>
    <t>antin.yohana@gmail.com</t>
  </si>
  <si>
    <t>GH Anto</t>
  </si>
  <si>
    <t>anto@waindo.co.id</t>
  </si>
  <si>
    <t>antondwi.a@gmail.com</t>
  </si>
  <si>
    <t>anugke5@gmail.com</t>
  </si>
  <si>
    <t>ardhinov@gmail.com</t>
  </si>
  <si>
    <t>arianingsihida26779@gmail.com</t>
  </si>
  <si>
    <t>arieyulfa@fis.unp.ac.id</t>
  </si>
  <si>
    <t>Arisdiansyah Putra</t>
  </si>
  <si>
    <t>arisdiansyahputra@rocketmail.com</t>
  </si>
  <si>
    <t>ariwicaksono214@gmail.com</t>
  </si>
  <si>
    <t>arum.w.hastuti@gmail.com</t>
  </si>
  <si>
    <t>arutotravel@gmail.com</t>
  </si>
  <si>
    <t>aryatiw.bpn@gmail.com</t>
  </si>
  <si>
    <t>ASEP SLAMET MULYANA</t>
  </si>
  <si>
    <t>asetiawan.fsi@gmail.com</t>
  </si>
  <si>
    <t>ADITYA SIDIK WASKITO</t>
  </si>
  <si>
    <t>auditawidya95@gmail.com</t>
  </si>
  <si>
    <t>Wahyu sari sabekti</t>
  </si>
  <si>
    <t>Syamsu Bachtiar Laili Huda</t>
  </si>
  <si>
    <t>baguswijanrk@gmail.com</t>
  </si>
  <si>
    <t>BAMBANG PRASONGKO</t>
  </si>
  <si>
    <t>bayu.afdilla@gmail.com</t>
  </si>
  <si>
    <t>bayucakep@gmail.com</t>
  </si>
  <si>
    <t>bayutriyogo81@gmail.com</t>
  </si>
  <si>
    <t>bektitriyadi@gmail.com</t>
  </si>
  <si>
    <t>bintoro hagus warseto</t>
  </si>
  <si>
    <t>bintoro.hw@gmail.com</t>
  </si>
  <si>
    <t>bisma.jaja@big.go.id</t>
  </si>
  <si>
    <t>brilyanjati@pu.go.id</t>
  </si>
  <si>
    <t>budhiaprianti@gmail.com</t>
  </si>
  <si>
    <t>budi.parjanto@gmail.com</t>
  </si>
  <si>
    <t>burhanovic80@gmail.com</t>
  </si>
  <si>
    <t>burhansdq@gmail.com</t>
  </si>
  <si>
    <t>buyung.wahyu@waskita.co.id</t>
  </si>
  <si>
    <t>byuniars@gmail.com</t>
  </si>
  <si>
    <t>Catur aries rokhmana</t>
  </si>
  <si>
    <t>catur aries rokhmana</t>
  </si>
  <si>
    <t>christantonainggolan@gmail.con</t>
  </si>
  <si>
    <t>chuckdewi07@gmail.com</t>
  </si>
  <si>
    <t>cwidyatmoko@gmail.com</t>
  </si>
  <si>
    <t>d.parwanto@gmail.com</t>
  </si>
  <si>
    <t>danang_widi@yahoo.com</t>
  </si>
  <si>
    <t>danarhadisuseno@gmail.com</t>
  </si>
  <si>
    <t>darusalam021@gmail.com</t>
  </si>
  <si>
    <t>Dede wahyudi</t>
  </si>
  <si>
    <t>dedyagung@yahoo.com</t>
  </si>
  <si>
    <t>denni_pascasakti@yahoo.co.id</t>
  </si>
  <si>
    <t>dhaniaditya88@gmail.com</t>
  </si>
  <si>
    <t>dharuwedy@gmail.com</t>
  </si>
  <si>
    <t>dhegawihikan00@gmail.com</t>
  </si>
  <si>
    <t>dik_winarto@yahoo.com</t>
  </si>
  <si>
    <t>DIMAS AGUNG GHIFARI</t>
  </si>
  <si>
    <t>dimasagunk@gmail.com</t>
  </si>
  <si>
    <t>ditardyagharini@gmail.com</t>
  </si>
  <si>
    <t>diyahnovanurjanah@gmail.com</t>
  </si>
  <si>
    <t>diyas.s.rahman@gmail.com</t>
  </si>
  <si>
    <t>djaja.amanda@gmail.co.id</t>
  </si>
  <si>
    <t>Dominikus Rinto Adhi Wicaksono</t>
  </si>
  <si>
    <t>dominikus.rinto@gmail.com</t>
  </si>
  <si>
    <t>dovan.priliandika@gmail.com</t>
  </si>
  <si>
    <t>dpalupik@gmail.com</t>
  </si>
  <si>
    <t>drw.indonesia@yahoo.com</t>
  </si>
  <si>
    <t>DWI PURNASARI</t>
  </si>
  <si>
    <t>dwi.wahyuningrum@ymail.com</t>
  </si>
  <si>
    <t>Dwinarno wahyu jatmiko</t>
  </si>
  <si>
    <t>dwinarni.jatmiko@gmail.com</t>
  </si>
  <si>
    <t>DWIPA SUYANTA</t>
  </si>
  <si>
    <t>dwipa_kuta@yahoo.com</t>
  </si>
  <si>
    <t>dyera.manik@gmail.com</t>
  </si>
  <si>
    <t>echo.wibi@gmail.com</t>
  </si>
  <si>
    <t>edo.wijaya92@gmail.com</t>
  </si>
  <si>
    <t>edwint.tjahjadi@gmail.com</t>
  </si>
  <si>
    <t>eka.adhitya@gmail.com</t>
  </si>
  <si>
    <t>ekaekap13@gmail.com</t>
  </si>
  <si>
    <t>eko.susilo@kemenkeu.go.id</t>
  </si>
  <si>
    <t>ellanovalinda@gmail.com</t>
  </si>
  <si>
    <t>endridiyanto@gmail.com</t>
  </si>
  <si>
    <t>erlyna.nour@gmail.com</t>
  </si>
  <si>
    <t>Ferry Ferdinand Thomas</t>
  </si>
  <si>
    <t>f_f_thomas@yahoo.com</t>
  </si>
  <si>
    <t>faizkarmani.ltl@gmail.com</t>
  </si>
  <si>
    <t>fanihabibah@gmail.com</t>
  </si>
  <si>
    <t>fanikadovi@gmail.com</t>
  </si>
  <si>
    <t>farhan.zahra.fz@gmail.com</t>
  </si>
  <si>
    <t>farid.djailolo@gmail.com</t>
  </si>
  <si>
    <t>faridyuniar@gmail.com</t>
  </si>
  <si>
    <t>fariejdz@gmail.com</t>
  </si>
  <si>
    <t>FEBRIAN FITRYANIK SUSANTA</t>
  </si>
  <si>
    <t>febrian.fitryanik.s@ugm.ac.id</t>
  </si>
  <si>
    <t>FENNY TRI ADHISTY</t>
  </si>
  <si>
    <t>fennytriad10@gmail.com</t>
  </si>
  <si>
    <t>fikri.fattah.f@mail.ugm.ac.id</t>
  </si>
  <si>
    <t>fitrarochendi@hotmail.com</t>
  </si>
  <si>
    <t>fitria.laili.az@gmail.com</t>
  </si>
  <si>
    <t>YC. Fajar Nugroho Adi</t>
  </si>
  <si>
    <t>fransisca dwi agustina</t>
  </si>
  <si>
    <t>fransisca.dwi.a@mail.ugm.ac.id</t>
  </si>
  <si>
    <t>Godfrieds Yessup Aronggear</t>
  </si>
  <si>
    <t>fredgeo98@gmail.com</t>
  </si>
  <si>
    <t>fuadbw97@gmail.com</t>
  </si>
  <si>
    <t>gama.hirawan@yahoo.com</t>
  </si>
  <si>
    <t>gheaayunda19@gmail.com</t>
  </si>
  <si>
    <t>ghinakusuma7@gmail.com</t>
  </si>
  <si>
    <t>Ghurmuzan@gmail.com</t>
  </si>
  <si>
    <t>ginanjarihsan@gmail.com</t>
  </si>
  <si>
    <t>Gitadellam@gmail.com</t>
  </si>
  <si>
    <t>gustafmuhammad99@gmail.com</t>
  </si>
  <si>
    <t>gustomiarry@gmail.com</t>
  </si>
  <si>
    <t>Hadinengrat Nusantoro</t>
  </si>
  <si>
    <t>halim.wiranata@hutamakarya.com</t>
  </si>
  <si>
    <t>Han Gagas</t>
  </si>
  <si>
    <t>han.gagas@gmail.com</t>
  </si>
  <si>
    <t>handriyanto1303@gmai.com</t>
  </si>
  <si>
    <t>hapsari.rahmahdevi@gmail.com</t>
  </si>
  <si>
    <t>harvini@stpn.ac.id</t>
  </si>
  <si>
    <t>hdayatwahyu@gmail.com</t>
  </si>
  <si>
    <t>hendrawan.dwi06@gmail.com</t>
  </si>
  <si>
    <t>heripurwanto196876@gmail.com</t>
  </si>
  <si>
    <t>herry.supriyanto@mail.ugm.ac.id</t>
  </si>
  <si>
    <t>heruningtyasdp@gmail.com</t>
  </si>
  <si>
    <t>CICILIA HESTI WIDAYATI</t>
  </si>
  <si>
    <t>hmagdalena89@gmail.com</t>
  </si>
  <si>
    <t>ikhwan_tgd@yahoo.co.id</t>
  </si>
  <si>
    <t>ilhamanjar123@gmail.com</t>
  </si>
  <si>
    <t>inggit.gd06@gmail.com</t>
  </si>
  <si>
    <t>irfan.ammar.p@gmail.com</t>
  </si>
  <si>
    <t>irnovian@hotmail.com</t>
  </si>
  <si>
    <t>iskandar1905@gmail.com</t>
  </si>
  <si>
    <t>itoxnindijanto@gmail.com</t>
  </si>
  <si>
    <t>ivan.sandy97@gmail.com</t>
  </si>
  <si>
    <t>ivanmarcelino74@gmail.com</t>
  </si>
  <si>
    <t>iwan_stwn@yahoo.com</t>
  </si>
  <si>
    <t>iwan.nurhidayat@perhutani.co.id</t>
  </si>
  <si>
    <t>jatiwisnumurthy@gmail.com</t>
  </si>
  <si>
    <t>SURYO JATMIKO</t>
  </si>
  <si>
    <t>jeffry_simamora@yahoo.com</t>
  </si>
  <si>
    <t>jefri.180588@gmail.com</t>
  </si>
  <si>
    <t>jggeo1998@gmail.com</t>
  </si>
  <si>
    <t>johan.nirmana@gmail.com</t>
  </si>
  <si>
    <t>john.dpmunthe@bukitmakmur.com</t>
  </si>
  <si>
    <t>jokonova@ymail.com</t>
  </si>
  <si>
    <t>Jovid Florian</t>
  </si>
  <si>
    <t>jovidflorian@gmail.com</t>
  </si>
  <si>
    <t>Juang putra widyangga</t>
  </si>
  <si>
    <t>juangputra001@gmail.con</t>
  </si>
  <si>
    <t>jungjungantobing7@gmail.com</t>
  </si>
  <si>
    <t>Kemal Sabilla Rusdiantama</t>
  </si>
  <si>
    <t>kemal.sabilla@yahoo.com</t>
  </si>
  <si>
    <t>khairanizulfah@gmail.com</t>
  </si>
  <si>
    <t>khanzaalifta@gmail.com</t>
  </si>
  <si>
    <t>kholqiazam@gmail.com</t>
  </si>
  <si>
    <t>Khusnul35670@gmail.com</t>
  </si>
  <si>
    <t>kla_sik@yahoo.com</t>
  </si>
  <si>
    <t>krisnadipayana.p@gmail.com</t>
  </si>
  <si>
    <t>kuntoadji23@gmail.com</t>
  </si>
  <si>
    <t xml:space="preserve">Kusumastanti </t>
  </si>
  <si>
    <t>kusumo1966@gmail.com</t>
  </si>
  <si>
    <t>lambang.pjy@pu.go.id</t>
  </si>
  <si>
    <t>Tukidjan lekdin</t>
  </si>
  <si>
    <t>lekdin@gmail.com</t>
  </si>
  <si>
    <t>libria.sefitadewi@gmail.com</t>
  </si>
  <si>
    <t>LUSHANTI KUSUMASTUTI</t>
  </si>
  <si>
    <t>lushantikusumastuti@gmail.com</t>
  </si>
  <si>
    <t>m_ramli@yahoo.co.id</t>
  </si>
  <si>
    <t>m.fajarprasetyo88@gmail.com</t>
  </si>
  <si>
    <t>Wahyu Widiat Miko</t>
  </si>
  <si>
    <t>m1koracing@gmail.com</t>
  </si>
  <si>
    <t>maratun.sholihah07@gmail.com</t>
  </si>
  <si>
    <t>masrazie@gmail.com</t>
  </si>
  <si>
    <t>maulidafitri.ipit@gmail.com</t>
  </si>
  <si>
    <t>mega.handayani13@gmail.com</t>
  </si>
  <si>
    <t>megaandina99@mail.ugm.ac.id</t>
  </si>
  <si>
    <t>merlinda.norma@yahoo.com</t>
  </si>
  <si>
    <t>mf.yudistiraa@gmail.com</t>
  </si>
  <si>
    <t>muhammad irfan</t>
  </si>
  <si>
    <t>mhd.irfan12982@gmail.com</t>
  </si>
  <si>
    <t>mmasykur@gmail.com</t>
  </si>
  <si>
    <t xml:space="preserve">Moch Yusuf Sugeng Suryono </t>
  </si>
  <si>
    <t>mochyoesoefsugeng@gmail.com</t>
  </si>
  <si>
    <t>mulyadi.katiyo@gmail.com</t>
  </si>
  <si>
    <t>mumtaz.himawan@gmail.com</t>
  </si>
  <si>
    <t>musaviaeva@gmail.com</t>
  </si>
  <si>
    <t>Muslim Syamsuis Darwis, S.T., M.Sc</t>
  </si>
  <si>
    <t>muslim.syamsuis@gmail.com</t>
  </si>
  <si>
    <t>muttaqinus@yahoo.com</t>
  </si>
  <si>
    <t>zuriabangkit muazisanjaya</t>
  </si>
  <si>
    <t>nadya.oktaviani@gmail.com</t>
  </si>
  <si>
    <t>ENDAH KURNIATI</t>
  </si>
  <si>
    <t>NIKMA FISTA SAFRINA</t>
  </si>
  <si>
    <t>nikmasupermap@gmail.com</t>
  </si>
  <si>
    <t>nila.laiqa@gmail.com</t>
  </si>
  <si>
    <t>ninatinnurul@gmail.com</t>
  </si>
  <si>
    <t>nlarassita95@gmail.com</t>
  </si>
  <si>
    <t>noshicoayudya@gmail.com</t>
  </si>
  <si>
    <t>novianingrums30@gmail.com</t>
  </si>
  <si>
    <t>ntrihastuti2021@gmail.com</t>
  </si>
  <si>
    <t>Nugrohokuncoro58@gmail.com</t>
  </si>
  <si>
    <t>Nurhidayat agam</t>
  </si>
  <si>
    <t>nurhidayat.agam@gmail.com</t>
  </si>
  <si>
    <t>oktarina.purbawati@pu.go.id</t>
  </si>
  <si>
    <t>Nafsi putri noviasih</t>
  </si>
  <si>
    <t>pgantangdewantoro@gmail.com</t>
  </si>
  <si>
    <t>phisca.pratama@gmail.com</t>
  </si>
  <si>
    <t>pirmansah92@gmail.com</t>
  </si>
  <si>
    <t>prasetya1995@gmail.com</t>
  </si>
  <si>
    <t>Prastyo Bayu Nugroho, S.T.</t>
  </si>
  <si>
    <t>puspodwinugroho@gmail.com</t>
  </si>
  <si>
    <t>rachmat.hidayat13@mail.ugm.ac.id</t>
  </si>
  <si>
    <t>rahmadikadandianto98@gmail.com</t>
  </si>
  <si>
    <t>rahmat.adityanto@atrbpn.go.id</t>
  </si>
  <si>
    <t>rakhmat.aries@gmail.com</t>
  </si>
  <si>
    <t>RamadhaniAbdan22@gmail.com</t>
  </si>
  <si>
    <t>ratnasarahwati69@gmail.com</t>
  </si>
  <si>
    <t>Rendhy putra virizky</t>
  </si>
  <si>
    <t>restu.khoerul@gmail.com</t>
  </si>
  <si>
    <t>RETNA HANDAYANI</t>
  </si>
  <si>
    <t>retnahandayani.1103@gmail.com</t>
  </si>
  <si>
    <t>reza_rajwa@yahoo.co.id</t>
  </si>
  <si>
    <t>reza.ananda1992@gmail.com</t>
  </si>
  <si>
    <t>rifqi.efiariha@yahoo.com</t>
  </si>
  <si>
    <t>riki.nursetiyadi@gmail.com</t>
  </si>
  <si>
    <t>rinaldok80@gmail.com</t>
  </si>
  <si>
    <t>rino@driveme.id</t>
  </si>
  <si>
    <t>ristantoadi@gmail.com</t>
  </si>
  <si>
    <t>rizckyridho@gmail.com</t>
  </si>
  <si>
    <t>rohman86nugroho@gmail.com</t>
  </si>
  <si>
    <t>roihan.azhari@gmail.com</t>
  </si>
  <si>
    <t>ROSIT SETIAWAN</t>
  </si>
  <si>
    <t>rr.suspima@gmail.com</t>
  </si>
  <si>
    <t>rudalsulaiman@gmail.com</t>
  </si>
  <si>
    <t>ruzaldipuluala@gmail.com</t>
  </si>
  <si>
    <t>Sa'dianoor</t>
  </si>
  <si>
    <t>safhimawan@gmail.com</t>
  </si>
  <si>
    <t>safirotulhuda@gmail.com</t>
  </si>
  <si>
    <t>sahitsadono@gmail.com</t>
  </si>
  <si>
    <t>salim.basir@mhucoal.co.id</t>
  </si>
  <si>
    <t>ALEXANDRA MURTININGRUM</t>
  </si>
  <si>
    <t>sandramurti@gmail.com</t>
  </si>
  <si>
    <t>saptaji3agus@gmail.com</t>
  </si>
  <si>
    <t>sarwantogeodet@gmail.com</t>
  </si>
  <si>
    <t>septi.irene@gmail.com</t>
  </si>
  <si>
    <t>setiawan.nr@mail.com</t>
  </si>
  <si>
    <t>setiawanjoni2006@gmail.com</t>
  </si>
  <si>
    <t>Hanang Yuandhicha Setyadi</t>
  </si>
  <si>
    <t>setyadihanang@gmail.com</t>
  </si>
  <si>
    <t>sharibowo@gmail.com</t>
  </si>
  <si>
    <t>SHERLY SHINTA EMALIA</t>
  </si>
  <si>
    <t>sigit.funtasyisland@gmail.com</t>
  </si>
  <si>
    <t>sigit.prabowo@pttimah.co.id</t>
  </si>
  <si>
    <t>SITI RAHMI PRATIWI</t>
  </si>
  <si>
    <t>sitirahmipratiwi.rosy@gmail.com</t>
  </si>
  <si>
    <t>skangmat@gmail.com</t>
  </si>
  <si>
    <t>Sigit Riyanto</t>
  </si>
  <si>
    <t>sr.sigit.riyanto@gmail.com</t>
  </si>
  <si>
    <t>sukandar2013@gmail.com</t>
  </si>
  <si>
    <t>dany sulthan</t>
  </si>
  <si>
    <t>sulthan.dany@gmail.com</t>
  </si>
  <si>
    <t>surya.adi.c@gmail.com</t>
  </si>
  <si>
    <t>susilo@stpn.ac.id</t>
  </si>
  <si>
    <t>suwandiprasetyo@gmail.com</t>
  </si>
  <si>
    <t>syamsudinalamin95@gmail.com</t>
  </si>
  <si>
    <t>syohraeni</t>
  </si>
  <si>
    <t>syska.ratnayushinta@gmail.com</t>
  </si>
  <si>
    <t>tambunbarnabas@gmail.com</t>
  </si>
  <si>
    <t>tandyow@yahoo.com</t>
  </si>
  <si>
    <t>TANTI WIDYASTUTI</t>
  </si>
  <si>
    <t>tanyasyahrial@gmail.com</t>
  </si>
  <si>
    <t>TAUFIQ ANDRI SETIAWAN</t>
  </si>
  <si>
    <t>taufiqsetiawan727@gmail.com</t>
  </si>
  <si>
    <t>tc.utama@gmail.com</t>
  </si>
  <si>
    <t>Tegar Pualam SYuhada</t>
  </si>
  <si>
    <t>tegarpualamsyuhada@gmail.com</t>
  </si>
  <si>
    <t>teguh rismanto</t>
  </si>
  <si>
    <t>teguhris@gmail.com</t>
  </si>
  <si>
    <t>theodorusyanneovanny@gmail.com</t>
  </si>
  <si>
    <t>thomas.hardy@bmkg.go.id</t>
  </si>
  <si>
    <t>thomas dedi kurniawan</t>
  </si>
  <si>
    <t>thomasdedi346@gmail.com</t>
  </si>
  <si>
    <t>Muhamad thariq</t>
  </si>
  <si>
    <t>thoriqm@rocketmail.com</t>
  </si>
  <si>
    <t xml:space="preserve">Tika Dwi Saputri </t>
  </si>
  <si>
    <t>tika.dwi@big.go.id</t>
  </si>
  <si>
    <t>totokprawoto88@gmail.com</t>
  </si>
  <si>
    <t>trias.sugeng.p@gmail.com</t>
  </si>
  <si>
    <t>triguseko@gmail.com</t>
  </si>
  <si>
    <t>tritristiaji@gmail.com</t>
  </si>
  <si>
    <t>triutami.handayaningsih@gmail.com</t>
  </si>
  <si>
    <t>TRI WIBISONO</t>
  </si>
  <si>
    <t>triyatmoko99@gmail.com</t>
  </si>
  <si>
    <t>tyo.esdm@gmail.com</t>
  </si>
  <si>
    <t>ussisaannisari@yahoo.com</t>
  </si>
  <si>
    <t>Ussisa annisari</t>
  </si>
  <si>
    <t>vannyalfarisy@gmail.com</t>
  </si>
  <si>
    <t>ventin_q@yahoo.com</t>
  </si>
  <si>
    <t>ATRIYON JULZARIKA</t>
  </si>
  <si>
    <t>vincenttandy14@gmail.com</t>
  </si>
  <si>
    <t>w_1_no@yahoo.com</t>
  </si>
  <si>
    <t>wahyu.andirachman@gmail.com</t>
  </si>
  <si>
    <t>wahyu.marta.m@ugm.ac.id</t>
  </si>
  <si>
    <t>wati_geodesi@yahoo.com</t>
  </si>
  <si>
    <t>wibowo.hendry@gmail.com</t>
  </si>
  <si>
    <t>widiapidianto@gmail.com</t>
  </si>
  <si>
    <t>widiyanto.sw@gmail.com</t>
  </si>
  <si>
    <t>yanu.koesumakristi@gmail.com</t>
  </si>
  <si>
    <t>YASIR AGUS HARTANTO</t>
  </si>
  <si>
    <t>YEMIMA</t>
  </si>
  <si>
    <t>yoga.jayantara@gmail.com</t>
  </si>
  <si>
    <t>yoga.permana.made@gmail.com</t>
  </si>
  <si>
    <t>yogaprakosa7@gmail.com</t>
  </si>
  <si>
    <t>yonas.kpuc@gmail.com</t>
  </si>
  <si>
    <t>yonihardono@gmail.com</t>
  </si>
  <si>
    <t>yudho.arto@gmail.com</t>
  </si>
  <si>
    <t>yulia.indriastuty@gmail.com</t>
  </si>
  <si>
    <t>yusrizalfahmi80@gmail.com</t>
  </si>
  <si>
    <t>zaimnh@gmail.com</t>
  </si>
  <si>
    <t>zulfa.syathari@gmail.com</t>
  </si>
  <si>
    <t>ZULFAN NAZAL</t>
  </si>
  <si>
    <t>zulfannazal@gmail.com</t>
  </si>
  <si>
    <t>DWI PUTRA ANANTA</t>
  </si>
  <si>
    <t>Ihsan Handoko saputro</t>
  </si>
  <si>
    <t>ihsan.sapoetra@gmail.com</t>
  </si>
  <si>
    <t>didik nugroho</t>
  </si>
  <si>
    <t>ANWARI</t>
  </si>
  <si>
    <t>ghotfani.kaukabi@gmail.com</t>
  </si>
  <si>
    <t>Ext - 2006</t>
  </si>
  <si>
    <t>Muhammad Ismail Pringgkusumo</t>
  </si>
  <si>
    <t>caesar_ael@yahoo.com</t>
  </si>
  <si>
    <t>agus98prasetyanto@gmail.com</t>
  </si>
  <si>
    <t>arindatasya01@mail.ugm.ac.id</t>
  </si>
  <si>
    <t>Azkal Azkiya</t>
  </si>
  <si>
    <t>azkalazkiya1@gmail.com</t>
  </si>
  <si>
    <t>Khozy Ilyasyah Zalmajati</t>
  </si>
  <si>
    <t>kokozalmajati@gmail.com</t>
  </si>
  <si>
    <t>ajisugiantoro2415@gmail.com</t>
  </si>
  <si>
    <t>anisaulkhoiriyah@mail.ugm.ac.id</t>
  </si>
  <si>
    <t>naisyah666@mail.ugm.ac.id</t>
  </si>
  <si>
    <t>assyfahesa2020@mail.ugm.ac.id</t>
  </si>
  <si>
    <t>farid.jaktara@gmail.com</t>
  </si>
  <si>
    <t>Hery purnomo</t>
  </si>
  <si>
    <t>M. Wasisto</t>
  </si>
  <si>
    <t>Nutria Ardhini</t>
  </si>
  <si>
    <t>raka.andrian@yahoo.co.id</t>
  </si>
  <si>
    <t>EMA Martonowadi</t>
  </si>
  <si>
    <t>Abrisammartono@gmail.com</t>
  </si>
  <si>
    <t>azis.mulya.affandy@mail.ugm.ac.id</t>
  </si>
  <si>
    <t>Muhammad Nashihun</t>
  </si>
  <si>
    <t>putrinanda21218@gmail.com</t>
  </si>
  <si>
    <t>Aditya Yan Paradita</t>
  </si>
  <si>
    <t>Bintoro Hagus Warseto</t>
  </si>
  <si>
    <t>Email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</si>
</sst>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sz val="11"/>
      <color theme="1"/>
      <name val="Aptos Narrow"/>
      <family val="2"/>
      <charset val="1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indexed="12"/>
      <name val="Calibri"/>
      <family val="2"/>
    </font>
    <font>
      <sz val="12"/>
      <color rgb="FF0000FF"/>
      <name val="Calibri"/>
      <family val="2"/>
    </font>
    <font>
      <sz val="12"/>
      <color indexed="8"/>
      <name val="Calibri"/>
      <family val="2"/>
    </font>
    <font>
      <sz val="12"/>
      <color rgb="FF333333"/>
      <name val="Calibri"/>
      <family val="2"/>
    </font>
    <font>
      <b/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/>
      <top/>
      <bottom/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11" fillId="0" borderId="1" xfId="7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" xfId="9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11" fillId="0" borderId="1" xfId="11" applyFont="1" applyBorder="1" applyAlignment="1">
      <alignment horizontal="center" vertical="center"/>
    </xf>
    <xf numFmtId="0" fontId="8" fillId="0" borderId="1" xfId="12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/>
    </xf>
    <xf numFmtId="0" fontId="13" fillId="2" borderId="0" xfId="1" applyFont="1" applyAlignment="1">
      <alignment horizontal="center" vertical="center"/>
    </xf>
    <xf numFmtId="0" fontId="13" fillId="2" borderId="0" xfId="1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2" applyAlignment="1">
      <alignment vertical="center"/>
    </xf>
    <xf numFmtId="0" fontId="13" fillId="2" borderId="0" xfId="1" applyFont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0" xfId="0" applyAlignment="1">
      <alignment horizontal="left"/>
    </xf>
  </cellXfs>
  <cellStyles count="13">
    <cellStyle name="Hyperlink" xfId="2" builtinId="8"/>
    <cellStyle name="Neutral" xfId="1" builtinId="28"/>
    <cellStyle name="Normal" xfId="0" builtinId="0"/>
    <cellStyle name="Normal 2" xfId="12" xr:uid="{C3901CE2-C814-42A0-9718-4A3CA3E15E59}"/>
    <cellStyle name="Normal_REGULER" xfId="5" xr:uid="{244EB562-7E60-498A-9675-E984FEBD1A4A}"/>
    <cellStyle name="Normal_REGULER_1" xfId="7" xr:uid="{F0AEDB16-DE40-4BC0-B16E-34FC76A7AD79}"/>
    <cellStyle name="Normal_Sheet1" xfId="8" xr:uid="{3C15D7D7-D5BD-4DA0-BFB4-4E06C1372433}"/>
    <cellStyle name="Normal_Sheet1_1" xfId="3" xr:uid="{B68F43F8-C93A-426E-80BD-C83940C3C968}"/>
    <cellStyle name="Normal_Sheet2" xfId="4" xr:uid="{5F658BA7-171F-44DD-B6BA-A0D13176C751}"/>
    <cellStyle name="Normal_Sheet2_2" xfId="6" xr:uid="{8D5910E9-3D95-4F1B-9BFD-FC39E67EE4B8}"/>
    <cellStyle name="Normal_Sheet3" xfId="9" xr:uid="{42A79D79-9AF0-4135-A87F-AF166D5F62A7}"/>
    <cellStyle name="Normal_Sheet3_1" xfId="10" xr:uid="{A0E8B814-721F-4044-96AE-9D0C4102DCFF}"/>
    <cellStyle name="Normal_Sheet6" xfId="11" xr:uid="{DD640F99-9226-4FB6-B3E7-98D64AE9BFF1}"/>
  </cellStyles>
  <dxfs count="17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A46C36C0-C767-4BC5-AF37-D80FE63CB90D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421E3-F6E3-413A-B8BF-32B1DA4F419C}" name="Sigit_Rachmawan_Adhi" displayName="Sigit_Rachmawan_Adhi" ref="D1:F1224" headerRowDxfId="12" dataDxfId="11" totalsRowDxfId="10" headerRowCellStyle="Neutral" dataCellStyle="Normal" totalsRowCellStyle="Normal">
  <tableColumns count="3">
    <tableColumn id="2" xr3:uid="{66547CD4-9BE8-4204-AEB9-F52A71BDB49E}" name="Email" dataDxfId="9" dataCellStyle="Normal"/>
    <tableColumn id="5" xr3:uid="{D27E0D0E-71A2-44E2-A860-3E188043B89A}" name="No Telp / WA" dataDxfId="8" dataCellStyle="Normal"/>
    <tableColumn id="1" xr3:uid="{BB9625D3-84F2-4AC2-851E-3012ED98C7D3}" name="Column1" dataDxfId="7" totalsRowDxfId="6" dataCellStyle="Normal" totalsRowCellStyle="Normal">
      <calculatedColumnFormula>IF(COUNTIFS(Sheet1!$D$2:$D$3203, C2, Sheet1!$C$2:$C$3203, B2) &gt; 0, "Sudah", "Belum")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lirifaasmarani@gmail.com" TargetMode="External"/><Relationship Id="rId1" Type="http://schemas.openxmlformats.org/officeDocument/2006/relationships/hyperlink" Target="mailto:ryanzulqifli622@mail.ugm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C79E-25DD-4CC6-A758-6CE34640DE49}">
  <dimension ref="A1:H3207"/>
  <sheetViews>
    <sheetView topLeftCell="A3182" zoomScale="70" zoomScaleNormal="70" workbookViewId="0">
      <selection activeCell="G3197" sqref="G3197"/>
    </sheetView>
  </sheetViews>
  <sheetFormatPr defaultRowHeight="14.5" x14ac:dyDescent="0.35"/>
  <cols>
    <col min="1" max="1" width="7.90625" style="2" customWidth="1"/>
    <col min="2" max="2" width="16.08984375" style="2" customWidth="1"/>
    <col min="3" max="3" width="33.26953125" style="5" customWidth="1"/>
    <col min="4" max="4" width="13.1796875" style="2" customWidth="1"/>
    <col min="5" max="5" width="15.90625" style="2" customWidth="1"/>
    <col min="6" max="6" width="39.7265625" style="36" bestFit="1" customWidth="1"/>
    <col min="7" max="7" width="33.1796875" style="1" bestFit="1" customWidth="1"/>
    <col min="8" max="8" width="26.1796875" style="40" customWidth="1"/>
    <col min="9" max="16384" width="8.7265625" style="1"/>
  </cols>
  <sheetData>
    <row r="1" spans="1:8" ht="16" customHeight="1" x14ac:dyDescent="0.35">
      <c r="A1" s="6" t="s">
        <v>0</v>
      </c>
      <c r="B1" s="6" t="s">
        <v>1079</v>
      </c>
      <c r="C1" s="6" t="s">
        <v>1</v>
      </c>
      <c r="D1" s="6" t="s">
        <v>1080</v>
      </c>
      <c r="E1" s="6" t="s">
        <v>1081</v>
      </c>
      <c r="F1" s="6" t="s">
        <v>6232</v>
      </c>
      <c r="G1" s="6" t="s">
        <v>6232</v>
      </c>
    </row>
    <row r="2" spans="1:8" ht="15.5" x14ac:dyDescent="0.35">
      <c r="A2" s="7">
        <v>1</v>
      </c>
      <c r="B2" s="8">
        <v>3614</v>
      </c>
      <c r="C2" s="30" t="s">
        <v>2</v>
      </c>
      <c r="D2" s="8" t="s">
        <v>1044</v>
      </c>
      <c r="E2" s="7">
        <v>1969</v>
      </c>
      <c r="F2" s="36" t="str" cm="1">
        <f t="array" ref="F2">_xlfn.XLOOKUP(D2&amp;C2, Sheet3!$C$2:$C$1224&amp;Sheet3!$B$2:$B$1224, Sheet3!$D$2:$D$1224, "")</f>
        <v/>
      </c>
      <c r="G2" s="1" t="str" cm="1">
        <f t="array" ref="G2">_xlfn.XLOOKUP(D2&amp;C2, Sheet2!$A$2:$A$558&amp;Sheet2!$B$2:$B$558, Sheet2!$C$2:$C$558, "")</f>
        <v/>
      </c>
      <c r="H2" s="40" t="str">
        <f>IF(F2&lt;&gt;"",F2,G2)</f>
        <v/>
      </c>
    </row>
    <row r="3" spans="1:8" ht="15.5" x14ac:dyDescent="0.35">
      <c r="A3" s="7">
        <v>2</v>
      </c>
      <c r="B3" s="8">
        <v>4257</v>
      </c>
      <c r="C3" s="31" t="s">
        <v>3</v>
      </c>
      <c r="D3" s="8" t="s">
        <v>1045</v>
      </c>
      <c r="E3" s="7">
        <v>1969</v>
      </c>
      <c r="F3" s="36" t="str" cm="1">
        <f t="array" ref="F3">_xlfn.XLOOKUP(D3&amp;C3, Sheet3!$C$2:$C$1224&amp;Sheet3!$B$2:$B$1224, Sheet3!$D$2:$D$1224, "")</f>
        <v/>
      </c>
      <c r="G3" s="1" t="str" cm="1">
        <f t="array" ref="G3">_xlfn.XLOOKUP(D3&amp;C3, Sheet2!$A$2:$A$558&amp;Sheet2!$B$2:$B$558, Sheet2!$C$2:$C$558, "")</f>
        <v/>
      </c>
      <c r="H3" s="40" t="str">
        <f t="shared" ref="H3:H66" si="0">IF(F3&lt;&gt;"",F3,G3)</f>
        <v/>
      </c>
    </row>
    <row r="4" spans="1:8" ht="15.5" x14ac:dyDescent="0.35">
      <c r="A4" s="7">
        <v>3</v>
      </c>
      <c r="B4" s="8">
        <v>3692</v>
      </c>
      <c r="C4" s="31" t="s">
        <v>4</v>
      </c>
      <c r="D4" s="8" t="s">
        <v>1044</v>
      </c>
      <c r="E4" s="7">
        <v>1970</v>
      </c>
      <c r="F4" s="36" t="str" cm="1">
        <f t="array" ref="F4">_xlfn.XLOOKUP(D4&amp;C4, Sheet3!$C$2:$C$1224&amp;Sheet3!$B$2:$B$1224, Sheet3!$D$2:$D$1224, "")</f>
        <v/>
      </c>
      <c r="G4" s="1" t="str" cm="1">
        <f t="array" ref="G4">_xlfn.XLOOKUP(D4&amp;C4, Sheet2!$A$2:$A$558&amp;Sheet2!$B$2:$B$558, Sheet2!$C$2:$C$558, "")</f>
        <v/>
      </c>
      <c r="H4" s="40" t="str">
        <f t="shared" si="0"/>
        <v/>
      </c>
    </row>
    <row r="5" spans="1:8" ht="15.5" x14ac:dyDescent="0.35">
      <c r="A5" s="7">
        <v>4</v>
      </c>
      <c r="B5" s="8">
        <v>3643</v>
      </c>
      <c r="C5" s="31" t="s">
        <v>5</v>
      </c>
      <c r="D5" s="8" t="s">
        <v>1044</v>
      </c>
      <c r="E5" s="7">
        <v>1970</v>
      </c>
      <c r="F5" s="36" t="str" cm="1">
        <f t="array" ref="F5">_xlfn.XLOOKUP(D5&amp;C5, Sheet3!$C$2:$C$1224&amp;Sheet3!$B$2:$B$1224, Sheet3!$D$2:$D$1224, "")</f>
        <v/>
      </c>
      <c r="G5" s="1" t="str" cm="1">
        <f t="array" ref="G5">_xlfn.XLOOKUP(D5&amp;C5, Sheet2!$A$2:$A$558&amp;Sheet2!$B$2:$B$558, Sheet2!$C$2:$C$558, "")</f>
        <v/>
      </c>
      <c r="H5" s="40" t="str">
        <f t="shared" si="0"/>
        <v/>
      </c>
    </row>
    <row r="6" spans="1:8" ht="15.5" x14ac:dyDescent="0.35">
      <c r="A6" s="7">
        <v>5</v>
      </c>
      <c r="B6" s="8">
        <v>3750</v>
      </c>
      <c r="C6" s="31" t="s">
        <v>6</v>
      </c>
      <c r="D6" s="8" t="s">
        <v>1044</v>
      </c>
      <c r="E6" s="7">
        <v>1970</v>
      </c>
      <c r="F6" s="36" t="str" cm="1">
        <f t="array" ref="F6">_xlfn.XLOOKUP(D6&amp;C6, Sheet3!$C$2:$C$1224&amp;Sheet3!$B$2:$B$1224, Sheet3!$D$2:$D$1224, "")</f>
        <v/>
      </c>
      <c r="G6" s="1" t="str" cm="1">
        <f t="array" ref="G6">_xlfn.XLOOKUP(D6&amp;C6, Sheet2!$A$2:$A$558&amp;Sheet2!$B$2:$B$558, Sheet2!$C$2:$C$558, "")</f>
        <v/>
      </c>
      <c r="H6" s="40" t="str">
        <f t="shared" si="0"/>
        <v/>
      </c>
    </row>
    <row r="7" spans="1:8" ht="15.5" x14ac:dyDescent="0.35">
      <c r="A7" s="7">
        <v>6</v>
      </c>
      <c r="B7" s="8">
        <v>3709</v>
      </c>
      <c r="C7" s="31" t="s">
        <v>7</v>
      </c>
      <c r="D7" s="8" t="s">
        <v>1044</v>
      </c>
      <c r="E7" s="7">
        <v>1971</v>
      </c>
      <c r="F7" s="36" t="str" cm="1">
        <f t="array" ref="F7">_xlfn.XLOOKUP(D7&amp;C7, Sheet3!$C$2:$C$1224&amp;Sheet3!$B$2:$B$1224, Sheet3!$D$2:$D$1224, "")</f>
        <v/>
      </c>
      <c r="G7" s="1" t="str" cm="1">
        <f t="array" ref="G7">_xlfn.XLOOKUP(D7&amp;C7, Sheet2!$A$2:$A$558&amp;Sheet2!$B$2:$B$558, Sheet2!$C$2:$C$558, "")</f>
        <v/>
      </c>
      <c r="H7" s="40" t="str">
        <f t="shared" si="0"/>
        <v/>
      </c>
    </row>
    <row r="8" spans="1:8" ht="15.5" x14ac:dyDescent="0.35">
      <c r="A8" s="7">
        <v>7</v>
      </c>
      <c r="B8" s="8">
        <v>3719</v>
      </c>
      <c r="C8" s="31" t="s">
        <v>8</v>
      </c>
      <c r="D8" s="8" t="s">
        <v>1044</v>
      </c>
      <c r="E8" s="7">
        <v>1971</v>
      </c>
      <c r="F8" s="36" t="str" cm="1">
        <f t="array" ref="F8">_xlfn.XLOOKUP(D8&amp;C8, Sheet3!$C$2:$C$1224&amp;Sheet3!$B$2:$B$1224, Sheet3!$D$2:$D$1224, "")</f>
        <v/>
      </c>
      <c r="G8" s="1" t="str" cm="1">
        <f t="array" ref="G8">_xlfn.XLOOKUP(D8&amp;C8, Sheet2!$A$2:$A$558&amp;Sheet2!$B$2:$B$558, Sheet2!$C$2:$C$558, "")</f>
        <v/>
      </c>
      <c r="H8" s="40" t="str">
        <f t="shared" si="0"/>
        <v/>
      </c>
    </row>
    <row r="9" spans="1:8" ht="15.5" x14ac:dyDescent="0.35">
      <c r="A9" s="7">
        <v>8</v>
      </c>
      <c r="B9" s="8">
        <v>3973</v>
      </c>
      <c r="C9" s="31" t="s">
        <v>9</v>
      </c>
      <c r="D9" s="8" t="s">
        <v>1044</v>
      </c>
      <c r="E9" s="7">
        <v>1972</v>
      </c>
      <c r="F9" s="36" t="str" cm="1">
        <f t="array" ref="F9">_xlfn.XLOOKUP(D9&amp;C9, Sheet3!$C$2:$C$1224&amp;Sheet3!$B$2:$B$1224, Sheet3!$D$2:$D$1224, "")</f>
        <v/>
      </c>
      <c r="G9" s="1" t="str" cm="1">
        <f t="array" ref="G9">_xlfn.XLOOKUP(D9&amp;C9, Sheet2!$A$2:$A$558&amp;Sheet2!$B$2:$B$558, Sheet2!$C$2:$C$558, "")</f>
        <v/>
      </c>
      <c r="H9" s="40" t="str">
        <f t="shared" si="0"/>
        <v/>
      </c>
    </row>
    <row r="10" spans="1:8" ht="15.5" x14ac:dyDescent="0.35">
      <c r="A10" s="7">
        <v>9</v>
      </c>
      <c r="B10" s="8">
        <v>4048</v>
      </c>
      <c r="C10" s="31" t="s">
        <v>10</v>
      </c>
      <c r="D10" s="8" t="s">
        <v>1045</v>
      </c>
      <c r="E10" s="7">
        <v>1972</v>
      </c>
      <c r="F10" s="36" t="str" cm="1">
        <f t="array" ref="F10">_xlfn.XLOOKUP(D10&amp;C10, Sheet3!$C$2:$C$1224&amp;Sheet3!$B$2:$B$1224, Sheet3!$D$2:$D$1224, "")</f>
        <v/>
      </c>
      <c r="G10" s="1" t="str" cm="1">
        <f t="array" ref="G10">_xlfn.XLOOKUP(D10&amp;C10, Sheet2!$A$2:$A$558&amp;Sheet2!$B$2:$B$558, Sheet2!$C$2:$C$558, "")</f>
        <v/>
      </c>
      <c r="H10" s="40" t="str">
        <f t="shared" si="0"/>
        <v/>
      </c>
    </row>
    <row r="11" spans="1:8" ht="15.5" x14ac:dyDescent="0.35">
      <c r="A11" s="7">
        <v>10</v>
      </c>
      <c r="B11" s="8">
        <v>3746</v>
      </c>
      <c r="C11" s="31" t="s">
        <v>11</v>
      </c>
      <c r="D11" s="8" t="s">
        <v>1044</v>
      </c>
      <c r="E11" s="7">
        <v>1974</v>
      </c>
      <c r="F11" s="36" t="str" cm="1">
        <f t="array" ref="F11">_xlfn.XLOOKUP(D11&amp;C11, Sheet3!$C$2:$C$1224&amp;Sheet3!$B$2:$B$1224, Sheet3!$D$2:$D$1224, "")</f>
        <v/>
      </c>
      <c r="G11" s="1" t="str" cm="1">
        <f t="array" ref="G11">_xlfn.XLOOKUP(D11&amp;C11, Sheet2!$A$2:$A$558&amp;Sheet2!$B$2:$B$558, Sheet2!$C$2:$C$558, "")</f>
        <v/>
      </c>
      <c r="H11" s="40" t="str">
        <f t="shared" si="0"/>
        <v/>
      </c>
    </row>
    <row r="12" spans="1:8" ht="15.5" x14ac:dyDescent="0.35">
      <c r="A12" s="7">
        <v>11</v>
      </c>
      <c r="B12" s="8">
        <v>3551</v>
      </c>
      <c r="C12" s="31" t="s">
        <v>12</v>
      </c>
      <c r="D12" s="8" t="s">
        <v>1046</v>
      </c>
      <c r="E12" s="7">
        <v>1974</v>
      </c>
      <c r="F12" s="36" t="str" cm="1">
        <f t="array" ref="F12">_xlfn.XLOOKUP(D12&amp;C12, Sheet3!$C$2:$C$1224&amp;Sheet3!$B$2:$B$1224, Sheet3!$D$2:$D$1224, "")</f>
        <v/>
      </c>
      <c r="G12" s="1" t="str" cm="1">
        <f t="array" ref="G12">_xlfn.XLOOKUP(D12&amp;C12, Sheet2!$A$2:$A$558&amp;Sheet2!$B$2:$B$558, Sheet2!$C$2:$C$558, "")</f>
        <v/>
      </c>
      <c r="H12" s="40" t="str">
        <f t="shared" si="0"/>
        <v/>
      </c>
    </row>
    <row r="13" spans="1:8" ht="15.5" x14ac:dyDescent="0.35">
      <c r="A13" s="7">
        <v>12</v>
      </c>
      <c r="B13" s="8">
        <v>3665</v>
      </c>
      <c r="C13" s="31" t="s">
        <v>13</v>
      </c>
      <c r="D13" s="8" t="s">
        <v>1044</v>
      </c>
      <c r="E13" s="7">
        <v>1975</v>
      </c>
      <c r="F13" s="36" t="str" cm="1">
        <f t="array" ref="F13">_xlfn.XLOOKUP(D13&amp;C13, Sheet3!$C$2:$C$1224&amp;Sheet3!$B$2:$B$1224, Sheet3!$D$2:$D$1224, "")</f>
        <v/>
      </c>
      <c r="G13" s="1" t="str" cm="1">
        <f t="array" ref="G13">_xlfn.XLOOKUP(D13&amp;C13, Sheet2!$A$2:$A$558&amp;Sheet2!$B$2:$B$558, Sheet2!$C$2:$C$558, "")</f>
        <v/>
      </c>
      <c r="H13" s="40" t="str">
        <f t="shared" si="0"/>
        <v/>
      </c>
    </row>
    <row r="14" spans="1:8" ht="15.5" x14ac:dyDescent="0.35">
      <c r="A14" s="7">
        <v>13</v>
      </c>
      <c r="B14" s="8">
        <v>6469</v>
      </c>
      <c r="C14" s="31" t="s">
        <v>14</v>
      </c>
      <c r="D14" s="8" t="s">
        <v>1047</v>
      </c>
      <c r="E14" s="7">
        <v>1977</v>
      </c>
      <c r="F14" s="36" t="str" cm="1">
        <f t="array" ref="F14">_xlfn.XLOOKUP(D14&amp;C14, Sheet3!$C$2:$C$1224&amp;Sheet3!$B$2:$B$1224, Sheet3!$D$2:$D$1224, "")</f>
        <v/>
      </c>
      <c r="G14" s="1" t="str" cm="1">
        <f t="array" ref="G14">_xlfn.XLOOKUP(D14&amp;C14, Sheet2!$A$2:$A$558&amp;Sheet2!$B$2:$B$558, Sheet2!$C$2:$C$558, "")</f>
        <v/>
      </c>
      <c r="H14" s="40" t="str">
        <f t="shared" si="0"/>
        <v/>
      </c>
    </row>
    <row r="15" spans="1:8" ht="15.5" x14ac:dyDescent="0.35">
      <c r="A15" s="7">
        <v>14</v>
      </c>
      <c r="B15" s="8">
        <v>6810</v>
      </c>
      <c r="C15" s="31" t="s">
        <v>15</v>
      </c>
      <c r="D15" s="8" t="s">
        <v>1048</v>
      </c>
      <c r="E15" s="7">
        <v>1977</v>
      </c>
      <c r="F15" s="36" t="str" cm="1">
        <f t="array" ref="F15">_xlfn.XLOOKUP(D15&amp;C15, Sheet3!$C$2:$C$1224&amp;Sheet3!$B$2:$B$1224, Sheet3!$D$2:$D$1224, "")</f>
        <v/>
      </c>
      <c r="G15" s="1" t="str" cm="1">
        <f t="array" ref="G15">_xlfn.XLOOKUP(D15&amp;C15, Sheet2!$A$2:$A$558&amp;Sheet2!$B$2:$B$558, Sheet2!$C$2:$C$558, "")</f>
        <v/>
      </c>
      <c r="H15" s="40" t="str">
        <f t="shared" si="0"/>
        <v/>
      </c>
    </row>
    <row r="16" spans="1:8" ht="15.5" x14ac:dyDescent="0.35">
      <c r="A16" s="7">
        <v>15</v>
      </c>
      <c r="B16" s="8">
        <v>6797</v>
      </c>
      <c r="C16" s="31" t="s">
        <v>16</v>
      </c>
      <c r="D16" s="8" t="s">
        <v>1048</v>
      </c>
      <c r="E16" s="7">
        <v>1978</v>
      </c>
      <c r="F16" s="36" t="str" cm="1">
        <f t="array" ref="F16">_xlfn.XLOOKUP(D16&amp;C16, Sheet3!$C$2:$C$1224&amp;Sheet3!$B$2:$B$1224, Sheet3!$D$2:$D$1224, "")</f>
        <v/>
      </c>
      <c r="G16" s="1" t="str" cm="1">
        <f t="array" ref="G16">_xlfn.XLOOKUP(D16&amp;C16, Sheet2!$A$2:$A$558&amp;Sheet2!$B$2:$B$558, Sheet2!$C$2:$C$558, "")</f>
        <v/>
      </c>
      <c r="H16" s="40" t="str">
        <f t="shared" si="0"/>
        <v/>
      </c>
    </row>
    <row r="17" spans="1:8" ht="15.5" x14ac:dyDescent="0.35">
      <c r="A17" s="7">
        <v>16</v>
      </c>
      <c r="B17" s="8">
        <v>6875</v>
      </c>
      <c r="C17" s="31" t="s">
        <v>4123</v>
      </c>
      <c r="D17" s="8" t="s">
        <v>1048</v>
      </c>
      <c r="E17" s="7">
        <v>1978</v>
      </c>
      <c r="F17" s="36" t="str" cm="1">
        <f t="array" ref="F17">_xlfn.XLOOKUP(D17&amp;C17, Sheet3!$C$2:$C$1224&amp;Sheet3!$B$2:$B$1224, Sheet3!$D$2:$D$1224, "")</f>
        <v>sumaryo@ugm.ac.id</v>
      </c>
      <c r="G17" s="1" t="str" cm="1">
        <f t="array" ref="G17">_xlfn.XLOOKUP(D17&amp;C17, Sheet2!$A$2:$A$558&amp;Sheet2!$B$2:$B$558, Sheet2!$C$2:$C$558, "")</f>
        <v/>
      </c>
      <c r="H17" s="40" t="str">
        <f t="shared" si="0"/>
        <v>sumaryo@ugm.ac.id</v>
      </c>
    </row>
    <row r="18" spans="1:8" ht="15.5" x14ac:dyDescent="0.35">
      <c r="A18" s="7">
        <v>17</v>
      </c>
      <c r="B18" s="8">
        <v>6755</v>
      </c>
      <c r="C18" s="31" t="s">
        <v>17</v>
      </c>
      <c r="D18" s="8" t="s">
        <v>1048</v>
      </c>
      <c r="E18" s="7">
        <v>1978</v>
      </c>
      <c r="F18" s="36" t="str" cm="1">
        <f t="array" ref="F18">_xlfn.XLOOKUP(D18&amp;C18, Sheet3!$C$2:$C$1224&amp;Sheet3!$B$2:$B$1224, Sheet3!$D$2:$D$1224, "")</f>
        <v/>
      </c>
      <c r="G18" s="1" t="str" cm="1">
        <f t="array" ref="G18">_xlfn.XLOOKUP(D18&amp;C18, Sheet2!$A$2:$A$558&amp;Sheet2!$B$2:$B$558, Sheet2!$C$2:$C$558, "")</f>
        <v/>
      </c>
      <c r="H18" s="40" t="str">
        <f t="shared" si="0"/>
        <v/>
      </c>
    </row>
    <row r="19" spans="1:8" ht="15.5" x14ac:dyDescent="0.35">
      <c r="A19" s="7">
        <v>18</v>
      </c>
      <c r="B19" s="8">
        <v>7127</v>
      </c>
      <c r="C19" s="31" t="s">
        <v>18</v>
      </c>
      <c r="D19" s="8" t="s">
        <v>1049</v>
      </c>
      <c r="E19" s="7">
        <v>1978</v>
      </c>
      <c r="F19" s="36" t="str" cm="1">
        <f t="array" ref="F19">_xlfn.XLOOKUP(D19&amp;C19, Sheet3!$C$2:$C$1224&amp;Sheet3!$B$2:$B$1224, Sheet3!$D$2:$D$1224, "")</f>
        <v/>
      </c>
      <c r="G19" s="1" t="str" cm="1">
        <f t="array" ref="G19">_xlfn.XLOOKUP(D19&amp;C19, Sheet2!$A$2:$A$558&amp;Sheet2!$B$2:$B$558, Sheet2!$C$2:$C$558, "")</f>
        <v/>
      </c>
      <c r="H19" s="40" t="str">
        <f t="shared" si="0"/>
        <v/>
      </c>
    </row>
    <row r="20" spans="1:8" ht="15.5" x14ac:dyDescent="0.35">
      <c r="A20" s="7">
        <v>19</v>
      </c>
      <c r="B20" s="8">
        <v>6851</v>
      </c>
      <c r="C20" s="31" t="s">
        <v>19</v>
      </c>
      <c r="D20" s="8" t="s">
        <v>1048</v>
      </c>
      <c r="E20" s="7">
        <v>1978</v>
      </c>
      <c r="F20" s="36" t="str" cm="1">
        <f t="array" ref="F20">_xlfn.XLOOKUP(D20&amp;C20, Sheet3!$C$2:$C$1224&amp;Sheet3!$B$2:$B$1224, Sheet3!$D$2:$D$1224, "")</f>
        <v/>
      </c>
      <c r="G20" s="1" t="str" cm="1">
        <f t="array" ref="G20">_xlfn.XLOOKUP(D20&amp;C20, Sheet2!$A$2:$A$558&amp;Sheet2!$B$2:$B$558, Sheet2!$C$2:$C$558, "")</f>
        <v/>
      </c>
      <c r="H20" s="40" t="str">
        <f t="shared" si="0"/>
        <v/>
      </c>
    </row>
    <row r="21" spans="1:8" ht="15.5" x14ac:dyDescent="0.35">
      <c r="A21" s="7">
        <v>20</v>
      </c>
      <c r="B21" s="8">
        <v>6683</v>
      </c>
      <c r="C21" s="31" t="s">
        <v>20</v>
      </c>
      <c r="D21" s="8" t="s">
        <v>1050</v>
      </c>
      <c r="E21" s="7">
        <v>1978</v>
      </c>
      <c r="F21" s="36" t="str" cm="1">
        <f t="array" ref="F21">_xlfn.XLOOKUP(D21&amp;C21, Sheet3!$C$2:$C$1224&amp;Sheet3!$B$2:$B$1224, Sheet3!$D$2:$D$1224, "")</f>
        <v/>
      </c>
      <c r="G21" s="1" t="str" cm="1">
        <f t="array" ref="G21">_xlfn.XLOOKUP(D21&amp;C21, Sheet2!$A$2:$A$558&amp;Sheet2!$B$2:$B$558, Sheet2!$C$2:$C$558, "")</f>
        <v/>
      </c>
      <c r="H21" s="40" t="str">
        <f t="shared" si="0"/>
        <v/>
      </c>
    </row>
    <row r="22" spans="1:8" ht="15.5" x14ac:dyDescent="0.35">
      <c r="A22" s="7">
        <v>21</v>
      </c>
      <c r="B22" s="8">
        <v>6684</v>
      </c>
      <c r="C22" s="31" t="s">
        <v>21</v>
      </c>
      <c r="D22" s="8" t="s">
        <v>1050</v>
      </c>
      <c r="E22" s="7">
        <v>1978</v>
      </c>
      <c r="F22" s="36" t="str" cm="1">
        <f t="array" ref="F22">_xlfn.XLOOKUP(D22&amp;C22, Sheet3!$C$2:$C$1224&amp;Sheet3!$B$2:$B$1224, Sheet3!$D$2:$D$1224, "")</f>
        <v/>
      </c>
      <c r="G22" s="1" t="str" cm="1">
        <f t="array" ref="G22">_xlfn.XLOOKUP(D22&amp;C22, Sheet2!$A$2:$A$558&amp;Sheet2!$B$2:$B$558, Sheet2!$C$2:$C$558, "")</f>
        <v/>
      </c>
      <c r="H22" s="40" t="str">
        <f t="shared" si="0"/>
        <v/>
      </c>
    </row>
    <row r="23" spans="1:8" ht="15.5" x14ac:dyDescent="0.35">
      <c r="A23" s="7">
        <v>22</v>
      </c>
      <c r="B23" s="8">
        <v>6417</v>
      </c>
      <c r="C23" s="31" t="s">
        <v>22</v>
      </c>
      <c r="D23" s="8" t="s">
        <v>1047</v>
      </c>
      <c r="E23" s="7">
        <v>1978</v>
      </c>
      <c r="F23" s="36" t="str" cm="1">
        <f t="array" ref="F23">_xlfn.XLOOKUP(D23&amp;C23, Sheet3!$C$2:$C$1224&amp;Sheet3!$B$2:$B$1224, Sheet3!$D$2:$D$1224, "")</f>
        <v/>
      </c>
      <c r="G23" s="1" t="str" cm="1">
        <f t="array" ref="G23">_xlfn.XLOOKUP(D23&amp;C23, Sheet2!$A$2:$A$558&amp;Sheet2!$B$2:$B$558, Sheet2!$C$2:$C$558, "")</f>
        <v/>
      </c>
      <c r="H23" s="40" t="str">
        <f t="shared" si="0"/>
        <v/>
      </c>
    </row>
    <row r="24" spans="1:8" ht="15.5" x14ac:dyDescent="0.35">
      <c r="A24" s="7">
        <v>23</v>
      </c>
      <c r="B24" s="8">
        <v>7965</v>
      </c>
      <c r="C24" s="31" t="s">
        <v>23</v>
      </c>
      <c r="D24" s="8" t="s">
        <v>1051</v>
      </c>
      <c r="E24" s="7">
        <v>1979</v>
      </c>
      <c r="F24" s="36" t="str" cm="1">
        <f t="array" ref="F24">_xlfn.XLOOKUP(D24&amp;C24, Sheet3!$C$2:$C$1224&amp;Sheet3!$B$2:$B$1224, Sheet3!$D$2:$D$1224, "")</f>
        <v/>
      </c>
      <c r="G24" s="1" t="str" cm="1">
        <f t="array" ref="G24">_xlfn.XLOOKUP(D24&amp;C24, Sheet2!$A$2:$A$558&amp;Sheet2!$B$2:$B$558, Sheet2!$C$2:$C$558, "")</f>
        <v/>
      </c>
      <c r="H24" s="40" t="str">
        <f t="shared" si="0"/>
        <v/>
      </c>
    </row>
    <row r="25" spans="1:8" ht="15.5" x14ac:dyDescent="0.35">
      <c r="A25" s="7">
        <v>24</v>
      </c>
      <c r="B25" s="8">
        <v>8094</v>
      </c>
      <c r="C25" s="31" t="s">
        <v>24</v>
      </c>
      <c r="D25" s="8" t="s">
        <v>1051</v>
      </c>
      <c r="E25" s="7">
        <v>1979</v>
      </c>
      <c r="F25" s="36" t="str" cm="1">
        <f t="array" ref="F25">_xlfn.XLOOKUP(D25&amp;C25, Sheet3!$C$2:$C$1224&amp;Sheet3!$B$2:$B$1224, Sheet3!$D$2:$D$1224, "")</f>
        <v/>
      </c>
      <c r="G25" s="1" t="str" cm="1">
        <f t="array" ref="G25">_xlfn.XLOOKUP(D25&amp;C25, Sheet2!$A$2:$A$558&amp;Sheet2!$B$2:$B$558, Sheet2!$C$2:$C$558, "")</f>
        <v/>
      </c>
      <c r="H25" s="40" t="str">
        <f t="shared" si="0"/>
        <v/>
      </c>
    </row>
    <row r="26" spans="1:8" ht="15.5" x14ac:dyDescent="0.35">
      <c r="A26" s="7">
        <v>25</v>
      </c>
      <c r="B26" s="8">
        <v>7881</v>
      </c>
      <c r="C26" s="31" t="s">
        <v>25</v>
      </c>
      <c r="D26" s="8" t="s">
        <v>1051</v>
      </c>
      <c r="E26" s="7">
        <v>1979</v>
      </c>
      <c r="F26" s="36" t="str" cm="1">
        <f t="array" ref="F26">_xlfn.XLOOKUP(D26&amp;C26, Sheet3!$C$2:$C$1224&amp;Sheet3!$B$2:$B$1224, Sheet3!$D$2:$D$1224, "")</f>
        <v/>
      </c>
      <c r="G26" s="1" t="str" cm="1">
        <f t="array" ref="G26">_xlfn.XLOOKUP(D26&amp;C26, Sheet2!$A$2:$A$558&amp;Sheet2!$B$2:$B$558, Sheet2!$C$2:$C$558, "")</f>
        <v/>
      </c>
      <c r="H26" s="40" t="str">
        <f t="shared" si="0"/>
        <v/>
      </c>
    </row>
    <row r="27" spans="1:8" ht="15.5" x14ac:dyDescent="0.35">
      <c r="A27" s="7">
        <v>26</v>
      </c>
      <c r="B27" s="8">
        <v>7379</v>
      </c>
      <c r="C27" s="31" t="s">
        <v>26</v>
      </c>
      <c r="D27" s="8" t="s">
        <v>1052</v>
      </c>
      <c r="E27" s="7">
        <v>1979</v>
      </c>
      <c r="F27" s="36" t="str" cm="1">
        <f t="array" ref="F27">_xlfn.XLOOKUP(D27&amp;C27, Sheet3!$C$2:$C$1224&amp;Sheet3!$B$2:$B$1224, Sheet3!$D$2:$D$1224, "")</f>
        <v/>
      </c>
      <c r="G27" s="1" t="str" cm="1">
        <f t="array" ref="G27">_xlfn.XLOOKUP(D27&amp;C27, Sheet2!$A$2:$A$558&amp;Sheet2!$B$2:$B$558, Sheet2!$C$2:$C$558, "")</f>
        <v/>
      </c>
      <c r="H27" s="40" t="str">
        <f t="shared" si="0"/>
        <v/>
      </c>
    </row>
    <row r="28" spans="1:8" ht="15.5" x14ac:dyDescent="0.35">
      <c r="A28" s="7">
        <v>27</v>
      </c>
      <c r="B28" s="8">
        <v>7371</v>
      </c>
      <c r="C28" s="31" t="s">
        <v>27</v>
      </c>
      <c r="D28" s="8" t="s">
        <v>1052</v>
      </c>
      <c r="E28" s="7">
        <v>1979</v>
      </c>
      <c r="F28" s="36" t="str" cm="1">
        <f t="array" ref="F28">_xlfn.XLOOKUP(D28&amp;C28, Sheet3!$C$2:$C$1224&amp;Sheet3!$B$2:$B$1224, Sheet3!$D$2:$D$1224, "")</f>
        <v/>
      </c>
      <c r="G28" s="1" t="str" cm="1">
        <f t="array" ref="G28">_xlfn.XLOOKUP(D28&amp;C28, Sheet2!$A$2:$A$558&amp;Sheet2!$B$2:$B$558, Sheet2!$C$2:$C$558, "")</f>
        <v/>
      </c>
      <c r="H28" s="40" t="str">
        <f t="shared" si="0"/>
        <v/>
      </c>
    </row>
    <row r="29" spans="1:8" ht="15.5" x14ac:dyDescent="0.35">
      <c r="A29" s="7">
        <v>28</v>
      </c>
      <c r="B29" s="8">
        <v>7948</v>
      </c>
      <c r="C29" s="31" t="s">
        <v>28</v>
      </c>
      <c r="D29" s="8" t="s">
        <v>1051</v>
      </c>
      <c r="E29" s="7">
        <v>1979</v>
      </c>
      <c r="F29" s="36" t="str" cm="1">
        <f t="array" ref="F29">_xlfn.XLOOKUP(D29&amp;C29, Sheet3!$C$2:$C$1224&amp;Sheet3!$B$2:$B$1224, Sheet3!$D$2:$D$1224, "")</f>
        <v/>
      </c>
      <c r="G29" s="1" t="str" cm="1">
        <f t="array" ref="G29">_xlfn.XLOOKUP(D29&amp;C29, Sheet2!$A$2:$A$558&amp;Sheet2!$B$2:$B$558, Sheet2!$C$2:$C$558, "")</f>
        <v/>
      </c>
      <c r="H29" s="40" t="str">
        <f t="shared" si="0"/>
        <v/>
      </c>
    </row>
    <row r="30" spans="1:8" ht="15.5" x14ac:dyDescent="0.35">
      <c r="A30" s="7">
        <v>29</v>
      </c>
      <c r="B30" s="8">
        <v>8395</v>
      </c>
      <c r="C30" s="31" t="s">
        <v>29</v>
      </c>
      <c r="D30" s="8" t="s">
        <v>1053</v>
      </c>
      <c r="E30" s="7">
        <v>1979</v>
      </c>
      <c r="F30" s="36" t="str" cm="1">
        <f t="array" ref="F30">_xlfn.XLOOKUP(D30&amp;C30, Sheet3!$C$2:$C$1224&amp;Sheet3!$B$2:$B$1224, Sheet3!$D$2:$D$1224, "")</f>
        <v/>
      </c>
      <c r="G30" s="1" t="str" cm="1">
        <f t="array" ref="G30">_xlfn.XLOOKUP(D30&amp;C30, Sheet2!$A$2:$A$558&amp;Sheet2!$B$2:$B$558, Sheet2!$C$2:$C$558, "")</f>
        <v/>
      </c>
      <c r="H30" s="40" t="str">
        <f t="shared" si="0"/>
        <v/>
      </c>
    </row>
    <row r="31" spans="1:8" ht="15.5" x14ac:dyDescent="0.35">
      <c r="A31" s="7">
        <v>30</v>
      </c>
      <c r="B31" s="8">
        <v>7618</v>
      </c>
      <c r="C31" s="31" t="s">
        <v>30</v>
      </c>
      <c r="D31" s="8" t="s">
        <v>1052</v>
      </c>
      <c r="E31" s="7">
        <v>1979</v>
      </c>
      <c r="F31" s="36" t="str" cm="1">
        <f t="array" ref="F31">_xlfn.XLOOKUP(D31&amp;C31, Sheet3!$C$2:$C$1224&amp;Sheet3!$B$2:$B$1224, Sheet3!$D$2:$D$1224, "")</f>
        <v/>
      </c>
      <c r="G31" s="1" t="str" cm="1">
        <f t="array" ref="G31">_xlfn.XLOOKUP(D31&amp;C31, Sheet2!$A$2:$A$558&amp;Sheet2!$B$2:$B$558, Sheet2!$C$2:$C$558, "")</f>
        <v/>
      </c>
      <c r="H31" s="40" t="str">
        <f t="shared" si="0"/>
        <v/>
      </c>
    </row>
    <row r="32" spans="1:8" ht="15.5" x14ac:dyDescent="0.35">
      <c r="A32" s="7">
        <v>31</v>
      </c>
      <c r="B32" s="8">
        <v>7735</v>
      </c>
      <c r="C32" s="31" t="s">
        <v>31</v>
      </c>
      <c r="D32" s="8" t="s">
        <v>1052</v>
      </c>
      <c r="E32" s="7">
        <v>1979</v>
      </c>
      <c r="F32" s="36" t="str" cm="1">
        <f t="array" ref="F32">_xlfn.XLOOKUP(D32&amp;C32, Sheet3!$C$2:$C$1224&amp;Sheet3!$B$2:$B$1224, Sheet3!$D$2:$D$1224, "")</f>
        <v/>
      </c>
      <c r="G32" s="1" t="str" cm="1">
        <f t="array" ref="G32">_xlfn.XLOOKUP(D32&amp;C32, Sheet2!$A$2:$A$558&amp;Sheet2!$B$2:$B$558, Sheet2!$C$2:$C$558, "")</f>
        <v/>
      </c>
      <c r="H32" s="40" t="str">
        <f t="shared" si="0"/>
        <v/>
      </c>
    </row>
    <row r="33" spans="1:8" ht="15.5" x14ac:dyDescent="0.35">
      <c r="A33" s="7">
        <v>32</v>
      </c>
      <c r="B33" s="8">
        <v>7193</v>
      </c>
      <c r="C33" s="31" t="s">
        <v>32</v>
      </c>
      <c r="D33" s="8" t="s">
        <v>1049</v>
      </c>
      <c r="E33" s="7">
        <v>1979</v>
      </c>
      <c r="F33" s="36" t="str" cm="1">
        <f t="array" ref="F33">_xlfn.XLOOKUP(D33&amp;C33, Sheet3!$C$2:$C$1224&amp;Sheet3!$B$2:$B$1224, Sheet3!$D$2:$D$1224, "")</f>
        <v/>
      </c>
      <c r="G33" s="1" t="str" cm="1">
        <f t="array" ref="G33">_xlfn.XLOOKUP(D33&amp;C33, Sheet2!$A$2:$A$558&amp;Sheet2!$B$2:$B$558, Sheet2!$C$2:$C$558, "")</f>
        <v/>
      </c>
      <c r="H33" s="40" t="str">
        <f t="shared" si="0"/>
        <v/>
      </c>
    </row>
    <row r="34" spans="1:8" ht="15.5" x14ac:dyDescent="0.35">
      <c r="A34" s="7">
        <v>33</v>
      </c>
      <c r="B34" s="8">
        <v>7151</v>
      </c>
      <c r="C34" s="31" t="s">
        <v>33</v>
      </c>
      <c r="D34" s="8" t="s">
        <v>1049</v>
      </c>
      <c r="E34" s="7">
        <v>1979</v>
      </c>
      <c r="F34" s="36" t="str" cm="1">
        <f t="array" ref="F34">_xlfn.XLOOKUP(D34&amp;C34, Sheet3!$C$2:$C$1224&amp;Sheet3!$B$2:$B$1224, Sheet3!$D$2:$D$1224, "")</f>
        <v/>
      </c>
      <c r="G34" s="1" t="str" cm="1">
        <f t="array" ref="G34">_xlfn.XLOOKUP(D34&amp;C34, Sheet2!$A$2:$A$558&amp;Sheet2!$B$2:$B$558, Sheet2!$C$2:$C$558, "")</f>
        <v/>
      </c>
      <c r="H34" s="40" t="str">
        <f t="shared" si="0"/>
        <v/>
      </c>
    </row>
    <row r="35" spans="1:8" ht="15.5" x14ac:dyDescent="0.35">
      <c r="A35" s="7">
        <v>34</v>
      </c>
      <c r="B35" s="8">
        <v>7188</v>
      </c>
      <c r="C35" s="31" t="s">
        <v>34</v>
      </c>
      <c r="D35" s="8" t="s">
        <v>1049</v>
      </c>
      <c r="E35" s="7">
        <v>1979</v>
      </c>
      <c r="F35" s="36" t="str" cm="1">
        <f t="array" ref="F35">_xlfn.XLOOKUP(D35&amp;C35, Sheet3!$C$2:$C$1224&amp;Sheet3!$B$2:$B$1224, Sheet3!$D$2:$D$1224, "")</f>
        <v>hamdanpohan997@gmail.com</v>
      </c>
      <c r="G35" s="1" t="str" cm="1">
        <f t="array" ref="G35">_xlfn.XLOOKUP(D35&amp;C35, Sheet2!$A$2:$A$558&amp;Sheet2!$B$2:$B$558, Sheet2!$C$2:$C$558, "")</f>
        <v/>
      </c>
      <c r="H35" s="40" t="str">
        <f t="shared" si="0"/>
        <v>hamdanpohan997@gmail.com</v>
      </c>
    </row>
    <row r="36" spans="1:8" ht="15.5" x14ac:dyDescent="0.35">
      <c r="A36" s="7">
        <v>35</v>
      </c>
      <c r="B36" s="8">
        <v>7765</v>
      </c>
      <c r="C36" s="31" t="s">
        <v>35</v>
      </c>
      <c r="D36" s="8" t="s">
        <v>1051</v>
      </c>
      <c r="E36" s="7">
        <v>1979</v>
      </c>
      <c r="F36" s="36" t="str" cm="1">
        <f t="array" ref="F36">_xlfn.XLOOKUP(D36&amp;C36, Sheet3!$C$2:$C$1224&amp;Sheet3!$B$2:$B$1224, Sheet3!$D$2:$D$1224, "")</f>
        <v/>
      </c>
      <c r="G36" s="1" t="str" cm="1">
        <f t="array" ref="G36">_xlfn.XLOOKUP(D36&amp;C36, Sheet2!$A$2:$A$558&amp;Sheet2!$B$2:$B$558, Sheet2!$C$2:$C$558, "")</f>
        <v/>
      </c>
      <c r="H36" s="40" t="str">
        <f t="shared" si="0"/>
        <v/>
      </c>
    </row>
    <row r="37" spans="1:8" ht="15.5" x14ac:dyDescent="0.35">
      <c r="A37" s="7">
        <v>36</v>
      </c>
      <c r="B37" s="8">
        <v>7152</v>
      </c>
      <c r="C37" s="31" t="s">
        <v>36</v>
      </c>
      <c r="D37" s="8" t="s">
        <v>1049</v>
      </c>
      <c r="E37" s="7">
        <v>1979</v>
      </c>
      <c r="F37" s="36" t="str" cm="1">
        <f t="array" ref="F37">_xlfn.XLOOKUP(D37&amp;C37, Sheet3!$C$2:$C$1224&amp;Sheet3!$B$2:$B$1224, Sheet3!$D$2:$D$1224, "")</f>
        <v/>
      </c>
      <c r="G37" s="1" t="str" cm="1">
        <f t="array" ref="G37">_xlfn.XLOOKUP(D37&amp;C37, Sheet2!$A$2:$A$558&amp;Sheet2!$B$2:$B$558, Sheet2!$C$2:$C$558, "")</f>
        <v/>
      </c>
      <c r="H37" s="40" t="str">
        <f t="shared" si="0"/>
        <v/>
      </c>
    </row>
    <row r="38" spans="1:8" ht="15.5" x14ac:dyDescent="0.35">
      <c r="A38" s="7">
        <v>37</v>
      </c>
      <c r="B38" s="8">
        <v>7155</v>
      </c>
      <c r="C38" s="31" t="s">
        <v>37</v>
      </c>
      <c r="D38" s="8" t="s">
        <v>1049</v>
      </c>
      <c r="E38" s="7">
        <v>1979</v>
      </c>
      <c r="F38" s="36" t="str" cm="1">
        <f t="array" ref="F38">_xlfn.XLOOKUP(D38&amp;C38, Sheet3!$C$2:$C$1224&amp;Sheet3!$B$2:$B$1224, Sheet3!$D$2:$D$1224, "")</f>
        <v/>
      </c>
      <c r="G38" s="1" t="str" cm="1">
        <f t="array" ref="G38">_xlfn.XLOOKUP(D38&amp;C38, Sheet2!$A$2:$A$558&amp;Sheet2!$B$2:$B$558, Sheet2!$C$2:$C$558, "")</f>
        <v/>
      </c>
      <c r="H38" s="40" t="str">
        <f t="shared" si="0"/>
        <v/>
      </c>
    </row>
    <row r="39" spans="1:8" ht="15.5" x14ac:dyDescent="0.35">
      <c r="A39" s="7">
        <v>38</v>
      </c>
      <c r="B39" s="8">
        <v>7562</v>
      </c>
      <c r="C39" s="31" t="s">
        <v>38</v>
      </c>
      <c r="D39" s="8" t="s">
        <v>1052</v>
      </c>
      <c r="E39" s="7">
        <v>1979</v>
      </c>
      <c r="F39" s="36" t="str" cm="1">
        <f t="array" ref="F39">_xlfn.XLOOKUP(D39&amp;C39, Sheet3!$C$2:$C$1224&amp;Sheet3!$B$2:$B$1224, Sheet3!$D$2:$D$1224, "")</f>
        <v/>
      </c>
      <c r="G39" s="1" t="str" cm="1">
        <f t="array" ref="G39">_xlfn.XLOOKUP(D39&amp;C39, Sheet2!$A$2:$A$558&amp;Sheet2!$B$2:$B$558, Sheet2!$C$2:$C$558, "")</f>
        <v/>
      </c>
      <c r="H39" s="40" t="str">
        <f t="shared" si="0"/>
        <v/>
      </c>
    </row>
    <row r="40" spans="1:8" ht="15.5" x14ac:dyDescent="0.35">
      <c r="A40" s="7">
        <v>39</v>
      </c>
      <c r="B40" s="8">
        <v>8347</v>
      </c>
      <c r="C40" s="31" t="s">
        <v>39</v>
      </c>
      <c r="D40" s="8" t="s">
        <v>1053</v>
      </c>
      <c r="E40" s="7">
        <v>1979</v>
      </c>
      <c r="F40" s="36" t="str" cm="1">
        <f t="array" ref="F40">_xlfn.XLOOKUP(D40&amp;C40, Sheet3!$C$2:$C$1224&amp;Sheet3!$B$2:$B$1224, Sheet3!$D$2:$D$1224, "")</f>
        <v/>
      </c>
      <c r="G40" s="1" t="str" cm="1">
        <f t="array" ref="G40">_xlfn.XLOOKUP(D40&amp;C40, Sheet2!$A$2:$A$558&amp;Sheet2!$B$2:$B$558, Sheet2!$C$2:$C$558, "")</f>
        <v/>
      </c>
      <c r="H40" s="40" t="str">
        <f t="shared" si="0"/>
        <v/>
      </c>
    </row>
    <row r="41" spans="1:8" ht="15.5" x14ac:dyDescent="0.35">
      <c r="A41" s="7">
        <v>40</v>
      </c>
      <c r="B41" s="8">
        <v>6459</v>
      </c>
      <c r="C41" s="31" t="s">
        <v>40</v>
      </c>
      <c r="D41" s="8" t="s">
        <v>1047</v>
      </c>
      <c r="E41" s="7">
        <v>1979</v>
      </c>
      <c r="F41" s="36" t="str" cm="1">
        <f t="array" ref="F41">_xlfn.XLOOKUP(D41&amp;C41, Sheet3!$C$2:$C$1224&amp;Sheet3!$B$2:$B$1224, Sheet3!$D$2:$D$1224, "")</f>
        <v/>
      </c>
      <c r="G41" s="1" t="str" cm="1">
        <f t="array" ref="G41">_xlfn.XLOOKUP(D41&amp;C41, Sheet2!$A$2:$A$558&amp;Sheet2!$B$2:$B$558, Sheet2!$C$2:$C$558, "")</f>
        <v/>
      </c>
      <c r="H41" s="40" t="str">
        <f t="shared" si="0"/>
        <v/>
      </c>
    </row>
    <row r="42" spans="1:8" ht="15.5" x14ac:dyDescent="0.35">
      <c r="A42" s="7">
        <v>41</v>
      </c>
      <c r="B42" s="8">
        <v>7574</v>
      </c>
      <c r="C42" s="31" t="s">
        <v>41</v>
      </c>
      <c r="D42" s="8" t="s">
        <v>1052</v>
      </c>
      <c r="E42" s="7">
        <v>1979</v>
      </c>
      <c r="F42" s="36" t="str" cm="1">
        <f t="array" ref="F42">_xlfn.XLOOKUP(D42&amp;C42, Sheet3!$C$2:$C$1224&amp;Sheet3!$B$2:$B$1224, Sheet3!$D$2:$D$1224, "")</f>
        <v/>
      </c>
      <c r="G42" s="1" t="str" cm="1">
        <f t="array" ref="G42">_xlfn.XLOOKUP(D42&amp;C42, Sheet2!$A$2:$A$558&amp;Sheet2!$B$2:$B$558, Sheet2!$C$2:$C$558, "")</f>
        <v/>
      </c>
      <c r="H42" s="40" t="str">
        <f t="shared" si="0"/>
        <v/>
      </c>
    </row>
    <row r="43" spans="1:8" ht="15.5" x14ac:dyDescent="0.35">
      <c r="A43" s="7">
        <v>42</v>
      </c>
      <c r="B43" s="8">
        <v>7959</v>
      </c>
      <c r="C43" s="31" t="s">
        <v>42</v>
      </c>
      <c r="D43" s="8" t="s">
        <v>1051</v>
      </c>
      <c r="E43" s="7">
        <v>1980</v>
      </c>
      <c r="F43" s="36" t="str" cm="1">
        <f t="array" ref="F43">_xlfn.XLOOKUP(D43&amp;C43, Sheet3!$C$2:$C$1224&amp;Sheet3!$B$2:$B$1224, Sheet3!$D$2:$D$1224, "")</f>
        <v/>
      </c>
      <c r="G43" s="1" t="str" cm="1">
        <f t="array" ref="G43">_xlfn.XLOOKUP(D43&amp;C43, Sheet2!$A$2:$A$558&amp;Sheet2!$B$2:$B$558, Sheet2!$C$2:$C$558, "")</f>
        <v/>
      </c>
      <c r="H43" s="40" t="str">
        <f t="shared" si="0"/>
        <v/>
      </c>
    </row>
    <row r="44" spans="1:8" ht="15.5" x14ac:dyDescent="0.35">
      <c r="A44" s="7">
        <v>43</v>
      </c>
      <c r="B44" s="8">
        <v>7372</v>
      </c>
      <c r="C44" s="31" t="s">
        <v>43</v>
      </c>
      <c r="D44" s="8" t="s">
        <v>1052</v>
      </c>
      <c r="E44" s="7">
        <v>1980</v>
      </c>
      <c r="F44" s="36" t="str" cm="1">
        <f t="array" ref="F44">_xlfn.XLOOKUP(D44&amp;C44, Sheet3!$C$2:$C$1224&amp;Sheet3!$B$2:$B$1224, Sheet3!$D$2:$D$1224, "")</f>
        <v/>
      </c>
      <c r="G44" s="1" t="str" cm="1">
        <f t="array" ref="G44">_xlfn.XLOOKUP(D44&amp;C44, Sheet2!$A$2:$A$558&amp;Sheet2!$B$2:$B$558, Sheet2!$C$2:$C$558, "")</f>
        <v/>
      </c>
      <c r="H44" s="40" t="str">
        <f t="shared" si="0"/>
        <v/>
      </c>
    </row>
    <row r="45" spans="1:8" ht="15.5" x14ac:dyDescent="0.35">
      <c r="A45" s="7">
        <v>44</v>
      </c>
      <c r="B45" s="8">
        <v>8400</v>
      </c>
      <c r="C45" s="31" t="s">
        <v>44</v>
      </c>
      <c r="D45" s="8" t="s">
        <v>1053</v>
      </c>
      <c r="E45" s="7">
        <v>1980</v>
      </c>
      <c r="F45" s="36" t="str" cm="1">
        <f t="array" ref="F45">_xlfn.XLOOKUP(D45&amp;C45, Sheet3!$C$2:$C$1224&amp;Sheet3!$B$2:$B$1224, Sheet3!$D$2:$D$1224, "")</f>
        <v/>
      </c>
      <c r="G45" s="1" t="str" cm="1">
        <f t="array" ref="G45">_xlfn.XLOOKUP(D45&amp;C45, Sheet2!$A$2:$A$558&amp;Sheet2!$B$2:$B$558, Sheet2!$C$2:$C$558, "")</f>
        <v/>
      </c>
      <c r="H45" s="40" t="str">
        <f t="shared" si="0"/>
        <v/>
      </c>
    </row>
    <row r="46" spans="1:8" ht="15.5" x14ac:dyDescent="0.35">
      <c r="A46" s="7">
        <v>45</v>
      </c>
      <c r="B46" s="8">
        <v>7296</v>
      </c>
      <c r="C46" s="31" t="s">
        <v>45</v>
      </c>
      <c r="D46" s="8" t="s">
        <v>1049</v>
      </c>
      <c r="E46" s="7">
        <v>1980</v>
      </c>
      <c r="F46" s="36" t="str" cm="1">
        <f t="array" ref="F46">_xlfn.XLOOKUP(D46&amp;C46, Sheet3!$C$2:$C$1224&amp;Sheet3!$B$2:$B$1224, Sheet3!$D$2:$D$1224, "")</f>
        <v/>
      </c>
      <c r="G46" s="1" t="str" cm="1">
        <f t="array" ref="G46">_xlfn.XLOOKUP(D46&amp;C46, Sheet2!$A$2:$A$558&amp;Sheet2!$B$2:$B$558, Sheet2!$C$2:$C$558, "")</f>
        <v/>
      </c>
      <c r="H46" s="40" t="str">
        <f t="shared" si="0"/>
        <v/>
      </c>
    </row>
    <row r="47" spans="1:8" ht="15.5" x14ac:dyDescent="0.35">
      <c r="A47" s="7">
        <v>46</v>
      </c>
      <c r="B47" s="8">
        <v>6888</v>
      </c>
      <c r="C47" s="31" t="s">
        <v>46</v>
      </c>
      <c r="D47" s="8" t="s">
        <v>1048</v>
      </c>
      <c r="E47" s="7">
        <v>1980</v>
      </c>
      <c r="F47" s="36" t="str" cm="1">
        <f t="array" ref="F47">_xlfn.XLOOKUP(D47&amp;C47, Sheet3!$C$2:$C$1224&amp;Sheet3!$B$2:$B$1224, Sheet3!$D$2:$D$1224, "")</f>
        <v/>
      </c>
      <c r="G47" s="1" t="str" cm="1">
        <f t="array" ref="G47">_xlfn.XLOOKUP(D47&amp;C47, Sheet2!$A$2:$A$558&amp;Sheet2!$B$2:$B$558, Sheet2!$C$2:$C$558, "")</f>
        <v/>
      </c>
      <c r="H47" s="40" t="str">
        <f t="shared" si="0"/>
        <v/>
      </c>
    </row>
    <row r="48" spans="1:8" ht="15.5" x14ac:dyDescent="0.35">
      <c r="A48" s="7">
        <v>47</v>
      </c>
      <c r="B48" s="8">
        <v>7588</v>
      </c>
      <c r="C48" s="31" t="s">
        <v>47</v>
      </c>
      <c r="D48" s="8" t="s">
        <v>1052</v>
      </c>
      <c r="E48" s="7">
        <v>1980</v>
      </c>
      <c r="F48" s="36" t="str" cm="1">
        <f t="array" ref="F48">_xlfn.XLOOKUP(D48&amp;C48, Sheet3!$C$2:$C$1224&amp;Sheet3!$B$2:$B$1224, Sheet3!$D$2:$D$1224, "")</f>
        <v/>
      </c>
      <c r="G48" s="1" t="str" cm="1">
        <f t="array" ref="G48">_xlfn.XLOOKUP(D48&amp;C48, Sheet2!$A$2:$A$558&amp;Sheet2!$B$2:$B$558, Sheet2!$C$2:$C$558, "")</f>
        <v/>
      </c>
      <c r="H48" s="40" t="str">
        <f t="shared" si="0"/>
        <v/>
      </c>
    </row>
    <row r="49" spans="1:8" ht="15.5" x14ac:dyDescent="0.35">
      <c r="A49" s="7">
        <v>48</v>
      </c>
      <c r="B49" s="8">
        <v>7885</v>
      </c>
      <c r="C49" s="31" t="s">
        <v>48</v>
      </c>
      <c r="D49" s="8" t="s">
        <v>1051</v>
      </c>
      <c r="E49" s="7">
        <v>1980</v>
      </c>
      <c r="F49" s="36" t="str" cm="1">
        <f t="array" ref="F49">_xlfn.XLOOKUP(D49&amp;C49, Sheet3!$C$2:$C$1224&amp;Sheet3!$B$2:$B$1224, Sheet3!$D$2:$D$1224, "")</f>
        <v/>
      </c>
      <c r="G49" s="1" t="str" cm="1">
        <f t="array" ref="G49">_xlfn.XLOOKUP(D49&amp;C49, Sheet2!$A$2:$A$558&amp;Sheet2!$B$2:$B$558, Sheet2!$C$2:$C$558, "")</f>
        <v/>
      </c>
      <c r="H49" s="40" t="str">
        <f t="shared" si="0"/>
        <v/>
      </c>
    </row>
    <row r="50" spans="1:8" ht="15.5" x14ac:dyDescent="0.35">
      <c r="A50" s="7">
        <v>49</v>
      </c>
      <c r="B50" s="8">
        <v>7890</v>
      </c>
      <c r="C50" s="31" t="s">
        <v>49</v>
      </c>
      <c r="D50" s="8" t="s">
        <v>1051</v>
      </c>
      <c r="E50" s="7">
        <v>1980</v>
      </c>
      <c r="F50" s="36" t="str" cm="1">
        <f t="array" ref="F50">_xlfn.XLOOKUP(D50&amp;C50, Sheet3!$C$2:$C$1224&amp;Sheet3!$B$2:$B$1224, Sheet3!$D$2:$D$1224, "")</f>
        <v/>
      </c>
      <c r="G50" s="1" t="str" cm="1">
        <f t="array" ref="G50">_xlfn.XLOOKUP(D50&amp;C50, Sheet2!$A$2:$A$558&amp;Sheet2!$B$2:$B$558, Sheet2!$C$2:$C$558, "")</f>
        <v/>
      </c>
      <c r="H50" s="40" t="str">
        <f t="shared" si="0"/>
        <v/>
      </c>
    </row>
    <row r="51" spans="1:8" ht="15.5" x14ac:dyDescent="0.35">
      <c r="A51" s="7">
        <v>50</v>
      </c>
      <c r="B51" s="8">
        <v>6869</v>
      </c>
      <c r="C51" s="31" t="s">
        <v>50</v>
      </c>
      <c r="D51" s="8" t="s">
        <v>1048</v>
      </c>
      <c r="E51" s="7">
        <v>1980</v>
      </c>
      <c r="F51" s="36" t="str" cm="1">
        <f t="array" ref="F51">_xlfn.XLOOKUP(D51&amp;C51, Sheet3!$C$2:$C$1224&amp;Sheet3!$B$2:$B$1224, Sheet3!$D$2:$D$1224, "")</f>
        <v/>
      </c>
      <c r="G51" s="1" t="str" cm="1">
        <f t="array" ref="G51">_xlfn.XLOOKUP(D51&amp;C51, Sheet2!$A$2:$A$558&amp;Sheet2!$B$2:$B$558, Sheet2!$C$2:$C$558, "")</f>
        <v/>
      </c>
      <c r="H51" s="40" t="str">
        <f t="shared" si="0"/>
        <v/>
      </c>
    </row>
    <row r="52" spans="1:8" ht="15.5" x14ac:dyDescent="0.35">
      <c r="A52" s="7">
        <v>51</v>
      </c>
      <c r="B52" s="8">
        <v>7479</v>
      </c>
      <c r="C52" s="31" t="s">
        <v>51</v>
      </c>
      <c r="D52" s="8" t="s">
        <v>1052</v>
      </c>
      <c r="E52" s="7">
        <v>1980</v>
      </c>
      <c r="F52" s="36" t="str" cm="1">
        <f t="array" ref="F52">_xlfn.XLOOKUP(D52&amp;C52, Sheet3!$C$2:$C$1224&amp;Sheet3!$B$2:$B$1224, Sheet3!$D$2:$D$1224, "")</f>
        <v/>
      </c>
      <c r="G52" s="1" t="str" cm="1">
        <f t="array" ref="G52">_xlfn.XLOOKUP(D52&amp;C52, Sheet2!$A$2:$A$558&amp;Sheet2!$B$2:$B$558, Sheet2!$C$2:$C$558, "")</f>
        <v/>
      </c>
      <c r="H52" s="40" t="str">
        <f t="shared" si="0"/>
        <v/>
      </c>
    </row>
    <row r="53" spans="1:8" ht="15.5" x14ac:dyDescent="0.35">
      <c r="A53" s="7">
        <v>52</v>
      </c>
      <c r="B53" s="8">
        <v>7781</v>
      </c>
      <c r="C53" s="31" t="s">
        <v>52</v>
      </c>
      <c r="D53" s="8" t="s">
        <v>1051</v>
      </c>
      <c r="E53" s="7">
        <v>1980</v>
      </c>
      <c r="F53" s="36" t="str" cm="1">
        <f t="array" ref="F53">_xlfn.XLOOKUP(D53&amp;C53, Sheet3!$C$2:$C$1224&amp;Sheet3!$B$2:$B$1224, Sheet3!$D$2:$D$1224, "")</f>
        <v/>
      </c>
      <c r="G53" s="1" t="str" cm="1">
        <f t="array" ref="G53">_xlfn.XLOOKUP(D53&amp;C53, Sheet2!$A$2:$A$558&amp;Sheet2!$B$2:$B$558, Sheet2!$C$2:$C$558, "")</f>
        <v/>
      </c>
      <c r="H53" s="40" t="str">
        <f t="shared" si="0"/>
        <v/>
      </c>
    </row>
    <row r="54" spans="1:8" ht="15.5" x14ac:dyDescent="0.35">
      <c r="A54" s="7">
        <v>53</v>
      </c>
      <c r="B54" s="8">
        <v>8324</v>
      </c>
      <c r="C54" s="31" t="s">
        <v>53</v>
      </c>
      <c r="D54" s="8" t="s">
        <v>1053</v>
      </c>
      <c r="E54" s="7">
        <v>1980</v>
      </c>
      <c r="F54" s="36" t="str" cm="1">
        <f t="array" ref="F54">_xlfn.XLOOKUP(D54&amp;C54, Sheet3!$C$2:$C$1224&amp;Sheet3!$B$2:$B$1224, Sheet3!$D$2:$D$1224, "")</f>
        <v/>
      </c>
      <c r="G54" s="1" t="str" cm="1">
        <f t="array" ref="G54">_xlfn.XLOOKUP(D54&amp;C54, Sheet2!$A$2:$A$558&amp;Sheet2!$B$2:$B$558, Sheet2!$C$2:$C$558, "")</f>
        <v/>
      </c>
      <c r="H54" s="40" t="str">
        <f t="shared" si="0"/>
        <v/>
      </c>
    </row>
    <row r="55" spans="1:8" ht="15.5" x14ac:dyDescent="0.35">
      <c r="A55" s="7">
        <v>54</v>
      </c>
      <c r="B55" s="8">
        <v>7496</v>
      </c>
      <c r="C55" s="31" t="s">
        <v>54</v>
      </c>
      <c r="D55" s="8" t="s">
        <v>1052</v>
      </c>
      <c r="E55" s="7">
        <v>1980</v>
      </c>
      <c r="F55" s="36" t="str" cm="1">
        <f t="array" ref="F55">_xlfn.XLOOKUP(D55&amp;C55, Sheet3!$C$2:$C$1224&amp;Sheet3!$B$2:$B$1224, Sheet3!$D$2:$D$1224, "")</f>
        <v/>
      </c>
      <c r="G55" s="1" t="str" cm="1">
        <f t="array" ref="G55">_xlfn.XLOOKUP(D55&amp;C55, Sheet2!$A$2:$A$558&amp;Sheet2!$B$2:$B$558, Sheet2!$C$2:$C$558, "")</f>
        <v/>
      </c>
      <c r="H55" s="40" t="str">
        <f t="shared" si="0"/>
        <v/>
      </c>
    </row>
    <row r="56" spans="1:8" ht="15.5" x14ac:dyDescent="0.35">
      <c r="A56" s="7">
        <v>55</v>
      </c>
      <c r="B56" s="8">
        <v>7940</v>
      </c>
      <c r="C56" s="31" t="s">
        <v>55</v>
      </c>
      <c r="D56" s="8" t="s">
        <v>1052</v>
      </c>
      <c r="E56" s="7">
        <v>1980</v>
      </c>
      <c r="F56" s="36" t="str" cm="1">
        <f t="array" ref="F56">_xlfn.XLOOKUP(D56&amp;C56, Sheet3!$C$2:$C$1224&amp;Sheet3!$B$2:$B$1224, Sheet3!$D$2:$D$1224, "")</f>
        <v/>
      </c>
      <c r="G56" s="1" t="str" cm="1">
        <f t="array" ref="G56">_xlfn.XLOOKUP(D56&amp;C56, Sheet2!$A$2:$A$558&amp;Sheet2!$B$2:$B$558, Sheet2!$C$2:$C$558, "")</f>
        <v/>
      </c>
      <c r="H56" s="40" t="str">
        <f t="shared" si="0"/>
        <v/>
      </c>
    </row>
    <row r="57" spans="1:8" ht="15.5" x14ac:dyDescent="0.35">
      <c r="A57" s="7">
        <v>56</v>
      </c>
      <c r="B57" s="8">
        <v>7106</v>
      </c>
      <c r="C57" s="31" t="s">
        <v>56</v>
      </c>
      <c r="D57" s="8" t="s">
        <v>1049</v>
      </c>
      <c r="E57" s="7">
        <v>1980</v>
      </c>
      <c r="F57" s="36" t="str" cm="1">
        <f t="array" ref="F57">_xlfn.XLOOKUP(D57&amp;C57, Sheet3!$C$2:$C$1224&amp;Sheet3!$B$2:$B$1224, Sheet3!$D$2:$D$1224, "")</f>
        <v/>
      </c>
      <c r="G57" s="1" t="str" cm="1">
        <f t="array" ref="G57">_xlfn.XLOOKUP(D57&amp;C57, Sheet2!$A$2:$A$558&amp;Sheet2!$B$2:$B$558, Sheet2!$C$2:$C$558, "")</f>
        <v/>
      </c>
      <c r="H57" s="40" t="str">
        <f t="shared" si="0"/>
        <v/>
      </c>
    </row>
    <row r="58" spans="1:8" ht="15.5" x14ac:dyDescent="0.35">
      <c r="A58" s="7">
        <v>57</v>
      </c>
      <c r="B58" s="8">
        <v>6533</v>
      </c>
      <c r="C58" s="31" t="s">
        <v>57</v>
      </c>
      <c r="D58" s="8" t="s">
        <v>1050</v>
      </c>
      <c r="E58" s="7">
        <v>1980</v>
      </c>
      <c r="F58" s="36" t="str" cm="1">
        <f t="array" ref="F58">_xlfn.XLOOKUP(D58&amp;C58, Sheet3!$C$2:$C$1224&amp;Sheet3!$B$2:$B$1224, Sheet3!$D$2:$D$1224, "")</f>
        <v/>
      </c>
      <c r="G58" s="1" t="str" cm="1">
        <f t="array" ref="G58">_xlfn.XLOOKUP(D58&amp;C58, Sheet2!$A$2:$A$558&amp;Sheet2!$B$2:$B$558, Sheet2!$C$2:$C$558, "")</f>
        <v/>
      </c>
      <c r="H58" s="40" t="str">
        <f t="shared" si="0"/>
        <v/>
      </c>
    </row>
    <row r="59" spans="1:8" ht="15.5" x14ac:dyDescent="0.35">
      <c r="A59" s="7">
        <v>58</v>
      </c>
      <c r="B59" s="8">
        <v>7632</v>
      </c>
      <c r="C59" s="31" t="s">
        <v>58</v>
      </c>
      <c r="D59" s="8" t="s">
        <v>1052</v>
      </c>
      <c r="E59" s="7">
        <v>1980</v>
      </c>
      <c r="F59" s="36" t="str" cm="1">
        <f t="array" ref="F59">_xlfn.XLOOKUP(D59&amp;C59, Sheet3!$C$2:$C$1224&amp;Sheet3!$B$2:$B$1224, Sheet3!$D$2:$D$1224, "")</f>
        <v/>
      </c>
      <c r="G59" s="1" t="str" cm="1">
        <f t="array" ref="G59">_xlfn.XLOOKUP(D59&amp;C59, Sheet2!$A$2:$A$558&amp;Sheet2!$B$2:$B$558, Sheet2!$C$2:$C$558, "")</f>
        <v/>
      </c>
      <c r="H59" s="40" t="str">
        <f t="shared" si="0"/>
        <v/>
      </c>
    </row>
    <row r="60" spans="1:8" ht="15.5" x14ac:dyDescent="0.35">
      <c r="A60" s="7">
        <v>59</v>
      </c>
      <c r="B60" s="8">
        <v>7190</v>
      </c>
      <c r="C60" s="31" t="s">
        <v>59</v>
      </c>
      <c r="D60" s="8" t="s">
        <v>1049</v>
      </c>
      <c r="E60" s="7">
        <v>1980</v>
      </c>
      <c r="F60" s="36" t="str" cm="1">
        <f t="array" ref="F60">_xlfn.XLOOKUP(D60&amp;C60, Sheet3!$C$2:$C$1224&amp;Sheet3!$B$2:$B$1224, Sheet3!$D$2:$D$1224, "")</f>
        <v/>
      </c>
      <c r="G60" s="1" t="str" cm="1">
        <f t="array" ref="G60">_xlfn.XLOOKUP(D60&amp;C60, Sheet2!$A$2:$A$558&amp;Sheet2!$B$2:$B$558, Sheet2!$C$2:$C$558, "")</f>
        <v/>
      </c>
      <c r="H60" s="40" t="str">
        <f t="shared" si="0"/>
        <v/>
      </c>
    </row>
    <row r="61" spans="1:8" ht="15.5" x14ac:dyDescent="0.35">
      <c r="A61" s="7">
        <v>60</v>
      </c>
      <c r="B61" s="8">
        <v>8048</v>
      </c>
      <c r="C61" s="31" t="s">
        <v>60</v>
      </c>
      <c r="D61" s="8" t="s">
        <v>1051</v>
      </c>
      <c r="E61" s="7">
        <v>1980</v>
      </c>
      <c r="F61" s="36" t="str" cm="1">
        <f t="array" ref="F61">_xlfn.XLOOKUP(D61&amp;C61, Sheet3!$C$2:$C$1224&amp;Sheet3!$B$2:$B$1224, Sheet3!$D$2:$D$1224, "")</f>
        <v/>
      </c>
      <c r="G61" s="1" t="str" cm="1">
        <f t="array" ref="G61">_xlfn.XLOOKUP(D61&amp;C61, Sheet2!$A$2:$A$558&amp;Sheet2!$B$2:$B$558, Sheet2!$C$2:$C$558, "")</f>
        <v/>
      </c>
      <c r="H61" s="40" t="str">
        <f t="shared" si="0"/>
        <v/>
      </c>
    </row>
    <row r="62" spans="1:8" ht="15.5" x14ac:dyDescent="0.35">
      <c r="A62" s="7">
        <v>61</v>
      </c>
      <c r="B62" s="8">
        <v>7555</v>
      </c>
      <c r="C62" s="31" t="s">
        <v>61</v>
      </c>
      <c r="D62" s="8" t="s">
        <v>1052</v>
      </c>
      <c r="E62" s="7">
        <v>1980</v>
      </c>
      <c r="F62" s="36" t="str" cm="1">
        <f t="array" ref="F62">_xlfn.XLOOKUP(D62&amp;C62, Sheet3!$C$2:$C$1224&amp;Sheet3!$B$2:$B$1224, Sheet3!$D$2:$D$1224, "")</f>
        <v/>
      </c>
      <c r="G62" s="1" t="str" cm="1">
        <f t="array" ref="G62">_xlfn.XLOOKUP(D62&amp;C62, Sheet2!$A$2:$A$558&amp;Sheet2!$B$2:$B$558, Sheet2!$C$2:$C$558, "")</f>
        <v/>
      </c>
      <c r="H62" s="40" t="str">
        <f t="shared" si="0"/>
        <v/>
      </c>
    </row>
    <row r="63" spans="1:8" ht="15.5" x14ac:dyDescent="0.35">
      <c r="A63" s="7">
        <v>62</v>
      </c>
      <c r="B63" s="8">
        <v>8357</v>
      </c>
      <c r="C63" s="31" t="s">
        <v>62</v>
      </c>
      <c r="D63" s="8" t="s">
        <v>1053</v>
      </c>
      <c r="E63" s="7">
        <v>1980</v>
      </c>
      <c r="F63" s="36" t="str" cm="1">
        <f t="array" ref="F63">_xlfn.XLOOKUP(D63&amp;C63, Sheet3!$C$2:$C$1224&amp;Sheet3!$B$2:$B$1224, Sheet3!$D$2:$D$1224, "")</f>
        <v/>
      </c>
      <c r="G63" s="1" t="str" cm="1">
        <f t="array" ref="G63">_xlfn.XLOOKUP(D63&amp;C63, Sheet2!$A$2:$A$558&amp;Sheet2!$B$2:$B$558, Sheet2!$C$2:$C$558, "")</f>
        <v/>
      </c>
      <c r="H63" s="40" t="str">
        <f t="shared" si="0"/>
        <v/>
      </c>
    </row>
    <row r="64" spans="1:8" ht="15.5" x14ac:dyDescent="0.35">
      <c r="A64" s="7">
        <v>63</v>
      </c>
      <c r="B64" s="8">
        <v>6770</v>
      </c>
      <c r="C64" s="31" t="s">
        <v>63</v>
      </c>
      <c r="D64" s="8" t="s">
        <v>1048</v>
      </c>
      <c r="E64" s="7">
        <v>1980</v>
      </c>
      <c r="F64" s="36" t="str" cm="1">
        <f t="array" ref="F64">_xlfn.XLOOKUP(D64&amp;C64, Sheet3!$C$2:$C$1224&amp;Sheet3!$B$2:$B$1224, Sheet3!$D$2:$D$1224, "")</f>
        <v/>
      </c>
      <c r="G64" s="1" t="str" cm="1">
        <f t="array" ref="G64">_xlfn.XLOOKUP(D64&amp;C64, Sheet2!$A$2:$A$558&amp;Sheet2!$B$2:$B$558, Sheet2!$C$2:$C$558, "")</f>
        <v/>
      </c>
      <c r="H64" s="40" t="str">
        <f t="shared" si="0"/>
        <v/>
      </c>
    </row>
    <row r="65" spans="1:8" ht="15.5" x14ac:dyDescent="0.35">
      <c r="A65" s="7">
        <v>64</v>
      </c>
      <c r="B65" s="8">
        <v>7617</v>
      </c>
      <c r="C65" s="31" t="s">
        <v>64</v>
      </c>
      <c r="D65" s="8" t="s">
        <v>1052</v>
      </c>
      <c r="E65" s="7">
        <v>1980</v>
      </c>
      <c r="F65" s="36" t="str" cm="1">
        <f t="array" ref="F65">_xlfn.XLOOKUP(D65&amp;C65, Sheet3!$C$2:$C$1224&amp;Sheet3!$B$2:$B$1224, Sheet3!$D$2:$D$1224, "")</f>
        <v/>
      </c>
      <c r="G65" s="1" t="str" cm="1">
        <f t="array" ref="G65">_xlfn.XLOOKUP(D65&amp;C65, Sheet2!$A$2:$A$558&amp;Sheet2!$B$2:$B$558, Sheet2!$C$2:$C$558, "")</f>
        <v/>
      </c>
      <c r="H65" s="40" t="str">
        <f t="shared" si="0"/>
        <v/>
      </c>
    </row>
    <row r="66" spans="1:8" ht="15.5" x14ac:dyDescent="0.35">
      <c r="A66" s="7">
        <v>65</v>
      </c>
      <c r="B66" s="8">
        <v>6337</v>
      </c>
      <c r="C66" s="31" t="s">
        <v>65</v>
      </c>
      <c r="D66" s="8" t="s">
        <v>1047</v>
      </c>
      <c r="E66" s="7">
        <v>1980</v>
      </c>
      <c r="F66" s="36" t="str" cm="1">
        <f t="array" ref="F66">_xlfn.XLOOKUP(D66&amp;C66, Sheet3!$C$2:$C$1224&amp;Sheet3!$B$2:$B$1224, Sheet3!$D$2:$D$1224, "")</f>
        <v/>
      </c>
      <c r="G66" s="1" t="str" cm="1">
        <f t="array" ref="G66">_xlfn.XLOOKUP(D66&amp;C66, Sheet2!$A$2:$A$558&amp;Sheet2!$B$2:$B$558, Sheet2!$C$2:$C$558, "")</f>
        <v/>
      </c>
      <c r="H66" s="40" t="str">
        <f t="shared" si="0"/>
        <v/>
      </c>
    </row>
    <row r="67" spans="1:8" ht="15.5" x14ac:dyDescent="0.35">
      <c r="A67" s="7">
        <v>66</v>
      </c>
      <c r="B67" s="8">
        <v>7664</v>
      </c>
      <c r="C67" s="31" t="s">
        <v>66</v>
      </c>
      <c r="D67" s="8" t="s">
        <v>1052</v>
      </c>
      <c r="E67" s="7">
        <v>1980</v>
      </c>
      <c r="F67" s="36" t="str" cm="1">
        <f t="array" ref="F67">_xlfn.XLOOKUP(D67&amp;C67, Sheet3!$C$2:$C$1224&amp;Sheet3!$B$2:$B$1224, Sheet3!$D$2:$D$1224, "")</f>
        <v/>
      </c>
      <c r="G67" s="1" t="str" cm="1">
        <f t="array" ref="G67">_xlfn.XLOOKUP(D67&amp;C67, Sheet2!$A$2:$A$558&amp;Sheet2!$B$2:$B$558, Sheet2!$C$2:$C$558, "")</f>
        <v/>
      </c>
      <c r="H67" s="40" t="str">
        <f t="shared" ref="H67:H130" si="1">IF(F67&lt;&gt;"",F67,G67)</f>
        <v/>
      </c>
    </row>
    <row r="68" spans="1:8" ht="15.5" x14ac:dyDescent="0.35">
      <c r="A68" s="7">
        <v>67</v>
      </c>
      <c r="B68" s="8">
        <v>8312</v>
      </c>
      <c r="C68" s="31" t="s">
        <v>67</v>
      </c>
      <c r="D68" s="8" t="s">
        <v>1053</v>
      </c>
      <c r="E68" s="7">
        <v>1980</v>
      </c>
      <c r="F68" s="36" t="str" cm="1">
        <f t="array" ref="F68">_xlfn.XLOOKUP(D68&amp;C68, Sheet3!$C$2:$C$1224&amp;Sheet3!$B$2:$B$1224, Sheet3!$D$2:$D$1224, "")</f>
        <v/>
      </c>
      <c r="G68" s="1" t="str" cm="1">
        <f t="array" ref="G68">_xlfn.XLOOKUP(D68&amp;C68, Sheet2!$A$2:$A$558&amp;Sheet2!$B$2:$B$558, Sheet2!$C$2:$C$558, "")</f>
        <v/>
      </c>
      <c r="H68" s="40" t="str">
        <f t="shared" si="1"/>
        <v/>
      </c>
    </row>
    <row r="69" spans="1:8" ht="15.5" x14ac:dyDescent="0.35">
      <c r="A69" s="7">
        <v>68</v>
      </c>
      <c r="B69" s="8">
        <v>7523</v>
      </c>
      <c r="C69" s="31" t="s">
        <v>68</v>
      </c>
      <c r="D69" s="8" t="s">
        <v>1052</v>
      </c>
      <c r="E69" s="7">
        <v>1980</v>
      </c>
      <c r="F69" s="36" t="str" cm="1">
        <f t="array" ref="F69">_xlfn.XLOOKUP(D69&amp;C69, Sheet3!$C$2:$C$1224&amp;Sheet3!$B$2:$B$1224, Sheet3!$D$2:$D$1224, "")</f>
        <v/>
      </c>
      <c r="G69" s="1" t="str" cm="1">
        <f t="array" ref="G69">_xlfn.XLOOKUP(D69&amp;C69, Sheet2!$A$2:$A$558&amp;Sheet2!$B$2:$B$558, Sheet2!$C$2:$C$558, "")</f>
        <v/>
      </c>
      <c r="H69" s="40" t="str">
        <f t="shared" si="1"/>
        <v/>
      </c>
    </row>
    <row r="70" spans="1:8" ht="15.5" x14ac:dyDescent="0.35">
      <c r="A70" s="7">
        <v>69</v>
      </c>
      <c r="B70" s="8">
        <v>7441</v>
      </c>
      <c r="C70" s="31" t="s">
        <v>69</v>
      </c>
      <c r="D70" s="8" t="s">
        <v>1052</v>
      </c>
      <c r="E70" s="7">
        <v>1980</v>
      </c>
      <c r="F70" s="36" t="str" cm="1">
        <f t="array" ref="F70">_xlfn.XLOOKUP(D70&amp;C70, Sheet3!$C$2:$C$1224&amp;Sheet3!$B$2:$B$1224, Sheet3!$D$2:$D$1224, "")</f>
        <v/>
      </c>
      <c r="G70" s="1" t="str" cm="1">
        <f t="array" ref="G70">_xlfn.XLOOKUP(D70&amp;C70, Sheet2!$A$2:$A$558&amp;Sheet2!$B$2:$B$558, Sheet2!$C$2:$C$558, "")</f>
        <v/>
      </c>
      <c r="H70" s="40" t="str">
        <f t="shared" si="1"/>
        <v/>
      </c>
    </row>
    <row r="71" spans="1:8" ht="15.5" x14ac:dyDescent="0.35">
      <c r="A71" s="7">
        <v>70</v>
      </c>
      <c r="B71" s="8">
        <v>7062</v>
      </c>
      <c r="C71" s="31" t="s">
        <v>70</v>
      </c>
      <c r="D71" s="8" t="s">
        <v>1049</v>
      </c>
      <c r="E71" s="7">
        <v>1980</v>
      </c>
      <c r="F71" s="36" t="str" cm="1">
        <f t="array" ref="F71">_xlfn.XLOOKUP(D71&amp;C71, Sheet3!$C$2:$C$1224&amp;Sheet3!$B$2:$B$1224, Sheet3!$D$2:$D$1224, "")</f>
        <v/>
      </c>
      <c r="G71" s="1" t="str" cm="1">
        <f t="array" ref="G71">_xlfn.XLOOKUP(D71&amp;C71, Sheet2!$A$2:$A$558&amp;Sheet2!$B$2:$B$558, Sheet2!$C$2:$C$558, "")</f>
        <v/>
      </c>
      <c r="H71" s="40" t="str">
        <f t="shared" si="1"/>
        <v/>
      </c>
    </row>
    <row r="72" spans="1:8" ht="15.5" x14ac:dyDescent="0.35">
      <c r="A72" s="7">
        <v>71</v>
      </c>
      <c r="B72" s="8">
        <v>7464</v>
      </c>
      <c r="C72" s="31" t="s">
        <v>71</v>
      </c>
      <c r="D72" s="8" t="s">
        <v>1052</v>
      </c>
      <c r="E72" s="7">
        <v>1980</v>
      </c>
      <c r="F72" s="36" t="str" cm="1">
        <f t="array" ref="F72">_xlfn.XLOOKUP(D72&amp;C72, Sheet3!$C$2:$C$1224&amp;Sheet3!$B$2:$B$1224, Sheet3!$D$2:$D$1224, "")</f>
        <v/>
      </c>
      <c r="G72" s="1" t="str" cm="1">
        <f t="array" ref="G72">_xlfn.XLOOKUP(D72&amp;C72, Sheet2!$A$2:$A$558&amp;Sheet2!$B$2:$B$558, Sheet2!$C$2:$C$558, "")</f>
        <v/>
      </c>
      <c r="H72" s="40" t="str">
        <f t="shared" si="1"/>
        <v/>
      </c>
    </row>
    <row r="73" spans="1:8" ht="15.5" x14ac:dyDescent="0.35">
      <c r="A73" s="7">
        <v>72</v>
      </c>
      <c r="B73" s="8">
        <v>7456</v>
      </c>
      <c r="C73" s="31" t="s">
        <v>72</v>
      </c>
      <c r="D73" s="8" t="s">
        <v>1052</v>
      </c>
      <c r="E73" s="7">
        <v>1980</v>
      </c>
      <c r="F73" s="36" t="str" cm="1">
        <f t="array" ref="F73">_xlfn.XLOOKUP(D73&amp;C73, Sheet3!$C$2:$C$1224&amp;Sheet3!$B$2:$B$1224, Sheet3!$D$2:$D$1224, "")</f>
        <v/>
      </c>
      <c r="G73" s="1" t="str" cm="1">
        <f t="array" ref="G73">_xlfn.XLOOKUP(D73&amp;C73, Sheet2!$A$2:$A$558&amp;Sheet2!$B$2:$B$558, Sheet2!$C$2:$C$558, "")</f>
        <v/>
      </c>
      <c r="H73" s="40" t="str">
        <f t="shared" si="1"/>
        <v/>
      </c>
    </row>
    <row r="74" spans="1:8" ht="15.5" x14ac:dyDescent="0.35">
      <c r="A74" s="7">
        <v>73</v>
      </c>
      <c r="B74" s="8">
        <v>8369</v>
      </c>
      <c r="C74" s="31" t="s">
        <v>73</v>
      </c>
      <c r="D74" s="8" t="s">
        <v>1053</v>
      </c>
      <c r="E74" s="7">
        <v>1980</v>
      </c>
      <c r="F74" s="36" t="str" cm="1">
        <f t="array" ref="F74">_xlfn.XLOOKUP(D74&amp;C74, Sheet3!$C$2:$C$1224&amp;Sheet3!$B$2:$B$1224, Sheet3!$D$2:$D$1224, "")</f>
        <v/>
      </c>
      <c r="G74" s="1" t="str" cm="1">
        <f t="array" ref="G74">_xlfn.XLOOKUP(D74&amp;C74, Sheet2!$A$2:$A$558&amp;Sheet2!$B$2:$B$558, Sheet2!$C$2:$C$558, "")</f>
        <v/>
      </c>
      <c r="H74" s="40" t="str">
        <f t="shared" si="1"/>
        <v/>
      </c>
    </row>
    <row r="75" spans="1:8" ht="15.5" x14ac:dyDescent="0.35">
      <c r="A75" s="7">
        <v>74</v>
      </c>
      <c r="B75" s="8">
        <v>6874</v>
      </c>
      <c r="C75" s="31" t="s">
        <v>74</v>
      </c>
      <c r="D75" s="8" t="s">
        <v>1048</v>
      </c>
      <c r="E75" s="7">
        <v>1980</v>
      </c>
      <c r="F75" s="36" t="str" cm="1">
        <f t="array" ref="F75">_xlfn.XLOOKUP(D75&amp;C75, Sheet3!$C$2:$C$1224&amp;Sheet3!$B$2:$B$1224, Sheet3!$D$2:$D$1224, "")</f>
        <v/>
      </c>
      <c r="G75" s="1" t="str" cm="1">
        <f t="array" ref="G75">_xlfn.XLOOKUP(D75&amp;C75, Sheet2!$A$2:$A$558&amp;Sheet2!$B$2:$B$558, Sheet2!$C$2:$C$558, "")</f>
        <v/>
      </c>
      <c r="H75" s="40" t="str">
        <f t="shared" si="1"/>
        <v/>
      </c>
    </row>
    <row r="76" spans="1:8" ht="15.5" x14ac:dyDescent="0.35">
      <c r="A76" s="7">
        <v>75</v>
      </c>
      <c r="B76" s="8">
        <v>8104</v>
      </c>
      <c r="C76" s="31" t="s">
        <v>75</v>
      </c>
      <c r="D76" s="8" t="s">
        <v>1051</v>
      </c>
      <c r="E76" s="7">
        <v>1980</v>
      </c>
      <c r="F76" s="36" t="str" cm="1">
        <f t="array" ref="F76">_xlfn.XLOOKUP(D76&amp;C76, Sheet3!$C$2:$C$1224&amp;Sheet3!$B$2:$B$1224, Sheet3!$D$2:$D$1224, "")</f>
        <v/>
      </c>
      <c r="G76" s="1" t="str" cm="1">
        <f t="array" ref="G76">_xlfn.XLOOKUP(D76&amp;C76, Sheet2!$A$2:$A$558&amp;Sheet2!$B$2:$B$558, Sheet2!$C$2:$C$558, "")</f>
        <v/>
      </c>
      <c r="H76" s="40" t="str">
        <f t="shared" si="1"/>
        <v/>
      </c>
    </row>
    <row r="77" spans="1:8" ht="15.5" x14ac:dyDescent="0.35">
      <c r="A77" s="7">
        <v>76</v>
      </c>
      <c r="B77" s="8">
        <v>6670</v>
      </c>
      <c r="C77" s="31" t="s">
        <v>76</v>
      </c>
      <c r="D77" s="8" t="s">
        <v>1050</v>
      </c>
      <c r="E77" s="7">
        <v>1980</v>
      </c>
      <c r="F77" s="36" t="str" cm="1">
        <f t="array" ref="F77">_xlfn.XLOOKUP(D77&amp;C77, Sheet3!$C$2:$C$1224&amp;Sheet3!$B$2:$B$1224, Sheet3!$D$2:$D$1224, "")</f>
        <v/>
      </c>
      <c r="G77" s="1" t="str" cm="1">
        <f t="array" ref="G77">_xlfn.XLOOKUP(D77&amp;C77, Sheet2!$A$2:$A$558&amp;Sheet2!$B$2:$B$558, Sheet2!$C$2:$C$558, "")</f>
        <v/>
      </c>
      <c r="H77" s="40" t="str">
        <f t="shared" si="1"/>
        <v/>
      </c>
    </row>
    <row r="78" spans="1:8" ht="15.5" x14ac:dyDescent="0.35">
      <c r="A78" s="7">
        <v>77</v>
      </c>
      <c r="B78" s="8">
        <v>8281</v>
      </c>
      <c r="C78" s="31" t="s">
        <v>77</v>
      </c>
      <c r="D78" s="8" t="s">
        <v>1053</v>
      </c>
      <c r="E78" s="7">
        <v>1980</v>
      </c>
      <c r="F78" s="36" t="str" cm="1">
        <f t="array" ref="F78">_xlfn.XLOOKUP(D78&amp;C78, Sheet3!$C$2:$C$1224&amp;Sheet3!$B$2:$B$1224, Sheet3!$D$2:$D$1224, "")</f>
        <v>priyadiagus506@gmail.com</v>
      </c>
      <c r="G78" s="1" t="str" cm="1">
        <f t="array" ref="G78">_xlfn.XLOOKUP(D78&amp;C78, Sheet2!$A$2:$A$558&amp;Sheet2!$B$2:$B$558, Sheet2!$C$2:$C$558, "")</f>
        <v/>
      </c>
      <c r="H78" s="40" t="str">
        <f t="shared" si="1"/>
        <v>priyadiagus506@gmail.com</v>
      </c>
    </row>
    <row r="79" spans="1:8" ht="15.5" x14ac:dyDescent="0.35">
      <c r="A79" s="7">
        <v>78</v>
      </c>
      <c r="B79" s="8">
        <v>7509</v>
      </c>
      <c r="C79" s="31" t="s">
        <v>78</v>
      </c>
      <c r="D79" s="8" t="s">
        <v>1052</v>
      </c>
      <c r="E79" s="7">
        <v>1980</v>
      </c>
      <c r="F79" s="36" t="str" cm="1">
        <f t="array" ref="F79">_xlfn.XLOOKUP(D79&amp;C79, Sheet3!$C$2:$C$1224&amp;Sheet3!$B$2:$B$1224, Sheet3!$D$2:$D$1224, "")</f>
        <v/>
      </c>
      <c r="G79" s="1" t="str" cm="1">
        <f t="array" ref="G79">_xlfn.XLOOKUP(D79&amp;C79, Sheet2!$A$2:$A$558&amp;Sheet2!$B$2:$B$558, Sheet2!$C$2:$C$558, "")</f>
        <v/>
      </c>
      <c r="H79" s="40" t="str">
        <f t="shared" si="1"/>
        <v/>
      </c>
    </row>
    <row r="80" spans="1:8" ht="15.5" x14ac:dyDescent="0.35">
      <c r="A80" s="7">
        <v>79</v>
      </c>
      <c r="B80" s="8">
        <v>7191</v>
      </c>
      <c r="C80" s="31" t="s">
        <v>79</v>
      </c>
      <c r="D80" s="8" t="s">
        <v>1049</v>
      </c>
      <c r="E80" s="7">
        <v>1980</v>
      </c>
      <c r="F80" s="36" t="str" cm="1">
        <f t="array" ref="F80">_xlfn.XLOOKUP(D80&amp;C80, Sheet3!$C$2:$C$1224&amp;Sheet3!$B$2:$B$1224, Sheet3!$D$2:$D$1224, "")</f>
        <v/>
      </c>
      <c r="G80" s="1" t="str" cm="1">
        <f t="array" ref="G80">_xlfn.XLOOKUP(D80&amp;C80, Sheet2!$A$2:$A$558&amp;Sheet2!$B$2:$B$558, Sheet2!$C$2:$C$558, "")</f>
        <v/>
      </c>
      <c r="H80" s="40" t="str">
        <f t="shared" si="1"/>
        <v/>
      </c>
    </row>
    <row r="81" spans="1:8" ht="15.5" x14ac:dyDescent="0.35">
      <c r="A81" s="7">
        <v>80</v>
      </c>
      <c r="B81" s="8">
        <v>7957</v>
      </c>
      <c r="C81" s="31" t="s">
        <v>80</v>
      </c>
      <c r="D81" s="8" t="s">
        <v>1051</v>
      </c>
      <c r="E81" s="7">
        <v>1980</v>
      </c>
      <c r="F81" s="36" t="str" cm="1">
        <f t="array" ref="F81">_xlfn.XLOOKUP(D81&amp;C81, Sheet3!$C$2:$C$1224&amp;Sheet3!$B$2:$B$1224, Sheet3!$D$2:$D$1224, "")</f>
        <v/>
      </c>
      <c r="G81" s="1" t="str" cm="1">
        <f t="array" ref="G81">_xlfn.XLOOKUP(D81&amp;C81, Sheet2!$A$2:$A$558&amp;Sheet2!$B$2:$B$558, Sheet2!$C$2:$C$558, "")</f>
        <v/>
      </c>
      <c r="H81" s="40" t="str">
        <f t="shared" si="1"/>
        <v/>
      </c>
    </row>
    <row r="82" spans="1:8" ht="15.5" x14ac:dyDescent="0.35">
      <c r="A82" s="7">
        <v>81</v>
      </c>
      <c r="B82" s="8">
        <v>8249</v>
      </c>
      <c r="C82" s="31" t="s">
        <v>81</v>
      </c>
      <c r="D82" s="8" t="s">
        <v>1053</v>
      </c>
      <c r="E82" s="7">
        <v>1980</v>
      </c>
      <c r="F82" s="36" t="str" cm="1">
        <f t="array" ref="F82">_xlfn.XLOOKUP(D82&amp;C82, Sheet3!$C$2:$C$1224&amp;Sheet3!$B$2:$B$1224, Sheet3!$D$2:$D$1224, "")</f>
        <v/>
      </c>
      <c r="G82" s="1" t="str" cm="1">
        <f t="array" ref="G82">_xlfn.XLOOKUP(D82&amp;C82, Sheet2!$A$2:$A$558&amp;Sheet2!$B$2:$B$558, Sheet2!$C$2:$C$558, "")</f>
        <v/>
      </c>
      <c r="H82" s="40" t="str">
        <f t="shared" si="1"/>
        <v/>
      </c>
    </row>
    <row r="83" spans="1:8" ht="15.5" x14ac:dyDescent="0.35">
      <c r="A83" s="7">
        <v>82</v>
      </c>
      <c r="B83" s="8">
        <v>8351</v>
      </c>
      <c r="C83" s="31" t="s">
        <v>82</v>
      </c>
      <c r="D83" s="8" t="s">
        <v>1053</v>
      </c>
      <c r="E83" s="7">
        <v>1980</v>
      </c>
      <c r="F83" s="36" t="str" cm="1">
        <f t="array" ref="F83">_xlfn.XLOOKUP(D83&amp;C83, Sheet3!$C$2:$C$1224&amp;Sheet3!$B$2:$B$1224, Sheet3!$D$2:$D$1224, "")</f>
        <v/>
      </c>
      <c r="G83" s="1" t="str" cm="1">
        <f t="array" ref="G83">_xlfn.XLOOKUP(D83&amp;C83, Sheet2!$A$2:$A$558&amp;Sheet2!$B$2:$B$558, Sheet2!$C$2:$C$558, "")</f>
        <v/>
      </c>
      <c r="H83" s="40" t="str">
        <f t="shared" si="1"/>
        <v/>
      </c>
    </row>
    <row r="84" spans="1:8" ht="15.5" x14ac:dyDescent="0.35">
      <c r="A84" s="7">
        <v>83</v>
      </c>
      <c r="B84" s="8">
        <v>8300</v>
      </c>
      <c r="C84" s="31" t="s">
        <v>83</v>
      </c>
      <c r="D84" s="8" t="s">
        <v>1053</v>
      </c>
      <c r="E84" s="7">
        <v>1980</v>
      </c>
      <c r="F84" s="36" t="str" cm="1">
        <f t="array" ref="F84">_xlfn.XLOOKUP(D84&amp;C84, Sheet3!$C$2:$C$1224&amp;Sheet3!$B$2:$B$1224, Sheet3!$D$2:$D$1224, "")</f>
        <v/>
      </c>
      <c r="G84" s="1" t="str" cm="1">
        <f t="array" ref="G84">_xlfn.XLOOKUP(D84&amp;C84, Sheet2!$A$2:$A$558&amp;Sheet2!$B$2:$B$558, Sheet2!$C$2:$C$558, "")</f>
        <v/>
      </c>
      <c r="H84" s="40" t="str">
        <f t="shared" si="1"/>
        <v/>
      </c>
    </row>
    <row r="85" spans="1:8" ht="15.5" x14ac:dyDescent="0.35">
      <c r="A85" s="7">
        <v>84</v>
      </c>
      <c r="B85" s="8">
        <v>7450</v>
      </c>
      <c r="C85" s="31" t="s">
        <v>84</v>
      </c>
      <c r="D85" s="8" t="s">
        <v>1052</v>
      </c>
      <c r="E85" s="7">
        <v>1980</v>
      </c>
      <c r="F85" s="36" t="str" cm="1">
        <f t="array" ref="F85">_xlfn.XLOOKUP(D85&amp;C85, Sheet3!$C$2:$C$1224&amp;Sheet3!$B$2:$B$1224, Sheet3!$D$2:$D$1224, "")</f>
        <v/>
      </c>
      <c r="G85" s="1" t="str" cm="1">
        <f t="array" ref="G85">_xlfn.XLOOKUP(D85&amp;C85, Sheet2!$A$2:$A$558&amp;Sheet2!$B$2:$B$558, Sheet2!$C$2:$C$558, "")</f>
        <v/>
      </c>
      <c r="H85" s="40" t="str">
        <f t="shared" si="1"/>
        <v/>
      </c>
    </row>
    <row r="86" spans="1:8" ht="15.5" x14ac:dyDescent="0.35">
      <c r="A86" s="7">
        <v>85</v>
      </c>
      <c r="B86" s="8">
        <v>6652</v>
      </c>
      <c r="C86" s="31" t="s">
        <v>85</v>
      </c>
      <c r="D86" s="8" t="s">
        <v>1050</v>
      </c>
      <c r="E86" s="7">
        <v>1980</v>
      </c>
      <c r="F86" s="36" t="str" cm="1">
        <f t="array" ref="F86">_xlfn.XLOOKUP(D86&amp;C86, Sheet3!$C$2:$C$1224&amp;Sheet3!$B$2:$B$1224, Sheet3!$D$2:$D$1224, "")</f>
        <v/>
      </c>
      <c r="G86" s="1" t="str" cm="1">
        <f t="array" ref="G86">_xlfn.XLOOKUP(D86&amp;C86, Sheet2!$A$2:$A$558&amp;Sheet2!$B$2:$B$558, Sheet2!$C$2:$C$558, "")</f>
        <v/>
      </c>
      <c r="H86" s="40" t="str">
        <f t="shared" si="1"/>
        <v/>
      </c>
    </row>
    <row r="87" spans="1:8" ht="15.5" x14ac:dyDescent="0.35">
      <c r="A87" s="7">
        <v>86</v>
      </c>
      <c r="B87" s="8">
        <v>8080</v>
      </c>
      <c r="C87" s="31" t="s">
        <v>86</v>
      </c>
      <c r="D87" s="8" t="s">
        <v>1051</v>
      </c>
      <c r="E87" s="7">
        <v>1980</v>
      </c>
      <c r="F87" s="36" t="str" cm="1">
        <f t="array" ref="F87">_xlfn.XLOOKUP(D87&amp;C87, Sheet3!$C$2:$C$1224&amp;Sheet3!$B$2:$B$1224, Sheet3!$D$2:$D$1224, "")</f>
        <v/>
      </c>
      <c r="G87" s="1" t="str" cm="1">
        <f t="array" ref="G87">_xlfn.XLOOKUP(D87&amp;C87, Sheet2!$A$2:$A$558&amp;Sheet2!$B$2:$B$558, Sheet2!$C$2:$C$558, "")</f>
        <v/>
      </c>
      <c r="H87" s="40" t="str">
        <f t="shared" si="1"/>
        <v/>
      </c>
    </row>
    <row r="88" spans="1:8" ht="15.5" x14ac:dyDescent="0.35">
      <c r="A88" s="7">
        <v>87</v>
      </c>
      <c r="B88" s="8">
        <v>8448</v>
      </c>
      <c r="C88" s="31" t="s">
        <v>87</v>
      </c>
      <c r="D88" s="8" t="s">
        <v>1053</v>
      </c>
      <c r="E88" s="7">
        <v>1980</v>
      </c>
      <c r="F88" s="36" t="str" cm="1">
        <f t="array" ref="F88">_xlfn.XLOOKUP(D88&amp;C88, Sheet3!$C$2:$C$1224&amp;Sheet3!$B$2:$B$1224, Sheet3!$D$2:$D$1224, "")</f>
        <v/>
      </c>
      <c r="G88" s="1" t="str" cm="1">
        <f t="array" ref="G88">_xlfn.XLOOKUP(D88&amp;C88, Sheet2!$A$2:$A$558&amp;Sheet2!$B$2:$B$558, Sheet2!$C$2:$C$558, "")</f>
        <v/>
      </c>
      <c r="H88" s="40" t="str">
        <f t="shared" si="1"/>
        <v/>
      </c>
    </row>
    <row r="89" spans="1:8" ht="15.5" x14ac:dyDescent="0.35">
      <c r="A89" s="7">
        <v>88</v>
      </c>
      <c r="B89" s="8">
        <v>7579</v>
      </c>
      <c r="C89" s="31" t="s">
        <v>88</v>
      </c>
      <c r="D89" s="8" t="s">
        <v>1052</v>
      </c>
      <c r="E89" s="7">
        <v>1981</v>
      </c>
      <c r="F89" s="36" t="str" cm="1">
        <f t="array" ref="F89">_xlfn.XLOOKUP(D89&amp;C89, Sheet3!$C$2:$C$1224&amp;Sheet3!$B$2:$B$1224, Sheet3!$D$2:$D$1224, "")</f>
        <v/>
      </c>
      <c r="G89" s="1" t="str" cm="1">
        <f t="array" ref="G89">_xlfn.XLOOKUP(D89&amp;C89, Sheet2!$A$2:$A$558&amp;Sheet2!$B$2:$B$558, Sheet2!$C$2:$C$558, "")</f>
        <v/>
      </c>
      <c r="H89" s="40" t="str">
        <f t="shared" si="1"/>
        <v/>
      </c>
    </row>
    <row r="90" spans="1:8" ht="15.5" x14ac:dyDescent="0.35">
      <c r="A90" s="7">
        <v>89</v>
      </c>
      <c r="B90" s="8">
        <v>7804</v>
      </c>
      <c r="C90" s="31" t="s">
        <v>89</v>
      </c>
      <c r="D90" s="8" t="s">
        <v>1051</v>
      </c>
      <c r="E90" s="7">
        <v>1981</v>
      </c>
      <c r="F90" s="36" t="str" cm="1">
        <f t="array" ref="F90">_xlfn.XLOOKUP(D90&amp;C90, Sheet3!$C$2:$C$1224&amp;Sheet3!$B$2:$B$1224, Sheet3!$D$2:$D$1224, "")</f>
        <v/>
      </c>
      <c r="G90" s="1" t="str" cm="1">
        <f t="array" ref="G90">_xlfn.XLOOKUP(D90&amp;C90, Sheet2!$A$2:$A$558&amp;Sheet2!$B$2:$B$558, Sheet2!$C$2:$C$558, "")</f>
        <v/>
      </c>
      <c r="H90" s="40" t="str">
        <f t="shared" si="1"/>
        <v/>
      </c>
    </row>
    <row r="91" spans="1:8" ht="15.5" x14ac:dyDescent="0.35">
      <c r="A91" s="7">
        <v>90</v>
      </c>
      <c r="B91" s="8">
        <v>7840</v>
      </c>
      <c r="C91" s="31" t="s">
        <v>90</v>
      </c>
      <c r="D91" s="8" t="s">
        <v>1051</v>
      </c>
      <c r="E91" s="7">
        <v>1981</v>
      </c>
      <c r="F91" s="36" t="str" cm="1">
        <f t="array" ref="F91">_xlfn.XLOOKUP(D91&amp;C91, Sheet3!$C$2:$C$1224&amp;Sheet3!$B$2:$B$1224, Sheet3!$D$2:$D$1224, "")</f>
        <v/>
      </c>
      <c r="G91" s="1" t="str" cm="1">
        <f t="array" ref="G91">_xlfn.XLOOKUP(D91&amp;C91, Sheet2!$A$2:$A$558&amp;Sheet2!$B$2:$B$558, Sheet2!$C$2:$C$558, "")</f>
        <v/>
      </c>
      <c r="H91" s="40" t="str">
        <f t="shared" si="1"/>
        <v/>
      </c>
    </row>
    <row r="92" spans="1:8" ht="15.5" x14ac:dyDescent="0.35">
      <c r="A92" s="7">
        <v>91</v>
      </c>
      <c r="B92" s="8">
        <v>8349</v>
      </c>
      <c r="C92" s="31" t="s">
        <v>91</v>
      </c>
      <c r="D92" s="8" t="s">
        <v>1053</v>
      </c>
      <c r="E92" s="7">
        <v>1981</v>
      </c>
      <c r="F92" s="36" t="str" cm="1">
        <f t="array" ref="F92">_xlfn.XLOOKUP(D92&amp;C92, Sheet3!$C$2:$C$1224&amp;Sheet3!$B$2:$B$1224, Sheet3!$D$2:$D$1224, "")</f>
        <v/>
      </c>
      <c r="G92" s="1" t="str" cm="1">
        <f t="array" ref="G92">_xlfn.XLOOKUP(D92&amp;C92, Sheet2!$A$2:$A$558&amp;Sheet2!$B$2:$B$558, Sheet2!$C$2:$C$558, "")</f>
        <v/>
      </c>
      <c r="H92" s="40" t="str">
        <f t="shared" si="1"/>
        <v/>
      </c>
    </row>
    <row r="93" spans="1:8" ht="15.5" x14ac:dyDescent="0.35">
      <c r="A93" s="7">
        <v>92</v>
      </c>
      <c r="B93" s="8">
        <v>8370</v>
      </c>
      <c r="C93" s="31" t="s">
        <v>92</v>
      </c>
      <c r="D93" s="8" t="s">
        <v>1053</v>
      </c>
      <c r="E93" s="7">
        <v>1981</v>
      </c>
      <c r="F93" s="36" t="str" cm="1">
        <f t="array" ref="F93">_xlfn.XLOOKUP(D93&amp;C93, Sheet3!$C$2:$C$1224&amp;Sheet3!$B$2:$B$1224, Sheet3!$D$2:$D$1224, "")</f>
        <v/>
      </c>
      <c r="G93" s="1" t="str" cm="1">
        <f t="array" ref="G93">_xlfn.XLOOKUP(D93&amp;C93, Sheet2!$A$2:$A$558&amp;Sheet2!$B$2:$B$558, Sheet2!$C$2:$C$558, "")</f>
        <v/>
      </c>
      <c r="H93" s="40" t="str">
        <f t="shared" si="1"/>
        <v/>
      </c>
    </row>
    <row r="94" spans="1:8" ht="15.5" x14ac:dyDescent="0.35">
      <c r="A94" s="7">
        <v>93</v>
      </c>
      <c r="B94" s="8">
        <v>8431</v>
      </c>
      <c r="C94" s="31" t="s">
        <v>93</v>
      </c>
      <c r="D94" s="8" t="s">
        <v>1053</v>
      </c>
      <c r="E94" s="7">
        <v>1981</v>
      </c>
      <c r="F94" s="36" t="str" cm="1">
        <f t="array" ref="F94">_xlfn.XLOOKUP(D94&amp;C94, Sheet3!$C$2:$C$1224&amp;Sheet3!$B$2:$B$1224, Sheet3!$D$2:$D$1224, "")</f>
        <v/>
      </c>
      <c r="G94" s="1" t="str" cm="1">
        <f t="array" ref="G94">_xlfn.XLOOKUP(D94&amp;C94, Sheet2!$A$2:$A$558&amp;Sheet2!$B$2:$B$558, Sheet2!$C$2:$C$558, "")</f>
        <v/>
      </c>
      <c r="H94" s="40" t="str">
        <f t="shared" si="1"/>
        <v/>
      </c>
    </row>
    <row r="95" spans="1:8" ht="15.5" x14ac:dyDescent="0.35">
      <c r="A95" s="7">
        <v>94</v>
      </c>
      <c r="B95" s="8">
        <v>7469</v>
      </c>
      <c r="C95" s="31" t="s">
        <v>94</v>
      </c>
      <c r="D95" s="8" t="s">
        <v>1052</v>
      </c>
      <c r="E95" s="7">
        <v>1981</v>
      </c>
      <c r="F95" s="36" t="str" cm="1">
        <f t="array" ref="F95">_xlfn.XLOOKUP(D95&amp;C95, Sheet3!$C$2:$C$1224&amp;Sheet3!$B$2:$B$1224, Sheet3!$D$2:$D$1224, "")</f>
        <v/>
      </c>
      <c r="G95" s="1" t="str" cm="1">
        <f t="array" ref="G95">_xlfn.XLOOKUP(D95&amp;C95, Sheet2!$A$2:$A$558&amp;Sheet2!$B$2:$B$558, Sheet2!$C$2:$C$558, "")</f>
        <v/>
      </c>
      <c r="H95" s="40" t="str">
        <f t="shared" si="1"/>
        <v/>
      </c>
    </row>
    <row r="96" spans="1:8" ht="15.5" x14ac:dyDescent="0.35">
      <c r="A96" s="7">
        <v>95</v>
      </c>
      <c r="B96" s="8">
        <v>7718</v>
      </c>
      <c r="C96" s="31" t="s">
        <v>95</v>
      </c>
      <c r="D96" s="8" t="s">
        <v>1052</v>
      </c>
      <c r="E96" s="7">
        <v>1981</v>
      </c>
      <c r="F96" s="36" t="str" cm="1">
        <f t="array" ref="F96">_xlfn.XLOOKUP(D96&amp;C96, Sheet3!$C$2:$C$1224&amp;Sheet3!$B$2:$B$1224, Sheet3!$D$2:$D$1224, "")</f>
        <v/>
      </c>
      <c r="G96" s="1" t="str" cm="1">
        <f t="array" ref="G96">_xlfn.XLOOKUP(D96&amp;C96, Sheet2!$A$2:$A$558&amp;Sheet2!$B$2:$B$558, Sheet2!$C$2:$C$558, "")</f>
        <v/>
      </c>
      <c r="H96" s="40" t="str">
        <f t="shared" si="1"/>
        <v/>
      </c>
    </row>
    <row r="97" spans="1:8" ht="15.5" x14ac:dyDescent="0.35">
      <c r="A97" s="7">
        <v>96</v>
      </c>
      <c r="B97" s="8">
        <v>6739</v>
      </c>
      <c r="C97" s="31" t="s">
        <v>96</v>
      </c>
      <c r="D97" s="8" t="s">
        <v>1048</v>
      </c>
      <c r="E97" s="7">
        <v>1981</v>
      </c>
      <c r="F97" s="36" t="str" cm="1">
        <f t="array" ref="F97">_xlfn.XLOOKUP(D97&amp;C97, Sheet3!$C$2:$C$1224&amp;Sheet3!$B$2:$B$1224, Sheet3!$D$2:$D$1224, "")</f>
        <v/>
      </c>
      <c r="G97" s="1" t="str" cm="1">
        <f t="array" ref="G97">_xlfn.XLOOKUP(D97&amp;C97, Sheet2!$A$2:$A$558&amp;Sheet2!$B$2:$B$558, Sheet2!$C$2:$C$558, "")</f>
        <v/>
      </c>
      <c r="H97" s="40" t="str">
        <f t="shared" si="1"/>
        <v/>
      </c>
    </row>
    <row r="98" spans="1:8" ht="15.5" x14ac:dyDescent="0.35">
      <c r="A98" s="7">
        <v>97</v>
      </c>
      <c r="B98" s="8">
        <v>8093</v>
      </c>
      <c r="C98" s="31" t="s">
        <v>97</v>
      </c>
      <c r="D98" s="8" t="s">
        <v>1051</v>
      </c>
      <c r="E98" s="7">
        <v>1981</v>
      </c>
      <c r="F98" s="36" t="str" cm="1">
        <f t="array" ref="F98">_xlfn.XLOOKUP(D98&amp;C98, Sheet3!$C$2:$C$1224&amp;Sheet3!$B$2:$B$1224, Sheet3!$D$2:$D$1224, "")</f>
        <v/>
      </c>
      <c r="G98" s="1" t="str" cm="1">
        <f t="array" ref="G98">_xlfn.XLOOKUP(D98&amp;C98, Sheet2!$A$2:$A$558&amp;Sheet2!$B$2:$B$558, Sheet2!$C$2:$C$558, "")</f>
        <v/>
      </c>
      <c r="H98" s="40" t="str">
        <f t="shared" si="1"/>
        <v/>
      </c>
    </row>
    <row r="99" spans="1:8" ht="15.5" x14ac:dyDescent="0.35">
      <c r="A99" s="7">
        <v>98</v>
      </c>
      <c r="B99" s="8">
        <v>7891</v>
      </c>
      <c r="C99" s="31" t="s">
        <v>98</v>
      </c>
      <c r="D99" s="8" t="s">
        <v>1051</v>
      </c>
      <c r="E99" s="7">
        <v>1981</v>
      </c>
      <c r="F99" s="36" t="str" cm="1">
        <f t="array" ref="F99">_xlfn.XLOOKUP(D99&amp;C99, Sheet3!$C$2:$C$1224&amp;Sheet3!$B$2:$B$1224, Sheet3!$D$2:$D$1224, "")</f>
        <v>untgd53@gmail.com</v>
      </c>
      <c r="G99" s="1" t="str" cm="1">
        <f t="array" ref="G99">_xlfn.XLOOKUP(D99&amp;C99, Sheet2!$A$2:$A$558&amp;Sheet2!$B$2:$B$558, Sheet2!$C$2:$C$558, "")</f>
        <v>untgd53@gmail.com</v>
      </c>
      <c r="H99" s="40" t="str">
        <f t="shared" si="1"/>
        <v>untgd53@gmail.com</v>
      </c>
    </row>
    <row r="100" spans="1:8" ht="15.5" x14ac:dyDescent="0.35">
      <c r="A100" s="7">
        <v>99</v>
      </c>
      <c r="B100" s="8">
        <v>8299</v>
      </c>
      <c r="C100" s="31" t="s">
        <v>99</v>
      </c>
      <c r="D100" s="8" t="s">
        <v>1053</v>
      </c>
      <c r="E100" s="7">
        <v>1981</v>
      </c>
      <c r="F100" s="36" t="str" cm="1">
        <f t="array" ref="F100">_xlfn.XLOOKUP(D100&amp;C100, Sheet3!$C$2:$C$1224&amp;Sheet3!$B$2:$B$1224, Sheet3!$D$2:$D$1224, "")</f>
        <v/>
      </c>
      <c r="G100" s="1" t="str" cm="1">
        <f t="array" ref="G100">_xlfn.XLOOKUP(D100&amp;C100, Sheet2!$A$2:$A$558&amp;Sheet2!$B$2:$B$558, Sheet2!$C$2:$C$558, "")</f>
        <v/>
      </c>
      <c r="H100" s="40" t="str">
        <f t="shared" si="1"/>
        <v/>
      </c>
    </row>
    <row r="101" spans="1:8" ht="15.5" x14ac:dyDescent="0.35">
      <c r="A101" s="7">
        <v>100</v>
      </c>
      <c r="B101" s="8">
        <v>8614</v>
      </c>
      <c r="C101" s="31" t="s">
        <v>100</v>
      </c>
      <c r="D101" s="8" t="s">
        <v>1054</v>
      </c>
      <c r="E101" s="7">
        <v>1981</v>
      </c>
      <c r="F101" s="36" t="str" cm="1">
        <f t="array" ref="F101">_xlfn.XLOOKUP(D101&amp;C101, Sheet3!$C$2:$C$1224&amp;Sheet3!$B$2:$B$1224, Sheet3!$D$2:$D$1224, "")</f>
        <v>tjahjoarianto@gmail.com</v>
      </c>
      <c r="G101" s="1" t="str" cm="1">
        <f t="array" ref="G101">_xlfn.XLOOKUP(D101&amp;C101, Sheet2!$A$2:$A$558&amp;Sheet2!$B$2:$B$558, Sheet2!$C$2:$C$558, "")</f>
        <v/>
      </c>
      <c r="H101" s="40" t="str">
        <f t="shared" si="1"/>
        <v>tjahjoarianto@gmail.com</v>
      </c>
    </row>
    <row r="102" spans="1:8" ht="15.5" x14ac:dyDescent="0.35">
      <c r="A102" s="7">
        <v>101</v>
      </c>
      <c r="B102" s="8">
        <v>8631</v>
      </c>
      <c r="C102" s="31" t="s">
        <v>101</v>
      </c>
      <c r="D102" s="8" t="s">
        <v>1054</v>
      </c>
      <c r="E102" s="7">
        <v>1981</v>
      </c>
      <c r="F102" s="36" t="str" cm="1">
        <f t="array" ref="F102">_xlfn.XLOOKUP(D102&amp;C102, Sheet3!$C$2:$C$1224&amp;Sheet3!$B$2:$B$1224, Sheet3!$D$2:$D$1224, "")</f>
        <v>istarno@ugm.ac.id</v>
      </c>
      <c r="G102" s="1" t="str" cm="1">
        <f t="array" ref="G102">_xlfn.XLOOKUP(D102&amp;C102, Sheet2!$A$2:$A$558&amp;Sheet2!$B$2:$B$558, Sheet2!$C$2:$C$558, "")</f>
        <v/>
      </c>
      <c r="H102" s="40" t="str">
        <f t="shared" si="1"/>
        <v>istarno@ugm.ac.id</v>
      </c>
    </row>
    <row r="103" spans="1:8" ht="15.5" x14ac:dyDescent="0.35">
      <c r="A103" s="7">
        <v>102</v>
      </c>
      <c r="B103" s="8">
        <v>6468</v>
      </c>
      <c r="C103" s="31" t="s">
        <v>102</v>
      </c>
      <c r="D103" s="8" t="s">
        <v>1047</v>
      </c>
      <c r="E103" s="7">
        <v>1981</v>
      </c>
      <c r="F103" s="36" t="str" cm="1">
        <f t="array" ref="F103">_xlfn.XLOOKUP(D103&amp;C103, Sheet3!$C$2:$C$1224&amp;Sheet3!$B$2:$B$1224, Sheet3!$D$2:$D$1224, "")</f>
        <v/>
      </c>
      <c r="G103" s="1" t="str" cm="1">
        <f t="array" ref="G103">_xlfn.XLOOKUP(D103&amp;C103, Sheet2!$A$2:$A$558&amp;Sheet2!$B$2:$B$558, Sheet2!$C$2:$C$558, "")</f>
        <v/>
      </c>
      <c r="H103" s="40" t="str">
        <f t="shared" si="1"/>
        <v/>
      </c>
    </row>
    <row r="104" spans="1:8" ht="15.5" x14ac:dyDescent="0.35">
      <c r="A104" s="7">
        <v>103</v>
      </c>
      <c r="B104" s="8">
        <v>7511</v>
      </c>
      <c r="C104" s="31" t="s">
        <v>103</v>
      </c>
      <c r="D104" s="8" t="s">
        <v>1052</v>
      </c>
      <c r="E104" s="7">
        <v>1981</v>
      </c>
      <c r="F104" s="36" t="str" cm="1">
        <f t="array" ref="F104">_xlfn.XLOOKUP(D104&amp;C104, Sheet3!$C$2:$C$1224&amp;Sheet3!$B$2:$B$1224, Sheet3!$D$2:$D$1224, "")</f>
        <v/>
      </c>
      <c r="G104" s="1" t="str" cm="1">
        <f t="array" ref="G104">_xlfn.XLOOKUP(D104&amp;C104, Sheet2!$A$2:$A$558&amp;Sheet2!$B$2:$B$558, Sheet2!$C$2:$C$558, "")</f>
        <v/>
      </c>
      <c r="H104" s="40" t="str">
        <f t="shared" si="1"/>
        <v/>
      </c>
    </row>
    <row r="105" spans="1:8" ht="15.5" x14ac:dyDescent="0.35">
      <c r="A105" s="7">
        <v>104</v>
      </c>
      <c r="B105" s="8">
        <v>8876</v>
      </c>
      <c r="C105" s="31" t="s">
        <v>104</v>
      </c>
      <c r="D105" s="8" t="s">
        <v>1054</v>
      </c>
      <c r="E105" s="7">
        <v>1981</v>
      </c>
      <c r="F105" s="36" t="str" cm="1">
        <f t="array" ref="F105">_xlfn.XLOOKUP(D105&amp;C105, Sheet3!$C$2:$C$1224&amp;Sheet3!$B$2:$B$1224, Sheet3!$D$2:$D$1224, "")</f>
        <v/>
      </c>
      <c r="G105" s="1" t="str" cm="1">
        <f t="array" ref="G105">_xlfn.XLOOKUP(D105&amp;C105, Sheet2!$A$2:$A$558&amp;Sheet2!$B$2:$B$558, Sheet2!$C$2:$C$558, "")</f>
        <v/>
      </c>
      <c r="H105" s="40" t="str">
        <f t="shared" si="1"/>
        <v/>
      </c>
    </row>
    <row r="106" spans="1:8" ht="15.5" x14ac:dyDescent="0.35">
      <c r="A106" s="7">
        <v>105</v>
      </c>
      <c r="B106" s="8">
        <v>8801</v>
      </c>
      <c r="C106" s="31" t="s">
        <v>105</v>
      </c>
      <c r="D106" s="8" t="s">
        <v>1054</v>
      </c>
      <c r="E106" s="7">
        <v>1981</v>
      </c>
      <c r="F106" s="36" t="str" cm="1">
        <f t="array" ref="F106">_xlfn.XLOOKUP(D106&amp;C106, Sheet3!$C$2:$C$1224&amp;Sheet3!$B$2:$B$1224, Sheet3!$D$2:$D$1224, "")</f>
        <v/>
      </c>
      <c r="G106" s="1" t="str" cm="1">
        <f t="array" ref="G106">_xlfn.XLOOKUP(D106&amp;C106, Sheet2!$A$2:$A$558&amp;Sheet2!$B$2:$B$558, Sheet2!$C$2:$C$558, "")</f>
        <v/>
      </c>
      <c r="H106" s="40" t="str">
        <f t="shared" si="1"/>
        <v/>
      </c>
    </row>
    <row r="107" spans="1:8" ht="15.5" x14ac:dyDescent="0.35">
      <c r="A107" s="7">
        <v>106</v>
      </c>
      <c r="B107" s="8">
        <v>9090</v>
      </c>
      <c r="C107" s="31" t="s">
        <v>106</v>
      </c>
      <c r="D107" s="8" t="s">
        <v>1055</v>
      </c>
      <c r="E107" s="7">
        <v>1981</v>
      </c>
      <c r="F107" s="36" t="str" cm="1">
        <f t="array" ref="F107">_xlfn.XLOOKUP(D107&amp;C107, Sheet3!$C$2:$C$1224&amp;Sheet3!$B$2:$B$1224, Sheet3!$D$2:$D$1224, "")</f>
        <v>plaksito@yahoo.com</v>
      </c>
      <c r="G107" s="1" t="str" cm="1">
        <f t="array" ref="G107">_xlfn.XLOOKUP(D107&amp;C107, Sheet2!$A$2:$A$558&amp;Sheet2!$B$2:$B$558, Sheet2!$C$2:$C$558, "")</f>
        <v/>
      </c>
      <c r="H107" s="40" t="str">
        <f t="shared" si="1"/>
        <v>plaksito@yahoo.com</v>
      </c>
    </row>
    <row r="108" spans="1:8" ht="15.5" x14ac:dyDescent="0.35">
      <c r="A108" s="7">
        <v>107</v>
      </c>
      <c r="B108" s="8">
        <v>7083</v>
      </c>
      <c r="C108" s="31" t="s">
        <v>107</v>
      </c>
      <c r="D108" s="8" t="s">
        <v>1049</v>
      </c>
      <c r="E108" s="7">
        <v>1981</v>
      </c>
      <c r="F108" s="36" t="str" cm="1">
        <f t="array" ref="F108">_xlfn.XLOOKUP(D108&amp;C108, Sheet3!$C$2:$C$1224&amp;Sheet3!$B$2:$B$1224, Sheet3!$D$2:$D$1224, "")</f>
        <v/>
      </c>
      <c r="G108" s="1" t="str" cm="1">
        <f t="array" ref="G108">_xlfn.XLOOKUP(D108&amp;C108, Sheet2!$A$2:$A$558&amp;Sheet2!$B$2:$B$558, Sheet2!$C$2:$C$558, "")</f>
        <v>masrazie@gmail.com</v>
      </c>
      <c r="H108" s="40" t="str">
        <f t="shared" si="1"/>
        <v>masrazie@gmail.com</v>
      </c>
    </row>
    <row r="109" spans="1:8" ht="15.5" x14ac:dyDescent="0.35">
      <c r="A109" s="7">
        <v>108</v>
      </c>
      <c r="B109" s="8">
        <v>7168</v>
      </c>
      <c r="C109" s="31" t="s">
        <v>108</v>
      </c>
      <c r="D109" s="8" t="s">
        <v>1049</v>
      </c>
      <c r="E109" s="7">
        <v>1981</v>
      </c>
      <c r="F109" s="36" t="str" cm="1">
        <f t="array" ref="F109">_xlfn.XLOOKUP(D109&amp;C109, Sheet3!$C$2:$C$1224&amp;Sheet3!$B$2:$B$1224, Sheet3!$D$2:$D$1224, "")</f>
        <v/>
      </c>
      <c r="G109" s="1" t="str" cm="1">
        <f t="array" ref="G109">_xlfn.XLOOKUP(D109&amp;C109, Sheet2!$A$2:$A$558&amp;Sheet2!$B$2:$B$558, Sheet2!$C$2:$C$558, "")</f>
        <v/>
      </c>
      <c r="H109" s="40" t="str">
        <f t="shared" si="1"/>
        <v/>
      </c>
    </row>
    <row r="110" spans="1:8" ht="15.5" x14ac:dyDescent="0.35">
      <c r="A110" s="7">
        <v>109</v>
      </c>
      <c r="B110" s="8">
        <v>7508</v>
      </c>
      <c r="C110" s="31" t="s">
        <v>109</v>
      </c>
      <c r="D110" s="8" t="s">
        <v>1052</v>
      </c>
      <c r="E110" s="7">
        <v>1981</v>
      </c>
      <c r="F110" s="36" t="str" cm="1">
        <f t="array" ref="F110">_xlfn.XLOOKUP(D110&amp;C110, Sheet3!$C$2:$C$1224&amp;Sheet3!$B$2:$B$1224, Sheet3!$D$2:$D$1224, "")</f>
        <v/>
      </c>
      <c r="G110" s="1" t="str" cm="1">
        <f t="array" ref="G110">_xlfn.XLOOKUP(D110&amp;C110, Sheet2!$A$2:$A$558&amp;Sheet2!$B$2:$B$558, Sheet2!$C$2:$C$558, "")</f>
        <v/>
      </c>
      <c r="H110" s="40" t="str">
        <f t="shared" si="1"/>
        <v/>
      </c>
    </row>
    <row r="111" spans="1:8" ht="15.5" x14ac:dyDescent="0.35">
      <c r="A111" s="7">
        <v>110</v>
      </c>
      <c r="B111" s="8">
        <v>8073</v>
      </c>
      <c r="C111" s="31" t="s">
        <v>110</v>
      </c>
      <c r="D111" s="8" t="s">
        <v>1051</v>
      </c>
      <c r="E111" s="7">
        <v>1981</v>
      </c>
      <c r="F111" s="36" t="str" cm="1">
        <f t="array" ref="F111">_xlfn.XLOOKUP(D111&amp;C111, Sheet3!$C$2:$C$1224&amp;Sheet3!$B$2:$B$1224, Sheet3!$D$2:$D$1224, "")</f>
        <v/>
      </c>
      <c r="G111" s="1" t="str" cm="1">
        <f t="array" ref="G111">_xlfn.XLOOKUP(D111&amp;C111, Sheet2!$A$2:$A$558&amp;Sheet2!$B$2:$B$558, Sheet2!$C$2:$C$558, "")</f>
        <v/>
      </c>
      <c r="H111" s="40" t="str">
        <f t="shared" si="1"/>
        <v/>
      </c>
    </row>
    <row r="112" spans="1:8" ht="15.5" x14ac:dyDescent="0.35">
      <c r="A112" s="7">
        <v>111</v>
      </c>
      <c r="B112" s="8">
        <v>6611</v>
      </c>
      <c r="C112" s="31" t="s">
        <v>111</v>
      </c>
      <c r="D112" s="8" t="s">
        <v>1050</v>
      </c>
      <c r="E112" s="7">
        <v>1981</v>
      </c>
      <c r="F112" s="36" t="str" cm="1">
        <f t="array" ref="F112">_xlfn.XLOOKUP(D112&amp;C112, Sheet3!$C$2:$C$1224&amp;Sheet3!$B$2:$B$1224, Sheet3!$D$2:$D$1224, "")</f>
        <v/>
      </c>
      <c r="G112" s="1" t="str" cm="1">
        <f t="array" ref="G112">_xlfn.XLOOKUP(D112&amp;C112, Sheet2!$A$2:$A$558&amp;Sheet2!$B$2:$B$558, Sheet2!$C$2:$C$558, "")</f>
        <v/>
      </c>
      <c r="H112" s="40" t="str">
        <f t="shared" si="1"/>
        <v/>
      </c>
    </row>
    <row r="113" spans="1:8" ht="15.5" x14ac:dyDescent="0.35">
      <c r="A113" s="7">
        <v>112</v>
      </c>
      <c r="B113" s="8">
        <v>7238</v>
      </c>
      <c r="C113" s="31" t="s">
        <v>112</v>
      </c>
      <c r="D113" s="8" t="s">
        <v>1049</v>
      </c>
      <c r="E113" s="7">
        <v>1981</v>
      </c>
      <c r="F113" s="36" t="str" cm="1">
        <f t="array" ref="F113">_xlfn.XLOOKUP(D113&amp;C113, Sheet3!$C$2:$C$1224&amp;Sheet3!$B$2:$B$1224, Sheet3!$D$2:$D$1224, "")</f>
        <v/>
      </c>
      <c r="G113" s="1" t="str" cm="1">
        <f t="array" ref="G113">_xlfn.XLOOKUP(D113&amp;C113, Sheet2!$A$2:$A$558&amp;Sheet2!$B$2:$B$558, Sheet2!$C$2:$C$558, "")</f>
        <v/>
      </c>
      <c r="H113" s="40" t="str">
        <f t="shared" si="1"/>
        <v/>
      </c>
    </row>
    <row r="114" spans="1:8" ht="15.5" x14ac:dyDescent="0.35">
      <c r="A114" s="7">
        <v>113</v>
      </c>
      <c r="B114" s="8">
        <v>7249</v>
      </c>
      <c r="C114" s="31" t="s">
        <v>113</v>
      </c>
      <c r="D114" s="8" t="s">
        <v>1049</v>
      </c>
      <c r="E114" s="7">
        <v>1981</v>
      </c>
      <c r="F114" s="36" t="str" cm="1">
        <f t="array" ref="F114">_xlfn.XLOOKUP(D114&amp;C114, Sheet3!$C$2:$C$1224&amp;Sheet3!$B$2:$B$1224, Sheet3!$D$2:$D$1224, "")</f>
        <v/>
      </c>
      <c r="G114" s="1" t="str" cm="1">
        <f t="array" ref="G114">_xlfn.XLOOKUP(D114&amp;C114, Sheet2!$A$2:$A$558&amp;Sheet2!$B$2:$B$558, Sheet2!$C$2:$C$558, "")</f>
        <v/>
      </c>
      <c r="H114" s="40" t="str">
        <f t="shared" si="1"/>
        <v/>
      </c>
    </row>
    <row r="115" spans="1:8" ht="15.5" x14ac:dyDescent="0.35">
      <c r="A115" s="7">
        <v>114</v>
      </c>
      <c r="B115" s="8">
        <v>7402</v>
      </c>
      <c r="C115" s="31" t="s">
        <v>114</v>
      </c>
      <c r="D115" s="8" t="s">
        <v>1052</v>
      </c>
      <c r="E115" s="7">
        <v>1981</v>
      </c>
      <c r="F115" s="36" t="str" cm="1">
        <f t="array" ref="F115">_xlfn.XLOOKUP(D115&amp;C115, Sheet3!$C$2:$C$1224&amp;Sheet3!$B$2:$B$1224, Sheet3!$D$2:$D$1224, "")</f>
        <v/>
      </c>
      <c r="G115" s="1" t="str" cm="1">
        <f t="array" ref="G115">_xlfn.XLOOKUP(D115&amp;C115, Sheet2!$A$2:$A$558&amp;Sheet2!$B$2:$B$558, Sheet2!$C$2:$C$558, "")</f>
        <v/>
      </c>
      <c r="H115" s="40" t="str">
        <f t="shared" si="1"/>
        <v/>
      </c>
    </row>
    <row r="116" spans="1:8" ht="15.5" x14ac:dyDescent="0.35">
      <c r="A116" s="7">
        <v>115</v>
      </c>
      <c r="B116" s="8">
        <v>7052</v>
      </c>
      <c r="C116" s="31" t="s">
        <v>115</v>
      </c>
      <c r="D116" s="8" t="s">
        <v>1049</v>
      </c>
      <c r="E116" s="7">
        <v>1981</v>
      </c>
      <c r="F116" s="36" t="str" cm="1">
        <f t="array" ref="F116">_xlfn.XLOOKUP(D116&amp;C116, Sheet3!$C$2:$C$1224&amp;Sheet3!$B$2:$B$1224, Sheet3!$D$2:$D$1224, "")</f>
        <v/>
      </c>
      <c r="G116" s="1" t="str" cm="1">
        <f t="array" ref="G116">_xlfn.XLOOKUP(D116&amp;C116, Sheet2!$A$2:$A$558&amp;Sheet2!$B$2:$B$558, Sheet2!$C$2:$C$558, "")</f>
        <v/>
      </c>
      <c r="H116" s="40" t="str">
        <f t="shared" si="1"/>
        <v/>
      </c>
    </row>
    <row r="117" spans="1:8" ht="15.5" x14ac:dyDescent="0.35">
      <c r="A117" s="7">
        <v>116</v>
      </c>
      <c r="B117" s="8">
        <v>7435</v>
      </c>
      <c r="C117" s="31" t="s">
        <v>116</v>
      </c>
      <c r="D117" s="8" t="s">
        <v>1052</v>
      </c>
      <c r="E117" s="7">
        <v>1981</v>
      </c>
      <c r="F117" s="36" t="str" cm="1">
        <f t="array" ref="F117">_xlfn.XLOOKUP(D117&amp;C117, Sheet3!$C$2:$C$1224&amp;Sheet3!$B$2:$B$1224, Sheet3!$D$2:$D$1224, "")</f>
        <v/>
      </c>
      <c r="G117" s="1" t="str" cm="1">
        <f t="array" ref="G117">_xlfn.XLOOKUP(D117&amp;C117, Sheet2!$A$2:$A$558&amp;Sheet2!$B$2:$B$558, Sheet2!$C$2:$C$558, "")</f>
        <v/>
      </c>
      <c r="H117" s="40" t="str">
        <f t="shared" si="1"/>
        <v/>
      </c>
    </row>
    <row r="118" spans="1:8" ht="15.5" x14ac:dyDescent="0.35">
      <c r="A118" s="7">
        <v>117</v>
      </c>
      <c r="B118" s="8">
        <v>8269</v>
      </c>
      <c r="C118" s="31" t="s">
        <v>117</v>
      </c>
      <c r="D118" s="8" t="s">
        <v>1053</v>
      </c>
      <c r="E118" s="7">
        <v>1981</v>
      </c>
      <c r="F118" s="36" t="str" cm="1">
        <f t="array" ref="F118">_xlfn.XLOOKUP(D118&amp;C118, Sheet3!$C$2:$C$1224&amp;Sheet3!$B$2:$B$1224, Sheet3!$D$2:$D$1224, "")</f>
        <v/>
      </c>
      <c r="G118" s="1" t="str" cm="1">
        <f t="array" ref="G118">_xlfn.XLOOKUP(D118&amp;C118, Sheet2!$A$2:$A$558&amp;Sheet2!$B$2:$B$558, Sheet2!$C$2:$C$558, "")</f>
        <v/>
      </c>
      <c r="H118" s="40" t="str">
        <f t="shared" si="1"/>
        <v/>
      </c>
    </row>
    <row r="119" spans="1:8" ht="15.5" x14ac:dyDescent="0.35">
      <c r="A119" s="7">
        <v>118</v>
      </c>
      <c r="B119" s="8">
        <v>8720</v>
      </c>
      <c r="C119" s="31" t="s">
        <v>118</v>
      </c>
      <c r="D119" s="8" t="s">
        <v>1054</v>
      </c>
      <c r="E119" s="7">
        <v>1981</v>
      </c>
      <c r="F119" s="36" t="str" cm="1">
        <f t="array" ref="F119">_xlfn.XLOOKUP(D119&amp;C119, Sheet3!$C$2:$C$1224&amp;Sheet3!$B$2:$B$1224, Sheet3!$D$2:$D$1224, "")</f>
        <v/>
      </c>
      <c r="G119" s="1" t="str" cm="1">
        <f t="array" ref="G119">_xlfn.XLOOKUP(D119&amp;C119, Sheet2!$A$2:$A$558&amp;Sheet2!$B$2:$B$558, Sheet2!$C$2:$C$558, "")</f>
        <v/>
      </c>
      <c r="H119" s="40" t="str">
        <f t="shared" si="1"/>
        <v/>
      </c>
    </row>
    <row r="120" spans="1:8" ht="15.5" x14ac:dyDescent="0.35">
      <c r="A120" s="7">
        <v>119</v>
      </c>
      <c r="B120" s="8">
        <v>8877</v>
      </c>
      <c r="C120" s="31" t="s">
        <v>119</v>
      </c>
      <c r="D120" s="8" t="s">
        <v>1054</v>
      </c>
      <c r="E120" s="7">
        <v>1981</v>
      </c>
      <c r="F120" s="36" t="str" cm="1">
        <f t="array" ref="F120">_xlfn.XLOOKUP(D120&amp;C120, Sheet3!$C$2:$C$1224&amp;Sheet3!$B$2:$B$1224, Sheet3!$D$2:$D$1224, "")</f>
        <v/>
      </c>
      <c r="G120" s="1" t="str" cm="1">
        <f t="array" ref="G120">_xlfn.XLOOKUP(D120&amp;C120, Sheet2!$A$2:$A$558&amp;Sheet2!$B$2:$B$558, Sheet2!$C$2:$C$558, "")</f>
        <v/>
      </c>
      <c r="H120" s="40" t="str">
        <f t="shared" si="1"/>
        <v/>
      </c>
    </row>
    <row r="121" spans="1:8" ht="15.5" x14ac:dyDescent="0.35">
      <c r="A121" s="7">
        <v>120</v>
      </c>
      <c r="B121" s="8">
        <v>8063</v>
      </c>
      <c r="C121" s="31" t="s">
        <v>120</v>
      </c>
      <c r="D121" s="8" t="s">
        <v>1051</v>
      </c>
      <c r="E121" s="7">
        <v>1981</v>
      </c>
      <c r="F121" s="36" t="str" cm="1">
        <f t="array" ref="F121">_xlfn.XLOOKUP(D121&amp;C121, Sheet3!$C$2:$C$1224&amp;Sheet3!$B$2:$B$1224, Sheet3!$D$2:$D$1224, "")</f>
        <v/>
      </c>
      <c r="G121" s="1" t="str" cm="1">
        <f t="array" ref="G121">_xlfn.XLOOKUP(D121&amp;C121, Sheet2!$A$2:$A$558&amp;Sheet2!$B$2:$B$558, Sheet2!$C$2:$C$558, "")</f>
        <v/>
      </c>
      <c r="H121" s="40" t="str">
        <f t="shared" si="1"/>
        <v/>
      </c>
    </row>
    <row r="122" spans="1:8" ht="15.5" x14ac:dyDescent="0.35">
      <c r="A122" s="7">
        <v>121</v>
      </c>
      <c r="B122" s="8">
        <v>7295</v>
      </c>
      <c r="C122" s="31" t="s">
        <v>121</v>
      </c>
      <c r="D122" s="8" t="s">
        <v>1049</v>
      </c>
      <c r="E122" s="7">
        <v>1981</v>
      </c>
      <c r="F122" s="36" t="str" cm="1">
        <f t="array" ref="F122">_xlfn.XLOOKUP(D122&amp;C122, Sheet3!$C$2:$C$1224&amp;Sheet3!$B$2:$B$1224, Sheet3!$D$2:$D$1224, "")</f>
        <v/>
      </c>
      <c r="G122" s="1" t="str" cm="1">
        <f t="array" ref="G122">_xlfn.XLOOKUP(D122&amp;C122, Sheet2!$A$2:$A$558&amp;Sheet2!$B$2:$B$558, Sheet2!$C$2:$C$558, "")</f>
        <v/>
      </c>
      <c r="H122" s="40" t="str">
        <f t="shared" si="1"/>
        <v/>
      </c>
    </row>
    <row r="123" spans="1:8" ht="15.5" x14ac:dyDescent="0.35">
      <c r="A123" s="7">
        <v>122</v>
      </c>
      <c r="B123" s="8">
        <v>8394</v>
      </c>
      <c r="C123" s="31" t="s">
        <v>122</v>
      </c>
      <c r="D123" s="8" t="s">
        <v>1053</v>
      </c>
      <c r="E123" s="7">
        <v>1981</v>
      </c>
      <c r="F123" s="36" t="str" cm="1">
        <f t="array" ref="F123">_xlfn.XLOOKUP(D123&amp;C123, Sheet3!$C$2:$C$1224&amp;Sheet3!$B$2:$B$1224, Sheet3!$D$2:$D$1224, "")</f>
        <v/>
      </c>
      <c r="G123" s="1" t="str" cm="1">
        <f t="array" ref="G123">_xlfn.XLOOKUP(D123&amp;C123, Sheet2!$A$2:$A$558&amp;Sheet2!$B$2:$B$558, Sheet2!$C$2:$C$558, "")</f>
        <v/>
      </c>
      <c r="H123" s="40" t="str">
        <f t="shared" si="1"/>
        <v/>
      </c>
    </row>
    <row r="124" spans="1:8" ht="15.5" x14ac:dyDescent="0.35">
      <c r="A124" s="7">
        <v>123</v>
      </c>
      <c r="B124" s="8">
        <v>7309</v>
      </c>
      <c r="C124" s="31" t="s">
        <v>123</v>
      </c>
      <c r="D124" s="8" t="s">
        <v>1049</v>
      </c>
      <c r="E124" s="7">
        <v>1981</v>
      </c>
      <c r="F124" s="36" t="str" cm="1">
        <f t="array" ref="F124">_xlfn.XLOOKUP(D124&amp;C124, Sheet3!$C$2:$C$1224&amp;Sheet3!$B$2:$B$1224, Sheet3!$D$2:$D$1224, "")</f>
        <v/>
      </c>
      <c r="G124" s="1" t="str" cm="1">
        <f t="array" ref="G124">_xlfn.XLOOKUP(D124&amp;C124, Sheet2!$A$2:$A$558&amp;Sheet2!$B$2:$B$558, Sheet2!$C$2:$C$558, "")</f>
        <v/>
      </c>
      <c r="H124" s="40" t="str">
        <f t="shared" si="1"/>
        <v/>
      </c>
    </row>
    <row r="125" spans="1:8" ht="15.5" x14ac:dyDescent="0.35">
      <c r="A125" s="7">
        <v>124</v>
      </c>
      <c r="B125" s="8">
        <v>8418</v>
      </c>
      <c r="C125" s="31" t="s">
        <v>124</v>
      </c>
      <c r="D125" s="8" t="s">
        <v>1053</v>
      </c>
      <c r="E125" s="7">
        <v>1981</v>
      </c>
      <c r="F125" s="36" t="str" cm="1">
        <f t="array" ref="F125">_xlfn.XLOOKUP(D125&amp;C125, Sheet3!$C$2:$C$1224&amp;Sheet3!$B$2:$B$1224, Sheet3!$D$2:$D$1224, "")</f>
        <v/>
      </c>
      <c r="G125" s="1" t="str" cm="1">
        <f t="array" ref="G125">_xlfn.XLOOKUP(D125&amp;C125, Sheet2!$A$2:$A$558&amp;Sheet2!$B$2:$B$558, Sheet2!$C$2:$C$558, "")</f>
        <v/>
      </c>
      <c r="H125" s="40" t="str">
        <f t="shared" si="1"/>
        <v/>
      </c>
    </row>
    <row r="126" spans="1:8" ht="15.5" x14ac:dyDescent="0.35">
      <c r="A126" s="7">
        <v>125</v>
      </c>
      <c r="B126" s="8">
        <v>7634</v>
      </c>
      <c r="C126" s="31" t="s">
        <v>125</v>
      </c>
      <c r="D126" s="8" t="s">
        <v>1052</v>
      </c>
      <c r="E126" s="7">
        <v>1981</v>
      </c>
      <c r="F126" s="36" t="str" cm="1">
        <f t="array" ref="F126">_xlfn.XLOOKUP(D126&amp;C126, Sheet3!$C$2:$C$1224&amp;Sheet3!$B$2:$B$1224, Sheet3!$D$2:$D$1224, "")</f>
        <v/>
      </c>
      <c r="G126" s="1" t="str" cm="1">
        <f t="array" ref="G126">_xlfn.XLOOKUP(D126&amp;C126, Sheet2!$A$2:$A$558&amp;Sheet2!$B$2:$B$558, Sheet2!$C$2:$C$558, "")</f>
        <v/>
      </c>
      <c r="H126" s="40" t="str">
        <f t="shared" si="1"/>
        <v/>
      </c>
    </row>
    <row r="127" spans="1:8" ht="15.5" x14ac:dyDescent="0.35">
      <c r="A127" s="7">
        <v>126</v>
      </c>
      <c r="B127" s="8">
        <v>8411</v>
      </c>
      <c r="C127" s="31" t="s">
        <v>126</v>
      </c>
      <c r="D127" s="8" t="s">
        <v>1053</v>
      </c>
      <c r="E127" s="7">
        <v>1981</v>
      </c>
      <c r="F127" s="36" t="str" cm="1">
        <f t="array" ref="F127">_xlfn.XLOOKUP(D127&amp;C127, Sheet3!$C$2:$C$1224&amp;Sheet3!$B$2:$B$1224, Sheet3!$D$2:$D$1224, "")</f>
        <v/>
      </c>
      <c r="G127" s="1" t="str" cm="1">
        <f t="array" ref="G127">_xlfn.XLOOKUP(D127&amp;C127, Sheet2!$A$2:$A$558&amp;Sheet2!$B$2:$B$558, Sheet2!$C$2:$C$558, "")</f>
        <v/>
      </c>
      <c r="H127" s="40" t="str">
        <f t="shared" si="1"/>
        <v/>
      </c>
    </row>
    <row r="128" spans="1:8" ht="15.5" x14ac:dyDescent="0.35">
      <c r="A128" s="7">
        <v>127</v>
      </c>
      <c r="B128" s="8">
        <v>7196</v>
      </c>
      <c r="C128" s="31" t="s">
        <v>127</v>
      </c>
      <c r="D128" s="8" t="s">
        <v>1049</v>
      </c>
      <c r="E128" s="7">
        <v>1981</v>
      </c>
      <c r="F128" s="36" t="str" cm="1">
        <f t="array" ref="F128">_xlfn.XLOOKUP(D128&amp;C128, Sheet3!$C$2:$C$1224&amp;Sheet3!$B$2:$B$1224, Sheet3!$D$2:$D$1224, "")</f>
        <v/>
      </c>
      <c r="G128" s="1" t="str" cm="1">
        <f t="array" ref="G128">_xlfn.XLOOKUP(D128&amp;C128, Sheet2!$A$2:$A$558&amp;Sheet2!$B$2:$B$558, Sheet2!$C$2:$C$558, "")</f>
        <v/>
      </c>
      <c r="H128" s="40" t="str">
        <f t="shared" si="1"/>
        <v/>
      </c>
    </row>
    <row r="129" spans="1:8" ht="15.5" x14ac:dyDescent="0.35">
      <c r="A129" s="7">
        <v>128</v>
      </c>
      <c r="B129" s="8">
        <v>7531</v>
      </c>
      <c r="C129" s="31" t="s">
        <v>128</v>
      </c>
      <c r="D129" s="8" t="s">
        <v>1052</v>
      </c>
      <c r="E129" s="7">
        <v>1981</v>
      </c>
      <c r="F129" s="36" t="str" cm="1">
        <f t="array" ref="F129">_xlfn.XLOOKUP(D129&amp;C129, Sheet3!$C$2:$C$1224&amp;Sheet3!$B$2:$B$1224, Sheet3!$D$2:$D$1224, "")</f>
        <v/>
      </c>
      <c r="G129" s="1" t="str" cm="1">
        <f t="array" ref="G129">_xlfn.XLOOKUP(D129&amp;C129, Sheet2!$A$2:$A$558&amp;Sheet2!$B$2:$B$558, Sheet2!$C$2:$C$558, "")</f>
        <v/>
      </c>
      <c r="H129" s="40" t="str">
        <f t="shared" si="1"/>
        <v/>
      </c>
    </row>
    <row r="130" spans="1:8" ht="15.5" x14ac:dyDescent="0.35">
      <c r="A130" s="7">
        <v>129</v>
      </c>
      <c r="B130" s="8">
        <v>8770</v>
      </c>
      <c r="C130" s="31" t="s">
        <v>129</v>
      </c>
      <c r="D130" s="8" t="s">
        <v>1054</v>
      </c>
      <c r="E130" s="7">
        <v>1981</v>
      </c>
      <c r="F130" s="36" t="str" cm="1">
        <f t="array" ref="F130">_xlfn.XLOOKUP(D130&amp;C130, Sheet3!$C$2:$C$1224&amp;Sheet3!$B$2:$B$1224, Sheet3!$D$2:$D$1224, "")</f>
        <v/>
      </c>
      <c r="G130" s="1" t="str" cm="1">
        <f t="array" ref="G130">_xlfn.XLOOKUP(D130&amp;C130, Sheet2!$A$2:$A$558&amp;Sheet2!$B$2:$B$558, Sheet2!$C$2:$C$558, "")</f>
        <v/>
      </c>
      <c r="H130" s="40" t="str">
        <f t="shared" si="1"/>
        <v/>
      </c>
    </row>
    <row r="131" spans="1:8" ht="15.5" x14ac:dyDescent="0.35">
      <c r="A131" s="7">
        <v>130</v>
      </c>
      <c r="B131" s="8">
        <v>7733</v>
      </c>
      <c r="C131" s="31" t="s">
        <v>130</v>
      </c>
      <c r="D131" s="8" t="s">
        <v>1052</v>
      </c>
      <c r="E131" s="7">
        <v>1981</v>
      </c>
      <c r="F131" s="36" t="str" cm="1">
        <f t="array" ref="F131">_xlfn.XLOOKUP(D131&amp;C131, Sheet3!$C$2:$C$1224&amp;Sheet3!$B$2:$B$1224, Sheet3!$D$2:$D$1224, "")</f>
        <v/>
      </c>
      <c r="G131" s="1" t="str" cm="1">
        <f t="array" ref="G131">_xlfn.XLOOKUP(D131&amp;C131, Sheet2!$A$2:$A$558&amp;Sheet2!$B$2:$B$558, Sheet2!$C$2:$C$558, "")</f>
        <v/>
      </c>
      <c r="H131" s="40" t="str">
        <f t="shared" ref="H131:H194" si="2">IF(F131&lt;&gt;"",F131,G131)</f>
        <v/>
      </c>
    </row>
    <row r="132" spans="1:8" ht="15.5" x14ac:dyDescent="0.35">
      <c r="A132" s="7">
        <v>131</v>
      </c>
      <c r="B132" s="8">
        <v>8064</v>
      </c>
      <c r="C132" s="31" t="s">
        <v>131</v>
      </c>
      <c r="D132" s="8" t="s">
        <v>1051</v>
      </c>
      <c r="E132" s="7">
        <v>1981</v>
      </c>
      <c r="F132" s="36" t="str" cm="1">
        <f t="array" ref="F132">_xlfn.XLOOKUP(D132&amp;C132, Sheet3!$C$2:$C$1224&amp;Sheet3!$B$2:$B$1224, Sheet3!$D$2:$D$1224, "")</f>
        <v/>
      </c>
      <c r="G132" s="1" t="str" cm="1">
        <f t="array" ref="G132">_xlfn.XLOOKUP(D132&amp;C132, Sheet2!$A$2:$A$558&amp;Sheet2!$B$2:$B$558, Sheet2!$C$2:$C$558, "")</f>
        <v/>
      </c>
      <c r="H132" s="40" t="str">
        <f t="shared" si="2"/>
        <v/>
      </c>
    </row>
    <row r="133" spans="1:8" ht="15.5" x14ac:dyDescent="0.35">
      <c r="A133" s="7">
        <v>132</v>
      </c>
      <c r="B133" s="8">
        <v>8393</v>
      </c>
      <c r="C133" s="31" t="s">
        <v>132</v>
      </c>
      <c r="D133" s="8" t="s">
        <v>1053</v>
      </c>
      <c r="E133" s="7">
        <v>1981</v>
      </c>
      <c r="F133" s="36" t="str" cm="1">
        <f t="array" ref="F133">_xlfn.XLOOKUP(D133&amp;C133, Sheet3!$C$2:$C$1224&amp;Sheet3!$B$2:$B$1224, Sheet3!$D$2:$D$1224, "")</f>
        <v/>
      </c>
      <c r="G133" s="1" t="str" cm="1">
        <f t="array" ref="G133">_xlfn.XLOOKUP(D133&amp;C133, Sheet2!$A$2:$A$558&amp;Sheet2!$B$2:$B$558, Sheet2!$C$2:$C$558, "")</f>
        <v/>
      </c>
      <c r="H133" s="40" t="str">
        <f t="shared" si="2"/>
        <v/>
      </c>
    </row>
    <row r="134" spans="1:8" ht="15.5" x14ac:dyDescent="0.35">
      <c r="A134" s="7">
        <v>133</v>
      </c>
      <c r="B134" s="8">
        <v>7053</v>
      </c>
      <c r="C134" s="31" t="s">
        <v>133</v>
      </c>
      <c r="D134" s="8" t="s">
        <v>1049</v>
      </c>
      <c r="E134" s="7">
        <v>1981</v>
      </c>
      <c r="F134" s="36" t="str" cm="1">
        <f t="array" ref="F134">_xlfn.XLOOKUP(D134&amp;C134, Sheet3!$C$2:$C$1224&amp;Sheet3!$B$2:$B$1224, Sheet3!$D$2:$D$1224, "")</f>
        <v/>
      </c>
      <c r="G134" s="1" t="str" cm="1">
        <f t="array" ref="G134">_xlfn.XLOOKUP(D134&amp;C134, Sheet2!$A$2:$A$558&amp;Sheet2!$B$2:$B$558, Sheet2!$C$2:$C$558, "")</f>
        <v/>
      </c>
      <c r="H134" s="40" t="str">
        <f t="shared" si="2"/>
        <v/>
      </c>
    </row>
    <row r="135" spans="1:8" ht="15.5" x14ac:dyDescent="0.35">
      <c r="A135" s="7">
        <v>134</v>
      </c>
      <c r="B135" s="8">
        <v>8379</v>
      </c>
      <c r="C135" s="31" t="s">
        <v>134</v>
      </c>
      <c r="D135" s="8" t="s">
        <v>1053</v>
      </c>
      <c r="E135" s="7">
        <v>1981</v>
      </c>
      <c r="F135" s="36" t="str" cm="1">
        <f t="array" ref="F135">_xlfn.XLOOKUP(D135&amp;C135, Sheet3!$C$2:$C$1224&amp;Sheet3!$B$2:$B$1224, Sheet3!$D$2:$D$1224, "")</f>
        <v/>
      </c>
      <c r="G135" s="1" t="str" cm="1">
        <f t="array" ref="G135">_xlfn.XLOOKUP(D135&amp;C135, Sheet2!$A$2:$A$558&amp;Sheet2!$B$2:$B$558, Sheet2!$C$2:$C$558, "")</f>
        <v/>
      </c>
      <c r="H135" s="40" t="str">
        <f t="shared" si="2"/>
        <v/>
      </c>
    </row>
    <row r="136" spans="1:8" ht="15.5" x14ac:dyDescent="0.35">
      <c r="A136" s="7">
        <v>135</v>
      </c>
      <c r="B136" s="8">
        <v>8075</v>
      </c>
      <c r="C136" s="31" t="s">
        <v>135</v>
      </c>
      <c r="D136" s="8" t="s">
        <v>1051</v>
      </c>
      <c r="E136" s="7">
        <v>1981</v>
      </c>
      <c r="F136" s="36" t="str" cm="1">
        <f t="array" ref="F136">_xlfn.XLOOKUP(D136&amp;C136, Sheet3!$C$2:$C$1224&amp;Sheet3!$B$2:$B$1224, Sheet3!$D$2:$D$1224, "")</f>
        <v>sptwsn@gmail.com</v>
      </c>
      <c r="G136" s="1" t="str" cm="1">
        <f t="array" ref="G136">_xlfn.XLOOKUP(D136&amp;C136, Sheet2!$A$2:$A$558&amp;Sheet2!$B$2:$B$558, Sheet2!$C$2:$C$558, "")</f>
        <v/>
      </c>
      <c r="H136" s="40" t="str">
        <f t="shared" si="2"/>
        <v>sptwsn@gmail.com</v>
      </c>
    </row>
    <row r="137" spans="1:8" ht="15.5" x14ac:dyDescent="0.35">
      <c r="A137" s="7">
        <v>136</v>
      </c>
      <c r="B137" s="8">
        <v>7195</v>
      </c>
      <c r="C137" s="31" t="s">
        <v>136</v>
      </c>
      <c r="D137" s="8" t="s">
        <v>1049</v>
      </c>
      <c r="E137" s="7">
        <v>1981</v>
      </c>
      <c r="F137" s="36" t="str" cm="1">
        <f t="array" ref="F137">_xlfn.XLOOKUP(D137&amp;C137, Sheet3!$C$2:$C$1224&amp;Sheet3!$B$2:$B$1224, Sheet3!$D$2:$D$1224, "")</f>
        <v/>
      </c>
      <c r="G137" s="1" t="str" cm="1">
        <f t="array" ref="G137">_xlfn.XLOOKUP(D137&amp;C137, Sheet2!$A$2:$A$558&amp;Sheet2!$B$2:$B$558, Sheet2!$C$2:$C$558, "")</f>
        <v/>
      </c>
      <c r="H137" s="40" t="str">
        <f t="shared" si="2"/>
        <v/>
      </c>
    </row>
    <row r="138" spans="1:8" ht="15.5" x14ac:dyDescent="0.35">
      <c r="A138" s="7">
        <v>137</v>
      </c>
      <c r="B138" s="8">
        <v>8439</v>
      </c>
      <c r="C138" s="31" t="s">
        <v>45</v>
      </c>
      <c r="D138" s="8" t="s">
        <v>1053</v>
      </c>
      <c r="E138" s="7">
        <v>1981</v>
      </c>
      <c r="F138" s="36" t="str" cm="1">
        <f t="array" ref="F138">_xlfn.XLOOKUP(D138&amp;C138, Sheet3!$C$2:$C$1224&amp;Sheet3!$B$2:$B$1224, Sheet3!$D$2:$D$1224, "")</f>
        <v/>
      </c>
      <c r="G138" s="1" t="str" cm="1">
        <f t="array" ref="G138">_xlfn.XLOOKUP(D138&amp;C138, Sheet2!$A$2:$A$558&amp;Sheet2!$B$2:$B$558, Sheet2!$C$2:$C$558, "")</f>
        <v/>
      </c>
      <c r="H138" s="40" t="str">
        <f t="shared" si="2"/>
        <v/>
      </c>
    </row>
    <row r="139" spans="1:8" ht="15.5" x14ac:dyDescent="0.35">
      <c r="A139" s="7">
        <v>138</v>
      </c>
      <c r="B139" s="8">
        <v>8450</v>
      </c>
      <c r="C139" s="31" t="s">
        <v>137</v>
      </c>
      <c r="D139" s="8" t="s">
        <v>1053</v>
      </c>
      <c r="E139" s="7">
        <v>1981</v>
      </c>
      <c r="F139" s="36" t="str" cm="1">
        <f t="array" ref="F139">_xlfn.XLOOKUP(D139&amp;C139, Sheet3!$C$2:$C$1224&amp;Sheet3!$B$2:$B$1224, Sheet3!$D$2:$D$1224, "")</f>
        <v/>
      </c>
      <c r="G139" s="1" t="str" cm="1">
        <f t="array" ref="G139">_xlfn.XLOOKUP(D139&amp;C139, Sheet2!$A$2:$A$558&amp;Sheet2!$B$2:$B$558, Sheet2!$C$2:$C$558, "")</f>
        <v/>
      </c>
      <c r="H139" s="40" t="str">
        <f t="shared" si="2"/>
        <v/>
      </c>
    </row>
    <row r="140" spans="1:8" ht="15.5" x14ac:dyDescent="0.35">
      <c r="A140" s="7">
        <v>139</v>
      </c>
      <c r="B140" s="8">
        <v>8946</v>
      </c>
      <c r="C140" s="31" t="s">
        <v>138</v>
      </c>
      <c r="D140" s="8" t="s">
        <v>1055</v>
      </c>
      <c r="E140" s="7">
        <v>1981</v>
      </c>
      <c r="F140" s="36" t="str" cm="1">
        <f t="array" ref="F140">_xlfn.XLOOKUP(D140&amp;C140, Sheet3!$C$2:$C$1224&amp;Sheet3!$B$2:$B$1224, Sheet3!$D$2:$D$1224, "")</f>
        <v/>
      </c>
      <c r="G140" s="1" t="str" cm="1">
        <f t="array" ref="G140">_xlfn.XLOOKUP(D140&amp;C140, Sheet2!$A$2:$A$558&amp;Sheet2!$B$2:$B$558, Sheet2!$C$2:$C$558, "")</f>
        <v/>
      </c>
      <c r="H140" s="40" t="str">
        <f t="shared" si="2"/>
        <v/>
      </c>
    </row>
    <row r="141" spans="1:8" ht="15.5" x14ac:dyDescent="0.35">
      <c r="A141" s="7">
        <v>140</v>
      </c>
      <c r="B141" s="8">
        <v>8105</v>
      </c>
      <c r="C141" s="31" t="s">
        <v>139</v>
      </c>
      <c r="D141" s="8" t="s">
        <v>1051</v>
      </c>
      <c r="E141" s="7">
        <v>1982</v>
      </c>
      <c r="F141" s="36" t="str" cm="1">
        <f t="array" ref="F141">_xlfn.XLOOKUP(D141&amp;C141, Sheet3!$C$2:$C$1224&amp;Sheet3!$B$2:$B$1224, Sheet3!$D$2:$D$1224, "")</f>
        <v/>
      </c>
      <c r="G141" s="1" t="str" cm="1">
        <f t="array" ref="G141">_xlfn.XLOOKUP(D141&amp;C141, Sheet2!$A$2:$A$558&amp;Sheet2!$B$2:$B$558, Sheet2!$C$2:$C$558, "")</f>
        <v/>
      </c>
      <c r="H141" s="40" t="str">
        <f t="shared" si="2"/>
        <v/>
      </c>
    </row>
    <row r="142" spans="1:8" ht="15.5" x14ac:dyDescent="0.35">
      <c r="A142" s="7">
        <v>141</v>
      </c>
      <c r="B142" s="8">
        <v>7233</v>
      </c>
      <c r="C142" s="31" t="s">
        <v>140</v>
      </c>
      <c r="D142" s="8" t="s">
        <v>1049</v>
      </c>
      <c r="E142" s="7">
        <v>1982</v>
      </c>
      <c r="F142" s="36" t="str" cm="1">
        <f t="array" ref="F142">_xlfn.XLOOKUP(D142&amp;C142, Sheet3!$C$2:$C$1224&amp;Sheet3!$B$2:$B$1224, Sheet3!$D$2:$D$1224, "")</f>
        <v/>
      </c>
      <c r="G142" s="1" t="str" cm="1">
        <f t="array" ref="G142">_xlfn.XLOOKUP(D142&amp;C142, Sheet2!$A$2:$A$558&amp;Sheet2!$B$2:$B$558, Sheet2!$C$2:$C$558, "")</f>
        <v/>
      </c>
      <c r="H142" s="40" t="str">
        <f t="shared" si="2"/>
        <v/>
      </c>
    </row>
    <row r="143" spans="1:8" ht="15.5" x14ac:dyDescent="0.35">
      <c r="A143" s="7">
        <v>142</v>
      </c>
      <c r="B143" s="8">
        <v>7458</v>
      </c>
      <c r="C143" s="31" t="s">
        <v>141</v>
      </c>
      <c r="D143" s="8" t="s">
        <v>1052</v>
      </c>
      <c r="E143" s="7">
        <v>1982</v>
      </c>
      <c r="F143" s="36" t="str" cm="1">
        <f t="array" ref="F143">_xlfn.XLOOKUP(D143&amp;C143, Sheet3!$C$2:$C$1224&amp;Sheet3!$B$2:$B$1224, Sheet3!$D$2:$D$1224, "")</f>
        <v/>
      </c>
      <c r="G143" s="1" t="str" cm="1">
        <f t="array" ref="G143">_xlfn.XLOOKUP(D143&amp;C143, Sheet2!$A$2:$A$558&amp;Sheet2!$B$2:$B$558, Sheet2!$C$2:$C$558, "")</f>
        <v/>
      </c>
      <c r="H143" s="40" t="str">
        <f t="shared" si="2"/>
        <v/>
      </c>
    </row>
    <row r="144" spans="1:8" ht="15.5" x14ac:dyDescent="0.35">
      <c r="A144" s="7">
        <v>143</v>
      </c>
      <c r="B144" s="8">
        <v>7158</v>
      </c>
      <c r="C144" s="31" t="s">
        <v>142</v>
      </c>
      <c r="D144" s="8" t="s">
        <v>1049</v>
      </c>
      <c r="E144" s="7">
        <v>1982</v>
      </c>
      <c r="F144" s="36" t="str" cm="1">
        <f t="array" ref="F144">_xlfn.XLOOKUP(D144&amp;C144, Sheet3!$C$2:$C$1224&amp;Sheet3!$B$2:$B$1224, Sheet3!$D$2:$D$1224, "")</f>
        <v/>
      </c>
      <c r="G144" s="1" t="str" cm="1">
        <f t="array" ref="G144">_xlfn.XLOOKUP(D144&amp;C144, Sheet2!$A$2:$A$558&amp;Sheet2!$B$2:$B$558, Sheet2!$C$2:$C$558, "")</f>
        <v/>
      </c>
      <c r="H144" s="40" t="str">
        <f t="shared" si="2"/>
        <v/>
      </c>
    </row>
    <row r="145" spans="1:8" ht="15.5" x14ac:dyDescent="0.35">
      <c r="A145" s="7">
        <v>144</v>
      </c>
      <c r="B145" s="8">
        <v>7994</v>
      </c>
      <c r="C145" s="31" t="s">
        <v>143</v>
      </c>
      <c r="D145" s="8" t="s">
        <v>1051</v>
      </c>
      <c r="E145" s="7">
        <v>1982</v>
      </c>
      <c r="F145" s="36" t="str" cm="1">
        <f t="array" ref="F145">_xlfn.XLOOKUP(D145&amp;C145, Sheet3!$C$2:$C$1224&amp;Sheet3!$B$2:$B$1224, Sheet3!$D$2:$D$1224, "")</f>
        <v/>
      </c>
      <c r="G145" s="1" t="str" cm="1">
        <f t="array" ref="G145">_xlfn.XLOOKUP(D145&amp;C145, Sheet2!$A$2:$A$558&amp;Sheet2!$B$2:$B$558, Sheet2!$C$2:$C$558, "")</f>
        <v/>
      </c>
      <c r="H145" s="40" t="str">
        <f t="shared" si="2"/>
        <v/>
      </c>
    </row>
    <row r="146" spans="1:8" ht="15.5" x14ac:dyDescent="0.35">
      <c r="A146" s="7">
        <v>145</v>
      </c>
      <c r="B146" s="8">
        <v>7308</v>
      </c>
      <c r="C146" s="31" t="s">
        <v>144</v>
      </c>
      <c r="D146" s="8" t="s">
        <v>1049</v>
      </c>
      <c r="E146" s="7">
        <v>1982</v>
      </c>
      <c r="F146" s="36" t="str" cm="1">
        <f t="array" ref="F146">_xlfn.XLOOKUP(D146&amp;C146, Sheet3!$C$2:$C$1224&amp;Sheet3!$B$2:$B$1224, Sheet3!$D$2:$D$1224, "")</f>
        <v/>
      </c>
      <c r="G146" s="1" t="str" cm="1">
        <f t="array" ref="G146">_xlfn.XLOOKUP(D146&amp;C146, Sheet2!$A$2:$A$558&amp;Sheet2!$B$2:$B$558, Sheet2!$C$2:$C$558, "")</f>
        <v/>
      </c>
      <c r="H146" s="40" t="str">
        <f t="shared" si="2"/>
        <v/>
      </c>
    </row>
    <row r="147" spans="1:8" ht="15.5" x14ac:dyDescent="0.35">
      <c r="A147" s="7">
        <v>146</v>
      </c>
      <c r="B147" s="8">
        <v>7970</v>
      </c>
      <c r="C147" s="31" t="s">
        <v>145</v>
      </c>
      <c r="D147" s="8" t="s">
        <v>1051</v>
      </c>
      <c r="E147" s="7">
        <v>1982</v>
      </c>
      <c r="F147" s="36" t="str" cm="1">
        <f t="array" ref="F147">_xlfn.XLOOKUP(D147&amp;C147, Sheet3!$C$2:$C$1224&amp;Sheet3!$B$2:$B$1224, Sheet3!$D$2:$D$1224, "")</f>
        <v/>
      </c>
      <c r="G147" s="1" t="str" cm="1">
        <f t="array" ref="G147">_xlfn.XLOOKUP(D147&amp;C147, Sheet2!$A$2:$A$558&amp;Sheet2!$B$2:$B$558, Sheet2!$C$2:$C$558, "")</f>
        <v/>
      </c>
      <c r="H147" s="40" t="str">
        <f t="shared" si="2"/>
        <v/>
      </c>
    </row>
    <row r="148" spans="1:8" ht="15.5" x14ac:dyDescent="0.35">
      <c r="A148" s="7">
        <v>147</v>
      </c>
      <c r="B148" s="8">
        <v>8278</v>
      </c>
      <c r="C148" s="31" t="s">
        <v>146</v>
      </c>
      <c r="D148" s="8" t="s">
        <v>1053</v>
      </c>
      <c r="E148" s="7">
        <v>1982</v>
      </c>
      <c r="F148" s="36" t="str" cm="1">
        <f t="array" ref="F148">_xlfn.XLOOKUP(D148&amp;C148, Sheet3!$C$2:$C$1224&amp;Sheet3!$B$2:$B$1224, Sheet3!$D$2:$D$1224, "")</f>
        <v/>
      </c>
      <c r="G148" s="1" t="str" cm="1">
        <f t="array" ref="G148">_xlfn.XLOOKUP(D148&amp;C148, Sheet2!$A$2:$A$558&amp;Sheet2!$B$2:$B$558, Sheet2!$C$2:$C$558, "")</f>
        <v/>
      </c>
      <c r="H148" s="40" t="str">
        <f t="shared" si="2"/>
        <v/>
      </c>
    </row>
    <row r="149" spans="1:8" ht="15.5" x14ac:dyDescent="0.35">
      <c r="A149" s="7">
        <v>148</v>
      </c>
      <c r="B149" s="8">
        <v>8942</v>
      </c>
      <c r="C149" s="31" t="s">
        <v>147</v>
      </c>
      <c r="D149" s="8" t="s">
        <v>1055</v>
      </c>
      <c r="E149" s="7">
        <v>1982</v>
      </c>
      <c r="F149" s="36" t="str" cm="1">
        <f t="array" ref="F149">_xlfn.XLOOKUP(D149&amp;C149, Sheet3!$C$2:$C$1224&amp;Sheet3!$B$2:$B$1224, Sheet3!$D$2:$D$1224, "")</f>
        <v/>
      </c>
      <c r="G149" s="1" t="str" cm="1">
        <f t="array" ref="G149">_xlfn.XLOOKUP(D149&amp;C149, Sheet2!$A$2:$A$558&amp;Sheet2!$B$2:$B$558, Sheet2!$C$2:$C$558, "")</f>
        <v/>
      </c>
      <c r="H149" s="40" t="str">
        <f t="shared" si="2"/>
        <v/>
      </c>
    </row>
    <row r="150" spans="1:8" ht="15.5" x14ac:dyDescent="0.35">
      <c r="A150" s="7">
        <v>149</v>
      </c>
      <c r="B150" s="8">
        <v>7916</v>
      </c>
      <c r="C150" s="31" t="s">
        <v>148</v>
      </c>
      <c r="D150" s="8" t="s">
        <v>1051</v>
      </c>
      <c r="E150" s="7">
        <v>1982</v>
      </c>
      <c r="F150" s="36" t="str" cm="1">
        <f t="array" ref="F150">_xlfn.XLOOKUP(D150&amp;C150, Sheet3!$C$2:$C$1224&amp;Sheet3!$B$2:$B$1224, Sheet3!$D$2:$D$1224, "")</f>
        <v/>
      </c>
      <c r="G150" s="1" t="str" cm="1">
        <f t="array" ref="G150">_xlfn.XLOOKUP(D150&amp;C150, Sheet2!$A$2:$A$558&amp;Sheet2!$B$2:$B$558, Sheet2!$C$2:$C$558, "")</f>
        <v/>
      </c>
      <c r="H150" s="40" t="str">
        <f t="shared" si="2"/>
        <v/>
      </c>
    </row>
    <row r="151" spans="1:8" ht="15.5" x14ac:dyDescent="0.35">
      <c r="A151" s="7">
        <v>150</v>
      </c>
      <c r="B151" s="8">
        <v>8906</v>
      </c>
      <c r="C151" s="31" t="s">
        <v>44</v>
      </c>
      <c r="D151" s="8" t="s">
        <v>1054</v>
      </c>
      <c r="E151" s="7">
        <v>1982</v>
      </c>
      <c r="F151" s="36" t="str" cm="1">
        <f t="array" ref="F151">_xlfn.XLOOKUP(D151&amp;C151, Sheet3!$C$2:$C$1224&amp;Sheet3!$B$2:$B$1224, Sheet3!$D$2:$D$1224, "")</f>
        <v/>
      </c>
      <c r="G151" s="1" t="str" cm="1">
        <f t="array" ref="G151">_xlfn.XLOOKUP(D151&amp;C151, Sheet2!$A$2:$A$558&amp;Sheet2!$B$2:$B$558, Sheet2!$C$2:$C$558, "")</f>
        <v/>
      </c>
      <c r="H151" s="40" t="str">
        <f t="shared" si="2"/>
        <v/>
      </c>
    </row>
    <row r="152" spans="1:8" ht="15.5" x14ac:dyDescent="0.35">
      <c r="A152" s="7">
        <v>151</v>
      </c>
      <c r="B152" s="8">
        <v>9011</v>
      </c>
      <c r="C152" s="31" t="s">
        <v>149</v>
      </c>
      <c r="D152" s="8" t="s">
        <v>1054</v>
      </c>
      <c r="E152" s="7">
        <v>1982</v>
      </c>
      <c r="F152" s="36" t="str" cm="1">
        <f t="array" ref="F152">_xlfn.XLOOKUP(D152&amp;C152, Sheet3!$C$2:$C$1224&amp;Sheet3!$B$2:$B$1224, Sheet3!$D$2:$D$1224, "")</f>
        <v>yuswantodk@gmail.com</v>
      </c>
      <c r="G152" s="1" t="str" cm="1">
        <f t="array" ref="G152">_xlfn.XLOOKUP(D152&amp;C152, Sheet2!$A$2:$A$558&amp;Sheet2!$B$2:$B$558, Sheet2!$C$2:$C$558, "")</f>
        <v/>
      </c>
      <c r="H152" s="40" t="str">
        <f t="shared" si="2"/>
        <v>yuswantodk@gmail.com</v>
      </c>
    </row>
    <row r="153" spans="1:8" ht="15.5" x14ac:dyDescent="0.35">
      <c r="A153" s="7">
        <v>152</v>
      </c>
      <c r="B153" s="8">
        <v>8285</v>
      </c>
      <c r="C153" s="31" t="s">
        <v>150</v>
      </c>
      <c r="D153" s="8" t="s">
        <v>1053</v>
      </c>
      <c r="E153" s="7">
        <v>1982</v>
      </c>
      <c r="F153" s="36" t="str" cm="1">
        <f t="array" ref="F153">_xlfn.XLOOKUP(D153&amp;C153, Sheet3!$C$2:$C$1224&amp;Sheet3!$B$2:$B$1224, Sheet3!$D$2:$D$1224, "")</f>
        <v/>
      </c>
      <c r="G153" s="1" t="str" cm="1">
        <f t="array" ref="G153">_xlfn.XLOOKUP(D153&amp;C153, Sheet2!$A$2:$A$558&amp;Sheet2!$B$2:$B$558, Sheet2!$C$2:$C$558, "")</f>
        <v/>
      </c>
      <c r="H153" s="40" t="str">
        <f t="shared" si="2"/>
        <v/>
      </c>
    </row>
    <row r="154" spans="1:8" ht="15.5" x14ac:dyDescent="0.35">
      <c r="A154" s="7">
        <v>153</v>
      </c>
      <c r="B154" s="8">
        <v>8339</v>
      </c>
      <c r="C154" s="31" t="s">
        <v>151</v>
      </c>
      <c r="D154" s="8" t="s">
        <v>1053</v>
      </c>
      <c r="E154" s="7">
        <v>1982</v>
      </c>
      <c r="F154" s="36" t="str" cm="1">
        <f t="array" ref="F154">_xlfn.XLOOKUP(D154&amp;C154, Sheet3!$C$2:$C$1224&amp;Sheet3!$B$2:$B$1224, Sheet3!$D$2:$D$1224, "")</f>
        <v/>
      </c>
      <c r="G154" s="1" t="str" cm="1">
        <f t="array" ref="G154">_xlfn.XLOOKUP(D154&amp;C154, Sheet2!$A$2:$A$558&amp;Sheet2!$B$2:$B$558, Sheet2!$C$2:$C$558, "")</f>
        <v/>
      </c>
      <c r="H154" s="40" t="str">
        <f t="shared" si="2"/>
        <v/>
      </c>
    </row>
    <row r="155" spans="1:8" ht="15.5" x14ac:dyDescent="0.35">
      <c r="A155" s="7">
        <v>154</v>
      </c>
      <c r="B155" s="8">
        <v>8212</v>
      </c>
      <c r="C155" s="31" t="s">
        <v>152</v>
      </c>
      <c r="D155" s="8" t="s">
        <v>1053</v>
      </c>
      <c r="E155" s="7">
        <v>1982</v>
      </c>
      <c r="F155" s="36" t="str" cm="1">
        <f t="array" ref="F155">_xlfn.XLOOKUP(D155&amp;C155, Sheet3!$C$2:$C$1224&amp;Sheet3!$B$2:$B$1224, Sheet3!$D$2:$D$1224, "")</f>
        <v/>
      </c>
      <c r="G155" s="1" t="str" cm="1">
        <f t="array" ref="G155">_xlfn.XLOOKUP(D155&amp;C155, Sheet2!$A$2:$A$558&amp;Sheet2!$B$2:$B$558, Sheet2!$C$2:$C$558, "")</f>
        <v/>
      </c>
      <c r="H155" s="40" t="str">
        <f t="shared" si="2"/>
        <v/>
      </c>
    </row>
    <row r="156" spans="1:8" ht="15.5" x14ac:dyDescent="0.35">
      <c r="A156" s="7">
        <v>155</v>
      </c>
      <c r="B156" s="8">
        <v>8854</v>
      </c>
      <c r="C156" s="31" t="s">
        <v>153</v>
      </c>
      <c r="D156" s="8" t="s">
        <v>1054</v>
      </c>
      <c r="E156" s="7">
        <v>1982</v>
      </c>
      <c r="F156" s="36" t="str" cm="1">
        <f t="array" ref="F156">_xlfn.XLOOKUP(D156&amp;C156, Sheet3!$C$2:$C$1224&amp;Sheet3!$B$2:$B$1224, Sheet3!$D$2:$D$1224, "")</f>
        <v/>
      </c>
      <c r="G156" s="1" t="str" cm="1">
        <f t="array" ref="G156">_xlfn.XLOOKUP(D156&amp;C156, Sheet2!$A$2:$A$558&amp;Sheet2!$B$2:$B$558, Sheet2!$C$2:$C$558, "")</f>
        <v/>
      </c>
      <c r="H156" s="40" t="str">
        <f t="shared" si="2"/>
        <v/>
      </c>
    </row>
    <row r="157" spans="1:8" ht="15.5" x14ac:dyDescent="0.35">
      <c r="A157" s="7">
        <v>156</v>
      </c>
      <c r="B157" s="8">
        <v>8427</v>
      </c>
      <c r="C157" s="31" t="s">
        <v>154</v>
      </c>
      <c r="D157" s="8" t="s">
        <v>1053</v>
      </c>
      <c r="E157" s="7">
        <v>1982</v>
      </c>
      <c r="F157" s="36" t="str" cm="1">
        <f t="array" ref="F157">_xlfn.XLOOKUP(D157&amp;C157, Sheet3!$C$2:$C$1224&amp;Sheet3!$B$2:$B$1224, Sheet3!$D$2:$D$1224, "")</f>
        <v/>
      </c>
      <c r="G157" s="1" t="str" cm="1">
        <f t="array" ref="G157">_xlfn.XLOOKUP(D157&amp;C157, Sheet2!$A$2:$A$558&amp;Sheet2!$B$2:$B$558, Sheet2!$C$2:$C$558, "")</f>
        <v/>
      </c>
      <c r="H157" s="40" t="str">
        <f t="shared" si="2"/>
        <v/>
      </c>
    </row>
    <row r="158" spans="1:8" ht="15.5" x14ac:dyDescent="0.35">
      <c r="A158" s="7">
        <v>157</v>
      </c>
      <c r="B158" s="8">
        <v>8061</v>
      </c>
      <c r="C158" s="31" t="s">
        <v>155</v>
      </c>
      <c r="D158" s="8" t="s">
        <v>1051</v>
      </c>
      <c r="E158" s="7">
        <v>1982</v>
      </c>
      <c r="F158" s="36" t="str" cm="1">
        <f t="array" ref="F158">_xlfn.XLOOKUP(D158&amp;C158, Sheet3!$C$2:$C$1224&amp;Sheet3!$B$2:$B$1224, Sheet3!$D$2:$D$1224, "")</f>
        <v/>
      </c>
      <c r="G158" s="1" t="str" cm="1">
        <f t="array" ref="G158">_xlfn.XLOOKUP(D158&amp;C158, Sheet2!$A$2:$A$558&amp;Sheet2!$B$2:$B$558, Sheet2!$C$2:$C$558, "")</f>
        <v/>
      </c>
      <c r="H158" s="40" t="str">
        <f t="shared" si="2"/>
        <v/>
      </c>
    </row>
    <row r="159" spans="1:8" ht="15.5" x14ac:dyDescent="0.35">
      <c r="A159" s="7">
        <v>158</v>
      </c>
      <c r="B159" s="8">
        <v>8848</v>
      </c>
      <c r="C159" s="31" t="s">
        <v>156</v>
      </c>
      <c r="D159" s="8" t="s">
        <v>1054</v>
      </c>
      <c r="E159" s="7">
        <v>1982</v>
      </c>
      <c r="F159" s="36" t="str" cm="1">
        <f t="array" ref="F159">_xlfn.XLOOKUP(D159&amp;C159, Sheet3!$C$2:$C$1224&amp;Sheet3!$B$2:$B$1224, Sheet3!$D$2:$D$1224, "")</f>
        <v/>
      </c>
      <c r="G159" s="1" t="str" cm="1">
        <f t="array" ref="G159">_xlfn.XLOOKUP(D159&amp;C159, Sheet2!$A$2:$A$558&amp;Sheet2!$B$2:$B$558, Sheet2!$C$2:$C$558, "")</f>
        <v/>
      </c>
      <c r="H159" s="40" t="str">
        <f t="shared" si="2"/>
        <v/>
      </c>
    </row>
    <row r="160" spans="1:8" ht="15.5" x14ac:dyDescent="0.35">
      <c r="A160" s="7">
        <v>159</v>
      </c>
      <c r="B160" s="8">
        <v>9121</v>
      </c>
      <c r="C160" s="31" t="s">
        <v>157</v>
      </c>
      <c r="D160" s="8" t="s">
        <v>1055</v>
      </c>
      <c r="E160" s="7">
        <v>1982</v>
      </c>
      <c r="F160" s="36" t="str" cm="1">
        <f t="array" ref="F160">_xlfn.XLOOKUP(D160&amp;C160, Sheet3!$C$2:$C$1224&amp;Sheet3!$B$2:$B$1224, Sheet3!$D$2:$D$1224, "")</f>
        <v>herumbudi69@ Gmail.com</v>
      </c>
      <c r="G160" s="1" t="str" cm="1">
        <f t="array" ref="G160">_xlfn.XLOOKUP(D160&amp;C160, Sheet2!$A$2:$A$558&amp;Sheet2!$B$2:$B$558, Sheet2!$C$2:$C$558, "")</f>
        <v/>
      </c>
      <c r="H160" s="40" t="str">
        <f t="shared" si="2"/>
        <v>herumbudi69@ Gmail.com</v>
      </c>
    </row>
    <row r="161" spans="1:8" ht="15.5" x14ac:dyDescent="0.35">
      <c r="A161" s="7">
        <v>160</v>
      </c>
      <c r="B161" s="8">
        <v>9047</v>
      </c>
      <c r="C161" s="31" t="s">
        <v>158</v>
      </c>
      <c r="D161" s="8" t="s">
        <v>1055</v>
      </c>
      <c r="E161" s="7">
        <v>1982</v>
      </c>
      <c r="F161" s="36" t="str" cm="1">
        <f t="array" ref="F161">_xlfn.XLOOKUP(D161&amp;C161, Sheet3!$C$2:$C$1224&amp;Sheet3!$B$2:$B$1224, Sheet3!$D$2:$D$1224, "")</f>
        <v>senoparseno@gmail.com</v>
      </c>
      <c r="G161" s="1" t="str" cm="1">
        <f t="array" ref="G161">_xlfn.XLOOKUP(D161&amp;C161, Sheet2!$A$2:$A$558&amp;Sheet2!$B$2:$B$558, Sheet2!$C$2:$C$558, "")</f>
        <v/>
      </c>
      <c r="H161" s="40" t="str">
        <f t="shared" si="2"/>
        <v>senoparseno@gmail.com</v>
      </c>
    </row>
    <row r="162" spans="1:8" ht="15.5" x14ac:dyDescent="0.35">
      <c r="A162" s="7">
        <v>161</v>
      </c>
      <c r="B162" s="8">
        <v>8323</v>
      </c>
      <c r="C162" s="31" t="s">
        <v>159</v>
      </c>
      <c r="D162" s="8" t="s">
        <v>1053</v>
      </c>
      <c r="E162" s="7">
        <v>1982</v>
      </c>
      <c r="F162" s="36" t="str" cm="1">
        <f t="array" ref="F162">_xlfn.XLOOKUP(D162&amp;C162, Sheet3!$C$2:$C$1224&amp;Sheet3!$B$2:$B$1224, Sheet3!$D$2:$D$1224, "")</f>
        <v/>
      </c>
      <c r="G162" s="1" t="str" cm="1">
        <f t="array" ref="G162">_xlfn.XLOOKUP(D162&amp;C162, Sheet2!$A$2:$A$558&amp;Sheet2!$B$2:$B$558, Sheet2!$C$2:$C$558, "")</f>
        <v/>
      </c>
      <c r="H162" s="40" t="str">
        <f t="shared" si="2"/>
        <v/>
      </c>
    </row>
    <row r="163" spans="1:8" ht="15.5" x14ac:dyDescent="0.35">
      <c r="A163" s="7">
        <v>162</v>
      </c>
      <c r="B163" s="8">
        <v>8095</v>
      </c>
      <c r="C163" s="31" t="s">
        <v>160</v>
      </c>
      <c r="D163" s="8" t="s">
        <v>1051</v>
      </c>
      <c r="E163" s="7">
        <v>1982</v>
      </c>
      <c r="F163" s="36" t="str" cm="1">
        <f t="array" ref="F163">_xlfn.XLOOKUP(D163&amp;C163, Sheet3!$C$2:$C$1224&amp;Sheet3!$B$2:$B$1224, Sheet3!$D$2:$D$1224, "")</f>
        <v/>
      </c>
      <c r="G163" s="1" t="str" cm="1">
        <f t="array" ref="G163">_xlfn.XLOOKUP(D163&amp;C163, Sheet2!$A$2:$A$558&amp;Sheet2!$B$2:$B$558, Sheet2!$C$2:$C$558, "")</f>
        <v/>
      </c>
      <c r="H163" s="40" t="str">
        <f t="shared" si="2"/>
        <v/>
      </c>
    </row>
    <row r="164" spans="1:8" ht="15.5" x14ac:dyDescent="0.35">
      <c r="A164" s="7">
        <v>163</v>
      </c>
      <c r="B164" s="8">
        <v>8037</v>
      </c>
      <c r="C164" s="31" t="s">
        <v>161</v>
      </c>
      <c r="D164" s="8" t="s">
        <v>1051</v>
      </c>
      <c r="E164" s="7">
        <v>1983</v>
      </c>
      <c r="F164" s="36" t="str" cm="1">
        <f t="array" ref="F164">_xlfn.XLOOKUP(D164&amp;C164, Sheet3!$C$2:$C$1224&amp;Sheet3!$B$2:$B$1224, Sheet3!$D$2:$D$1224, "")</f>
        <v/>
      </c>
      <c r="G164" s="1" t="str" cm="1">
        <f t="array" ref="G164">_xlfn.XLOOKUP(D164&amp;C164, Sheet2!$A$2:$A$558&amp;Sheet2!$B$2:$B$558, Sheet2!$C$2:$C$558, "")</f>
        <v/>
      </c>
      <c r="H164" s="40" t="str">
        <f t="shared" si="2"/>
        <v/>
      </c>
    </row>
    <row r="165" spans="1:8" ht="15.5" x14ac:dyDescent="0.35">
      <c r="A165" s="7">
        <v>164</v>
      </c>
      <c r="B165" s="8">
        <v>8421</v>
      </c>
      <c r="C165" s="31" t="s">
        <v>162</v>
      </c>
      <c r="D165" s="8" t="s">
        <v>1053</v>
      </c>
      <c r="E165" s="7">
        <v>1983</v>
      </c>
      <c r="F165" s="36" t="str" cm="1">
        <f t="array" ref="F165">_xlfn.XLOOKUP(D165&amp;C165, Sheet3!$C$2:$C$1224&amp;Sheet3!$B$2:$B$1224, Sheet3!$D$2:$D$1224, "")</f>
        <v/>
      </c>
      <c r="G165" s="1" t="str" cm="1">
        <f t="array" ref="G165">_xlfn.XLOOKUP(D165&amp;C165, Sheet2!$A$2:$A$558&amp;Sheet2!$B$2:$B$558, Sheet2!$C$2:$C$558, "")</f>
        <v/>
      </c>
      <c r="H165" s="40" t="str">
        <f t="shared" si="2"/>
        <v/>
      </c>
    </row>
    <row r="166" spans="1:8" ht="15.5" x14ac:dyDescent="0.35">
      <c r="A166" s="7">
        <v>165</v>
      </c>
      <c r="B166" s="8">
        <v>8758</v>
      </c>
      <c r="C166" s="31" t="s">
        <v>163</v>
      </c>
      <c r="D166" s="8" t="s">
        <v>1054</v>
      </c>
      <c r="E166" s="7">
        <v>1983</v>
      </c>
      <c r="F166" s="36" t="str" cm="1">
        <f t="array" ref="F166">_xlfn.XLOOKUP(D166&amp;C166, Sheet3!$C$2:$C$1224&amp;Sheet3!$B$2:$B$1224, Sheet3!$D$2:$D$1224, "")</f>
        <v/>
      </c>
      <c r="G166" s="1" t="str" cm="1">
        <f t="array" ref="G166">_xlfn.XLOOKUP(D166&amp;C166, Sheet2!$A$2:$A$558&amp;Sheet2!$B$2:$B$558, Sheet2!$C$2:$C$558, "")</f>
        <v/>
      </c>
      <c r="H166" s="40" t="str">
        <f t="shared" si="2"/>
        <v/>
      </c>
    </row>
    <row r="167" spans="1:8" ht="15.5" x14ac:dyDescent="0.35">
      <c r="A167" s="7">
        <v>166</v>
      </c>
      <c r="B167" s="8">
        <v>8299</v>
      </c>
      <c r="C167" s="31" t="s">
        <v>164</v>
      </c>
      <c r="D167" s="8" t="s">
        <v>1053</v>
      </c>
      <c r="E167" s="7">
        <v>1983</v>
      </c>
      <c r="F167" s="36" t="str" cm="1">
        <f t="array" ref="F167">_xlfn.XLOOKUP(D167&amp;C167, Sheet3!$C$2:$C$1224&amp;Sheet3!$B$2:$B$1224, Sheet3!$D$2:$D$1224, "")</f>
        <v/>
      </c>
      <c r="G167" s="1" t="str" cm="1">
        <f t="array" ref="G167">_xlfn.XLOOKUP(D167&amp;C167, Sheet2!$A$2:$A$558&amp;Sheet2!$B$2:$B$558, Sheet2!$C$2:$C$558, "")</f>
        <v/>
      </c>
      <c r="H167" s="40" t="str">
        <f t="shared" si="2"/>
        <v/>
      </c>
    </row>
    <row r="168" spans="1:8" ht="15.5" x14ac:dyDescent="0.35">
      <c r="A168" s="7">
        <v>167</v>
      </c>
      <c r="B168" s="8">
        <v>8409</v>
      </c>
      <c r="C168" s="31" t="s">
        <v>165</v>
      </c>
      <c r="D168" s="8" t="s">
        <v>1053</v>
      </c>
      <c r="E168" s="7">
        <v>1983</v>
      </c>
      <c r="F168" s="36" t="str" cm="1">
        <f t="array" ref="F168">_xlfn.XLOOKUP(D168&amp;C168, Sheet3!$C$2:$C$1224&amp;Sheet3!$B$2:$B$1224, Sheet3!$D$2:$D$1224, "")</f>
        <v/>
      </c>
      <c r="G168" s="1" t="str" cm="1">
        <f t="array" ref="G168">_xlfn.XLOOKUP(D168&amp;C168, Sheet2!$A$2:$A$558&amp;Sheet2!$B$2:$B$558, Sheet2!$C$2:$C$558, "")</f>
        <v/>
      </c>
      <c r="H168" s="40" t="str">
        <f t="shared" si="2"/>
        <v/>
      </c>
    </row>
    <row r="169" spans="1:8" ht="15.5" x14ac:dyDescent="0.35">
      <c r="A169" s="7">
        <v>168</v>
      </c>
      <c r="B169" s="8">
        <v>9327</v>
      </c>
      <c r="C169" s="31" t="s">
        <v>166</v>
      </c>
      <c r="D169" s="8" t="s">
        <v>1056</v>
      </c>
      <c r="E169" s="7">
        <v>1983</v>
      </c>
      <c r="F169" s="36" t="str" cm="1">
        <f t="array" ref="F169">_xlfn.XLOOKUP(D169&amp;C169, Sheet3!$C$2:$C$1224&amp;Sheet3!$B$2:$B$1224, Sheet3!$D$2:$D$1224, "")</f>
        <v>agussetyanto40@gmail.com</v>
      </c>
      <c r="G169" s="1" t="str" cm="1">
        <f t="array" ref="G169">_xlfn.XLOOKUP(D169&amp;C169, Sheet2!$A$2:$A$558&amp;Sheet2!$B$2:$B$558, Sheet2!$C$2:$C$558, "")</f>
        <v/>
      </c>
      <c r="H169" s="40" t="str">
        <f t="shared" si="2"/>
        <v>agussetyanto40@gmail.com</v>
      </c>
    </row>
    <row r="170" spans="1:8" ht="15.5" x14ac:dyDescent="0.35">
      <c r="A170" s="7">
        <v>169</v>
      </c>
      <c r="B170" s="8">
        <v>8863</v>
      </c>
      <c r="C170" s="31" t="s">
        <v>167</v>
      </c>
      <c r="D170" s="8" t="s">
        <v>1054</v>
      </c>
      <c r="E170" s="7">
        <v>1983</v>
      </c>
      <c r="F170" s="36" t="str" cm="1">
        <f t="array" ref="F170">_xlfn.XLOOKUP(D170&amp;C170, Sheet3!$C$2:$C$1224&amp;Sheet3!$B$2:$B$1224, Sheet3!$D$2:$D$1224, "")</f>
        <v/>
      </c>
      <c r="G170" s="1" t="str" cm="1">
        <f t="array" ref="G170">_xlfn.XLOOKUP(D170&amp;C170, Sheet2!$A$2:$A$558&amp;Sheet2!$B$2:$B$558, Sheet2!$C$2:$C$558, "")</f>
        <v/>
      </c>
      <c r="H170" s="40" t="str">
        <f t="shared" si="2"/>
        <v/>
      </c>
    </row>
    <row r="171" spans="1:8" ht="15.5" x14ac:dyDescent="0.35">
      <c r="A171" s="7">
        <v>170</v>
      </c>
      <c r="B171" s="8">
        <v>9217</v>
      </c>
      <c r="C171" s="31" t="s">
        <v>168</v>
      </c>
      <c r="D171" s="8" t="s">
        <v>1055</v>
      </c>
      <c r="E171" s="7">
        <v>1983</v>
      </c>
      <c r="F171" s="36" t="str" cm="1">
        <f t="array" ref="F171">_xlfn.XLOOKUP(D171&amp;C171, Sheet3!$C$2:$C$1224&amp;Sheet3!$B$2:$B$1224, Sheet3!$D$2:$D$1224, "")</f>
        <v/>
      </c>
      <c r="G171" s="1" t="str" cm="1">
        <f t="array" ref="G171">_xlfn.XLOOKUP(D171&amp;C171, Sheet2!$A$2:$A$558&amp;Sheet2!$B$2:$B$558, Sheet2!$C$2:$C$558, "")</f>
        <v/>
      </c>
      <c r="H171" s="40" t="str">
        <f t="shared" si="2"/>
        <v/>
      </c>
    </row>
    <row r="172" spans="1:8" ht="15.5" x14ac:dyDescent="0.35">
      <c r="A172" s="7">
        <v>171</v>
      </c>
      <c r="B172" s="8">
        <v>9517</v>
      </c>
      <c r="C172" s="31" t="s">
        <v>169</v>
      </c>
      <c r="D172" s="8" t="s">
        <v>1056</v>
      </c>
      <c r="E172" s="7">
        <v>1983</v>
      </c>
      <c r="F172" s="36" t="str" cm="1">
        <f t="array" ref="F172">_xlfn.XLOOKUP(D172&amp;C172, Sheet3!$C$2:$C$1224&amp;Sheet3!$B$2:$B$1224, Sheet3!$D$2:$D$1224, "")</f>
        <v>kobush96@gmail.com</v>
      </c>
      <c r="G172" s="1" t="str" cm="1">
        <f t="array" ref="G172">_xlfn.XLOOKUP(D172&amp;C172, Sheet2!$A$2:$A$558&amp;Sheet2!$B$2:$B$558, Sheet2!$C$2:$C$558, "")</f>
        <v/>
      </c>
      <c r="H172" s="40" t="str">
        <f t="shared" si="2"/>
        <v>kobush96@gmail.com</v>
      </c>
    </row>
    <row r="173" spans="1:8" ht="15.5" x14ac:dyDescent="0.35">
      <c r="A173" s="7">
        <v>172</v>
      </c>
      <c r="B173" s="8">
        <v>9410</v>
      </c>
      <c r="C173" s="31" t="s">
        <v>170</v>
      </c>
      <c r="D173" s="8" t="s">
        <v>1056</v>
      </c>
      <c r="E173" s="7">
        <v>1983</v>
      </c>
      <c r="F173" s="36" t="str" cm="1">
        <f t="array" ref="F173">_xlfn.XLOOKUP(D173&amp;C173, Sheet3!$C$2:$C$1224&amp;Sheet3!$B$2:$B$1224, Sheet3!$D$2:$D$1224, "")</f>
        <v>prinug@ugm.ac.id</v>
      </c>
      <c r="G173" s="1" t="str" cm="1">
        <f t="array" ref="G173">_xlfn.XLOOKUP(D173&amp;C173, Sheet2!$A$2:$A$558&amp;Sheet2!$B$2:$B$558, Sheet2!$C$2:$C$558, "")</f>
        <v>prinug@ugm.ac.id</v>
      </c>
      <c r="H173" s="40" t="str">
        <f t="shared" si="2"/>
        <v>prinug@ugm.ac.id</v>
      </c>
    </row>
    <row r="174" spans="1:8" ht="15.5" x14ac:dyDescent="0.35">
      <c r="A174" s="7">
        <v>173</v>
      </c>
      <c r="B174" s="8">
        <v>8840</v>
      </c>
      <c r="C174" s="31" t="s">
        <v>171</v>
      </c>
      <c r="D174" s="8" t="s">
        <v>1054</v>
      </c>
      <c r="E174" s="7">
        <v>1983</v>
      </c>
      <c r="F174" s="36" t="str" cm="1">
        <f t="array" ref="F174">_xlfn.XLOOKUP(D174&amp;C174, Sheet3!$C$2:$C$1224&amp;Sheet3!$B$2:$B$1224, Sheet3!$D$2:$D$1224, "")</f>
        <v/>
      </c>
      <c r="G174" s="1" t="str" cm="1">
        <f t="array" ref="G174">_xlfn.XLOOKUP(D174&amp;C174, Sheet2!$A$2:$A$558&amp;Sheet2!$B$2:$B$558, Sheet2!$C$2:$C$558, "")</f>
        <v/>
      </c>
      <c r="H174" s="40" t="str">
        <f t="shared" si="2"/>
        <v/>
      </c>
    </row>
    <row r="175" spans="1:8" ht="15.5" x14ac:dyDescent="0.35">
      <c r="A175" s="7">
        <v>174</v>
      </c>
      <c r="B175" s="8">
        <v>7153</v>
      </c>
      <c r="C175" s="31" t="s">
        <v>172</v>
      </c>
      <c r="D175" s="8" t="s">
        <v>1049</v>
      </c>
      <c r="E175" s="7">
        <v>1983</v>
      </c>
      <c r="F175" s="36" t="str" cm="1">
        <f t="array" ref="F175">_xlfn.XLOOKUP(D175&amp;C175, Sheet3!$C$2:$C$1224&amp;Sheet3!$B$2:$B$1224, Sheet3!$D$2:$D$1224, "")</f>
        <v/>
      </c>
      <c r="G175" s="1" t="str" cm="1">
        <f t="array" ref="G175">_xlfn.XLOOKUP(D175&amp;C175, Sheet2!$A$2:$A$558&amp;Sheet2!$B$2:$B$558, Sheet2!$C$2:$C$558, "")</f>
        <v/>
      </c>
      <c r="H175" s="40" t="str">
        <f t="shared" si="2"/>
        <v/>
      </c>
    </row>
    <row r="176" spans="1:8" ht="15.5" x14ac:dyDescent="0.35">
      <c r="A176" s="7">
        <v>175</v>
      </c>
      <c r="B176" s="8">
        <v>6897</v>
      </c>
      <c r="C176" s="31" t="s">
        <v>173</v>
      </c>
      <c r="D176" s="8" t="s">
        <v>1048</v>
      </c>
      <c r="E176" s="7">
        <v>1983</v>
      </c>
      <c r="F176" s="36" t="str" cm="1">
        <f t="array" ref="F176">_xlfn.XLOOKUP(D176&amp;C176, Sheet3!$C$2:$C$1224&amp;Sheet3!$B$2:$B$1224, Sheet3!$D$2:$D$1224, "")</f>
        <v/>
      </c>
      <c r="G176" s="1" t="str" cm="1">
        <f t="array" ref="G176">_xlfn.XLOOKUP(D176&amp;C176, Sheet2!$A$2:$A$558&amp;Sheet2!$B$2:$B$558, Sheet2!$C$2:$C$558, "")</f>
        <v/>
      </c>
      <c r="H176" s="40" t="str">
        <f t="shared" si="2"/>
        <v/>
      </c>
    </row>
    <row r="177" spans="1:8" ht="15.5" x14ac:dyDescent="0.35">
      <c r="A177" s="7">
        <v>176</v>
      </c>
      <c r="B177" s="8">
        <v>9115</v>
      </c>
      <c r="C177" s="31" t="s">
        <v>174</v>
      </c>
      <c r="D177" s="8" t="s">
        <v>1055</v>
      </c>
      <c r="E177" s="7">
        <v>1983</v>
      </c>
      <c r="F177" s="36" t="str" cm="1">
        <f t="array" ref="F177">_xlfn.XLOOKUP(D177&amp;C177, Sheet3!$C$2:$C$1224&amp;Sheet3!$B$2:$B$1224, Sheet3!$D$2:$D$1224, "")</f>
        <v>ambaradi76@gmail.com</v>
      </c>
      <c r="G177" s="1" t="str" cm="1">
        <f t="array" ref="G177">_xlfn.XLOOKUP(D177&amp;C177, Sheet2!$A$2:$A$558&amp;Sheet2!$B$2:$B$558, Sheet2!$C$2:$C$558, "")</f>
        <v/>
      </c>
      <c r="H177" s="40" t="str">
        <f t="shared" si="2"/>
        <v>ambaradi76@gmail.com</v>
      </c>
    </row>
    <row r="178" spans="1:8" ht="15.5" x14ac:dyDescent="0.35">
      <c r="A178" s="7">
        <v>177</v>
      </c>
      <c r="B178" s="8">
        <v>9465</v>
      </c>
      <c r="C178" s="31" t="s">
        <v>175</v>
      </c>
      <c r="D178" s="8" t="s">
        <v>1056</v>
      </c>
      <c r="E178" s="7">
        <v>1983</v>
      </c>
      <c r="F178" s="36" t="str" cm="1">
        <f t="array" ref="F178">_xlfn.XLOOKUP(D178&amp;C178, Sheet3!$C$2:$C$1224&amp;Sheet3!$B$2:$B$1224, Sheet3!$D$2:$D$1224, "")</f>
        <v/>
      </c>
      <c r="G178" s="1" t="str" cm="1">
        <f t="array" ref="G178">_xlfn.XLOOKUP(D178&amp;C178, Sheet2!$A$2:$A$558&amp;Sheet2!$B$2:$B$558, Sheet2!$C$2:$C$558, "")</f>
        <v/>
      </c>
      <c r="H178" s="40" t="str">
        <f t="shared" si="2"/>
        <v/>
      </c>
    </row>
    <row r="179" spans="1:8" ht="15.5" x14ac:dyDescent="0.35">
      <c r="A179" s="7">
        <v>178</v>
      </c>
      <c r="B179" s="8">
        <v>7247</v>
      </c>
      <c r="C179" s="31" t="s">
        <v>176</v>
      </c>
      <c r="D179" s="8" t="s">
        <v>1049</v>
      </c>
      <c r="E179" s="7">
        <v>1983</v>
      </c>
      <c r="F179" s="36" t="str" cm="1">
        <f t="array" ref="F179">_xlfn.XLOOKUP(D179&amp;C179, Sheet3!$C$2:$C$1224&amp;Sheet3!$B$2:$B$1224, Sheet3!$D$2:$D$1224, "")</f>
        <v/>
      </c>
      <c r="G179" s="1" t="str" cm="1">
        <f t="array" ref="G179">_xlfn.XLOOKUP(D179&amp;C179, Sheet2!$A$2:$A$558&amp;Sheet2!$B$2:$B$558, Sheet2!$C$2:$C$558, "")</f>
        <v/>
      </c>
      <c r="H179" s="40" t="str">
        <f t="shared" si="2"/>
        <v/>
      </c>
    </row>
    <row r="180" spans="1:8" ht="15.5" x14ac:dyDescent="0.35">
      <c r="A180" s="7">
        <v>179</v>
      </c>
      <c r="B180" s="8">
        <v>9019</v>
      </c>
      <c r="C180" s="31" t="s">
        <v>177</v>
      </c>
      <c r="D180" s="8" t="s">
        <v>1055</v>
      </c>
      <c r="E180" s="7">
        <v>1983</v>
      </c>
      <c r="F180" s="36" t="str" cm="1">
        <f t="array" ref="F180">_xlfn.XLOOKUP(D180&amp;C180, Sheet3!$C$2:$C$1224&amp;Sheet3!$B$2:$B$1224, Sheet3!$D$2:$D$1224, "")</f>
        <v/>
      </c>
      <c r="G180" s="1" t="str" cm="1">
        <f t="array" ref="G180">_xlfn.XLOOKUP(D180&amp;C180, Sheet2!$A$2:$A$558&amp;Sheet2!$B$2:$B$558, Sheet2!$C$2:$C$558, "")</f>
        <v/>
      </c>
      <c r="H180" s="40" t="str">
        <f t="shared" si="2"/>
        <v/>
      </c>
    </row>
    <row r="181" spans="1:8" ht="15.5" x14ac:dyDescent="0.35">
      <c r="A181" s="7">
        <v>180</v>
      </c>
      <c r="B181" s="8">
        <v>9364</v>
      </c>
      <c r="C181" s="31" t="s">
        <v>178</v>
      </c>
      <c r="D181" s="8" t="s">
        <v>1056</v>
      </c>
      <c r="E181" s="7">
        <v>1983</v>
      </c>
      <c r="F181" s="36" t="str" cm="1">
        <f t="array" ref="F181">_xlfn.XLOOKUP(D181&amp;C181, Sheet3!$C$2:$C$1224&amp;Sheet3!$B$2:$B$1224, Sheet3!$D$2:$D$1224, "")</f>
        <v>djurdjani@ugm.ac.id</v>
      </c>
      <c r="G181" s="1" t="str" cm="1">
        <f t="array" ref="G181">_xlfn.XLOOKUP(D181&amp;C181, Sheet2!$A$2:$A$558&amp;Sheet2!$B$2:$B$558, Sheet2!$C$2:$C$558, "")</f>
        <v/>
      </c>
      <c r="H181" s="40" t="str">
        <f t="shared" si="2"/>
        <v>djurdjani@ugm.ac.id</v>
      </c>
    </row>
    <row r="182" spans="1:8" ht="15.5" x14ac:dyDescent="0.35">
      <c r="A182" s="7">
        <v>181</v>
      </c>
      <c r="B182" s="8">
        <v>9365</v>
      </c>
      <c r="C182" s="31" t="s">
        <v>179</v>
      </c>
      <c r="D182" s="8" t="s">
        <v>1056</v>
      </c>
      <c r="E182" s="7">
        <v>1983</v>
      </c>
      <c r="F182" s="36" t="str" cm="1">
        <f t="array" ref="F182">_xlfn.XLOOKUP(D182&amp;C182, Sheet3!$C$2:$C$1224&amp;Sheet3!$B$2:$B$1224, Sheet3!$D$2:$D$1224, "")</f>
        <v/>
      </c>
      <c r="G182" s="1" t="str" cm="1">
        <f t="array" ref="G182">_xlfn.XLOOKUP(D182&amp;C182, Sheet2!$A$2:$A$558&amp;Sheet2!$B$2:$B$558, Sheet2!$C$2:$C$558, "")</f>
        <v/>
      </c>
      <c r="H182" s="40" t="str">
        <f t="shared" si="2"/>
        <v/>
      </c>
    </row>
    <row r="183" spans="1:8" ht="15.5" x14ac:dyDescent="0.35">
      <c r="A183" s="7">
        <v>182</v>
      </c>
      <c r="B183" s="8">
        <v>9390</v>
      </c>
      <c r="C183" s="31" t="s">
        <v>180</v>
      </c>
      <c r="D183" s="8" t="s">
        <v>1056</v>
      </c>
      <c r="E183" s="7">
        <v>1983</v>
      </c>
      <c r="F183" s="36" t="str" cm="1">
        <f t="array" ref="F183">_xlfn.XLOOKUP(D183&amp;C183, Sheet3!$C$2:$C$1224&amp;Sheet3!$B$2:$B$1224, Sheet3!$D$2:$D$1224, "")</f>
        <v/>
      </c>
      <c r="G183" s="1" t="str" cm="1">
        <f t="array" ref="G183">_xlfn.XLOOKUP(D183&amp;C183, Sheet2!$A$2:$A$558&amp;Sheet2!$B$2:$B$558, Sheet2!$C$2:$C$558, "")</f>
        <v/>
      </c>
      <c r="H183" s="40" t="str">
        <f t="shared" si="2"/>
        <v/>
      </c>
    </row>
    <row r="184" spans="1:8" ht="15.5" x14ac:dyDescent="0.35">
      <c r="A184" s="7">
        <v>183</v>
      </c>
      <c r="B184" s="8">
        <v>9575</v>
      </c>
      <c r="C184" s="31" t="s">
        <v>181</v>
      </c>
      <c r="D184" s="8" t="s">
        <v>1056</v>
      </c>
      <c r="E184" s="7">
        <v>1983</v>
      </c>
      <c r="F184" s="36" t="str" cm="1">
        <f t="array" ref="F184">_xlfn.XLOOKUP(D184&amp;C184, Sheet3!$C$2:$C$1224&amp;Sheet3!$B$2:$B$1224, Sheet3!$D$2:$D$1224, "")</f>
        <v/>
      </c>
      <c r="G184" s="1" t="str" cm="1">
        <f t="array" ref="G184">_xlfn.XLOOKUP(D184&amp;C184, Sheet2!$A$2:$A$558&amp;Sheet2!$B$2:$B$558, Sheet2!$C$2:$C$558, "")</f>
        <v/>
      </c>
      <c r="H184" s="40" t="str">
        <f t="shared" si="2"/>
        <v/>
      </c>
    </row>
    <row r="185" spans="1:8" ht="15.5" x14ac:dyDescent="0.35">
      <c r="A185" s="7">
        <v>184</v>
      </c>
      <c r="B185" s="8">
        <v>9541</v>
      </c>
      <c r="C185" s="31" t="s">
        <v>182</v>
      </c>
      <c r="D185" s="8" t="s">
        <v>1056</v>
      </c>
      <c r="E185" s="7">
        <v>1983</v>
      </c>
      <c r="F185" s="36" t="str" cm="1">
        <f t="array" ref="F185">_xlfn.XLOOKUP(D185&amp;C185, Sheet3!$C$2:$C$1224&amp;Sheet3!$B$2:$B$1224, Sheet3!$D$2:$D$1224, "")</f>
        <v/>
      </c>
      <c r="G185" s="1" t="str" cm="1">
        <f t="array" ref="G185">_xlfn.XLOOKUP(D185&amp;C185, Sheet2!$A$2:$A$558&amp;Sheet2!$B$2:$B$558, Sheet2!$C$2:$C$558, "")</f>
        <v/>
      </c>
      <c r="H185" s="40" t="str">
        <f t="shared" si="2"/>
        <v/>
      </c>
    </row>
    <row r="186" spans="1:8" ht="15.5" x14ac:dyDescent="0.35">
      <c r="A186" s="7">
        <v>185</v>
      </c>
      <c r="B186" s="8">
        <v>9480</v>
      </c>
      <c r="C186" s="31" t="s">
        <v>183</v>
      </c>
      <c r="D186" s="8" t="s">
        <v>1056</v>
      </c>
      <c r="E186" s="7">
        <v>1983</v>
      </c>
      <c r="F186" s="36" t="str" cm="1">
        <f t="array" ref="F186">_xlfn.XLOOKUP(D186&amp;C186, Sheet3!$C$2:$C$1224&amp;Sheet3!$B$2:$B$1224, Sheet3!$D$2:$D$1224, "")</f>
        <v/>
      </c>
      <c r="G186" s="1" t="str" cm="1">
        <f t="array" ref="G186">_xlfn.XLOOKUP(D186&amp;C186, Sheet2!$A$2:$A$558&amp;Sheet2!$B$2:$B$558, Sheet2!$C$2:$C$558, "")</f>
        <v/>
      </c>
      <c r="H186" s="40" t="str">
        <f t="shared" si="2"/>
        <v/>
      </c>
    </row>
    <row r="187" spans="1:8" ht="15.5" x14ac:dyDescent="0.35">
      <c r="A187" s="7">
        <v>186</v>
      </c>
      <c r="B187" s="8">
        <v>7278</v>
      </c>
      <c r="C187" s="31" t="s">
        <v>184</v>
      </c>
      <c r="D187" s="8" t="s">
        <v>1049</v>
      </c>
      <c r="E187" s="7">
        <v>1983</v>
      </c>
      <c r="F187" s="36" t="str" cm="1">
        <f t="array" ref="F187">_xlfn.XLOOKUP(D187&amp;C187, Sheet3!$C$2:$C$1224&amp;Sheet3!$B$2:$B$1224, Sheet3!$D$2:$D$1224, "")</f>
        <v/>
      </c>
      <c r="G187" s="1" t="str" cm="1">
        <f t="array" ref="G187">_xlfn.XLOOKUP(D187&amp;C187, Sheet2!$A$2:$A$558&amp;Sheet2!$B$2:$B$558, Sheet2!$C$2:$C$558, "")</f>
        <v/>
      </c>
      <c r="H187" s="40" t="str">
        <f t="shared" si="2"/>
        <v/>
      </c>
    </row>
    <row r="188" spans="1:8" ht="15.5" x14ac:dyDescent="0.35">
      <c r="A188" s="7">
        <v>187</v>
      </c>
      <c r="B188" s="8">
        <v>8985</v>
      </c>
      <c r="C188" s="31" t="s">
        <v>185</v>
      </c>
      <c r="D188" s="8" t="s">
        <v>1055</v>
      </c>
      <c r="E188" s="7">
        <v>1983</v>
      </c>
      <c r="F188" s="36" t="str" cm="1">
        <f t="array" ref="F188">_xlfn.XLOOKUP(D188&amp;C188, Sheet3!$C$2:$C$1224&amp;Sheet3!$B$2:$B$1224, Sheet3!$D$2:$D$1224, "")</f>
        <v/>
      </c>
      <c r="G188" s="1" t="str" cm="1">
        <f t="array" ref="G188">_xlfn.XLOOKUP(D188&amp;C188, Sheet2!$A$2:$A$558&amp;Sheet2!$B$2:$B$558, Sheet2!$C$2:$C$558, "")</f>
        <v/>
      </c>
      <c r="H188" s="40" t="str">
        <f t="shared" si="2"/>
        <v/>
      </c>
    </row>
    <row r="189" spans="1:8" ht="15.5" x14ac:dyDescent="0.35">
      <c r="A189" s="7">
        <v>188</v>
      </c>
      <c r="B189" s="8">
        <v>9566</v>
      </c>
      <c r="C189" s="31" t="s">
        <v>186</v>
      </c>
      <c r="D189" s="8" t="s">
        <v>1056</v>
      </c>
      <c r="E189" s="7">
        <v>1983</v>
      </c>
      <c r="F189" s="36" t="str" cm="1">
        <f t="array" ref="F189">_xlfn.XLOOKUP(D189&amp;C189, Sheet3!$C$2:$C$1224&amp;Sheet3!$B$2:$B$1224, Sheet3!$D$2:$D$1224, "")</f>
        <v/>
      </c>
      <c r="G189" s="1" t="str" cm="1">
        <f t="array" ref="G189">_xlfn.XLOOKUP(D189&amp;C189, Sheet2!$A$2:$A$558&amp;Sheet2!$B$2:$B$558, Sheet2!$C$2:$C$558, "")</f>
        <v/>
      </c>
      <c r="H189" s="40" t="str">
        <f t="shared" si="2"/>
        <v/>
      </c>
    </row>
    <row r="190" spans="1:8" ht="15.5" x14ac:dyDescent="0.35">
      <c r="A190" s="7">
        <v>189</v>
      </c>
      <c r="B190" s="8">
        <v>8657</v>
      </c>
      <c r="C190" s="31" t="s">
        <v>187</v>
      </c>
      <c r="D190" s="8" t="s">
        <v>1054</v>
      </c>
      <c r="E190" s="7">
        <v>1983</v>
      </c>
      <c r="F190" s="36" t="str" cm="1">
        <f t="array" ref="F190">_xlfn.XLOOKUP(D190&amp;C190, Sheet3!$C$2:$C$1224&amp;Sheet3!$B$2:$B$1224, Sheet3!$D$2:$D$1224, "")</f>
        <v/>
      </c>
      <c r="G190" s="1" t="str" cm="1">
        <f t="array" ref="G190">_xlfn.XLOOKUP(D190&amp;C190, Sheet2!$A$2:$A$558&amp;Sheet2!$B$2:$B$558, Sheet2!$C$2:$C$558, "")</f>
        <v/>
      </c>
      <c r="H190" s="40" t="str">
        <f t="shared" si="2"/>
        <v/>
      </c>
    </row>
    <row r="191" spans="1:8" ht="15.5" x14ac:dyDescent="0.35">
      <c r="A191" s="7">
        <v>190</v>
      </c>
      <c r="B191" s="8">
        <v>9407</v>
      </c>
      <c r="C191" s="31" t="s">
        <v>188</v>
      </c>
      <c r="D191" s="8" t="s">
        <v>1056</v>
      </c>
      <c r="E191" s="7">
        <v>1983</v>
      </c>
      <c r="F191" s="36" t="str" cm="1">
        <f t="array" ref="F191">_xlfn.XLOOKUP(D191&amp;C191, Sheet3!$C$2:$C$1224&amp;Sheet3!$B$2:$B$1224, Sheet3!$D$2:$D$1224, "")</f>
        <v/>
      </c>
      <c r="G191" s="1" t="str" cm="1">
        <f t="array" ref="G191">_xlfn.XLOOKUP(D191&amp;C191, Sheet2!$A$2:$A$558&amp;Sheet2!$B$2:$B$558, Sheet2!$C$2:$C$558, "")</f>
        <v/>
      </c>
      <c r="H191" s="40" t="str">
        <f t="shared" si="2"/>
        <v/>
      </c>
    </row>
    <row r="192" spans="1:8" ht="15.5" x14ac:dyDescent="0.35">
      <c r="A192" s="7">
        <v>191</v>
      </c>
      <c r="B192" s="8">
        <v>7613</v>
      </c>
      <c r="C192" s="31" t="s">
        <v>189</v>
      </c>
      <c r="D192" s="8" t="s">
        <v>1052</v>
      </c>
      <c r="E192" s="7">
        <v>1983</v>
      </c>
      <c r="F192" s="36" t="str" cm="1">
        <f t="array" ref="F192">_xlfn.XLOOKUP(D192&amp;C192, Sheet3!$C$2:$C$1224&amp;Sheet3!$B$2:$B$1224, Sheet3!$D$2:$D$1224, "")</f>
        <v/>
      </c>
      <c r="G192" s="1" t="str" cm="1">
        <f t="array" ref="G192">_xlfn.XLOOKUP(D192&amp;C192, Sheet2!$A$2:$A$558&amp;Sheet2!$B$2:$B$558, Sheet2!$C$2:$C$558, "")</f>
        <v/>
      </c>
      <c r="H192" s="40" t="str">
        <f t="shared" si="2"/>
        <v/>
      </c>
    </row>
    <row r="193" spans="1:8" ht="15.5" x14ac:dyDescent="0.35">
      <c r="A193" s="7">
        <v>192</v>
      </c>
      <c r="B193" s="8">
        <v>8803</v>
      </c>
      <c r="C193" s="31" t="s">
        <v>190</v>
      </c>
      <c r="D193" s="8" t="s">
        <v>1054</v>
      </c>
      <c r="E193" s="7">
        <v>1983</v>
      </c>
      <c r="F193" s="36" t="str" cm="1">
        <f t="array" ref="F193">_xlfn.XLOOKUP(D193&amp;C193, Sheet3!$C$2:$C$1224&amp;Sheet3!$B$2:$B$1224, Sheet3!$D$2:$D$1224, "")</f>
        <v/>
      </c>
      <c r="G193" s="1" t="str" cm="1">
        <f t="array" ref="G193">_xlfn.XLOOKUP(D193&amp;C193, Sheet2!$A$2:$A$558&amp;Sheet2!$B$2:$B$558, Sheet2!$C$2:$C$558, "")</f>
        <v/>
      </c>
      <c r="H193" s="40" t="str">
        <f t="shared" si="2"/>
        <v/>
      </c>
    </row>
    <row r="194" spans="1:8" ht="15.5" x14ac:dyDescent="0.35">
      <c r="A194" s="7">
        <v>193</v>
      </c>
      <c r="B194" s="8">
        <v>8944</v>
      </c>
      <c r="C194" s="31" t="s">
        <v>191</v>
      </c>
      <c r="D194" s="8" t="s">
        <v>1055</v>
      </c>
      <c r="E194" s="7">
        <v>1983</v>
      </c>
      <c r="F194" s="36" t="str" cm="1">
        <f t="array" ref="F194">_xlfn.XLOOKUP(D194&amp;C194, Sheet3!$C$2:$C$1224&amp;Sheet3!$B$2:$B$1224, Sheet3!$D$2:$D$1224, "")</f>
        <v>Dmangunsudarmo@gmail.com</v>
      </c>
      <c r="G194" s="1" t="str" cm="1">
        <f t="array" ref="G194">_xlfn.XLOOKUP(D194&amp;C194, Sheet2!$A$2:$A$558&amp;Sheet2!$B$2:$B$558, Sheet2!$C$2:$C$558, "")</f>
        <v/>
      </c>
      <c r="H194" s="40" t="str">
        <f t="shared" si="2"/>
        <v>Dmangunsudarmo@gmail.com</v>
      </c>
    </row>
    <row r="195" spans="1:8" ht="15.5" x14ac:dyDescent="0.35">
      <c r="A195" s="7">
        <v>194</v>
      </c>
      <c r="B195" s="8">
        <v>8596</v>
      </c>
      <c r="C195" s="31" t="s">
        <v>192</v>
      </c>
      <c r="D195" s="8" t="s">
        <v>1054</v>
      </c>
      <c r="E195" s="7">
        <v>1983</v>
      </c>
      <c r="F195" s="36" t="str" cm="1">
        <f t="array" ref="F195">_xlfn.XLOOKUP(D195&amp;C195, Sheet3!$C$2:$C$1224&amp;Sheet3!$B$2:$B$1224, Sheet3!$D$2:$D$1224, "")</f>
        <v/>
      </c>
      <c r="G195" s="1" t="str" cm="1">
        <f t="array" ref="G195">_xlfn.XLOOKUP(D195&amp;C195, Sheet2!$A$2:$A$558&amp;Sheet2!$B$2:$B$558, Sheet2!$C$2:$C$558, "")</f>
        <v/>
      </c>
      <c r="H195" s="40" t="str">
        <f t="shared" ref="H195:H258" si="3">IF(F195&lt;&gt;"",F195,G195)</f>
        <v/>
      </c>
    </row>
    <row r="196" spans="1:8" ht="15.5" x14ac:dyDescent="0.35">
      <c r="A196" s="7">
        <v>195</v>
      </c>
      <c r="B196" s="8">
        <v>9865</v>
      </c>
      <c r="C196" s="31" t="s">
        <v>193</v>
      </c>
      <c r="D196" s="8" t="s">
        <v>1057</v>
      </c>
      <c r="E196" s="7">
        <v>1983</v>
      </c>
      <c r="F196" s="36" t="str" cm="1">
        <f t="array" ref="F196">_xlfn.XLOOKUP(D196&amp;C196, Sheet3!$C$2:$C$1224&amp;Sheet3!$B$2:$B$1224, Sheet3!$D$2:$D$1224, "")</f>
        <v/>
      </c>
      <c r="G196" s="1" t="str" cm="1">
        <f t="array" ref="G196">_xlfn.XLOOKUP(D196&amp;C196, Sheet2!$A$2:$A$558&amp;Sheet2!$B$2:$B$558, Sheet2!$C$2:$C$558, "")</f>
        <v/>
      </c>
      <c r="H196" s="40" t="str">
        <f t="shared" si="3"/>
        <v/>
      </c>
    </row>
    <row r="197" spans="1:8" ht="15.5" x14ac:dyDescent="0.35">
      <c r="A197" s="7">
        <v>196</v>
      </c>
      <c r="B197" s="8">
        <v>9318</v>
      </c>
      <c r="C197" s="31" t="s">
        <v>194</v>
      </c>
      <c r="D197" s="8" t="s">
        <v>1056</v>
      </c>
      <c r="E197" s="7">
        <v>1983</v>
      </c>
      <c r="F197" s="36" t="str" cm="1">
        <f t="array" ref="F197">_xlfn.XLOOKUP(D197&amp;C197, Sheet3!$C$2:$C$1224&amp;Sheet3!$B$2:$B$1224, Sheet3!$D$2:$D$1224, "")</f>
        <v>arisrahardjo57@gmail.com</v>
      </c>
      <c r="G197" s="1" t="str" cm="1">
        <f t="array" ref="G197">_xlfn.XLOOKUP(D197&amp;C197, Sheet2!$A$2:$A$558&amp;Sheet2!$B$2:$B$558, Sheet2!$C$2:$C$558, "")</f>
        <v/>
      </c>
      <c r="H197" s="40" t="str">
        <f t="shared" si="3"/>
        <v>arisrahardjo57@gmail.com</v>
      </c>
    </row>
    <row r="198" spans="1:8" ht="15.5" x14ac:dyDescent="0.35">
      <c r="A198" s="7">
        <v>197</v>
      </c>
      <c r="B198" s="8">
        <v>9546</v>
      </c>
      <c r="C198" s="31" t="s">
        <v>195</v>
      </c>
      <c r="D198" s="8" t="s">
        <v>1056</v>
      </c>
      <c r="E198" s="7">
        <v>1983</v>
      </c>
      <c r="F198" s="36" t="str" cm="1">
        <f t="array" ref="F198">_xlfn.XLOOKUP(D198&amp;C198, Sheet3!$C$2:$C$1224&amp;Sheet3!$B$2:$B$1224, Sheet3!$D$2:$D$1224, "")</f>
        <v/>
      </c>
      <c r="G198" s="1" t="str" cm="1">
        <f t="array" ref="G198">_xlfn.XLOOKUP(D198&amp;C198, Sheet2!$A$2:$A$558&amp;Sheet2!$B$2:$B$558, Sheet2!$C$2:$C$558, "")</f>
        <v/>
      </c>
      <c r="H198" s="40" t="str">
        <f t="shared" si="3"/>
        <v/>
      </c>
    </row>
    <row r="199" spans="1:8" ht="15.5" x14ac:dyDescent="0.35">
      <c r="A199" s="7">
        <v>198</v>
      </c>
      <c r="B199" s="8">
        <v>9173</v>
      </c>
      <c r="C199" s="31" t="s">
        <v>196</v>
      </c>
      <c r="D199" s="8" t="s">
        <v>1055</v>
      </c>
      <c r="E199" s="7">
        <v>1984</v>
      </c>
      <c r="F199" s="36" t="str" cm="1">
        <f t="array" ref="F199">_xlfn.XLOOKUP(D199&amp;C199, Sheet3!$C$2:$C$1224&amp;Sheet3!$B$2:$B$1224, Sheet3!$D$2:$D$1224, "")</f>
        <v/>
      </c>
      <c r="G199" s="1" t="str" cm="1">
        <f t="array" ref="G199">_xlfn.XLOOKUP(D199&amp;C199, Sheet2!$A$2:$A$558&amp;Sheet2!$B$2:$B$558, Sheet2!$C$2:$C$558, "")</f>
        <v/>
      </c>
      <c r="H199" s="40" t="str">
        <f t="shared" si="3"/>
        <v/>
      </c>
    </row>
    <row r="200" spans="1:8" ht="15.5" x14ac:dyDescent="0.35">
      <c r="A200" s="7">
        <v>199</v>
      </c>
      <c r="B200" s="8">
        <v>9211</v>
      </c>
      <c r="C200" s="31" t="s">
        <v>197</v>
      </c>
      <c r="D200" s="8" t="s">
        <v>1055</v>
      </c>
      <c r="E200" s="7">
        <v>1984</v>
      </c>
      <c r="F200" s="36" t="str" cm="1">
        <f t="array" ref="F200">_xlfn.XLOOKUP(D200&amp;C200, Sheet3!$C$2:$C$1224&amp;Sheet3!$B$2:$B$1224, Sheet3!$D$2:$D$1224, "")</f>
        <v/>
      </c>
      <c r="G200" s="1" t="str" cm="1">
        <f t="array" ref="G200">_xlfn.XLOOKUP(D200&amp;C200, Sheet2!$A$2:$A$558&amp;Sheet2!$B$2:$B$558, Sheet2!$C$2:$C$558, "")</f>
        <v/>
      </c>
      <c r="H200" s="40" t="str">
        <f t="shared" si="3"/>
        <v/>
      </c>
    </row>
    <row r="201" spans="1:8" ht="15.5" x14ac:dyDescent="0.35">
      <c r="A201" s="7">
        <v>200</v>
      </c>
      <c r="B201" s="8">
        <v>9146</v>
      </c>
      <c r="C201" s="31" t="s">
        <v>198</v>
      </c>
      <c r="D201" s="8" t="s">
        <v>1055</v>
      </c>
      <c r="E201" s="7">
        <v>1984</v>
      </c>
      <c r="F201" s="36" t="str" cm="1">
        <f t="array" ref="F201">_xlfn.XLOOKUP(D201&amp;C201, Sheet3!$C$2:$C$1224&amp;Sheet3!$B$2:$B$1224, Sheet3!$D$2:$D$1224, "")</f>
        <v/>
      </c>
      <c r="G201" s="1" t="str" cm="1">
        <f t="array" ref="G201">_xlfn.XLOOKUP(D201&amp;C201, Sheet2!$A$2:$A$558&amp;Sheet2!$B$2:$B$558, Sheet2!$C$2:$C$558, "")</f>
        <v/>
      </c>
      <c r="H201" s="40" t="str">
        <f t="shared" si="3"/>
        <v/>
      </c>
    </row>
    <row r="202" spans="1:8" ht="15.5" x14ac:dyDescent="0.35">
      <c r="A202" s="7">
        <v>201</v>
      </c>
      <c r="B202" s="8">
        <v>9237</v>
      </c>
      <c r="C202" s="31" t="s">
        <v>5827</v>
      </c>
      <c r="D202" s="8" t="s">
        <v>1058</v>
      </c>
      <c r="E202" s="7">
        <v>1984</v>
      </c>
      <c r="F202" s="36" t="str" cm="1">
        <f t="array" ref="F202">_xlfn.XLOOKUP(D202&amp;C202, Sheet3!$C$2:$C$1224&amp;Sheet3!$B$2:$B$1224, Sheet3!$D$2:$D$1224, "")</f>
        <v/>
      </c>
      <c r="G202" s="1" t="str" cm="1">
        <f t="array" ref="G202">_xlfn.XLOOKUP(D202&amp;C202, Sheet2!$A$2:$A$558&amp;Sheet2!$B$2:$B$558, Sheet2!$C$2:$C$558, "")</f>
        <v/>
      </c>
      <c r="H202" s="40" t="str">
        <f t="shared" si="3"/>
        <v/>
      </c>
    </row>
    <row r="203" spans="1:8" ht="15.5" x14ac:dyDescent="0.35">
      <c r="A203" s="7">
        <v>202</v>
      </c>
      <c r="B203" s="8">
        <v>9489</v>
      </c>
      <c r="C203" s="31" t="s">
        <v>199</v>
      </c>
      <c r="D203" s="8" t="s">
        <v>1056</v>
      </c>
      <c r="E203" s="7">
        <v>1984</v>
      </c>
      <c r="F203" s="36" t="str" cm="1">
        <f t="array" ref="F203">_xlfn.XLOOKUP(D203&amp;C203, Sheet3!$C$2:$C$1224&amp;Sheet3!$B$2:$B$1224, Sheet3!$D$2:$D$1224, "")</f>
        <v/>
      </c>
      <c r="G203" s="1" t="str" cm="1">
        <f t="array" ref="G203">_xlfn.XLOOKUP(D203&amp;C203, Sheet2!$A$2:$A$558&amp;Sheet2!$B$2:$B$558, Sheet2!$C$2:$C$558, "")</f>
        <v/>
      </c>
      <c r="H203" s="40" t="str">
        <f t="shared" si="3"/>
        <v/>
      </c>
    </row>
    <row r="204" spans="1:8" ht="15.5" x14ac:dyDescent="0.35">
      <c r="A204" s="7">
        <v>203</v>
      </c>
      <c r="B204" s="8">
        <v>8097</v>
      </c>
      <c r="C204" s="31" t="s">
        <v>200</v>
      </c>
      <c r="D204" s="8" t="s">
        <v>1051</v>
      </c>
      <c r="E204" s="7">
        <v>1984</v>
      </c>
      <c r="F204" s="36" t="str" cm="1">
        <f t="array" ref="F204">_xlfn.XLOOKUP(D204&amp;C204, Sheet3!$C$2:$C$1224&amp;Sheet3!$B$2:$B$1224, Sheet3!$D$2:$D$1224, "")</f>
        <v/>
      </c>
      <c r="G204" s="1" t="str" cm="1">
        <f t="array" ref="G204">_xlfn.XLOOKUP(D204&amp;C204, Sheet2!$A$2:$A$558&amp;Sheet2!$B$2:$B$558, Sheet2!$C$2:$C$558, "")</f>
        <v/>
      </c>
      <c r="H204" s="40" t="str">
        <f t="shared" si="3"/>
        <v/>
      </c>
    </row>
    <row r="205" spans="1:8" ht="15.5" x14ac:dyDescent="0.35">
      <c r="A205" s="7">
        <v>204</v>
      </c>
      <c r="B205" s="8">
        <v>9220</v>
      </c>
      <c r="C205" s="31" t="s">
        <v>201</v>
      </c>
      <c r="D205" s="8" t="s">
        <v>1055</v>
      </c>
      <c r="E205" s="7">
        <v>1984</v>
      </c>
      <c r="F205" s="36" t="str" cm="1">
        <f t="array" ref="F205">_xlfn.XLOOKUP(D205&amp;C205, Sheet3!$C$2:$C$1224&amp;Sheet3!$B$2:$B$1224, Sheet3!$D$2:$D$1224, "")</f>
        <v/>
      </c>
      <c r="G205" s="1" t="str" cm="1">
        <f t="array" ref="G205">_xlfn.XLOOKUP(D205&amp;C205, Sheet2!$A$2:$A$558&amp;Sheet2!$B$2:$B$558, Sheet2!$C$2:$C$558, "")</f>
        <v/>
      </c>
      <c r="H205" s="40" t="str">
        <f t="shared" si="3"/>
        <v/>
      </c>
    </row>
    <row r="206" spans="1:8" ht="15.5" x14ac:dyDescent="0.35">
      <c r="A206" s="7">
        <v>205</v>
      </c>
      <c r="B206" s="8">
        <v>9225</v>
      </c>
      <c r="C206" s="31" t="s">
        <v>202</v>
      </c>
      <c r="D206" s="8" t="s">
        <v>1055</v>
      </c>
      <c r="E206" s="7">
        <v>1984</v>
      </c>
      <c r="F206" s="36" t="str" cm="1">
        <f t="array" ref="F206">_xlfn.XLOOKUP(D206&amp;C206, Sheet3!$C$2:$C$1224&amp;Sheet3!$B$2:$B$1224, Sheet3!$D$2:$D$1224, "")</f>
        <v>humam1802@gmail.com</v>
      </c>
      <c r="G206" s="1" t="str" cm="1">
        <f t="array" ref="G206">_xlfn.XLOOKUP(D206&amp;C206, Sheet2!$A$2:$A$558&amp;Sheet2!$B$2:$B$558, Sheet2!$C$2:$C$558, "")</f>
        <v/>
      </c>
      <c r="H206" s="40" t="str">
        <f t="shared" si="3"/>
        <v>humam1802@gmail.com</v>
      </c>
    </row>
    <row r="207" spans="1:8" ht="15.5" x14ac:dyDescent="0.35">
      <c r="A207" s="7">
        <v>206</v>
      </c>
      <c r="B207" s="8">
        <v>1039</v>
      </c>
      <c r="C207" s="31" t="s">
        <v>203</v>
      </c>
      <c r="D207" s="8" t="s">
        <v>1057</v>
      </c>
      <c r="E207" s="7">
        <v>1984</v>
      </c>
      <c r="F207" s="36" t="str" cm="1">
        <f t="array" ref="F207">_xlfn.XLOOKUP(D207&amp;C207, Sheet3!$C$2:$C$1224&amp;Sheet3!$B$2:$B$1224, Sheet3!$D$2:$D$1224, "")</f>
        <v>mudjijana08@gmail.com</v>
      </c>
      <c r="G207" s="1" t="str" cm="1">
        <f t="array" ref="G207">_xlfn.XLOOKUP(D207&amp;C207, Sheet2!$A$2:$A$558&amp;Sheet2!$B$2:$B$558, Sheet2!$C$2:$C$558, "")</f>
        <v/>
      </c>
      <c r="H207" s="40" t="str">
        <f t="shared" si="3"/>
        <v>mudjijana08@gmail.com</v>
      </c>
    </row>
    <row r="208" spans="1:8" ht="15.5" x14ac:dyDescent="0.35">
      <c r="A208" s="7">
        <v>207</v>
      </c>
      <c r="B208" s="8">
        <v>9370</v>
      </c>
      <c r="C208" s="31" t="s">
        <v>204</v>
      </c>
      <c r="D208" s="8" t="s">
        <v>1056</v>
      </c>
      <c r="E208" s="7">
        <v>1984</v>
      </c>
      <c r="F208" s="36" t="str" cm="1">
        <f t="array" ref="F208">_xlfn.XLOOKUP(D208&amp;C208, Sheet3!$C$2:$C$1224&amp;Sheet3!$B$2:$B$1224, Sheet3!$D$2:$D$1224, "")</f>
        <v/>
      </c>
      <c r="G208" s="1" t="str" cm="1">
        <f t="array" ref="G208">_xlfn.XLOOKUP(D208&amp;C208, Sheet2!$A$2:$A$558&amp;Sheet2!$B$2:$B$558, Sheet2!$C$2:$C$558, "")</f>
        <v/>
      </c>
      <c r="H208" s="40" t="str">
        <f t="shared" si="3"/>
        <v/>
      </c>
    </row>
    <row r="209" spans="1:8" ht="15.5" x14ac:dyDescent="0.35">
      <c r="A209" s="7">
        <v>208</v>
      </c>
      <c r="B209" s="8">
        <v>7128</v>
      </c>
      <c r="C209" s="31" t="s">
        <v>205</v>
      </c>
      <c r="D209" s="8" t="s">
        <v>1049</v>
      </c>
      <c r="E209" s="7">
        <v>1984</v>
      </c>
      <c r="F209" s="36" t="str" cm="1">
        <f t="array" ref="F209">_xlfn.XLOOKUP(D209&amp;C209, Sheet3!$C$2:$C$1224&amp;Sheet3!$B$2:$B$1224, Sheet3!$D$2:$D$1224, "")</f>
        <v/>
      </c>
      <c r="G209" s="1" t="str" cm="1">
        <f t="array" ref="G209">_xlfn.XLOOKUP(D209&amp;C209, Sheet2!$A$2:$A$558&amp;Sheet2!$B$2:$B$558, Sheet2!$C$2:$C$558, "")</f>
        <v/>
      </c>
      <c r="H209" s="40" t="str">
        <f t="shared" si="3"/>
        <v/>
      </c>
    </row>
    <row r="210" spans="1:8" ht="15.5" x14ac:dyDescent="0.35">
      <c r="A210" s="7">
        <v>209</v>
      </c>
      <c r="B210" s="8">
        <v>9858</v>
      </c>
      <c r="C210" s="31" t="s">
        <v>206</v>
      </c>
      <c r="D210" s="8" t="s">
        <v>1056</v>
      </c>
      <c r="E210" s="7">
        <v>1984</v>
      </c>
      <c r="F210" s="36" t="str" cm="1">
        <f t="array" ref="F210">_xlfn.XLOOKUP(D210&amp;C210, Sheet3!$C$2:$C$1224&amp;Sheet3!$B$2:$B$1224, Sheet3!$D$2:$D$1224, "")</f>
        <v/>
      </c>
      <c r="G210" s="1" t="str" cm="1">
        <f t="array" ref="G210">_xlfn.XLOOKUP(D210&amp;C210, Sheet2!$A$2:$A$558&amp;Sheet2!$B$2:$B$558, Sheet2!$C$2:$C$558, "")</f>
        <v/>
      </c>
      <c r="H210" s="40" t="str">
        <f t="shared" si="3"/>
        <v/>
      </c>
    </row>
    <row r="211" spans="1:8" ht="15.5" x14ac:dyDescent="0.35">
      <c r="A211" s="7">
        <v>210</v>
      </c>
      <c r="B211" s="8">
        <v>9819</v>
      </c>
      <c r="C211" s="31" t="s">
        <v>207</v>
      </c>
      <c r="D211" s="8" t="s">
        <v>1057</v>
      </c>
      <c r="E211" s="7">
        <v>1984</v>
      </c>
      <c r="F211" s="36" t="str" cm="1">
        <f t="array" ref="F211">_xlfn.XLOOKUP(D211&amp;C211, Sheet3!$C$2:$C$1224&amp;Sheet3!$B$2:$B$1224, Sheet3!$D$2:$D$1224, "")</f>
        <v/>
      </c>
      <c r="G211" s="1" t="str" cm="1">
        <f t="array" ref="G211">_xlfn.XLOOKUP(D211&amp;C211, Sheet2!$A$2:$A$558&amp;Sheet2!$B$2:$B$558, Sheet2!$C$2:$C$558, "")</f>
        <v/>
      </c>
      <c r="H211" s="40" t="str">
        <f t="shared" si="3"/>
        <v/>
      </c>
    </row>
    <row r="212" spans="1:8" ht="15.5" x14ac:dyDescent="0.35">
      <c r="A212" s="7">
        <v>211</v>
      </c>
      <c r="B212" s="8">
        <v>8911</v>
      </c>
      <c r="C212" s="31" t="s">
        <v>208</v>
      </c>
      <c r="D212" s="8" t="s">
        <v>1054</v>
      </c>
      <c r="E212" s="7">
        <v>1984</v>
      </c>
      <c r="F212" s="36" t="str" cm="1">
        <f t="array" ref="F212">_xlfn.XLOOKUP(D212&amp;C212, Sheet3!$C$2:$C$1224&amp;Sheet3!$B$2:$B$1224, Sheet3!$D$2:$D$1224, "")</f>
        <v/>
      </c>
      <c r="G212" s="1" t="str" cm="1">
        <f t="array" ref="G212">_xlfn.XLOOKUP(D212&amp;C212, Sheet2!$A$2:$A$558&amp;Sheet2!$B$2:$B$558, Sheet2!$C$2:$C$558, "")</f>
        <v/>
      </c>
      <c r="H212" s="40" t="str">
        <f t="shared" si="3"/>
        <v/>
      </c>
    </row>
    <row r="213" spans="1:8" ht="15.5" x14ac:dyDescent="0.35">
      <c r="A213" s="7">
        <v>212</v>
      </c>
      <c r="B213" s="8">
        <v>9984</v>
      </c>
      <c r="C213" s="31" t="s">
        <v>209</v>
      </c>
      <c r="D213" s="8" t="s">
        <v>1057</v>
      </c>
      <c r="E213" s="7">
        <v>1984</v>
      </c>
      <c r="F213" s="36" t="str" cm="1">
        <f t="array" ref="F213">_xlfn.XLOOKUP(D213&amp;C213, Sheet3!$C$2:$C$1224&amp;Sheet3!$B$2:$B$1224, Sheet3!$D$2:$D$1224, "")</f>
        <v/>
      </c>
      <c r="G213" s="1" t="str" cm="1">
        <f t="array" ref="G213">_xlfn.XLOOKUP(D213&amp;C213, Sheet2!$A$2:$A$558&amp;Sheet2!$B$2:$B$558, Sheet2!$C$2:$C$558, "")</f>
        <v/>
      </c>
      <c r="H213" s="40" t="str">
        <f t="shared" si="3"/>
        <v/>
      </c>
    </row>
    <row r="214" spans="1:8" ht="15.5" x14ac:dyDescent="0.35">
      <c r="A214" s="7">
        <v>213</v>
      </c>
      <c r="B214" s="8">
        <v>9322</v>
      </c>
      <c r="C214" s="31" t="s">
        <v>210</v>
      </c>
      <c r="D214" s="8" t="s">
        <v>1056</v>
      </c>
      <c r="E214" s="7">
        <v>1984</v>
      </c>
      <c r="F214" s="36" t="str" cm="1">
        <f t="array" ref="F214">_xlfn.XLOOKUP(D214&amp;C214, Sheet3!$C$2:$C$1224&amp;Sheet3!$B$2:$B$1224, Sheet3!$D$2:$D$1224, "")</f>
        <v/>
      </c>
      <c r="G214" s="1" t="str" cm="1">
        <f t="array" ref="G214">_xlfn.XLOOKUP(D214&amp;C214, Sheet2!$A$2:$A$558&amp;Sheet2!$B$2:$B$558, Sheet2!$C$2:$C$558, "")</f>
        <v/>
      </c>
      <c r="H214" s="40" t="str">
        <f t="shared" si="3"/>
        <v/>
      </c>
    </row>
    <row r="215" spans="1:8" ht="15.5" x14ac:dyDescent="0.35">
      <c r="A215" s="7">
        <v>214</v>
      </c>
      <c r="B215" s="8">
        <v>8757</v>
      </c>
      <c r="C215" s="31" t="s">
        <v>211</v>
      </c>
      <c r="D215" s="8" t="s">
        <v>1054</v>
      </c>
      <c r="E215" s="7">
        <v>1984</v>
      </c>
      <c r="F215" s="36" t="str" cm="1">
        <f t="array" ref="F215">_xlfn.XLOOKUP(D215&amp;C215, Sheet3!$C$2:$C$1224&amp;Sheet3!$B$2:$B$1224, Sheet3!$D$2:$D$1224, "")</f>
        <v/>
      </c>
      <c r="G215" s="1" t="str" cm="1">
        <f t="array" ref="G215">_xlfn.XLOOKUP(D215&amp;C215, Sheet2!$A$2:$A$558&amp;Sheet2!$B$2:$B$558, Sheet2!$C$2:$C$558, "")</f>
        <v/>
      </c>
      <c r="H215" s="40" t="str">
        <f t="shared" si="3"/>
        <v/>
      </c>
    </row>
    <row r="216" spans="1:8" ht="15.5" x14ac:dyDescent="0.35">
      <c r="A216" s="7">
        <v>215</v>
      </c>
      <c r="B216" s="8">
        <v>8913</v>
      </c>
      <c r="C216" s="31" t="s">
        <v>212</v>
      </c>
      <c r="D216" s="8" t="s">
        <v>1054</v>
      </c>
      <c r="E216" s="7">
        <v>1984</v>
      </c>
      <c r="F216" s="36" t="str" cm="1">
        <f t="array" ref="F216">_xlfn.XLOOKUP(D216&amp;C216, Sheet3!$C$2:$C$1224&amp;Sheet3!$B$2:$B$1224, Sheet3!$D$2:$D$1224, "")</f>
        <v/>
      </c>
      <c r="G216" s="1" t="str" cm="1">
        <f t="array" ref="G216">_xlfn.XLOOKUP(D216&amp;C216, Sheet2!$A$2:$A$558&amp;Sheet2!$B$2:$B$558, Sheet2!$C$2:$C$558, "")</f>
        <v/>
      </c>
      <c r="H216" s="40" t="str">
        <f t="shared" si="3"/>
        <v/>
      </c>
    </row>
    <row r="217" spans="1:8" ht="15.5" x14ac:dyDescent="0.35">
      <c r="A217" s="7">
        <v>216</v>
      </c>
      <c r="B217" s="8">
        <v>9458</v>
      </c>
      <c r="C217" s="31" t="s">
        <v>213</v>
      </c>
      <c r="D217" s="8" t="s">
        <v>1056</v>
      </c>
      <c r="E217" s="7">
        <v>1984</v>
      </c>
      <c r="F217" s="36" t="str" cm="1">
        <f t="array" ref="F217">_xlfn.XLOOKUP(D217&amp;C217, Sheet3!$C$2:$C$1224&amp;Sheet3!$B$2:$B$1224, Sheet3!$D$2:$D$1224, "")</f>
        <v/>
      </c>
      <c r="G217" s="1" t="str" cm="1">
        <f t="array" ref="G217">_xlfn.XLOOKUP(D217&amp;C217, Sheet2!$A$2:$A$558&amp;Sheet2!$B$2:$B$558, Sheet2!$C$2:$C$558, "")</f>
        <v/>
      </c>
      <c r="H217" s="40" t="str">
        <f t="shared" si="3"/>
        <v/>
      </c>
    </row>
    <row r="218" spans="1:8" ht="15.5" x14ac:dyDescent="0.35">
      <c r="A218" s="7">
        <v>217</v>
      </c>
      <c r="B218" s="8">
        <v>6858</v>
      </c>
      <c r="C218" s="31" t="s">
        <v>214</v>
      </c>
      <c r="D218" s="8" t="s">
        <v>1048</v>
      </c>
      <c r="E218" s="7">
        <v>1984</v>
      </c>
      <c r="F218" s="36" t="str" cm="1">
        <f t="array" ref="F218">_xlfn.XLOOKUP(D218&amp;C218, Sheet3!$C$2:$C$1224&amp;Sheet3!$B$2:$B$1224, Sheet3!$D$2:$D$1224, "")</f>
        <v/>
      </c>
      <c r="G218" s="1" t="str" cm="1">
        <f t="array" ref="G218">_xlfn.XLOOKUP(D218&amp;C218, Sheet2!$A$2:$A$558&amp;Sheet2!$B$2:$B$558, Sheet2!$C$2:$C$558, "")</f>
        <v/>
      </c>
      <c r="H218" s="40" t="str">
        <f t="shared" si="3"/>
        <v/>
      </c>
    </row>
    <row r="219" spans="1:8" ht="15.5" x14ac:dyDescent="0.35">
      <c r="A219" s="7">
        <v>218</v>
      </c>
      <c r="B219" s="8">
        <v>9705</v>
      </c>
      <c r="C219" s="31" t="s">
        <v>215</v>
      </c>
      <c r="D219" s="8" t="s">
        <v>1057</v>
      </c>
      <c r="E219" s="7">
        <v>1984</v>
      </c>
      <c r="F219" s="36" t="str" cm="1">
        <f t="array" ref="F219">_xlfn.XLOOKUP(D219&amp;C219, Sheet3!$C$2:$C$1224&amp;Sheet3!$B$2:$B$1224, Sheet3!$D$2:$D$1224, "")</f>
        <v/>
      </c>
      <c r="G219" s="1" t="str" cm="1">
        <f t="array" ref="G219">_xlfn.XLOOKUP(D219&amp;C219, Sheet2!$A$2:$A$558&amp;Sheet2!$B$2:$B$558, Sheet2!$C$2:$C$558, "")</f>
        <v/>
      </c>
      <c r="H219" s="40" t="str">
        <f t="shared" si="3"/>
        <v/>
      </c>
    </row>
    <row r="220" spans="1:8" ht="15.5" x14ac:dyDescent="0.35">
      <c r="A220" s="7">
        <v>219</v>
      </c>
      <c r="B220" s="8">
        <v>8396</v>
      </c>
      <c r="C220" s="31" t="s">
        <v>216</v>
      </c>
      <c r="D220" s="8" t="s">
        <v>1053</v>
      </c>
      <c r="E220" s="7">
        <v>1984</v>
      </c>
      <c r="F220" s="36" t="str" cm="1">
        <f t="array" ref="F220">_xlfn.XLOOKUP(D220&amp;C220, Sheet3!$C$2:$C$1224&amp;Sheet3!$B$2:$B$1224, Sheet3!$D$2:$D$1224, "")</f>
        <v/>
      </c>
      <c r="G220" s="1" t="str" cm="1">
        <f t="array" ref="G220">_xlfn.XLOOKUP(D220&amp;C220, Sheet2!$A$2:$A$558&amp;Sheet2!$B$2:$B$558, Sheet2!$C$2:$C$558, "")</f>
        <v/>
      </c>
      <c r="H220" s="40" t="str">
        <f t="shared" si="3"/>
        <v/>
      </c>
    </row>
    <row r="221" spans="1:8" ht="15.5" x14ac:dyDescent="0.35">
      <c r="A221" s="7">
        <v>220</v>
      </c>
      <c r="B221" s="8">
        <v>9977</v>
      </c>
      <c r="C221" s="31" t="s">
        <v>217</v>
      </c>
      <c r="D221" s="8" t="s">
        <v>1057</v>
      </c>
      <c r="E221" s="7">
        <v>1984</v>
      </c>
      <c r="F221" s="36" t="str" cm="1">
        <f t="array" ref="F221">_xlfn.XLOOKUP(D221&amp;C221, Sheet3!$C$2:$C$1224&amp;Sheet3!$B$2:$B$1224, Sheet3!$D$2:$D$1224, "")</f>
        <v/>
      </c>
      <c r="G221" s="1" t="str" cm="1">
        <f t="array" ref="G221">_xlfn.XLOOKUP(D221&amp;C221, Sheet2!$A$2:$A$558&amp;Sheet2!$B$2:$B$558, Sheet2!$C$2:$C$558, "")</f>
        <v/>
      </c>
      <c r="H221" s="40" t="str">
        <f t="shared" si="3"/>
        <v/>
      </c>
    </row>
    <row r="222" spans="1:8" ht="15.5" x14ac:dyDescent="0.35">
      <c r="A222" s="7">
        <v>221</v>
      </c>
      <c r="B222" s="8">
        <v>9977</v>
      </c>
      <c r="C222" s="31" t="s">
        <v>218</v>
      </c>
      <c r="D222" s="8" t="s">
        <v>1058</v>
      </c>
      <c r="E222" s="7">
        <v>1984</v>
      </c>
      <c r="F222" s="36" t="str" cm="1">
        <f t="array" ref="F222">_xlfn.XLOOKUP(D222&amp;C222, Sheet3!$C$2:$C$1224&amp;Sheet3!$B$2:$B$1224, Sheet3!$D$2:$D$1224, "")</f>
        <v/>
      </c>
      <c r="G222" s="1" t="str" cm="1">
        <f t="array" ref="G222">_xlfn.XLOOKUP(D222&amp;C222, Sheet2!$A$2:$A$558&amp;Sheet2!$B$2:$B$558, Sheet2!$C$2:$C$558, "")</f>
        <v/>
      </c>
      <c r="H222" s="40" t="str">
        <f t="shared" si="3"/>
        <v/>
      </c>
    </row>
    <row r="223" spans="1:8" ht="15.5" x14ac:dyDescent="0.35">
      <c r="A223" s="7">
        <v>222</v>
      </c>
      <c r="B223" s="8">
        <v>7175</v>
      </c>
      <c r="C223" s="31" t="s">
        <v>219</v>
      </c>
      <c r="D223" s="8" t="s">
        <v>1049</v>
      </c>
      <c r="E223" s="7">
        <v>1985</v>
      </c>
      <c r="F223" s="36" t="str" cm="1">
        <f t="array" ref="F223">_xlfn.XLOOKUP(D223&amp;C223, Sheet3!$C$2:$C$1224&amp;Sheet3!$B$2:$B$1224, Sheet3!$D$2:$D$1224, "")</f>
        <v/>
      </c>
      <c r="G223" s="1" t="str" cm="1">
        <f t="array" ref="G223">_xlfn.XLOOKUP(D223&amp;C223, Sheet2!$A$2:$A$558&amp;Sheet2!$B$2:$B$558, Sheet2!$C$2:$C$558, "")</f>
        <v/>
      </c>
      <c r="H223" s="40" t="str">
        <f t="shared" si="3"/>
        <v/>
      </c>
    </row>
    <row r="224" spans="1:8" ht="15.5" x14ac:dyDescent="0.35">
      <c r="A224" s="7">
        <v>223</v>
      </c>
      <c r="B224" s="8">
        <v>9900</v>
      </c>
      <c r="C224" s="31" t="s">
        <v>220</v>
      </c>
      <c r="D224" s="8" t="s">
        <v>1057</v>
      </c>
      <c r="E224" s="7">
        <v>1985</v>
      </c>
      <c r="F224" s="36" t="str" cm="1">
        <f t="array" ref="F224">_xlfn.XLOOKUP(D224&amp;C224, Sheet3!$C$2:$C$1224&amp;Sheet3!$B$2:$B$1224, Sheet3!$D$2:$D$1224, "")</f>
        <v/>
      </c>
      <c r="G224" s="1" t="str" cm="1">
        <f t="array" ref="G224">_xlfn.XLOOKUP(D224&amp;C224, Sheet2!$A$2:$A$558&amp;Sheet2!$B$2:$B$558, Sheet2!$C$2:$C$558, "")</f>
        <v/>
      </c>
      <c r="H224" s="40" t="str">
        <f t="shared" si="3"/>
        <v/>
      </c>
    </row>
    <row r="225" spans="1:8" ht="15.5" x14ac:dyDescent="0.35">
      <c r="A225" s="7">
        <v>224</v>
      </c>
      <c r="B225" s="8">
        <v>8739</v>
      </c>
      <c r="C225" s="31" t="s">
        <v>221</v>
      </c>
      <c r="D225" s="8" t="s">
        <v>1054</v>
      </c>
      <c r="E225" s="7">
        <v>1985</v>
      </c>
      <c r="F225" s="36" t="str" cm="1">
        <f t="array" ref="F225">_xlfn.XLOOKUP(D225&amp;C225, Sheet3!$C$2:$C$1224&amp;Sheet3!$B$2:$B$1224, Sheet3!$D$2:$D$1224, "")</f>
        <v/>
      </c>
      <c r="G225" s="1" t="str" cm="1">
        <f t="array" ref="G225">_xlfn.XLOOKUP(D225&amp;C225, Sheet2!$A$2:$A$558&amp;Sheet2!$B$2:$B$558, Sheet2!$C$2:$C$558, "")</f>
        <v/>
      </c>
      <c r="H225" s="40" t="str">
        <f t="shared" si="3"/>
        <v/>
      </c>
    </row>
    <row r="226" spans="1:8" ht="15.5" x14ac:dyDescent="0.35">
      <c r="A226" s="7">
        <v>225</v>
      </c>
      <c r="B226" s="8">
        <v>9303</v>
      </c>
      <c r="C226" s="31" t="s">
        <v>222</v>
      </c>
      <c r="D226" s="8" t="s">
        <v>1056</v>
      </c>
      <c r="E226" s="7">
        <v>1985</v>
      </c>
      <c r="F226" s="36" t="str" cm="1">
        <f t="array" ref="F226">_xlfn.XLOOKUP(D226&amp;C226, Sheet3!$C$2:$C$1224&amp;Sheet3!$B$2:$B$1224, Sheet3!$D$2:$D$1224, "")</f>
        <v/>
      </c>
      <c r="G226" s="1" t="str" cm="1">
        <f t="array" ref="G226">_xlfn.XLOOKUP(D226&amp;C226, Sheet2!$A$2:$A$558&amp;Sheet2!$B$2:$B$558, Sheet2!$C$2:$C$558, "")</f>
        <v/>
      </c>
      <c r="H226" s="40" t="str">
        <f t="shared" si="3"/>
        <v/>
      </c>
    </row>
    <row r="227" spans="1:8" ht="15.5" x14ac:dyDescent="0.35">
      <c r="A227" s="7">
        <v>226</v>
      </c>
      <c r="B227" s="8">
        <v>9751</v>
      </c>
      <c r="C227" s="31" t="s">
        <v>223</v>
      </c>
      <c r="D227" s="8" t="s">
        <v>1057</v>
      </c>
      <c r="E227" s="7">
        <v>1985</v>
      </c>
      <c r="F227" s="36" t="str" cm="1">
        <f t="array" ref="F227">_xlfn.XLOOKUP(D227&amp;C227, Sheet3!$C$2:$C$1224&amp;Sheet3!$B$2:$B$1224, Sheet3!$D$2:$D$1224, "")</f>
        <v/>
      </c>
      <c r="G227" s="1" t="str" cm="1">
        <f t="array" ref="G227">_xlfn.XLOOKUP(D227&amp;C227, Sheet2!$A$2:$A$558&amp;Sheet2!$B$2:$B$558, Sheet2!$C$2:$C$558, "")</f>
        <v/>
      </c>
      <c r="H227" s="40" t="str">
        <f t="shared" si="3"/>
        <v/>
      </c>
    </row>
    <row r="228" spans="1:8" ht="15.5" x14ac:dyDescent="0.35">
      <c r="A228" s="7">
        <v>227</v>
      </c>
      <c r="B228" s="8">
        <v>8081</v>
      </c>
      <c r="C228" s="31" t="s">
        <v>224</v>
      </c>
      <c r="D228" s="8" t="s">
        <v>1051</v>
      </c>
      <c r="E228" s="7">
        <v>1985</v>
      </c>
      <c r="F228" s="36" t="str" cm="1">
        <f t="array" ref="F228">_xlfn.XLOOKUP(D228&amp;C228, Sheet3!$C$2:$C$1224&amp;Sheet3!$B$2:$B$1224, Sheet3!$D$2:$D$1224, "")</f>
        <v/>
      </c>
      <c r="G228" s="1" t="str" cm="1">
        <f t="array" ref="G228">_xlfn.XLOOKUP(D228&amp;C228, Sheet2!$A$2:$A$558&amp;Sheet2!$B$2:$B$558, Sheet2!$C$2:$C$558, "")</f>
        <v/>
      </c>
      <c r="H228" s="40" t="str">
        <f t="shared" si="3"/>
        <v/>
      </c>
    </row>
    <row r="229" spans="1:8" ht="15.5" x14ac:dyDescent="0.35">
      <c r="A229" s="7">
        <v>228</v>
      </c>
      <c r="B229" s="8">
        <v>9691</v>
      </c>
      <c r="C229" s="31" t="s">
        <v>225</v>
      </c>
      <c r="D229" s="8" t="s">
        <v>1057</v>
      </c>
      <c r="E229" s="7">
        <v>1985</v>
      </c>
      <c r="F229" s="36" t="str" cm="1">
        <f t="array" ref="F229">_xlfn.XLOOKUP(D229&amp;C229, Sheet3!$C$2:$C$1224&amp;Sheet3!$B$2:$B$1224, Sheet3!$D$2:$D$1224, "")</f>
        <v/>
      </c>
      <c r="G229" s="1" t="str" cm="1">
        <f t="array" ref="G229">_xlfn.XLOOKUP(D229&amp;C229, Sheet2!$A$2:$A$558&amp;Sheet2!$B$2:$B$558, Sheet2!$C$2:$C$558, "")</f>
        <v/>
      </c>
      <c r="H229" s="40" t="str">
        <f t="shared" si="3"/>
        <v/>
      </c>
    </row>
    <row r="230" spans="1:8" ht="15.5" x14ac:dyDescent="0.35">
      <c r="A230" s="7">
        <v>229</v>
      </c>
      <c r="B230" s="8">
        <v>10263</v>
      </c>
      <c r="C230" s="31" t="s">
        <v>226</v>
      </c>
      <c r="D230" s="8" t="s">
        <v>1058</v>
      </c>
      <c r="E230" s="7">
        <v>1985</v>
      </c>
      <c r="F230" s="36" t="str" cm="1">
        <f t="array" ref="F230">_xlfn.XLOOKUP(D230&amp;C230, Sheet3!$C$2:$C$1224&amp;Sheet3!$B$2:$B$1224, Sheet3!$D$2:$D$1224, "")</f>
        <v>dinar.dputranto@gmail.com</v>
      </c>
      <c r="G230" s="1" t="str" cm="1">
        <f t="array" ref="G230">_xlfn.XLOOKUP(D230&amp;C230, Sheet2!$A$2:$A$558&amp;Sheet2!$B$2:$B$558, Sheet2!$C$2:$C$558, "")</f>
        <v/>
      </c>
      <c r="H230" s="40" t="str">
        <f t="shared" si="3"/>
        <v>dinar.dputranto@gmail.com</v>
      </c>
    </row>
    <row r="231" spans="1:8" ht="15.5" x14ac:dyDescent="0.35">
      <c r="A231" s="7">
        <v>230</v>
      </c>
      <c r="B231" s="8">
        <v>9430</v>
      </c>
      <c r="C231" s="31" t="s">
        <v>227</v>
      </c>
      <c r="D231" s="8" t="s">
        <v>1056</v>
      </c>
      <c r="E231" s="7">
        <v>1985</v>
      </c>
      <c r="F231" s="36" t="str" cm="1">
        <f t="array" ref="F231">_xlfn.XLOOKUP(D231&amp;C231, Sheet3!$C$2:$C$1224&amp;Sheet3!$B$2:$B$1224, Sheet3!$D$2:$D$1224, "")</f>
        <v/>
      </c>
      <c r="G231" s="1" t="str" cm="1">
        <f t="array" ref="G231">_xlfn.XLOOKUP(D231&amp;C231, Sheet2!$A$2:$A$558&amp;Sheet2!$B$2:$B$558, Sheet2!$C$2:$C$558, "")</f>
        <v/>
      </c>
      <c r="H231" s="40" t="str">
        <f t="shared" si="3"/>
        <v/>
      </c>
    </row>
    <row r="232" spans="1:8" ht="15.5" x14ac:dyDescent="0.35">
      <c r="A232" s="7">
        <v>231</v>
      </c>
      <c r="B232" s="8">
        <v>8882</v>
      </c>
      <c r="C232" s="31" t="s">
        <v>228</v>
      </c>
      <c r="D232" s="8" t="s">
        <v>1054</v>
      </c>
      <c r="E232" s="7">
        <v>1985</v>
      </c>
      <c r="F232" s="36" t="str" cm="1">
        <f t="array" ref="F232">_xlfn.XLOOKUP(D232&amp;C232, Sheet3!$C$2:$C$1224&amp;Sheet3!$B$2:$B$1224, Sheet3!$D$2:$D$1224, "")</f>
        <v/>
      </c>
      <c r="G232" s="1" t="str" cm="1">
        <f t="array" ref="G232">_xlfn.XLOOKUP(D232&amp;C232, Sheet2!$A$2:$A$558&amp;Sheet2!$B$2:$B$558, Sheet2!$C$2:$C$558, "")</f>
        <v/>
      </c>
      <c r="H232" s="40" t="str">
        <f t="shared" si="3"/>
        <v/>
      </c>
    </row>
    <row r="233" spans="1:8" ht="15.5" x14ac:dyDescent="0.35">
      <c r="A233" s="7">
        <v>232</v>
      </c>
      <c r="B233" s="8">
        <v>10469</v>
      </c>
      <c r="C233" s="31" t="s">
        <v>229</v>
      </c>
      <c r="D233" s="8" t="s">
        <v>1058</v>
      </c>
      <c r="E233" s="7">
        <v>1985</v>
      </c>
      <c r="F233" s="36" t="str" cm="1">
        <f t="array" ref="F233">_xlfn.XLOOKUP(D233&amp;C233, Sheet3!$C$2:$C$1224&amp;Sheet3!$B$2:$B$1224, Sheet3!$D$2:$D$1224, "")</f>
        <v>mhanafi_mgi@yahoo.co.id</v>
      </c>
      <c r="G233" s="1" t="str" cm="1">
        <f t="array" ref="G233">_xlfn.XLOOKUP(D233&amp;C233, Sheet2!$A$2:$A$558&amp;Sheet2!$B$2:$B$558, Sheet2!$C$2:$C$558, "")</f>
        <v/>
      </c>
      <c r="H233" s="40" t="str">
        <f t="shared" si="3"/>
        <v>mhanafi_mgi@yahoo.co.id</v>
      </c>
    </row>
    <row r="234" spans="1:8" ht="15.5" x14ac:dyDescent="0.35">
      <c r="A234" s="7">
        <v>233</v>
      </c>
      <c r="B234" s="8">
        <v>8984</v>
      </c>
      <c r="C234" s="31" t="s">
        <v>230</v>
      </c>
      <c r="D234" s="8" t="s">
        <v>1055</v>
      </c>
      <c r="E234" s="7">
        <v>1985</v>
      </c>
      <c r="F234" s="36" t="str" cm="1">
        <f t="array" ref="F234">_xlfn.XLOOKUP(D234&amp;C234, Sheet3!$C$2:$C$1224&amp;Sheet3!$B$2:$B$1224, Sheet3!$D$2:$D$1224, "")</f>
        <v>Ciptoir123@gmail.com</v>
      </c>
      <c r="G234" s="1" t="str" cm="1">
        <f t="array" ref="G234">_xlfn.XLOOKUP(D234&amp;C234, Sheet2!$A$2:$A$558&amp;Sheet2!$B$2:$B$558, Sheet2!$C$2:$C$558, "")</f>
        <v/>
      </c>
      <c r="H234" s="40" t="str">
        <f t="shared" si="3"/>
        <v>Ciptoir123@gmail.com</v>
      </c>
    </row>
    <row r="235" spans="1:8" ht="15.5" x14ac:dyDescent="0.35">
      <c r="A235" s="7">
        <v>234</v>
      </c>
      <c r="B235" s="8">
        <v>3710</v>
      </c>
      <c r="C235" s="31" t="s">
        <v>231</v>
      </c>
      <c r="D235" s="8" t="s">
        <v>1058</v>
      </c>
      <c r="E235" s="7">
        <v>1985</v>
      </c>
      <c r="F235" s="36" t="str" cm="1">
        <f t="array" ref="F235">_xlfn.XLOOKUP(D235&amp;C235, Sheet3!$C$2:$C$1224&amp;Sheet3!$B$2:$B$1224, Sheet3!$D$2:$D$1224, "")</f>
        <v/>
      </c>
      <c r="G235" s="1" t="str" cm="1">
        <f t="array" ref="G235">_xlfn.XLOOKUP(D235&amp;C235, Sheet2!$A$2:$A$558&amp;Sheet2!$B$2:$B$558, Sheet2!$C$2:$C$558, "")</f>
        <v/>
      </c>
      <c r="H235" s="40" t="str">
        <f t="shared" si="3"/>
        <v/>
      </c>
    </row>
    <row r="236" spans="1:8" ht="15.5" x14ac:dyDescent="0.35">
      <c r="A236" s="7">
        <v>235</v>
      </c>
      <c r="B236" s="8">
        <v>8011</v>
      </c>
      <c r="C236" s="31" t="s">
        <v>232</v>
      </c>
      <c r="D236" s="8" t="s">
        <v>1051</v>
      </c>
      <c r="E236" s="7">
        <v>1985</v>
      </c>
      <c r="F236" s="36" t="str" cm="1">
        <f t="array" ref="F236">_xlfn.XLOOKUP(D236&amp;C236, Sheet3!$C$2:$C$1224&amp;Sheet3!$B$2:$B$1224, Sheet3!$D$2:$D$1224, "")</f>
        <v/>
      </c>
      <c r="G236" s="1" t="str" cm="1">
        <f t="array" ref="G236">_xlfn.XLOOKUP(D236&amp;C236, Sheet2!$A$2:$A$558&amp;Sheet2!$B$2:$B$558, Sheet2!$C$2:$C$558, "")</f>
        <v/>
      </c>
      <c r="H236" s="40" t="str">
        <f t="shared" si="3"/>
        <v/>
      </c>
    </row>
    <row r="237" spans="1:8" ht="15.5" x14ac:dyDescent="0.35">
      <c r="A237" s="7">
        <v>236</v>
      </c>
      <c r="B237" s="8">
        <v>6923</v>
      </c>
      <c r="C237" s="31" t="s">
        <v>233</v>
      </c>
      <c r="D237" s="8" t="s">
        <v>1048</v>
      </c>
      <c r="E237" s="7">
        <v>1985</v>
      </c>
      <c r="F237" s="36" t="str" cm="1">
        <f t="array" ref="F237">_xlfn.XLOOKUP(D237&amp;C237, Sheet3!$C$2:$C$1224&amp;Sheet3!$B$2:$B$1224, Sheet3!$D$2:$D$1224, "")</f>
        <v/>
      </c>
      <c r="G237" s="1" t="str" cm="1">
        <f t="array" ref="G237">_xlfn.XLOOKUP(D237&amp;C237, Sheet2!$A$2:$A$558&amp;Sheet2!$B$2:$B$558, Sheet2!$C$2:$C$558, "")</f>
        <v/>
      </c>
      <c r="H237" s="40" t="str">
        <f t="shared" si="3"/>
        <v/>
      </c>
    </row>
    <row r="238" spans="1:8" ht="15.5" x14ac:dyDescent="0.35">
      <c r="A238" s="7">
        <v>237</v>
      </c>
      <c r="B238" s="8">
        <v>10468</v>
      </c>
      <c r="C238" s="31" t="s">
        <v>186</v>
      </c>
      <c r="D238" s="8" t="s">
        <v>1057</v>
      </c>
      <c r="E238" s="7">
        <v>1985</v>
      </c>
      <c r="F238" s="36" t="str" cm="1">
        <f t="array" ref="F238">_xlfn.XLOOKUP(D238&amp;C238, Sheet3!$C$2:$C$1224&amp;Sheet3!$B$2:$B$1224, Sheet3!$D$2:$D$1224, "")</f>
        <v/>
      </c>
      <c r="G238" s="1" t="str" cm="1">
        <f t="array" ref="G238">_xlfn.XLOOKUP(D238&amp;C238, Sheet2!$A$2:$A$558&amp;Sheet2!$B$2:$B$558, Sheet2!$C$2:$C$558, "")</f>
        <v/>
      </c>
      <c r="H238" s="40" t="str">
        <f t="shared" si="3"/>
        <v/>
      </c>
    </row>
    <row r="239" spans="1:8" ht="15.5" x14ac:dyDescent="0.35">
      <c r="A239" s="7">
        <v>238</v>
      </c>
      <c r="B239" s="8">
        <v>9190</v>
      </c>
      <c r="C239" s="31" t="s">
        <v>234</v>
      </c>
      <c r="D239" s="8" t="s">
        <v>1055</v>
      </c>
      <c r="E239" s="7">
        <v>1985</v>
      </c>
      <c r="F239" s="36" t="str" cm="1">
        <f t="array" ref="F239">_xlfn.XLOOKUP(D239&amp;C239, Sheet3!$C$2:$C$1224&amp;Sheet3!$B$2:$B$1224, Sheet3!$D$2:$D$1224, "")</f>
        <v/>
      </c>
      <c r="G239" s="1" t="str" cm="1">
        <f t="array" ref="G239">_xlfn.XLOOKUP(D239&amp;C239, Sheet2!$A$2:$A$558&amp;Sheet2!$B$2:$B$558, Sheet2!$C$2:$C$558, "")</f>
        <v/>
      </c>
      <c r="H239" s="40" t="str">
        <f t="shared" si="3"/>
        <v/>
      </c>
    </row>
    <row r="240" spans="1:8" ht="15.5" x14ac:dyDescent="0.35">
      <c r="A240" s="7">
        <v>239</v>
      </c>
      <c r="B240" s="8">
        <v>9947</v>
      </c>
      <c r="C240" s="31" t="s">
        <v>235</v>
      </c>
      <c r="D240" s="8" t="s">
        <v>1057</v>
      </c>
      <c r="E240" s="7">
        <v>1985</v>
      </c>
      <c r="F240" s="36" t="str" cm="1">
        <f t="array" ref="F240">_xlfn.XLOOKUP(D240&amp;C240, Sheet3!$C$2:$C$1224&amp;Sheet3!$B$2:$B$1224, Sheet3!$D$2:$D$1224, "")</f>
        <v/>
      </c>
      <c r="G240" s="1" t="str" cm="1">
        <f t="array" ref="G240">_xlfn.XLOOKUP(D240&amp;C240, Sheet2!$A$2:$A$558&amp;Sheet2!$B$2:$B$558, Sheet2!$C$2:$C$558, "")</f>
        <v/>
      </c>
      <c r="H240" s="40" t="str">
        <f t="shared" si="3"/>
        <v/>
      </c>
    </row>
    <row r="241" spans="1:8" ht="15.5" x14ac:dyDescent="0.35">
      <c r="A241" s="7">
        <v>240</v>
      </c>
      <c r="B241" s="8">
        <v>9579</v>
      </c>
      <c r="C241" s="31" t="s">
        <v>236</v>
      </c>
      <c r="D241" s="8" t="s">
        <v>1056</v>
      </c>
      <c r="E241" s="7">
        <v>1985</v>
      </c>
      <c r="F241" s="36" t="str" cm="1">
        <f t="array" ref="F241">_xlfn.XLOOKUP(D241&amp;C241, Sheet3!$C$2:$C$1224&amp;Sheet3!$B$2:$B$1224, Sheet3!$D$2:$D$1224, "")</f>
        <v/>
      </c>
      <c r="G241" s="1" t="str" cm="1">
        <f t="array" ref="G241">_xlfn.XLOOKUP(D241&amp;C241, Sheet2!$A$2:$A$558&amp;Sheet2!$B$2:$B$558, Sheet2!$C$2:$C$558, "")</f>
        <v/>
      </c>
      <c r="H241" s="40" t="str">
        <f t="shared" si="3"/>
        <v/>
      </c>
    </row>
    <row r="242" spans="1:8" ht="15.5" x14ac:dyDescent="0.35">
      <c r="A242" s="7">
        <v>241</v>
      </c>
      <c r="B242" s="8">
        <v>9031</v>
      </c>
      <c r="C242" s="31" t="s">
        <v>237</v>
      </c>
      <c r="D242" s="8" t="s">
        <v>1055</v>
      </c>
      <c r="E242" s="7">
        <v>1985</v>
      </c>
      <c r="F242" s="36" t="str" cm="1">
        <f t="array" ref="F242">_xlfn.XLOOKUP(D242&amp;C242, Sheet3!$C$2:$C$1224&amp;Sheet3!$B$2:$B$1224, Sheet3!$D$2:$D$1224, "")</f>
        <v/>
      </c>
      <c r="G242" s="1" t="str" cm="1">
        <f t="array" ref="G242">_xlfn.XLOOKUP(D242&amp;C242, Sheet2!$A$2:$A$558&amp;Sheet2!$B$2:$B$558, Sheet2!$C$2:$C$558, "")</f>
        <v/>
      </c>
      <c r="H242" s="40" t="str">
        <f t="shared" si="3"/>
        <v/>
      </c>
    </row>
    <row r="243" spans="1:8" ht="15.5" x14ac:dyDescent="0.35">
      <c r="A243" s="7">
        <v>242</v>
      </c>
      <c r="B243" s="8">
        <v>9756</v>
      </c>
      <c r="C243" s="31" t="s">
        <v>238</v>
      </c>
      <c r="D243" s="8" t="s">
        <v>1057</v>
      </c>
      <c r="E243" s="7">
        <v>1985</v>
      </c>
      <c r="F243" s="36" t="str" cm="1">
        <f t="array" ref="F243">_xlfn.XLOOKUP(D243&amp;C243, Sheet3!$C$2:$C$1224&amp;Sheet3!$B$2:$B$1224, Sheet3!$D$2:$D$1224, "")</f>
        <v/>
      </c>
      <c r="G243" s="1" t="str" cm="1">
        <f t="array" ref="G243">_xlfn.XLOOKUP(D243&amp;C243, Sheet2!$A$2:$A$558&amp;Sheet2!$B$2:$B$558, Sheet2!$C$2:$C$558, "")</f>
        <v/>
      </c>
      <c r="H243" s="40" t="str">
        <f t="shared" si="3"/>
        <v/>
      </c>
    </row>
    <row r="244" spans="1:8" ht="15.5" x14ac:dyDescent="0.35">
      <c r="A244" s="7">
        <v>243</v>
      </c>
      <c r="B244" s="8">
        <v>10062</v>
      </c>
      <c r="C244" s="31" t="s">
        <v>239</v>
      </c>
      <c r="D244" s="8" t="s">
        <v>1057</v>
      </c>
      <c r="E244" s="7">
        <v>1985</v>
      </c>
      <c r="F244" s="36" t="str" cm="1">
        <f t="array" ref="F244">_xlfn.XLOOKUP(D244&amp;C244, Sheet3!$C$2:$C$1224&amp;Sheet3!$B$2:$B$1224, Sheet3!$D$2:$D$1224, "")</f>
        <v/>
      </c>
      <c r="G244" s="1" t="str" cm="1">
        <f t="array" ref="G244">_xlfn.XLOOKUP(D244&amp;C244, Sheet2!$A$2:$A$558&amp;Sheet2!$B$2:$B$558, Sheet2!$C$2:$C$558, "")</f>
        <v/>
      </c>
      <c r="H244" s="40" t="str">
        <f t="shared" si="3"/>
        <v/>
      </c>
    </row>
    <row r="245" spans="1:8" ht="15.5" x14ac:dyDescent="0.35">
      <c r="A245" s="7">
        <v>244</v>
      </c>
      <c r="B245" s="8">
        <v>9537</v>
      </c>
      <c r="C245" s="31" t="s">
        <v>240</v>
      </c>
      <c r="D245" s="8" t="s">
        <v>1056</v>
      </c>
      <c r="E245" s="7">
        <v>1985</v>
      </c>
      <c r="F245" s="36" t="str" cm="1">
        <f t="array" ref="F245">_xlfn.XLOOKUP(D245&amp;C245, Sheet3!$C$2:$C$1224&amp;Sheet3!$B$2:$B$1224, Sheet3!$D$2:$D$1224, "")</f>
        <v/>
      </c>
      <c r="G245" s="1" t="str" cm="1">
        <f t="array" ref="G245">_xlfn.XLOOKUP(D245&amp;C245, Sheet2!$A$2:$A$558&amp;Sheet2!$B$2:$B$558, Sheet2!$C$2:$C$558, "")</f>
        <v/>
      </c>
      <c r="H245" s="40" t="str">
        <f t="shared" si="3"/>
        <v/>
      </c>
    </row>
    <row r="246" spans="1:8" ht="15.5" x14ac:dyDescent="0.35">
      <c r="A246" s="7">
        <v>245</v>
      </c>
      <c r="B246" s="8">
        <v>8398</v>
      </c>
      <c r="C246" s="31" t="s">
        <v>241</v>
      </c>
      <c r="D246" s="8" t="s">
        <v>1051</v>
      </c>
      <c r="E246" s="7">
        <v>1985</v>
      </c>
      <c r="F246" s="36" t="str" cm="1">
        <f t="array" ref="F246">_xlfn.XLOOKUP(D246&amp;C246, Sheet3!$C$2:$C$1224&amp;Sheet3!$B$2:$B$1224, Sheet3!$D$2:$D$1224, "")</f>
        <v/>
      </c>
      <c r="G246" s="1" t="str" cm="1">
        <f t="array" ref="G246">_xlfn.XLOOKUP(D246&amp;C246, Sheet2!$A$2:$A$558&amp;Sheet2!$B$2:$B$558, Sheet2!$C$2:$C$558, "")</f>
        <v/>
      </c>
      <c r="H246" s="40" t="str">
        <f t="shared" si="3"/>
        <v/>
      </c>
    </row>
    <row r="247" spans="1:8" ht="15.5" x14ac:dyDescent="0.35">
      <c r="A247" s="7">
        <v>246</v>
      </c>
      <c r="B247" s="8">
        <v>8786</v>
      </c>
      <c r="C247" s="31" t="s">
        <v>242</v>
      </c>
      <c r="D247" s="8" t="s">
        <v>1054</v>
      </c>
      <c r="E247" s="7">
        <v>1985</v>
      </c>
      <c r="F247" s="36" t="str" cm="1">
        <f t="array" ref="F247">_xlfn.XLOOKUP(D247&amp;C247, Sheet3!$C$2:$C$1224&amp;Sheet3!$B$2:$B$1224, Sheet3!$D$2:$D$1224, "")</f>
        <v/>
      </c>
      <c r="G247" s="1" t="str" cm="1">
        <f t="array" ref="G247">_xlfn.XLOOKUP(D247&amp;C247, Sheet2!$A$2:$A$558&amp;Sheet2!$B$2:$B$558, Sheet2!$C$2:$C$558, "")</f>
        <v/>
      </c>
      <c r="H247" s="40" t="str">
        <f t="shared" si="3"/>
        <v/>
      </c>
    </row>
    <row r="248" spans="1:8" ht="15.5" x14ac:dyDescent="0.35">
      <c r="A248" s="7">
        <v>247</v>
      </c>
      <c r="B248" s="8">
        <v>8893</v>
      </c>
      <c r="C248" s="31" t="s">
        <v>243</v>
      </c>
      <c r="D248" s="8" t="s">
        <v>1054</v>
      </c>
      <c r="E248" s="7">
        <v>1985</v>
      </c>
      <c r="F248" s="36" t="str" cm="1">
        <f t="array" ref="F248">_xlfn.XLOOKUP(D248&amp;C248, Sheet3!$C$2:$C$1224&amp;Sheet3!$B$2:$B$1224, Sheet3!$D$2:$D$1224, "")</f>
        <v/>
      </c>
      <c r="G248" s="1" t="str" cm="1">
        <f t="array" ref="G248">_xlfn.XLOOKUP(D248&amp;C248, Sheet2!$A$2:$A$558&amp;Sheet2!$B$2:$B$558, Sheet2!$C$2:$C$558, "")</f>
        <v/>
      </c>
      <c r="H248" s="40" t="str">
        <f t="shared" si="3"/>
        <v/>
      </c>
    </row>
    <row r="249" spans="1:8" ht="15.5" x14ac:dyDescent="0.35">
      <c r="A249" s="7">
        <v>248</v>
      </c>
      <c r="B249" s="8">
        <v>8914</v>
      </c>
      <c r="C249" s="31" t="s">
        <v>244</v>
      </c>
      <c r="D249" s="8" t="s">
        <v>1054</v>
      </c>
      <c r="E249" s="7">
        <v>1985</v>
      </c>
      <c r="F249" s="36" t="str" cm="1">
        <f t="array" ref="F249">_xlfn.XLOOKUP(D249&amp;C249, Sheet3!$C$2:$C$1224&amp;Sheet3!$B$2:$B$1224, Sheet3!$D$2:$D$1224, "")</f>
        <v/>
      </c>
      <c r="G249" s="1" t="str" cm="1">
        <f t="array" ref="G249">_xlfn.XLOOKUP(D249&amp;C249, Sheet2!$A$2:$A$558&amp;Sheet2!$B$2:$B$558, Sheet2!$C$2:$C$558, "")</f>
        <v/>
      </c>
      <c r="H249" s="40" t="str">
        <f t="shared" si="3"/>
        <v/>
      </c>
    </row>
    <row r="250" spans="1:8" ht="15.5" x14ac:dyDescent="0.35">
      <c r="A250" s="7">
        <v>249</v>
      </c>
      <c r="B250" s="8">
        <v>9076</v>
      </c>
      <c r="C250" s="31" t="s">
        <v>245</v>
      </c>
      <c r="D250" s="8" t="s">
        <v>1055</v>
      </c>
      <c r="E250" s="7">
        <v>1985</v>
      </c>
      <c r="F250" s="36" t="str" cm="1">
        <f t="array" ref="F250">_xlfn.XLOOKUP(D250&amp;C250, Sheet3!$C$2:$C$1224&amp;Sheet3!$B$2:$B$1224, Sheet3!$D$2:$D$1224, "")</f>
        <v/>
      </c>
      <c r="G250" s="1" t="str" cm="1">
        <f t="array" ref="G250">_xlfn.XLOOKUP(D250&amp;C250, Sheet2!$A$2:$A$558&amp;Sheet2!$B$2:$B$558, Sheet2!$C$2:$C$558, "")</f>
        <v/>
      </c>
      <c r="H250" s="40" t="str">
        <f t="shared" si="3"/>
        <v/>
      </c>
    </row>
    <row r="251" spans="1:8" ht="15.5" x14ac:dyDescent="0.35">
      <c r="A251" s="7">
        <v>250</v>
      </c>
      <c r="B251" s="8">
        <v>10184</v>
      </c>
      <c r="C251" s="31" t="s">
        <v>246</v>
      </c>
      <c r="D251" s="8" t="s">
        <v>1058</v>
      </c>
      <c r="E251" s="7">
        <v>1985</v>
      </c>
      <c r="F251" s="36" t="str" cm="1">
        <f t="array" ref="F251">_xlfn.XLOOKUP(D251&amp;C251, Sheet3!$C$2:$C$1224&amp;Sheet3!$B$2:$B$1224, Sheet3!$D$2:$D$1224, "")</f>
        <v/>
      </c>
      <c r="G251" s="1" t="str" cm="1">
        <f t="array" ref="G251">_xlfn.XLOOKUP(D251&amp;C251, Sheet2!$A$2:$A$558&amp;Sheet2!$B$2:$B$558, Sheet2!$C$2:$C$558, "")</f>
        <v/>
      </c>
      <c r="H251" s="40" t="str">
        <f t="shared" si="3"/>
        <v/>
      </c>
    </row>
    <row r="252" spans="1:8" ht="15.5" x14ac:dyDescent="0.35">
      <c r="A252" s="7">
        <v>251</v>
      </c>
      <c r="B252" s="8">
        <v>10409</v>
      </c>
      <c r="C252" s="31" t="s">
        <v>247</v>
      </c>
      <c r="D252" s="8" t="s">
        <v>1058</v>
      </c>
      <c r="E252" s="7">
        <v>1985</v>
      </c>
      <c r="F252" s="36" t="str" cm="1">
        <f t="array" ref="F252">_xlfn.XLOOKUP(D252&amp;C252, Sheet3!$C$2:$C$1224&amp;Sheet3!$B$2:$B$1224, Sheet3!$D$2:$D$1224, "")</f>
        <v/>
      </c>
      <c r="G252" s="1" t="str" cm="1">
        <f t="array" ref="G252">_xlfn.XLOOKUP(D252&amp;C252, Sheet2!$A$2:$A$558&amp;Sheet2!$B$2:$B$558, Sheet2!$C$2:$C$558, "")</f>
        <v/>
      </c>
      <c r="H252" s="40" t="str">
        <f t="shared" si="3"/>
        <v/>
      </c>
    </row>
    <row r="253" spans="1:8" ht="15.5" x14ac:dyDescent="0.35">
      <c r="A253" s="7">
        <v>252</v>
      </c>
      <c r="B253" s="8">
        <v>10265</v>
      </c>
      <c r="C253" s="31" t="s">
        <v>248</v>
      </c>
      <c r="D253" s="8" t="s">
        <v>1058</v>
      </c>
      <c r="E253" s="7">
        <v>1985</v>
      </c>
      <c r="F253" s="36" t="str" cm="1">
        <f t="array" ref="F253">_xlfn.XLOOKUP(D253&amp;C253, Sheet3!$C$2:$C$1224&amp;Sheet3!$B$2:$B$1224, Sheet3!$D$2:$D$1224, "")</f>
        <v/>
      </c>
      <c r="G253" s="1" t="str" cm="1">
        <f t="array" ref="G253">_xlfn.XLOOKUP(D253&amp;C253, Sheet2!$A$2:$A$558&amp;Sheet2!$B$2:$B$558, Sheet2!$C$2:$C$558, "")</f>
        <v/>
      </c>
      <c r="H253" s="40" t="str">
        <f t="shared" si="3"/>
        <v/>
      </c>
    </row>
    <row r="254" spans="1:8" ht="15.5" x14ac:dyDescent="0.35">
      <c r="A254" s="7">
        <v>253</v>
      </c>
      <c r="B254" s="8">
        <v>7976</v>
      </c>
      <c r="C254" s="31" t="s">
        <v>249</v>
      </c>
      <c r="D254" s="8" t="s">
        <v>1054</v>
      </c>
      <c r="E254" s="7">
        <v>1985</v>
      </c>
      <c r="F254" s="36" t="str" cm="1">
        <f t="array" ref="F254">_xlfn.XLOOKUP(D254&amp;C254, Sheet3!$C$2:$C$1224&amp;Sheet3!$B$2:$B$1224, Sheet3!$D$2:$D$1224, "")</f>
        <v/>
      </c>
      <c r="G254" s="1" t="str" cm="1">
        <f t="array" ref="G254">_xlfn.XLOOKUP(D254&amp;C254, Sheet2!$A$2:$A$558&amp;Sheet2!$B$2:$B$558, Sheet2!$C$2:$C$558, "")</f>
        <v/>
      </c>
      <c r="H254" s="40" t="str">
        <f t="shared" si="3"/>
        <v/>
      </c>
    </row>
    <row r="255" spans="1:8" ht="15.5" x14ac:dyDescent="0.35">
      <c r="A255" s="7">
        <v>254</v>
      </c>
      <c r="B255" s="8">
        <v>10463</v>
      </c>
      <c r="C255" s="31" t="s">
        <v>250</v>
      </c>
      <c r="D255" s="8" t="s">
        <v>1058</v>
      </c>
      <c r="E255" s="7">
        <v>1986</v>
      </c>
      <c r="F255" s="36" t="str" cm="1">
        <f t="array" ref="F255">_xlfn.XLOOKUP(D255&amp;C255, Sheet3!$C$2:$C$1224&amp;Sheet3!$B$2:$B$1224, Sheet3!$D$2:$D$1224, "")</f>
        <v/>
      </c>
      <c r="G255" s="1" t="str" cm="1">
        <f t="array" ref="G255">_xlfn.XLOOKUP(D255&amp;C255, Sheet2!$A$2:$A$558&amp;Sheet2!$B$2:$B$558, Sheet2!$C$2:$C$558, "")</f>
        <v/>
      </c>
      <c r="H255" s="40" t="str">
        <f t="shared" si="3"/>
        <v/>
      </c>
    </row>
    <row r="256" spans="1:8" ht="15.5" x14ac:dyDescent="0.35">
      <c r="A256" s="7">
        <v>255</v>
      </c>
      <c r="B256" s="8">
        <v>8892</v>
      </c>
      <c r="C256" s="31" t="s">
        <v>251</v>
      </c>
      <c r="D256" s="8" t="s">
        <v>1054</v>
      </c>
      <c r="E256" s="7">
        <v>1986</v>
      </c>
      <c r="F256" s="36" t="str" cm="1">
        <f t="array" ref="F256">_xlfn.XLOOKUP(D256&amp;C256, Sheet3!$C$2:$C$1224&amp;Sheet3!$B$2:$B$1224, Sheet3!$D$2:$D$1224, "")</f>
        <v/>
      </c>
      <c r="G256" s="1" t="str" cm="1">
        <f t="array" ref="G256">_xlfn.XLOOKUP(D256&amp;C256, Sheet2!$A$2:$A$558&amp;Sheet2!$B$2:$B$558, Sheet2!$C$2:$C$558, "")</f>
        <v/>
      </c>
      <c r="H256" s="40" t="str">
        <f t="shared" si="3"/>
        <v/>
      </c>
    </row>
    <row r="257" spans="1:8" ht="15.5" x14ac:dyDescent="0.35">
      <c r="A257" s="7">
        <v>256</v>
      </c>
      <c r="B257" s="8">
        <v>10176</v>
      </c>
      <c r="C257" s="31" t="s">
        <v>252</v>
      </c>
      <c r="D257" s="8" t="s">
        <v>1058</v>
      </c>
      <c r="E257" s="7">
        <v>1986</v>
      </c>
      <c r="F257" s="36" t="str" cm="1">
        <f t="array" ref="F257">_xlfn.XLOOKUP(D257&amp;C257, Sheet3!$C$2:$C$1224&amp;Sheet3!$B$2:$B$1224, Sheet3!$D$2:$D$1224, "")</f>
        <v/>
      </c>
      <c r="G257" s="1" t="str" cm="1">
        <f t="array" ref="G257">_xlfn.XLOOKUP(D257&amp;C257, Sheet2!$A$2:$A$558&amp;Sheet2!$B$2:$B$558, Sheet2!$C$2:$C$558, "")</f>
        <v/>
      </c>
      <c r="H257" s="40" t="str">
        <f t="shared" si="3"/>
        <v/>
      </c>
    </row>
    <row r="258" spans="1:8" ht="15.5" x14ac:dyDescent="0.35">
      <c r="A258" s="7">
        <v>257</v>
      </c>
      <c r="B258" s="8">
        <v>10153</v>
      </c>
      <c r="C258" s="31" t="s">
        <v>253</v>
      </c>
      <c r="D258" s="8" t="s">
        <v>1058</v>
      </c>
      <c r="E258" s="7">
        <v>1986</v>
      </c>
      <c r="F258" s="36" t="str" cm="1">
        <f t="array" ref="F258">_xlfn.XLOOKUP(D258&amp;C258, Sheet3!$C$2:$C$1224&amp;Sheet3!$B$2:$B$1224, Sheet3!$D$2:$D$1224, "")</f>
        <v>barjono@gmail.com</v>
      </c>
      <c r="G258" s="1" t="str" cm="1">
        <f t="array" ref="G258">_xlfn.XLOOKUP(D258&amp;C258, Sheet2!$A$2:$A$558&amp;Sheet2!$B$2:$B$558, Sheet2!$C$2:$C$558, "")</f>
        <v/>
      </c>
      <c r="H258" s="40" t="str">
        <f t="shared" si="3"/>
        <v>barjono@gmail.com</v>
      </c>
    </row>
    <row r="259" spans="1:8" ht="15.5" x14ac:dyDescent="0.35">
      <c r="A259" s="7">
        <v>258</v>
      </c>
      <c r="B259" s="8">
        <v>10329</v>
      </c>
      <c r="C259" s="31" t="s">
        <v>3338</v>
      </c>
      <c r="D259" s="8" t="s">
        <v>1058</v>
      </c>
      <c r="E259" s="7">
        <v>1986</v>
      </c>
      <c r="F259" s="36" t="str" cm="1">
        <f t="array" ref="F259">_xlfn.XLOOKUP(D259&amp;C259, Sheet3!$C$2:$C$1224&amp;Sheet3!$B$2:$B$1224, Sheet3!$D$2:$D$1224, "")</f>
        <v>wuriyanto.mraso@gmail.com</v>
      </c>
      <c r="G259" s="1" t="str" cm="1">
        <f t="array" ref="G259">_xlfn.XLOOKUP(D259&amp;C259, Sheet2!$A$2:$A$558&amp;Sheet2!$B$2:$B$558, Sheet2!$C$2:$C$558, "")</f>
        <v/>
      </c>
      <c r="H259" s="40" t="str">
        <f t="shared" ref="H259:H322" si="4">IF(F259&lt;&gt;"",F259,G259)</f>
        <v>wuriyanto.mraso@gmail.com</v>
      </c>
    </row>
    <row r="260" spans="1:8" ht="15.5" x14ac:dyDescent="0.35">
      <c r="A260" s="7">
        <v>259</v>
      </c>
      <c r="B260" s="8">
        <v>10293</v>
      </c>
      <c r="C260" s="31" t="s">
        <v>254</v>
      </c>
      <c r="D260" s="8" t="s">
        <v>1058</v>
      </c>
      <c r="E260" s="7">
        <v>1986</v>
      </c>
      <c r="F260" s="36" t="str" cm="1">
        <f t="array" ref="F260">_xlfn.XLOOKUP(D260&amp;C260, Sheet3!$C$2:$C$1224&amp;Sheet3!$B$2:$B$1224, Sheet3!$D$2:$D$1224, "")</f>
        <v/>
      </c>
      <c r="G260" s="1" t="str" cm="1">
        <f t="array" ref="G260">_xlfn.XLOOKUP(D260&amp;C260, Sheet2!$A$2:$A$558&amp;Sheet2!$B$2:$B$558, Sheet2!$C$2:$C$558, "")</f>
        <v/>
      </c>
      <c r="H260" s="40" t="str">
        <f t="shared" si="4"/>
        <v/>
      </c>
    </row>
    <row r="261" spans="1:8" ht="15.5" x14ac:dyDescent="0.35">
      <c r="A261" s="7">
        <v>260</v>
      </c>
      <c r="B261" s="8">
        <v>9524</v>
      </c>
      <c r="C261" s="31" t="s">
        <v>255</v>
      </c>
      <c r="D261" s="8" t="s">
        <v>1056</v>
      </c>
      <c r="E261" s="7">
        <v>1986</v>
      </c>
      <c r="F261" s="36" t="str" cm="1">
        <f t="array" ref="F261">_xlfn.XLOOKUP(D261&amp;C261, Sheet3!$C$2:$C$1224&amp;Sheet3!$B$2:$B$1224, Sheet3!$D$2:$D$1224, "")</f>
        <v/>
      </c>
      <c r="G261" s="1" t="str" cm="1">
        <f t="array" ref="G261">_xlfn.XLOOKUP(D261&amp;C261, Sheet2!$A$2:$A$558&amp;Sheet2!$B$2:$B$558, Sheet2!$C$2:$C$558, "")</f>
        <v/>
      </c>
      <c r="H261" s="40" t="str">
        <f t="shared" si="4"/>
        <v/>
      </c>
    </row>
    <row r="262" spans="1:8" ht="15.5" x14ac:dyDescent="0.35">
      <c r="A262" s="7">
        <v>261</v>
      </c>
      <c r="B262" s="8">
        <v>9694</v>
      </c>
      <c r="C262" s="31" t="s">
        <v>256</v>
      </c>
      <c r="D262" s="8" t="s">
        <v>1057</v>
      </c>
      <c r="E262" s="7">
        <v>1986</v>
      </c>
      <c r="F262" s="36" t="str" cm="1">
        <f t="array" ref="F262">_xlfn.XLOOKUP(D262&amp;C262, Sheet3!$C$2:$C$1224&amp;Sheet3!$B$2:$B$1224, Sheet3!$D$2:$D$1224, "")</f>
        <v/>
      </c>
      <c r="G262" s="1" t="str" cm="1">
        <f t="array" ref="G262">_xlfn.XLOOKUP(D262&amp;C262, Sheet2!$A$2:$A$558&amp;Sheet2!$B$2:$B$558, Sheet2!$C$2:$C$558, "")</f>
        <v/>
      </c>
      <c r="H262" s="40" t="str">
        <f t="shared" si="4"/>
        <v/>
      </c>
    </row>
    <row r="263" spans="1:8" ht="15.5" x14ac:dyDescent="0.35">
      <c r="A263" s="7">
        <v>262</v>
      </c>
      <c r="B263" s="8">
        <v>10174</v>
      </c>
      <c r="C263" s="31" t="s">
        <v>257</v>
      </c>
      <c r="D263" s="8" t="s">
        <v>1058</v>
      </c>
      <c r="E263" s="7">
        <v>1986</v>
      </c>
      <c r="F263" s="36" t="str" cm="1">
        <f t="array" ref="F263">_xlfn.XLOOKUP(D263&amp;C263, Sheet3!$C$2:$C$1224&amp;Sheet3!$B$2:$B$1224, Sheet3!$D$2:$D$1224, "")</f>
        <v/>
      </c>
      <c r="G263" s="1" t="str" cm="1">
        <f t="array" ref="G263">_xlfn.XLOOKUP(D263&amp;C263, Sheet2!$A$2:$A$558&amp;Sheet2!$B$2:$B$558, Sheet2!$C$2:$C$558, "")</f>
        <v/>
      </c>
      <c r="H263" s="40" t="str">
        <f t="shared" si="4"/>
        <v/>
      </c>
    </row>
    <row r="264" spans="1:8" ht="15.5" x14ac:dyDescent="0.35">
      <c r="A264" s="7">
        <v>263</v>
      </c>
      <c r="B264" s="8">
        <v>9037</v>
      </c>
      <c r="C264" s="31" t="s">
        <v>258</v>
      </c>
      <c r="D264" s="8" t="s">
        <v>1055</v>
      </c>
      <c r="E264" s="7">
        <v>1986</v>
      </c>
      <c r="F264" s="36" t="str" cm="1">
        <f t="array" ref="F264">_xlfn.XLOOKUP(D264&amp;C264, Sheet3!$C$2:$C$1224&amp;Sheet3!$B$2:$B$1224, Sheet3!$D$2:$D$1224, "")</f>
        <v/>
      </c>
      <c r="G264" s="1" t="str" cm="1">
        <f t="array" ref="G264">_xlfn.XLOOKUP(D264&amp;C264, Sheet2!$A$2:$A$558&amp;Sheet2!$B$2:$B$558, Sheet2!$C$2:$C$558, "")</f>
        <v/>
      </c>
      <c r="H264" s="40" t="str">
        <f t="shared" si="4"/>
        <v/>
      </c>
    </row>
    <row r="265" spans="1:8" ht="15.5" x14ac:dyDescent="0.35">
      <c r="A265" s="7">
        <v>264</v>
      </c>
      <c r="B265" s="8">
        <v>11059</v>
      </c>
      <c r="C265" s="31" t="s">
        <v>259</v>
      </c>
      <c r="D265" s="8" t="s">
        <v>1059</v>
      </c>
      <c r="E265" s="7">
        <v>1986</v>
      </c>
      <c r="F265" s="36" t="str" cm="1">
        <f t="array" ref="F265">_xlfn.XLOOKUP(D265&amp;C265, Sheet3!$C$2:$C$1224&amp;Sheet3!$B$2:$B$1224, Sheet3!$D$2:$D$1224, "")</f>
        <v>sunaruny@gmail.com</v>
      </c>
      <c r="G265" s="1" t="str" cm="1">
        <f t="array" ref="G265">_xlfn.XLOOKUP(D265&amp;C265, Sheet2!$A$2:$A$558&amp;Sheet2!$B$2:$B$558, Sheet2!$C$2:$C$558, "")</f>
        <v/>
      </c>
      <c r="H265" s="40" t="str">
        <f t="shared" si="4"/>
        <v>sunaruny@gmail.com</v>
      </c>
    </row>
    <row r="266" spans="1:8" ht="15.5" x14ac:dyDescent="0.35">
      <c r="A266" s="7">
        <v>265</v>
      </c>
      <c r="B266" s="8">
        <v>10767</v>
      </c>
      <c r="C266" s="31" t="s">
        <v>260</v>
      </c>
      <c r="D266" s="8" t="s">
        <v>1059</v>
      </c>
      <c r="E266" s="7">
        <v>1986</v>
      </c>
      <c r="F266" s="36" t="str" cm="1">
        <f t="array" ref="F266">_xlfn.XLOOKUP(D266&amp;C266, Sheet3!$C$2:$C$1224&amp;Sheet3!$B$2:$B$1224, Sheet3!$D$2:$D$1224, "")</f>
        <v>igunawan2@gmail.com</v>
      </c>
      <c r="G266" s="1" t="str" cm="1">
        <f t="array" ref="G266">_xlfn.XLOOKUP(D266&amp;C266, Sheet2!$A$2:$A$558&amp;Sheet2!$B$2:$B$558, Sheet2!$C$2:$C$558, "")</f>
        <v/>
      </c>
      <c r="H266" s="40" t="str">
        <f t="shared" si="4"/>
        <v>igunawan2@gmail.com</v>
      </c>
    </row>
    <row r="267" spans="1:8" ht="15.5" x14ac:dyDescent="0.35">
      <c r="A267" s="7">
        <v>266</v>
      </c>
      <c r="B267" s="8">
        <v>10333</v>
      </c>
      <c r="C267" s="31" t="s">
        <v>5839</v>
      </c>
      <c r="D267" s="8" t="s">
        <v>1058</v>
      </c>
      <c r="E267" s="7">
        <v>1986</v>
      </c>
      <c r="F267" s="36" t="str" cm="1">
        <f t="array" ref="F267">_xlfn.XLOOKUP(D267&amp;C267, Sheet3!$C$2:$C$1224&amp;Sheet3!$B$2:$B$1224, Sheet3!$D$2:$D$1224, "")</f>
        <v>joko_suyanto1960@yahoo.com</v>
      </c>
      <c r="G267" s="1" t="str" cm="1">
        <f t="array" ref="G267">_xlfn.XLOOKUP(D267&amp;C267, Sheet2!$A$2:$A$558&amp;Sheet2!$B$2:$B$558, Sheet2!$C$2:$C$558, "")</f>
        <v/>
      </c>
      <c r="H267" s="40" t="str">
        <f t="shared" si="4"/>
        <v>joko_suyanto1960@yahoo.com</v>
      </c>
    </row>
    <row r="268" spans="1:8" ht="15.5" x14ac:dyDescent="0.35">
      <c r="A268" s="7">
        <v>267</v>
      </c>
      <c r="B268" s="8">
        <v>8264</v>
      </c>
      <c r="C268" s="31" t="s">
        <v>261</v>
      </c>
      <c r="D268" s="8" t="s">
        <v>1053</v>
      </c>
      <c r="E268" s="7">
        <v>1986</v>
      </c>
      <c r="F268" s="36" t="str" cm="1">
        <f t="array" ref="F268">_xlfn.XLOOKUP(D268&amp;C268, Sheet3!$C$2:$C$1224&amp;Sheet3!$B$2:$B$1224, Sheet3!$D$2:$D$1224, "")</f>
        <v/>
      </c>
      <c r="G268" s="1" t="str" cm="1">
        <f t="array" ref="G268">_xlfn.XLOOKUP(D268&amp;C268, Sheet2!$A$2:$A$558&amp;Sheet2!$B$2:$B$558, Sheet2!$C$2:$C$558, "")</f>
        <v/>
      </c>
      <c r="H268" s="40" t="str">
        <f t="shared" si="4"/>
        <v/>
      </c>
    </row>
    <row r="269" spans="1:8" ht="15.5" x14ac:dyDescent="0.35">
      <c r="A269" s="7">
        <v>268</v>
      </c>
      <c r="B269" s="8">
        <v>8885</v>
      </c>
      <c r="C269" s="31" t="s">
        <v>262</v>
      </c>
      <c r="D269" s="8" t="s">
        <v>1054</v>
      </c>
      <c r="E269" s="7">
        <v>1986</v>
      </c>
      <c r="F269" s="36" t="str" cm="1">
        <f t="array" ref="F269">_xlfn.XLOOKUP(D269&amp;C269, Sheet3!$C$2:$C$1224&amp;Sheet3!$B$2:$B$1224, Sheet3!$D$2:$D$1224, "")</f>
        <v/>
      </c>
      <c r="G269" s="1" t="str" cm="1">
        <f t="array" ref="G269">_xlfn.XLOOKUP(D269&amp;C269, Sheet2!$A$2:$A$558&amp;Sheet2!$B$2:$B$558, Sheet2!$C$2:$C$558, "")</f>
        <v/>
      </c>
      <c r="H269" s="40" t="str">
        <f t="shared" si="4"/>
        <v/>
      </c>
    </row>
    <row r="270" spans="1:8" ht="15.5" x14ac:dyDescent="0.35">
      <c r="A270" s="7">
        <v>269</v>
      </c>
      <c r="B270" s="8">
        <v>9236</v>
      </c>
      <c r="C270" s="31" t="s">
        <v>263</v>
      </c>
      <c r="D270" s="8" t="s">
        <v>1055</v>
      </c>
      <c r="E270" s="7">
        <v>1986</v>
      </c>
      <c r="F270" s="36" t="str" cm="1">
        <f t="array" ref="F270">_xlfn.XLOOKUP(D270&amp;C270, Sheet3!$C$2:$C$1224&amp;Sheet3!$B$2:$B$1224, Sheet3!$D$2:$D$1224, "")</f>
        <v/>
      </c>
      <c r="G270" s="1" t="str" cm="1">
        <f t="array" ref="G270">_xlfn.XLOOKUP(D270&amp;C270, Sheet2!$A$2:$A$558&amp;Sheet2!$B$2:$B$558, Sheet2!$C$2:$C$558, "")</f>
        <v/>
      </c>
      <c r="H270" s="40" t="str">
        <f t="shared" si="4"/>
        <v/>
      </c>
    </row>
    <row r="271" spans="1:8" ht="15.5" x14ac:dyDescent="0.35">
      <c r="A271" s="7">
        <v>270</v>
      </c>
      <c r="B271" s="8">
        <v>10922</v>
      </c>
      <c r="C271" s="31" t="s">
        <v>264</v>
      </c>
      <c r="D271" s="8" t="s">
        <v>1059</v>
      </c>
      <c r="E271" s="7">
        <v>1986</v>
      </c>
      <c r="F271" s="36" t="str" cm="1">
        <f t="array" ref="F271">_xlfn.XLOOKUP(D271&amp;C271, Sheet3!$C$2:$C$1224&amp;Sheet3!$B$2:$B$1224, Sheet3!$D$2:$D$1224, "")</f>
        <v>endridiyanto@yahoo.com</v>
      </c>
      <c r="G271" s="1" t="str" cm="1">
        <f t="array" ref="G271">_xlfn.XLOOKUP(D271&amp;C271, Sheet2!$A$2:$A$558&amp;Sheet2!$B$2:$B$558, Sheet2!$C$2:$C$558, "")</f>
        <v>endridiyanto@gmail.com</v>
      </c>
      <c r="H271" s="40" t="str">
        <f t="shared" si="4"/>
        <v>endridiyanto@yahoo.com</v>
      </c>
    </row>
    <row r="272" spans="1:8" ht="15.5" x14ac:dyDescent="0.35">
      <c r="A272" s="7">
        <v>271</v>
      </c>
      <c r="B272" s="8">
        <v>10283</v>
      </c>
      <c r="C272" s="31" t="s">
        <v>265</v>
      </c>
      <c r="D272" s="8" t="s">
        <v>1058</v>
      </c>
      <c r="E272" s="7">
        <v>1986</v>
      </c>
      <c r="F272" s="36" t="str" cm="1">
        <f t="array" ref="F272">_xlfn.XLOOKUP(D272&amp;C272, Sheet3!$C$2:$C$1224&amp;Sheet3!$B$2:$B$1224, Sheet3!$D$2:$D$1224, "")</f>
        <v/>
      </c>
      <c r="G272" s="1" t="str" cm="1">
        <f t="array" ref="G272">_xlfn.XLOOKUP(D272&amp;C272, Sheet2!$A$2:$A$558&amp;Sheet2!$B$2:$B$558, Sheet2!$C$2:$C$558, "")</f>
        <v/>
      </c>
      <c r="H272" s="40" t="str">
        <f t="shared" si="4"/>
        <v/>
      </c>
    </row>
    <row r="273" spans="1:8" ht="15.5" x14ac:dyDescent="0.35">
      <c r="A273" s="7">
        <v>272</v>
      </c>
      <c r="B273" s="8">
        <v>9742</v>
      </c>
      <c r="C273" s="31" t="s">
        <v>44</v>
      </c>
      <c r="D273" s="8" t="s">
        <v>1057</v>
      </c>
      <c r="E273" s="7">
        <v>1986</v>
      </c>
      <c r="F273" s="36" t="str" cm="1">
        <f t="array" ref="F273">_xlfn.XLOOKUP(D273&amp;C273, Sheet3!$C$2:$C$1224&amp;Sheet3!$B$2:$B$1224, Sheet3!$D$2:$D$1224, "")</f>
        <v/>
      </c>
      <c r="G273" s="1" t="str" cm="1">
        <f t="array" ref="G273">_xlfn.XLOOKUP(D273&amp;C273, Sheet2!$A$2:$A$558&amp;Sheet2!$B$2:$B$558, Sheet2!$C$2:$C$558, "")</f>
        <v/>
      </c>
      <c r="H273" s="40" t="str">
        <f t="shared" si="4"/>
        <v/>
      </c>
    </row>
    <row r="274" spans="1:8" ht="15.5" x14ac:dyDescent="0.35">
      <c r="A274" s="7">
        <v>273</v>
      </c>
      <c r="B274" s="8">
        <v>9228</v>
      </c>
      <c r="C274" s="31" t="s">
        <v>266</v>
      </c>
      <c r="D274" s="8" t="s">
        <v>1055</v>
      </c>
      <c r="E274" s="7">
        <v>1986</v>
      </c>
      <c r="F274" s="36" t="str" cm="1">
        <f t="array" ref="F274">_xlfn.XLOOKUP(D274&amp;C274, Sheet3!$C$2:$C$1224&amp;Sheet3!$B$2:$B$1224, Sheet3!$D$2:$D$1224, "")</f>
        <v/>
      </c>
      <c r="G274" s="1" t="str" cm="1">
        <f t="array" ref="G274">_xlfn.XLOOKUP(D274&amp;C274, Sheet2!$A$2:$A$558&amp;Sheet2!$B$2:$B$558, Sheet2!$C$2:$C$558, "")</f>
        <v/>
      </c>
      <c r="H274" s="40" t="str">
        <f t="shared" si="4"/>
        <v/>
      </c>
    </row>
    <row r="275" spans="1:8" ht="15.5" x14ac:dyDescent="0.35">
      <c r="A275" s="7">
        <v>274</v>
      </c>
      <c r="B275" s="8">
        <v>11404</v>
      </c>
      <c r="C275" s="31" t="s">
        <v>267</v>
      </c>
      <c r="D275" s="8" t="s">
        <v>1057</v>
      </c>
      <c r="E275" s="7">
        <v>1986</v>
      </c>
      <c r="F275" s="36" t="str" cm="1">
        <f t="array" ref="F275">_xlfn.XLOOKUP(D275&amp;C275, Sheet3!$C$2:$C$1224&amp;Sheet3!$B$2:$B$1224, Sheet3!$D$2:$D$1224, "")</f>
        <v/>
      </c>
      <c r="G275" s="1" t="str" cm="1">
        <f t="array" ref="G275">_xlfn.XLOOKUP(D275&amp;C275, Sheet2!$A$2:$A$558&amp;Sheet2!$B$2:$B$558, Sheet2!$C$2:$C$558, "")</f>
        <v/>
      </c>
      <c r="H275" s="40" t="str">
        <f t="shared" si="4"/>
        <v/>
      </c>
    </row>
    <row r="276" spans="1:8" ht="15.5" x14ac:dyDescent="0.35">
      <c r="A276" s="7">
        <v>275</v>
      </c>
      <c r="B276" s="8">
        <v>10017</v>
      </c>
      <c r="C276" s="31" t="s">
        <v>268</v>
      </c>
      <c r="D276" s="8" t="s">
        <v>1057</v>
      </c>
      <c r="E276" s="7">
        <v>1986</v>
      </c>
      <c r="F276" s="36" t="str" cm="1">
        <f t="array" ref="F276">_xlfn.XLOOKUP(D276&amp;C276, Sheet3!$C$2:$C$1224&amp;Sheet3!$B$2:$B$1224, Sheet3!$D$2:$D$1224, "")</f>
        <v/>
      </c>
      <c r="G276" s="1" t="str" cm="1">
        <f t="array" ref="G276">_xlfn.XLOOKUP(D276&amp;C276, Sheet2!$A$2:$A$558&amp;Sheet2!$B$2:$B$558, Sheet2!$C$2:$C$558, "")</f>
        <v/>
      </c>
      <c r="H276" s="40" t="str">
        <f t="shared" si="4"/>
        <v/>
      </c>
    </row>
    <row r="277" spans="1:8" ht="15.5" x14ac:dyDescent="0.35">
      <c r="A277" s="7">
        <v>276</v>
      </c>
      <c r="B277" s="8">
        <v>10286</v>
      </c>
      <c r="C277" s="31" t="s">
        <v>269</v>
      </c>
      <c r="D277" s="8" t="s">
        <v>1058</v>
      </c>
      <c r="E277" s="7">
        <v>1986</v>
      </c>
      <c r="F277" s="36" t="str" cm="1">
        <f t="array" ref="F277">_xlfn.XLOOKUP(D277&amp;C277, Sheet3!$C$2:$C$1224&amp;Sheet3!$B$2:$B$1224, Sheet3!$D$2:$D$1224, "")</f>
        <v/>
      </c>
      <c r="G277" s="1" t="str" cm="1">
        <f t="array" ref="G277">_xlfn.XLOOKUP(D277&amp;C277, Sheet2!$A$2:$A$558&amp;Sheet2!$B$2:$B$558, Sheet2!$C$2:$C$558, "")</f>
        <v/>
      </c>
      <c r="H277" s="40" t="str">
        <f t="shared" si="4"/>
        <v/>
      </c>
    </row>
    <row r="278" spans="1:8" ht="15.5" x14ac:dyDescent="0.35">
      <c r="A278" s="7">
        <v>277</v>
      </c>
      <c r="B278" s="8">
        <v>11482</v>
      </c>
      <c r="C278" s="31" t="s">
        <v>270</v>
      </c>
      <c r="D278" s="8" t="s">
        <v>1060</v>
      </c>
      <c r="E278" s="7">
        <v>1986</v>
      </c>
      <c r="F278" s="36" t="str" cm="1">
        <f t="array" ref="F278">_xlfn.XLOOKUP(D278&amp;C278, Sheet3!$C$2:$C$1224&amp;Sheet3!$B$2:$B$1224, Sheet3!$D$2:$D$1224, "")</f>
        <v/>
      </c>
      <c r="G278" s="1" t="str" cm="1">
        <f t="array" ref="G278">_xlfn.XLOOKUP(D278&amp;C278, Sheet2!$A$2:$A$558&amp;Sheet2!$B$2:$B$558, Sheet2!$C$2:$C$558, "")</f>
        <v/>
      </c>
      <c r="H278" s="40" t="str">
        <f t="shared" si="4"/>
        <v/>
      </c>
    </row>
    <row r="279" spans="1:8" ht="15.5" x14ac:dyDescent="0.35">
      <c r="A279" s="7">
        <v>278</v>
      </c>
      <c r="B279" s="8">
        <v>6560</v>
      </c>
      <c r="C279" s="31" t="s">
        <v>271</v>
      </c>
      <c r="D279" s="8" t="s">
        <v>1050</v>
      </c>
      <c r="E279" s="7">
        <v>1986</v>
      </c>
      <c r="F279" s="36" t="str" cm="1">
        <f t="array" ref="F279">_xlfn.XLOOKUP(D279&amp;C279, Sheet3!$C$2:$C$1224&amp;Sheet3!$B$2:$B$1224, Sheet3!$D$2:$D$1224, "")</f>
        <v/>
      </c>
      <c r="G279" s="1" t="str" cm="1">
        <f t="array" ref="G279">_xlfn.XLOOKUP(D279&amp;C279, Sheet2!$A$2:$A$558&amp;Sheet2!$B$2:$B$558, Sheet2!$C$2:$C$558, "")</f>
        <v/>
      </c>
      <c r="H279" s="40" t="str">
        <f t="shared" si="4"/>
        <v/>
      </c>
    </row>
    <row r="280" spans="1:8" ht="15.5" x14ac:dyDescent="0.35">
      <c r="A280" s="7">
        <v>279</v>
      </c>
      <c r="B280" s="8">
        <v>11632</v>
      </c>
      <c r="C280" s="31" t="s">
        <v>272</v>
      </c>
      <c r="D280" s="8" t="s">
        <v>1047</v>
      </c>
      <c r="E280" s="7">
        <v>1986</v>
      </c>
      <c r="F280" s="36" t="str" cm="1">
        <f t="array" ref="F280">_xlfn.XLOOKUP(D280&amp;C280, Sheet3!$C$2:$C$1224&amp;Sheet3!$B$2:$B$1224, Sheet3!$D$2:$D$1224, "")</f>
        <v/>
      </c>
      <c r="G280" s="1" t="str" cm="1">
        <f t="array" ref="G280">_xlfn.XLOOKUP(D280&amp;C280, Sheet2!$A$2:$A$558&amp;Sheet2!$B$2:$B$558, Sheet2!$C$2:$C$558, "")</f>
        <v/>
      </c>
      <c r="H280" s="40" t="str">
        <f t="shared" si="4"/>
        <v/>
      </c>
    </row>
    <row r="281" spans="1:8" ht="15.5" x14ac:dyDescent="0.35">
      <c r="A281" s="7">
        <v>280</v>
      </c>
      <c r="B281" s="8">
        <v>11426</v>
      </c>
      <c r="C281" s="31" t="s">
        <v>112</v>
      </c>
      <c r="D281" s="8" t="s">
        <v>1060</v>
      </c>
      <c r="E281" s="7">
        <v>1986</v>
      </c>
      <c r="F281" s="36" t="str" cm="1">
        <f t="array" ref="F281">_xlfn.XLOOKUP(D281&amp;C281, Sheet3!$C$2:$C$1224&amp;Sheet3!$B$2:$B$1224, Sheet3!$D$2:$D$1224, "")</f>
        <v/>
      </c>
      <c r="G281" s="1" t="str" cm="1">
        <f t="array" ref="G281">_xlfn.XLOOKUP(D281&amp;C281, Sheet2!$A$2:$A$558&amp;Sheet2!$B$2:$B$558, Sheet2!$C$2:$C$558, "")</f>
        <v/>
      </c>
      <c r="H281" s="40" t="str">
        <f t="shared" si="4"/>
        <v/>
      </c>
    </row>
    <row r="282" spans="1:8" ht="15.5" x14ac:dyDescent="0.35">
      <c r="A282" s="7">
        <v>281</v>
      </c>
      <c r="B282" s="8">
        <v>10431</v>
      </c>
      <c r="C282" s="31" t="s">
        <v>273</v>
      </c>
      <c r="D282" s="8" t="s">
        <v>1058</v>
      </c>
      <c r="E282" s="7">
        <v>1986</v>
      </c>
      <c r="F282" s="36" t="str" cm="1">
        <f t="array" ref="F282">_xlfn.XLOOKUP(D282&amp;C282, Sheet3!$C$2:$C$1224&amp;Sheet3!$B$2:$B$1224, Sheet3!$D$2:$D$1224, "")</f>
        <v/>
      </c>
      <c r="G282" s="1" t="str" cm="1">
        <f t="array" ref="G282">_xlfn.XLOOKUP(D282&amp;C282, Sheet2!$A$2:$A$558&amp;Sheet2!$B$2:$B$558, Sheet2!$C$2:$C$558, "")</f>
        <v/>
      </c>
      <c r="H282" s="40" t="str">
        <f t="shared" si="4"/>
        <v/>
      </c>
    </row>
    <row r="283" spans="1:8" ht="15.5" x14ac:dyDescent="0.35">
      <c r="A283" s="7">
        <v>282</v>
      </c>
      <c r="B283" s="8">
        <v>6829</v>
      </c>
      <c r="C283" s="31" t="s">
        <v>274</v>
      </c>
      <c r="D283" s="8" t="s">
        <v>1048</v>
      </c>
      <c r="E283" s="7">
        <v>1986</v>
      </c>
      <c r="F283" s="36" t="str" cm="1">
        <f t="array" ref="F283">_xlfn.XLOOKUP(D283&amp;C283, Sheet3!$C$2:$C$1224&amp;Sheet3!$B$2:$B$1224, Sheet3!$D$2:$D$1224, "")</f>
        <v/>
      </c>
      <c r="G283" s="1" t="str" cm="1">
        <f t="array" ref="G283">_xlfn.XLOOKUP(D283&amp;C283, Sheet2!$A$2:$A$558&amp;Sheet2!$B$2:$B$558, Sheet2!$C$2:$C$558, "")</f>
        <v/>
      </c>
      <c r="H283" s="40" t="str">
        <f t="shared" si="4"/>
        <v/>
      </c>
    </row>
    <row r="284" spans="1:8" ht="15.5" x14ac:dyDescent="0.35">
      <c r="A284" s="7">
        <v>283</v>
      </c>
      <c r="B284" s="8">
        <v>10681</v>
      </c>
      <c r="C284" s="31" t="s">
        <v>275</v>
      </c>
      <c r="D284" s="8" t="s">
        <v>1059</v>
      </c>
      <c r="E284" s="7">
        <v>1986</v>
      </c>
      <c r="F284" s="36" t="str" cm="1">
        <f t="array" ref="F284">_xlfn.XLOOKUP(D284&amp;C284, Sheet3!$C$2:$C$1224&amp;Sheet3!$B$2:$B$1224, Sheet3!$D$2:$D$1224, "")</f>
        <v>agus_ceub@yahoo.com</v>
      </c>
      <c r="G284" s="1" t="str" cm="1">
        <f t="array" ref="G284">_xlfn.XLOOKUP(D284&amp;C284, Sheet2!$A$2:$A$558&amp;Sheet2!$B$2:$B$558, Sheet2!$C$2:$C$558, "")</f>
        <v/>
      </c>
      <c r="H284" s="40" t="str">
        <f t="shared" si="4"/>
        <v>agus_ceub@yahoo.com</v>
      </c>
    </row>
    <row r="285" spans="1:8" ht="15.5" x14ac:dyDescent="0.35">
      <c r="A285" s="7">
        <v>284</v>
      </c>
      <c r="B285" s="8">
        <v>10241</v>
      </c>
      <c r="C285" s="31" t="s">
        <v>276</v>
      </c>
      <c r="D285" s="8" t="s">
        <v>1058</v>
      </c>
      <c r="E285" s="7">
        <v>1986</v>
      </c>
      <c r="F285" s="36" t="str" cm="1">
        <f t="array" ref="F285">_xlfn.XLOOKUP(D285&amp;C285, Sheet3!$C$2:$C$1224&amp;Sheet3!$B$2:$B$1224, Sheet3!$D$2:$D$1224, "")</f>
        <v/>
      </c>
      <c r="G285" s="1" t="str" cm="1">
        <f t="array" ref="G285">_xlfn.XLOOKUP(D285&amp;C285, Sheet2!$A$2:$A$558&amp;Sheet2!$B$2:$B$558, Sheet2!$C$2:$C$558, "")</f>
        <v/>
      </c>
      <c r="H285" s="40" t="str">
        <f t="shared" si="4"/>
        <v/>
      </c>
    </row>
    <row r="286" spans="1:8" ht="15.5" x14ac:dyDescent="0.35">
      <c r="A286" s="7">
        <v>285</v>
      </c>
      <c r="B286" s="8">
        <v>7237</v>
      </c>
      <c r="C286" s="31" t="s">
        <v>277</v>
      </c>
      <c r="D286" s="8" t="s">
        <v>1049</v>
      </c>
      <c r="E286" s="7">
        <v>1987</v>
      </c>
      <c r="F286" s="36" t="str" cm="1">
        <f t="array" ref="F286">_xlfn.XLOOKUP(D286&amp;C286, Sheet3!$C$2:$C$1224&amp;Sheet3!$B$2:$B$1224, Sheet3!$D$2:$D$1224, "")</f>
        <v/>
      </c>
      <c r="G286" s="1" t="str" cm="1">
        <f t="array" ref="G286">_xlfn.XLOOKUP(D286&amp;C286, Sheet2!$A$2:$A$558&amp;Sheet2!$B$2:$B$558, Sheet2!$C$2:$C$558, "")</f>
        <v/>
      </c>
      <c r="H286" s="40" t="str">
        <f t="shared" si="4"/>
        <v/>
      </c>
    </row>
    <row r="287" spans="1:8" ht="15.5" x14ac:dyDescent="0.35">
      <c r="A287" s="7">
        <v>286</v>
      </c>
      <c r="B287" s="8">
        <v>9704</v>
      </c>
      <c r="C287" s="31" t="s">
        <v>278</v>
      </c>
      <c r="D287" s="8" t="s">
        <v>1053</v>
      </c>
      <c r="E287" s="7">
        <v>1987</v>
      </c>
      <c r="F287" s="36" t="str" cm="1">
        <f t="array" ref="F287">_xlfn.XLOOKUP(D287&amp;C287, Sheet3!$C$2:$C$1224&amp;Sheet3!$B$2:$B$1224, Sheet3!$D$2:$D$1224, "")</f>
        <v/>
      </c>
      <c r="G287" s="1" t="str" cm="1">
        <f t="array" ref="G287">_xlfn.XLOOKUP(D287&amp;C287, Sheet2!$A$2:$A$558&amp;Sheet2!$B$2:$B$558, Sheet2!$C$2:$C$558, "")</f>
        <v/>
      </c>
      <c r="H287" s="40" t="str">
        <f t="shared" si="4"/>
        <v/>
      </c>
    </row>
    <row r="288" spans="1:8" ht="15.5" x14ac:dyDescent="0.35">
      <c r="A288" s="7">
        <v>287</v>
      </c>
      <c r="B288" s="8">
        <v>10455</v>
      </c>
      <c r="C288" s="31" t="s">
        <v>279</v>
      </c>
      <c r="D288" s="8" t="s">
        <v>1058</v>
      </c>
      <c r="E288" s="7">
        <v>1987</v>
      </c>
      <c r="F288" s="36" t="str" cm="1">
        <f t="array" ref="F288">_xlfn.XLOOKUP(D288&amp;C288, Sheet3!$C$2:$C$1224&amp;Sheet3!$B$2:$B$1224, Sheet3!$D$2:$D$1224, "")</f>
        <v/>
      </c>
      <c r="G288" s="1" t="str" cm="1">
        <f t="array" ref="G288">_xlfn.XLOOKUP(D288&amp;C288, Sheet2!$A$2:$A$558&amp;Sheet2!$B$2:$B$558, Sheet2!$C$2:$C$558, "")</f>
        <v/>
      </c>
      <c r="H288" s="40" t="str">
        <f t="shared" si="4"/>
        <v/>
      </c>
    </row>
    <row r="289" spans="1:8" ht="15.5" x14ac:dyDescent="0.35">
      <c r="A289" s="7">
        <v>288</v>
      </c>
      <c r="B289" s="8">
        <v>11487</v>
      </c>
      <c r="C289" s="31" t="s">
        <v>280</v>
      </c>
      <c r="D289" s="8" t="s">
        <v>1061</v>
      </c>
      <c r="E289" s="7">
        <v>1987</v>
      </c>
      <c r="F289" s="36" t="str" cm="1">
        <f t="array" ref="F289">_xlfn.XLOOKUP(D289&amp;C289, Sheet3!$C$2:$C$1224&amp;Sheet3!$B$2:$B$1224, Sheet3!$D$2:$D$1224, "")</f>
        <v/>
      </c>
      <c r="G289" s="1" t="str" cm="1">
        <f t="array" ref="G289">_xlfn.XLOOKUP(D289&amp;C289, Sheet2!$A$2:$A$558&amp;Sheet2!$B$2:$B$558, Sheet2!$C$2:$C$558, "")</f>
        <v/>
      </c>
      <c r="H289" s="40" t="str">
        <f t="shared" si="4"/>
        <v/>
      </c>
    </row>
    <row r="290" spans="1:8" ht="15.5" x14ac:dyDescent="0.35">
      <c r="A290" s="7">
        <v>289</v>
      </c>
      <c r="B290" s="8">
        <v>10036</v>
      </c>
      <c r="C290" s="31" t="s">
        <v>281</v>
      </c>
      <c r="D290" s="8" t="s">
        <v>1057</v>
      </c>
      <c r="E290" s="7">
        <v>1987</v>
      </c>
      <c r="F290" s="36" t="str" cm="1">
        <f t="array" ref="F290">_xlfn.XLOOKUP(D290&amp;C290, Sheet3!$C$2:$C$1224&amp;Sheet3!$B$2:$B$1224, Sheet3!$D$2:$D$1224, "")</f>
        <v/>
      </c>
      <c r="G290" s="1" t="str" cm="1">
        <f t="array" ref="G290">_xlfn.XLOOKUP(D290&amp;C290, Sheet2!$A$2:$A$558&amp;Sheet2!$B$2:$B$558, Sheet2!$C$2:$C$558, "")</f>
        <v/>
      </c>
      <c r="H290" s="40" t="str">
        <f t="shared" si="4"/>
        <v/>
      </c>
    </row>
    <row r="291" spans="1:8" ht="15.5" x14ac:dyDescent="0.35">
      <c r="A291" s="7">
        <v>290</v>
      </c>
      <c r="B291" s="8">
        <v>10990</v>
      </c>
      <c r="C291" s="31" t="s">
        <v>282</v>
      </c>
      <c r="D291" s="8" t="s">
        <v>1059</v>
      </c>
      <c r="E291" s="7">
        <v>1987</v>
      </c>
      <c r="F291" s="36" t="str" cm="1">
        <f t="array" ref="F291">_xlfn.XLOOKUP(D291&amp;C291, Sheet3!$C$2:$C$1224&amp;Sheet3!$B$2:$B$1224, Sheet3!$D$2:$D$1224, "")</f>
        <v/>
      </c>
      <c r="G291" s="1" t="str" cm="1">
        <f t="array" ref="G291">_xlfn.XLOOKUP(D291&amp;C291, Sheet2!$A$2:$A$558&amp;Sheet2!$B$2:$B$558, Sheet2!$C$2:$C$558, "")</f>
        <v/>
      </c>
      <c r="H291" s="40" t="str">
        <f t="shared" si="4"/>
        <v/>
      </c>
    </row>
    <row r="292" spans="1:8" ht="15.5" x14ac:dyDescent="0.35">
      <c r="A292" s="7">
        <v>291</v>
      </c>
      <c r="B292" s="8">
        <v>11452</v>
      </c>
      <c r="C292" s="31" t="s">
        <v>283</v>
      </c>
      <c r="D292" s="8" t="s">
        <v>1059</v>
      </c>
      <c r="E292" s="7">
        <v>1987</v>
      </c>
      <c r="F292" s="36" t="str" cm="1">
        <f t="array" ref="F292">_xlfn.XLOOKUP(D292&amp;C292, Sheet3!$C$2:$C$1224&amp;Sheet3!$B$2:$B$1224, Sheet3!$D$2:$D$1224, "")</f>
        <v/>
      </c>
      <c r="G292" s="1" t="str" cm="1">
        <f t="array" ref="G292">_xlfn.XLOOKUP(D292&amp;C292, Sheet2!$A$2:$A$558&amp;Sheet2!$B$2:$B$558, Sheet2!$C$2:$C$558, "")</f>
        <v/>
      </c>
      <c r="H292" s="40" t="str">
        <f t="shared" si="4"/>
        <v/>
      </c>
    </row>
    <row r="293" spans="1:8" ht="15.5" x14ac:dyDescent="0.35">
      <c r="A293" s="7">
        <v>292</v>
      </c>
      <c r="B293" s="8">
        <v>10981</v>
      </c>
      <c r="C293" s="31" t="s">
        <v>284</v>
      </c>
      <c r="D293" s="8" t="s">
        <v>1059</v>
      </c>
      <c r="E293" s="7">
        <v>1987</v>
      </c>
      <c r="F293" s="36" t="str" cm="1">
        <f t="array" ref="F293">_xlfn.XLOOKUP(D293&amp;C293, Sheet3!$C$2:$C$1224&amp;Sheet3!$B$2:$B$1224, Sheet3!$D$2:$D$1224, "")</f>
        <v/>
      </c>
      <c r="G293" s="1" t="str" cm="1">
        <f t="array" ref="G293">_xlfn.XLOOKUP(D293&amp;C293, Sheet2!$A$2:$A$558&amp;Sheet2!$B$2:$B$558, Sheet2!$C$2:$C$558, "")</f>
        <v/>
      </c>
      <c r="H293" s="40" t="str">
        <f t="shared" si="4"/>
        <v/>
      </c>
    </row>
    <row r="294" spans="1:8" ht="15.5" x14ac:dyDescent="0.35">
      <c r="A294" s="7">
        <v>293</v>
      </c>
      <c r="B294" s="8">
        <v>10858</v>
      </c>
      <c r="C294" s="31" t="s">
        <v>285</v>
      </c>
      <c r="D294" s="8" t="s">
        <v>1059</v>
      </c>
      <c r="E294" s="7">
        <v>1987</v>
      </c>
      <c r="F294" s="36" t="str" cm="1">
        <f t="array" ref="F294">_xlfn.XLOOKUP(D294&amp;C294, Sheet3!$C$2:$C$1224&amp;Sheet3!$B$2:$B$1224, Sheet3!$D$2:$D$1224, "")</f>
        <v/>
      </c>
      <c r="G294" s="1" t="str" cm="1">
        <f t="array" ref="G294">_xlfn.XLOOKUP(D294&amp;C294, Sheet2!$A$2:$A$558&amp;Sheet2!$B$2:$B$558, Sheet2!$C$2:$C$558, "")</f>
        <v/>
      </c>
      <c r="H294" s="40" t="str">
        <f t="shared" si="4"/>
        <v/>
      </c>
    </row>
    <row r="295" spans="1:8" ht="15.5" x14ac:dyDescent="0.35">
      <c r="A295" s="7">
        <v>294</v>
      </c>
      <c r="B295" s="8">
        <v>10835</v>
      </c>
      <c r="C295" s="31" t="s">
        <v>286</v>
      </c>
      <c r="D295" s="8" t="s">
        <v>1059</v>
      </c>
      <c r="E295" s="7">
        <v>1987</v>
      </c>
      <c r="F295" s="36" t="str" cm="1">
        <f t="array" ref="F295">_xlfn.XLOOKUP(D295&amp;C295, Sheet3!$C$2:$C$1224&amp;Sheet3!$B$2:$B$1224, Sheet3!$D$2:$D$1224, "")</f>
        <v>parjiyanto@hydrocore.co.id</v>
      </c>
      <c r="G295" s="1" t="str" cm="1">
        <f t="array" ref="G295">_xlfn.XLOOKUP(D295&amp;C295, Sheet2!$A$2:$A$558&amp;Sheet2!$B$2:$B$558, Sheet2!$C$2:$C$558, "")</f>
        <v/>
      </c>
      <c r="H295" s="40" t="str">
        <f t="shared" si="4"/>
        <v>parjiyanto@hydrocore.co.id</v>
      </c>
    </row>
    <row r="296" spans="1:8" ht="15.5" x14ac:dyDescent="0.35">
      <c r="A296" s="7">
        <v>295</v>
      </c>
      <c r="B296" s="8">
        <v>11419</v>
      </c>
      <c r="C296" s="31" t="s">
        <v>287</v>
      </c>
      <c r="D296" s="8" t="s">
        <v>1060</v>
      </c>
      <c r="E296" s="7">
        <v>1987</v>
      </c>
      <c r="F296" s="36" t="str" cm="1">
        <f t="array" ref="F296">_xlfn.XLOOKUP(D296&amp;C296, Sheet3!$C$2:$C$1224&amp;Sheet3!$B$2:$B$1224, Sheet3!$D$2:$D$1224, "")</f>
        <v/>
      </c>
      <c r="G296" s="1" t="str" cm="1">
        <f t="array" ref="G296">_xlfn.XLOOKUP(D296&amp;C296, Sheet2!$A$2:$A$558&amp;Sheet2!$B$2:$B$558, Sheet2!$C$2:$C$558, "")</f>
        <v/>
      </c>
      <c r="H296" s="40" t="str">
        <f t="shared" si="4"/>
        <v/>
      </c>
    </row>
    <row r="297" spans="1:8" ht="15.5" x14ac:dyDescent="0.35">
      <c r="A297" s="7">
        <v>296</v>
      </c>
      <c r="B297" s="8">
        <v>9811</v>
      </c>
      <c r="C297" s="31" t="s">
        <v>288</v>
      </c>
      <c r="D297" s="8" t="s">
        <v>1056</v>
      </c>
      <c r="E297" s="7">
        <v>1987</v>
      </c>
      <c r="F297" s="36" t="str" cm="1">
        <f t="array" ref="F297">_xlfn.XLOOKUP(D297&amp;C297, Sheet3!$C$2:$C$1224&amp;Sheet3!$B$2:$B$1224, Sheet3!$D$2:$D$1224, "")</f>
        <v/>
      </c>
      <c r="G297" s="1" t="str" cm="1">
        <f t="array" ref="G297">_xlfn.XLOOKUP(D297&amp;C297, Sheet2!$A$2:$A$558&amp;Sheet2!$B$2:$B$558, Sheet2!$C$2:$C$558, "")</f>
        <v/>
      </c>
      <c r="H297" s="40" t="str">
        <f t="shared" si="4"/>
        <v/>
      </c>
    </row>
    <row r="298" spans="1:8" ht="15.5" x14ac:dyDescent="0.35">
      <c r="A298" s="7">
        <v>297</v>
      </c>
      <c r="B298" s="8">
        <v>11047</v>
      </c>
      <c r="C298" s="31" t="s">
        <v>289</v>
      </c>
      <c r="D298" s="8" t="s">
        <v>1059</v>
      </c>
      <c r="E298" s="7">
        <v>1987</v>
      </c>
      <c r="F298" s="36" t="str" cm="1">
        <f t="array" ref="F298">_xlfn.XLOOKUP(D298&amp;C298, Sheet3!$C$2:$C$1224&amp;Sheet3!$B$2:$B$1224, Sheet3!$D$2:$D$1224, "")</f>
        <v>rahayuningsihtiti@gmail.com</v>
      </c>
      <c r="G298" s="1" t="str" cm="1">
        <f t="array" ref="G298">_xlfn.XLOOKUP(D298&amp;C298, Sheet2!$A$2:$A$558&amp;Sheet2!$B$2:$B$558, Sheet2!$C$2:$C$558, "")</f>
        <v>rahayuningsihtiti@gmail.com</v>
      </c>
      <c r="H298" s="40" t="str">
        <f t="shared" si="4"/>
        <v>rahayuningsihtiti@gmail.com</v>
      </c>
    </row>
    <row r="299" spans="1:8" ht="15.5" x14ac:dyDescent="0.35">
      <c r="A299" s="7">
        <v>298</v>
      </c>
      <c r="B299" s="8">
        <v>10471</v>
      </c>
      <c r="C299" s="31" t="s">
        <v>290</v>
      </c>
      <c r="D299" s="8" t="s">
        <v>1058</v>
      </c>
      <c r="E299" s="7">
        <v>1987</v>
      </c>
      <c r="F299" s="36" t="str" cm="1">
        <f t="array" ref="F299">_xlfn.XLOOKUP(D299&amp;C299, Sheet3!$C$2:$C$1224&amp;Sheet3!$B$2:$B$1224, Sheet3!$D$2:$D$1224, "")</f>
        <v/>
      </c>
      <c r="G299" s="1" t="str" cm="1">
        <f t="array" ref="G299">_xlfn.XLOOKUP(D299&amp;C299, Sheet2!$A$2:$A$558&amp;Sheet2!$B$2:$B$558, Sheet2!$C$2:$C$558, "")</f>
        <v/>
      </c>
      <c r="H299" s="40" t="str">
        <f t="shared" si="4"/>
        <v/>
      </c>
    </row>
    <row r="300" spans="1:8" ht="15.5" x14ac:dyDescent="0.35">
      <c r="A300" s="7">
        <v>299</v>
      </c>
      <c r="B300" s="8">
        <v>9527</v>
      </c>
      <c r="C300" s="31" t="s">
        <v>291</v>
      </c>
      <c r="D300" s="8" t="s">
        <v>1056</v>
      </c>
      <c r="E300" s="7">
        <v>1987</v>
      </c>
      <c r="F300" s="36" t="str" cm="1">
        <f t="array" ref="F300">_xlfn.XLOOKUP(D300&amp;C300, Sheet3!$C$2:$C$1224&amp;Sheet3!$B$2:$B$1224, Sheet3!$D$2:$D$1224, "")</f>
        <v/>
      </c>
      <c r="G300" s="1" t="str" cm="1">
        <f t="array" ref="G300">_xlfn.XLOOKUP(D300&amp;C300, Sheet2!$A$2:$A$558&amp;Sheet2!$B$2:$B$558, Sheet2!$C$2:$C$558, "")</f>
        <v/>
      </c>
      <c r="H300" s="40" t="str">
        <f t="shared" si="4"/>
        <v/>
      </c>
    </row>
    <row r="301" spans="1:8" ht="15.5" x14ac:dyDescent="0.35">
      <c r="A301" s="7">
        <v>300</v>
      </c>
      <c r="B301" s="8">
        <v>11268</v>
      </c>
      <c r="C301" s="31" t="s">
        <v>292</v>
      </c>
      <c r="D301" s="8" t="s">
        <v>1060</v>
      </c>
      <c r="E301" s="7">
        <v>1987</v>
      </c>
      <c r="F301" s="36" t="str" cm="1">
        <f t="array" ref="F301">_xlfn.XLOOKUP(D301&amp;C301, Sheet3!$C$2:$C$1224&amp;Sheet3!$B$2:$B$1224, Sheet3!$D$2:$D$1224, "")</f>
        <v/>
      </c>
      <c r="G301" s="1" t="str" cm="1">
        <f t="array" ref="G301">_xlfn.XLOOKUP(D301&amp;C301, Sheet2!$A$2:$A$558&amp;Sheet2!$B$2:$B$558, Sheet2!$C$2:$C$558, "")</f>
        <v/>
      </c>
      <c r="H301" s="40" t="str">
        <f t="shared" si="4"/>
        <v/>
      </c>
    </row>
    <row r="302" spans="1:8" ht="15.5" x14ac:dyDescent="0.35">
      <c r="A302" s="7">
        <v>301</v>
      </c>
      <c r="B302" s="8">
        <v>10396</v>
      </c>
      <c r="C302" s="31" t="s">
        <v>293</v>
      </c>
      <c r="D302" s="8" t="s">
        <v>1058</v>
      </c>
      <c r="E302" s="7">
        <v>1987</v>
      </c>
      <c r="F302" s="36" t="str" cm="1">
        <f t="array" ref="F302">_xlfn.XLOOKUP(D302&amp;C302, Sheet3!$C$2:$C$1224&amp;Sheet3!$B$2:$B$1224, Sheet3!$D$2:$D$1224, "")</f>
        <v>agnesyani.79@gmail.com</v>
      </c>
      <c r="G302" s="1" t="str" cm="1">
        <f t="array" ref="G302">_xlfn.XLOOKUP(D302&amp;C302, Sheet2!$A$2:$A$558&amp;Sheet2!$B$2:$B$558, Sheet2!$C$2:$C$558, "")</f>
        <v/>
      </c>
      <c r="H302" s="40" t="str">
        <f t="shared" si="4"/>
        <v>agnesyani.79@gmail.com</v>
      </c>
    </row>
    <row r="303" spans="1:8" ht="15.5" x14ac:dyDescent="0.35">
      <c r="A303" s="7">
        <v>302</v>
      </c>
      <c r="B303" s="8">
        <v>8928</v>
      </c>
      <c r="C303" s="31" t="s">
        <v>294</v>
      </c>
      <c r="D303" s="8" t="s">
        <v>1055</v>
      </c>
      <c r="E303" s="7">
        <v>1987</v>
      </c>
      <c r="F303" s="36" t="str" cm="1">
        <f t="array" ref="F303">_xlfn.XLOOKUP(D303&amp;C303, Sheet3!$C$2:$C$1224&amp;Sheet3!$B$2:$B$1224, Sheet3!$D$2:$D$1224, "")</f>
        <v/>
      </c>
      <c r="G303" s="1" t="str" cm="1">
        <f t="array" ref="G303">_xlfn.XLOOKUP(D303&amp;C303, Sheet2!$A$2:$A$558&amp;Sheet2!$B$2:$B$558, Sheet2!$C$2:$C$558, "")</f>
        <v/>
      </c>
      <c r="H303" s="40" t="str">
        <f t="shared" si="4"/>
        <v/>
      </c>
    </row>
    <row r="304" spans="1:8" ht="15.5" x14ac:dyDescent="0.35">
      <c r="A304" s="7">
        <v>303</v>
      </c>
      <c r="B304" s="8">
        <v>7701</v>
      </c>
      <c r="C304" s="31" t="s">
        <v>295</v>
      </c>
      <c r="D304" s="8" t="s">
        <v>1052</v>
      </c>
      <c r="E304" s="7">
        <v>1987</v>
      </c>
      <c r="F304" s="36" t="str" cm="1">
        <f t="array" ref="F304">_xlfn.XLOOKUP(D304&amp;C304, Sheet3!$C$2:$C$1224&amp;Sheet3!$B$2:$B$1224, Sheet3!$D$2:$D$1224, "")</f>
        <v/>
      </c>
      <c r="G304" s="1" t="str" cm="1">
        <f t="array" ref="G304">_xlfn.XLOOKUP(D304&amp;C304, Sheet2!$A$2:$A$558&amp;Sheet2!$B$2:$B$558, Sheet2!$C$2:$C$558, "")</f>
        <v/>
      </c>
      <c r="H304" s="40" t="str">
        <f t="shared" si="4"/>
        <v/>
      </c>
    </row>
    <row r="305" spans="1:8" ht="15.5" x14ac:dyDescent="0.35">
      <c r="A305" s="7">
        <v>304</v>
      </c>
      <c r="B305" s="8">
        <v>9269</v>
      </c>
      <c r="C305" s="31" t="s">
        <v>296</v>
      </c>
      <c r="D305" s="8" t="s">
        <v>1055</v>
      </c>
      <c r="E305" s="7">
        <v>1987</v>
      </c>
      <c r="F305" s="36" t="str" cm="1">
        <f t="array" ref="F305">_xlfn.XLOOKUP(D305&amp;C305, Sheet3!$C$2:$C$1224&amp;Sheet3!$B$2:$B$1224, Sheet3!$D$2:$D$1224, "")</f>
        <v/>
      </c>
      <c r="G305" s="1" t="str" cm="1">
        <f t="array" ref="G305">_xlfn.XLOOKUP(D305&amp;C305, Sheet2!$A$2:$A$558&amp;Sheet2!$B$2:$B$558, Sheet2!$C$2:$C$558, "")</f>
        <v/>
      </c>
      <c r="H305" s="40" t="str">
        <f t="shared" si="4"/>
        <v/>
      </c>
    </row>
    <row r="306" spans="1:8" ht="15.5" x14ac:dyDescent="0.35">
      <c r="A306" s="7">
        <v>305</v>
      </c>
      <c r="B306" s="8">
        <v>10416</v>
      </c>
      <c r="C306" s="31" t="s">
        <v>297</v>
      </c>
      <c r="D306" s="8" t="s">
        <v>1058</v>
      </c>
      <c r="E306" s="7">
        <v>1987</v>
      </c>
      <c r="F306" s="36" t="str" cm="1">
        <f t="array" ref="F306">_xlfn.XLOOKUP(D306&amp;C306, Sheet3!$C$2:$C$1224&amp;Sheet3!$B$2:$B$1224, Sheet3!$D$2:$D$1224, "")</f>
        <v/>
      </c>
      <c r="G306" s="1" t="str" cm="1">
        <f t="array" ref="G306">_xlfn.XLOOKUP(D306&amp;C306, Sheet2!$A$2:$A$558&amp;Sheet2!$B$2:$B$558, Sheet2!$C$2:$C$558, "")</f>
        <v/>
      </c>
      <c r="H306" s="40" t="str">
        <f t="shared" si="4"/>
        <v/>
      </c>
    </row>
    <row r="307" spans="1:8" ht="15.5" x14ac:dyDescent="0.35">
      <c r="A307" s="7">
        <v>306</v>
      </c>
      <c r="B307" s="8">
        <v>8441</v>
      </c>
      <c r="C307" s="31" t="s">
        <v>298</v>
      </c>
      <c r="D307" s="8" t="s">
        <v>1053</v>
      </c>
      <c r="E307" s="7">
        <v>1987</v>
      </c>
      <c r="F307" s="36" t="str" cm="1">
        <f t="array" ref="F307">_xlfn.XLOOKUP(D307&amp;C307, Sheet3!$C$2:$C$1224&amp;Sheet3!$B$2:$B$1224, Sheet3!$D$2:$D$1224, "")</f>
        <v/>
      </c>
      <c r="G307" s="1" t="str" cm="1">
        <f t="array" ref="G307">_xlfn.XLOOKUP(D307&amp;C307, Sheet2!$A$2:$A$558&amp;Sheet2!$B$2:$B$558, Sheet2!$C$2:$C$558, "")</f>
        <v/>
      </c>
      <c r="H307" s="40" t="str">
        <f t="shared" si="4"/>
        <v/>
      </c>
    </row>
    <row r="308" spans="1:8" ht="15.5" x14ac:dyDescent="0.35">
      <c r="A308" s="7">
        <v>307</v>
      </c>
      <c r="B308" s="8">
        <v>11436</v>
      </c>
      <c r="C308" s="31" t="s">
        <v>299</v>
      </c>
      <c r="D308" s="8" t="s">
        <v>1060</v>
      </c>
      <c r="E308" s="7">
        <v>1987</v>
      </c>
      <c r="F308" s="36" t="str" cm="1">
        <f t="array" ref="F308">_xlfn.XLOOKUP(D308&amp;C308, Sheet3!$C$2:$C$1224&amp;Sheet3!$B$2:$B$1224, Sheet3!$D$2:$D$1224, "")</f>
        <v/>
      </c>
      <c r="G308" s="1" t="str" cm="1">
        <f t="array" ref="G308">_xlfn.XLOOKUP(D308&amp;C308, Sheet2!$A$2:$A$558&amp;Sheet2!$B$2:$B$558, Sheet2!$C$2:$C$558, "")</f>
        <v/>
      </c>
      <c r="H308" s="40" t="str">
        <f t="shared" si="4"/>
        <v/>
      </c>
    </row>
    <row r="309" spans="1:8" ht="15.5" x14ac:dyDescent="0.35">
      <c r="A309" s="7">
        <v>308</v>
      </c>
      <c r="B309" s="8">
        <v>10558</v>
      </c>
      <c r="C309" s="31" t="s">
        <v>300</v>
      </c>
      <c r="D309" s="8" t="s">
        <v>1050</v>
      </c>
      <c r="E309" s="7">
        <v>1987</v>
      </c>
      <c r="F309" s="36" t="str" cm="1">
        <f t="array" ref="F309">_xlfn.XLOOKUP(D309&amp;C309, Sheet3!$C$2:$C$1224&amp;Sheet3!$B$2:$B$1224, Sheet3!$D$2:$D$1224, "")</f>
        <v/>
      </c>
      <c r="G309" s="1" t="str" cm="1">
        <f t="array" ref="G309">_xlfn.XLOOKUP(D309&amp;C309, Sheet2!$A$2:$A$558&amp;Sheet2!$B$2:$B$558, Sheet2!$C$2:$C$558, "")</f>
        <v/>
      </c>
      <c r="H309" s="40" t="str">
        <f t="shared" si="4"/>
        <v/>
      </c>
    </row>
    <row r="310" spans="1:8" ht="15.5" x14ac:dyDescent="0.35">
      <c r="A310" s="7">
        <v>309</v>
      </c>
      <c r="B310" s="8">
        <v>8886</v>
      </c>
      <c r="C310" s="31" t="s">
        <v>301</v>
      </c>
      <c r="D310" s="8" t="s">
        <v>1054</v>
      </c>
      <c r="E310" s="7">
        <v>1987</v>
      </c>
      <c r="F310" s="36" t="str" cm="1">
        <f t="array" ref="F310">_xlfn.XLOOKUP(D310&amp;C310, Sheet3!$C$2:$C$1224&amp;Sheet3!$B$2:$B$1224, Sheet3!$D$2:$D$1224, "")</f>
        <v/>
      </c>
      <c r="G310" s="1" t="str" cm="1">
        <f t="array" ref="G310">_xlfn.XLOOKUP(D310&amp;C310, Sheet2!$A$2:$A$558&amp;Sheet2!$B$2:$B$558, Sheet2!$C$2:$C$558, "")</f>
        <v/>
      </c>
      <c r="H310" s="40" t="str">
        <f t="shared" si="4"/>
        <v/>
      </c>
    </row>
    <row r="311" spans="1:8" ht="15.5" x14ac:dyDescent="0.35">
      <c r="A311" s="7">
        <v>310</v>
      </c>
      <c r="B311" s="8">
        <v>9899</v>
      </c>
      <c r="C311" s="31" t="s">
        <v>302</v>
      </c>
      <c r="D311" s="8" t="s">
        <v>1057</v>
      </c>
      <c r="E311" s="7">
        <v>1987</v>
      </c>
      <c r="F311" s="36" t="str" cm="1">
        <f t="array" ref="F311">_xlfn.XLOOKUP(D311&amp;C311, Sheet3!$C$2:$C$1224&amp;Sheet3!$B$2:$B$1224, Sheet3!$D$2:$D$1224, "")</f>
        <v/>
      </c>
      <c r="G311" s="1" t="str" cm="1">
        <f t="array" ref="G311">_xlfn.XLOOKUP(D311&amp;C311, Sheet2!$A$2:$A$558&amp;Sheet2!$B$2:$B$558, Sheet2!$C$2:$C$558, "")</f>
        <v/>
      </c>
      <c r="H311" s="40" t="str">
        <f t="shared" si="4"/>
        <v/>
      </c>
    </row>
    <row r="312" spans="1:8" ht="15.5" x14ac:dyDescent="0.35">
      <c r="A312" s="7">
        <v>311</v>
      </c>
      <c r="B312" s="8">
        <v>10514</v>
      </c>
      <c r="C312" s="31" t="s">
        <v>303</v>
      </c>
      <c r="D312" s="8" t="s">
        <v>1058</v>
      </c>
      <c r="E312" s="7">
        <v>1987</v>
      </c>
      <c r="F312" s="36" t="str" cm="1">
        <f t="array" ref="F312">_xlfn.XLOOKUP(D312&amp;C312, Sheet3!$C$2:$C$1224&amp;Sheet3!$B$2:$B$1224, Sheet3!$D$2:$D$1224, "")</f>
        <v/>
      </c>
      <c r="G312" s="1" t="str" cm="1">
        <f t="array" ref="G312">_xlfn.XLOOKUP(D312&amp;C312, Sheet2!$A$2:$A$558&amp;Sheet2!$B$2:$B$558, Sheet2!$C$2:$C$558, "")</f>
        <v/>
      </c>
      <c r="H312" s="40" t="str">
        <f t="shared" si="4"/>
        <v/>
      </c>
    </row>
    <row r="313" spans="1:8" ht="15.5" x14ac:dyDescent="0.35">
      <c r="A313" s="7">
        <v>312</v>
      </c>
      <c r="B313" s="8">
        <v>18089</v>
      </c>
      <c r="C313" s="31" t="s">
        <v>186</v>
      </c>
      <c r="D313" s="8" t="s">
        <v>1062</v>
      </c>
      <c r="E313" s="7">
        <v>1987</v>
      </c>
      <c r="F313" s="36" t="str" cm="1">
        <f t="array" ref="F313">_xlfn.XLOOKUP(D313&amp;C313, Sheet3!$C$2:$C$1224&amp;Sheet3!$B$2:$B$1224, Sheet3!$D$2:$D$1224, "")</f>
        <v>musdodo@gmail.com</v>
      </c>
      <c r="G313" s="1" t="str" cm="1">
        <f t="array" ref="G313">_xlfn.XLOOKUP(D313&amp;C313, Sheet2!$A$2:$A$558&amp;Sheet2!$B$2:$B$558, Sheet2!$C$2:$C$558, "")</f>
        <v/>
      </c>
      <c r="H313" s="40" t="str">
        <f t="shared" si="4"/>
        <v>musdodo@gmail.com</v>
      </c>
    </row>
    <row r="314" spans="1:8" ht="15.5" x14ac:dyDescent="0.35">
      <c r="A314" s="7">
        <v>313</v>
      </c>
      <c r="B314" s="8">
        <v>9553</v>
      </c>
      <c r="C314" s="31" t="s">
        <v>304</v>
      </c>
      <c r="D314" s="8" t="s">
        <v>1056</v>
      </c>
      <c r="E314" s="7">
        <v>1987</v>
      </c>
      <c r="F314" s="36" t="str" cm="1">
        <f t="array" ref="F314">_xlfn.XLOOKUP(D314&amp;C314, Sheet3!$C$2:$C$1224&amp;Sheet3!$B$2:$B$1224, Sheet3!$D$2:$D$1224, "")</f>
        <v/>
      </c>
      <c r="G314" s="1" t="str" cm="1">
        <f t="array" ref="G314">_xlfn.XLOOKUP(D314&amp;C314, Sheet2!$A$2:$A$558&amp;Sheet2!$B$2:$B$558, Sheet2!$C$2:$C$558, "")</f>
        <v/>
      </c>
      <c r="H314" s="40" t="str">
        <f t="shared" si="4"/>
        <v/>
      </c>
    </row>
    <row r="315" spans="1:8" ht="15.5" x14ac:dyDescent="0.35">
      <c r="A315" s="7">
        <v>314</v>
      </c>
      <c r="B315" s="8">
        <v>10711</v>
      </c>
      <c r="C315" s="31" t="s">
        <v>305</v>
      </c>
      <c r="D315" s="8" t="s">
        <v>1059</v>
      </c>
      <c r="E315" s="7">
        <v>1987</v>
      </c>
      <c r="F315" s="36" t="str" cm="1">
        <f t="array" ref="F315">_xlfn.XLOOKUP(D315&amp;C315, Sheet3!$C$2:$C$1224&amp;Sheet3!$B$2:$B$1224, Sheet3!$D$2:$D$1224, "")</f>
        <v>arisafiq3@gmail.com</v>
      </c>
      <c r="G315" s="1" t="str" cm="1">
        <f t="array" ref="G315">_xlfn.XLOOKUP(D315&amp;C315, Sheet2!$A$2:$A$558&amp;Sheet2!$B$2:$B$558, Sheet2!$C$2:$C$558, "")</f>
        <v/>
      </c>
      <c r="H315" s="40" t="str">
        <f t="shared" si="4"/>
        <v>arisafiq3@gmail.com</v>
      </c>
    </row>
    <row r="316" spans="1:8" ht="15.5" x14ac:dyDescent="0.35">
      <c r="A316" s="7">
        <v>315</v>
      </c>
      <c r="B316" s="8">
        <v>11424</v>
      </c>
      <c r="C316" s="31" t="s">
        <v>306</v>
      </c>
      <c r="D316" s="8" t="s">
        <v>1060</v>
      </c>
      <c r="E316" s="7">
        <v>1987</v>
      </c>
      <c r="F316" s="36" t="str" cm="1">
        <f t="array" ref="F316">_xlfn.XLOOKUP(D316&amp;C316, Sheet3!$C$2:$C$1224&amp;Sheet3!$B$2:$B$1224, Sheet3!$D$2:$D$1224, "")</f>
        <v/>
      </c>
      <c r="G316" s="1" t="str" cm="1">
        <f t="array" ref="G316">_xlfn.XLOOKUP(D316&amp;C316, Sheet2!$A$2:$A$558&amp;Sheet2!$B$2:$B$558, Sheet2!$C$2:$C$558, "")</f>
        <v/>
      </c>
      <c r="H316" s="40" t="str">
        <f t="shared" si="4"/>
        <v/>
      </c>
    </row>
    <row r="317" spans="1:8" ht="15.5" x14ac:dyDescent="0.35">
      <c r="A317" s="7">
        <v>316</v>
      </c>
      <c r="B317" s="8">
        <v>10785</v>
      </c>
      <c r="C317" s="31" t="s">
        <v>307</v>
      </c>
      <c r="D317" s="8" t="s">
        <v>1059</v>
      </c>
      <c r="E317" s="7">
        <v>1987</v>
      </c>
      <c r="F317" s="36" t="str" cm="1">
        <f t="array" ref="F317">_xlfn.XLOOKUP(D317&amp;C317, Sheet3!$C$2:$C$1224&amp;Sheet3!$B$2:$B$1224, Sheet3!$D$2:$D$1224, "")</f>
        <v/>
      </c>
      <c r="G317" s="1" t="str" cm="1">
        <f t="array" ref="G317">_xlfn.XLOOKUP(D317&amp;C317, Sheet2!$A$2:$A$558&amp;Sheet2!$B$2:$B$558, Sheet2!$C$2:$C$558, "")</f>
        <v/>
      </c>
      <c r="H317" s="40" t="str">
        <f t="shared" si="4"/>
        <v/>
      </c>
    </row>
    <row r="318" spans="1:8" ht="15.5" x14ac:dyDescent="0.35">
      <c r="A318" s="7">
        <v>317</v>
      </c>
      <c r="B318" s="8">
        <v>11042</v>
      </c>
      <c r="C318" s="31" t="s">
        <v>308</v>
      </c>
      <c r="D318" s="8" t="s">
        <v>1059</v>
      </c>
      <c r="E318" s="7">
        <v>1987</v>
      </c>
      <c r="F318" s="36" t="str" cm="1">
        <f t="array" ref="F318">_xlfn.XLOOKUP(D318&amp;C318, Sheet3!$C$2:$C$1224&amp;Sheet3!$B$2:$B$1224, Sheet3!$D$2:$D$1224, "")</f>
        <v/>
      </c>
      <c r="G318" s="1" t="str" cm="1">
        <f t="array" ref="G318">_xlfn.XLOOKUP(D318&amp;C318, Sheet2!$A$2:$A$558&amp;Sheet2!$B$2:$B$558, Sheet2!$C$2:$C$558, "")</f>
        <v/>
      </c>
      <c r="H318" s="40" t="str">
        <f t="shared" si="4"/>
        <v/>
      </c>
    </row>
    <row r="319" spans="1:8" ht="15.5" x14ac:dyDescent="0.35">
      <c r="A319" s="7">
        <v>318</v>
      </c>
      <c r="B319" s="8">
        <v>9830</v>
      </c>
      <c r="C319" s="31" t="s">
        <v>309</v>
      </c>
      <c r="D319" s="8" t="s">
        <v>1057</v>
      </c>
      <c r="E319" s="7">
        <v>1987</v>
      </c>
      <c r="F319" s="36" t="str" cm="1">
        <f t="array" ref="F319">_xlfn.XLOOKUP(D319&amp;C319, Sheet3!$C$2:$C$1224&amp;Sheet3!$B$2:$B$1224, Sheet3!$D$2:$D$1224, "")</f>
        <v/>
      </c>
      <c r="G319" s="1" t="str" cm="1">
        <f t="array" ref="G319">_xlfn.XLOOKUP(D319&amp;C319, Sheet2!$A$2:$A$558&amp;Sheet2!$B$2:$B$558, Sheet2!$C$2:$C$558, "")</f>
        <v/>
      </c>
      <c r="H319" s="40" t="str">
        <f t="shared" si="4"/>
        <v/>
      </c>
    </row>
    <row r="320" spans="1:8" ht="15.5" x14ac:dyDescent="0.35">
      <c r="A320" s="7">
        <v>319</v>
      </c>
      <c r="B320" s="8">
        <v>10671</v>
      </c>
      <c r="C320" s="31" t="s">
        <v>310</v>
      </c>
      <c r="D320" s="8" t="s">
        <v>1059</v>
      </c>
      <c r="E320" s="7">
        <v>1987</v>
      </c>
      <c r="F320" s="36" t="str" cm="1">
        <f t="array" ref="F320">_xlfn.XLOOKUP(D320&amp;C320, Sheet3!$C$2:$C$1224&amp;Sheet3!$B$2:$B$1224, Sheet3!$D$2:$D$1224, "")</f>
        <v/>
      </c>
      <c r="G320" s="1" t="str" cm="1">
        <f t="array" ref="G320">_xlfn.XLOOKUP(D320&amp;C320, Sheet2!$A$2:$A$558&amp;Sheet2!$B$2:$B$558, Sheet2!$C$2:$C$558, "")</f>
        <v/>
      </c>
      <c r="H320" s="40" t="str">
        <f t="shared" si="4"/>
        <v/>
      </c>
    </row>
    <row r="321" spans="1:8" ht="15.5" x14ac:dyDescent="0.35">
      <c r="A321" s="7">
        <v>320</v>
      </c>
      <c r="B321" s="8">
        <v>10832</v>
      </c>
      <c r="C321" s="31" t="s">
        <v>311</v>
      </c>
      <c r="D321" s="8" t="s">
        <v>1059</v>
      </c>
      <c r="E321" s="7">
        <v>1987</v>
      </c>
      <c r="F321" s="36" t="str" cm="1">
        <f t="array" ref="F321">_xlfn.XLOOKUP(D321&amp;C321, Sheet3!$C$2:$C$1224&amp;Sheet3!$B$2:$B$1224, Sheet3!$D$2:$D$1224, "")</f>
        <v>titispratami4.00@gmail.com</v>
      </c>
      <c r="G321" s="1" t="str" cm="1">
        <f t="array" ref="G321">_xlfn.XLOOKUP(D321&amp;C321, Sheet2!$A$2:$A$558&amp;Sheet2!$B$2:$B$558, Sheet2!$C$2:$C$558, "")</f>
        <v/>
      </c>
      <c r="H321" s="40" t="str">
        <f t="shared" si="4"/>
        <v>titispratami4.00@gmail.com</v>
      </c>
    </row>
    <row r="322" spans="1:8" ht="15.5" x14ac:dyDescent="0.35">
      <c r="A322" s="7">
        <v>321</v>
      </c>
      <c r="B322" s="8">
        <v>9469</v>
      </c>
      <c r="C322" s="31" t="s">
        <v>312</v>
      </c>
      <c r="D322" s="8" t="s">
        <v>1056</v>
      </c>
      <c r="E322" s="7">
        <v>1987</v>
      </c>
      <c r="F322" s="36" t="str" cm="1">
        <f t="array" ref="F322">_xlfn.XLOOKUP(D322&amp;C322, Sheet3!$C$2:$C$1224&amp;Sheet3!$B$2:$B$1224, Sheet3!$D$2:$D$1224, "")</f>
        <v/>
      </c>
      <c r="G322" s="1" t="str" cm="1">
        <f t="array" ref="G322">_xlfn.XLOOKUP(D322&amp;C322, Sheet2!$A$2:$A$558&amp;Sheet2!$B$2:$B$558, Sheet2!$C$2:$C$558, "")</f>
        <v/>
      </c>
      <c r="H322" s="40" t="str">
        <f t="shared" si="4"/>
        <v/>
      </c>
    </row>
    <row r="323" spans="1:8" ht="15.5" x14ac:dyDescent="0.35">
      <c r="A323" s="7">
        <v>322</v>
      </c>
      <c r="B323" s="8">
        <v>11431</v>
      </c>
      <c r="C323" s="31" t="s">
        <v>313</v>
      </c>
      <c r="D323" s="8" t="s">
        <v>1060</v>
      </c>
      <c r="E323" s="7">
        <v>1987</v>
      </c>
      <c r="F323" s="36" t="str" cm="1">
        <f t="array" ref="F323">_xlfn.XLOOKUP(D323&amp;C323, Sheet3!$C$2:$C$1224&amp;Sheet3!$B$2:$B$1224, Sheet3!$D$2:$D$1224, "")</f>
        <v/>
      </c>
      <c r="G323" s="1" t="str" cm="1">
        <f t="array" ref="G323">_xlfn.XLOOKUP(D323&amp;C323, Sheet2!$A$2:$A$558&amp;Sheet2!$B$2:$B$558, Sheet2!$C$2:$C$558, "")</f>
        <v/>
      </c>
      <c r="H323" s="40" t="str">
        <f t="shared" ref="H323:H386" si="5">IF(F323&lt;&gt;"",F323,G323)</f>
        <v/>
      </c>
    </row>
    <row r="324" spans="1:8" ht="15.5" x14ac:dyDescent="0.35">
      <c r="A324" s="7">
        <v>323</v>
      </c>
      <c r="B324" s="8">
        <v>11748</v>
      </c>
      <c r="C324" s="31" t="s">
        <v>314</v>
      </c>
      <c r="D324" s="8" t="s">
        <v>1061</v>
      </c>
      <c r="E324" s="7">
        <v>1987</v>
      </c>
      <c r="F324" s="36" t="str" cm="1">
        <f t="array" ref="F324">_xlfn.XLOOKUP(D324&amp;C324, Sheet3!$C$2:$C$1224&amp;Sheet3!$B$2:$B$1224, Sheet3!$D$2:$D$1224, "")</f>
        <v/>
      </c>
      <c r="G324" s="1" t="str" cm="1">
        <f t="array" ref="G324">_xlfn.XLOOKUP(D324&amp;C324, Sheet2!$A$2:$A$558&amp;Sheet2!$B$2:$B$558, Sheet2!$C$2:$C$558, "")</f>
        <v/>
      </c>
      <c r="H324" s="40" t="str">
        <f t="shared" si="5"/>
        <v/>
      </c>
    </row>
    <row r="325" spans="1:8" ht="15.5" x14ac:dyDescent="0.35">
      <c r="A325" s="7">
        <v>324</v>
      </c>
      <c r="B325" s="8">
        <v>10245</v>
      </c>
      <c r="C325" s="31" t="s">
        <v>315</v>
      </c>
      <c r="D325" s="8" t="s">
        <v>1058</v>
      </c>
      <c r="E325" s="7">
        <v>1987</v>
      </c>
      <c r="F325" s="36" t="str" cm="1">
        <f t="array" ref="F325">_xlfn.XLOOKUP(D325&amp;C325, Sheet3!$C$2:$C$1224&amp;Sheet3!$B$2:$B$1224, Sheet3!$D$2:$D$1224, "")</f>
        <v/>
      </c>
      <c r="G325" s="1" t="str" cm="1">
        <f t="array" ref="G325">_xlfn.XLOOKUP(D325&amp;C325, Sheet2!$A$2:$A$558&amp;Sheet2!$B$2:$B$558, Sheet2!$C$2:$C$558, "")</f>
        <v/>
      </c>
      <c r="H325" s="40" t="str">
        <f t="shared" si="5"/>
        <v/>
      </c>
    </row>
    <row r="326" spans="1:8" ht="15.5" x14ac:dyDescent="0.35">
      <c r="A326" s="7">
        <v>325</v>
      </c>
      <c r="B326" s="8">
        <v>11423</v>
      </c>
      <c r="C326" s="31" t="s">
        <v>316</v>
      </c>
      <c r="D326" s="8" t="s">
        <v>1060</v>
      </c>
      <c r="E326" s="7">
        <v>1987</v>
      </c>
      <c r="F326" s="36" t="str" cm="1">
        <f t="array" ref="F326">_xlfn.XLOOKUP(D326&amp;C326, Sheet3!$C$2:$C$1224&amp;Sheet3!$B$2:$B$1224, Sheet3!$D$2:$D$1224, "")</f>
        <v/>
      </c>
      <c r="G326" s="1" t="str" cm="1">
        <f t="array" ref="G326">_xlfn.XLOOKUP(D326&amp;C326, Sheet2!$A$2:$A$558&amp;Sheet2!$B$2:$B$558, Sheet2!$C$2:$C$558, "")</f>
        <v/>
      </c>
      <c r="H326" s="40" t="str">
        <f t="shared" si="5"/>
        <v/>
      </c>
    </row>
    <row r="327" spans="1:8" ht="15.5" x14ac:dyDescent="0.35">
      <c r="A327" s="7">
        <v>326</v>
      </c>
      <c r="B327" s="8">
        <v>11614</v>
      </c>
      <c r="C327" s="31" t="s">
        <v>317</v>
      </c>
      <c r="D327" s="8" t="s">
        <v>1060</v>
      </c>
      <c r="E327" s="7">
        <v>1987</v>
      </c>
      <c r="F327" s="36" t="str" cm="1">
        <f t="array" ref="F327">_xlfn.XLOOKUP(D327&amp;C327, Sheet3!$C$2:$C$1224&amp;Sheet3!$B$2:$B$1224, Sheet3!$D$2:$D$1224, "")</f>
        <v/>
      </c>
      <c r="G327" s="1" t="str" cm="1">
        <f t="array" ref="G327">_xlfn.XLOOKUP(D327&amp;C327, Sheet2!$A$2:$A$558&amp;Sheet2!$B$2:$B$558, Sheet2!$C$2:$C$558, "")</f>
        <v/>
      </c>
      <c r="H327" s="40" t="str">
        <f t="shared" si="5"/>
        <v/>
      </c>
    </row>
    <row r="328" spans="1:8" ht="15.5" x14ac:dyDescent="0.35">
      <c r="A328" s="7">
        <v>327</v>
      </c>
      <c r="B328" s="8">
        <v>11735</v>
      </c>
      <c r="C328" s="31" t="s">
        <v>318</v>
      </c>
      <c r="D328" s="8" t="s">
        <v>1061</v>
      </c>
      <c r="E328" s="7">
        <v>1987</v>
      </c>
      <c r="F328" s="36" t="str" cm="1">
        <f t="array" ref="F328">_xlfn.XLOOKUP(D328&amp;C328, Sheet3!$C$2:$C$1224&amp;Sheet3!$B$2:$B$1224, Sheet3!$D$2:$D$1224, "")</f>
        <v/>
      </c>
      <c r="G328" s="1" t="str" cm="1">
        <f t="array" ref="G328">_xlfn.XLOOKUP(D328&amp;C328, Sheet2!$A$2:$A$558&amp;Sheet2!$B$2:$B$558, Sheet2!$C$2:$C$558, "")</f>
        <v/>
      </c>
      <c r="H328" s="40" t="str">
        <f t="shared" si="5"/>
        <v/>
      </c>
    </row>
    <row r="329" spans="1:8" ht="15.5" x14ac:dyDescent="0.35">
      <c r="A329" s="7">
        <v>328</v>
      </c>
      <c r="B329" s="8">
        <v>11439</v>
      </c>
      <c r="C329" s="31" t="s">
        <v>319</v>
      </c>
      <c r="D329" s="8" t="s">
        <v>1060</v>
      </c>
      <c r="E329" s="7">
        <v>1987</v>
      </c>
      <c r="F329" s="36" t="str" cm="1">
        <f t="array" ref="F329">_xlfn.XLOOKUP(D329&amp;C329, Sheet3!$C$2:$C$1224&amp;Sheet3!$B$2:$B$1224, Sheet3!$D$2:$D$1224, "")</f>
        <v/>
      </c>
      <c r="G329" s="1" t="str" cm="1">
        <f t="array" ref="G329">_xlfn.XLOOKUP(D329&amp;C329, Sheet2!$A$2:$A$558&amp;Sheet2!$B$2:$B$558, Sheet2!$C$2:$C$558, "")</f>
        <v/>
      </c>
      <c r="H329" s="40" t="str">
        <f t="shared" si="5"/>
        <v/>
      </c>
    </row>
    <row r="330" spans="1:8" ht="15.5" x14ac:dyDescent="0.35">
      <c r="A330" s="7">
        <v>329</v>
      </c>
      <c r="B330" s="8">
        <v>11747</v>
      </c>
      <c r="C330" s="31" t="s">
        <v>320</v>
      </c>
      <c r="D330" s="8" t="s">
        <v>1061</v>
      </c>
      <c r="E330" s="7">
        <v>1987</v>
      </c>
      <c r="F330" s="36" t="str" cm="1">
        <f t="array" ref="F330">_xlfn.XLOOKUP(D330&amp;C330, Sheet3!$C$2:$C$1224&amp;Sheet3!$B$2:$B$1224, Sheet3!$D$2:$D$1224, "")</f>
        <v>dasadirzani@yahoo.com</v>
      </c>
      <c r="G330" s="1" t="str" cm="1">
        <f t="array" ref="G330">_xlfn.XLOOKUP(D330&amp;C330, Sheet2!$A$2:$A$558&amp;Sheet2!$B$2:$B$558, Sheet2!$C$2:$C$558, "")</f>
        <v/>
      </c>
      <c r="H330" s="40" t="str">
        <f t="shared" si="5"/>
        <v>dasadirzani@yahoo.com</v>
      </c>
    </row>
    <row r="331" spans="1:8" ht="15.5" x14ac:dyDescent="0.35">
      <c r="A331" s="7">
        <v>330</v>
      </c>
      <c r="B331" s="8">
        <v>11728</v>
      </c>
      <c r="C331" s="31" t="s">
        <v>321</v>
      </c>
      <c r="D331" s="8" t="s">
        <v>1061</v>
      </c>
      <c r="E331" s="7">
        <v>1988</v>
      </c>
      <c r="F331" s="36" t="str" cm="1">
        <f t="array" ref="F331">_xlfn.XLOOKUP(D331&amp;C331, Sheet3!$C$2:$C$1224&amp;Sheet3!$B$2:$B$1224, Sheet3!$D$2:$D$1224, "")</f>
        <v>indrapriatna1405@gmail.com</v>
      </c>
      <c r="G331" s="1" t="str" cm="1">
        <f t="array" ref="G331">_xlfn.XLOOKUP(D331&amp;C331, Sheet2!$A$2:$A$558&amp;Sheet2!$B$2:$B$558, Sheet2!$C$2:$C$558, "")</f>
        <v/>
      </c>
      <c r="H331" s="40" t="str">
        <f t="shared" si="5"/>
        <v>indrapriatna1405@gmail.com</v>
      </c>
    </row>
    <row r="332" spans="1:8" ht="15.5" x14ac:dyDescent="0.35">
      <c r="A332" s="7">
        <v>331</v>
      </c>
      <c r="B332" s="8">
        <v>10819</v>
      </c>
      <c r="C332" s="31" t="s">
        <v>322</v>
      </c>
      <c r="D332" s="8" t="s">
        <v>1059</v>
      </c>
      <c r="E332" s="7">
        <v>1988</v>
      </c>
      <c r="F332" s="36" t="str" cm="1">
        <f t="array" ref="F332">_xlfn.XLOOKUP(D332&amp;C332, Sheet3!$C$2:$C$1224&amp;Sheet3!$B$2:$B$1224, Sheet3!$D$2:$D$1224, "")</f>
        <v>ronyprimanto@gmail.com</v>
      </c>
      <c r="G332" s="1" t="str" cm="1">
        <f t="array" ref="G332">_xlfn.XLOOKUP(D332&amp;C332, Sheet2!$A$2:$A$558&amp;Sheet2!$B$2:$B$558, Sheet2!$C$2:$C$558, "")</f>
        <v/>
      </c>
      <c r="H332" s="40" t="str">
        <f t="shared" si="5"/>
        <v>ronyprimanto@gmail.com</v>
      </c>
    </row>
    <row r="333" spans="1:8" ht="15.5" x14ac:dyDescent="0.35">
      <c r="A333" s="7">
        <v>332</v>
      </c>
      <c r="B333" s="8">
        <v>11628</v>
      </c>
      <c r="C333" s="31" t="s">
        <v>323</v>
      </c>
      <c r="D333" s="8" t="s">
        <v>1060</v>
      </c>
      <c r="E333" s="7">
        <v>1988</v>
      </c>
      <c r="F333" s="36" t="str" cm="1">
        <f t="array" ref="F333">_xlfn.XLOOKUP(D333&amp;C333, Sheet3!$C$2:$C$1224&amp;Sheet3!$B$2:$B$1224, Sheet3!$D$2:$D$1224, "")</f>
        <v/>
      </c>
      <c r="G333" s="1" t="str" cm="1">
        <f t="array" ref="G333">_xlfn.XLOOKUP(D333&amp;C333, Sheet2!$A$2:$A$558&amp;Sheet2!$B$2:$B$558, Sheet2!$C$2:$C$558, "")</f>
        <v/>
      </c>
      <c r="H333" s="40" t="str">
        <f t="shared" si="5"/>
        <v/>
      </c>
    </row>
    <row r="334" spans="1:8" ht="15.5" x14ac:dyDescent="0.35">
      <c r="A334" s="7">
        <v>333</v>
      </c>
      <c r="B334" s="8">
        <v>10511</v>
      </c>
      <c r="C334" s="31" t="s">
        <v>324</v>
      </c>
      <c r="D334" s="8" t="s">
        <v>1058</v>
      </c>
      <c r="E334" s="7">
        <v>1988</v>
      </c>
      <c r="F334" s="36" t="str" cm="1">
        <f t="array" ref="F334">_xlfn.XLOOKUP(D334&amp;C334, Sheet3!$C$2:$C$1224&amp;Sheet3!$B$2:$B$1224, Sheet3!$D$2:$D$1224, "")</f>
        <v>arismulyato750617@gmail.com</v>
      </c>
      <c r="G334" s="1" t="str" cm="1">
        <f t="array" ref="G334">_xlfn.XLOOKUP(D334&amp;C334, Sheet2!$A$2:$A$558&amp;Sheet2!$B$2:$B$558, Sheet2!$C$2:$C$558, "")</f>
        <v/>
      </c>
      <c r="H334" s="40" t="str">
        <f t="shared" si="5"/>
        <v>arismulyato750617@gmail.com</v>
      </c>
    </row>
    <row r="335" spans="1:8" ht="15.5" x14ac:dyDescent="0.35">
      <c r="A335" s="7">
        <v>334</v>
      </c>
      <c r="B335" s="8">
        <v>10727</v>
      </c>
      <c r="C335" s="31" t="s">
        <v>325</v>
      </c>
      <c r="D335" s="8" t="s">
        <v>1059</v>
      </c>
      <c r="E335" s="7">
        <v>1988</v>
      </c>
      <c r="F335" s="36" t="str" cm="1">
        <f t="array" ref="F335">_xlfn.XLOOKUP(D335&amp;C335, Sheet3!$C$2:$C$1224&amp;Sheet3!$B$2:$B$1224, Sheet3!$D$2:$D$1224, "")</f>
        <v/>
      </c>
      <c r="G335" s="1" t="str" cm="1">
        <f t="array" ref="G335">_xlfn.XLOOKUP(D335&amp;C335, Sheet2!$A$2:$A$558&amp;Sheet2!$B$2:$B$558, Sheet2!$C$2:$C$558, "")</f>
        <v/>
      </c>
      <c r="H335" s="40" t="str">
        <f t="shared" si="5"/>
        <v/>
      </c>
    </row>
    <row r="336" spans="1:8" ht="15.5" x14ac:dyDescent="0.35">
      <c r="A336" s="7">
        <v>335</v>
      </c>
      <c r="B336" s="8">
        <v>11039</v>
      </c>
      <c r="C336" s="31" t="s">
        <v>326</v>
      </c>
      <c r="D336" s="8" t="s">
        <v>1059</v>
      </c>
      <c r="E336" s="7">
        <v>1988</v>
      </c>
      <c r="F336" s="36" t="str" cm="1">
        <f t="array" ref="F336">_xlfn.XLOOKUP(D336&amp;C336, Sheet3!$C$2:$C$1224&amp;Sheet3!$B$2:$B$1224, Sheet3!$D$2:$D$1224, "")</f>
        <v>mh_isnaini@yahoo.co.id</v>
      </c>
      <c r="G336" s="1" t="str" cm="1">
        <f t="array" ref="G336">_xlfn.XLOOKUP(D336&amp;C336, Sheet2!$A$2:$A$558&amp;Sheet2!$B$2:$B$558, Sheet2!$C$2:$C$558, "")</f>
        <v/>
      </c>
      <c r="H336" s="40" t="str">
        <f t="shared" si="5"/>
        <v>mh_isnaini@yahoo.co.id</v>
      </c>
    </row>
    <row r="337" spans="1:8" ht="15.5" x14ac:dyDescent="0.35">
      <c r="A337" s="7">
        <v>336</v>
      </c>
      <c r="B337" s="8">
        <v>11489</v>
      </c>
      <c r="C337" s="31" t="s">
        <v>327</v>
      </c>
      <c r="D337" s="8" t="s">
        <v>1060</v>
      </c>
      <c r="E337" s="7">
        <v>1988</v>
      </c>
      <c r="F337" s="36" t="str" cm="1">
        <f t="array" ref="F337">_xlfn.XLOOKUP(D337&amp;C337, Sheet3!$C$2:$C$1224&amp;Sheet3!$B$2:$B$1224, Sheet3!$D$2:$D$1224, "")</f>
        <v/>
      </c>
      <c r="G337" s="1" t="str" cm="1">
        <f t="array" ref="G337">_xlfn.XLOOKUP(D337&amp;C337, Sheet2!$A$2:$A$558&amp;Sheet2!$B$2:$B$558, Sheet2!$C$2:$C$558, "")</f>
        <v/>
      </c>
      <c r="H337" s="40" t="str">
        <f t="shared" si="5"/>
        <v/>
      </c>
    </row>
    <row r="338" spans="1:8" ht="15.5" x14ac:dyDescent="0.35">
      <c r="A338" s="7">
        <v>337</v>
      </c>
      <c r="B338" s="8">
        <v>9476</v>
      </c>
      <c r="C338" s="31" t="s">
        <v>328</v>
      </c>
      <c r="D338" s="8" t="s">
        <v>1056</v>
      </c>
      <c r="E338" s="7">
        <v>1988</v>
      </c>
      <c r="F338" s="36" t="str" cm="1">
        <f t="array" ref="F338">_xlfn.XLOOKUP(D338&amp;C338, Sheet3!$C$2:$C$1224&amp;Sheet3!$B$2:$B$1224, Sheet3!$D$2:$D$1224, "")</f>
        <v/>
      </c>
      <c r="G338" s="1" t="str" cm="1">
        <f t="array" ref="G338">_xlfn.XLOOKUP(D338&amp;C338, Sheet2!$A$2:$A$558&amp;Sheet2!$B$2:$B$558, Sheet2!$C$2:$C$558, "")</f>
        <v/>
      </c>
      <c r="H338" s="40" t="str">
        <f t="shared" si="5"/>
        <v/>
      </c>
    </row>
    <row r="339" spans="1:8" ht="15.5" x14ac:dyDescent="0.35">
      <c r="A339" s="7">
        <v>338</v>
      </c>
      <c r="B339" s="8">
        <v>10179</v>
      </c>
      <c r="C339" s="31" t="s">
        <v>329</v>
      </c>
      <c r="D339" s="8" t="s">
        <v>1058</v>
      </c>
      <c r="E339" s="7">
        <v>1988</v>
      </c>
      <c r="F339" s="36" t="str" cm="1">
        <f t="array" ref="F339">_xlfn.XLOOKUP(D339&amp;C339, Sheet3!$C$2:$C$1224&amp;Sheet3!$B$2:$B$1224, Sheet3!$D$2:$D$1224, "")</f>
        <v>agus.dery@gmqil.com</v>
      </c>
      <c r="G339" s="1" t="str" cm="1">
        <f t="array" ref="G339">_xlfn.XLOOKUP(D339&amp;C339, Sheet2!$A$2:$A$558&amp;Sheet2!$B$2:$B$558, Sheet2!$C$2:$C$558, "")</f>
        <v/>
      </c>
      <c r="H339" s="40" t="str">
        <f t="shared" si="5"/>
        <v>agus.dery@gmqil.com</v>
      </c>
    </row>
    <row r="340" spans="1:8" ht="15.5" x14ac:dyDescent="0.35">
      <c r="A340" s="7">
        <v>339</v>
      </c>
      <c r="B340" s="8">
        <v>10341</v>
      </c>
      <c r="C340" s="31" t="s">
        <v>330</v>
      </c>
      <c r="D340" s="8" t="s">
        <v>1058</v>
      </c>
      <c r="E340" s="7">
        <v>1988</v>
      </c>
      <c r="F340" s="36" t="str" cm="1">
        <f t="array" ref="F340">_xlfn.XLOOKUP(D340&amp;C340, Sheet3!$C$2:$C$1224&amp;Sheet3!$B$2:$B$1224, Sheet3!$D$2:$D$1224, "")</f>
        <v/>
      </c>
      <c r="G340" s="1" t="str" cm="1">
        <f t="array" ref="G340">_xlfn.XLOOKUP(D340&amp;C340, Sheet2!$A$2:$A$558&amp;Sheet2!$B$2:$B$558, Sheet2!$C$2:$C$558, "")</f>
        <v/>
      </c>
      <c r="H340" s="40" t="str">
        <f t="shared" si="5"/>
        <v/>
      </c>
    </row>
    <row r="341" spans="1:8" ht="15.5" x14ac:dyDescent="0.35">
      <c r="A341" s="7">
        <v>340</v>
      </c>
      <c r="B341" s="8">
        <v>10061</v>
      </c>
      <c r="C341" s="31" t="s">
        <v>331</v>
      </c>
      <c r="D341" s="8" t="s">
        <v>1057</v>
      </c>
      <c r="E341" s="7">
        <v>1988</v>
      </c>
      <c r="F341" s="36" t="str" cm="1">
        <f t="array" ref="F341">_xlfn.XLOOKUP(D341&amp;C341, Sheet3!$C$2:$C$1224&amp;Sheet3!$B$2:$B$1224, Sheet3!$D$2:$D$1224, "")</f>
        <v/>
      </c>
      <c r="G341" s="1" t="str" cm="1">
        <f t="array" ref="G341">_xlfn.XLOOKUP(D341&amp;C341, Sheet2!$A$2:$A$558&amp;Sheet2!$B$2:$B$558, Sheet2!$C$2:$C$558, "")</f>
        <v/>
      </c>
      <c r="H341" s="40" t="str">
        <f t="shared" si="5"/>
        <v/>
      </c>
    </row>
    <row r="342" spans="1:8" ht="15.5" x14ac:dyDescent="0.35">
      <c r="A342" s="7">
        <v>341</v>
      </c>
      <c r="B342" s="8">
        <v>9813</v>
      </c>
      <c r="C342" s="31" t="s">
        <v>332</v>
      </c>
      <c r="D342" s="8" t="s">
        <v>1057</v>
      </c>
      <c r="E342" s="7">
        <v>1988</v>
      </c>
      <c r="F342" s="36" t="str" cm="1">
        <f t="array" ref="F342">_xlfn.XLOOKUP(D342&amp;C342, Sheet3!$C$2:$C$1224&amp;Sheet3!$B$2:$B$1224, Sheet3!$D$2:$D$1224, "")</f>
        <v/>
      </c>
      <c r="G342" s="1" t="str" cm="1">
        <f t="array" ref="G342">_xlfn.XLOOKUP(D342&amp;C342, Sheet2!$A$2:$A$558&amp;Sheet2!$B$2:$B$558, Sheet2!$C$2:$C$558, "")</f>
        <v/>
      </c>
      <c r="H342" s="40" t="str">
        <f t="shared" si="5"/>
        <v/>
      </c>
    </row>
    <row r="343" spans="1:8" ht="15.5" x14ac:dyDescent="0.35">
      <c r="A343" s="7">
        <v>342</v>
      </c>
      <c r="B343" s="8">
        <v>10726</v>
      </c>
      <c r="C343" s="31" t="s">
        <v>333</v>
      </c>
      <c r="D343" s="8" t="s">
        <v>1059</v>
      </c>
      <c r="E343" s="7">
        <v>1988</v>
      </c>
      <c r="F343" s="36" t="str" cm="1">
        <f t="array" ref="F343">_xlfn.XLOOKUP(D343&amp;C343, Sheet3!$C$2:$C$1224&amp;Sheet3!$B$2:$B$1224, Sheet3!$D$2:$D$1224, "")</f>
        <v>widi4all@gmail.com</v>
      </c>
      <c r="G343" s="1" t="str" cm="1">
        <f t="array" ref="G343">_xlfn.XLOOKUP(D343&amp;C343, Sheet2!$A$2:$A$558&amp;Sheet2!$B$2:$B$558, Sheet2!$C$2:$C$558, "")</f>
        <v/>
      </c>
      <c r="H343" s="40" t="str">
        <f t="shared" si="5"/>
        <v>widi4all@gmail.com</v>
      </c>
    </row>
    <row r="344" spans="1:8" ht="15.5" x14ac:dyDescent="0.35">
      <c r="A344" s="7">
        <v>343</v>
      </c>
      <c r="B344" s="8">
        <v>8412</v>
      </c>
      <c r="C344" s="31" t="s">
        <v>4</v>
      </c>
      <c r="D344" s="8" t="s">
        <v>1053</v>
      </c>
      <c r="E344" s="7">
        <v>1988</v>
      </c>
      <c r="F344" s="36" t="str" cm="1">
        <f t="array" ref="F344">_xlfn.XLOOKUP(D344&amp;C344, Sheet3!$C$2:$C$1224&amp;Sheet3!$B$2:$B$1224, Sheet3!$D$2:$D$1224, "")</f>
        <v/>
      </c>
      <c r="G344" s="1" t="str" cm="1">
        <f t="array" ref="G344">_xlfn.XLOOKUP(D344&amp;C344, Sheet2!$A$2:$A$558&amp;Sheet2!$B$2:$B$558, Sheet2!$C$2:$C$558, "")</f>
        <v/>
      </c>
      <c r="H344" s="40" t="str">
        <f t="shared" si="5"/>
        <v/>
      </c>
    </row>
    <row r="345" spans="1:8" ht="15.5" x14ac:dyDescent="0.35">
      <c r="A345" s="7">
        <v>344</v>
      </c>
      <c r="B345" s="8">
        <v>8297</v>
      </c>
      <c r="C345" s="31" t="s">
        <v>186</v>
      </c>
      <c r="D345" s="8" t="s">
        <v>1053</v>
      </c>
      <c r="E345" s="7">
        <v>1988</v>
      </c>
      <c r="F345" s="36" t="str" cm="1">
        <f t="array" ref="F345">_xlfn.XLOOKUP(D345&amp;C345, Sheet3!$C$2:$C$1224&amp;Sheet3!$B$2:$B$1224, Sheet3!$D$2:$D$1224, "")</f>
        <v/>
      </c>
      <c r="G345" s="1" t="str" cm="1">
        <f t="array" ref="G345">_xlfn.XLOOKUP(D345&amp;C345, Sheet2!$A$2:$A$558&amp;Sheet2!$B$2:$B$558, Sheet2!$C$2:$C$558, "")</f>
        <v/>
      </c>
      <c r="H345" s="40" t="str">
        <f t="shared" si="5"/>
        <v/>
      </c>
    </row>
    <row r="346" spans="1:8" ht="15.5" x14ac:dyDescent="0.35">
      <c r="A346" s="7">
        <v>345</v>
      </c>
      <c r="B346" s="8">
        <v>9471</v>
      </c>
      <c r="C346" s="31" t="s">
        <v>334</v>
      </c>
      <c r="D346" s="8" t="s">
        <v>1056</v>
      </c>
      <c r="E346" s="7">
        <v>1988</v>
      </c>
      <c r="F346" s="36" t="str" cm="1">
        <f t="array" ref="F346">_xlfn.XLOOKUP(D346&amp;C346, Sheet3!$C$2:$C$1224&amp;Sheet3!$B$2:$B$1224, Sheet3!$D$2:$D$1224, "")</f>
        <v/>
      </c>
      <c r="G346" s="1" t="str" cm="1">
        <f t="array" ref="G346">_xlfn.XLOOKUP(D346&amp;C346, Sheet2!$A$2:$A$558&amp;Sheet2!$B$2:$B$558, Sheet2!$C$2:$C$558, "")</f>
        <v/>
      </c>
      <c r="H346" s="40" t="str">
        <f t="shared" si="5"/>
        <v/>
      </c>
    </row>
    <row r="347" spans="1:8" ht="15.5" x14ac:dyDescent="0.35">
      <c r="A347" s="7">
        <v>346</v>
      </c>
      <c r="B347" s="8">
        <v>10853</v>
      </c>
      <c r="C347" s="31" t="s">
        <v>335</v>
      </c>
      <c r="D347" s="8" t="s">
        <v>1059</v>
      </c>
      <c r="E347" s="7">
        <v>1988</v>
      </c>
      <c r="F347" s="36" t="str" cm="1">
        <f t="array" ref="F347">_xlfn.XLOOKUP(D347&amp;C347, Sheet3!$C$2:$C$1224&amp;Sheet3!$B$2:$B$1224, Sheet3!$D$2:$D$1224, "")</f>
        <v>sskc0827@gmail.com</v>
      </c>
      <c r="G347" s="1" t="str" cm="1">
        <f t="array" ref="G347">_xlfn.XLOOKUP(D347&amp;C347, Sheet2!$A$2:$A$558&amp;Sheet2!$B$2:$B$558, Sheet2!$C$2:$C$558, "")</f>
        <v/>
      </c>
      <c r="H347" s="40" t="str">
        <f t="shared" si="5"/>
        <v>sskc0827@gmail.com</v>
      </c>
    </row>
    <row r="348" spans="1:8" ht="15.5" x14ac:dyDescent="0.35">
      <c r="A348" s="7">
        <v>347</v>
      </c>
      <c r="B348" s="8">
        <v>11094</v>
      </c>
      <c r="C348" s="31" t="s">
        <v>336</v>
      </c>
      <c r="D348" s="8" t="s">
        <v>1059</v>
      </c>
      <c r="E348" s="7">
        <v>1988</v>
      </c>
      <c r="F348" s="36" t="str" cm="1">
        <f t="array" ref="F348">_xlfn.XLOOKUP(D348&amp;C348, Sheet3!$C$2:$C$1224&amp;Sheet3!$B$2:$B$1224, Sheet3!$D$2:$D$1224, "")</f>
        <v>indrasujono.is@gmail.com</v>
      </c>
      <c r="G348" s="1" t="str" cm="1">
        <f t="array" ref="G348">_xlfn.XLOOKUP(D348&amp;C348, Sheet2!$A$2:$A$558&amp;Sheet2!$B$2:$B$558, Sheet2!$C$2:$C$558, "")</f>
        <v/>
      </c>
      <c r="H348" s="40" t="str">
        <f t="shared" si="5"/>
        <v>indrasujono.is@gmail.com</v>
      </c>
    </row>
    <row r="349" spans="1:8" ht="15.5" x14ac:dyDescent="0.35">
      <c r="A349" s="7">
        <v>348</v>
      </c>
      <c r="B349" s="8">
        <v>10754</v>
      </c>
      <c r="C349" s="31" t="s">
        <v>337</v>
      </c>
      <c r="D349" s="8" t="s">
        <v>1059</v>
      </c>
      <c r="E349" s="7">
        <v>1988</v>
      </c>
      <c r="F349" s="36" t="str" cm="1">
        <f t="array" ref="F349">_xlfn.XLOOKUP(D349&amp;C349, Sheet3!$C$2:$C$1224&amp;Sheet3!$B$2:$B$1224, Sheet3!$D$2:$D$1224, "")</f>
        <v/>
      </c>
      <c r="G349" s="1" t="str" cm="1">
        <f t="array" ref="G349">_xlfn.XLOOKUP(D349&amp;C349, Sheet2!$A$2:$A$558&amp;Sheet2!$B$2:$B$558, Sheet2!$C$2:$C$558, "")</f>
        <v/>
      </c>
      <c r="H349" s="40" t="str">
        <f t="shared" si="5"/>
        <v/>
      </c>
    </row>
    <row r="350" spans="1:8" ht="15.5" x14ac:dyDescent="0.35">
      <c r="A350" s="7">
        <v>349</v>
      </c>
      <c r="B350" s="8">
        <v>9464</v>
      </c>
      <c r="C350" s="31" t="s">
        <v>338</v>
      </c>
      <c r="D350" s="8" t="s">
        <v>1056</v>
      </c>
      <c r="E350" s="7">
        <v>1988</v>
      </c>
      <c r="F350" s="36" t="str" cm="1">
        <f t="array" ref="F350">_xlfn.XLOOKUP(D350&amp;C350, Sheet3!$C$2:$C$1224&amp;Sheet3!$B$2:$B$1224, Sheet3!$D$2:$D$1224, "")</f>
        <v/>
      </c>
      <c r="G350" s="1" t="str" cm="1">
        <f t="array" ref="G350">_xlfn.XLOOKUP(D350&amp;C350, Sheet2!$A$2:$A$558&amp;Sheet2!$B$2:$B$558, Sheet2!$C$2:$C$558, "")</f>
        <v/>
      </c>
      <c r="H350" s="40" t="str">
        <f t="shared" si="5"/>
        <v/>
      </c>
    </row>
    <row r="351" spans="1:8" ht="15.5" x14ac:dyDescent="0.35">
      <c r="A351" s="7">
        <v>350</v>
      </c>
      <c r="B351" s="8">
        <v>10660</v>
      </c>
      <c r="C351" s="31" t="s">
        <v>339</v>
      </c>
      <c r="D351" s="8" t="s">
        <v>1059</v>
      </c>
      <c r="E351" s="7">
        <v>1988</v>
      </c>
      <c r="F351" s="36" t="str" cm="1">
        <f t="array" ref="F351">_xlfn.XLOOKUP(D351&amp;C351, Sheet3!$C$2:$C$1224&amp;Sheet3!$B$2:$B$1224, Sheet3!$D$2:$D$1224, "")</f>
        <v/>
      </c>
      <c r="G351" s="1" t="str" cm="1">
        <f t="array" ref="G351">_xlfn.XLOOKUP(D351&amp;C351, Sheet2!$A$2:$A$558&amp;Sheet2!$B$2:$B$558, Sheet2!$C$2:$C$558, "")</f>
        <v/>
      </c>
      <c r="H351" s="40" t="str">
        <f t="shared" si="5"/>
        <v/>
      </c>
    </row>
    <row r="352" spans="1:8" ht="15.5" x14ac:dyDescent="0.35">
      <c r="A352" s="7">
        <v>351</v>
      </c>
      <c r="B352" s="8">
        <v>10637</v>
      </c>
      <c r="C352" s="31" t="s">
        <v>340</v>
      </c>
      <c r="D352" s="8" t="s">
        <v>1059</v>
      </c>
      <c r="E352" s="7">
        <v>1988</v>
      </c>
      <c r="F352" s="36" t="str" cm="1">
        <f t="array" ref="F352">_xlfn.XLOOKUP(D352&amp;C352, Sheet3!$C$2:$C$1224&amp;Sheet3!$B$2:$B$1224, Sheet3!$D$2:$D$1224, "")</f>
        <v/>
      </c>
      <c r="G352" s="1" t="str" cm="1">
        <f t="array" ref="G352">_xlfn.XLOOKUP(D352&amp;C352, Sheet2!$A$2:$A$558&amp;Sheet2!$B$2:$B$558, Sheet2!$C$2:$C$558, "")</f>
        <v/>
      </c>
      <c r="H352" s="40" t="str">
        <f t="shared" si="5"/>
        <v/>
      </c>
    </row>
    <row r="353" spans="1:8" ht="15.5" x14ac:dyDescent="0.35">
      <c r="A353" s="7">
        <v>352</v>
      </c>
      <c r="B353" s="8">
        <v>10757</v>
      </c>
      <c r="C353" s="31" t="s">
        <v>341</v>
      </c>
      <c r="D353" s="8" t="s">
        <v>1059</v>
      </c>
      <c r="E353" s="7">
        <v>1988</v>
      </c>
      <c r="F353" s="36" t="str" cm="1">
        <f t="array" ref="F353">_xlfn.XLOOKUP(D353&amp;C353, Sheet3!$C$2:$C$1224&amp;Sheet3!$B$2:$B$1224, Sheet3!$D$2:$D$1224, "")</f>
        <v/>
      </c>
      <c r="G353" s="1" t="str" cm="1">
        <f t="array" ref="G353">_xlfn.XLOOKUP(D353&amp;C353, Sheet2!$A$2:$A$558&amp;Sheet2!$B$2:$B$558, Sheet2!$C$2:$C$558, "")</f>
        <v/>
      </c>
      <c r="H353" s="40" t="str">
        <f t="shared" si="5"/>
        <v/>
      </c>
    </row>
    <row r="354" spans="1:8" ht="15.5" x14ac:dyDescent="0.35">
      <c r="A354" s="7">
        <v>353</v>
      </c>
      <c r="B354" s="8">
        <v>10244</v>
      </c>
      <c r="C354" s="31" t="s">
        <v>342</v>
      </c>
      <c r="D354" s="8" t="s">
        <v>1058</v>
      </c>
      <c r="E354" s="7">
        <v>1988</v>
      </c>
      <c r="F354" s="36" t="str" cm="1">
        <f t="array" ref="F354">_xlfn.XLOOKUP(D354&amp;C354, Sheet3!$C$2:$C$1224&amp;Sheet3!$B$2:$B$1224, Sheet3!$D$2:$D$1224, "")</f>
        <v/>
      </c>
      <c r="G354" s="1" t="str" cm="1">
        <f t="array" ref="G354">_xlfn.XLOOKUP(D354&amp;C354, Sheet2!$A$2:$A$558&amp;Sheet2!$B$2:$B$558, Sheet2!$C$2:$C$558, "")</f>
        <v/>
      </c>
      <c r="H354" s="40" t="str">
        <f t="shared" si="5"/>
        <v/>
      </c>
    </row>
    <row r="355" spans="1:8" ht="15.5" x14ac:dyDescent="0.35">
      <c r="A355" s="7">
        <v>354</v>
      </c>
      <c r="B355" s="8">
        <v>11395</v>
      </c>
      <c r="C355" s="31" t="s">
        <v>343</v>
      </c>
      <c r="D355" s="8" t="s">
        <v>1060</v>
      </c>
      <c r="E355" s="7">
        <v>1988</v>
      </c>
      <c r="F355" s="36" t="str" cm="1">
        <f t="array" ref="F355">_xlfn.XLOOKUP(D355&amp;C355, Sheet3!$C$2:$C$1224&amp;Sheet3!$B$2:$B$1224, Sheet3!$D$2:$D$1224, "")</f>
        <v/>
      </c>
      <c r="G355" s="1" t="str" cm="1">
        <f t="array" ref="G355">_xlfn.XLOOKUP(D355&amp;C355, Sheet2!$A$2:$A$558&amp;Sheet2!$B$2:$B$558, Sheet2!$C$2:$C$558, "")</f>
        <v/>
      </c>
      <c r="H355" s="40" t="str">
        <f t="shared" si="5"/>
        <v/>
      </c>
    </row>
    <row r="356" spans="1:8" ht="15.5" x14ac:dyDescent="0.35">
      <c r="A356" s="7">
        <v>355</v>
      </c>
      <c r="B356" s="8">
        <v>11420</v>
      </c>
      <c r="C356" s="31" t="s">
        <v>344</v>
      </c>
      <c r="D356" s="8" t="s">
        <v>1060</v>
      </c>
      <c r="E356" s="7">
        <v>1988</v>
      </c>
      <c r="F356" s="36" t="str" cm="1">
        <f t="array" ref="F356">_xlfn.XLOOKUP(D356&amp;C356, Sheet3!$C$2:$C$1224&amp;Sheet3!$B$2:$B$1224, Sheet3!$D$2:$D$1224, "")</f>
        <v/>
      </c>
      <c r="G356" s="1" t="str" cm="1">
        <f t="array" ref="G356">_xlfn.XLOOKUP(D356&amp;C356, Sheet2!$A$2:$A$558&amp;Sheet2!$B$2:$B$558, Sheet2!$C$2:$C$558, "")</f>
        <v/>
      </c>
      <c r="H356" s="40" t="str">
        <f t="shared" si="5"/>
        <v/>
      </c>
    </row>
    <row r="357" spans="1:8" ht="15.5" x14ac:dyDescent="0.35">
      <c r="A357" s="7">
        <v>356</v>
      </c>
      <c r="B357" s="8">
        <v>9039</v>
      </c>
      <c r="C357" s="31" t="s">
        <v>345</v>
      </c>
      <c r="D357" s="8" t="s">
        <v>1055</v>
      </c>
      <c r="E357" s="7">
        <v>1988</v>
      </c>
      <c r="F357" s="36" t="str" cm="1">
        <f t="array" ref="F357">_xlfn.XLOOKUP(D357&amp;C357, Sheet3!$C$2:$C$1224&amp;Sheet3!$B$2:$B$1224, Sheet3!$D$2:$D$1224, "")</f>
        <v/>
      </c>
      <c r="G357" s="1" t="str" cm="1">
        <f t="array" ref="G357">_xlfn.XLOOKUP(D357&amp;C357, Sheet2!$A$2:$A$558&amp;Sheet2!$B$2:$B$558, Sheet2!$C$2:$C$558, "")</f>
        <v/>
      </c>
      <c r="H357" s="40" t="str">
        <f t="shared" si="5"/>
        <v/>
      </c>
    </row>
    <row r="358" spans="1:8" ht="15.5" x14ac:dyDescent="0.35">
      <c r="A358" s="7">
        <v>357</v>
      </c>
      <c r="B358" s="8">
        <v>11467</v>
      </c>
      <c r="C358" s="31" t="s">
        <v>346</v>
      </c>
      <c r="D358" s="8" t="s">
        <v>1060</v>
      </c>
      <c r="E358" s="7">
        <v>1988</v>
      </c>
      <c r="F358" s="36" t="str" cm="1">
        <f t="array" ref="F358">_xlfn.XLOOKUP(D358&amp;C358, Sheet3!$C$2:$C$1224&amp;Sheet3!$B$2:$B$1224, Sheet3!$D$2:$D$1224, "")</f>
        <v/>
      </c>
      <c r="G358" s="1" t="str" cm="1">
        <f t="array" ref="G358">_xlfn.XLOOKUP(D358&amp;C358, Sheet2!$A$2:$A$558&amp;Sheet2!$B$2:$B$558, Sheet2!$C$2:$C$558, "")</f>
        <v/>
      </c>
      <c r="H358" s="40" t="str">
        <f t="shared" si="5"/>
        <v/>
      </c>
    </row>
    <row r="359" spans="1:8" ht="15.5" x14ac:dyDescent="0.35">
      <c r="A359" s="7">
        <v>358</v>
      </c>
      <c r="B359" s="8">
        <v>9864</v>
      </c>
      <c r="C359" s="31" t="s">
        <v>347</v>
      </c>
      <c r="D359" s="8" t="s">
        <v>1057</v>
      </c>
      <c r="E359" s="7">
        <v>1988</v>
      </c>
      <c r="F359" s="36" t="str" cm="1">
        <f t="array" ref="F359">_xlfn.XLOOKUP(D359&amp;C359, Sheet3!$C$2:$C$1224&amp;Sheet3!$B$2:$B$1224, Sheet3!$D$2:$D$1224, "")</f>
        <v/>
      </c>
      <c r="G359" s="1" t="str" cm="1">
        <f t="array" ref="G359">_xlfn.XLOOKUP(D359&amp;C359, Sheet2!$A$2:$A$558&amp;Sheet2!$B$2:$B$558, Sheet2!$C$2:$C$558, "")</f>
        <v/>
      </c>
      <c r="H359" s="40" t="str">
        <f t="shared" si="5"/>
        <v/>
      </c>
    </row>
    <row r="360" spans="1:8" ht="15.5" x14ac:dyDescent="0.35">
      <c r="A360" s="7">
        <v>359</v>
      </c>
      <c r="B360" s="8">
        <v>10194</v>
      </c>
      <c r="C360" s="31" t="s">
        <v>348</v>
      </c>
      <c r="D360" s="8" t="s">
        <v>1058</v>
      </c>
      <c r="E360" s="7">
        <v>1988</v>
      </c>
      <c r="F360" s="36" t="str" cm="1">
        <f t="array" ref="F360">_xlfn.XLOOKUP(D360&amp;C360, Sheet3!$C$2:$C$1224&amp;Sheet3!$B$2:$B$1224, Sheet3!$D$2:$D$1224, "")</f>
        <v/>
      </c>
      <c r="G360" s="1" t="str" cm="1">
        <f t="array" ref="G360">_xlfn.XLOOKUP(D360&amp;C360, Sheet2!$A$2:$A$558&amp;Sheet2!$B$2:$B$558, Sheet2!$C$2:$C$558, "")</f>
        <v/>
      </c>
      <c r="H360" s="40" t="str">
        <f t="shared" si="5"/>
        <v/>
      </c>
    </row>
    <row r="361" spans="1:8" ht="15.5" x14ac:dyDescent="0.35">
      <c r="A361" s="7">
        <v>360</v>
      </c>
      <c r="B361" s="8">
        <v>9917</v>
      </c>
      <c r="C361" s="31" t="s">
        <v>349</v>
      </c>
      <c r="D361" s="8" t="s">
        <v>1057</v>
      </c>
      <c r="E361" s="7">
        <v>1988</v>
      </c>
      <c r="F361" s="36" t="str" cm="1">
        <f t="array" ref="F361">_xlfn.XLOOKUP(D361&amp;C361, Sheet3!$C$2:$C$1224&amp;Sheet3!$B$2:$B$1224, Sheet3!$D$2:$D$1224, "")</f>
        <v/>
      </c>
      <c r="G361" s="1" t="str" cm="1">
        <f t="array" ref="G361">_xlfn.XLOOKUP(D361&amp;C361, Sheet2!$A$2:$A$558&amp;Sheet2!$B$2:$B$558, Sheet2!$C$2:$C$558, "")</f>
        <v/>
      </c>
      <c r="H361" s="40" t="str">
        <f t="shared" si="5"/>
        <v/>
      </c>
    </row>
    <row r="362" spans="1:8" ht="15.5" x14ac:dyDescent="0.35">
      <c r="A362" s="7">
        <v>361</v>
      </c>
      <c r="B362" s="8">
        <v>10800</v>
      </c>
      <c r="C362" s="31" t="s">
        <v>350</v>
      </c>
      <c r="D362" s="8" t="s">
        <v>1059</v>
      </c>
      <c r="E362" s="7">
        <v>1988</v>
      </c>
      <c r="F362" s="36" t="str" cm="1">
        <f t="array" ref="F362">_xlfn.XLOOKUP(D362&amp;C362, Sheet3!$C$2:$C$1224&amp;Sheet3!$B$2:$B$1224, Sheet3!$D$2:$D$1224, "")</f>
        <v/>
      </c>
      <c r="G362" s="1" t="str" cm="1">
        <f t="array" ref="G362">_xlfn.XLOOKUP(D362&amp;C362, Sheet2!$A$2:$A$558&amp;Sheet2!$B$2:$B$558, Sheet2!$C$2:$C$558, "")</f>
        <v/>
      </c>
      <c r="H362" s="40" t="str">
        <f t="shared" si="5"/>
        <v/>
      </c>
    </row>
    <row r="363" spans="1:8" ht="15.5" x14ac:dyDescent="0.35">
      <c r="A363" s="7">
        <v>362</v>
      </c>
      <c r="B363" s="8">
        <v>10888</v>
      </c>
      <c r="C363" s="31" t="s">
        <v>351</v>
      </c>
      <c r="D363" s="8" t="s">
        <v>1059</v>
      </c>
      <c r="E363" s="7">
        <v>1988</v>
      </c>
      <c r="F363" s="36" t="str" cm="1">
        <f t="array" ref="F363">_xlfn.XLOOKUP(D363&amp;C363, Sheet3!$C$2:$C$1224&amp;Sheet3!$B$2:$B$1224, Sheet3!$D$2:$D$1224, "")</f>
        <v/>
      </c>
      <c r="G363" s="1" t="str" cm="1">
        <f t="array" ref="G363">_xlfn.XLOOKUP(D363&amp;C363, Sheet2!$A$2:$A$558&amp;Sheet2!$B$2:$B$558, Sheet2!$C$2:$C$558, "")</f>
        <v/>
      </c>
      <c r="H363" s="40" t="str">
        <f t="shared" si="5"/>
        <v/>
      </c>
    </row>
    <row r="364" spans="1:8" ht="15.5" x14ac:dyDescent="0.35">
      <c r="A364" s="7">
        <v>363</v>
      </c>
      <c r="B364" s="8">
        <v>11086</v>
      </c>
      <c r="C364" s="31" t="s">
        <v>352</v>
      </c>
      <c r="D364" s="8" t="s">
        <v>1059</v>
      </c>
      <c r="E364" s="7">
        <v>1988</v>
      </c>
      <c r="F364" s="36" t="str" cm="1">
        <f t="array" ref="F364">_xlfn.XLOOKUP(D364&amp;C364, Sheet3!$C$2:$C$1224&amp;Sheet3!$B$2:$B$1224, Sheet3!$D$2:$D$1224, "")</f>
        <v/>
      </c>
      <c r="G364" s="1" t="str" cm="1">
        <f t="array" ref="G364">_xlfn.XLOOKUP(D364&amp;C364, Sheet2!$A$2:$A$558&amp;Sheet2!$B$2:$B$558, Sheet2!$C$2:$C$558, "")</f>
        <v/>
      </c>
      <c r="H364" s="40" t="str">
        <f t="shared" si="5"/>
        <v/>
      </c>
    </row>
    <row r="365" spans="1:8" ht="15.5" x14ac:dyDescent="0.35">
      <c r="A365" s="7">
        <v>364</v>
      </c>
      <c r="B365" s="8">
        <v>11458</v>
      </c>
      <c r="C365" s="31" t="s">
        <v>353</v>
      </c>
      <c r="D365" s="8" t="s">
        <v>1060</v>
      </c>
      <c r="E365" s="7">
        <v>1988</v>
      </c>
      <c r="F365" s="36" t="str" cm="1">
        <f t="array" ref="F365">_xlfn.XLOOKUP(D365&amp;C365, Sheet3!$C$2:$C$1224&amp;Sheet3!$B$2:$B$1224, Sheet3!$D$2:$D$1224, "")</f>
        <v/>
      </c>
      <c r="G365" s="1" t="str" cm="1">
        <f t="array" ref="G365">_xlfn.XLOOKUP(D365&amp;C365, Sheet2!$A$2:$A$558&amp;Sheet2!$B$2:$B$558, Sheet2!$C$2:$C$558, "")</f>
        <v/>
      </c>
      <c r="H365" s="40" t="str">
        <f t="shared" si="5"/>
        <v/>
      </c>
    </row>
    <row r="366" spans="1:8" ht="15.5" x14ac:dyDescent="0.35">
      <c r="A366" s="7">
        <v>365</v>
      </c>
      <c r="B366" s="8">
        <v>11488</v>
      </c>
      <c r="C366" s="31" t="s">
        <v>354</v>
      </c>
      <c r="D366" s="8" t="s">
        <v>1060</v>
      </c>
      <c r="E366" s="7">
        <v>1988</v>
      </c>
      <c r="F366" s="36" t="str" cm="1">
        <f t="array" ref="F366">_xlfn.XLOOKUP(D366&amp;C366, Sheet3!$C$2:$C$1224&amp;Sheet3!$B$2:$B$1224, Sheet3!$D$2:$D$1224, "")</f>
        <v/>
      </c>
      <c r="G366" s="1" t="str" cm="1">
        <f t="array" ref="G366">_xlfn.XLOOKUP(D366&amp;C366, Sheet2!$A$2:$A$558&amp;Sheet2!$B$2:$B$558, Sheet2!$C$2:$C$558, "")</f>
        <v/>
      </c>
      <c r="H366" s="40" t="str">
        <f t="shared" si="5"/>
        <v/>
      </c>
    </row>
    <row r="367" spans="1:8" ht="15.5" x14ac:dyDescent="0.35">
      <c r="A367" s="7">
        <v>366</v>
      </c>
      <c r="B367" s="8">
        <v>10941</v>
      </c>
      <c r="C367" s="31" t="s">
        <v>355</v>
      </c>
      <c r="D367" s="8" t="s">
        <v>1059</v>
      </c>
      <c r="E367" s="7">
        <v>1988</v>
      </c>
      <c r="F367" s="36" t="str" cm="1">
        <f t="array" ref="F367">_xlfn.XLOOKUP(D367&amp;C367, Sheet3!$C$2:$C$1224&amp;Sheet3!$B$2:$B$1224, Sheet3!$D$2:$D$1224, "")</f>
        <v>trisusatyo@gmail.com</v>
      </c>
      <c r="G367" s="1" t="str" cm="1">
        <f t="array" ref="G367">_xlfn.XLOOKUP(D367&amp;C367, Sheet2!$A$2:$A$558&amp;Sheet2!$B$2:$B$558, Sheet2!$C$2:$C$558, "")</f>
        <v/>
      </c>
      <c r="H367" s="40" t="str">
        <f t="shared" si="5"/>
        <v>trisusatyo@gmail.com</v>
      </c>
    </row>
    <row r="368" spans="1:8" ht="15.5" x14ac:dyDescent="0.35">
      <c r="A368" s="7">
        <v>367</v>
      </c>
      <c r="B368" s="8">
        <v>10900</v>
      </c>
      <c r="C368" s="31" t="s">
        <v>356</v>
      </c>
      <c r="D368" s="8" t="s">
        <v>1059</v>
      </c>
      <c r="E368" s="7">
        <v>1988</v>
      </c>
      <c r="F368" s="36" t="str" cm="1">
        <f t="array" ref="F368">_xlfn.XLOOKUP(D368&amp;C368, Sheet3!$C$2:$C$1224&amp;Sheet3!$B$2:$B$1224, Sheet3!$D$2:$D$1224, "")</f>
        <v/>
      </c>
      <c r="G368" s="1" t="str" cm="1">
        <f t="array" ref="G368">_xlfn.XLOOKUP(D368&amp;C368, Sheet2!$A$2:$A$558&amp;Sheet2!$B$2:$B$558, Sheet2!$C$2:$C$558, "")</f>
        <v/>
      </c>
      <c r="H368" s="40" t="str">
        <f t="shared" si="5"/>
        <v/>
      </c>
    </row>
    <row r="369" spans="1:8" ht="15.5" x14ac:dyDescent="0.35">
      <c r="A369" s="7">
        <v>368</v>
      </c>
      <c r="B369" s="8">
        <v>11453</v>
      </c>
      <c r="C369" s="31" t="s">
        <v>357</v>
      </c>
      <c r="D369" s="8" t="s">
        <v>1060</v>
      </c>
      <c r="E369" s="7">
        <v>1988</v>
      </c>
      <c r="F369" s="36" t="str" cm="1">
        <f t="array" ref="F369">_xlfn.XLOOKUP(D369&amp;C369, Sheet3!$C$2:$C$1224&amp;Sheet3!$B$2:$B$1224, Sheet3!$D$2:$D$1224, "")</f>
        <v/>
      </c>
      <c r="G369" s="1" t="str" cm="1">
        <f t="array" ref="G369">_xlfn.XLOOKUP(D369&amp;C369, Sheet2!$A$2:$A$558&amp;Sheet2!$B$2:$B$558, Sheet2!$C$2:$C$558, "")</f>
        <v/>
      </c>
      <c r="H369" s="40" t="str">
        <f t="shared" si="5"/>
        <v/>
      </c>
    </row>
    <row r="370" spans="1:8" ht="15.5" x14ac:dyDescent="0.35">
      <c r="A370" s="7">
        <v>369</v>
      </c>
      <c r="B370" s="8">
        <v>11068</v>
      </c>
      <c r="C370" s="31" t="s">
        <v>358</v>
      </c>
      <c r="D370" s="8" t="s">
        <v>1059</v>
      </c>
      <c r="E370" s="7">
        <v>1988</v>
      </c>
      <c r="F370" s="36" t="str" cm="1">
        <f t="array" ref="F370">_xlfn.XLOOKUP(D370&amp;C370, Sheet3!$C$2:$C$1224&amp;Sheet3!$B$2:$B$1224, Sheet3!$D$2:$D$1224, "")</f>
        <v/>
      </c>
      <c r="G370" s="1" t="str" cm="1">
        <f t="array" ref="G370">_xlfn.XLOOKUP(D370&amp;C370, Sheet2!$A$2:$A$558&amp;Sheet2!$B$2:$B$558, Sheet2!$C$2:$C$558, "")</f>
        <v/>
      </c>
      <c r="H370" s="40" t="str">
        <f t="shared" si="5"/>
        <v/>
      </c>
    </row>
    <row r="371" spans="1:8" ht="15.5" x14ac:dyDescent="0.35">
      <c r="A371" s="7">
        <v>370</v>
      </c>
      <c r="B371" s="8">
        <v>9812</v>
      </c>
      <c r="C371" s="31" t="s">
        <v>359</v>
      </c>
      <c r="D371" s="8" t="s">
        <v>1057</v>
      </c>
      <c r="E371" s="7">
        <v>1988</v>
      </c>
      <c r="F371" s="36" t="str" cm="1">
        <f t="array" ref="F371">_xlfn.XLOOKUP(D371&amp;C371, Sheet3!$C$2:$C$1224&amp;Sheet3!$B$2:$B$1224, Sheet3!$D$2:$D$1224, "")</f>
        <v/>
      </c>
      <c r="G371" s="1" t="str" cm="1">
        <f t="array" ref="G371">_xlfn.XLOOKUP(D371&amp;C371, Sheet2!$A$2:$A$558&amp;Sheet2!$B$2:$B$558, Sheet2!$C$2:$C$558, "")</f>
        <v/>
      </c>
      <c r="H371" s="40" t="str">
        <f t="shared" si="5"/>
        <v/>
      </c>
    </row>
    <row r="372" spans="1:8" ht="15.5" x14ac:dyDescent="0.35">
      <c r="A372" s="7">
        <v>371</v>
      </c>
      <c r="B372" s="8">
        <v>9775</v>
      </c>
      <c r="C372" s="31" t="s">
        <v>360</v>
      </c>
      <c r="D372" s="8" t="s">
        <v>1057</v>
      </c>
      <c r="E372" s="7">
        <v>1988</v>
      </c>
      <c r="F372" s="36" t="str" cm="1">
        <f t="array" ref="F372">_xlfn.XLOOKUP(D372&amp;C372, Sheet3!$C$2:$C$1224&amp;Sheet3!$B$2:$B$1224, Sheet3!$D$2:$D$1224, "")</f>
        <v/>
      </c>
      <c r="G372" s="1" t="str" cm="1">
        <f t="array" ref="G372">_xlfn.XLOOKUP(D372&amp;C372, Sheet2!$A$2:$A$558&amp;Sheet2!$B$2:$B$558, Sheet2!$C$2:$C$558, "")</f>
        <v/>
      </c>
      <c r="H372" s="40" t="str">
        <f t="shared" si="5"/>
        <v/>
      </c>
    </row>
    <row r="373" spans="1:8" ht="15.5" x14ac:dyDescent="0.35">
      <c r="A373" s="7">
        <v>372</v>
      </c>
      <c r="B373" s="8">
        <v>10803</v>
      </c>
      <c r="C373" s="31" t="s">
        <v>33</v>
      </c>
      <c r="D373" s="8" t="s">
        <v>1059</v>
      </c>
      <c r="E373" s="7">
        <v>1988</v>
      </c>
      <c r="F373" s="36" t="str" cm="1">
        <f t="array" ref="F373">_xlfn.XLOOKUP(D373&amp;C373, Sheet3!$C$2:$C$1224&amp;Sheet3!$B$2:$B$1224, Sheet3!$D$2:$D$1224, "")</f>
        <v/>
      </c>
      <c r="G373" s="1" t="str" cm="1">
        <f t="array" ref="G373">_xlfn.XLOOKUP(D373&amp;C373, Sheet2!$A$2:$A$558&amp;Sheet2!$B$2:$B$558, Sheet2!$C$2:$C$558, "")</f>
        <v/>
      </c>
      <c r="H373" s="40" t="str">
        <f t="shared" si="5"/>
        <v/>
      </c>
    </row>
    <row r="374" spans="1:8" ht="15.5" x14ac:dyDescent="0.35">
      <c r="A374" s="7">
        <v>373</v>
      </c>
      <c r="B374" s="8">
        <v>11442</v>
      </c>
      <c r="C374" s="31" t="s">
        <v>361</v>
      </c>
      <c r="D374" s="8" t="s">
        <v>1060</v>
      </c>
      <c r="E374" s="7">
        <v>1988</v>
      </c>
      <c r="F374" s="36" t="str" cm="1">
        <f t="array" ref="F374">_xlfn.XLOOKUP(D374&amp;C374, Sheet3!$C$2:$C$1224&amp;Sheet3!$B$2:$B$1224, Sheet3!$D$2:$D$1224, "")</f>
        <v/>
      </c>
      <c r="G374" s="1" t="str" cm="1">
        <f t="array" ref="G374">_xlfn.XLOOKUP(D374&amp;C374, Sheet2!$A$2:$A$558&amp;Sheet2!$B$2:$B$558, Sheet2!$C$2:$C$558, "")</f>
        <v/>
      </c>
      <c r="H374" s="40" t="str">
        <f t="shared" si="5"/>
        <v/>
      </c>
    </row>
    <row r="375" spans="1:8" ht="15.5" x14ac:dyDescent="0.35">
      <c r="A375" s="7">
        <v>374</v>
      </c>
      <c r="B375" s="8">
        <v>7280</v>
      </c>
      <c r="C375" s="31" t="s">
        <v>362</v>
      </c>
      <c r="D375" s="8" t="s">
        <v>1049</v>
      </c>
      <c r="E375" s="7">
        <v>1988</v>
      </c>
      <c r="F375" s="36" t="str" cm="1">
        <f t="array" ref="F375">_xlfn.XLOOKUP(D375&amp;C375, Sheet3!$C$2:$C$1224&amp;Sheet3!$B$2:$B$1224, Sheet3!$D$2:$D$1224, "")</f>
        <v/>
      </c>
      <c r="G375" s="1" t="str" cm="1">
        <f t="array" ref="G375">_xlfn.XLOOKUP(D375&amp;C375, Sheet2!$A$2:$A$558&amp;Sheet2!$B$2:$B$558, Sheet2!$C$2:$C$558, "")</f>
        <v/>
      </c>
      <c r="H375" s="40" t="str">
        <f t="shared" si="5"/>
        <v/>
      </c>
    </row>
    <row r="376" spans="1:8" ht="15.5" x14ac:dyDescent="0.35">
      <c r="A376" s="7">
        <v>375</v>
      </c>
      <c r="B376" s="8">
        <v>8012</v>
      </c>
      <c r="C376" s="31" t="s">
        <v>363</v>
      </c>
      <c r="D376" s="8" t="s">
        <v>1051</v>
      </c>
      <c r="E376" s="7">
        <v>1988</v>
      </c>
      <c r="F376" s="36" t="str" cm="1">
        <f t="array" ref="F376">_xlfn.XLOOKUP(D376&amp;C376, Sheet3!$C$2:$C$1224&amp;Sheet3!$B$2:$B$1224, Sheet3!$D$2:$D$1224, "")</f>
        <v/>
      </c>
      <c r="G376" s="1" t="str" cm="1">
        <f t="array" ref="G376">_xlfn.XLOOKUP(D376&amp;C376, Sheet2!$A$2:$A$558&amp;Sheet2!$B$2:$B$558, Sheet2!$C$2:$C$558, "")</f>
        <v/>
      </c>
      <c r="H376" s="40" t="str">
        <f t="shared" si="5"/>
        <v/>
      </c>
    </row>
    <row r="377" spans="1:8" ht="15.5" x14ac:dyDescent="0.35">
      <c r="A377" s="7">
        <v>376</v>
      </c>
      <c r="B377" s="8">
        <v>8973</v>
      </c>
      <c r="C377" s="31" t="s">
        <v>364</v>
      </c>
      <c r="D377" s="8" t="s">
        <v>1055</v>
      </c>
      <c r="E377" s="7">
        <v>1988</v>
      </c>
      <c r="F377" s="36" t="str" cm="1">
        <f t="array" ref="F377">_xlfn.XLOOKUP(D377&amp;C377, Sheet3!$C$2:$C$1224&amp;Sheet3!$B$2:$B$1224, Sheet3!$D$2:$D$1224, "")</f>
        <v/>
      </c>
      <c r="G377" s="1" t="str" cm="1">
        <f t="array" ref="G377">_xlfn.XLOOKUP(D377&amp;C377, Sheet2!$A$2:$A$558&amp;Sheet2!$B$2:$B$558, Sheet2!$C$2:$C$558, "")</f>
        <v/>
      </c>
      <c r="H377" s="40" t="str">
        <f t="shared" si="5"/>
        <v/>
      </c>
    </row>
    <row r="378" spans="1:8" ht="15.5" x14ac:dyDescent="0.35">
      <c r="A378" s="7">
        <v>377</v>
      </c>
      <c r="B378" s="8">
        <v>10177</v>
      </c>
      <c r="C378" s="31" t="s">
        <v>365</v>
      </c>
      <c r="D378" s="8" t="s">
        <v>1058</v>
      </c>
      <c r="E378" s="7">
        <v>1988</v>
      </c>
      <c r="F378" s="36" t="str" cm="1">
        <f t="array" ref="F378">_xlfn.XLOOKUP(D378&amp;C378, Sheet3!$C$2:$C$1224&amp;Sheet3!$B$2:$B$1224, Sheet3!$D$2:$D$1224, "")</f>
        <v/>
      </c>
      <c r="G378" s="1" t="str" cm="1">
        <f t="array" ref="G378">_xlfn.XLOOKUP(D378&amp;C378, Sheet2!$A$2:$A$558&amp;Sheet2!$B$2:$B$558, Sheet2!$C$2:$C$558, "")</f>
        <v/>
      </c>
      <c r="H378" s="40" t="str">
        <f t="shared" si="5"/>
        <v/>
      </c>
    </row>
    <row r="379" spans="1:8" ht="15.5" x14ac:dyDescent="0.35">
      <c r="A379" s="7">
        <v>378</v>
      </c>
      <c r="B379" s="8">
        <v>11752</v>
      </c>
      <c r="C379" s="31" t="s">
        <v>366</v>
      </c>
      <c r="D379" s="8" t="s">
        <v>1061</v>
      </c>
      <c r="E379" s="7">
        <v>1988</v>
      </c>
      <c r="F379" s="36" t="str" cm="1">
        <f t="array" ref="F379">_xlfn.XLOOKUP(D379&amp;C379, Sheet3!$C$2:$C$1224&amp;Sheet3!$B$2:$B$1224, Sheet3!$D$2:$D$1224, "")</f>
        <v/>
      </c>
      <c r="G379" s="1" t="str" cm="1">
        <f t="array" ref="G379">_xlfn.XLOOKUP(D379&amp;C379, Sheet2!$A$2:$A$558&amp;Sheet2!$B$2:$B$558, Sheet2!$C$2:$C$558, "")</f>
        <v/>
      </c>
      <c r="H379" s="40" t="str">
        <f t="shared" si="5"/>
        <v/>
      </c>
    </row>
    <row r="380" spans="1:8" ht="15.5" x14ac:dyDescent="0.35">
      <c r="A380" s="7">
        <v>379</v>
      </c>
      <c r="B380" s="8">
        <v>7723</v>
      </c>
      <c r="C380" s="31" t="s">
        <v>367</v>
      </c>
      <c r="D380" s="8" t="s">
        <v>1052</v>
      </c>
      <c r="E380" s="7">
        <v>1988</v>
      </c>
      <c r="F380" s="36" t="str" cm="1">
        <f t="array" ref="F380">_xlfn.XLOOKUP(D380&amp;C380, Sheet3!$C$2:$C$1224&amp;Sheet3!$B$2:$B$1224, Sheet3!$D$2:$D$1224, "")</f>
        <v/>
      </c>
      <c r="G380" s="1" t="str" cm="1">
        <f t="array" ref="G380">_xlfn.XLOOKUP(D380&amp;C380, Sheet2!$A$2:$A$558&amp;Sheet2!$B$2:$B$558, Sheet2!$C$2:$C$558, "")</f>
        <v/>
      </c>
      <c r="H380" s="40" t="str">
        <f t="shared" si="5"/>
        <v/>
      </c>
    </row>
    <row r="381" spans="1:8" ht="15.5" x14ac:dyDescent="0.35">
      <c r="A381" s="7">
        <v>380</v>
      </c>
      <c r="B381" s="8">
        <v>8970</v>
      </c>
      <c r="C381" s="31" t="s">
        <v>368</v>
      </c>
      <c r="D381" s="8" t="s">
        <v>1055</v>
      </c>
      <c r="E381" s="7">
        <v>1988</v>
      </c>
      <c r="F381" s="36" t="str" cm="1">
        <f t="array" ref="F381">_xlfn.XLOOKUP(D381&amp;C381, Sheet3!$C$2:$C$1224&amp;Sheet3!$B$2:$B$1224, Sheet3!$D$2:$D$1224, "")</f>
        <v>sgt.geo@gmail.com</v>
      </c>
      <c r="G381" s="1" t="str" cm="1">
        <f t="array" ref="G381">_xlfn.XLOOKUP(D381&amp;C381, Sheet2!$A$2:$A$558&amp;Sheet2!$B$2:$B$558, Sheet2!$C$2:$C$558, "")</f>
        <v/>
      </c>
      <c r="H381" s="40" t="str">
        <f t="shared" si="5"/>
        <v>sgt.geo@gmail.com</v>
      </c>
    </row>
    <row r="382" spans="1:8" ht="15.5" x14ac:dyDescent="0.35">
      <c r="A382" s="7">
        <v>381</v>
      </c>
      <c r="B382" s="8">
        <v>10937</v>
      </c>
      <c r="C382" s="31" t="s">
        <v>369</v>
      </c>
      <c r="D382" s="8" t="s">
        <v>1059</v>
      </c>
      <c r="E382" s="7">
        <v>1988</v>
      </c>
      <c r="F382" s="36" t="str" cm="1">
        <f t="array" ref="F382">_xlfn.XLOOKUP(D382&amp;C382, Sheet3!$C$2:$C$1224&amp;Sheet3!$B$2:$B$1224, Sheet3!$D$2:$D$1224, "")</f>
        <v/>
      </c>
      <c r="G382" s="1" t="str" cm="1">
        <f t="array" ref="G382">_xlfn.XLOOKUP(D382&amp;C382, Sheet2!$A$2:$A$558&amp;Sheet2!$B$2:$B$558, Sheet2!$C$2:$C$558, "")</f>
        <v/>
      </c>
      <c r="H382" s="40" t="str">
        <f t="shared" si="5"/>
        <v/>
      </c>
    </row>
    <row r="383" spans="1:8" ht="15.5" x14ac:dyDescent="0.35">
      <c r="A383" s="7">
        <v>382</v>
      </c>
      <c r="B383" s="8">
        <v>11322</v>
      </c>
      <c r="C383" s="31" t="s">
        <v>370</v>
      </c>
      <c r="D383" s="8" t="s">
        <v>1060</v>
      </c>
      <c r="E383" s="7">
        <v>1988</v>
      </c>
      <c r="F383" s="36" t="str" cm="1">
        <f t="array" ref="F383">_xlfn.XLOOKUP(D383&amp;C383, Sheet3!$C$2:$C$1224&amp;Sheet3!$B$2:$B$1224, Sheet3!$D$2:$D$1224, "")</f>
        <v/>
      </c>
      <c r="G383" s="1" t="str" cm="1">
        <f t="array" ref="G383">_xlfn.XLOOKUP(D383&amp;C383, Sheet2!$A$2:$A$558&amp;Sheet2!$B$2:$B$558, Sheet2!$C$2:$C$558, "")</f>
        <v/>
      </c>
      <c r="H383" s="40" t="str">
        <f t="shared" si="5"/>
        <v/>
      </c>
    </row>
    <row r="384" spans="1:8" ht="15.5" x14ac:dyDescent="0.35">
      <c r="A384" s="7">
        <v>383</v>
      </c>
      <c r="B384" s="8">
        <v>9566</v>
      </c>
      <c r="C384" s="31" t="s">
        <v>371</v>
      </c>
      <c r="D384" s="8" t="s">
        <v>1056</v>
      </c>
      <c r="E384" s="7">
        <v>1988</v>
      </c>
      <c r="F384" s="36" t="str" cm="1">
        <f t="array" ref="F384">_xlfn.XLOOKUP(D384&amp;C384, Sheet3!$C$2:$C$1224&amp;Sheet3!$B$2:$B$1224, Sheet3!$D$2:$D$1224, "")</f>
        <v/>
      </c>
      <c r="G384" s="1" t="str" cm="1">
        <f t="array" ref="G384">_xlfn.XLOOKUP(D384&amp;C384, Sheet2!$A$2:$A$558&amp;Sheet2!$B$2:$B$558, Sheet2!$C$2:$C$558, "")</f>
        <v/>
      </c>
      <c r="H384" s="40" t="str">
        <f t="shared" si="5"/>
        <v/>
      </c>
    </row>
    <row r="385" spans="1:8" ht="15.5" x14ac:dyDescent="0.35">
      <c r="A385" s="7">
        <v>384</v>
      </c>
      <c r="B385" s="8">
        <v>11013</v>
      </c>
      <c r="C385" s="31" t="s">
        <v>372</v>
      </c>
      <c r="D385" s="8" t="s">
        <v>1059</v>
      </c>
      <c r="E385" s="7">
        <v>1988</v>
      </c>
      <c r="F385" s="36" t="str" cm="1">
        <f t="array" ref="F385">_xlfn.XLOOKUP(D385&amp;C385, Sheet3!$C$2:$C$1224&amp;Sheet3!$B$2:$B$1224, Sheet3!$D$2:$D$1224, "")</f>
        <v/>
      </c>
      <c r="G385" s="1" t="str" cm="1">
        <f t="array" ref="G385">_xlfn.XLOOKUP(D385&amp;C385, Sheet2!$A$2:$A$558&amp;Sheet2!$B$2:$B$558, Sheet2!$C$2:$C$558, "")</f>
        <v/>
      </c>
      <c r="H385" s="40" t="str">
        <f t="shared" si="5"/>
        <v/>
      </c>
    </row>
    <row r="386" spans="1:8" ht="15.5" x14ac:dyDescent="0.35">
      <c r="A386" s="7">
        <v>385</v>
      </c>
      <c r="B386" s="8">
        <v>10010</v>
      </c>
      <c r="C386" s="31" t="s">
        <v>373</v>
      </c>
      <c r="D386" s="8" t="s">
        <v>1057</v>
      </c>
      <c r="E386" s="7">
        <v>1988</v>
      </c>
      <c r="F386" s="36" t="str" cm="1">
        <f t="array" ref="F386">_xlfn.XLOOKUP(D386&amp;C386, Sheet3!$C$2:$C$1224&amp;Sheet3!$B$2:$B$1224, Sheet3!$D$2:$D$1224, "")</f>
        <v/>
      </c>
      <c r="G386" s="1" t="str" cm="1">
        <f t="array" ref="G386">_xlfn.XLOOKUP(D386&amp;C386, Sheet2!$A$2:$A$558&amp;Sheet2!$B$2:$B$558, Sheet2!$C$2:$C$558, "")</f>
        <v/>
      </c>
      <c r="H386" s="40" t="str">
        <f t="shared" si="5"/>
        <v/>
      </c>
    </row>
    <row r="387" spans="1:8" ht="15.5" x14ac:dyDescent="0.35">
      <c r="A387" s="7">
        <v>386</v>
      </c>
      <c r="B387" s="8">
        <v>9703</v>
      </c>
      <c r="C387" s="31" t="s">
        <v>374</v>
      </c>
      <c r="D387" s="8" t="s">
        <v>1057</v>
      </c>
      <c r="E387" s="7">
        <v>1988</v>
      </c>
      <c r="F387" s="36" t="str" cm="1">
        <f t="array" ref="F387">_xlfn.XLOOKUP(D387&amp;C387, Sheet3!$C$2:$C$1224&amp;Sheet3!$B$2:$B$1224, Sheet3!$D$2:$D$1224, "")</f>
        <v/>
      </c>
      <c r="G387" s="1" t="str" cm="1">
        <f t="array" ref="G387">_xlfn.XLOOKUP(D387&amp;C387, Sheet2!$A$2:$A$558&amp;Sheet2!$B$2:$B$558, Sheet2!$C$2:$C$558, "")</f>
        <v/>
      </c>
      <c r="H387" s="40" t="str">
        <f t="shared" ref="H387:H450" si="6">IF(F387&lt;&gt;"",F387,G387)</f>
        <v/>
      </c>
    </row>
    <row r="388" spans="1:8" ht="15.5" x14ac:dyDescent="0.35">
      <c r="A388" s="7">
        <v>387</v>
      </c>
      <c r="B388" s="8">
        <v>10709</v>
      </c>
      <c r="C388" s="31" t="s">
        <v>375</v>
      </c>
      <c r="D388" s="8" t="s">
        <v>1059</v>
      </c>
      <c r="E388" s="7">
        <v>1988</v>
      </c>
      <c r="F388" s="36" t="str" cm="1">
        <f t="array" ref="F388">_xlfn.XLOOKUP(D388&amp;C388, Sheet3!$C$2:$C$1224&amp;Sheet3!$B$2:$B$1224, Sheet3!$D$2:$D$1224, "")</f>
        <v/>
      </c>
      <c r="G388" s="1" t="str" cm="1">
        <f t="array" ref="G388">_xlfn.XLOOKUP(D388&amp;C388, Sheet2!$A$2:$A$558&amp;Sheet2!$B$2:$B$558, Sheet2!$C$2:$C$558, "")</f>
        <v/>
      </c>
      <c r="H388" s="40" t="str">
        <f t="shared" si="6"/>
        <v/>
      </c>
    </row>
    <row r="389" spans="1:8" ht="15.5" x14ac:dyDescent="0.35">
      <c r="A389" s="7">
        <v>388</v>
      </c>
      <c r="B389" s="8">
        <v>12676</v>
      </c>
      <c r="C389" s="31" t="s">
        <v>3403</v>
      </c>
      <c r="D389" s="8" t="s">
        <v>1063</v>
      </c>
      <c r="E389" s="7">
        <v>1988</v>
      </c>
      <c r="F389" s="36" t="str" cm="1">
        <f t="array" ref="F389">_xlfn.XLOOKUP(D389&amp;C389, Sheet3!$C$2:$C$1224&amp;Sheet3!$B$2:$B$1224, Sheet3!$D$2:$D$1224, "")</f>
        <v>iwanqh@gmail.com</v>
      </c>
      <c r="G389" s="1" t="str" cm="1">
        <f t="array" ref="G389">_xlfn.XLOOKUP(D389&amp;C389, Sheet2!$A$2:$A$558&amp;Sheet2!$B$2:$B$558, Sheet2!$C$2:$C$558, "")</f>
        <v/>
      </c>
      <c r="H389" s="40" t="str">
        <f t="shared" si="6"/>
        <v>iwanqh@gmail.com</v>
      </c>
    </row>
    <row r="390" spans="1:8" ht="15.5" x14ac:dyDescent="0.35">
      <c r="A390" s="7">
        <v>389</v>
      </c>
      <c r="B390" s="8">
        <v>9589</v>
      </c>
      <c r="C390" s="31" t="s">
        <v>376</v>
      </c>
      <c r="D390" s="8" t="s">
        <v>1056</v>
      </c>
      <c r="E390" s="7">
        <v>1988</v>
      </c>
      <c r="F390" s="36" t="str" cm="1">
        <f t="array" ref="F390">_xlfn.XLOOKUP(D390&amp;C390, Sheet3!$C$2:$C$1224&amp;Sheet3!$B$2:$B$1224, Sheet3!$D$2:$D$1224, "")</f>
        <v/>
      </c>
      <c r="G390" s="1" t="str" cm="1">
        <f t="array" ref="G390">_xlfn.XLOOKUP(D390&amp;C390, Sheet2!$A$2:$A$558&amp;Sheet2!$B$2:$B$558, Sheet2!$C$2:$C$558, "")</f>
        <v/>
      </c>
      <c r="H390" s="40" t="str">
        <f t="shared" si="6"/>
        <v/>
      </c>
    </row>
    <row r="391" spans="1:8" ht="15.5" x14ac:dyDescent="0.35">
      <c r="A391" s="7">
        <v>390</v>
      </c>
      <c r="B391" s="8">
        <v>11734</v>
      </c>
      <c r="C391" s="31" t="s">
        <v>377</v>
      </c>
      <c r="D391" s="8" t="s">
        <v>1061</v>
      </c>
      <c r="E391" s="7">
        <v>1988</v>
      </c>
      <c r="F391" s="36" t="str" cm="1">
        <f t="array" ref="F391">_xlfn.XLOOKUP(D391&amp;C391, Sheet3!$C$2:$C$1224&amp;Sheet3!$B$2:$B$1224, Sheet3!$D$2:$D$1224, "")</f>
        <v/>
      </c>
      <c r="G391" s="1" t="str" cm="1">
        <f t="array" ref="G391">_xlfn.XLOOKUP(D391&amp;C391, Sheet2!$A$2:$A$558&amp;Sheet2!$B$2:$B$558, Sheet2!$C$2:$C$558, "")</f>
        <v/>
      </c>
      <c r="H391" s="40" t="str">
        <f t="shared" si="6"/>
        <v/>
      </c>
    </row>
    <row r="392" spans="1:8" ht="15.5" x14ac:dyDescent="0.35">
      <c r="A392" s="7">
        <v>391</v>
      </c>
      <c r="B392" s="8">
        <v>11403</v>
      </c>
      <c r="C392" s="31" t="s">
        <v>378</v>
      </c>
      <c r="D392" s="8" t="s">
        <v>1060</v>
      </c>
      <c r="E392" s="7">
        <v>1988</v>
      </c>
      <c r="F392" s="36" t="str" cm="1">
        <f t="array" ref="F392">_xlfn.XLOOKUP(D392&amp;C392, Sheet3!$C$2:$C$1224&amp;Sheet3!$B$2:$B$1224, Sheet3!$D$2:$D$1224, "")</f>
        <v/>
      </c>
      <c r="G392" s="1" t="str" cm="1">
        <f t="array" ref="G392">_xlfn.XLOOKUP(D392&amp;C392, Sheet2!$A$2:$A$558&amp;Sheet2!$B$2:$B$558, Sheet2!$C$2:$C$558, "")</f>
        <v/>
      </c>
      <c r="H392" s="40" t="str">
        <f t="shared" si="6"/>
        <v/>
      </c>
    </row>
    <row r="393" spans="1:8" ht="15.5" x14ac:dyDescent="0.35">
      <c r="A393" s="7">
        <v>392</v>
      </c>
      <c r="B393" s="8">
        <v>11491</v>
      </c>
      <c r="C393" s="31" t="s">
        <v>379</v>
      </c>
      <c r="D393" s="8" t="s">
        <v>1060</v>
      </c>
      <c r="E393" s="7">
        <v>1988</v>
      </c>
      <c r="F393" s="36" t="str" cm="1">
        <f t="array" ref="F393">_xlfn.XLOOKUP(D393&amp;C393, Sheet3!$C$2:$C$1224&amp;Sheet3!$B$2:$B$1224, Sheet3!$D$2:$D$1224, "")</f>
        <v/>
      </c>
      <c r="G393" s="1" t="str" cm="1">
        <f t="array" ref="G393">_xlfn.XLOOKUP(D393&amp;C393, Sheet2!$A$2:$A$558&amp;Sheet2!$B$2:$B$558, Sheet2!$C$2:$C$558, "")</f>
        <v/>
      </c>
      <c r="H393" s="40" t="str">
        <f t="shared" si="6"/>
        <v/>
      </c>
    </row>
    <row r="394" spans="1:8" ht="15.5" x14ac:dyDescent="0.35">
      <c r="A394" s="7">
        <v>393</v>
      </c>
      <c r="B394" s="8">
        <v>8967</v>
      </c>
      <c r="C394" s="31" t="s">
        <v>380</v>
      </c>
      <c r="D394" s="8" t="s">
        <v>1055</v>
      </c>
      <c r="E394" s="7">
        <v>1988</v>
      </c>
      <c r="F394" s="36" t="str" cm="1">
        <f t="array" ref="F394">_xlfn.XLOOKUP(D394&amp;C394, Sheet3!$C$2:$C$1224&amp;Sheet3!$B$2:$B$1224, Sheet3!$D$2:$D$1224, "")</f>
        <v/>
      </c>
      <c r="G394" s="1" t="str" cm="1">
        <f t="array" ref="G394">_xlfn.XLOOKUP(D394&amp;C394, Sheet2!$A$2:$A$558&amp;Sheet2!$B$2:$B$558, Sheet2!$C$2:$C$558, "")</f>
        <v/>
      </c>
      <c r="H394" s="40" t="str">
        <f t="shared" si="6"/>
        <v/>
      </c>
    </row>
    <row r="395" spans="1:8" ht="15.5" x14ac:dyDescent="0.35">
      <c r="A395" s="7">
        <v>394</v>
      </c>
      <c r="B395" s="8">
        <v>9261</v>
      </c>
      <c r="C395" s="31" t="s">
        <v>381</v>
      </c>
      <c r="D395" s="8" t="s">
        <v>1055</v>
      </c>
      <c r="E395" s="7">
        <v>1988</v>
      </c>
      <c r="F395" s="36" t="str" cm="1">
        <f t="array" ref="F395">_xlfn.XLOOKUP(D395&amp;C395, Sheet3!$C$2:$C$1224&amp;Sheet3!$B$2:$B$1224, Sheet3!$D$2:$D$1224, "")</f>
        <v>azam.muhammady@gmail.com</v>
      </c>
      <c r="G395" s="1" t="str" cm="1">
        <f t="array" ref="G395">_xlfn.XLOOKUP(D395&amp;C395, Sheet2!$A$2:$A$558&amp;Sheet2!$B$2:$B$558, Sheet2!$C$2:$C$558, "")</f>
        <v/>
      </c>
      <c r="H395" s="40" t="str">
        <f t="shared" si="6"/>
        <v>azam.muhammady@gmail.com</v>
      </c>
    </row>
    <row r="396" spans="1:8" ht="15.5" x14ac:dyDescent="0.35">
      <c r="A396" s="7">
        <v>395</v>
      </c>
      <c r="B396" s="8">
        <v>9284</v>
      </c>
      <c r="C396" s="31" t="s">
        <v>382</v>
      </c>
      <c r="D396" s="8" t="s">
        <v>1055</v>
      </c>
      <c r="E396" s="7">
        <v>1988</v>
      </c>
      <c r="F396" s="36" t="str" cm="1">
        <f t="array" ref="F396">_xlfn.XLOOKUP(D396&amp;C396, Sheet3!$C$2:$C$1224&amp;Sheet3!$B$2:$B$1224, Sheet3!$D$2:$D$1224, "")</f>
        <v/>
      </c>
      <c r="G396" s="1" t="str" cm="1">
        <f t="array" ref="G396">_xlfn.XLOOKUP(D396&amp;C396, Sheet2!$A$2:$A$558&amp;Sheet2!$B$2:$B$558, Sheet2!$C$2:$C$558, "")</f>
        <v/>
      </c>
      <c r="H396" s="40" t="str">
        <f t="shared" si="6"/>
        <v/>
      </c>
    </row>
    <row r="397" spans="1:8" ht="15.5" x14ac:dyDescent="0.35">
      <c r="A397" s="7">
        <v>396</v>
      </c>
      <c r="B397" s="8">
        <v>11480</v>
      </c>
      <c r="C397" s="31" t="s">
        <v>383</v>
      </c>
      <c r="D397" s="8" t="s">
        <v>1060</v>
      </c>
      <c r="E397" s="7">
        <v>1988</v>
      </c>
      <c r="F397" s="36" t="str" cm="1">
        <f t="array" ref="F397">_xlfn.XLOOKUP(D397&amp;C397, Sheet3!$C$2:$C$1224&amp;Sheet3!$B$2:$B$1224, Sheet3!$D$2:$D$1224, "")</f>
        <v/>
      </c>
      <c r="G397" s="1" t="str" cm="1">
        <f t="array" ref="G397">_xlfn.XLOOKUP(D397&amp;C397, Sheet2!$A$2:$A$558&amp;Sheet2!$B$2:$B$558, Sheet2!$C$2:$C$558, "")</f>
        <v/>
      </c>
      <c r="H397" s="40" t="str">
        <f t="shared" si="6"/>
        <v/>
      </c>
    </row>
    <row r="398" spans="1:8" ht="15.5" x14ac:dyDescent="0.35">
      <c r="A398" s="7">
        <v>397</v>
      </c>
      <c r="B398" s="8">
        <v>12623</v>
      </c>
      <c r="C398" s="31" t="s">
        <v>384</v>
      </c>
      <c r="D398" s="8" t="s">
        <v>1063</v>
      </c>
      <c r="E398" s="7">
        <v>1988</v>
      </c>
      <c r="F398" s="36" t="str" cm="1">
        <f t="array" ref="F398">_xlfn.XLOOKUP(D398&amp;C398, Sheet3!$C$2:$C$1224&amp;Sheet3!$B$2:$B$1224, Sheet3!$D$2:$D$1224, "")</f>
        <v/>
      </c>
      <c r="G398" s="1" t="str" cm="1">
        <f t="array" ref="G398">_xlfn.XLOOKUP(D398&amp;C398, Sheet2!$A$2:$A$558&amp;Sheet2!$B$2:$B$558, Sheet2!$C$2:$C$558, "")</f>
        <v/>
      </c>
      <c r="H398" s="40" t="str">
        <f t="shared" si="6"/>
        <v/>
      </c>
    </row>
    <row r="399" spans="1:8" ht="15.5" x14ac:dyDescent="0.35">
      <c r="A399" s="7">
        <v>398</v>
      </c>
      <c r="B399" s="8">
        <v>9878</v>
      </c>
      <c r="C399" s="31" t="s">
        <v>385</v>
      </c>
      <c r="D399" s="8" t="s">
        <v>1057</v>
      </c>
      <c r="E399" s="7">
        <v>1988</v>
      </c>
      <c r="F399" s="36" t="str" cm="1">
        <f t="array" ref="F399">_xlfn.XLOOKUP(D399&amp;C399, Sheet3!$C$2:$C$1224&amp;Sheet3!$B$2:$B$1224, Sheet3!$D$2:$D$1224, "")</f>
        <v/>
      </c>
      <c r="G399" s="1" t="str" cm="1">
        <f t="array" ref="G399">_xlfn.XLOOKUP(D399&amp;C399, Sheet2!$A$2:$A$558&amp;Sheet2!$B$2:$B$558, Sheet2!$C$2:$C$558, "")</f>
        <v/>
      </c>
      <c r="H399" s="40" t="str">
        <f t="shared" si="6"/>
        <v/>
      </c>
    </row>
    <row r="400" spans="1:8" ht="15.5" x14ac:dyDescent="0.35">
      <c r="A400" s="7">
        <v>399</v>
      </c>
      <c r="B400" s="8">
        <v>11478</v>
      </c>
      <c r="C400" s="31" t="s">
        <v>386</v>
      </c>
      <c r="D400" s="8" t="s">
        <v>1060</v>
      </c>
      <c r="E400" s="7">
        <v>1988</v>
      </c>
      <c r="F400" s="36" t="str" cm="1">
        <f t="array" ref="F400">_xlfn.XLOOKUP(D400&amp;C400, Sheet3!$C$2:$C$1224&amp;Sheet3!$B$2:$B$1224, Sheet3!$D$2:$D$1224, "")</f>
        <v/>
      </c>
      <c r="G400" s="1" t="str" cm="1">
        <f t="array" ref="G400">_xlfn.XLOOKUP(D400&amp;C400, Sheet2!$A$2:$A$558&amp;Sheet2!$B$2:$B$558, Sheet2!$C$2:$C$558, "")</f>
        <v/>
      </c>
      <c r="H400" s="40" t="str">
        <f t="shared" si="6"/>
        <v/>
      </c>
    </row>
    <row r="401" spans="1:8" ht="15.5" x14ac:dyDescent="0.35">
      <c r="A401" s="7">
        <v>400</v>
      </c>
      <c r="B401" s="8">
        <v>11799</v>
      </c>
      <c r="C401" s="31" t="s">
        <v>387</v>
      </c>
      <c r="D401" s="8" t="s">
        <v>1061</v>
      </c>
      <c r="E401" s="7">
        <v>1988</v>
      </c>
      <c r="F401" s="36" t="str" cm="1">
        <f t="array" ref="F401">_xlfn.XLOOKUP(D401&amp;C401, Sheet3!$C$2:$C$1224&amp;Sheet3!$B$2:$B$1224, Sheet3!$D$2:$D$1224, "")</f>
        <v>thejack0007@gmail.com</v>
      </c>
      <c r="G401" s="1" t="str" cm="1">
        <f t="array" ref="G401">_xlfn.XLOOKUP(D401&amp;C401, Sheet2!$A$2:$A$558&amp;Sheet2!$B$2:$B$558, Sheet2!$C$2:$C$558, "")</f>
        <v/>
      </c>
      <c r="H401" s="40" t="str">
        <f t="shared" si="6"/>
        <v>thejack0007@gmail.com</v>
      </c>
    </row>
    <row r="402" spans="1:8" ht="15.5" x14ac:dyDescent="0.35">
      <c r="A402" s="7">
        <v>401</v>
      </c>
      <c r="B402" s="8">
        <v>12346</v>
      </c>
      <c r="C402" s="31" t="s">
        <v>388</v>
      </c>
      <c r="D402" s="8" t="s">
        <v>1063</v>
      </c>
      <c r="E402" s="7">
        <v>1988</v>
      </c>
      <c r="F402" s="36" t="str" cm="1">
        <f t="array" ref="F402">_xlfn.XLOOKUP(D402&amp;C402, Sheet3!$C$2:$C$1224&amp;Sheet3!$B$2:$B$1224, Sheet3!$D$2:$D$1224, "")</f>
        <v/>
      </c>
      <c r="G402" s="1" t="str" cm="1">
        <f t="array" ref="G402">_xlfn.XLOOKUP(D402&amp;C402, Sheet2!$A$2:$A$558&amp;Sheet2!$B$2:$B$558, Sheet2!$C$2:$C$558, "")</f>
        <v/>
      </c>
      <c r="H402" s="40" t="str">
        <f t="shared" si="6"/>
        <v/>
      </c>
    </row>
    <row r="403" spans="1:8" ht="15.5" x14ac:dyDescent="0.35">
      <c r="A403" s="7">
        <v>402</v>
      </c>
      <c r="B403" s="8">
        <v>11402</v>
      </c>
      <c r="C403" s="31" t="s">
        <v>389</v>
      </c>
      <c r="D403" s="8" t="s">
        <v>1060</v>
      </c>
      <c r="E403" s="7">
        <v>1988</v>
      </c>
      <c r="F403" s="36" t="str" cm="1">
        <f t="array" ref="F403">_xlfn.XLOOKUP(D403&amp;C403, Sheet3!$C$2:$C$1224&amp;Sheet3!$B$2:$B$1224, Sheet3!$D$2:$D$1224, "")</f>
        <v/>
      </c>
      <c r="G403" s="1" t="str" cm="1">
        <f t="array" ref="G403">_xlfn.XLOOKUP(D403&amp;C403, Sheet2!$A$2:$A$558&amp;Sheet2!$B$2:$B$558, Sheet2!$C$2:$C$558, "")</f>
        <v/>
      </c>
      <c r="H403" s="40" t="str">
        <f t="shared" si="6"/>
        <v/>
      </c>
    </row>
    <row r="404" spans="1:8" ht="15.5" x14ac:dyDescent="0.35">
      <c r="A404" s="7">
        <v>403</v>
      </c>
      <c r="B404" s="8">
        <v>6921</v>
      </c>
      <c r="C404" s="31" t="s">
        <v>390</v>
      </c>
      <c r="D404" s="8" t="s">
        <v>1048</v>
      </c>
      <c r="E404" s="7">
        <v>1988</v>
      </c>
      <c r="F404" s="36" t="str" cm="1">
        <f t="array" ref="F404">_xlfn.XLOOKUP(D404&amp;C404, Sheet3!$C$2:$C$1224&amp;Sheet3!$B$2:$B$1224, Sheet3!$D$2:$D$1224, "")</f>
        <v/>
      </c>
      <c r="G404" s="1" t="str" cm="1">
        <f t="array" ref="G404">_xlfn.XLOOKUP(D404&amp;C404, Sheet2!$A$2:$A$558&amp;Sheet2!$B$2:$B$558, Sheet2!$C$2:$C$558, "")</f>
        <v/>
      </c>
      <c r="H404" s="40" t="str">
        <f t="shared" si="6"/>
        <v/>
      </c>
    </row>
    <row r="405" spans="1:8" ht="15.5" x14ac:dyDescent="0.35">
      <c r="A405" s="7">
        <v>404</v>
      </c>
      <c r="B405" s="8">
        <v>11417</v>
      </c>
      <c r="C405" s="31" t="s">
        <v>391</v>
      </c>
      <c r="D405" s="8" t="s">
        <v>1060</v>
      </c>
      <c r="E405" s="7">
        <v>1988</v>
      </c>
      <c r="F405" s="36" t="str" cm="1">
        <f t="array" ref="F405">_xlfn.XLOOKUP(D405&amp;C405, Sheet3!$C$2:$C$1224&amp;Sheet3!$B$2:$B$1224, Sheet3!$D$2:$D$1224, "")</f>
        <v/>
      </c>
      <c r="G405" s="1" t="str" cm="1">
        <f t="array" ref="G405">_xlfn.XLOOKUP(D405&amp;C405, Sheet2!$A$2:$A$558&amp;Sheet2!$B$2:$B$558, Sheet2!$C$2:$C$558, "")</f>
        <v/>
      </c>
      <c r="H405" s="40" t="str">
        <f t="shared" si="6"/>
        <v/>
      </c>
    </row>
    <row r="406" spans="1:8" ht="15.5" x14ac:dyDescent="0.35">
      <c r="A406" s="7">
        <v>405</v>
      </c>
      <c r="B406" s="8">
        <v>9772</v>
      </c>
      <c r="C406" s="31" t="s">
        <v>392</v>
      </c>
      <c r="D406" s="8" t="s">
        <v>1057</v>
      </c>
      <c r="E406" s="7">
        <v>1989</v>
      </c>
      <c r="F406" s="36" t="str" cm="1">
        <f t="array" ref="F406">_xlfn.XLOOKUP(D406&amp;C406, Sheet3!$C$2:$C$1224&amp;Sheet3!$B$2:$B$1224, Sheet3!$D$2:$D$1224, "")</f>
        <v/>
      </c>
      <c r="G406" s="1" t="str" cm="1">
        <f t="array" ref="G406">_xlfn.XLOOKUP(D406&amp;C406, Sheet2!$A$2:$A$558&amp;Sheet2!$B$2:$B$558, Sheet2!$C$2:$C$558, "")</f>
        <v/>
      </c>
      <c r="H406" s="40" t="str">
        <f t="shared" si="6"/>
        <v/>
      </c>
    </row>
    <row r="407" spans="1:8" ht="15.5" x14ac:dyDescent="0.35">
      <c r="A407" s="7">
        <v>406</v>
      </c>
      <c r="B407" s="8">
        <v>12327</v>
      </c>
      <c r="C407" s="31" t="s">
        <v>393</v>
      </c>
      <c r="D407" s="8" t="s">
        <v>1063</v>
      </c>
      <c r="E407" s="7">
        <v>1989</v>
      </c>
      <c r="F407" s="36" t="str" cm="1">
        <f t="array" ref="F407">_xlfn.XLOOKUP(D407&amp;C407, Sheet3!$C$2:$C$1224&amp;Sheet3!$B$2:$B$1224, Sheet3!$D$2:$D$1224, "")</f>
        <v>busroni812@gmail.com</v>
      </c>
      <c r="G407" s="1" t="str" cm="1">
        <f t="array" ref="G407">_xlfn.XLOOKUP(D407&amp;C407, Sheet2!$A$2:$A$558&amp;Sheet2!$B$2:$B$558, Sheet2!$C$2:$C$558, "")</f>
        <v>busroni812@gmail.com</v>
      </c>
      <c r="H407" s="40" t="str">
        <f t="shared" si="6"/>
        <v>busroni812@gmail.com</v>
      </c>
    </row>
    <row r="408" spans="1:8" ht="15.5" x14ac:dyDescent="0.35">
      <c r="A408" s="7">
        <v>407</v>
      </c>
      <c r="B408" s="8">
        <v>10722</v>
      </c>
      <c r="C408" s="31" t="s">
        <v>394</v>
      </c>
      <c r="D408" s="8" t="s">
        <v>1059</v>
      </c>
      <c r="E408" s="7">
        <v>1989</v>
      </c>
      <c r="F408" s="36" t="str" cm="1">
        <f t="array" ref="F408">_xlfn.XLOOKUP(D408&amp;C408, Sheet3!$C$2:$C$1224&amp;Sheet3!$B$2:$B$1224, Sheet3!$D$2:$D$1224, "")</f>
        <v/>
      </c>
      <c r="G408" s="1" t="str" cm="1">
        <f t="array" ref="G408">_xlfn.XLOOKUP(D408&amp;C408, Sheet2!$A$2:$A$558&amp;Sheet2!$B$2:$B$558, Sheet2!$C$2:$C$558, "")</f>
        <v/>
      </c>
      <c r="H408" s="40" t="str">
        <f t="shared" si="6"/>
        <v/>
      </c>
    </row>
    <row r="409" spans="1:8" ht="15.5" x14ac:dyDescent="0.35">
      <c r="A409" s="7">
        <v>408</v>
      </c>
      <c r="B409" s="8">
        <v>11721</v>
      </c>
      <c r="C409" s="31" t="s">
        <v>395</v>
      </c>
      <c r="D409" s="8" t="s">
        <v>1061</v>
      </c>
      <c r="E409" s="7">
        <v>1989</v>
      </c>
      <c r="F409" s="36" t="str" cm="1">
        <f t="array" ref="F409">_xlfn.XLOOKUP(D409&amp;C409, Sheet3!$C$2:$C$1224&amp;Sheet3!$B$2:$B$1224, Sheet3!$D$2:$D$1224, "")</f>
        <v>widiyanto.agus@gmail.com</v>
      </c>
      <c r="G409" s="1" t="str" cm="1">
        <f t="array" ref="G409">_xlfn.XLOOKUP(D409&amp;C409, Sheet2!$A$2:$A$558&amp;Sheet2!$B$2:$B$558, Sheet2!$C$2:$C$558, "")</f>
        <v/>
      </c>
      <c r="H409" s="40" t="str">
        <f t="shared" si="6"/>
        <v>widiyanto.agus@gmail.com</v>
      </c>
    </row>
    <row r="410" spans="1:8" ht="15.5" x14ac:dyDescent="0.35">
      <c r="A410" s="7">
        <v>409</v>
      </c>
      <c r="B410" s="8">
        <v>11739</v>
      </c>
      <c r="C410" s="31" t="s">
        <v>396</v>
      </c>
      <c r="D410" s="8" t="s">
        <v>1061</v>
      </c>
      <c r="E410" s="7">
        <v>1989</v>
      </c>
      <c r="F410" s="36" t="str" cm="1">
        <f t="array" ref="F410">_xlfn.XLOOKUP(D410&amp;C410, Sheet3!$C$2:$C$1224&amp;Sheet3!$B$2:$B$1224, Sheet3!$D$2:$D$1224, "")</f>
        <v/>
      </c>
      <c r="G410" s="1" t="str" cm="1">
        <f t="array" ref="G410">_xlfn.XLOOKUP(D410&amp;C410, Sheet2!$A$2:$A$558&amp;Sheet2!$B$2:$B$558, Sheet2!$C$2:$C$558, "")</f>
        <v/>
      </c>
      <c r="H410" s="40" t="str">
        <f t="shared" si="6"/>
        <v/>
      </c>
    </row>
    <row r="411" spans="1:8" ht="15.5" x14ac:dyDescent="0.35">
      <c r="A411" s="7">
        <v>410</v>
      </c>
      <c r="B411" s="8">
        <v>9442</v>
      </c>
      <c r="C411" s="31" t="s">
        <v>397</v>
      </c>
      <c r="D411" s="8" t="s">
        <v>1056</v>
      </c>
      <c r="E411" s="7">
        <v>1989</v>
      </c>
      <c r="F411" s="36" t="str" cm="1">
        <f t="array" ref="F411">_xlfn.XLOOKUP(D411&amp;C411, Sheet3!$C$2:$C$1224&amp;Sheet3!$B$2:$B$1224, Sheet3!$D$2:$D$1224, "")</f>
        <v/>
      </c>
      <c r="G411" s="1" t="str" cm="1">
        <f t="array" ref="G411">_xlfn.XLOOKUP(D411&amp;C411, Sheet2!$A$2:$A$558&amp;Sheet2!$B$2:$B$558, Sheet2!$C$2:$C$558, "")</f>
        <v/>
      </c>
      <c r="H411" s="40" t="str">
        <f t="shared" si="6"/>
        <v/>
      </c>
    </row>
    <row r="412" spans="1:8" ht="15.5" x14ac:dyDescent="0.35">
      <c r="A412" s="7">
        <v>411</v>
      </c>
      <c r="B412" s="8">
        <v>10724</v>
      </c>
      <c r="C412" s="31" t="s">
        <v>398</v>
      </c>
      <c r="D412" s="8" t="s">
        <v>1059</v>
      </c>
      <c r="E412" s="7">
        <v>1989</v>
      </c>
      <c r="F412" s="36" t="str" cm="1">
        <f t="array" ref="F412">_xlfn.XLOOKUP(D412&amp;C412, Sheet3!$C$2:$C$1224&amp;Sheet3!$B$2:$B$1224, Sheet3!$D$2:$D$1224, "")</f>
        <v/>
      </c>
      <c r="G412" s="1" t="str" cm="1">
        <f t="array" ref="G412">_xlfn.XLOOKUP(D412&amp;C412, Sheet2!$A$2:$A$558&amp;Sheet2!$B$2:$B$558, Sheet2!$C$2:$C$558, "")</f>
        <v/>
      </c>
      <c r="H412" s="40" t="str">
        <f t="shared" si="6"/>
        <v/>
      </c>
    </row>
    <row r="413" spans="1:8" ht="15.5" x14ac:dyDescent="0.35">
      <c r="A413" s="7">
        <v>412</v>
      </c>
      <c r="B413" s="8">
        <v>11722</v>
      </c>
      <c r="C413" s="31" t="s">
        <v>399</v>
      </c>
      <c r="D413" s="8" t="s">
        <v>1061</v>
      </c>
      <c r="E413" s="7">
        <v>1989</v>
      </c>
      <c r="F413" s="36" t="str" cm="1">
        <f t="array" ref="F413">_xlfn.XLOOKUP(D413&amp;C413, Sheet3!$C$2:$C$1224&amp;Sheet3!$B$2:$B$1224, Sheet3!$D$2:$D$1224, "")</f>
        <v>girimelaya22@gmail.com</v>
      </c>
      <c r="G413" s="1" t="str" cm="1">
        <f t="array" ref="G413">_xlfn.XLOOKUP(D413&amp;C413, Sheet2!$A$2:$A$558&amp;Sheet2!$B$2:$B$558, Sheet2!$C$2:$C$558, "")</f>
        <v/>
      </c>
      <c r="H413" s="40" t="str">
        <f t="shared" si="6"/>
        <v>girimelaya22@gmail.com</v>
      </c>
    </row>
    <row r="414" spans="1:8" ht="15.5" x14ac:dyDescent="0.35">
      <c r="A414" s="7">
        <v>413</v>
      </c>
      <c r="B414" s="8">
        <v>11797</v>
      </c>
      <c r="C414" s="31" t="s">
        <v>400</v>
      </c>
      <c r="D414" s="8" t="s">
        <v>1061</v>
      </c>
      <c r="E414" s="7">
        <v>1989</v>
      </c>
      <c r="F414" s="36" t="str" cm="1">
        <f t="array" ref="F414">_xlfn.XLOOKUP(D414&amp;C414, Sheet3!$C$2:$C$1224&amp;Sheet3!$B$2:$B$1224, Sheet3!$D$2:$D$1224, "")</f>
        <v>maz_boed@yahoo.co.id</v>
      </c>
      <c r="G414" s="1" t="str" cm="1">
        <f t="array" ref="G414">_xlfn.XLOOKUP(D414&amp;C414, Sheet2!$A$2:$A$558&amp;Sheet2!$B$2:$B$558, Sheet2!$C$2:$C$558, "")</f>
        <v/>
      </c>
      <c r="H414" s="40" t="str">
        <f t="shared" si="6"/>
        <v>maz_boed@yahoo.co.id</v>
      </c>
    </row>
    <row r="415" spans="1:8" ht="15.5" x14ac:dyDescent="0.35">
      <c r="A415" s="7">
        <v>414</v>
      </c>
      <c r="B415" s="8">
        <v>10984</v>
      </c>
      <c r="C415" s="31" t="s">
        <v>401</v>
      </c>
      <c r="D415" s="8" t="s">
        <v>1059</v>
      </c>
      <c r="E415" s="7">
        <v>1989</v>
      </c>
      <c r="F415" s="36" t="str" cm="1">
        <f t="array" ref="F415">_xlfn.XLOOKUP(D415&amp;C415, Sheet3!$C$2:$C$1224&amp;Sheet3!$B$2:$B$1224, Sheet3!$D$2:$D$1224, "")</f>
        <v/>
      </c>
      <c r="G415" s="1" t="str" cm="1">
        <f t="array" ref="G415">_xlfn.XLOOKUP(D415&amp;C415, Sheet2!$A$2:$A$558&amp;Sheet2!$B$2:$B$558, Sheet2!$C$2:$C$558, "")</f>
        <v/>
      </c>
      <c r="H415" s="40" t="str">
        <f t="shared" si="6"/>
        <v/>
      </c>
    </row>
    <row r="416" spans="1:8" ht="15.5" x14ac:dyDescent="0.35">
      <c r="A416" s="7">
        <v>415</v>
      </c>
      <c r="B416" s="8">
        <v>10197</v>
      </c>
      <c r="C416" s="31" t="s">
        <v>338</v>
      </c>
      <c r="D416" s="8" t="s">
        <v>1058</v>
      </c>
      <c r="E416" s="7">
        <v>1989</v>
      </c>
      <c r="F416" s="36" t="str" cm="1">
        <f t="array" ref="F416">_xlfn.XLOOKUP(D416&amp;C416, Sheet3!$C$2:$C$1224&amp;Sheet3!$B$2:$B$1224, Sheet3!$D$2:$D$1224, "")</f>
        <v/>
      </c>
      <c r="G416" s="1" t="str" cm="1">
        <f t="array" ref="G416">_xlfn.XLOOKUP(D416&amp;C416, Sheet2!$A$2:$A$558&amp;Sheet2!$B$2:$B$558, Sheet2!$C$2:$C$558, "")</f>
        <v/>
      </c>
      <c r="H416" s="40" t="str">
        <f t="shared" si="6"/>
        <v/>
      </c>
    </row>
    <row r="417" spans="1:8" ht="15.5" x14ac:dyDescent="0.35">
      <c r="A417" s="7">
        <v>416</v>
      </c>
      <c r="B417" s="8">
        <v>12644</v>
      </c>
      <c r="C417" s="31" t="s">
        <v>402</v>
      </c>
      <c r="D417" s="8" t="s">
        <v>1063</v>
      </c>
      <c r="E417" s="7">
        <v>1989</v>
      </c>
      <c r="F417" s="36" t="str" cm="1">
        <f t="array" ref="F417">_xlfn.XLOOKUP(D417&amp;C417, Sheet3!$C$2:$C$1224&amp;Sheet3!$B$2:$B$1224, Sheet3!$D$2:$D$1224, "")</f>
        <v>igwbudis@yahoo.com</v>
      </c>
      <c r="G417" s="1" t="str" cm="1">
        <f t="array" ref="G417">_xlfn.XLOOKUP(D417&amp;C417, Sheet2!$A$2:$A$558&amp;Sheet2!$B$2:$B$558, Sheet2!$C$2:$C$558, "")</f>
        <v/>
      </c>
      <c r="H417" s="40" t="str">
        <f t="shared" si="6"/>
        <v>igwbudis@yahoo.com</v>
      </c>
    </row>
    <row r="418" spans="1:8" ht="15.5" x14ac:dyDescent="0.35">
      <c r="A418" s="7">
        <v>417</v>
      </c>
      <c r="B418" s="8">
        <v>9854</v>
      </c>
      <c r="C418" s="31" t="s">
        <v>403</v>
      </c>
      <c r="D418" s="8" t="s">
        <v>1057</v>
      </c>
      <c r="E418" s="7">
        <v>1989</v>
      </c>
      <c r="F418" s="36" t="str" cm="1">
        <f t="array" ref="F418">_xlfn.XLOOKUP(D418&amp;C418, Sheet3!$C$2:$C$1224&amp;Sheet3!$B$2:$B$1224, Sheet3!$D$2:$D$1224, "")</f>
        <v/>
      </c>
      <c r="G418" s="1" t="str" cm="1">
        <f t="array" ref="G418">_xlfn.XLOOKUP(D418&amp;C418, Sheet2!$A$2:$A$558&amp;Sheet2!$B$2:$B$558, Sheet2!$C$2:$C$558, "")</f>
        <v/>
      </c>
      <c r="H418" s="40" t="str">
        <f t="shared" si="6"/>
        <v/>
      </c>
    </row>
    <row r="419" spans="1:8" ht="15.5" x14ac:dyDescent="0.35">
      <c r="A419" s="7">
        <v>418</v>
      </c>
      <c r="B419" s="8">
        <v>1857</v>
      </c>
      <c r="C419" s="31" t="s">
        <v>404</v>
      </c>
      <c r="D419" s="8" t="s">
        <v>1059</v>
      </c>
      <c r="E419" s="7">
        <v>1989</v>
      </c>
      <c r="F419" s="36" t="str" cm="1">
        <f t="array" ref="F419">_xlfn.XLOOKUP(D419&amp;C419, Sheet3!$C$2:$C$1224&amp;Sheet3!$B$2:$B$1224, Sheet3!$D$2:$D$1224, "")</f>
        <v>dasukisy@gmail.com</v>
      </c>
      <c r="G419" s="1" t="str" cm="1">
        <f t="array" ref="G419">_xlfn.XLOOKUP(D419&amp;C419, Sheet2!$A$2:$A$558&amp;Sheet2!$B$2:$B$558, Sheet2!$C$2:$C$558, "")</f>
        <v/>
      </c>
      <c r="H419" s="40" t="str">
        <f t="shared" si="6"/>
        <v>dasukisy@gmail.com</v>
      </c>
    </row>
    <row r="420" spans="1:8" ht="15.5" x14ac:dyDescent="0.35">
      <c r="A420" s="7">
        <v>419</v>
      </c>
      <c r="B420" s="8">
        <v>11730</v>
      </c>
      <c r="C420" s="31" t="s">
        <v>405</v>
      </c>
      <c r="D420" s="8" t="s">
        <v>1061</v>
      </c>
      <c r="E420" s="7">
        <v>1989</v>
      </c>
      <c r="F420" s="36" t="str" cm="1">
        <f t="array" ref="F420">_xlfn.XLOOKUP(D420&amp;C420, Sheet3!$C$2:$C$1224&amp;Sheet3!$B$2:$B$1224, Sheet3!$D$2:$D$1224, "")</f>
        <v/>
      </c>
      <c r="G420" s="1" t="str" cm="1">
        <f t="array" ref="G420">_xlfn.XLOOKUP(D420&amp;C420, Sheet2!$A$2:$A$558&amp;Sheet2!$B$2:$B$558, Sheet2!$C$2:$C$558, "")</f>
        <v/>
      </c>
      <c r="H420" s="40" t="str">
        <f t="shared" si="6"/>
        <v/>
      </c>
    </row>
    <row r="421" spans="1:8" ht="15.5" x14ac:dyDescent="0.35">
      <c r="A421" s="7">
        <v>420</v>
      </c>
      <c r="B421" s="8">
        <v>12679</v>
      </c>
      <c r="C421" s="31" t="s">
        <v>5388</v>
      </c>
      <c r="D421" s="8" t="s">
        <v>1063</v>
      </c>
      <c r="E421" s="7">
        <v>1989</v>
      </c>
      <c r="F421" s="36" t="str" cm="1">
        <f t="array" ref="F421">_xlfn.XLOOKUP(D421&amp;C421, Sheet3!$C$2:$C$1224&amp;Sheet3!$B$2:$B$1224, Sheet3!$D$2:$D$1224, "")</f>
        <v>tjhie.sugianto@gmail.com</v>
      </c>
      <c r="G421" s="1" t="str" cm="1">
        <f t="array" ref="G421">_xlfn.XLOOKUP(D421&amp;C421, Sheet2!$A$2:$A$558&amp;Sheet2!$B$2:$B$558, Sheet2!$C$2:$C$558, "")</f>
        <v/>
      </c>
      <c r="H421" s="40" t="str">
        <f t="shared" si="6"/>
        <v>tjhie.sugianto@gmail.com</v>
      </c>
    </row>
    <row r="422" spans="1:8" ht="15.5" x14ac:dyDescent="0.35">
      <c r="A422" s="7">
        <v>421</v>
      </c>
      <c r="B422" s="8">
        <v>11463</v>
      </c>
      <c r="C422" s="31" t="s">
        <v>406</v>
      </c>
      <c r="D422" s="8" t="s">
        <v>1060</v>
      </c>
      <c r="E422" s="7">
        <v>1989</v>
      </c>
      <c r="F422" s="36" t="str" cm="1">
        <f t="array" ref="F422">_xlfn.XLOOKUP(D422&amp;C422, Sheet3!$C$2:$C$1224&amp;Sheet3!$B$2:$B$1224, Sheet3!$D$2:$D$1224, "")</f>
        <v/>
      </c>
      <c r="G422" s="1" t="str" cm="1">
        <f t="array" ref="G422">_xlfn.XLOOKUP(D422&amp;C422, Sheet2!$A$2:$A$558&amp;Sheet2!$B$2:$B$558, Sheet2!$C$2:$C$558, "")</f>
        <v/>
      </c>
      <c r="H422" s="40" t="str">
        <f t="shared" si="6"/>
        <v/>
      </c>
    </row>
    <row r="423" spans="1:8" ht="15.5" x14ac:dyDescent="0.35">
      <c r="A423" s="7">
        <v>422</v>
      </c>
      <c r="B423" s="8">
        <v>11443</v>
      </c>
      <c r="C423" s="31" t="s">
        <v>407</v>
      </c>
      <c r="D423" s="8" t="s">
        <v>1060</v>
      </c>
      <c r="E423" s="7">
        <v>1989</v>
      </c>
      <c r="F423" s="36" t="str" cm="1">
        <f t="array" ref="F423">_xlfn.XLOOKUP(D423&amp;C423, Sheet3!$C$2:$C$1224&amp;Sheet3!$B$2:$B$1224, Sheet3!$D$2:$D$1224, "")</f>
        <v/>
      </c>
      <c r="G423" s="1" t="str" cm="1">
        <f t="array" ref="G423">_xlfn.XLOOKUP(D423&amp;C423, Sheet2!$A$2:$A$558&amp;Sheet2!$B$2:$B$558, Sheet2!$C$2:$C$558, "")</f>
        <v/>
      </c>
      <c r="H423" s="40" t="str">
        <f t="shared" si="6"/>
        <v/>
      </c>
    </row>
    <row r="424" spans="1:8" ht="15.5" x14ac:dyDescent="0.35">
      <c r="A424" s="7">
        <v>423</v>
      </c>
      <c r="B424" s="8">
        <v>11720</v>
      </c>
      <c r="C424" s="31" t="s">
        <v>408</v>
      </c>
      <c r="D424" s="8" t="s">
        <v>1061</v>
      </c>
      <c r="E424" s="7">
        <v>1989</v>
      </c>
      <c r="F424" s="36" t="str" cm="1">
        <f t="array" ref="F424">_xlfn.XLOOKUP(D424&amp;C424, Sheet3!$C$2:$C$1224&amp;Sheet3!$B$2:$B$1224, Sheet3!$D$2:$D$1224, "")</f>
        <v>komangwidana.id@gmail.com</v>
      </c>
      <c r="G424" s="1" t="str" cm="1">
        <f t="array" ref="G424">_xlfn.XLOOKUP(D424&amp;C424, Sheet2!$A$2:$A$558&amp;Sheet2!$B$2:$B$558, Sheet2!$C$2:$C$558, "")</f>
        <v/>
      </c>
      <c r="H424" s="40" t="str">
        <f t="shared" si="6"/>
        <v>komangwidana.id@gmail.com</v>
      </c>
    </row>
    <row r="425" spans="1:8" ht="15.5" x14ac:dyDescent="0.35">
      <c r="A425" s="7">
        <v>424</v>
      </c>
      <c r="B425" s="8">
        <v>9957</v>
      </c>
      <c r="C425" s="31" t="s">
        <v>409</v>
      </c>
      <c r="D425" s="8" t="s">
        <v>1057</v>
      </c>
      <c r="E425" s="7">
        <v>1989</v>
      </c>
      <c r="F425" s="36" t="str" cm="1">
        <f t="array" ref="F425">_xlfn.XLOOKUP(D425&amp;C425, Sheet3!$C$2:$C$1224&amp;Sheet3!$B$2:$B$1224, Sheet3!$D$2:$D$1224, "")</f>
        <v/>
      </c>
      <c r="G425" s="1" t="str" cm="1">
        <f t="array" ref="G425">_xlfn.XLOOKUP(D425&amp;C425, Sheet2!$A$2:$A$558&amp;Sheet2!$B$2:$B$558, Sheet2!$C$2:$C$558, "")</f>
        <v/>
      </c>
      <c r="H425" s="40" t="str">
        <f t="shared" si="6"/>
        <v/>
      </c>
    </row>
    <row r="426" spans="1:8" ht="15.5" x14ac:dyDescent="0.35">
      <c r="A426" s="7">
        <v>425</v>
      </c>
      <c r="B426" s="8">
        <v>7156</v>
      </c>
      <c r="C426" s="31" t="s">
        <v>410</v>
      </c>
      <c r="D426" s="8" t="s">
        <v>1049</v>
      </c>
      <c r="E426" s="7">
        <v>1989</v>
      </c>
      <c r="F426" s="36" t="str" cm="1">
        <f t="array" ref="F426">_xlfn.XLOOKUP(D426&amp;C426, Sheet3!$C$2:$C$1224&amp;Sheet3!$B$2:$B$1224, Sheet3!$D$2:$D$1224, "")</f>
        <v/>
      </c>
      <c r="G426" s="1" t="str" cm="1">
        <f t="array" ref="G426">_xlfn.XLOOKUP(D426&amp;C426, Sheet2!$A$2:$A$558&amp;Sheet2!$B$2:$B$558, Sheet2!$C$2:$C$558, "")</f>
        <v/>
      </c>
      <c r="H426" s="40" t="str">
        <f t="shared" si="6"/>
        <v/>
      </c>
    </row>
    <row r="427" spans="1:8" ht="15.5" x14ac:dyDescent="0.35">
      <c r="A427" s="7">
        <v>426</v>
      </c>
      <c r="B427" s="8">
        <v>11736</v>
      </c>
      <c r="C427" s="31" t="s">
        <v>411</v>
      </c>
      <c r="D427" s="8" t="s">
        <v>1061</v>
      </c>
      <c r="E427" s="7">
        <v>1989</v>
      </c>
      <c r="F427" s="36" t="str" cm="1">
        <f t="array" ref="F427">_xlfn.XLOOKUP(D427&amp;C427, Sheet3!$C$2:$C$1224&amp;Sheet3!$B$2:$B$1224, Sheet3!$D$2:$D$1224, "")</f>
        <v/>
      </c>
      <c r="G427" s="1" t="str" cm="1">
        <f t="array" ref="G427">_xlfn.XLOOKUP(D427&amp;C427, Sheet2!$A$2:$A$558&amp;Sheet2!$B$2:$B$558, Sheet2!$C$2:$C$558, "")</f>
        <v/>
      </c>
      <c r="H427" s="40" t="str">
        <f t="shared" si="6"/>
        <v/>
      </c>
    </row>
    <row r="428" spans="1:8" ht="15.5" x14ac:dyDescent="0.35">
      <c r="A428" s="7">
        <v>427</v>
      </c>
      <c r="B428" s="8">
        <v>9686</v>
      </c>
      <c r="C428" s="31" t="s">
        <v>412</v>
      </c>
      <c r="D428" s="8" t="s">
        <v>1057</v>
      </c>
      <c r="E428" s="7">
        <v>1989</v>
      </c>
      <c r="F428" s="36" t="str" cm="1">
        <f t="array" ref="F428">_xlfn.XLOOKUP(D428&amp;C428, Sheet3!$C$2:$C$1224&amp;Sheet3!$B$2:$B$1224, Sheet3!$D$2:$D$1224, "")</f>
        <v/>
      </c>
      <c r="G428" s="1" t="str" cm="1">
        <f t="array" ref="G428">_xlfn.XLOOKUP(D428&amp;C428, Sheet2!$A$2:$A$558&amp;Sheet2!$B$2:$B$558, Sheet2!$C$2:$C$558, "")</f>
        <v/>
      </c>
      <c r="H428" s="40" t="str">
        <f t="shared" si="6"/>
        <v/>
      </c>
    </row>
    <row r="429" spans="1:8" ht="15.5" x14ac:dyDescent="0.35">
      <c r="A429" s="7">
        <v>428</v>
      </c>
      <c r="B429" s="8">
        <v>11794</v>
      </c>
      <c r="C429" s="31" t="s">
        <v>413</v>
      </c>
      <c r="D429" s="8" t="s">
        <v>1061</v>
      </c>
      <c r="E429" s="7">
        <v>1989</v>
      </c>
      <c r="F429" s="36" t="str" cm="1">
        <f t="array" ref="F429">_xlfn.XLOOKUP(D429&amp;C429, Sheet3!$C$2:$C$1224&amp;Sheet3!$B$2:$B$1224, Sheet3!$D$2:$D$1224, "")</f>
        <v>jktrilaksono2763@gmail.com</v>
      </c>
      <c r="G429" s="1" t="str" cm="1">
        <f t="array" ref="G429">_xlfn.XLOOKUP(D429&amp;C429, Sheet2!$A$2:$A$558&amp;Sheet2!$B$2:$B$558, Sheet2!$C$2:$C$558, "")</f>
        <v/>
      </c>
      <c r="H429" s="40" t="str">
        <f t="shared" si="6"/>
        <v>jktrilaksono2763@gmail.com</v>
      </c>
    </row>
    <row r="430" spans="1:8" ht="15.5" x14ac:dyDescent="0.35">
      <c r="A430" s="7">
        <v>429</v>
      </c>
      <c r="B430" s="8">
        <v>7944</v>
      </c>
      <c r="C430" s="31" t="s">
        <v>414</v>
      </c>
      <c r="D430" s="8" t="s">
        <v>1051</v>
      </c>
      <c r="E430" s="7">
        <v>1989</v>
      </c>
      <c r="F430" s="36" t="str" cm="1">
        <f t="array" ref="F430">_xlfn.XLOOKUP(D430&amp;C430, Sheet3!$C$2:$C$1224&amp;Sheet3!$B$2:$B$1224, Sheet3!$D$2:$D$1224, "")</f>
        <v/>
      </c>
      <c r="G430" s="1" t="str" cm="1">
        <f t="array" ref="G430">_xlfn.XLOOKUP(D430&amp;C430, Sheet2!$A$2:$A$558&amp;Sheet2!$B$2:$B$558, Sheet2!$C$2:$C$558, "")</f>
        <v/>
      </c>
      <c r="H430" s="40" t="str">
        <f t="shared" si="6"/>
        <v/>
      </c>
    </row>
    <row r="431" spans="1:8" ht="15.5" x14ac:dyDescent="0.35">
      <c r="A431" s="7">
        <v>430</v>
      </c>
      <c r="B431" s="8">
        <v>11437</v>
      </c>
      <c r="C431" s="31" t="s">
        <v>415</v>
      </c>
      <c r="D431" s="8" t="s">
        <v>1060</v>
      </c>
      <c r="E431" s="7">
        <v>1989</v>
      </c>
      <c r="F431" s="36" t="str" cm="1">
        <f t="array" ref="F431">_xlfn.XLOOKUP(D431&amp;C431, Sheet3!$C$2:$C$1224&amp;Sheet3!$B$2:$B$1224, Sheet3!$D$2:$D$1224, "")</f>
        <v/>
      </c>
      <c r="G431" s="1" t="str" cm="1">
        <f t="array" ref="G431">_xlfn.XLOOKUP(D431&amp;C431, Sheet2!$A$2:$A$558&amp;Sheet2!$B$2:$B$558, Sheet2!$C$2:$C$558, "")</f>
        <v/>
      </c>
      <c r="H431" s="40" t="str">
        <f t="shared" si="6"/>
        <v/>
      </c>
    </row>
    <row r="432" spans="1:8" ht="15.5" x14ac:dyDescent="0.35">
      <c r="A432" s="7">
        <v>431</v>
      </c>
      <c r="B432" s="8">
        <v>11479</v>
      </c>
      <c r="C432" s="31" t="s">
        <v>416</v>
      </c>
      <c r="D432" s="8" t="s">
        <v>1060</v>
      </c>
      <c r="E432" s="7">
        <v>1989</v>
      </c>
      <c r="F432" s="36" t="str" cm="1">
        <f t="array" ref="F432">_xlfn.XLOOKUP(D432&amp;C432, Sheet3!$C$2:$C$1224&amp;Sheet3!$B$2:$B$1224, Sheet3!$D$2:$D$1224, "")</f>
        <v/>
      </c>
      <c r="G432" s="1" t="str" cm="1">
        <f t="array" ref="G432">_xlfn.XLOOKUP(D432&amp;C432, Sheet2!$A$2:$A$558&amp;Sheet2!$B$2:$B$558, Sheet2!$C$2:$C$558, "")</f>
        <v/>
      </c>
      <c r="H432" s="40" t="str">
        <f t="shared" si="6"/>
        <v/>
      </c>
    </row>
    <row r="433" spans="1:8" ht="15.5" x14ac:dyDescent="0.35">
      <c r="A433" s="7">
        <v>432</v>
      </c>
      <c r="B433" s="8">
        <v>9753</v>
      </c>
      <c r="C433" s="31" t="s">
        <v>417</v>
      </c>
      <c r="D433" s="8" t="s">
        <v>1057</v>
      </c>
      <c r="E433" s="7">
        <v>1989</v>
      </c>
      <c r="F433" s="36" t="str" cm="1">
        <f t="array" ref="F433">_xlfn.XLOOKUP(D433&amp;C433, Sheet3!$C$2:$C$1224&amp;Sheet3!$B$2:$B$1224, Sheet3!$D$2:$D$1224, "")</f>
        <v/>
      </c>
      <c r="G433" s="1" t="str" cm="1">
        <f t="array" ref="G433">_xlfn.XLOOKUP(D433&amp;C433, Sheet2!$A$2:$A$558&amp;Sheet2!$B$2:$B$558, Sheet2!$C$2:$C$558, "")</f>
        <v/>
      </c>
      <c r="H433" s="40" t="str">
        <f t="shared" si="6"/>
        <v/>
      </c>
    </row>
    <row r="434" spans="1:8" ht="15.5" x14ac:dyDescent="0.35">
      <c r="A434" s="7">
        <v>433</v>
      </c>
      <c r="B434" s="8">
        <v>12657</v>
      </c>
      <c r="C434" s="31" t="s">
        <v>418</v>
      </c>
      <c r="D434" s="8" t="s">
        <v>1063</v>
      </c>
      <c r="E434" s="7">
        <v>1989</v>
      </c>
      <c r="F434" s="36" t="str" cm="1">
        <f t="array" ref="F434">_xlfn.XLOOKUP(D434&amp;C434, Sheet3!$C$2:$C$1224&amp;Sheet3!$B$2:$B$1224, Sheet3!$D$2:$D$1224, "")</f>
        <v/>
      </c>
      <c r="G434" s="1" t="str" cm="1">
        <f t="array" ref="G434">_xlfn.XLOOKUP(D434&amp;C434, Sheet2!$A$2:$A$558&amp;Sheet2!$B$2:$B$558, Sheet2!$C$2:$C$558, "")</f>
        <v/>
      </c>
      <c r="H434" s="40" t="str">
        <f t="shared" si="6"/>
        <v/>
      </c>
    </row>
    <row r="435" spans="1:8" ht="15.5" x14ac:dyDescent="0.35">
      <c r="A435" s="7">
        <v>434</v>
      </c>
      <c r="B435" s="8">
        <v>7194</v>
      </c>
      <c r="C435" s="31" t="s">
        <v>419</v>
      </c>
      <c r="D435" s="8" t="s">
        <v>1049</v>
      </c>
      <c r="E435" s="7">
        <v>1989</v>
      </c>
      <c r="F435" s="36" t="str" cm="1">
        <f t="array" ref="F435">_xlfn.XLOOKUP(D435&amp;C435, Sheet3!$C$2:$C$1224&amp;Sheet3!$B$2:$B$1224, Sheet3!$D$2:$D$1224, "")</f>
        <v/>
      </c>
      <c r="G435" s="1" t="str" cm="1">
        <f t="array" ref="G435">_xlfn.XLOOKUP(D435&amp;C435, Sheet2!$A$2:$A$558&amp;Sheet2!$B$2:$B$558, Sheet2!$C$2:$C$558, "")</f>
        <v/>
      </c>
      <c r="H435" s="40" t="str">
        <f t="shared" si="6"/>
        <v/>
      </c>
    </row>
    <row r="436" spans="1:8" ht="15.5" x14ac:dyDescent="0.35">
      <c r="A436" s="7">
        <v>435</v>
      </c>
      <c r="B436" s="8">
        <v>11449</v>
      </c>
      <c r="C436" s="31" t="s">
        <v>420</v>
      </c>
      <c r="D436" s="8" t="s">
        <v>1060</v>
      </c>
      <c r="E436" s="7">
        <v>1989</v>
      </c>
      <c r="F436" s="36" t="str" cm="1">
        <f t="array" ref="F436">_xlfn.XLOOKUP(D436&amp;C436, Sheet3!$C$2:$C$1224&amp;Sheet3!$B$2:$B$1224, Sheet3!$D$2:$D$1224, "")</f>
        <v/>
      </c>
      <c r="G436" s="1" t="str" cm="1">
        <f t="array" ref="G436">_xlfn.XLOOKUP(D436&amp;C436, Sheet2!$A$2:$A$558&amp;Sheet2!$B$2:$B$558, Sheet2!$C$2:$C$558, "")</f>
        <v/>
      </c>
      <c r="H436" s="40" t="str">
        <f t="shared" si="6"/>
        <v/>
      </c>
    </row>
    <row r="437" spans="1:8" ht="15.5" x14ac:dyDescent="0.35">
      <c r="A437" s="7">
        <v>436</v>
      </c>
      <c r="B437" s="8">
        <v>7067</v>
      </c>
      <c r="C437" s="31" t="s">
        <v>421</v>
      </c>
      <c r="D437" s="8" t="s">
        <v>1049</v>
      </c>
      <c r="E437" s="7">
        <v>1989</v>
      </c>
      <c r="F437" s="36" t="str" cm="1">
        <f t="array" ref="F437">_xlfn.XLOOKUP(D437&amp;C437, Sheet3!$C$2:$C$1224&amp;Sheet3!$B$2:$B$1224, Sheet3!$D$2:$D$1224, "")</f>
        <v/>
      </c>
      <c r="G437" s="1" t="str" cm="1">
        <f t="array" ref="G437">_xlfn.XLOOKUP(D437&amp;C437, Sheet2!$A$2:$A$558&amp;Sheet2!$B$2:$B$558, Sheet2!$C$2:$C$558, "")</f>
        <v/>
      </c>
      <c r="H437" s="40" t="str">
        <f t="shared" si="6"/>
        <v/>
      </c>
    </row>
    <row r="438" spans="1:8" ht="15.5" x14ac:dyDescent="0.35">
      <c r="A438" s="7">
        <v>437</v>
      </c>
      <c r="B438" s="8">
        <v>9844</v>
      </c>
      <c r="C438" s="31" t="s">
        <v>422</v>
      </c>
      <c r="D438" s="8" t="s">
        <v>1057</v>
      </c>
      <c r="E438" s="7">
        <v>1989</v>
      </c>
      <c r="F438" s="36" t="str" cm="1">
        <f t="array" ref="F438">_xlfn.XLOOKUP(D438&amp;C438, Sheet3!$C$2:$C$1224&amp;Sheet3!$B$2:$B$1224, Sheet3!$D$2:$D$1224, "")</f>
        <v/>
      </c>
      <c r="G438" s="1" t="str" cm="1">
        <f t="array" ref="G438">_xlfn.XLOOKUP(D438&amp;C438, Sheet2!$A$2:$A$558&amp;Sheet2!$B$2:$B$558, Sheet2!$C$2:$C$558, "")</f>
        <v/>
      </c>
      <c r="H438" s="40" t="str">
        <f t="shared" si="6"/>
        <v/>
      </c>
    </row>
    <row r="439" spans="1:8" ht="15.5" x14ac:dyDescent="0.35">
      <c r="A439" s="7">
        <v>438</v>
      </c>
      <c r="B439" s="8">
        <v>10870</v>
      </c>
      <c r="C439" s="31" t="s">
        <v>423</v>
      </c>
      <c r="D439" s="8" t="s">
        <v>1059</v>
      </c>
      <c r="E439" s="7">
        <v>1989</v>
      </c>
      <c r="F439" s="36" t="str" cm="1">
        <f t="array" ref="F439">_xlfn.XLOOKUP(D439&amp;C439, Sheet3!$C$2:$C$1224&amp;Sheet3!$B$2:$B$1224, Sheet3!$D$2:$D$1224, "")</f>
        <v/>
      </c>
      <c r="G439" s="1" t="str" cm="1">
        <f t="array" ref="G439">_xlfn.XLOOKUP(D439&amp;C439, Sheet2!$A$2:$A$558&amp;Sheet2!$B$2:$B$558, Sheet2!$C$2:$C$558, "")</f>
        <v/>
      </c>
      <c r="H439" s="40" t="str">
        <f t="shared" si="6"/>
        <v/>
      </c>
    </row>
    <row r="440" spans="1:8" ht="15.5" x14ac:dyDescent="0.35">
      <c r="A440" s="7">
        <v>439</v>
      </c>
      <c r="B440" s="8">
        <v>8818</v>
      </c>
      <c r="C440" s="31" t="s">
        <v>424</v>
      </c>
      <c r="D440" s="8" t="s">
        <v>1054</v>
      </c>
      <c r="E440" s="7">
        <v>1989</v>
      </c>
      <c r="F440" s="36" t="str" cm="1">
        <f t="array" ref="F440">_xlfn.XLOOKUP(D440&amp;C440, Sheet3!$C$2:$C$1224&amp;Sheet3!$B$2:$B$1224, Sheet3!$D$2:$D$1224, "")</f>
        <v/>
      </c>
      <c r="G440" s="1" t="str" cm="1">
        <f t="array" ref="G440">_xlfn.XLOOKUP(D440&amp;C440, Sheet2!$A$2:$A$558&amp;Sheet2!$B$2:$B$558, Sheet2!$C$2:$C$558, "")</f>
        <v/>
      </c>
      <c r="H440" s="40" t="str">
        <f t="shared" si="6"/>
        <v/>
      </c>
    </row>
    <row r="441" spans="1:8" ht="15.5" x14ac:dyDescent="0.35">
      <c r="A441" s="7">
        <v>440</v>
      </c>
      <c r="B441" s="8">
        <v>15100</v>
      </c>
      <c r="C441" s="31" t="s">
        <v>425</v>
      </c>
      <c r="D441" s="8" t="s">
        <v>1064</v>
      </c>
      <c r="E441" s="7">
        <v>1989</v>
      </c>
      <c r="F441" s="36" t="str" cm="1">
        <f t="array" ref="F441">_xlfn.XLOOKUP(D441&amp;C441, Sheet3!$C$2:$C$1224&amp;Sheet3!$B$2:$B$1224, Sheet3!$D$2:$D$1224, "")</f>
        <v/>
      </c>
      <c r="G441" s="1" t="str" cm="1">
        <f t="array" ref="G441">_xlfn.XLOOKUP(D441&amp;C441, Sheet2!$A$2:$A$558&amp;Sheet2!$B$2:$B$558, Sheet2!$C$2:$C$558, "")</f>
        <v/>
      </c>
      <c r="H441" s="40" t="str">
        <f t="shared" si="6"/>
        <v/>
      </c>
    </row>
    <row r="442" spans="1:8" ht="15.5" x14ac:dyDescent="0.35">
      <c r="A442" s="7">
        <v>441</v>
      </c>
      <c r="B442" s="8">
        <v>9939</v>
      </c>
      <c r="C442" s="31" t="s">
        <v>426</v>
      </c>
      <c r="D442" s="8" t="s">
        <v>1055</v>
      </c>
      <c r="E442" s="7">
        <v>1989</v>
      </c>
      <c r="F442" s="36" t="str" cm="1">
        <f t="array" ref="F442">_xlfn.XLOOKUP(D442&amp;C442, Sheet3!$C$2:$C$1224&amp;Sheet3!$B$2:$B$1224, Sheet3!$D$2:$D$1224, "")</f>
        <v/>
      </c>
      <c r="G442" s="1" t="str" cm="1">
        <f t="array" ref="G442">_xlfn.XLOOKUP(D442&amp;C442, Sheet2!$A$2:$A$558&amp;Sheet2!$B$2:$B$558, Sheet2!$C$2:$C$558, "")</f>
        <v/>
      </c>
      <c r="H442" s="40" t="str">
        <f t="shared" si="6"/>
        <v/>
      </c>
    </row>
    <row r="443" spans="1:8" ht="15.5" x14ac:dyDescent="0.35">
      <c r="A443" s="7">
        <v>442</v>
      </c>
      <c r="B443" s="8">
        <v>12643</v>
      </c>
      <c r="C443" s="31" t="s">
        <v>427</v>
      </c>
      <c r="D443" s="8" t="s">
        <v>1063</v>
      </c>
      <c r="E443" s="7">
        <v>1989</v>
      </c>
      <c r="F443" s="36" t="str" cm="1">
        <f t="array" ref="F443">_xlfn.XLOOKUP(D443&amp;C443, Sheet3!$C$2:$C$1224&amp;Sheet3!$B$2:$B$1224, Sheet3!$D$2:$D$1224, "")</f>
        <v/>
      </c>
      <c r="G443" s="1" t="str" cm="1">
        <f t="array" ref="G443">_xlfn.XLOOKUP(D443&amp;C443, Sheet2!$A$2:$A$558&amp;Sheet2!$B$2:$B$558, Sheet2!$C$2:$C$558, "")</f>
        <v/>
      </c>
      <c r="H443" s="40" t="str">
        <f t="shared" si="6"/>
        <v/>
      </c>
    </row>
    <row r="444" spans="1:8" ht="15.5" x14ac:dyDescent="0.35">
      <c r="A444" s="7">
        <v>443</v>
      </c>
      <c r="B444" s="8">
        <v>7075</v>
      </c>
      <c r="C444" s="31" t="s">
        <v>428</v>
      </c>
      <c r="D444" s="8" t="s">
        <v>1049</v>
      </c>
      <c r="E444" s="7">
        <v>1989</v>
      </c>
      <c r="F444" s="36" t="str" cm="1">
        <f t="array" ref="F444">_xlfn.XLOOKUP(D444&amp;C444, Sheet3!$C$2:$C$1224&amp;Sheet3!$B$2:$B$1224, Sheet3!$D$2:$D$1224, "")</f>
        <v/>
      </c>
      <c r="G444" s="1" t="str" cm="1">
        <f t="array" ref="G444">_xlfn.XLOOKUP(D444&amp;C444, Sheet2!$A$2:$A$558&amp;Sheet2!$B$2:$B$558, Sheet2!$C$2:$C$558, "")</f>
        <v/>
      </c>
      <c r="H444" s="40" t="str">
        <f t="shared" si="6"/>
        <v/>
      </c>
    </row>
    <row r="445" spans="1:8" ht="15.5" x14ac:dyDescent="0.35">
      <c r="A445" s="7">
        <v>444</v>
      </c>
      <c r="B445" s="8">
        <v>12325</v>
      </c>
      <c r="C445" s="31" t="s">
        <v>5828</v>
      </c>
      <c r="D445" s="8" t="s">
        <v>1063</v>
      </c>
      <c r="E445" s="7">
        <v>1989</v>
      </c>
      <c r="F445" s="36" t="str" cm="1">
        <f t="array" ref="F445">_xlfn.XLOOKUP(D445&amp;C445, Sheet3!$C$2:$C$1224&amp;Sheet3!$B$2:$B$1224, Sheet3!$D$2:$D$1224, "")</f>
        <v>ngurah.sidharta@gmail.com</v>
      </c>
      <c r="G445" s="1" t="str" cm="1">
        <f t="array" ref="G445">_xlfn.XLOOKUP(D445&amp;C445, Sheet2!$A$2:$A$558&amp;Sheet2!$B$2:$B$558, Sheet2!$C$2:$C$558, "")</f>
        <v>ngurah.sidharta@gmail.com</v>
      </c>
      <c r="H445" s="40" t="str">
        <f t="shared" si="6"/>
        <v>ngurah.sidharta@gmail.com</v>
      </c>
    </row>
    <row r="446" spans="1:8" ht="15.5" x14ac:dyDescent="0.35">
      <c r="A446" s="7">
        <v>445</v>
      </c>
      <c r="B446" s="8">
        <v>12625</v>
      </c>
      <c r="C446" s="31" t="s">
        <v>429</v>
      </c>
      <c r="D446" s="8" t="s">
        <v>1063</v>
      </c>
      <c r="E446" s="7">
        <v>1989</v>
      </c>
      <c r="F446" s="36" t="str" cm="1">
        <f t="array" ref="F446">_xlfn.XLOOKUP(D446&amp;C446, Sheet3!$C$2:$C$1224&amp;Sheet3!$B$2:$B$1224, Sheet3!$D$2:$D$1224, "")</f>
        <v/>
      </c>
      <c r="G446" s="1" t="str" cm="1">
        <f t="array" ref="G446">_xlfn.XLOOKUP(D446&amp;C446, Sheet2!$A$2:$A$558&amp;Sheet2!$B$2:$B$558, Sheet2!$C$2:$C$558, "")</f>
        <v/>
      </c>
      <c r="H446" s="40" t="str">
        <f t="shared" si="6"/>
        <v/>
      </c>
    </row>
    <row r="447" spans="1:8" ht="15.5" x14ac:dyDescent="0.35">
      <c r="A447" s="7">
        <v>446</v>
      </c>
      <c r="B447" s="8">
        <v>12318</v>
      </c>
      <c r="C447" s="31" t="s">
        <v>430</v>
      </c>
      <c r="D447" s="8" t="s">
        <v>1063</v>
      </c>
      <c r="E447" s="7">
        <v>1989</v>
      </c>
      <c r="F447" s="36" t="str" cm="1">
        <f t="array" ref="F447">_xlfn.XLOOKUP(D447&amp;C447, Sheet3!$C$2:$C$1224&amp;Sheet3!$B$2:$B$1224, Sheet3!$D$2:$D$1224, "")</f>
        <v/>
      </c>
      <c r="G447" s="1" t="str" cm="1">
        <f t="array" ref="G447">_xlfn.XLOOKUP(D447&amp;C447, Sheet2!$A$2:$A$558&amp;Sheet2!$B$2:$B$558, Sheet2!$C$2:$C$558, "")</f>
        <v/>
      </c>
      <c r="H447" s="40" t="str">
        <f t="shared" si="6"/>
        <v/>
      </c>
    </row>
    <row r="448" spans="1:8" ht="15.5" x14ac:dyDescent="0.35">
      <c r="A448" s="7">
        <v>447</v>
      </c>
      <c r="B448" s="8">
        <v>10657</v>
      </c>
      <c r="C448" s="31" t="s">
        <v>431</v>
      </c>
      <c r="D448" s="8" t="s">
        <v>1059</v>
      </c>
      <c r="E448" s="7">
        <v>1989</v>
      </c>
      <c r="F448" s="36" t="str" cm="1">
        <f t="array" ref="F448">_xlfn.XLOOKUP(D448&amp;C448, Sheet3!$C$2:$C$1224&amp;Sheet3!$B$2:$B$1224, Sheet3!$D$2:$D$1224, "")</f>
        <v>dadiek61@gmail.com</v>
      </c>
      <c r="G448" s="1" t="str" cm="1">
        <f t="array" ref="G448">_xlfn.XLOOKUP(D448&amp;C448, Sheet2!$A$2:$A$558&amp;Sheet2!$B$2:$B$558, Sheet2!$C$2:$C$558, "")</f>
        <v/>
      </c>
      <c r="H448" s="40" t="str">
        <f t="shared" si="6"/>
        <v>dadiek61@gmail.com</v>
      </c>
    </row>
    <row r="449" spans="1:8" ht="15.5" x14ac:dyDescent="0.35">
      <c r="A449" s="7">
        <v>448</v>
      </c>
      <c r="B449" s="8">
        <v>11751</v>
      </c>
      <c r="C449" s="31" t="s">
        <v>432</v>
      </c>
      <c r="D449" s="8" t="s">
        <v>1061</v>
      </c>
      <c r="E449" s="7">
        <v>1989</v>
      </c>
      <c r="F449" s="36" t="str" cm="1">
        <f t="array" ref="F449">_xlfn.XLOOKUP(D449&amp;C449, Sheet3!$C$2:$C$1224&amp;Sheet3!$B$2:$B$1224, Sheet3!$D$2:$D$1224, "")</f>
        <v/>
      </c>
      <c r="G449" s="1" t="str" cm="1">
        <f t="array" ref="G449">_xlfn.XLOOKUP(D449&amp;C449, Sheet2!$A$2:$A$558&amp;Sheet2!$B$2:$B$558, Sheet2!$C$2:$C$558, "")</f>
        <v/>
      </c>
      <c r="H449" s="40" t="str">
        <f t="shared" si="6"/>
        <v/>
      </c>
    </row>
    <row r="450" spans="1:8" ht="15.5" x14ac:dyDescent="0.35">
      <c r="A450" s="7">
        <v>449</v>
      </c>
      <c r="B450" s="8">
        <v>12335</v>
      </c>
      <c r="C450" s="31" t="s">
        <v>433</v>
      </c>
      <c r="D450" s="8" t="s">
        <v>1063</v>
      </c>
      <c r="E450" s="7">
        <v>1989</v>
      </c>
      <c r="F450" s="36" t="str" cm="1">
        <f t="array" ref="F450">_xlfn.XLOOKUP(D450&amp;C450, Sheet3!$C$2:$C$1224&amp;Sheet3!$B$2:$B$1224, Sheet3!$D$2:$D$1224, "")</f>
        <v/>
      </c>
      <c r="G450" s="1" t="str" cm="1">
        <f t="array" ref="G450">_xlfn.XLOOKUP(D450&amp;C450, Sheet2!$A$2:$A$558&amp;Sheet2!$B$2:$B$558, Sheet2!$C$2:$C$558, "")</f>
        <v/>
      </c>
      <c r="H450" s="40" t="str">
        <f t="shared" si="6"/>
        <v/>
      </c>
    </row>
    <row r="451" spans="1:8" ht="15.5" x14ac:dyDescent="0.35">
      <c r="A451" s="7">
        <v>450</v>
      </c>
      <c r="B451" s="8">
        <v>12319</v>
      </c>
      <c r="C451" s="31" t="s">
        <v>434</v>
      </c>
      <c r="D451" s="8" t="s">
        <v>1063</v>
      </c>
      <c r="E451" s="7">
        <v>1989</v>
      </c>
      <c r="F451" s="36" t="str" cm="1">
        <f t="array" ref="F451">_xlfn.XLOOKUP(D451&amp;C451, Sheet3!$C$2:$C$1224&amp;Sheet3!$B$2:$B$1224, Sheet3!$D$2:$D$1224, "")</f>
        <v/>
      </c>
      <c r="G451" s="1" t="str" cm="1">
        <f t="array" ref="G451">_xlfn.XLOOKUP(D451&amp;C451, Sheet2!$A$2:$A$558&amp;Sheet2!$B$2:$B$558, Sheet2!$C$2:$C$558, "")</f>
        <v/>
      </c>
      <c r="H451" s="40" t="str">
        <f t="shared" ref="H451:H514" si="7">IF(F451&lt;&gt;"",F451,G451)</f>
        <v/>
      </c>
    </row>
    <row r="452" spans="1:8" ht="15.5" x14ac:dyDescent="0.35">
      <c r="A452" s="7">
        <v>451</v>
      </c>
      <c r="B452" s="8">
        <v>10861</v>
      </c>
      <c r="C452" s="31" t="s">
        <v>38</v>
      </c>
      <c r="D452" s="8" t="s">
        <v>1059</v>
      </c>
      <c r="E452" s="7">
        <v>1989</v>
      </c>
      <c r="F452" s="36" t="str" cm="1">
        <f t="array" ref="F452">_xlfn.XLOOKUP(D452&amp;C452, Sheet3!$C$2:$C$1224&amp;Sheet3!$B$2:$B$1224, Sheet3!$D$2:$D$1224, "")</f>
        <v/>
      </c>
      <c r="G452" s="1" t="str" cm="1">
        <f t="array" ref="G452">_xlfn.XLOOKUP(D452&amp;C452, Sheet2!$A$2:$A$558&amp;Sheet2!$B$2:$B$558, Sheet2!$C$2:$C$558, "")</f>
        <v/>
      </c>
      <c r="H452" s="40" t="str">
        <f t="shared" si="7"/>
        <v/>
      </c>
    </row>
    <row r="453" spans="1:8" ht="15.5" x14ac:dyDescent="0.35">
      <c r="A453" s="7">
        <v>452</v>
      </c>
      <c r="B453" s="8">
        <v>11757</v>
      </c>
      <c r="C453" s="31" t="s">
        <v>435</v>
      </c>
      <c r="D453" s="8" t="s">
        <v>1061</v>
      </c>
      <c r="E453" s="7">
        <v>1989</v>
      </c>
      <c r="F453" s="36" t="str" cm="1">
        <f t="array" ref="F453">_xlfn.XLOOKUP(D453&amp;C453, Sheet3!$C$2:$C$1224&amp;Sheet3!$B$2:$B$1224, Sheet3!$D$2:$D$1224, "")</f>
        <v/>
      </c>
      <c r="G453" s="1" t="str" cm="1">
        <f t="array" ref="G453">_xlfn.XLOOKUP(D453&amp;C453, Sheet2!$A$2:$A$558&amp;Sheet2!$B$2:$B$558, Sheet2!$C$2:$C$558, "")</f>
        <v/>
      </c>
      <c r="H453" s="40" t="str">
        <f t="shared" si="7"/>
        <v/>
      </c>
    </row>
    <row r="454" spans="1:8" ht="15.5" x14ac:dyDescent="0.35">
      <c r="A454" s="7">
        <v>453</v>
      </c>
      <c r="B454" s="8">
        <v>9263</v>
      </c>
      <c r="C454" s="31" t="s">
        <v>436</v>
      </c>
      <c r="D454" s="8" t="s">
        <v>1055</v>
      </c>
      <c r="E454" s="7">
        <v>1989</v>
      </c>
      <c r="F454" s="36" t="str" cm="1">
        <f t="array" ref="F454">_xlfn.XLOOKUP(D454&amp;C454, Sheet3!$C$2:$C$1224&amp;Sheet3!$B$2:$B$1224, Sheet3!$D$2:$D$1224, "")</f>
        <v/>
      </c>
      <c r="G454" s="1" t="str" cm="1">
        <f t="array" ref="G454">_xlfn.XLOOKUP(D454&amp;C454, Sheet2!$A$2:$A$558&amp;Sheet2!$B$2:$B$558, Sheet2!$C$2:$C$558, "")</f>
        <v/>
      </c>
      <c r="H454" s="40" t="str">
        <f t="shared" si="7"/>
        <v/>
      </c>
    </row>
    <row r="455" spans="1:8" ht="15.5" x14ac:dyDescent="0.35">
      <c r="A455" s="7">
        <v>454</v>
      </c>
      <c r="B455" s="8">
        <v>11753</v>
      </c>
      <c r="C455" s="31" t="s">
        <v>437</v>
      </c>
      <c r="D455" s="8" t="s">
        <v>1061</v>
      </c>
      <c r="E455" s="7">
        <v>1989</v>
      </c>
      <c r="F455" s="36" t="str" cm="1">
        <f t="array" ref="F455">_xlfn.XLOOKUP(D455&amp;C455, Sheet3!$C$2:$C$1224&amp;Sheet3!$B$2:$B$1224, Sheet3!$D$2:$D$1224, "")</f>
        <v>sakurhamid18@gmail.com</v>
      </c>
      <c r="G455" s="1" t="str" cm="1">
        <f t="array" ref="G455">_xlfn.XLOOKUP(D455&amp;C455, Sheet2!$A$2:$A$558&amp;Sheet2!$B$2:$B$558, Sheet2!$C$2:$C$558, "")</f>
        <v/>
      </c>
      <c r="H455" s="40" t="str">
        <f t="shared" si="7"/>
        <v>sakurhamid18@gmail.com</v>
      </c>
    </row>
    <row r="456" spans="1:8" ht="15.5" x14ac:dyDescent="0.35">
      <c r="A456" s="7">
        <v>455</v>
      </c>
      <c r="B456" s="8">
        <v>11468</v>
      </c>
      <c r="C456" s="31" t="s">
        <v>438</v>
      </c>
      <c r="D456" s="8" t="s">
        <v>1060</v>
      </c>
      <c r="E456" s="7">
        <v>1989</v>
      </c>
      <c r="F456" s="36" t="str" cm="1">
        <f t="array" ref="F456">_xlfn.XLOOKUP(D456&amp;C456, Sheet3!$C$2:$C$1224&amp;Sheet3!$B$2:$B$1224, Sheet3!$D$2:$D$1224, "")</f>
        <v/>
      </c>
      <c r="G456" s="1" t="str" cm="1">
        <f t="array" ref="G456">_xlfn.XLOOKUP(D456&amp;C456, Sheet2!$A$2:$A$558&amp;Sheet2!$B$2:$B$558, Sheet2!$C$2:$C$558, "")</f>
        <v/>
      </c>
      <c r="H456" s="40" t="str">
        <f t="shared" si="7"/>
        <v/>
      </c>
    </row>
    <row r="457" spans="1:8" ht="15.5" x14ac:dyDescent="0.35">
      <c r="A457" s="7">
        <v>456</v>
      </c>
      <c r="B457" s="8">
        <v>11729</v>
      </c>
      <c r="C457" s="31" t="s">
        <v>439</v>
      </c>
      <c r="D457" s="8" t="s">
        <v>1061</v>
      </c>
      <c r="E457" s="7">
        <v>1989</v>
      </c>
      <c r="F457" s="36" t="str" cm="1">
        <f t="array" ref="F457">_xlfn.XLOOKUP(D457&amp;C457, Sheet3!$C$2:$C$1224&amp;Sheet3!$B$2:$B$1224, Sheet3!$D$2:$D$1224, "")</f>
        <v/>
      </c>
      <c r="G457" s="1" t="str" cm="1">
        <f t="array" ref="G457">_xlfn.XLOOKUP(D457&amp;C457, Sheet2!$A$2:$A$558&amp;Sheet2!$B$2:$B$558, Sheet2!$C$2:$C$558, "")</f>
        <v/>
      </c>
      <c r="H457" s="40" t="str">
        <f t="shared" si="7"/>
        <v/>
      </c>
    </row>
    <row r="458" spans="1:8" ht="15.5" x14ac:dyDescent="0.35">
      <c r="A458" s="7">
        <v>457</v>
      </c>
      <c r="B458" s="8">
        <v>12989</v>
      </c>
      <c r="C458" s="31" t="s">
        <v>440</v>
      </c>
      <c r="D458" s="8" t="s">
        <v>1065</v>
      </c>
      <c r="E458" s="7">
        <v>1989</v>
      </c>
      <c r="F458" s="36" t="str" cm="1">
        <f t="array" ref="F458">_xlfn.XLOOKUP(D458&amp;C458, Sheet3!$C$2:$C$1224&amp;Sheet3!$B$2:$B$1224, Sheet3!$D$2:$D$1224, "")</f>
        <v/>
      </c>
      <c r="G458" s="1" t="str" cm="1">
        <f t="array" ref="G458">_xlfn.XLOOKUP(D458&amp;C458, Sheet2!$A$2:$A$558&amp;Sheet2!$B$2:$B$558, Sheet2!$C$2:$C$558, "")</f>
        <v/>
      </c>
      <c r="H458" s="40" t="str">
        <f t="shared" si="7"/>
        <v/>
      </c>
    </row>
    <row r="459" spans="1:8" ht="15.5" x14ac:dyDescent="0.35">
      <c r="A459" s="7">
        <v>458</v>
      </c>
      <c r="B459" s="8">
        <v>13033</v>
      </c>
      <c r="C459" s="31" t="s">
        <v>441</v>
      </c>
      <c r="D459" s="8" t="s">
        <v>1065</v>
      </c>
      <c r="E459" s="7">
        <v>1989</v>
      </c>
      <c r="F459" s="36" t="str" cm="1">
        <f t="array" ref="F459">_xlfn.XLOOKUP(D459&amp;C459, Sheet3!$C$2:$C$1224&amp;Sheet3!$B$2:$B$1224, Sheet3!$D$2:$D$1224, "")</f>
        <v>kurniabi37@yahoo.co.id</v>
      </c>
      <c r="G459" s="1" t="str" cm="1">
        <f t="array" ref="G459">_xlfn.XLOOKUP(D459&amp;C459, Sheet2!$A$2:$A$558&amp;Sheet2!$B$2:$B$558, Sheet2!$C$2:$C$558, "")</f>
        <v/>
      </c>
      <c r="H459" s="40" t="str">
        <f t="shared" si="7"/>
        <v>kurniabi37@yahoo.co.id</v>
      </c>
    </row>
    <row r="460" spans="1:8" ht="15.5" x14ac:dyDescent="0.35">
      <c r="A460" s="7">
        <v>459</v>
      </c>
      <c r="B460" s="8">
        <v>9741</v>
      </c>
      <c r="C460" s="31" t="s">
        <v>442</v>
      </c>
      <c r="D460" s="8" t="s">
        <v>1057</v>
      </c>
      <c r="E460" s="7">
        <v>1989</v>
      </c>
      <c r="F460" s="36" t="str" cm="1">
        <f t="array" ref="F460">_xlfn.XLOOKUP(D460&amp;C460, Sheet3!$C$2:$C$1224&amp;Sheet3!$B$2:$B$1224, Sheet3!$D$2:$D$1224, "")</f>
        <v/>
      </c>
      <c r="G460" s="1" t="str" cm="1">
        <f t="array" ref="G460">_xlfn.XLOOKUP(D460&amp;C460, Sheet2!$A$2:$A$558&amp;Sheet2!$B$2:$B$558, Sheet2!$C$2:$C$558, "")</f>
        <v/>
      </c>
      <c r="H460" s="40" t="str">
        <f t="shared" si="7"/>
        <v/>
      </c>
    </row>
    <row r="461" spans="1:8" ht="15.5" x14ac:dyDescent="0.35">
      <c r="A461" s="7">
        <v>460</v>
      </c>
      <c r="B461" s="8">
        <v>11738</v>
      </c>
      <c r="C461" s="31" t="s">
        <v>443</v>
      </c>
      <c r="D461" s="8" t="s">
        <v>1061</v>
      </c>
      <c r="E461" s="7">
        <v>1989</v>
      </c>
      <c r="F461" s="36" t="str" cm="1">
        <f t="array" ref="F461">_xlfn.XLOOKUP(D461&amp;C461, Sheet3!$C$2:$C$1224&amp;Sheet3!$B$2:$B$1224, Sheet3!$D$2:$D$1224, "")</f>
        <v/>
      </c>
      <c r="G461" s="1" t="str" cm="1">
        <f t="array" ref="G461">_xlfn.XLOOKUP(D461&amp;C461, Sheet2!$A$2:$A$558&amp;Sheet2!$B$2:$B$558, Sheet2!$C$2:$C$558, "")</f>
        <v/>
      </c>
      <c r="H461" s="40" t="str">
        <f t="shared" si="7"/>
        <v/>
      </c>
    </row>
    <row r="462" spans="1:8" ht="15.5" x14ac:dyDescent="0.35">
      <c r="A462" s="7">
        <v>461</v>
      </c>
      <c r="B462" s="8">
        <v>11758</v>
      </c>
      <c r="C462" s="31" t="s">
        <v>444</v>
      </c>
      <c r="D462" s="8" t="s">
        <v>1061</v>
      </c>
      <c r="E462" s="7">
        <v>1989</v>
      </c>
      <c r="F462" s="36" t="str" cm="1">
        <f t="array" ref="F462">_xlfn.XLOOKUP(D462&amp;C462, Sheet3!$C$2:$C$1224&amp;Sheet3!$B$2:$B$1224, Sheet3!$D$2:$D$1224, "")</f>
        <v>agusdwi.ab1546se@gmail.com</v>
      </c>
      <c r="G462" s="1" t="str" cm="1">
        <f t="array" ref="G462">_xlfn.XLOOKUP(D462&amp;C462, Sheet2!$A$2:$A$558&amp;Sheet2!$B$2:$B$558, Sheet2!$C$2:$C$558, "")</f>
        <v/>
      </c>
      <c r="H462" s="40" t="str">
        <f t="shared" si="7"/>
        <v>agusdwi.ab1546se@gmail.com</v>
      </c>
    </row>
    <row r="463" spans="1:8" ht="15.5" x14ac:dyDescent="0.35">
      <c r="A463" s="7">
        <v>462</v>
      </c>
      <c r="B463" s="8">
        <v>10461</v>
      </c>
      <c r="C463" s="31" t="s">
        <v>445</v>
      </c>
      <c r="D463" s="8" t="s">
        <v>1058</v>
      </c>
      <c r="E463" s="7">
        <v>1989</v>
      </c>
      <c r="F463" s="36" t="str" cm="1">
        <f t="array" ref="F463">_xlfn.XLOOKUP(D463&amp;C463, Sheet3!$C$2:$C$1224&amp;Sheet3!$B$2:$B$1224, Sheet3!$D$2:$D$1224, "")</f>
        <v/>
      </c>
      <c r="G463" s="1" t="str" cm="1">
        <f t="array" ref="G463">_xlfn.XLOOKUP(D463&amp;C463, Sheet2!$A$2:$A$558&amp;Sheet2!$B$2:$B$558, Sheet2!$C$2:$C$558, "")</f>
        <v/>
      </c>
      <c r="H463" s="40" t="str">
        <f t="shared" si="7"/>
        <v/>
      </c>
    </row>
    <row r="464" spans="1:8" ht="15.5" x14ac:dyDescent="0.35">
      <c r="A464" s="7">
        <v>463</v>
      </c>
      <c r="B464" s="8">
        <v>8213</v>
      </c>
      <c r="C464" s="31" t="s">
        <v>446</v>
      </c>
      <c r="D464" s="8" t="s">
        <v>1053</v>
      </c>
      <c r="E464" s="7">
        <v>1989</v>
      </c>
      <c r="F464" s="36" t="str" cm="1">
        <f t="array" ref="F464">_xlfn.XLOOKUP(D464&amp;C464, Sheet3!$C$2:$C$1224&amp;Sheet3!$B$2:$B$1224, Sheet3!$D$2:$D$1224, "")</f>
        <v/>
      </c>
      <c r="G464" s="1" t="str" cm="1">
        <f t="array" ref="G464">_xlfn.XLOOKUP(D464&amp;C464, Sheet2!$A$2:$A$558&amp;Sheet2!$B$2:$B$558, Sheet2!$C$2:$C$558, "")</f>
        <v/>
      </c>
      <c r="H464" s="40" t="str">
        <f t="shared" si="7"/>
        <v/>
      </c>
    </row>
    <row r="465" spans="1:8" ht="15.5" x14ac:dyDescent="0.35">
      <c r="A465" s="7">
        <v>464</v>
      </c>
      <c r="B465" s="8">
        <v>13097</v>
      </c>
      <c r="C465" s="31" t="s">
        <v>447</v>
      </c>
      <c r="D465" s="8" t="s">
        <v>1065</v>
      </c>
      <c r="E465" s="7">
        <v>1989</v>
      </c>
      <c r="F465" s="36" t="str" cm="1">
        <f t="array" ref="F465">_xlfn.XLOOKUP(D465&amp;C465, Sheet3!$C$2:$C$1224&amp;Sheet3!$B$2:$B$1224, Sheet3!$D$2:$D$1224, "")</f>
        <v/>
      </c>
      <c r="G465" s="1" t="str" cm="1">
        <f t="array" ref="G465">_xlfn.XLOOKUP(D465&amp;C465, Sheet2!$A$2:$A$558&amp;Sheet2!$B$2:$B$558, Sheet2!$C$2:$C$558, "")</f>
        <v/>
      </c>
      <c r="H465" s="40" t="str">
        <f t="shared" si="7"/>
        <v/>
      </c>
    </row>
    <row r="466" spans="1:8" ht="15.5" x14ac:dyDescent="0.35">
      <c r="A466" s="7">
        <v>465</v>
      </c>
      <c r="B466" s="8">
        <v>12348</v>
      </c>
      <c r="C466" s="31" t="s">
        <v>448</v>
      </c>
      <c r="D466" s="8" t="s">
        <v>1063</v>
      </c>
      <c r="E466" s="7">
        <v>1989</v>
      </c>
      <c r="F466" s="36" t="str" cm="1">
        <f t="array" ref="F466">_xlfn.XLOOKUP(D466&amp;C466, Sheet3!$C$2:$C$1224&amp;Sheet3!$B$2:$B$1224, Sheet3!$D$2:$D$1224, "")</f>
        <v>gabriel333wibawa@gmail.com</v>
      </c>
      <c r="G466" s="1" t="str" cm="1">
        <f t="array" ref="G466">_xlfn.XLOOKUP(D466&amp;C466, Sheet2!$A$2:$A$558&amp;Sheet2!$B$2:$B$558, Sheet2!$C$2:$C$558, "")</f>
        <v/>
      </c>
      <c r="H466" s="40" t="str">
        <f t="shared" si="7"/>
        <v>gabriel333wibawa@gmail.com</v>
      </c>
    </row>
    <row r="467" spans="1:8" ht="15.5" x14ac:dyDescent="0.35">
      <c r="A467" s="7">
        <v>466</v>
      </c>
      <c r="B467" s="8">
        <v>9206</v>
      </c>
      <c r="C467" s="31" t="s">
        <v>449</v>
      </c>
      <c r="D467" s="8" t="s">
        <v>1055</v>
      </c>
      <c r="E467" s="7">
        <v>1989</v>
      </c>
      <c r="F467" s="36" t="str" cm="1">
        <f t="array" ref="F467">_xlfn.XLOOKUP(D467&amp;C467, Sheet3!$C$2:$C$1224&amp;Sheet3!$B$2:$B$1224, Sheet3!$D$2:$D$1224, "")</f>
        <v/>
      </c>
      <c r="G467" s="1" t="str" cm="1">
        <f t="array" ref="G467">_xlfn.XLOOKUP(D467&amp;C467, Sheet2!$A$2:$A$558&amp;Sheet2!$B$2:$B$558, Sheet2!$C$2:$C$558, "")</f>
        <v/>
      </c>
      <c r="H467" s="40" t="str">
        <f t="shared" si="7"/>
        <v/>
      </c>
    </row>
    <row r="468" spans="1:8" ht="15.5" x14ac:dyDescent="0.35">
      <c r="A468" s="7">
        <v>467</v>
      </c>
      <c r="B468" s="8">
        <v>12622</v>
      </c>
      <c r="C468" s="31" t="s">
        <v>450</v>
      </c>
      <c r="D468" s="8" t="s">
        <v>1063</v>
      </c>
      <c r="E468" s="7">
        <v>1989</v>
      </c>
      <c r="F468" s="36" t="str" cm="1">
        <f t="array" ref="F468">_xlfn.XLOOKUP(D468&amp;C468, Sheet3!$C$2:$C$1224&amp;Sheet3!$B$2:$B$1224, Sheet3!$D$2:$D$1224, "")</f>
        <v/>
      </c>
      <c r="G468" s="1" t="str" cm="1">
        <f t="array" ref="G468">_xlfn.XLOOKUP(D468&amp;C468, Sheet2!$A$2:$A$558&amp;Sheet2!$B$2:$B$558, Sheet2!$C$2:$C$558, "")</f>
        <v/>
      </c>
      <c r="H468" s="40" t="str">
        <f t="shared" si="7"/>
        <v/>
      </c>
    </row>
    <row r="469" spans="1:8" ht="15.5" x14ac:dyDescent="0.35">
      <c r="A469" s="7">
        <v>468</v>
      </c>
      <c r="B469" s="8">
        <v>8331</v>
      </c>
      <c r="C469" s="31" t="s">
        <v>451</v>
      </c>
      <c r="D469" s="8" t="s">
        <v>1053</v>
      </c>
      <c r="E469" s="7">
        <v>1989</v>
      </c>
      <c r="F469" s="36" t="str" cm="1">
        <f t="array" ref="F469">_xlfn.XLOOKUP(D469&amp;C469, Sheet3!$C$2:$C$1224&amp;Sheet3!$B$2:$B$1224, Sheet3!$D$2:$D$1224, "")</f>
        <v/>
      </c>
      <c r="G469" s="1" t="str" cm="1">
        <f t="array" ref="G469">_xlfn.XLOOKUP(D469&amp;C469, Sheet2!$A$2:$A$558&amp;Sheet2!$B$2:$B$558, Sheet2!$C$2:$C$558, "")</f>
        <v/>
      </c>
      <c r="H469" s="40" t="str">
        <f t="shared" si="7"/>
        <v/>
      </c>
    </row>
    <row r="470" spans="1:8" ht="15.5" x14ac:dyDescent="0.35">
      <c r="A470" s="7">
        <v>469</v>
      </c>
      <c r="B470" s="8">
        <v>12635</v>
      </c>
      <c r="C470" s="31" t="s">
        <v>452</v>
      </c>
      <c r="D470" s="8" t="s">
        <v>1063</v>
      </c>
      <c r="E470" s="7">
        <v>1989</v>
      </c>
      <c r="F470" s="36" t="str" cm="1">
        <f t="array" ref="F470">_xlfn.XLOOKUP(D470&amp;C470, Sheet3!$C$2:$C$1224&amp;Sheet3!$B$2:$B$1224, Sheet3!$D$2:$D$1224, "")</f>
        <v/>
      </c>
      <c r="G470" s="1" t="str" cm="1">
        <f t="array" ref="G470">_xlfn.XLOOKUP(D470&amp;C470, Sheet2!$A$2:$A$558&amp;Sheet2!$B$2:$B$558, Sheet2!$C$2:$C$558, "")</f>
        <v/>
      </c>
      <c r="H470" s="40" t="str">
        <f t="shared" si="7"/>
        <v/>
      </c>
    </row>
    <row r="471" spans="1:8" ht="15.5" x14ac:dyDescent="0.35">
      <c r="A471" s="7">
        <v>470</v>
      </c>
      <c r="B471" s="8">
        <v>11415</v>
      </c>
      <c r="C471" s="31" t="s">
        <v>453</v>
      </c>
      <c r="D471" s="8" t="s">
        <v>1060</v>
      </c>
      <c r="E471" s="7">
        <v>1989</v>
      </c>
      <c r="F471" s="36" t="str" cm="1">
        <f t="array" ref="F471">_xlfn.XLOOKUP(D471&amp;C471, Sheet3!$C$2:$C$1224&amp;Sheet3!$B$2:$B$1224, Sheet3!$D$2:$D$1224, "")</f>
        <v/>
      </c>
      <c r="G471" s="1" t="str" cm="1">
        <f t="array" ref="G471">_xlfn.XLOOKUP(D471&amp;C471, Sheet2!$A$2:$A$558&amp;Sheet2!$B$2:$B$558, Sheet2!$C$2:$C$558, "")</f>
        <v/>
      </c>
      <c r="H471" s="40" t="str">
        <f t="shared" si="7"/>
        <v/>
      </c>
    </row>
    <row r="472" spans="1:8" ht="15.5" x14ac:dyDescent="0.35">
      <c r="A472" s="7">
        <v>471</v>
      </c>
      <c r="B472" s="8">
        <v>10528</v>
      </c>
      <c r="C472" s="31" t="s">
        <v>454</v>
      </c>
      <c r="D472" s="8" t="s">
        <v>1058</v>
      </c>
      <c r="E472" s="7">
        <v>1989</v>
      </c>
      <c r="F472" s="36" t="str" cm="1">
        <f t="array" ref="F472">_xlfn.XLOOKUP(D472&amp;C472, Sheet3!$C$2:$C$1224&amp;Sheet3!$B$2:$B$1224, Sheet3!$D$2:$D$1224, "")</f>
        <v/>
      </c>
      <c r="G472" s="1" t="str" cm="1">
        <f t="array" ref="G472">_xlfn.XLOOKUP(D472&amp;C472, Sheet2!$A$2:$A$558&amp;Sheet2!$B$2:$B$558, Sheet2!$C$2:$C$558, "")</f>
        <v/>
      </c>
      <c r="H472" s="40" t="str">
        <f t="shared" si="7"/>
        <v/>
      </c>
    </row>
    <row r="473" spans="1:8" ht="15.5" x14ac:dyDescent="0.35">
      <c r="A473" s="7">
        <v>472</v>
      </c>
      <c r="B473" s="8">
        <v>9930</v>
      </c>
      <c r="C473" s="31" t="s">
        <v>455</v>
      </c>
      <c r="D473" s="8" t="s">
        <v>1057</v>
      </c>
      <c r="E473" s="7">
        <v>1989</v>
      </c>
      <c r="F473" s="36" t="str" cm="1">
        <f t="array" ref="F473">_xlfn.XLOOKUP(D473&amp;C473, Sheet3!$C$2:$C$1224&amp;Sheet3!$B$2:$B$1224, Sheet3!$D$2:$D$1224, "")</f>
        <v/>
      </c>
      <c r="G473" s="1" t="str" cm="1">
        <f t="array" ref="G473">_xlfn.XLOOKUP(D473&amp;C473, Sheet2!$A$2:$A$558&amp;Sheet2!$B$2:$B$558, Sheet2!$C$2:$C$558, "")</f>
        <v/>
      </c>
      <c r="H473" s="40" t="str">
        <f t="shared" si="7"/>
        <v/>
      </c>
    </row>
    <row r="474" spans="1:8" ht="15.5" x14ac:dyDescent="0.35">
      <c r="A474" s="7">
        <v>473</v>
      </c>
      <c r="B474" s="8">
        <v>9796</v>
      </c>
      <c r="C474" s="31" t="s">
        <v>456</v>
      </c>
      <c r="D474" s="8" t="s">
        <v>1057</v>
      </c>
      <c r="E474" s="7">
        <v>1989</v>
      </c>
      <c r="F474" s="36" t="str" cm="1">
        <f t="array" ref="F474">_xlfn.XLOOKUP(D474&amp;C474, Sheet3!$C$2:$C$1224&amp;Sheet3!$B$2:$B$1224, Sheet3!$D$2:$D$1224, "")</f>
        <v/>
      </c>
      <c r="G474" s="1" t="str" cm="1">
        <f t="array" ref="G474">_xlfn.XLOOKUP(D474&amp;C474, Sheet2!$A$2:$A$558&amp;Sheet2!$B$2:$B$558, Sheet2!$C$2:$C$558, "")</f>
        <v/>
      </c>
      <c r="H474" s="40" t="str">
        <f t="shared" si="7"/>
        <v/>
      </c>
    </row>
    <row r="475" spans="1:8" ht="15.5" x14ac:dyDescent="0.35">
      <c r="A475" s="7">
        <v>474</v>
      </c>
      <c r="B475" s="8">
        <v>12612</v>
      </c>
      <c r="C475" s="31" t="s">
        <v>457</v>
      </c>
      <c r="D475" s="8" t="s">
        <v>1063</v>
      </c>
      <c r="E475" s="7">
        <v>1989</v>
      </c>
      <c r="F475" s="36" t="str" cm="1">
        <f t="array" ref="F475">_xlfn.XLOOKUP(D475&amp;C475, Sheet3!$C$2:$C$1224&amp;Sheet3!$B$2:$B$1224, Sheet3!$D$2:$D$1224, "")</f>
        <v/>
      </c>
      <c r="G475" s="1" t="str" cm="1">
        <f t="array" ref="G475">_xlfn.XLOOKUP(D475&amp;C475, Sheet2!$A$2:$A$558&amp;Sheet2!$B$2:$B$558, Sheet2!$C$2:$C$558, "")</f>
        <v/>
      </c>
      <c r="H475" s="40" t="str">
        <f t="shared" si="7"/>
        <v/>
      </c>
    </row>
    <row r="476" spans="1:8" ht="15.5" x14ac:dyDescent="0.35">
      <c r="A476" s="7">
        <v>475</v>
      </c>
      <c r="B476" s="8">
        <v>10958</v>
      </c>
      <c r="C476" s="31" t="s">
        <v>458</v>
      </c>
      <c r="D476" s="8" t="s">
        <v>1059</v>
      </c>
      <c r="E476" s="7">
        <v>1989</v>
      </c>
      <c r="F476" s="36" t="str" cm="1">
        <f t="array" ref="F476">_xlfn.XLOOKUP(D476&amp;C476, Sheet3!$C$2:$C$1224&amp;Sheet3!$B$2:$B$1224, Sheet3!$D$2:$D$1224, "")</f>
        <v/>
      </c>
      <c r="G476" s="1" t="str" cm="1">
        <f t="array" ref="G476">_xlfn.XLOOKUP(D476&amp;C476, Sheet2!$A$2:$A$558&amp;Sheet2!$B$2:$B$558, Sheet2!$C$2:$C$558, "")</f>
        <v/>
      </c>
      <c r="H476" s="40" t="str">
        <f t="shared" si="7"/>
        <v/>
      </c>
    </row>
    <row r="477" spans="1:8" ht="15.5" x14ac:dyDescent="0.35">
      <c r="A477" s="7">
        <v>476</v>
      </c>
      <c r="B477" s="8">
        <v>11726</v>
      </c>
      <c r="C477" s="31" t="s">
        <v>459</v>
      </c>
      <c r="D477" s="8" t="s">
        <v>1061</v>
      </c>
      <c r="E477" s="7">
        <v>1989</v>
      </c>
      <c r="F477" s="36" t="str" cm="1">
        <f t="array" ref="F477">_xlfn.XLOOKUP(D477&amp;C477, Sheet3!$C$2:$C$1224&amp;Sheet3!$B$2:$B$1224, Sheet3!$D$2:$D$1224, "")</f>
        <v/>
      </c>
      <c r="G477" s="1" t="str" cm="1">
        <f t="array" ref="G477">_xlfn.XLOOKUP(D477&amp;C477, Sheet2!$A$2:$A$558&amp;Sheet2!$B$2:$B$558, Sheet2!$C$2:$C$558, "")</f>
        <v/>
      </c>
      <c r="H477" s="40" t="str">
        <f t="shared" si="7"/>
        <v/>
      </c>
    </row>
    <row r="478" spans="1:8" ht="15.5" x14ac:dyDescent="0.35">
      <c r="A478" s="7">
        <v>477</v>
      </c>
      <c r="B478" s="8">
        <v>11742</v>
      </c>
      <c r="C478" s="31" t="s">
        <v>460</v>
      </c>
      <c r="D478" s="8" t="s">
        <v>1061</v>
      </c>
      <c r="E478" s="7">
        <v>1989</v>
      </c>
      <c r="F478" s="36" t="str" cm="1">
        <f t="array" ref="F478">_xlfn.XLOOKUP(D478&amp;C478, Sheet3!$C$2:$C$1224&amp;Sheet3!$B$2:$B$1224, Sheet3!$D$2:$D$1224, "")</f>
        <v>muhtadi_gs@yahoo.com</v>
      </c>
      <c r="G478" s="1" t="str" cm="1">
        <f t="array" ref="G478">_xlfn.XLOOKUP(D478&amp;C478, Sheet2!$A$2:$A$558&amp;Sheet2!$B$2:$B$558, Sheet2!$C$2:$C$558, "")</f>
        <v/>
      </c>
      <c r="H478" s="40" t="str">
        <f t="shared" si="7"/>
        <v>muhtadi_gs@yahoo.com</v>
      </c>
    </row>
    <row r="479" spans="1:8" ht="15.5" x14ac:dyDescent="0.35">
      <c r="A479" s="7">
        <v>478</v>
      </c>
      <c r="B479" s="8">
        <v>12316</v>
      </c>
      <c r="C479" s="31" t="s">
        <v>461</v>
      </c>
      <c r="D479" s="8" t="s">
        <v>1063</v>
      </c>
      <c r="E479" s="7">
        <v>1989</v>
      </c>
      <c r="F479" s="36" t="str" cm="1">
        <f t="array" ref="F479">_xlfn.XLOOKUP(D479&amp;C479, Sheet3!$C$2:$C$1224&amp;Sheet3!$B$2:$B$1224, Sheet3!$D$2:$D$1224, "")</f>
        <v>64romanuz@gmail.com</v>
      </c>
      <c r="G479" s="1" t="str" cm="1">
        <f t="array" ref="G479">_xlfn.XLOOKUP(D479&amp;C479, Sheet2!$A$2:$A$558&amp;Sheet2!$B$2:$B$558, Sheet2!$C$2:$C$558, "")</f>
        <v/>
      </c>
      <c r="H479" s="40" t="str">
        <f t="shared" si="7"/>
        <v>64romanuz@gmail.com</v>
      </c>
    </row>
    <row r="480" spans="1:8" ht="15.5" x14ac:dyDescent="0.35">
      <c r="A480" s="7">
        <v>479</v>
      </c>
      <c r="B480" s="8">
        <v>12683</v>
      </c>
      <c r="C480" s="31" t="s">
        <v>462</v>
      </c>
      <c r="D480" s="8" t="s">
        <v>1063</v>
      </c>
      <c r="E480" s="7">
        <v>1989</v>
      </c>
      <c r="F480" s="36" t="str" cm="1">
        <f t="array" ref="F480">_xlfn.XLOOKUP(D480&amp;C480, Sheet3!$C$2:$C$1224&amp;Sheet3!$B$2:$B$1224, Sheet3!$D$2:$D$1224, "")</f>
        <v/>
      </c>
      <c r="G480" s="1" t="str" cm="1">
        <f t="array" ref="G480">_xlfn.XLOOKUP(D480&amp;C480, Sheet2!$A$2:$A$558&amp;Sheet2!$B$2:$B$558, Sheet2!$C$2:$C$558, "")</f>
        <v/>
      </c>
      <c r="H480" s="40" t="str">
        <f t="shared" si="7"/>
        <v/>
      </c>
    </row>
    <row r="481" spans="1:8" ht="15.5" x14ac:dyDescent="0.35">
      <c r="A481" s="7">
        <v>480</v>
      </c>
      <c r="B481" s="8">
        <v>12343</v>
      </c>
      <c r="C481" s="31" t="s">
        <v>463</v>
      </c>
      <c r="D481" s="8" t="s">
        <v>1063</v>
      </c>
      <c r="E481" s="7">
        <v>1989</v>
      </c>
      <c r="F481" s="36" t="str" cm="1">
        <f t="array" ref="F481">_xlfn.XLOOKUP(D481&amp;C481, Sheet3!$C$2:$C$1224&amp;Sheet3!$B$2:$B$1224, Sheet3!$D$2:$D$1224, "")</f>
        <v>andy721964@gmail.com</v>
      </c>
      <c r="G481" s="1" t="str" cm="1">
        <f t="array" ref="G481">_xlfn.XLOOKUP(D481&amp;C481, Sheet2!$A$2:$A$558&amp;Sheet2!$B$2:$B$558, Sheet2!$C$2:$C$558, "")</f>
        <v/>
      </c>
      <c r="H481" s="40" t="str">
        <f t="shared" si="7"/>
        <v>andy721964@gmail.com</v>
      </c>
    </row>
    <row r="482" spans="1:8" ht="15.5" x14ac:dyDescent="0.35">
      <c r="A482" s="7">
        <v>481</v>
      </c>
      <c r="B482" s="8">
        <v>9980</v>
      </c>
      <c r="C482" s="31" t="s">
        <v>464</v>
      </c>
      <c r="D482" s="8" t="s">
        <v>1057</v>
      </c>
      <c r="E482" s="7">
        <v>1989</v>
      </c>
      <c r="F482" s="36" t="str" cm="1">
        <f t="array" ref="F482">_xlfn.XLOOKUP(D482&amp;C482, Sheet3!$C$2:$C$1224&amp;Sheet3!$B$2:$B$1224, Sheet3!$D$2:$D$1224, "")</f>
        <v/>
      </c>
      <c r="G482" s="1" t="str" cm="1">
        <f t="array" ref="G482">_xlfn.XLOOKUP(D482&amp;C482, Sheet2!$A$2:$A$558&amp;Sheet2!$B$2:$B$558, Sheet2!$C$2:$C$558, "")</f>
        <v/>
      </c>
      <c r="H482" s="40" t="str">
        <f t="shared" si="7"/>
        <v/>
      </c>
    </row>
    <row r="483" spans="1:8" ht="15.5" x14ac:dyDescent="0.35">
      <c r="A483" s="7">
        <v>482</v>
      </c>
      <c r="B483" s="8">
        <v>12617</v>
      </c>
      <c r="C483" s="31" t="s">
        <v>465</v>
      </c>
      <c r="D483" s="8" t="s">
        <v>1063</v>
      </c>
      <c r="E483" s="7">
        <v>1989</v>
      </c>
      <c r="F483" s="36" t="str" cm="1">
        <f t="array" ref="F483">_xlfn.XLOOKUP(D483&amp;C483, Sheet3!$C$2:$C$1224&amp;Sheet3!$B$2:$B$1224, Sheet3!$D$2:$D$1224, "")</f>
        <v/>
      </c>
      <c r="G483" s="1" t="str" cm="1">
        <f t="array" ref="G483">_xlfn.XLOOKUP(D483&amp;C483, Sheet2!$A$2:$A$558&amp;Sheet2!$B$2:$B$558, Sheet2!$C$2:$C$558, "")</f>
        <v/>
      </c>
      <c r="H483" s="40" t="str">
        <f t="shared" si="7"/>
        <v/>
      </c>
    </row>
    <row r="484" spans="1:8" ht="15.5" x14ac:dyDescent="0.35">
      <c r="A484" s="7">
        <v>483</v>
      </c>
      <c r="B484" s="8">
        <v>8447</v>
      </c>
      <c r="C484" s="31" t="s">
        <v>466</v>
      </c>
      <c r="D484" s="8" t="s">
        <v>1053</v>
      </c>
      <c r="E484" s="7">
        <v>1989</v>
      </c>
      <c r="F484" s="36" t="str" cm="1">
        <f t="array" ref="F484">_xlfn.XLOOKUP(D484&amp;C484, Sheet3!$C$2:$C$1224&amp;Sheet3!$B$2:$B$1224, Sheet3!$D$2:$D$1224, "")</f>
        <v/>
      </c>
      <c r="G484" s="1" t="str" cm="1">
        <f t="array" ref="G484">_xlfn.XLOOKUP(D484&amp;C484, Sheet2!$A$2:$A$558&amp;Sheet2!$B$2:$B$558, Sheet2!$C$2:$C$558, "")</f>
        <v/>
      </c>
      <c r="H484" s="40" t="str">
        <f t="shared" si="7"/>
        <v/>
      </c>
    </row>
    <row r="485" spans="1:8" ht="15.5" x14ac:dyDescent="0.35">
      <c r="A485" s="7">
        <v>484</v>
      </c>
      <c r="B485" s="8">
        <v>8652</v>
      </c>
      <c r="C485" s="31" t="s">
        <v>467</v>
      </c>
      <c r="D485" s="8" t="s">
        <v>1054</v>
      </c>
      <c r="E485" s="7">
        <v>1989</v>
      </c>
      <c r="F485" s="36" t="str" cm="1">
        <f t="array" ref="F485">_xlfn.XLOOKUP(D485&amp;C485, Sheet3!$C$2:$C$1224&amp;Sheet3!$B$2:$B$1224, Sheet3!$D$2:$D$1224, "")</f>
        <v/>
      </c>
      <c r="G485" s="1" t="str" cm="1">
        <f t="array" ref="G485">_xlfn.XLOOKUP(D485&amp;C485, Sheet2!$A$2:$A$558&amp;Sheet2!$B$2:$B$558, Sheet2!$C$2:$C$558, "")</f>
        <v/>
      </c>
      <c r="H485" s="40" t="str">
        <f t="shared" si="7"/>
        <v/>
      </c>
    </row>
    <row r="486" spans="1:8" ht="15.5" x14ac:dyDescent="0.35">
      <c r="A486" s="7">
        <v>485</v>
      </c>
      <c r="B486" s="8">
        <v>12898</v>
      </c>
      <c r="C486" s="31" t="s">
        <v>468</v>
      </c>
      <c r="D486" s="8" t="s">
        <v>1065</v>
      </c>
      <c r="E486" s="7">
        <v>1990</v>
      </c>
      <c r="F486" s="36" t="str" cm="1">
        <f t="array" ref="F486">_xlfn.XLOOKUP(D486&amp;C486, Sheet3!$C$2:$C$1224&amp;Sheet3!$B$2:$B$1224, Sheet3!$D$2:$D$1224, "")</f>
        <v/>
      </c>
      <c r="G486" s="1" t="str" cm="1">
        <f t="array" ref="G486">_xlfn.XLOOKUP(D486&amp;C486, Sheet2!$A$2:$A$558&amp;Sheet2!$B$2:$B$558, Sheet2!$C$2:$C$558, "")</f>
        <v/>
      </c>
      <c r="H486" s="40" t="str">
        <f t="shared" si="7"/>
        <v/>
      </c>
    </row>
    <row r="487" spans="1:8" ht="15.5" x14ac:dyDescent="0.35">
      <c r="A487" s="7">
        <v>486</v>
      </c>
      <c r="B487" s="8">
        <v>12653</v>
      </c>
      <c r="C487" s="31" t="s">
        <v>469</v>
      </c>
      <c r="D487" s="8" t="s">
        <v>1063</v>
      </c>
      <c r="E487" s="7">
        <v>1990</v>
      </c>
      <c r="F487" s="36" t="str" cm="1">
        <f t="array" ref="F487">_xlfn.XLOOKUP(D487&amp;C487, Sheet3!$C$2:$C$1224&amp;Sheet3!$B$2:$B$1224, Sheet3!$D$2:$D$1224, "")</f>
        <v xml:space="preserve">tritristiaji@gmail.comt </v>
      </c>
      <c r="G487" s="1" t="str" cm="1">
        <f t="array" ref="G487">_xlfn.XLOOKUP(D487&amp;C487, Sheet2!$A$2:$A$558&amp;Sheet2!$B$2:$B$558, Sheet2!$C$2:$C$558, "")</f>
        <v>tritristiaji@gmail.com</v>
      </c>
      <c r="H487" s="40" t="str">
        <f t="shared" si="7"/>
        <v xml:space="preserve">tritristiaji@gmail.comt </v>
      </c>
    </row>
    <row r="488" spans="1:8" ht="15.5" x14ac:dyDescent="0.35">
      <c r="A488" s="7">
        <v>487</v>
      </c>
      <c r="B488" s="8">
        <v>11746</v>
      </c>
      <c r="C488" s="31" t="s">
        <v>470</v>
      </c>
      <c r="D488" s="8" t="s">
        <v>1061</v>
      </c>
      <c r="E488" s="7">
        <v>1990</v>
      </c>
      <c r="F488" s="36" t="str" cm="1">
        <f t="array" ref="F488">_xlfn.XLOOKUP(D488&amp;C488, Sheet3!$C$2:$C$1224&amp;Sheet3!$B$2:$B$1224, Sheet3!$D$2:$D$1224, "")</f>
        <v/>
      </c>
      <c r="G488" s="1" t="str" cm="1">
        <f t="array" ref="G488">_xlfn.XLOOKUP(D488&amp;C488, Sheet2!$A$2:$A$558&amp;Sheet2!$B$2:$B$558, Sheet2!$C$2:$C$558, "")</f>
        <v/>
      </c>
      <c r="H488" s="40" t="str">
        <f t="shared" si="7"/>
        <v/>
      </c>
    </row>
    <row r="489" spans="1:8" ht="15.5" x14ac:dyDescent="0.35">
      <c r="A489" s="7">
        <v>488</v>
      </c>
      <c r="B489" s="8">
        <v>12330</v>
      </c>
      <c r="C489" s="31" t="s">
        <v>471</v>
      </c>
      <c r="D489" s="8" t="s">
        <v>1063</v>
      </c>
      <c r="E489" s="7">
        <v>1990</v>
      </c>
      <c r="F489" s="36" t="str" cm="1">
        <f t="array" ref="F489">_xlfn.XLOOKUP(D489&amp;C489, Sheet3!$C$2:$C$1224&amp;Sheet3!$B$2:$B$1224, Sheet3!$D$2:$D$1224, "")</f>
        <v/>
      </c>
      <c r="G489" s="1" t="str" cm="1">
        <f t="array" ref="G489">_xlfn.XLOOKUP(D489&amp;C489, Sheet2!$A$2:$A$558&amp;Sheet2!$B$2:$B$558, Sheet2!$C$2:$C$558, "")</f>
        <v/>
      </c>
      <c r="H489" s="40" t="str">
        <f t="shared" si="7"/>
        <v/>
      </c>
    </row>
    <row r="490" spans="1:8" ht="15.5" x14ac:dyDescent="0.35">
      <c r="A490" s="7">
        <v>489</v>
      </c>
      <c r="B490" s="8">
        <v>12649</v>
      </c>
      <c r="C490" s="31" t="s">
        <v>472</v>
      </c>
      <c r="D490" s="8" t="s">
        <v>1063</v>
      </c>
      <c r="E490" s="7">
        <v>1990</v>
      </c>
      <c r="F490" s="36" t="str" cm="1">
        <f t="array" ref="F490">_xlfn.XLOOKUP(D490&amp;C490, Sheet3!$C$2:$C$1224&amp;Sheet3!$B$2:$B$1224, Sheet3!$D$2:$D$1224, "")</f>
        <v/>
      </c>
      <c r="G490" s="1" t="str" cm="1">
        <f t="array" ref="G490">_xlfn.XLOOKUP(D490&amp;C490, Sheet2!$A$2:$A$558&amp;Sheet2!$B$2:$B$558, Sheet2!$C$2:$C$558, "")</f>
        <v/>
      </c>
      <c r="H490" s="40" t="str">
        <f t="shared" si="7"/>
        <v/>
      </c>
    </row>
    <row r="491" spans="1:8" ht="15.5" x14ac:dyDescent="0.35">
      <c r="A491" s="7">
        <v>490</v>
      </c>
      <c r="B491" s="8">
        <v>14571</v>
      </c>
      <c r="C491" s="31" t="s">
        <v>473</v>
      </c>
      <c r="D491" s="8" t="s">
        <v>1066</v>
      </c>
      <c r="E491" s="7">
        <v>1990</v>
      </c>
      <c r="F491" s="36" t="str" cm="1">
        <f t="array" ref="F491">_xlfn.XLOOKUP(D491&amp;C491, Sheet3!$C$2:$C$1224&amp;Sheet3!$B$2:$B$1224, Sheet3!$D$2:$D$1224, "")</f>
        <v/>
      </c>
      <c r="G491" s="1" t="str" cm="1">
        <f t="array" ref="G491">_xlfn.XLOOKUP(D491&amp;C491, Sheet2!$A$2:$A$558&amp;Sheet2!$B$2:$B$558, Sheet2!$C$2:$C$558, "")</f>
        <v/>
      </c>
      <c r="H491" s="40" t="str">
        <f t="shared" si="7"/>
        <v/>
      </c>
    </row>
    <row r="492" spans="1:8" ht="15.5" x14ac:dyDescent="0.35">
      <c r="A492" s="7">
        <v>491</v>
      </c>
      <c r="B492" s="8">
        <v>8016</v>
      </c>
      <c r="C492" s="31" t="s">
        <v>474</v>
      </c>
      <c r="D492" s="8" t="s">
        <v>1051</v>
      </c>
      <c r="E492" s="7">
        <v>1990</v>
      </c>
      <c r="F492" s="36" t="str" cm="1">
        <f t="array" ref="F492">_xlfn.XLOOKUP(D492&amp;C492, Sheet3!$C$2:$C$1224&amp;Sheet3!$B$2:$B$1224, Sheet3!$D$2:$D$1224, "")</f>
        <v/>
      </c>
      <c r="G492" s="1" t="str" cm="1">
        <f t="array" ref="G492">_xlfn.XLOOKUP(D492&amp;C492, Sheet2!$A$2:$A$558&amp;Sheet2!$B$2:$B$558, Sheet2!$C$2:$C$558, "")</f>
        <v/>
      </c>
      <c r="H492" s="40" t="str">
        <f t="shared" si="7"/>
        <v/>
      </c>
    </row>
    <row r="493" spans="1:8" ht="15.5" x14ac:dyDescent="0.35">
      <c r="A493" s="7">
        <v>492</v>
      </c>
      <c r="B493" s="8">
        <v>8242</v>
      </c>
      <c r="C493" s="31" t="s">
        <v>475</v>
      </c>
      <c r="D493" s="8" t="s">
        <v>1053</v>
      </c>
      <c r="E493" s="7">
        <v>1990</v>
      </c>
      <c r="F493" s="36" t="str" cm="1">
        <f t="array" ref="F493">_xlfn.XLOOKUP(D493&amp;C493, Sheet3!$C$2:$C$1224&amp;Sheet3!$B$2:$B$1224, Sheet3!$D$2:$D$1224, "")</f>
        <v/>
      </c>
      <c r="G493" s="1" t="str" cm="1">
        <f t="array" ref="G493">_xlfn.XLOOKUP(D493&amp;C493, Sheet2!$A$2:$A$558&amp;Sheet2!$B$2:$B$558, Sheet2!$C$2:$C$558, "")</f>
        <v/>
      </c>
      <c r="H493" s="40" t="str">
        <f t="shared" si="7"/>
        <v/>
      </c>
    </row>
    <row r="494" spans="1:8" ht="15.5" x14ac:dyDescent="0.35">
      <c r="A494" s="7">
        <v>493</v>
      </c>
      <c r="B494" s="8">
        <v>12652</v>
      </c>
      <c r="C494" s="31" t="s">
        <v>476</v>
      </c>
      <c r="D494" s="8" t="s">
        <v>1063</v>
      </c>
      <c r="E494" s="7">
        <v>1990</v>
      </c>
      <c r="F494" s="36" t="str" cm="1">
        <f t="array" ref="F494">_xlfn.XLOOKUP(D494&amp;C494, Sheet3!$C$2:$C$1224&amp;Sheet3!$B$2:$B$1224, Sheet3!$D$2:$D$1224, "")</f>
        <v/>
      </c>
      <c r="G494" s="1" t="str" cm="1">
        <f t="array" ref="G494">_xlfn.XLOOKUP(D494&amp;C494, Sheet2!$A$2:$A$558&amp;Sheet2!$B$2:$B$558, Sheet2!$C$2:$C$558, "")</f>
        <v/>
      </c>
      <c r="H494" s="40" t="str">
        <f t="shared" si="7"/>
        <v/>
      </c>
    </row>
    <row r="495" spans="1:8" ht="15.5" x14ac:dyDescent="0.35">
      <c r="A495" s="7">
        <v>494</v>
      </c>
      <c r="B495" s="8">
        <v>13160</v>
      </c>
      <c r="C495" s="31" t="s">
        <v>477</v>
      </c>
      <c r="D495" s="8" t="s">
        <v>1065</v>
      </c>
      <c r="E495" s="7">
        <v>1990</v>
      </c>
      <c r="F495" s="36" t="str" cm="1">
        <f t="array" ref="F495">_xlfn.XLOOKUP(D495&amp;C495, Sheet3!$C$2:$C$1224&amp;Sheet3!$B$2:$B$1224, Sheet3!$D$2:$D$1224, "")</f>
        <v/>
      </c>
      <c r="G495" s="1" t="str" cm="1">
        <f t="array" ref="G495">_xlfn.XLOOKUP(D495&amp;C495, Sheet2!$A$2:$A$558&amp;Sheet2!$B$2:$B$558, Sheet2!$C$2:$C$558, "")</f>
        <v/>
      </c>
      <c r="H495" s="40" t="str">
        <f t="shared" si="7"/>
        <v/>
      </c>
    </row>
    <row r="496" spans="1:8" ht="15.5" x14ac:dyDescent="0.35">
      <c r="A496" s="7">
        <v>495</v>
      </c>
      <c r="B496" s="8">
        <v>8090</v>
      </c>
      <c r="C496" s="31" t="s">
        <v>478</v>
      </c>
      <c r="D496" s="8" t="s">
        <v>1051</v>
      </c>
      <c r="E496" s="7">
        <v>1990</v>
      </c>
      <c r="F496" s="36" t="str" cm="1">
        <f t="array" ref="F496">_xlfn.XLOOKUP(D496&amp;C496, Sheet3!$C$2:$C$1224&amp;Sheet3!$B$2:$B$1224, Sheet3!$D$2:$D$1224, "")</f>
        <v/>
      </c>
      <c r="G496" s="1" t="str" cm="1">
        <f t="array" ref="G496">_xlfn.XLOOKUP(D496&amp;C496, Sheet2!$A$2:$A$558&amp;Sheet2!$B$2:$B$558, Sheet2!$C$2:$C$558, "")</f>
        <v/>
      </c>
      <c r="H496" s="40" t="str">
        <f t="shared" si="7"/>
        <v/>
      </c>
    </row>
    <row r="497" spans="1:8" ht="15.5" x14ac:dyDescent="0.35">
      <c r="A497" s="7">
        <v>496</v>
      </c>
      <c r="B497" s="8">
        <v>11407</v>
      </c>
      <c r="C497" s="31" t="s">
        <v>479</v>
      </c>
      <c r="D497" s="8" t="s">
        <v>1060</v>
      </c>
      <c r="E497" s="7">
        <v>1990</v>
      </c>
      <c r="F497" s="36" t="str" cm="1">
        <f t="array" ref="F497">_xlfn.XLOOKUP(D497&amp;C497, Sheet3!$C$2:$C$1224&amp;Sheet3!$B$2:$B$1224, Sheet3!$D$2:$D$1224, "")</f>
        <v/>
      </c>
      <c r="G497" s="1" t="str" cm="1">
        <f t="array" ref="G497">_xlfn.XLOOKUP(D497&amp;C497, Sheet2!$A$2:$A$558&amp;Sheet2!$B$2:$B$558, Sheet2!$C$2:$C$558, "")</f>
        <v/>
      </c>
      <c r="H497" s="40" t="str">
        <f t="shared" si="7"/>
        <v/>
      </c>
    </row>
    <row r="498" spans="1:8" ht="15.5" x14ac:dyDescent="0.35">
      <c r="A498" s="7">
        <v>497</v>
      </c>
      <c r="B498" s="8">
        <v>12610</v>
      </c>
      <c r="C498" s="31" t="s">
        <v>480</v>
      </c>
      <c r="D498" s="8" t="s">
        <v>1063</v>
      </c>
      <c r="E498" s="7">
        <v>1990</v>
      </c>
      <c r="F498" s="36" t="str" cm="1">
        <f t="array" ref="F498">_xlfn.XLOOKUP(D498&amp;C498, Sheet3!$C$2:$C$1224&amp;Sheet3!$B$2:$B$1224, Sheet3!$D$2:$D$1224, "")</f>
        <v>agoeswah@gmail.com</v>
      </c>
      <c r="G498" s="1" t="str" cm="1">
        <f t="array" ref="G498">_xlfn.XLOOKUP(D498&amp;C498, Sheet2!$A$2:$A$558&amp;Sheet2!$B$2:$B$558, Sheet2!$C$2:$C$558, "")</f>
        <v/>
      </c>
      <c r="H498" s="40" t="str">
        <f t="shared" si="7"/>
        <v>agoeswah@gmail.com</v>
      </c>
    </row>
    <row r="499" spans="1:8" ht="15.5" x14ac:dyDescent="0.35">
      <c r="A499" s="7">
        <v>498</v>
      </c>
      <c r="B499" s="8">
        <v>10622</v>
      </c>
      <c r="C499" s="31" t="s">
        <v>481</v>
      </c>
      <c r="D499" s="8" t="s">
        <v>1059</v>
      </c>
      <c r="E499" s="7">
        <v>1990</v>
      </c>
      <c r="F499" s="36" t="str" cm="1">
        <f t="array" ref="F499">_xlfn.XLOOKUP(D499&amp;C499, Sheet3!$C$2:$C$1224&amp;Sheet3!$B$2:$B$1224, Sheet3!$D$2:$D$1224, "")</f>
        <v/>
      </c>
      <c r="G499" s="1" t="str" cm="1">
        <f t="array" ref="G499">_xlfn.XLOOKUP(D499&amp;C499, Sheet2!$A$2:$A$558&amp;Sheet2!$B$2:$B$558, Sheet2!$C$2:$C$558, "")</f>
        <v/>
      </c>
      <c r="H499" s="40" t="str">
        <f t="shared" si="7"/>
        <v/>
      </c>
    </row>
    <row r="500" spans="1:8" ht="15.5" x14ac:dyDescent="0.35">
      <c r="A500" s="7">
        <v>499</v>
      </c>
      <c r="B500" s="8">
        <v>11733</v>
      </c>
      <c r="C500" s="31" t="s">
        <v>482</v>
      </c>
      <c r="D500" s="8" t="s">
        <v>1061</v>
      </c>
      <c r="E500" s="7">
        <v>1990</v>
      </c>
      <c r="F500" s="36" t="str" cm="1">
        <f t="array" ref="F500">_xlfn.XLOOKUP(D500&amp;C500, Sheet3!$C$2:$C$1224&amp;Sheet3!$B$2:$B$1224, Sheet3!$D$2:$D$1224, "")</f>
        <v/>
      </c>
      <c r="G500" s="1" t="str" cm="1">
        <f t="array" ref="G500">_xlfn.XLOOKUP(D500&amp;C500, Sheet2!$A$2:$A$558&amp;Sheet2!$B$2:$B$558, Sheet2!$C$2:$C$558, "")</f>
        <v/>
      </c>
      <c r="H500" s="40" t="str">
        <f t="shared" si="7"/>
        <v/>
      </c>
    </row>
    <row r="501" spans="1:8" ht="15.5" x14ac:dyDescent="0.35">
      <c r="A501" s="7">
        <v>500</v>
      </c>
      <c r="B501" s="8">
        <v>9855</v>
      </c>
      <c r="C501" s="31" t="s">
        <v>483</v>
      </c>
      <c r="D501" s="8" t="s">
        <v>1057</v>
      </c>
      <c r="E501" s="7">
        <v>1990</v>
      </c>
      <c r="F501" s="36" t="str" cm="1">
        <f t="array" ref="F501">_xlfn.XLOOKUP(D501&amp;C501, Sheet3!$C$2:$C$1224&amp;Sheet3!$B$2:$B$1224, Sheet3!$D$2:$D$1224, "")</f>
        <v/>
      </c>
      <c r="G501" s="1" t="str" cm="1">
        <f t="array" ref="G501">_xlfn.XLOOKUP(D501&amp;C501, Sheet2!$A$2:$A$558&amp;Sheet2!$B$2:$B$558, Sheet2!$C$2:$C$558, "")</f>
        <v/>
      </c>
      <c r="H501" s="40" t="str">
        <f t="shared" si="7"/>
        <v/>
      </c>
    </row>
    <row r="502" spans="1:8" ht="15.5" x14ac:dyDescent="0.35">
      <c r="A502" s="7">
        <v>501</v>
      </c>
      <c r="B502" s="8">
        <v>9111</v>
      </c>
      <c r="C502" s="31" t="s">
        <v>484</v>
      </c>
      <c r="D502" s="8" t="s">
        <v>1055</v>
      </c>
      <c r="E502" s="7">
        <v>1990</v>
      </c>
      <c r="F502" s="36" t="str" cm="1">
        <f t="array" ref="F502">_xlfn.XLOOKUP(D502&amp;C502, Sheet3!$C$2:$C$1224&amp;Sheet3!$B$2:$B$1224, Sheet3!$D$2:$D$1224, "")</f>
        <v/>
      </c>
      <c r="G502" s="1" t="str" cm="1">
        <f t="array" ref="G502">_xlfn.XLOOKUP(D502&amp;C502, Sheet2!$A$2:$A$558&amp;Sheet2!$B$2:$B$558, Sheet2!$C$2:$C$558, "")</f>
        <v/>
      </c>
      <c r="H502" s="40" t="str">
        <f t="shared" si="7"/>
        <v/>
      </c>
    </row>
    <row r="503" spans="1:8" ht="15.5" x14ac:dyDescent="0.35">
      <c r="A503" s="7">
        <v>502</v>
      </c>
      <c r="B503" s="8">
        <v>10893</v>
      </c>
      <c r="C503" s="31" t="s">
        <v>485</v>
      </c>
      <c r="D503" s="8" t="s">
        <v>1059</v>
      </c>
      <c r="E503" s="7">
        <v>1990</v>
      </c>
      <c r="F503" s="36" t="str" cm="1">
        <f t="array" ref="F503">_xlfn.XLOOKUP(D503&amp;C503, Sheet3!$C$2:$C$1224&amp;Sheet3!$B$2:$B$1224, Sheet3!$D$2:$D$1224, "")</f>
        <v/>
      </c>
      <c r="G503" s="1" t="str" cm="1">
        <f t="array" ref="G503">_xlfn.XLOOKUP(D503&amp;C503, Sheet2!$A$2:$A$558&amp;Sheet2!$B$2:$B$558, Sheet2!$C$2:$C$558, "")</f>
        <v/>
      </c>
      <c r="H503" s="40" t="str">
        <f t="shared" si="7"/>
        <v/>
      </c>
    </row>
    <row r="504" spans="1:8" ht="15.5" x14ac:dyDescent="0.35">
      <c r="A504" s="7">
        <v>503</v>
      </c>
      <c r="B504" s="8">
        <v>12682</v>
      </c>
      <c r="C504" s="31" t="s">
        <v>486</v>
      </c>
      <c r="D504" s="8" t="s">
        <v>1063</v>
      </c>
      <c r="E504" s="7">
        <v>1990</v>
      </c>
      <c r="F504" s="36" t="str" cm="1">
        <f t="array" ref="F504">_xlfn.XLOOKUP(D504&amp;C504, Sheet3!$C$2:$C$1224&amp;Sheet3!$B$2:$B$1224, Sheet3!$D$2:$D$1224, "")</f>
        <v/>
      </c>
      <c r="G504" s="1" t="str" cm="1">
        <f t="array" ref="G504">_xlfn.XLOOKUP(D504&amp;C504, Sheet2!$A$2:$A$558&amp;Sheet2!$B$2:$B$558, Sheet2!$C$2:$C$558, "")</f>
        <v/>
      </c>
      <c r="H504" s="40" t="str">
        <f t="shared" si="7"/>
        <v/>
      </c>
    </row>
    <row r="505" spans="1:8" ht="15.5" x14ac:dyDescent="0.35">
      <c r="A505" s="7">
        <v>504</v>
      </c>
      <c r="B505" s="8">
        <v>13052</v>
      </c>
      <c r="C505" s="31" t="s">
        <v>487</v>
      </c>
      <c r="D505" s="8">
        <v>1984</v>
      </c>
      <c r="E505" s="7">
        <v>1990</v>
      </c>
      <c r="F505" s="36" t="str" cm="1">
        <f t="array" ref="F505">_xlfn.XLOOKUP(D505&amp;C505, Sheet3!$C$2:$C$1224&amp;Sheet3!$B$2:$B$1224, Sheet3!$D$2:$D$1224, "")</f>
        <v>b.gatotnugroho@gmail.com</v>
      </c>
      <c r="G505" s="1" t="str" cm="1">
        <f t="array" ref="G505">_xlfn.XLOOKUP(D505&amp;C505, Sheet2!$A$2:$A$558&amp;Sheet2!$B$2:$B$558, Sheet2!$C$2:$C$558, "")</f>
        <v>b.gatotnugroho@gmail.com</v>
      </c>
      <c r="H505" s="40" t="str">
        <f t="shared" si="7"/>
        <v>b.gatotnugroho@gmail.com</v>
      </c>
    </row>
    <row r="506" spans="1:8" ht="15.5" x14ac:dyDescent="0.35">
      <c r="A506" s="7">
        <v>505</v>
      </c>
      <c r="B506" s="8">
        <v>12736</v>
      </c>
      <c r="C506" s="31" t="s">
        <v>488</v>
      </c>
      <c r="D506" s="8" t="s">
        <v>1065</v>
      </c>
      <c r="E506" s="7">
        <v>1990</v>
      </c>
      <c r="F506" s="36" t="str" cm="1">
        <f t="array" ref="F506">_xlfn.XLOOKUP(D506&amp;C506, Sheet3!$C$2:$C$1224&amp;Sheet3!$B$2:$B$1224, Sheet3!$D$2:$D$1224, "")</f>
        <v/>
      </c>
      <c r="G506" s="1" t="str" cm="1">
        <f t="array" ref="G506">_xlfn.XLOOKUP(D506&amp;C506, Sheet2!$A$2:$A$558&amp;Sheet2!$B$2:$B$558, Sheet2!$C$2:$C$558, "")</f>
        <v/>
      </c>
      <c r="H506" s="40" t="str">
        <f t="shared" si="7"/>
        <v/>
      </c>
    </row>
    <row r="507" spans="1:8" ht="15.5" x14ac:dyDescent="0.35">
      <c r="A507" s="7">
        <v>506</v>
      </c>
      <c r="B507" s="8">
        <v>12739</v>
      </c>
      <c r="C507" s="31" t="s">
        <v>489</v>
      </c>
      <c r="D507" s="8" t="s">
        <v>1065</v>
      </c>
      <c r="E507" s="7">
        <v>1990</v>
      </c>
      <c r="F507" s="36" t="str" cm="1">
        <f t="array" ref="F507">_xlfn.XLOOKUP(D507&amp;C507, Sheet3!$C$2:$C$1224&amp;Sheet3!$B$2:$B$1224, Sheet3!$D$2:$D$1224, "")</f>
        <v/>
      </c>
      <c r="G507" s="1" t="str" cm="1">
        <f t="array" ref="G507">_xlfn.XLOOKUP(D507&amp;C507, Sheet2!$A$2:$A$558&amp;Sheet2!$B$2:$B$558, Sheet2!$C$2:$C$558, "")</f>
        <v/>
      </c>
      <c r="H507" s="40" t="str">
        <f t="shared" si="7"/>
        <v/>
      </c>
    </row>
    <row r="508" spans="1:8" ht="15.5" x14ac:dyDescent="0.35">
      <c r="A508" s="7">
        <v>507</v>
      </c>
      <c r="B508" s="8">
        <v>9078</v>
      </c>
      <c r="C508" s="31" t="s">
        <v>490</v>
      </c>
      <c r="D508" s="8" t="s">
        <v>1055</v>
      </c>
      <c r="E508" s="7">
        <v>1990</v>
      </c>
      <c r="F508" s="36" t="str" cm="1">
        <f t="array" ref="F508">_xlfn.XLOOKUP(D508&amp;C508, Sheet3!$C$2:$C$1224&amp;Sheet3!$B$2:$B$1224, Sheet3!$D$2:$D$1224, "")</f>
        <v/>
      </c>
      <c r="G508" s="1" t="str" cm="1">
        <f t="array" ref="G508">_xlfn.XLOOKUP(D508&amp;C508, Sheet2!$A$2:$A$558&amp;Sheet2!$B$2:$B$558, Sheet2!$C$2:$C$558, "")</f>
        <v/>
      </c>
      <c r="H508" s="40" t="str">
        <f t="shared" si="7"/>
        <v/>
      </c>
    </row>
    <row r="509" spans="1:8" ht="15.5" x14ac:dyDescent="0.35">
      <c r="A509" s="7">
        <v>508</v>
      </c>
      <c r="B509" s="8">
        <v>12879</v>
      </c>
      <c r="C509" s="31" t="s">
        <v>491</v>
      </c>
      <c r="D509" s="8" t="s">
        <v>1065</v>
      </c>
      <c r="E509" s="7">
        <v>1990</v>
      </c>
      <c r="F509" s="36" t="str" cm="1">
        <f t="array" ref="F509">_xlfn.XLOOKUP(D509&amp;C509, Sheet3!$C$2:$C$1224&amp;Sheet3!$B$2:$B$1224, Sheet3!$D$2:$D$1224, "")</f>
        <v/>
      </c>
      <c r="G509" s="1" t="str" cm="1">
        <f t="array" ref="G509">_xlfn.XLOOKUP(D509&amp;C509, Sheet2!$A$2:$A$558&amp;Sheet2!$B$2:$B$558, Sheet2!$C$2:$C$558, "")</f>
        <v/>
      </c>
      <c r="H509" s="40" t="str">
        <f t="shared" si="7"/>
        <v/>
      </c>
    </row>
    <row r="510" spans="1:8" ht="15.5" x14ac:dyDescent="0.35">
      <c r="A510" s="7">
        <v>509</v>
      </c>
      <c r="B510" s="8">
        <v>12650</v>
      </c>
      <c r="C510" s="31" t="s">
        <v>492</v>
      </c>
      <c r="D510" s="8" t="s">
        <v>1063</v>
      </c>
      <c r="E510" s="7">
        <v>1990</v>
      </c>
      <c r="F510" s="36" t="str" cm="1">
        <f t="array" ref="F510">_xlfn.XLOOKUP(D510&amp;C510, Sheet3!$C$2:$C$1224&amp;Sheet3!$B$2:$B$1224, Sheet3!$D$2:$D$1224, "")</f>
        <v/>
      </c>
      <c r="G510" s="1" t="str" cm="1">
        <f t="array" ref="G510">_xlfn.XLOOKUP(D510&amp;C510, Sheet2!$A$2:$A$558&amp;Sheet2!$B$2:$B$558, Sheet2!$C$2:$C$558, "")</f>
        <v/>
      </c>
      <c r="H510" s="40" t="str">
        <f t="shared" si="7"/>
        <v/>
      </c>
    </row>
    <row r="511" spans="1:8" ht="15.5" x14ac:dyDescent="0.35">
      <c r="A511" s="7">
        <v>510</v>
      </c>
      <c r="B511" s="8">
        <v>13258</v>
      </c>
      <c r="C511" s="31" t="s">
        <v>493</v>
      </c>
      <c r="D511" s="8" t="s">
        <v>1067</v>
      </c>
      <c r="E511" s="7">
        <v>1990</v>
      </c>
      <c r="F511" s="36" t="str" cm="1">
        <f t="array" ref="F511">_xlfn.XLOOKUP(D511&amp;C511, Sheet3!$C$2:$C$1224&amp;Sheet3!$B$2:$B$1224, Sheet3!$D$2:$D$1224, "")</f>
        <v/>
      </c>
      <c r="G511" s="1" t="str" cm="1">
        <f t="array" ref="G511">_xlfn.XLOOKUP(D511&amp;C511, Sheet2!$A$2:$A$558&amp;Sheet2!$B$2:$B$558, Sheet2!$C$2:$C$558, "")</f>
        <v/>
      </c>
      <c r="H511" s="40" t="str">
        <f t="shared" si="7"/>
        <v/>
      </c>
    </row>
    <row r="512" spans="1:8" ht="15.5" x14ac:dyDescent="0.35">
      <c r="A512" s="7">
        <v>511</v>
      </c>
      <c r="B512" s="8">
        <v>13020</v>
      </c>
      <c r="C512" s="31" t="s">
        <v>494</v>
      </c>
      <c r="D512" s="8" t="s">
        <v>1065</v>
      </c>
      <c r="E512" s="7">
        <v>1990</v>
      </c>
      <c r="F512" s="36" t="str" cm="1">
        <f t="array" ref="F512">_xlfn.XLOOKUP(D512&amp;C512, Sheet3!$C$2:$C$1224&amp;Sheet3!$B$2:$B$1224, Sheet3!$D$2:$D$1224, "")</f>
        <v/>
      </c>
      <c r="G512" s="1" t="str" cm="1">
        <f t="array" ref="G512">_xlfn.XLOOKUP(D512&amp;C512, Sheet2!$A$2:$A$558&amp;Sheet2!$B$2:$B$558, Sheet2!$C$2:$C$558, "")</f>
        <v/>
      </c>
      <c r="H512" s="40" t="str">
        <f t="shared" si="7"/>
        <v/>
      </c>
    </row>
    <row r="513" spans="1:8" ht="15.5" x14ac:dyDescent="0.35">
      <c r="A513" s="7">
        <v>512</v>
      </c>
      <c r="B513" s="8">
        <v>10006</v>
      </c>
      <c r="C513" s="31" t="s">
        <v>495</v>
      </c>
      <c r="D513" s="8" t="s">
        <v>1057</v>
      </c>
      <c r="E513" s="7">
        <v>1990</v>
      </c>
      <c r="F513" s="36" t="str" cm="1">
        <f t="array" ref="F513">_xlfn.XLOOKUP(D513&amp;C513, Sheet3!$C$2:$C$1224&amp;Sheet3!$B$2:$B$1224, Sheet3!$D$2:$D$1224, "")</f>
        <v/>
      </c>
      <c r="G513" s="1" t="str" cm="1">
        <f t="array" ref="G513">_xlfn.XLOOKUP(D513&amp;C513, Sheet2!$A$2:$A$558&amp;Sheet2!$B$2:$B$558, Sheet2!$C$2:$C$558, "")</f>
        <v/>
      </c>
      <c r="H513" s="40" t="str">
        <f t="shared" si="7"/>
        <v/>
      </c>
    </row>
    <row r="514" spans="1:8" ht="15.5" x14ac:dyDescent="0.35">
      <c r="A514" s="7">
        <v>513</v>
      </c>
      <c r="B514" s="8">
        <v>12969</v>
      </c>
      <c r="C514" s="31" t="s">
        <v>496</v>
      </c>
      <c r="D514" s="8" t="s">
        <v>1065</v>
      </c>
      <c r="E514" s="7">
        <v>1990</v>
      </c>
      <c r="F514" s="36" t="str" cm="1">
        <f t="array" ref="F514">_xlfn.XLOOKUP(D514&amp;C514, Sheet3!$C$2:$C$1224&amp;Sheet3!$B$2:$B$1224, Sheet3!$D$2:$D$1224, "")</f>
        <v>kusumastanti@gmail.com</v>
      </c>
      <c r="G514" s="1" t="str" cm="1">
        <f t="array" ref="G514">_xlfn.XLOOKUP(D514&amp;C514, Sheet2!$A$2:$A$558&amp;Sheet2!$B$2:$B$558, Sheet2!$C$2:$C$558, "")</f>
        <v/>
      </c>
      <c r="H514" s="40" t="str">
        <f t="shared" si="7"/>
        <v>kusumastanti@gmail.com</v>
      </c>
    </row>
    <row r="515" spans="1:8" ht="15.5" x14ac:dyDescent="0.35">
      <c r="A515" s="7">
        <v>514</v>
      </c>
      <c r="B515" s="8">
        <v>7150</v>
      </c>
      <c r="C515" s="31" t="s">
        <v>497</v>
      </c>
      <c r="D515" s="8" t="s">
        <v>1049</v>
      </c>
      <c r="E515" s="7">
        <v>1990</v>
      </c>
      <c r="F515" s="36" t="str" cm="1">
        <f t="array" ref="F515">_xlfn.XLOOKUP(D515&amp;C515, Sheet3!$C$2:$C$1224&amp;Sheet3!$B$2:$B$1224, Sheet3!$D$2:$D$1224, "")</f>
        <v/>
      </c>
      <c r="G515" s="1" t="str" cm="1">
        <f t="array" ref="G515">_xlfn.XLOOKUP(D515&amp;C515, Sheet2!$A$2:$A$558&amp;Sheet2!$B$2:$B$558, Sheet2!$C$2:$C$558, "")</f>
        <v/>
      </c>
      <c r="H515" s="40" t="str">
        <f t="shared" ref="H515:H578" si="8">IF(F515&lt;&gt;"",F515,G515)</f>
        <v/>
      </c>
    </row>
    <row r="516" spans="1:8" ht="15.5" x14ac:dyDescent="0.35">
      <c r="A516" s="7">
        <v>515</v>
      </c>
      <c r="B516" s="8">
        <v>13256</v>
      </c>
      <c r="C516" s="31" t="s">
        <v>498</v>
      </c>
      <c r="D516" s="8" t="s">
        <v>1067</v>
      </c>
      <c r="E516" s="7">
        <v>1990</v>
      </c>
      <c r="F516" s="36" t="str" cm="1">
        <f t="array" ref="F516">_xlfn.XLOOKUP(D516&amp;C516, Sheet3!$C$2:$C$1224&amp;Sheet3!$B$2:$B$1224, Sheet3!$D$2:$D$1224, "")</f>
        <v>singgih8213849@gmail.com</v>
      </c>
      <c r="G516" s="1" t="str" cm="1">
        <f t="array" ref="G516">_xlfn.XLOOKUP(D516&amp;C516, Sheet2!$A$2:$A$558&amp;Sheet2!$B$2:$B$558, Sheet2!$C$2:$C$558, "")</f>
        <v/>
      </c>
      <c r="H516" s="40" t="str">
        <f t="shared" si="8"/>
        <v>singgih8213849@gmail.com</v>
      </c>
    </row>
    <row r="517" spans="1:8" ht="15.5" x14ac:dyDescent="0.35">
      <c r="A517" s="7">
        <v>516</v>
      </c>
      <c r="B517" s="8">
        <v>13126</v>
      </c>
      <c r="C517" s="31" t="s">
        <v>499</v>
      </c>
      <c r="D517" s="8" t="s">
        <v>1065</v>
      </c>
      <c r="E517" s="7">
        <v>1990</v>
      </c>
      <c r="F517" s="36" t="str" cm="1">
        <f t="array" ref="F517">_xlfn.XLOOKUP(D517&amp;C517, Sheet3!$C$2:$C$1224&amp;Sheet3!$B$2:$B$1224, Sheet3!$D$2:$D$1224, "")</f>
        <v>fritofrm@yahoo.co.id</v>
      </c>
      <c r="G517" s="1" t="str" cm="1">
        <f t="array" ref="G517">_xlfn.XLOOKUP(D517&amp;C517, Sheet2!$A$2:$A$558&amp;Sheet2!$B$2:$B$558, Sheet2!$C$2:$C$558, "")</f>
        <v/>
      </c>
      <c r="H517" s="40" t="str">
        <f t="shared" si="8"/>
        <v>fritofrm@yahoo.co.id</v>
      </c>
    </row>
    <row r="518" spans="1:8" ht="15.5" x14ac:dyDescent="0.35">
      <c r="A518" s="7">
        <v>517</v>
      </c>
      <c r="B518" s="8">
        <v>12338</v>
      </c>
      <c r="C518" s="31" t="s">
        <v>500</v>
      </c>
      <c r="D518" s="8" t="s">
        <v>1063</v>
      </c>
      <c r="E518" s="7">
        <v>1990</v>
      </c>
      <c r="F518" s="36" t="str" cm="1">
        <f t="array" ref="F518">_xlfn.XLOOKUP(D518&amp;C518, Sheet3!$C$2:$C$1224&amp;Sheet3!$B$2:$B$1224, Sheet3!$D$2:$D$1224, "")</f>
        <v/>
      </c>
      <c r="G518" s="1" t="str" cm="1">
        <f t="array" ref="G518">_xlfn.XLOOKUP(D518&amp;C518, Sheet2!$A$2:$A$558&amp;Sheet2!$B$2:$B$558, Sheet2!$C$2:$C$558, "")</f>
        <v/>
      </c>
      <c r="H518" s="40" t="str">
        <f t="shared" si="8"/>
        <v/>
      </c>
    </row>
    <row r="519" spans="1:8" ht="15.5" x14ac:dyDescent="0.35">
      <c r="A519" s="7">
        <v>518</v>
      </c>
      <c r="B519" s="8">
        <v>11740</v>
      </c>
      <c r="C519" s="31" t="s">
        <v>501</v>
      </c>
      <c r="D519" s="8" t="s">
        <v>1061</v>
      </c>
      <c r="E519" s="7">
        <v>1990</v>
      </c>
      <c r="F519" s="36" t="str" cm="1">
        <f t="array" ref="F519">_xlfn.XLOOKUP(D519&amp;C519, Sheet3!$C$2:$C$1224&amp;Sheet3!$B$2:$B$1224, Sheet3!$D$2:$D$1224, "")</f>
        <v/>
      </c>
      <c r="G519" s="1" t="str" cm="1">
        <f t="array" ref="G519">_xlfn.XLOOKUP(D519&amp;C519, Sheet2!$A$2:$A$558&amp;Sheet2!$B$2:$B$558, Sheet2!$C$2:$C$558, "")</f>
        <v/>
      </c>
      <c r="H519" s="40" t="str">
        <f t="shared" si="8"/>
        <v/>
      </c>
    </row>
    <row r="520" spans="1:8" ht="15.5" x14ac:dyDescent="0.35">
      <c r="A520" s="7">
        <v>519</v>
      </c>
      <c r="B520" s="8">
        <v>12740</v>
      </c>
      <c r="C520" s="31" t="s">
        <v>502</v>
      </c>
      <c r="D520" s="8" t="s">
        <v>1065</v>
      </c>
      <c r="E520" s="7">
        <v>1990</v>
      </c>
      <c r="F520" s="36" t="str" cm="1">
        <f t="array" ref="F520">_xlfn.XLOOKUP(D520&amp;C520, Sheet3!$C$2:$C$1224&amp;Sheet3!$B$2:$B$1224, Sheet3!$D$2:$D$1224, "")</f>
        <v/>
      </c>
      <c r="G520" s="1" t="str" cm="1">
        <f t="array" ref="G520">_xlfn.XLOOKUP(D520&amp;C520, Sheet2!$A$2:$A$558&amp;Sheet2!$B$2:$B$558, Sheet2!$C$2:$C$558, "")</f>
        <v/>
      </c>
      <c r="H520" s="40" t="str">
        <f t="shared" si="8"/>
        <v/>
      </c>
    </row>
    <row r="521" spans="1:8" ht="15.5" x14ac:dyDescent="0.35">
      <c r="A521" s="7">
        <v>520</v>
      </c>
      <c r="B521" s="8">
        <v>12636</v>
      </c>
      <c r="C521" s="31" t="s">
        <v>503</v>
      </c>
      <c r="D521" s="8" t="s">
        <v>1063</v>
      </c>
      <c r="E521" s="7">
        <v>1990</v>
      </c>
      <c r="F521" s="36" t="str" cm="1">
        <f t="array" ref="F521">_xlfn.XLOOKUP(D521&amp;C521, Sheet3!$C$2:$C$1224&amp;Sheet3!$B$2:$B$1224, Sheet3!$D$2:$D$1224, "")</f>
        <v/>
      </c>
      <c r="G521" s="1" t="str" cm="1">
        <f t="array" ref="G521">_xlfn.XLOOKUP(D521&amp;C521, Sheet2!$A$2:$A$558&amp;Sheet2!$B$2:$B$558, Sheet2!$C$2:$C$558, "")</f>
        <v/>
      </c>
      <c r="H521" s="40" t="str">
        <f t="shared" si="8"/>
        <v/>
      </c>
    </row>
    <row r="522" spans="1:8" ht="15.5" x14ac:dyDescent="0.35">
      <c r="A522" s="7">
        <v>521</v>
      </c>
      <c r="B522" s="8">
        <v>13028</v>
      </c>
      <c r="C522" s="31" t="s">
        <v>504</v>
      </c>
      <c r="D522" s="8" t="s">
        <v>1065</v>
      </c>
      <c r="E522" s="7">
        <v>1990</v>
      </c>
      <c r="F522" s="36" t="str" cm="1">
        <f t="array" ref="F522">_xlfn.XLOOKUP(D522&amp;C522, Sheet3!$C$2:$C$1224&amp;Sheet3!$B$2:$B$1224, Sheet3!$D$2:$D$1224, "")</f>
        <v/>
      </c>
      <c r="G522" s="1" t="str" cm="1">
        <f t="array" ref="G522">_xlfn.XLOOKUP(D522&amp;C522, Sheet2!$A$2:$A$558&amp;Sheet2!$B$2:$B$558, Sheet2!$C$2:$C$558, "")</f>
        <v/>
      </c>
      <c r="H522" s="40" t="str">
        <f t="shared" si="8"/>
        <v/>
      </c>
    </row>
    <row r="523" spans="1:8" ht="15.5" x14ac:dyDescent="0.35">
      <c r="A523" s="7">
        <v>522</v>
      </c>
      <c r="B523" s="8">
        <v>11723</v>
      </c>
      <c r="C523" s="31" t="s">
        <v>505</v>
      </c>
      <c r="D523" s="8" t="s">
        <v>1061</v>
      </c>
      <c r="E523" s="7">
        <v>1990</v>
      </c>
      <c r="F523" s="36" t="str" cm="1">
        <f t="array" ref="F523">_xlfn.XLOOKUP(D523&amp;C523, Sheet3!$C$2:$C$1224&amp;Sheet3!$B$2:$B$1224, Sheet3!$D$2:$D$1224, "")</f>
        <v>marzukinur10@gmail.com</v>
      </c>
      <c r="G523" s="1" t="str" cm="1">
        <f t="array" ref="G523">_xlfn.XLOOKUP(D523&amp;C523, Sheet2!$A$2:$A$558&amp;Sheet2!$B$2:$B$558, Sheet2!$C$2:$C$558, "")</f>
        <v/>
      </c>
      <c r="H523" s="40" t="str">
        <f t="shared" si="8"/>
        <v>marzukinur10@gmail.com</v>
      </c>
    </row>
    <row r="524" spans="1:8" ht="15.5" x14ac:dyDescent="0.35">
      <c r="A524" s="7">
        <v>523</v>
      </c>
      <c r="B524" s="8">
        <v>10868</v>
      </c>
      <c r="C524" s="31" t="s">
        <v>506</v>
      </c>
      <c r="D524" s="8" t="s">
        <v>1059</v>
      </c>
      <c r="E524" s="7">
        <v>1990</v>
      </c>
      <c r="F524" s="36" t="str" cm="1">
        <f t="array" ref="F524">_xlfn.XLOOKUP(D524&amp;C524, Sheet3!$C$2:$C$1224&amp;Sheet3!$B$2:$B$1224, Sheet3!$D$2:$D$1224, "")</f>
        <v/>
      </c>
      <c r="G524" s="1" t="str" cm="1">
        <f t="array" ref="G524">_xlfn.XLOOKUP(D524&amp;C524, Sheet2!$A$2:$A$558&amp;Sheet2!$B$2:$B$558, Sheet2!$C$2:$C$558, "")</f>
        <v/>
      </c>
      <c r="H524" s="40" t="str">
        <f t="shared" si="8"/>
        <v/>
      </c>
    </row>
    <row r="525" spans="1:8" ht="15.5" x14ac:dyDescent="0.35">
      <c r="A525" s="7">
        <v>524</v>
      </c>
      <c r="B525" s="8">
        <v>10696</v>
      </c>
      <c r="C525" s="31" t="s">
        <v>507</v>
      </c>
      <c r="D525" s="8" t="s">
        <v>1059</v>
      </c>
      <c r="E525" s="7">
        <v>1990</v>
      </c>
      <c r="F525" s="36" t="str" cm="1">
        <f t="array" ref="F525">_xlfn.XLOOKUP(D525&amp;C525, Sheet3!$C$2:$C$1224&amp;Sheet3!$B$2:$B$1224, Sheet3!$D$2:$D$1224, "")</f>
        <v/>
      </c>
      <c r="G525" s="1" t="str" cm="1">
        <f t="array" ref="G525">_xlfn.XLOOKUP(D525&amp;C525, Sheet2!$A$2:$A$558&amp;Sheet2!$B$2:$B$558, Sheet2!$C$2:$C$558, "")</f>
        <v/>
      </c>
      <c r="H525" s="40" t="str">
        <f t="shared" si="8"/>
        <v/>
      </c>
    </row>
    <row r="526" spans="1:8" ht="15.5" x14ac:dyDescent="0.35">
      <c r="A526" s="7">
        <v>525</v>
      </c>
      <c r="B526" s="8">
        <v>11498</v>
      </c>
      <c r="C526" s="31" t="s">
        <v>508</v>
      </c>
      <c r="D526" s="8" t="s">
        <v>1060</v>
      </c>
      <c r="E526" s="7">
        <v>1990</v>
      </c>
      <c r="F526" s="36" t="str" cm="1">
        <f t="array" ref="F526">_xlfn.XLOOKUP(D526&amp;C526, Sheet3!$C$2:$C$1224&amp;Sheet3!$B$2:$B$1224, Sheet3!$D$2:$D$1224, "")</f>
        <v/>
      </c>
      <c r="G526" s="1" t="str" cm="1">
        <f t="array" ref="G526">_xlfn.XLOOKUP(D526&amp;C526, Sheet2!$A$2:$A$558&amp;Sheet2!$B$2:$B$558, Sheet2!$C$2:$C$558, "")</f>
        <v/>
      </c>
      <c r="H526" s="40" t="str">
        <f t="shared" si="8"/>
        <v/>
      </c>
    </row>
    <row r="527" spans="1:8" ht="15.5" x14ac:dyDescent="0.35">
      <c r="A527" s="7">
        <v>526</v>
      </c>
      <c r="B527" s="8">
        <v>13092</v>
      </c>
      <c r="C527" s="31" t="s">
        <v>509</v>
      </c>
      <c r="D527" s="8" t="s">
        <v>1065</v>
      </c>
      <c r="E527" s="7">
        <v>1990</v>
      </c>
      <c r="F527" s="36" t="str" cm="1">
        <f t="array" ref="F527">_xlfn.XLOOKUP(D527&amp;C527, Sheet3!$C$2:$C$1224&amp;Sheet3!$B$2:$B$1224, Sheet3!$D$2:$D$1224, "")</f>
        <v/>
      </c>
      <c r="G527" s="1" t="str" cm="1">
        <f t="array" ref="G527">_xlfn.XLOOKUP(D527&amp;C527, Sheet2!$A$2:$A$558&amp;Sheet2!$B$2:$B$558, Sheet2!$C$2:$C$558, "")</f>
        <v/>
      </c>
      <c r="H527" s="40" t="str">
        <f t="shared" si="8"/>
        <v/>
      </c>
    </row>
    <row r="528" spans="1:8" ht="15.5" x14ac:dyDescent="0.35">
      <c r="A528" s="7">
        <v>527</v>
      </c>
      <c r="B528" s="8">
        <v>12341</v>
      </c>
      <c r="C528" s="31" t="s">
        <v>510</v>
      </c>
      <c r="D528" s="8" t="s">
        <v>1061</v>
      </c>
      <c r="E528" s="7">
        <v>1990</v>
      </c>
      <c r="F528" s="36" t="str" cm="1">
        <f t="array" ref="F528">_xlfn.XLOOKUP(D528&amp;C528, Sheet3!$C$2:$C$1224&amp;Sheet3!$B$2:$B$1224, Sheet3!$D$2:$D$1224, "")</f>
        <v/>
      </c>
      <c r="G528" s="1" t="str" cm="1">
        <f t="array" ref="G528">_xlfn.XLOOKUP(D528&amp;C528, Sheet2!$A$2:$A$558&amp;Sheet2!$B$2:$B$558, Sheet2!$C$2:$C$558, "")</f>
        <v/>
      </c>
      <c r="H528" s="40" t="str">
        <f t="shared" si="8"/>
        <v/>
      </c>
    </row>
    <row r="529" spans="1:8" ht="15.5" x14ac:dyDescent="0.35">
      <c r="A529" s="7">
        <v>528</v>
      </c>
      <c r="B529" s="8">
        <v>11744</v>
      </c>
      <c r="C529" s="31" t="s">
        <v>511</v>
      </c>
      <c r="D529" s="8" t="s">
        <v>1061</v>
      </c>
      <c r="E529" s="7">
        <v>1990</v>
      </c>
      <c r="F529" s="36" t="str" cm="1">
        <f t="array" ref="F529">_xlfn.XLOOKUP(D529&amp;C529, Sheet3!$C$2:$C$1224&amp;Sheet3!$B$2:$B$1224, Sheet3!$D$2:$D$1224, "")</f>
        <v/>
      </c>
      <c r="G529" s="1" t="str" cm="1">
        <f t="array" ref="G529">_xlfn.XLOOKUP(D529&amp;C529, Sheet2!$A$2:$A$558&amp;Sheet2!$B$2:$B$558, Sheet2!$C$2:$C$558, "")</f>
        <v/>
      </c>
      <c r="H529" s="40" t="str">
        <f t="shared" si="8"/>
        <v/>
      </c>
    </row>
    <row r="530" spans="1:8" ht="15.5" x14ac:dyDescent="0.35">
      <c r="A530" s="7">
        <v>529</v>
      </c>
      <c r="B530" s="8">
        <v>11459</v>
      </c>
      <c r="C530" s="31" t="s">
        <v>512</v>
      </c>
      <c r="D530" s="8" t="s">
        <v>1060</v>
      </c>
      <c r="E530" s="7">
        <v>1990</v>
      </c>
      <c r="F530" s="36" t="str" cm="1">
        <f t="array" ref="F530">_xlfn.XLOOKUP(D530&amp;C530, Sheet3!$C$2:$C$1224&amp;Sheet3!$B$2:$B$1224, Sheet3!$D$2:$D$1224, "")</f>
        <v/>
      </c>
      <c r="G530" s="1" t="str" cm="1">
        <f t="array" ref="G530">_xlfn.XLOOKUP(D530&amp;C530, Sheet2!$A$2:$A$558&amp;Sheet2!$B$2:$B$558, Sheet2!$C$2:$C$558, "")</f>
        <v/>
      </c>
      <c r="H530" s="40" t="str">
        <f t="shared" si="8"/>
        <v/>
      </c>
    </row>
    <row r="531" spans="1:8" ht="15.5" x14ac:dyDescent="0.35">
      <c r="A531" s="7">
        <v>530</v>
      </c>
      <c r="B531" s="8">
        <v>11454</v>
      </c>
      <c r="C531" s="31" t="s">
        <v>513</v>
      </c>
      <c r="D531" s="8" t="s">
        <v>1060</v>
      </c>
      <c r="E531" s="7">
        <v>1990</v>
      </c>
      <c r="F531" s="36" t="str" cm="1">
        <f t="array" ref="F531">_xlfn.XLOOKUP(D531&amp;C531, Sheet3!$C$2:$C$1224&amp;Sheet3!$B$2:$B$1224, Sheet3!$D$2:$D$1224, "")</f>
        <v/>
      </c>
      <c r="G531" s="1" t="str" cm="1">
        <f t="array" ref="G531">_xlfn.XLOOKUP(D531&amp;C531, Sheet2!$A$2:$A$558&amp;Sheet2!$B$2:$B$558, Sheet2!$C$2:$C$558, "")</f>
        <v/>
      </c>
      <c r="H531" s="40" t="str">
        <f t="shared" si="8"/>
        <v/>
      </c>
    </row>
    <row r="532" spans="1:8" ht="15.5" x14ac:dyDescent="0.35">
      <c r="A532" s="7">
        <v>531</v>
      </c>
      <c r="B532" s="8">
        <v>14441</v>
      </c>
      <c r="C532" s="31" t="s">
        <v>514</v>
      </c>
      <c r="D532" s="8" t="s">
        <v>1060</v>
      </c>
      <c r="E532" s="7">
        <v>1990</v>
      </c>
      <c r="F532" s="36" t="str" cm="1">
        <f t="array" ref="F532">_xlfn.XLOOKUP(D532&amp;C532, Sheet3!$C$2:$C$1224&amp;Sheet3!$B$2:$B$1224, Sheet3!$D$2:$D$1224, "")</f>
        <v/>
      </c>
      <c r="G532" s="1" t="str" cm="1">
        <f t="array" ref="G532">_xlfn.XLOOKUP(D532&amp;C532, Sheet2!$A$2:$A$558&amp;Sheet2!$B$2:$B$558, Sheet2!$C$2:$C$558, "")</f>
        <v/>
      </c>
      <c r="H532" s="40" t="str">
        <f t="shared" si="8"/>
        <v/>
      </c>
    </row>
    <row r="533" spans="1:8" ht="15.5" x14ac:dyDescent="0.35">
      <c r="A533" s="7">
        <v>532</v>
      </c>
      <c r="B533" s="8">
        <v>11741</v>
      </c>
      <c r="C533" s="31" t="s">
        <v>515</v>
      </c>
      <c r="D533" s="8" t="s">
        <v>1061</v>
      </c>
      <c r="E533" s="7">
        <v>1990</v>
      </c>
      <c r="F533" s="36" t="str" cm="1">
        <f t="array" ref="F533">_xlfn.XLOOKUP(D533&amp;C533, Sheet3!$C$2:$C$1224&amp;Sheet3!$B$2:$B$1224, Sheet3!$D$2:$D$1224, "")</f>
        <v/>
      </c>
      <c r="G533" s="1" t="str" cm="1">
        <f t="array" ref="G533">_xlfn.XLOOKUP(D533&amp;C533, Sheet2!$A$2:$A$558&amp;Sheet2!$B$2:$B$558, Sheet2!$C$2:$C$558, "")</f>
        <v/>
      </c>
      <c r="H533" s="40" t="str">
        <f t="shared" si="8"/>
        <v/>
      </c>
    </row>
    <row r="534" spans="1:8" ht="15.5" x14ac:dyDescent="0.35">
      <c r="A534" s="7">
        <v>533</v>
      </c>
      <c r="B534" s="8">
        <v>8951</v>
      </c>
      <c r="C534" s="31" t="s">
        <v>516</v>
      </c>
      <c r="D534" s="8" t="s">
        <v>1055</v>
      </c>
      <c r="E534" s="7">
        <v>1990</v>
      </c>
      <c r="F534" s="36" t="str" cm="1">
        <f t="array" ref="F534">_xlfn.XLOOKUP(D534&amp;C534, Sheet3!$C$2:$C$1224&amp;Sheet3!$B$2:$B$1224, Sheet3!$D$2:$D$1224, "")</f>
        <v/>
      </c>
      <c r="G534" s="1" t="str" cm="1">
        <f t="array" ref="G534">_xlfn.XLOOKUP(D534&amp;C534, Sheet2!$A$2:$A$558&amp;Sheet2!$B$2:$B$558, Sheet2!$C$2:$C$558, "")</f>
        <v/>
      </c>
      <c r="H534" s="40" t="str">
        <f t="shared" si="8"/>
        <v/>
      </c>
    </row>
    <row r="535" spans="1:8" ht="15.5" x14ac:dyDescent="0.35">
      <c r="A535" s="7">
        <v>534</v>
      </c>
      <c r="B535" s="8">
        <v>11456</v>
      </c>
      <c r="C535" s="31" t="s">
        <v>517</v>
      </c>
      <c r="D535" s="8" t="s">
        <v>1060</v>
      </c>
      <c r="E535" s="7">
        <v>1990</v>
      </c>
      <c r="F535" s="36" t="str" cm="1">
        <f t="array" ref="F535">_xlfn.XLOOKUP(D535&amp;C535, Sheet3!$C$2:$C$1224&amp;Sheet3!$B$2:$B$1224, Sheet3!$D$2:$D$1224, "")</f>
        <v/>
      </c>
      <c r="G535" s="1" t="str" cm="1">
        <f t="array" ref="G535">_xlfn.XLOOKUP(D535&amp;C535, Sheet2!$A$2:$A$558&amp;Sheet2!$B$2:$B$558, Sheet2!$C$2:$C$558, "")</f>
        <v/>
      </c>
      <c r="H535" s="40" t="str">
        <f t="shared" si="8"/>
        <v/>
      </c>
    </row>
    <row r="536" spans="1:8" ht="15.5" x14ac:dyDescent="0.35">
      <c r="A536" s="7">
        <v>535</v>
      </c>
      <c r="B536" s="8">
        <v>11494</v>
      </c>
      <c r="C536" s="31" t="s">
        <v>518</v>
      </c>
      <c r="D536" s="8" t="s">
        <v>1060</v>
      </c>
      <c r="E536" s="7">
        <v>1990</v>
      </c>
      <c r="F536" s="36" t="str" cm="1">
        <f t="array" ref="F536">_xlfn.XLOOKUP(D536&amp;C536, Sheet3!$C$2:$C$1224&amp;Sheet3!$B$2:$B$1224, Sheet3!$D$2:$D$1224, "")</f>
        <v/>
      </c>
      <c r="G536" s="1" t="str" cm="1">
        <f t="array" ref="G536">_xlfn.XLOOKUP(D536&amp;C536, Sheet2!$A$2:$A$558&amp;Sheet2!$B$2:$B$558, Sheet2!$C$2:$C$558, "")</f>
        <v/>
      </c>
      <c r="H536" s="40" t="str">
        <f t="shared" si="8"/>
        <v/>
      </c>
    </row>
    <row r="537" spans="1:8" ht="15.5" x14ac:dyDescent="0.35">
      <c r="A537" s="7">
        <v>536</v>
      </c>
      <c r="B537" s="8">
        <v>9435</v>
      </c>
      <c r="C537" s="31" t="s">
        <v>519</v>
      </c>
      <c r="D537" s="8" t="s">
        <v>1056</v>
      </c>
      <c r="E537" s="7">
        <v>1990</v>
      </c>
      <c r="F537" s="36" t="str" cm="1">
        <f t="array" ref="F537">_xlfn.XLOOKUP(D537&amp;C537, Sheet3!$C$2:$C$1224&amp;Sheet3!$B$2:$B$1224, Sheet3!$D$2:$D$1224, "")</f>
        <v/>
      </c>
      <c r="G537" s="1" t="str" cm="1">
        <f t="array" ref="G537">_xlfn.XLOOKUP(D537&amp;C537, Sheet2!$A$2:$A$558&amp;Sheet2!$B$2:$B$558, Sheet2!$C$2:$C$558, "")</f>
        <v/>
      </c>
      <c r="H537" s="40" t="str">
        <f t="shared" si="8"/>
        <v/>
      </c>
    </row>
    <row r="538" spans="1:8" ht="15.5" x14ac:dyDescent="0.35">
      <c r="A538" s="7">
        <v>537</v>
      </c>
      <c r="B538" s="8">
        <v>11041</v>
      </c>
      <c r="C538" s="31" t="s">
        <v>520</v>
      </c>
      <c r="D538" s="8" t="s">
        <v>1059</v>
      </c>
      <c r="E538" s="7">
        <v>1990</v>
      </c>
      <c r="F538" s="36" t="str" cm="1">
        <f t="array" ref="F538">_xlfn.XLOOKUP(D538&amp;C538, Sheet3!$C$2:$C$1224&amp;Sheet3!$B$2:$B$1224, Sheet3!$D$2:$D$1224, "")</f>
        <v/>
      </c>
      <c r="G538" s="1" t="str" cm="1">
        <f t="array" ref="G538">_xlfn.XLOOKUP(D538&amp;C538, Sheet2!$A$2:$A$558&amp;Sheet2!$B$2:$B$558, Sheet2!$C$2:$C$558, "")</f>
        <v/>
      </c>
      <c r="H538" s="40" t="str">
        <f t="shared" si="8"/>
        <v/>
      </c>
    </row>
    <row r="539" spans="1:8" ht="15.5" x14ac:dyDescent="0.35">
      <c r="A539" s="7">
        <v>538</v>
      </c>
      <c r="B539" s="8">
        <v>7650</v>
      </c>
      <c r="C539" s="31" t="s">
        <v>521</v>
      </c>
      <c r="D539" s="8" t="s">
        <v>1052</v>
      </c>
      <c r="E539" s="7">
        <v>1990</v>
      </c>
      <c r="F539" s="36" t="str" cm="1">
        <f t="array" ref="F539">_xlfn.XLOOKUP(D539&amp;C539, Sheet3!$C$2:$C$1224&amp;Sheet3!$B$2:$B$1224, Sheet3!$D$2:$D$1224, "")</f>
        <v/>
      </c>
      <c r="G539" s="1" t="str" cm="1">
        <f t="array" ref="G539">_xlfn.XLOOKUP(D539&amp;C539, Sheet2!$A$2:$A$558&amp;Sheet2!$B$2:$B$558, Sheet2!$C$2:$C$558, "")</f>
        <v/>
      </c>
      <c r="H539" s="40" t="str">
        <f t="shared" si="8"/>
        <v/>
      </c>
    </row>
    <row r="540" spans="1:8" ht="15.5" x14ac:dyDescent="0.35">
      <c r="A540" s="7">
        <v>539</v>
      </c>
      <c r="B540" s="8">
        <v>8036</v>
      </c>
      <c r="C540" s="31" t="s">
        <v>522</v>
      </c>
      <c r="D540" s="8" t="s">
        <v>1051</v>
      </c>
      <c r="E540" s="7">
        <v>1990</v>
      </c>
      <c r="F540" s="36" t="str" cm="1">
        <f t="array" ref="F540">_xlfn.XLOOKUP(D540&amp;C540, Sheet3!$C$2:$C$1224&amp;Sheet3!$B$2:$B$1224, Sheet3!$D$2:$D$1224, "")</f>
        <v/>
      </c>
      <c r="G540" s="1" t="str" cm="1">
        <f t="array" ref="G540">_xlfn.XLOOKUP(D540&amp;C540, Sheet2!$A$2:$A$558&amp;Sheet2!$B$2:$B$558, Sheet2!$C$2:$C$558, "")</f>
        <v/>
      </c>
      <c r="H540" s="40" t="str">
        <f t="shared" si="8"/>
        <v/>
      </c>
    </row>
    <row r="541" spans="1:8" ht="15.5" x14ac:dyDescent="0.35">
      <c r="A541" s="7">
        <v>540</v>
      </c>
      <c r="B541" s="8">
        <v>11475</v>
      </c>
      <c r="C541" s="31" t="s">
        <v>523</v>
      </c>
      <c r="D541" s="8" t="s">
        <v>1060</v>
      </c>
      <c r="E541" s="7">
        <v>1990</v>
      </c>
      <c r="F541" s="36" t="str" cm="1">
        <f t="array" ref="F541">_xlfn.XLOOKUP(D541&amp;C541, Sheet3!$C$2:$C$1224&amp;Sheet3!$B$2:$B$1224, Sheet3!$D$2:$D$1224, "")</f>
        <v/>
      </c>
      <c r="G541" s="1" t="str" cm="1">
        <f t="array" ref="G541">_xlfn.XLOOKUP(D541&amp;C541, Sheet2!$A$2:$A$558&amp;Sheet2!$B$2:$B$558, Sheet2!$C$2:$C$558, "")</f>
        <v/>
      </c>
      <c r="H541" s="40" t="str">
        <f t="shared" si="8"/>
        <v/>
      </c>
    </row>
    <row r="542" spans="1:8" ht="15.5" x14ac:dyDescent="0.35">
      <c r="A542" s="7">
        <v>541</v>
      </c>
      <c r="B542" s="8">
        <v>12347</v>
      </c>
      <c r="C542" s="31" t="s">
        <v>524</v>
      </c>
      <c r="D542" s="8" t="s">
        <v>1063</v>
      </c>
      <c r="E542" s="7">
        <v>1991</v>
      </c>
      <c r="F542" s="36" t="str" cm="1">
        <f t="array" ref="F542">_xlfn.XLOOKUP(D542&amp;C542, Sheet3!$C$2:$C$1224&amp;Sheet3!$B$2:$B$1224, Sheet3!$D$2:$D$1224, "")</f>
        <v/>
      </c>
      <c r="G542" s="1" t="str" cm="1">
        <f t="array" ref="G542">_xlfn.XLOOKUP(D542&amp;C542, Sheet2!$A$2:$A$558&amp;Sheet2!$B$2:$B$558, Sheet2!$C$2:$C$558, "")</f>
        <v/>
      </c>
      <c r="H542" s="40" t="str">
        <f t="shared" si="8"/>
        <v/>
      </c>
    </row>
    <row r="543" spans="1:8" ht="15.5" x14ac:dyDescent="0.35">
      <c r="A543" s="7">
        <v>542</v>
      </c>
      <c r="B543" s="8">
        <v>13263</v>
      </c>
      <c r="C543" s="31" t="s">
        <v>525</v>
      </c>
      <c r="D543" s="8" t="s">
        <v>1067</v>
      </c>
      <c r="E543" s="7">
        <v>1991</v>
      </c>
      <c r="F543" s="36" t="str" cm="1">
        <f t="array" ref="F543">_xlfn.XLOOKUP(D543&amp;C543, Sheet3!$C$2:$C$1224&amp;Sheet3!$B$2:$B$1224, Sheet3!$D$2:$D$1224, "")</f>
        <v>jesaaria@gmail.com</v>
      </c>
      <c r="G543" s="1" t="str" cm="1">
        <f t="array" ref="G543">_xlfn.XLOOKUP(D543&amp;C543, Sheet2!$A$2:$A$558&amp;Sheet2!$B$2:$B$558, Sheet2!$C$2:$C$558, "")</f>
        <v/>
      </c>
      <c r="H543" s="40" t="str">
        <f t="shared" si="8"/>
        <v>jesaaria@gmail.com</v>
      </c>
    </row>
    <row r="544" spans="1:8" ht="15.5" x14ac:dyDescent="0.35">
      <c r="A544" s="7">
        <v>543</v>
      </c>
      <c r="B544" s="8">
        <v>13255</v>
      </c>
      <c r="C544" s="31" t="s">
        <v>526</v>
      </c>
      <c r="D544" s="8" t="s">
        <v>1067</v>
      </c>
      <c r="E544" s="7">
        <v>1991</v>
      </c>
      <c r="F544" s="36" t="str" cm="1">
        <f t="array" ref="F544">_xlfn.XLOOKUP(D544&amp;C544, Sheet3!$C$2:$C$1224&amp;Sheet3!$B$2:$B$1224, Sheet3!$D$2:$D$1224, "")</f>
        <v/>
      </c>
      <c r="G544" s="1" t="str" cm="1">
        <f t="array" ref="G544">_xlfn.XLOOKUP(D544&amp;C544, Sheet2!$A$2:$A$558&amp;Sheet2!$B$2:$B$558, Sheet2!$C$2:$C$558, "")</f>
        <v/>
      </c>
      <c r="H544" s="40" t="str">
        <f t="shared" si="8"/>
        <v/>
      </c>
    </row>
    <row r="545" spans="1:8" ht="15.5" x14ac:dyDescent="0.35">
      <c r="A545" s="7">
        <v>544</v>
      </c>
      <c r="B545" s="8">
        <v>12333</v>
      </c>
      <c r="C545" s="31" t="s">
        <v>527</v>
      </c>
      <c r="D545" s="8" t="s">
        <v>1063</v>
      </c>
      <c r="E545" s="7">
        <v>1991</v>
      </c>
      <c r="F545" s="36" t="str" cm="1">
        <f t="array" ref="F545">_xlfn.XLOOKUP(D545&amp;C545, Sheet3!$C$2:$C$1224&amp;Sheet3!$B$2:$B$1224, Sheet3!$D$2:$D$1224, "")</f>
        <v>mundirgombong@gmail.com</v>
      </c>
      <c r="G545" s="1" t="str" cm="1">
        <f t="array" ref="G545">_xlfn.XLOOKUP(D545&amp;C545, Sheet2!$A$2:$A$558&amp;Sheet2!$B$2:$B$558, Sheet2!$C$2:$C$558, "")</f>
        <v/>
      </c>
      <c r="H545" s="40" t="str">
        <f t="shared" si="8"/>
        <v>mundirgombong@gmail.com</v>
      </c>
    </row>
    <row r="546" spans="1:8" ht="15.5" x14ac:dyDescent="0.35">
      <c r="A546" s="7">
        <v>545</v>
      </c>
      <c r="B546" s="8">
        <v>12659</v>
      </c>
      <c r="C546" s="31" t="s">
        <v>528</v>
      </c>
      <c r="D546" s="8" t="s">
        <v>1063</v>
      </c>
      <c r="E546" s="7">
        <v>1991</v>
      </c>
      <c r="F546" s="36" t="str" cm="1">
        <f t="array" ref="F546">_xlfn.XLOOKUP(D546&amp;C546, Sheet3!$C$2:$C$1224&amp;Sheet3!$B$2:$B$1224, Sheet3!$D$2:$D$1224, "")</f>
        <v/>
      </c>
      <c r="G546" s="1" t="str" cm="1">
        <f t="array" ref="G546">_xlfn.XLOOKUP(D546&amp;C546, Sheet2!$A$2:$A$558&amp;Sheet2!$B$2:$B$558, Sheet2!$C$2:$C$558, "")</f>
        <v/>
      </c>
      <c r="H546" s="40" t="str">
        <f t="shared" si="8"/>
        <v/>
      </c>
    </row>
    <row r="547" spans="1:8" ht="15.5" x14ac:dyDescent="0.35">
      <c r="A547" s="7">
        <v>546</v>
      </c>
      <c r="B547" s="8">
        <v>11788</v>
      </c>
      <c r="C547" s="31" t="s">
        <v>5840</v>
      </c>
      <c r="D547" s="8" t="s">
        <v>1061</v>
      </c>
      <c r="E547" s="7">
        <v>1991</v>
      </c>
      <c r="F547" s="36" t="str" cm="1">
        <f t="array" ref="F547">_xlfn.XLOOKUP(D547&amp;C547, Sheet3!$C$2:$C$1224&amp;Sheet3!$B$2:$B$1224, Sheet3!$D$2:$D$1224, "")</f>
        <v>yosef.dwi64@gmail.com</v>
      </c>
      <c r="G547" s="1" t="str" cm="1">
        <f t="array" ref="G547">_xlfn.XLOOKUP(D547&amp;C547, Sheet2!$A$2:$A$558&amp;Sheet2!$B$2:$B$558, Sheet2!$C$2:$C$558, "")</f>
        <v/>
      </c>
      <c r="H547" s="40" t="str">
        <f t="shared" si="8"/>
        <v>yosef.dwi64@gmail.com</v>
      </c>
    </row>
    <row r="548" spans="1:8" ht="15.5" x14ac:dyDescent="0.35">
      <c r="A548" s="7">
        <v>547</v>
      </c>
      <c r="B548" s="8">
        <v>12735</v>
      </c>
      <c r="C548" s="31" t="s">
        <v>529</v>
      </c>
      <c r="D548" s="8" t="s">
        <v>1065</v>
      </c>
      <c r="E548" s="7">
        <v>1991</v>
      </c>
      <c r="F548" s="36" t="str" cm="1">
        <f t="array" ref="F548">_xlfn.XLOOKUP(D548&amp;C548, Sheet3!$C$2:$C$1224&amp;Sheet3!$B$2:$B$1224, Sheet3!$D$2:$D$1224, "")</f>
        <v/>
      </c>
      <c r="G548" s="1" t="str" cm="1">
        <f t="array" ref="G548">_xlfn.XLOOKUP(D548&amp;C548, Sheet2!$A$2:$A$558&amp;Sheet2!$B$2:$B$558, Sheet2!$C$2:$C$558, "")</f>
        <v/>
      </c>
      <c r="H548" s="40" t="str">
        <f t="shared" si="8"/>
        <v/>
      </c>
    </row>
    <row r="549" spans="1:8" ht="15.5" x14ac:dyDescent="0.35">
      <c r="A549" s="7">
        <v>548</v>
      </c>
      <c r="B549" s="8">
        <v>11802</v>
      </c>
      <c r="C549" s="31" t="s">
        <v>530</v>
      </c>
      <c r="D549" s="8" t="s">
        <v>1061</v>
      </c>
      <c r="E549" s="7">
        <v>1991</v>
      </c>
      <c r="F549" s="36" t="str" cm="1">
        <f t="array" ref="F549">_xlfn.XLOOKUP(D549&amp;C549, Sheet3!$C$2:$C$1224&amp;Sheet3!$B$2:$B$1224, Sheet3!$D$2:$D$1224, "")</f>
        <v/>
      </c>
      <c r="G549" s="1" t="str" cm="1">
        <f t="array" ref="G549">_xlfn.XLOOKUP(D549&amp;C549, Sheet2!$A$2:$A$558&amp;Sheet2!$B$2:$B$558, Sheet2!$C$2:$C$558, "")</f>
        <v/>
      </c>
      <c r="H549" s="40" t="str">
        <f t="shared" si="8"/>
        <v/>
      </c>
    </row>
    <row r="550" spans="1:8" ht="15.5" x14ac:dyDescent="0.35">
      <c r="A550" s="7">
        <v>549</v>
      </c>
      <c r="B550" s="8">
        <v>12663</v>
      </c>
      <c r="C550" s="31" t="s">
        <v>531</v>
      </c>
      <c r="D550" s="8" t="s">
        <v>1063</v>
      </c>
      <c r="E550" s="7">
        <v>1991</v>
      </c>
      <c r="F550" s="36" t="str" cm="1">
        <f t="array" ref="F550">_xlfn.XLOOKUP(D550&amp;C550, Sheet3!$C$2:$C$1224&amp;Sheet3!$B$2:$B$1224, Sheet3!$D$2:$D$1224, "")</f>
        <v>wahju.sharini@gmail.com</v>
      </c>
      <c r="G550" s="1" t="str" cm="1">
        <f t="array" ref="G550">_xlfn.XLOOKUP(D550&amp;C550, Sheet2!$A$2:$A$558&amp;Sheet2!$B$2:$B$558, Sheet2!$C$2:$C$558, "")</f>
        <v/>
      </c>
      <c r="H550" s="40" t="str">
        <f t="shared" si="8"/>
        <v>wahju.sharini@gmail.com</v>
      </c>
    </row>
    <row r="551" spans="1:8" ht="15.5" x14ac:dyDescent="0.35">
      <c r="A551" s="7">
        <v>550</v>
      </c>
      <c r="B551" s="8">
        <v>12780</v>
      </c>
      <c r="C551" s="31" t="s">
        <v>532</v>
      </c>
      <c r="D551" s="8" t="s">
        <v>1065</v>
      </c>
      <c r="E551" s="7">
        <v>1991</v>
      </c>
      <c r="F551" s="36" t="str" cm="1">
        <f t="array" ref="F551">_xlfn.XLOOKUP(D551&amp;C551, Sheet3!$C$2:$C$1224&amp;Sheet3!$B$2:$B$1224, Sheet3!$D$2:$D$1224, "")</f>
        <v>ikets64@gmail.com</v>
      </c>
      <c r="G551" s="1" t="str" cm="1">
        <f t="array" ref="G551">_xlfn.XLOOKUP(D551&amp;C551, Sheet2!$A$2:$A$558&amp;Sheet2!$B$2:$B$558, Sheet2!$C$2:$C$558, "")</f>
        <v/>
      </c>
      <c r="H551" s="40" t="str">
        <f t="shared" si="8"/>
        <v>ikets64@gmail.com</v>
      </c>
    </row>
    <row r="552" spans="1:8" ht="15.5" x14ac:dyDescent="0.35">
      <c r="A552" s="7">
        <v>551</v>
      </c>
      <c r="B552" s="8">
        <v>11425</v>
      </c>
      <c r="C552" s="31" t="s">
        <v>533</v>
      </c>
      <c r="D552" s="8" t="s">
        <v>1060</v>
      </c>
      <c r="E552" s="7">
        <v>1991</v>
      </c>
      <c r="F552" s="36" t="str" cm="1">
        <f t="array" ref="F552">_xlfn.XLOOKUP(D552&amp;C552, Sheet3!$C$2:$C$1224&amp;Sheet3!$B$2:$B$1224, Sheet3!$D$2:$D$1224, "")</f>
        <v/>
      </c>
      <c r="G552" s="1" t="str" cm="1">
        <f t="array" ref="G552">_xlfn.XLOOKUP(D552&amp;C552, Sheet2!$A$2:$A$558&amp;Sheet2!$B$2:$B$558, Sheet2!$C$2:$C$558, "")</f>
        <v/>
      </c>
      <c r="H552" s="40" t="str">
        <f t="shared" si="8"/>
        <v/>
      </c>
    </row>
    <row r="553" spans="1:8" ht="15.5" x14ac:dyDescent="0.35">
      <c r="A553" s="7">
        <v>552</v>
      </c>
      <c r="B553" s="8">
        <v>13105</v>
      </c>
      <c r="C553" s="31" t="s">
        <v>534</v>
      </c>
      <c r="D553" s="8" t="s">
        <v>1065</v>
      </c>
      <c r="E553" s="7">
        <v>1991</v>
      </c>
      <c r="F553" s="36" t="str" cm="1">
        <f t="array" ref="F553">_xlfn.XLOOKUP(D553&amp;C553, Sheet3!$C$2:$C$1224&amp;Sheet3!$B$2:$B$1224, Sheet3!$D$2:$D$1224, "")</f>
        <v>budiwemail@gmail.com</v>
      </c>
      <c r="G553" s="1" t="str" cm="1">
        <f t="array" ref="G553">_xlfn.XLOOKUP(D553&amp;C553, Sheet2!$A$2:$A$558&amp;Sheet2!$B$2:$B$558, Sheet2!$C$2:$C$558, "")</f>
        <v/>
      </c>
      <c r="H553" s="40" t="str">
        <f t="shared" si="8"/>
        <v>budiwemail@gmail.com</v>
      </c>
    </row>
    <row r="554" spans="1:8" ht="15.5" x14ac:dyDescent="0.35">
      <c r="A554" s="7">
        <v>553</v>
      </c>
      <c r="B554" s="8">
        <v>12958</v>
      </c>
      <c r="C554" s="31" t="s">
        <v>535</v>
      </c>
      <c r="D554" s="8" t="s">
        <v>1065</v>
      </c>
      <c r="E554" s="7">
        <v>1991</v>
      </c>
      <c r="F554" s="36" t="str" cm="1">
        <f t="array" ref="F554">_xlfn.XLOOKUP(D554&amp;C554, Sheet3!$C$2:$C$1224&amp;Sheet3!$B$2:$B$1224, Sheet3!$D$2:$D$1224, "")</f>
        <v/>
      </c>
      <c r="G554" s="1" t="str" cm="1">
        <f t="array" ref="G554">_xlfn.XLOOKUP(D554&amp;C554, Sheet2!$A$2:$A$558&amp;Sheet2!$B$2:$B$558, Sheet2!$C$2:$C$558, "")</f>
        <v/>
      </c>
      <c r="H554" s="40" t="str">
        <f t="shared" si="8"/>
        <v/>
      </c>
    </row>
    <row r="555" spans="1:8" ht="15.5" x14ac:dyDescent="0.35">
      <c r="A555" s="7">
        <v>554</v>
      </c>
      <c r="B555" s="8">
        <v>12689</v>
      </c>
      <c r="C555" s="31" t="s">
        <v>536</v>
      </c>
      <c r="D555" s="8" t="s">
        <v>1063</v>
      </c>
      <c r="E555" s="7">
        <v>1991</v>
      </c>
      <c r="F555" s="36" t="str" cm="1">
        <f t="array" ref="F555">_xlfn.XLOOKUP(D555&amp;C555, Sheet3!$C$2:$C$1224&amp;Sheet3!$B$2:$B$1224, Sheet3!$D$2:$D$1224, "")</f>
        <v/>
      </c>
      <c r="G555" s="1" t="str" cm="1">
        <f t="array" ref="G555">_xlfn.XLOOKUP(D555&amp;C555, Sheet2!$A$2:$A$558&amp;Sheet2!$B$2:$B$558, Sheet2!$C$2:$C$558, "")</f>
        <v/>
      </c>
      <c r="H555" s="40" t="str">
        <f t="shared" si="8"/>
        <v/>
      </c>
    </row>
    <row r="556" spans="1:8" ht="15.5" x14ac:dyDescent="0.35">
      <c r="A556" s="7">
        <v>555</v>
      </c>
      <c r="B556" s="8">
        <v>13188</v>
      </c>
      <c r="C556" s="31" t="s">
        <v>537</v>
      </c>
      <c r="D556" s="8" t="s">
        <v>1067</v>
      </c>
      <c r="E556" s="7">
        <v>1991</v>
      </c>
      <c r="F556" s="36" t="str" cm="1">
        <f t="array" ref="F556">_xlfn.XLOOKUP(D556&amp;C556, Sheet3!$C$2:$C$1224&amp;Sheet3!$B$2:$B$1224, Sheet3!$D$2:$D$1224, "")</f>
        <v/>
      </c>
      <c r="G556" s="1" t="str" cm="1">
        <f t="array" ref="G556">_xlfn.XLOOKUP(D556&amp;C556, Sheet2!$A$2:$A$558&amp;Sheet2!$B$2:$B$558, Sheet2!$C$2:$C$558, "")</f>
        <v/>
      </c>
      <c r="H556" s="40" t="str">
        <f t="shared" si="8"/>
        <v/>
      </c>
    </row>
    <row r="557" spans="1:8" ht="15.5" x14ac:dyDescent="0.35">
      <c r="A557" s="7">
        <v>556</v>
      </c>
      <c r="B557" s="8">
        <v>8020</v>
      </c>
      <c r="C557" s="31" t="s">
        <v>538</v>
      </c>
      <c r="D557" s="8" t="s">
        <v>1051</v>
      </c>
      <c r="E557" s="7">
        <v>1991</v>
      </c>
      <c r="F557" s="36" t="str" cm="1">
        <f t="array" ref="F557">_xlfn.XLOOKUP(D557&amp;C557, Sheet3!$C$2:$C$1224&amp;Sheet3!$B$2:$B$1224, Sheet3!$D$2:$D$1224, "")</f>
        <v/>
      </c>
      <c r="G557" s="1" t="str" cm="1">
        <f t="array" ref="G557">_xlfn.XLOOKUP(D557&amp;C557, Sheet2!$A$2:$A$558&amp;Sheet2!$B$2:$B$558, Sheet2!$C$2:$C$558, "")</f>
        <v/>
      </c>
      <c r="H557" s="40" t="str">
        <f t="shared" si="8"/>
        <v/>
      </c>
    </row>
    <row r="558" spans="1:8" ht="15.5" x14ac:dyDescent="0.35">
      <c r="A558" s="7">
        <v>557</v>
      </c>
      <c r="B558" s="8">
        <v>13861</v>
      </c>
      <c r="C558" s="31" t="s">
        <v>539</v>
      </c>
      <c r="D558" s="8" t="s">
        <v>1067</v>
      </c>
      <c r="E558" s="7">
        <v>1991</v>
      </c>
      <c r="F558" s="36" t="str" cm="1">
        <f t="array" ref="F558">_xlfn.XLOOKUP(D558&amp;C558, Sheet3!$C$2:$C$1224&amp;Sheet3!$B$2:$B$1224, Sheet3!$D$2:$D$1224, "")</f>
        <v/>
      </c>
      <c r="G558" s="1" t="str" cm="1">
        <f t="array" ref="G558">_xlfn.XLOOKUP(D558&amp;C558, Sheet2!$A$2:$A$558&amp;Sheet2!$B$2:$B$558, Sheet2!$C$2:$C$558, "")</f>
        <v/>
      </c>
      <c r="H558" s="40" t="str">
        <f t="shared" si="8"/>
        <v/>
      </c>
    </row>
    <row r="559" spans="1:8" ht="15.5" x14ac:dyDescent="0.35">
      <c r="A559" s="7">
        <v>558</v>
      </c>
      <c r="B559" s="8">
        <v>8079</v>
      </c>
      <c r="C559" s="31" t="s">
        <v>540</v>
      </c>
      <c r="D559" s="8" t="s">
        <v>1051</v>
      </c>
      <c r="E559" s="7">
        <v>1991</v>
      </c>
      <c r="F559" s="36" t="str" cm="1">
        <f t="array" ref="F559">_xlfn.XLOOKUP(D559&amp;C559, Sheet3!$C$2:$C$1224&amp;Sheet3!$B$2:$B$1224, Sheet3!$D$2:$D$1224, "")</f>
        <v/>
      </c>
      <c r="G559" s="1" t="str" cm="1">
        <f t="array" ref="G559">_xlfn.XLOOKUP(D559&amp;C559, Sheet2!$A$2:$A$558&amp;Sheet2!$B$2:$B$558, Sheet2!$C$2:$C$558, "")</f>
        <v/>
      </c>
      <c r="H559" s="40" t="str">
        <f t="shared" si="8"/>
        <v/>
      </c>
    </row>
    <row r="560" spans="1:8" ht="15.5" x14ac:dyDescent="0.35">
      <c r="A560" s="7">
        <v>559</v>
      </c>
      <c r="B560" s="8">
        <v>11725</v>
      </c>
      <c r="C560" s="31" t="s">
        <v>541</v>
      </c>
      <c r="D560" s="8" t="s">
        <v>1061</v>
      </c>
      <c r="E560" s="7">
        <v>1991</v>
      </c>
      <c r="F560" s="36" t="str" cm="1">
        <f t="array" ref="F560">_xlfn.XLOOKUP(D560&amp;C560, Sheet3!$C$2:$C$1224&amp;Sheet3!$B$2:$B$1224, Sheet3!$D$2:$D$1224, "")</f>
        <v/>
      </c>
      <c r="G560" s="1" t="str" cm="1">
        <f t="array" ref="G560">_xlfn.XLOOKUP(D560&amp;C560, Sheet2!$A$2:$A$558&amp;Sheet2!$B$2:$B$558, Sheet2!$C$2:$C$558, "")</f>
        <v/>
      </c>
      <c r="H560" s="40" t="str">
        <f t="shared" si="8"/>
        <v/>
      </c>
    </row>
    <row r="561" spans="1:8" ht="15.5" x14ac:dyDescent="0.35">
      <c r="A561" s="7">
        <v>560</v>
      </c>
      <c r="B561" s="8">
        <v>11786</v>
      </c>
      <c r="C561" s="31" t="s">
        <v>542</v>
      </c>
      <c r="D561" s="8" t="s">
        <v>1061</v>
      </c>
      <c r="E561" s="7">
        <v>1991</v>
      </c>
      <c r="F561" s="36" t="str" cm="1">
        <f t="array" ref="F561">_xlfn.XLOOKUP(D561&amp;C561, Sheet3!$C$2:$C$1224&amp;Sheet3!$B$2:$B$1224, Sheet3!$D$2:$D$1224, "")</f>
        <v/>
      </c>
      <c r="G561" s="1" t="str" cm="1">
        <f t="array" ref="G561">_xlfn.XLOOKUP(D561&amp;C561, Sheet2!$A$2:$A$558&amp;Sheet2!$B$2:$B$558, Sheet2!$C$2:$C$558, "")</f>
        <v/>
      </c>
      <c r="H561" s="40" t="str">
        <f t="shared" si="8"/>
        <v/>
      </c>
    </row>
    <row r="562" spans="1:8" ht="15.5" x14ac:dyDescent="0.35">
      <c r="A562" s="7">
        <v>561</v>
      </c>
      <c r="B562" s="8">
        <v>12339</v>
      </c>
      <c r="C562" s="31" t="s">
        <v>543</v>
      </c>
      <c r="D562" s="8" t="s">
        <v>1063</v>
      </c>
      <c r="E562" s="7">
        <v>1991</v>
      </c>
      <c r="F562" s="36" t="str" cm="1">
        <f t="array" ref="F562">_xlfn.XLOOKUP(D562&amp;C562, Sheet3!$C$2:$C$1224&amp;Sheet3!$B$2:$B$1224, Sheet3!$D$2:$D$1224, "")</f>
        <v/>
      </c>
      <c r="G562" s="1" t="str" cm="1">
        <f t="array" ref="G562">_xlfn.XLOOKUP(D562&amp;C562, Sheet2!$A$2:$A$558&amp;Sheet2!$B$2:$B$558, Sheet2!$C$2:$C$558, "")</f>
        <v>safhimawan@gmail.com</v>
      </c>
      <c r="H562" s="40" t="str">
        <f t="shared" si="8"/>
        <v>safhimawan@gmail.com</v>
      </c>
    </row>
    <row r="563" spans="1:8" ht="15.5" x14ac:dyDescent="0.35">
      <c r="A563" s="7">
        <v>562</v>
      </c>
      <c r="B563" s="8">
        <v>13021</v>
      </c>
      <c r="C563" s="31" t="s">
        <v>544</v>
      </c>
      <c r="D563" s="8" t="s">
        <v>1065</v>
      </c>
      <c r="E563" s="7">
        <v>1991</v>
      </c>
      <c r="F563" s="36" t="str" cm="1">
        <f t="array" ref="F563">_xlfn.XLOOKUP(D563&amp;C563, Sheet3!$C$2:$C$1224&amp;Sheet3!$B$2:$B$1224, Sheet3!$D$2:$D$1224, "")</f>
        <v/>
      </c>
      <c r="G563" s="1" t="str" cm="1">
        <f t="array" ref="G563">_xlfn.XLOOKUP(D563&amp;C563, Sheet2!$A$2:$A$558&amp;Sheet2!$B$2:$B$558, Sheet2!$C$2:$C$558, "")</f>
        <v/>
      </c>
      <c r="H563" s="40" t="str">
        <f t="shared" si="8"/>
        <v/>
      </c>
    </row>
    <row r="564" spans="1:8" ht="15.5" x14ac:dyDescent="0.35">
      <c r="A564" s="7">
        <v>563</v>
      </c>
      <c r="B564" s="8">
        <v>12926</v>
      </c>
      <c r="C564" s="31" t="s">
        <v>545</v>
      </c>
      <c r="D564" s="8" t="s">
        <v>1065</v>
      </c>
      <c r="E564" s="7">
        <v>1991</v>
      </c>
      <c r="F564" s="36" t="str" cm="1">
        <f t="array" ref="F564">_xlfn.XLOOKUP(D564&amp;C564, Sheet3!$C$2:$C$1224&amp;Sheet3!$B$2:$B$1224, Sheet3!$D$2:$D$1224, "")</f>
        <v/>
      </c>
      <c r="G564" s="1" t="str" cm="1">
        <f t="array" ref="G564">_xlfn.XLOOKUP(D564&amp;C564, Sheet2!$A$2:$A$558&amp;Sheet2!$B$2:$B$558, Sheet2!$C$2:$C$558, "")</f>
        <v/>
      </c>
      <c r="H564" s="40" t="str">
        <f t="shared" si="8"/>
        <v/>
      </c>
    </row>
    <row r="565" spans="1:8" ht="15.5" x14ac:dyDescent="0.35">
      <c r="A565" s="7">
        <v>564</v>
      </c>
      <c r="B565" s="8">
        <v>13211</v>
      </c>
      <c r="C565" s="31" t="s">
        <v>546</v>
      </c>
      <c r="D565" s="8" t="s">
        <v>1065</v>
      </c>
      <c r="E565" s="7">
        <v>1991</v>
      </c>
      <c r="F565" s="36" t="str" cm="1">
        <f t="array" ref="F565">_xlfn.XLOOKUP(D565&amp;C565, Sheet3!$C$2:$C$1224&amp;Sheet3!$B$2:$B$1224, Sheet3!$D$2:$D$1224, "")</f>
        <v/>
      </c>
      <c r="G565" s="1" t="str" cm="1">
        <f t="array" ref="G565">_xlfn.XLOOKUP(D565&amp;C565, Sheet2!$A$2:$A$558&amp;Sheet2!$B$2:$B$558, Sheet2!$C$2:$C$558, "")</f>
        <v/>
      </c>
      <c r="H565" s="40" t="str">
        <f t="shared" si="8"/>
        <v/>
      </c>
    </row>
    <row r="566" spans="1:8" ht="15.5" x14ac:dyDescent="0.35">
      <c r="A566" s="7">
        <v>565</v>
      </c>
      <c r="B566" s="8">
        <v>11724</v>
      </c>
      <c r="C566" s="31" t="s">
        <v>547</v>
      </c>
      <c r="D566" s="8" t="s">
        <v>1061</v>
      </c>
      <c r="E566" s="7">
        <v>1991</v>
      </c>
      <c r="F566" s="36" t="str" cm="1">
        <f t="array" ref="F566">_xlfn.XLOOKUP(D566&amp;C566, Sheet3!$C$2:$C$1224&amp;Sheet3!$B$2:$B$1224, Sheet3!$D$2:$D$1224, "")</f>
        <v>haryantoaskarlo82@gmail.com</v>
      </c>
      <c r="G566" s="1" t="str" cm="1">
        <f t="array" ref="G566">_xlfn.XLOOKUP(D566&amp;C566, Sheet2!$A$2:$A$558&amp;Sheet2!$B$2:$B$558, Sheet2!$C$2:$C$558, "")</f>
        <v/>
      </c>
      <c r="H566" s="40" t="str">
        <f t="shared" si="8"/>
        <v>haryantoaskarlo82@gmail.com</v>
      </c>
    </row>
    <row r="567" spans="1:8" ht="15.5" x14ac:dyDescent="0.35">
      <c r="A567" s="7">
        <v>566</v>
      </c>
      <c r="B567" s="8">
        <v>11731</v>
      </c>
      <c r="C567" s="31" t="s">
        <v>548</v>
      </c>
      <c r="D567" s="8" t="s">
        <v>1061</v>
      </c>
      <c r="E567" s="7">
        <v>1991</v>
      </c>
      <c r="F567" s="36" t="str" cm="1">
        <f t="array" ref="F567">_xlfn.XLOOKUP(D567&amp;C567, Sheet3!$C$2:$C$1224&amp;Sheet3!$B$2:$B$1224, Sheet3!$D$2:$D$1224, "")</f>
        <v/>
      </c>
      <c r="G567" s="1" t="str" cm="1">
        <f t="array" ref="G567">_xlfn.XLOOKUP(D567&amp;C567, Sheet2!$A$2:$A$558&amp;Sheet2!$B$2:$B$558, Sheet2!$C$2:$C$558, "")</f>
        <v/>
      </c>
      <c r="H567" s="40" t="str">
        <f t="shared" si="8"/>
        <v/>
      </c>
    </row>
    <row r="568" spans="1:8" ht="15.5" x14ac:dyDescent="0.35">
      <c r="A568" s="7">
        <v>567</v>
      </c>
      <c r="B568" s="8">
        <v>13617</v>
      </c>
      <c r="C568" s="31" t="s">
        <v>549</v>
      </c>
      <c r="D568" s="8" t="s">
        <v>1067</v>
      </c>
      <c r="E568" s="7">
        <v>1991</v>
      </c>
      <c r="F568" s="36" t="str" cm="1">
        <f t="array" ref="F568">_xlfn.XLOOKUP(D568&amp;C568, Sheet3!$C$2:$C$1224&amp;Sheet3!$B$2:$B$1224, Sheet3!$D$2:$D$1224, "")</f>
        <v/>
      </c>
      <c r="G568" s="1" t="str" cm="1">
        <f t="array" ref="G568">_xlfn.XLOOKUP(D568&amp;C568, Sheet2!$A$2:$A$558&amp;Sheet2!$B$2:$B$558, Sheet2!$C$2:$C$558, "")</f>
        <v/>
      </c>
      <c r="H568" s="40" t="str">
        <f t="shared" si="8"/>
        <v/>
      </c>
    </row>
    <row r="569" spans="1:8" ht="15.5" x14ac:dyDescent="0.35">
      <c r="A569" s="7">
        <v>568</v>
      </c>
      <c r="B569" s="8">
        <v>13252</v>
      </c>
      <c r="C569" s="31" t="s">
        <v>550</v>
      </c>
      <c r="D569" s="8" t="s">
        <v>1067</v>
      </c>
      <c r="E569" s="7">
        <v>1991</v>
      </c>
      <c r="F569" s="36" t="str" cm="1">
        <f t="array" ref="F569">_xlfn.XLOOKUP(D569&amp;C569, Sheet3!$C$2:$C$1224&amp;Sheet3!$B$2:$B$1224, Sheet3!$D$2:$D$1224, "")</f>
        <v>gatopl66@gmail.com</v>
      </c>
      <c r="G569" s="1" t="str" cm="1">
        <f t="array" ref="G569">_xlfn.XLOOKUP(D569&amp;C569, Sheet2!$A$2:$A$558&amp;Sheet2!$B$2:$B$558, Sheet2!$C$2:$C$558, "")</f>
        <v/>
      </c>
      <c r="H569" s="40" t="str">
        <f t="shared" si="8"/>
        <v>gatopl66@gmail.com</v>
      </c>
    </row>
    <row r="570" spans="1:8" ht="15.5" x14ac:dyDescent="0.35">
      <c r="A570" s="7">
        <v>569</v>
      </c>
      <c r="B570" s="8">
        <v>13050</v>
      </c>
      <c r="C570" s="31" t="s">
        <v>551</v>
      </c>
      <c r="D570" s="8" t="s">
        <v>1065</v>
      </c>
      <c r="E570" s="7">
        <v>1991</v>
      </c>
      <c r="F570" s="36" t="str" cm="1">
        <f t="array" ref="F570">_xlfn.XLOOKUP(D570&amp;C570, Sheet3!$C$2:$C$1224&amp;Sheet3!$B$2:$B$1224, Sheet3!$D$2:$D$1224, "")</f>
        <v>ali.nor@big.go.id</v>
      </c>
      <c r="G570" s="1" t="str" cm="1">
        <f t="array" ref="G570">_xlfn.XLOOKUP(D570&amp;C570, Sheet2!$A$2:$A$558&amp;Sheet2!$B$2:$B$558, Sheet2!$C$2:$C$558, "")</f>
        <v/>
      </c>
      <c r="H570" s="40" t="str">
        <f t="shared" si="8"/>
        <v>ali.nor@big.go.id</v>
      </c>
    </row>
    <row r="571" spans="1:8" ht="15.5" x14ac:dyDescent="0.35">
      <c r="A571" s="7">
        <v>570</v>
      </c>
      <c r="B571" s="8">
        <v>12839</v>
      </c>
      <c r="C571" s="31" t="s">
        <v>552</v>
      </c>
      <c r="D571" s="8" t="s">
        <v>1065</v>
      </c>
      <c r="E571" s="7">
        <v>1991</v>
      </c>
      <c r="F571" s="36" t="str" cm="1">
        <f t="array" ref="F571">_xlfn.XLOOKUP(D571&amp;C571, Sheet3!$C$2:$C$1224&amp;Sheet3!$B$2:$B$1224, Sheet3!$D$2:$D$1224, "")</f>
        <v/>
      </c>
      <c r="G571" s="1" t="str" cm="1">
        <f t="array" ref="G571">_xlfn.XLOOKUP(D571&amp;C571, Sheet2!$A$2:$A$558&amp;Sheet2!$B$2:$B$558, Sheet2!$C$2:$C$558, "")</f>
        <v/>
      </c>
      <c r="H571" s="40" t="str">
        <f t="shared" si="8"/>
        <v/>
      </c>
    </row>
    <row r="572" spans="1:8" ht="15.5" x14ac:dyDescent="0.35">
      <c r="A572" s="7">
        <v>571</v>
      </c>
      <c r="B572" s="8">
        <v>13624</v>
      </c>
      <c r="C572" s="31" t="s">
        <v>553</v>
      </c>
      <c r="D572" s="8" t="s">
        <v>1067</v>
      </c>
      <c r="E572" s="7">
        <v>1991</v>
      </c>
      <c r="F572" s="36" t="str" cm="1">
        <f t="array" ref="F572">_xlfn.XLOOKUP(D572&amp;C572, Sheet3!$C$2:$C$1224&amp;Sheet3!$B$2:$B$1224, Sheet3!$D$2:$D$1224, "")</f>
        <v/>
      </c>
      <c r="G572" s="1" t="str" cm="1">
        <f t="array" ref="G572">_xlfn.XLOOKUP(D572&amp;C572, Sheet2!$A$2:$A$558&amp;Sheet2!$B$2:$B$558, Sheet2!$C$2:$C$558, "")</f>
        <v/>
      </c>
      <c r="H572" s="40" t="str">
        <f t="shared" si="8"/>
        <v/>
      </c>
    </row>
    <row r="573" spans="1:8" ht="15.5" x14ac:dyDescent="0.35">
      <c r="A573" s="7">
        <v>572</v>
      </c>
      <c r="B573" s="8">
        <v>13868</v>
      </c>
      <c r="C573" s="31" t="s">
        <v>554</v>
      </c>
      <c r="D573" s="8" t="s">
        <v>1067</v>
      </c>
      <c r="E573" s="7">
        <v>1991</v>
      </c>
      <c r="F573" s="36" t="str" cm="1">
        <f t="array" ref="F573">_xlfn.XLOOKUP(D573&amp;C573, Sheet3!$C$2:$C$1224&amp;Sheet3!$B$2:$B$1224, Sheet3!$D$2:$D$1224, "")</f>
        <v/>
      </c>
      <c r="G573" s="1" t="str" cm="1">
        <f t="array" ref="G573">_xlfn.XLOOKUP(D573&amp;C573, Sheet2!$A$2:$A$558&amp;Sheet2!$B$2:$B$558, Sheet2!$C$2:$C$558, "")</f>
        <v/>
      </c>
      <c r="H573" s="40" t="str">
        <f t="shared" si="8"/>
        <v/>
      </c>
    </row>
    <row r="574" spans="1:8" ht="15.5" x14ac:dyDescent="0.35">
      <c r="A574" s="7">
        <v>573</v>
      </c>
      <c r="B574" s="8">
        <v>11803</v>
      </c>
      <c r="C574" s="31" t="s">
        <v>555</v>
      </c>
      <c r="D574" s="8" t="s">
        <v>1061</v>
      </c>
      <c r="E574" s="7">
        <v>1991</v>
      </c>
      <c r="F574" s="36" t="str" cm="1">
        <f t="array" ref="F574">_xlfn.XLOOKUP(D574&amp;C574, Sheet3!$C$2:$C$1224&amp;Sheet3!$B$2:$B$1224, Sheet3!$D$2:$D$1224, "")</f>
        <v/>
      </c>
      <c r="G574" s="1" t="str" cm="1">
        <f t="array" ref="G574">_xlfn.XLOOKUP(D574&amp;C574, Sheet2!$A$2:$A$558&amp;Sheet2!$B$2:$B$558, Sheet2!$C$2:$C$558, "")</f>
        <v/>
      </c>
      <c r="H574" s="40" t="str">
        <f t="shared" si="8"/>
        <v/>
      </c>
    </row>
    <row r="575" spans="1:8" ht="15.5" x14ac:dyDescent="0.35">
      <c r="A575" s="7">
        <v>574</v>
      </c>
      <c r="B575" s="8">
        <v>12781</v>
      </c>
      <c r="C575" s="31" t="s">
        <v>556</v>
      </c>
      <c r="D575" s="8" t="s">
        <v>1065</v>
      </c>
      <c r="E575" s="7">
        <v>1991</v>
      </c>
      <c r="F575" s="36" t="str" cm="1">
        <f t="array" ref="F575">_xlfn.XLOOKUP(D575&amp;C575, Sheet3!$C$2:$C$1224&amp;Sheet3!$B$2:$B$1224, Sheet3!$D$2:$D$1224, "")</f>
        <v/>
      </c>
      <c r="G575" s="1" t="str" cm="1">
        <f t="array" ref="G575">_xlfn.XLOOKUP(D575&amp;C575, Sheet2!$A$2:$A$558&amp;Sheet2!$B$2:$B$558, Sheet2!$C$2:$C$558, "")</f>
        <v/>
      </c>
      <c r="H575" s="40" t="str">
        <f t="shared" si="8"/>
        <v/>
      </c>
    </row>
    <row r="576" spans="1:8" ht="15.5" x14ac:dyDescent="0.35">
      <c r="A576" s="7">
        <v>575</v>
      </c>
      <c r="B576" s="8">
        <v>11804</v>
      </c>
      <c r="C576" s="31" t="s">
        <v>557</v>
      </c>
      <c r="D576" s="8" t="s">
        <v>1061</v>
      </c>
      <c r="E576" s="7">
        <v>1992</v>
      </c>
      <c r="F576" s="36" t="str" cm="1">
        <f t="array" ref="F576">_xlfn.XLOOKUP(D576&amp;C576, Sheet3!$C$2:$C$1224&amp;Sheet3!$B$2:$B$1224, Sheet3!$D$2:$D$1224, "")</f>
        <v>setiawan.bogor@gmail.com</v>
      </c>
      <c r="G576" s="1" t="str" cm="1">
        <f t="array" ref="G576">_xlfn.XLOOKUP(D576&amp;C576, Sheet2!$A$2:$A$558&amp;Sheet2!$B$2:$B$558, Sheet2!$C$2:$C$558, "")</f>
        <v/>
      </c>
      <c r="H576" s="40" t="str">
        <f t="shared" si="8"/>
        <v>setiawan.bogor@gmail.com</v>
      </c>
    </row>
    <row r="577" spans="1:8" ht="15.5" x14ac:dyDescent="0.35">
      <c r="A577" s="7">
        <v>576</v>
      </c>
      <c r="B577" s="8">
        <v>14290</v>
      </c>
      <c r="C577" s="31" t="s">
        <v>558</v>
      </c>
      <c r="D577" s="8" t="s">
        <v>1066</v>
      </c>
      <c r="E577" s="7">
        <v>1992</v>
      </c>
      <c r="F577" s="36" t="str" cm="1">
        <f t="array" ref="F577">_xlfn.XLOOKUP(D577&amp;C577, Sheet3!$C$2:$C$1224&amp;Sheet3!$B$2:$B$1224, Sheet3!$D$2:$D$1224, "")</f>
        <v>Mumtaz2704@yahoo.com</v>
      </c>
      <c r="G577" s="1" t="str" cm="1">
        <f t="array" ref="G577">_xlfn.XLOOKUP(D577&amp;C577, Sheet2!$A$2:$A$558&amp;Sheet2!$B$2:$B$558, Sheet2!$C$2:$C$558, "")</f>
        <v/>
      </c>
      <c r="H577" s="40" t="str">
        <f t="shared" si="8"/>
        <v>Mumtaz2704@yahoo.com</v>
      </c>
    </row>
    <row r="578" spans="1:8" ht="15.5" x14ac:dyDescent="0.35">
      <c r="A578" s="7">
        <v>577</v>
      </c>
      <c r="B578" s="8">
        <v>11759</v>
      </c>
      <c r="C578" s="31" t="s">
        <v>559</v>
      </c>
      <c r="D578" s="8" t="s">
        <v>1061</v>
      </c>
      <c r="E578" s="7">
        <v>1992</v>
      </c>
      <c r="F578" s="36" t="str" cm="1">
        <f t="array" ref="F578">_xlfn.XLOOKUP(D578&amp;C578, Sheet3!$C$2:$C$1224&amp;Sheet3!$B$2:$B$1224, Sheet3!$D$2:$D$1224, "")</f>
        <v/>
      </c>
      <c r="G578" s="1" t="str" cm="1">
        <f t="array" ref="G578">_xlfn.XLOOKUP(D578&amp;C578, Sheet2!$A$2:$A$558&amp;Sheet2!$B$2:$B$558, Sheet2!$C$2:$C$558, "")</f>
        <v/>
      </c>
      <c r="H578" s="40" t="str">
        <f t="shared" si="8"/>
        <v/>
      </c>
    </row>
    <row r="579" spans="1:8" ht="15.5" x14ac:dyDescent="0.35">
      <c r="A579" s="7">
        <v>578</v>
      </c>
      <c r="B579" s="8">
        <v>13208</v>
      </c>
      <c r="C579" s="31" t="s">
        <v>560</v>
      </c>
      <c r="D579" s="8" t="s">
        <v>1065</v>
      </c>
      <c r="E579" s="7">
        <v>1992</v>
      </c>
      <c r="F579" s="36" t="str" cm="1">
        <f t="array" ref="F579">_xlfn.XLOOKUP(D579&amp;C579, Sheet3!$C$2:$C$1224&amp;Sheet3!$B$2:$B$1224, Sheet3!$D$2:$D$1224, "")</f>
        <v/>
      </c>
      <c r="G579" s="1" t="str" cm="1">
        <f t="array" ref="G579">_xlfn.XLOOKUP(D579&amp;C579, Sheet2!$A$2:$A$558&amp;Sheet2!$B$2:$B$558, Sheet2!$C$2:$C$558, "")</f>
        <v/>
      </c>
      <c r="H579" s="40" t="str">
        <f t="shared" ref="H579:H642" si="9">IF(F579&lt;&gt;"",F579,G579)</f>
        <v/>
      </c>
    </row>
    <row r="580" spans="1:8" ht="15.5" x14ac:dyDescent="0.35">
      <c r="A580" s="7">
        <v>579</v>
      </c>
      <c r="B580" s="8">
        <v>12848</v>
      </c>
      <c r="C580" s="31" t="s">
        <v>561</v>
      </c>
      <c r="D580" s="8" t="s">
        <v>1065</v>
      </c>
      <c r="E580" s="7">
        <v>1992</v>
      </c>
      <c r="F580" s="36" t="str" cm="1">
        <f t="array" ref="F580">_xlfn.XLOOKUP(D580&amp;C580, Sheet3!$C$2:$C$1224&amp;Sheet3!$B$2:$B$1224, Sheet3!$D$2:$D$1224, "")</f>
        <v>ekobudiwahyono3@gmail.com</v>
      </c>
      <c r="G580" s="1" t="str" cm="1">
        <f t="array" ref="G580">_xlfn.XLOOKUP(D580&amp;C580, Sheet2!$A$2:$A$558&amp;Sheet2!$B$2:$B$558, Sheet2!$C$2:$C$558, "")</f>
        <v/>
      </c>
      <c r="H580" s="40" t="str">
        <f t="shared" si="9"/>
        <v>ekobudiwahyono3@gmail.com</v>
      </c>
    </row>
    <row r="581" spans="1:8" ht="15.5" x14ac:dyDescent="0.35">
      <c r="A581" s="7">
        <v>580</v>
      </c>
      <c r="B581" s="8">
        <v>13571</v>
      </c>
      <c r="C581" s="31" t="s">
        <v>562</v>
      </c>
      <c r="D581" s="8" t="s">
        <v>1067</v>
      </c>
      <c r="E581" s="7">
        <v>1992</v>
      </c>
      <c r="F581" s="36" t="str" cm="1">
        <f t="array" ref="F581">_xlfn.XLOOKUP(D581&amp;C581, Sheet3!$C$2:$C$1224&amp;Sheet3!$B$2:$B$1224, Sheet3!$D$2:$D$1224, "")</f>
        <v>afthonitoni@gmail.com</v>
      </c>
      <c r="G581" s="1" t="str" cm="1">
        <f t="array" ref="G581">_xlfn.XLOOKUP(D581&amp;C581, Sheet2!$A$2:$A$558&amp;Sheet2!$B$2:$B$558, Sheet2!$C$2:$C$558, "")</f>
        <v/>
      </c>
      <c r="H581" s="40" t="str">
        <f t="shared" si="9"/>
        <v>afthonitoni@gmail.com</v>
      </c>
    </row>
    <row r="582" spans="1:8" ht="15.5" x14ac:dyDescent="0.35">
      <c r="A582" s="7">
        <v>581</v>
      </c>
      <c r="B582" s="8">
        <v>13781</v>
      </c>
      <c r="C582" s="31" t="s">
        <v>563</v>
      </c>
      <c r="D582" s="8" t="s">
        <v>1067</v>
      </c>
      <c r="E582" s="7">
        <v>1992</v>
      </c>
      <c r="F582" s="36" t="str" cm="1">
        <f t="array" ref="F582">_xlfn.XLOOKUP(D582&amp;C582, Sheet3!$C$2:$C$1224&amp;Sheet3!$B$2:$B$1224, Sheet3!$D$2:$D$1224, "")</f>
        <v/>
      </c>
      <c r="G582" s="1" t="str" cm="1">
        <f t="array" ref="G582">_xlfn.XLOOKUP(D582&amp;C582, Sheet2!$A$2:$A$558&amp;Sheet2!$B$2:$B$558, Sheet2!$C$2:$C$558, "")</f>
        <v/>
      </c>
      <c r="H582" s="40" t="str">
        <f t="shared" si="9"/>
        <v/>
      </c>
    </row>
    <row r="583" spans="1:8" ht="15.5" x14ac:dyDescent="0.35">
      <c r="A583" s="7">
        <v>582</v>
      </c>
      <c r="B583" s="8">
        <v>13971</v>
      </c>
      <c r="C583" s="31" t="s">
        <v>564</v>
      </c>
      <c r="D583" s="8" t="s">
        <v>1066</v>
      </c>
      <c r="E583" s="7">
        <v>1992</v>
      </c>
      <c r="F583" s="36" t="str" cm="1">
        <f t="array" ref="F583">_xlfn.XLOOKUP(D583&amp;C583, Sheet3!$C$2:$C$1224&amp;Sheet3!$B$2:$B$1224, Sheet3!$D$2:$D$1224, "")</f>
        <v>yoepidha@yahoo.com</v>
      </c>
      <c r="G583" s="1" t="str" cm="1">
        <f t="array" ref="G583">_xlfn.XLOOKUP(D583&amp;C583, Sheet2!$A$2:$A$558&amp;Sheet2!$B$2:$B$558, Sheet2!$C$2:$C$558, "")</f>
        <v>yoepidha@yahoo.com</v>
      </c>
      <c r="H583" s="40" t="str">
        <f t="shared" si="9"/>
        <v>yoepidha@yahoo.com</v>
      </c>
    </row>
    <row r="584" spans="1:8" ht="15.5" x14ac:dyDescent="0.35">
      <c r="A584" s="7">
        <v>583</v>
      </c>
      <c r="B584" s="8">
        <v>13167</v>
      </c>
      <c r="C584" s="31" t="s">
        <v>565</v>
      </c>
      <c r="D584" s="8" t="s">
        <v>1065</v>
      </c>
      <c r="E584" s="7">
        <v>1992</v>
      </c>
      <c r="F584" s="36" t="str" cm="1">
        <f t="array" ref="F584">_xlfn.XLOOKUP(D584&amp;C584, Sheet3!$C$2:$C$1224&amp;Sheet3!$B$2:$B$1224, Sheet3!$D$2:$D$1224, "")</f>
        <v>pujiyantodm@gmail.com</v>
      </c>
      <c r="G584" s="1" t="str" cm="1">
        <f t="array" ref="G584">_xlfn.XLOOKUP(D584&amp;C584, Sheet2!$A$2:$A$558&amp;Sheet2!$B$2:$B$558, Sheet2!$C$2:$C$558, "")</f>
        <v/>
      </c>
      <c r="H584" s="40" t="str">
        <f t="shared" si="9"/>
        <v>pujiyantodm@gmail.com</v>
      </c>
    </row>
    <row r="585" spans="1:8" ht="15.5" x14ac:dyDescent="0.35">
      <c r="A585" s="7">
        <v>584</v>
      </c>
      <c r="B585" s="8">
        <v>13180</v>
      </c>
      <c r="C585" s="31" t="s">
        <v>566</v>
      </c>
      <c r="D585" s="8" t="s">
        <v>1065</v>
      </c>
      <c r="E585" s="7">
        <v>1992</v>
      </c>
      <c r="F585" s="36" t="str" cm="1">
        <f t="array" ref="F585">_xlfn.XLOOKUP(D585&amp;C585, Sheet3!$C$2:$C$1224&amp;Sheet3!$B$2:$B$1224, Sheet3!$D$2:$D$1224, "")</f>
        <v>muliadihelen@gmail.com</v>
      </c>
      <c r="G585" s="1" t="str" cm="1">
        <f t="array" ref="G585">_xlfn.XLOOKUP(D585&amp;C585, Sheet2!$A$2:$A$558&amp;Sheet2!$B$2:$B$558, Sheet2!$C$2:$C$558, "")</f>
        <v/>
      </c>
      <c r="H585" s="40" t="str">
        <f t="shared" si="9"/>
        <v>muliadihelen@gmail.com</v>
      </c>
    </row>
    <row r="586" spans="1:8" ht="15.5" x14ac:dyDescent="0.35">
      <c r="A586" s="7">
        <v>585</v>
      </c>
      <c r="B586" s="8">
        <v>13264</v>
      </c>
      <c r="C586" s="31" t="s">
        <v>567</v>
      </c>
      <c r="D586" s="8" t="s">
        <v>1067</v>
      </c>
      <c r="E586" s="7">
        <v>1992</v>
      </c>
      <c r="F586" s="36" t="str" cm="1">
        <f t="array" ref="F586">_xlfn.XLOOKUP(D586&amp;C586, Sheet3!$C$2:$C$1224&amp;Sheet3!$B$2:$B$1224, Sheet3!$D$2:$D$1224, "")</f>
        <v/>
      </c>
      <c r="G586" s="1" t="str" cm="1">
        <f t="array" ref="G586">_xlfn.XLOOKUP(D586&amp;C586, Sheet2!$A$2:$A$558&amp;Sheet2!$B$2:$B$558, Sheet2!$C$2:$C$558, "")</f>
        <v/>
      </c>
      <c r="H586" s="40" t="str">
        <f t="shared" si="9"/>
        <v/>
      </c>
    </row>
    <row r="587" spans="1:8" ht="15.5" x14ac:dyDescent="0.35">
      <c r="A587" s="7">
        <v>586</v>
      </c>
      <c r="B587" s="8">
        <v>6693</v>
      </c>
      <c r="C587" s="31" t="s">
        <v>568</v>
      </c>
      <c r="D587" s="8" t="s">
        <v>1050</v>
      </c>
      <c r="E587" s="7">
        <v>1992</v>
      </c>
      <c r="F587" s="36" t="str" cm="1">
        <f t="array" ref="F587">_xlfn.XLOOKUP(D587&amp;C587, Sheet3!$C$2:$C$1224&amp;Sheet3!$B$2:$B$1224, Sheet3!$D$2:$D$1224, "")</f>
        <v/>
      </c>
      <c r="G587" s="1" t="str" cm="1">
        <f t="array" ref="G587">_xlfn.XLOOKUP(D587&amp;C587, Sheet2!$A$2:$A$558&amp;Sheet2!$B$2:$B$558, Sheet2!$C$2:$C$558, "")</f>
        <v/>
      </c>
      <c r="H587" s="40" t="str">
        <f t="shared" si="9"/>
        <v/>
      </c>
    </row>
    <row r="588" spans="1:8" ht="15.5" x14ac:dyDescent="0.35">
      <c r="A588" s="7">
        <v>587</v>
      </c>
      <c r="B588" s="8">
        <v>12933</v>
      </c>
      <c r="C588" s="31" t="s">
        <v>569</v>
      </c>
      <c r="D588" s="8" t="s">
        <v>1065</v>
      </c>
      <c r="E588" s="7">
        <v>1992</v>
      </c>
      <c r="F588" s="36" t="str" cm="1">
        <f t="array" ref="F588">_xlfn.XLOOKUP(D588&amp;C588, Sheet3!$C$2:$C$1224&amp;Sheet3!$B$2:$B$1224, Sheet3!$D$2:$D$1224, "")</f>
        <v>arifpramana69@gmail.com</v>
      </c>
      <c r="G588" s="1" t="str" cm="1">
        <f t="array" ref="G588">_xlfn.XLOOKUP(D588&amp;C588, Sheet2!$A$2:$A$558&amp;Sheet2!$B$2:$B$558, Sheet2!$C$2:$C$558, "")</f>
        <v/>
      </c>
      <c r="H588" s="40" t="str">
        <f t="shared" si="9"/>
        <v>arifpramana69@gmail.com</v>
      </c>
    </row>
    <row r="589" spans="1:8" ht="15.5" x14ac:dyDescent="0.35">
      <c r="A589" s="7">
        <v>588</v>
      </c>
      <c r="B589" s="8">
        <v>12681</v>
      </c>
      <c r="C589" s="31" t="s">
        <v>570</v>
      </c>
      <c r="D589" s="8" t="s">
        <v>1063</v>
      </c>
      <c r="E589" s="7">
        <v>1992</v>
      </c>
      <c r="F589" s="36" t="str" cm="1">
        <f t="array" ref="F589">_xlfn.XLOOKUP(D589&amp;C589, Sheet3!$C$2:$C$1224&amp;Sheet3!$B$2:$B$1224, Sheet3!$D$2:$D$1224, "")</f>
        <v>adi.fitpra@gmail.com</v>
      </c>
      <c r="G589" s="1" t="str" cm="1">
        <f t="array" ref="G589">_xlfn.XLOOKUP(D589&amp;C589, Sheet2!$A$2:$A$558&amp;Sheet2!$B$2:$B$558, Sheet2!$C$2:$C$558, "")</f>
        <v/>
      </c>
      <c r="H589" s="40" t="str">
        <f t="shared" si="9"/>
        <v>adi.fitpra@gmail.com</v>
      </c>
    </row>
    <row r="590" spans="1:8" ht="15.5" x14ac:dyDescent="0.35">
      <c r="A590" s="7">
        <v>589</v>
      </c>
      <c r="B590" s="8">
        <v>11756</v>
      </c>
      <c r="C590" s="31" t="s">
        <v>571</v>
      </c>
      <c r="D590" s="8" t="s">
        <v>1061</v>
      </c>
      <c r="E590" s="7">
        <v>1992</v>
      </c>
      <c r="F590" s="36" t="str" cm="1">
        <f t="array" ref="F590">_xlfn.XLOOKUP(D590&amp;C590, Sheet3!$C$2:$C$1224&amp;Sheet3!$B$2:$B$1224, Sheet3!$D$2:$D$1224, "")</f>
        <v/>
      </c>
      <c r="G590" s="1" t="str" cm="1">
        <f t="array" ref="G590">_xlfn.XLOOKUP(D590&amp;C590, Sheet2!$A$2:$A$558&amp;Sheet2!$B$2:$B$558, Sheet2!$C$2:$C$558, "")</f>
        <v/>
      </c>
      <c r="H590" s="40" t="str">
        <f t="shared" si="9"/>
        <v/>
      </c>
    </row>
    <row r="591" spans="1:8" ht="15.5" x14ac:dyDescent="0.35">
      <c r="A591" s="7">
        <v>590</v>
      </c>
      <c r="B591" s="8">
        <v>11796</v>
      </c>
      <c r="C591" s="31" t="s">
        <v>572</v>
      </c>
      <c r="D591" s="8" t="s">
        <v>1061</v>
      </c>
      <c r="E591" s="7">
        <v>1992</v>
      </c>
      <c r="F591" s="36" t="str" cm="1">
        <f t="array" ref="F591">_xlfn.XLOOKUP(D591&amp;C591, Sheet3!$C$2:$C$1224&amp;Sheet3!$B$2:$B$1224, Sheet3!$D$2:$D$1224, "")</f>
        <v/>
      </c>
      <c r="G591" s="1" t="str" cm="1">
        <f t="array" ref="G591">_xlfn.XLOOKUP(D591&amp;C591, Sheet2!$A$2:$A$558&amp;Sheet2!$B$2:$B$558, Sheet2!$C$2:$C$558, "")</f>
        <v/>
      </c>
      <c r="H591" s="40" t="str">
        <f t="shared" si="9"/>
        <v/>
      </c>
    </row>
    <row r="592" spans="1:8" ht="15.5" x14ac:dyDescent="0.35">
      <c r="A592" s="7">
        <v>591</v>
      </c>
      <c r="B592" s="8">
        <v>11732</v>
      </c>
      <c r="C592" s="31" t="s">
        <v>573</v>
      </c>
      <c r="D592" s="8" t="s">
        <v>1061</v>
      </c>
      <c r="E592" s="7">
        <v>1992</v>
      </c>
      <c r="F592" s="36" t="str" cm="1">
        <f t="array" ref="F592">_xlfn.XLOOKUP(D592&amp;C592, Sheet3!$C$2:$C$1224&amp;Sheet3!$B$2:$B$1224, Sheet3!$D$2:$D$1224, "")</f>
        <v>sugenggeidet82@gmail.com</v>
      </c>
      <c r="G592" s="1" t="str" cm="1">
        <f t="array" ref="G592">_xlfn.XLOOKUP(D592&amp;C592, Sheet2!$A$2:$A$558&amp;Sheet2!$B$2:$B$558, Sheet2!$C$2:$C$558, "")</f>
        <v/>
      </c>
      <c r="H592" s="40" t="str">
        <f t="shared" si="9"/>
        <v>sugenggeidet82@gmail.com</v>
      </c>
    </row>
    <row r="593" spans="1:8" ht="15.5" x14ac:dyDescent="0.35">
      <c r="A593" s="7">
        <v>592</v>
      </c>
      <c r="B593" s="8">
        <v>13098</v>
      </c>
      <c r="C593" s="31" t="s">
        <v>574</v>
      </c>
      <c r="D593" s="8" t="s">
        <v>1065</v>
      </c>
      <c r="E593" s="7">
        <v>1992</v>
      </c>
      <c r="F593" s="36" t="str" cm="1">
        <f t="array" ref="F593">_xlfn.XLOOKUP(D593&amp;C593, Sheet3!$C$2:$C$1224&amp;Sheet3!$B$2:$B$1224, Sheet3!$D$2:$D$1224, "")</f>
        <v/>
      </c>
      <c r="G593" s="1" t="str" cm="1">
        <f t="array" ref="G593">_xlfn.XLOOKUP(D593&amp;C593, Sheet2!$A$2:$A$558&amp;Sheet2!$B$2:$B$558, Sheet2!$C$2:$C$558, "")</f>
        <v/>
      </c>
      <c r="H593" s="40" t="str">
        <f t="shared" si="9"/>
        <v/>
      </c>
    </row>
    <row r="594" spans="1:8" ht="15.5" x14ac:dyDescent="0.35">
      <c r="A594" s="7">
        <v>593</v>
      </c>
      <c r="B594" s="8">
        <v>13625</v>
      </c>
      <c r="C594" s="31" t="s">
        <v>575</v>
      </c>
      <c r="D594" s="8" t="s">
        <v>1067</v>
      </c>
      <c r="E594" s="7">
        <v>1992</v>
      </c>
      <c r="F594" s="36" t="str" cm="1">
        <f t="array" ref="F594">_xlfn.XLOOKUP(D594&amp;C594, Sheet3!$C$2:$C$1224&amp;Sheet3!$B$2:$B$1224, Sheet3!$D$2:$D$1224, "")</f>
        <v>triyonooks7@gmail.com</v>
      </c>
      <c r="G594" s="1" t="str" cm="1">
        <f t="array" ref="G594">_xlfn.XLOOKUP(D594&amp;C594, Sheet2!$A$2:$A$558&amp;Sheet2!$B$2:$B$558, Sheet2!$C$2:$C$558, "")</f>
        <v/>
      </c>
      <c r="H594" s="40" t="str">
        <f t="shared" si="9"/>
        <v>triyonooks7@gmail.com</v>
      </c>
    </row>
    <row r="595" spans="1:8" ht="15.5" x14ac:dyDescent="0.35">
      <c r="A595" s="7">
        <v>594</v>
      </c>
      <c r="B595" s="8">
        <v>8762</v>
      </c>
      <c r="C595" s="31" t="s">
        <v>576</v>
      </c>
      <c r="D595" s="8" t="s">
        <v>1054</v>
      </c>
      <c r="E595" s="7">
        <v>1992</v>
      </c>
      <c r="F595" s="36" t="str" cm="1">
        <f t="array" ref="F595">_xlfn.XLOOKUP(D595&amp;C595, Sheet3!$C$2:$C$1224&amp;Sheet3!$B$2:$B$1224, Sheet3!$D$2:$D$1224, "")</f>
        <v/>
      </c>
      <c r="G595" s="1" t="str" cm="1">
        <f t="array" ref="G595">_xlfn.XLOOKUP(D595&amp;C595, Sheet2!$A$2:$A$558&amp;Sheet2!$B$2:$B$558, Sheet2!$C$2:$C$558, "")</f>
        <v/>
      </c>
      <c r="H595" s="40" t="str">
        <f t="shared" si="9"/>
        <v/>
      </c>
    </row>
    <row r="596" spans="1:8" ht="15.5" x14ac:dyDescent="0.35">
      <c r="A596" s="7">
        <v>595</v>
      </c>
      <c r="B596" s="8">
        <v>12880</v>
      </c>
      <c r="C596" s="31" t="s">
        <v>577</v>
      </c>
      <c r="D596" s="8" t="s">
        <v>1065</v>
      </c>
      <c r="E596" s="7">
        <v>1992</v>
      </c>
      <c r="F596" s="36" t="str" cm="1">
        <f t="array" ref="F596">_xlfn.XLOOKUP(D596&amp;C596, Sheet3!$C$2:$C$1224&amp;Sheet3!$B$2:$B$1224, Sheet3!$D$2:$D$1224, "")</f>
        <v/>
      </c>
      <c r="G596" s="1" t="str" cm="1">
        <f t="array" ref="G596">_xlfn.XLOOKUP(D596&amp;C596, Sheet2!$A$2:$A$558&amp;Sheet2!$B$2:$B$558, Sheet2!$C$2:$C$558, "")</f>
        <v/>
      </c>
      <c r="H596" s="40" t="str">
        <f t="shared" si="9"/>
        <v/>
      </c>
    </row>
    <row r="597" spans="1:8" ht="15.5" x14ac:dyDescent="0.35">
      <c r="A597" s="7">
        <v>596</v>
      </c>
      <c r="B597" s="8">
        <v>13262</v>
      </c>
      <c r="C597" s="31" t="s">
        <v>578</v>
      </c>
      <c r="D597" s="8" t="s">
        <v>1067</v>
      </c>
      <c r="E597" s="7">
        <v>1992</v>
      </c>
      <c r="F597" s="36" t="str" cm="1">
        <f t="array" ref="F597">_xlfn.XLOOKUP(D597&amp;C597, Sheet3!$C$2:$C$1224&amp;Sheet3!$B$2:$B$1224, Sheet3!$D$2:$D$1224, "")</f>
        <v/>
      </c>
      <c r="G597" s="1" t="str" cm="1">
        <f t="array" ref="G597">_xlfn.XLOOKUP(D597&amp;C597, Sheet2!$A$2:$A$558&amp;Sheet2!$B$2:$B$558, Sheet2!$C$2:$C$558, "")</f>
        <v/>
      </c>
      <c r="H597" s="40" t="str">
        <f t="shared" si="9"/>
        <v/>
      </c>
    </row>
    <row r="598" spans="1:8" ht="15.5" x14ac:dyDescent="0.35">
      <c r="A598" s="7">
        <v>597</v>
      </c>
      <c r="B598" s="8">
        <v>12794</v>
      </c>
      <c r="C598" s="31" t="s">
        <v>579</v>
      </c>
      <c r="D598" s="8" t="s">
        <v>1065</v>
      </c>
      <c r="E598" s="7">
        <v>1992</v>
      </c>
      <c r="F598" s="36" t="str" cm="1">
        <f t="array" ref="F598">_xlfn.XLOOKUP(D598&amp;C598, Sheet3!$C$2:$C$1224&amp;Sheet3!$B$2:$B$1224, Sheet3!$D$2:$D$1224, "")</f>
        <v>sigitwahyudi3003@gmail.com</v>
      </c>
      <c r="G598" s="1" t="str" cm="1">
        <f t="array" ref="G598">_xlfn.XLOOKUP(D598&amp;C598, Sheet2!$A$2:$A$558&amp;Sheet2!$B$2:$B$558, Sheet2!$C$2:$C$558, "")</f>
        <v/>
      </c>
      <c r="H598" s="40" t="str">
        <f t="shared" si="9"/>
        <v>sigitwahyudi3003@gmail.com</v>
      </c>
    </row>
    <row r="599" spans="1:8" ht="15.5" x14ac:dyDescent="0.35">
      <c r="A599" s="7">
        <v>598</v>
      </c>
      <c r="B599" s="8">
        <v>13902</v>
      </c>
      <c r="C599" s="31" t="s">
        <v>580</v>
      </c>
      <c r="D599" s="8" t="s">
        <v>1066</v>
      </c>
      <c r="E599" s="7">
        <v>1992</v>
      </c>
      <c r="F599" s="36" t="str" cm="1">
        <f t="array" ref="F599">_xlfn.XLOOKUP(D599&amp;C599, Sheet3!$C$2:$C$1224&amp;Sheet3!$B$2:$B$1224, Sheet3!$D$2:$D$1224, "")</f>
        <v>ajuliarini@gmail.go.id</v>
      </c>
      <c r="G599" s="1" t="str" cm="1">
        <f t="array" ref="G599">_xlfn.XLOOKUP(D599&amp;C599, Sheet2!$A$2:$A$558&amp;Sheet2!$B$2:$B$558, Sheet2!$C$2:$C$558, "")</f>
        <v>anjuliarini@gmail.com</v>
      </c>
      <c r="H599" s="40" t="str">
        <f t="shared" si="9"/>
        <v>ajuliarini@gmail.go.id</v>
      </c>
    </row>
    <row r="600" spans="1:8" ht="15.5" x14ac:dyDescent="0.35">
      <c r="A600" s="7">
        <v>599</v>
      </c>
      <c r="B600" s="8">
        <v>13963</v>
      </c>
      <c r="C600" s="31" t="s">
        <v>581</v>
      </c>
      <c r="D600" s="8" t="s">
        <v>1066</v>
      </c>
      <c r="E600" s="7">
        <v>1992</v>
      </c>
      <c r="F600" s="36" t="str" cm="1">
        <f t="array" ref="F600">_xlfn.XLOOKUP(D600&amp;C600, Sheet3!$C$2:$C$1224&amp;Sheet3!$B$2:$B$1224, Sheet3!$D$2:$D$1224, "")</f>
        <v/>
      </c>
      <c r="G600" s="1" t="str" cm="1">
        <f t="array" ref="G600">_xlfn.XLOOKUP(D600&amp;C600, Sheet2!$A$2:$A$558&amp;Sheet2!$B$2:$B$558, Sheet2!$C$2:$C$558, "")</f>
        <v/>
      </c>
      <c r="H600" s="40" t="str">
        <f t="shared" si="9"/>
        <v/>
      </c>
    </row>
    <row r="601" spans="1:8" ht="15.5" x14ac:dyDescent="0.35">
      <c r="A601" s="7">
        <v>600</v>
      </c>
      <c r="B601" s="8">
        <v>11755</v>
      </c>
      <c r="C601" s="31" t="s">
        <v>582</v>
      </c>
      <c r="D601" s="8" t="s">
        <v>1061</v>
      </c>
      <c r="E601" s="7">
        <v>1992</v>
      </c>
      <c r="F601" s="36" t="str" cm="1">
        <f t="array" ref="F601">_xlfn.XLOOKUP(D601&amp;C601, Sheet3!$C$2:$C$1224&amp;Sheet3!$B$2:$B$1224, Sheet3!$D$2:$D$1224, "")</f>
        <v/>
      </c>
      <c r="G601" s="1" t="str" cm="1">
        <f t="array" ref="G601">_xlfn.XLOOKUP(D601&amp;C601, Sheet2!$A$2:$A$558&amp;Sheet2!$B$2:$B$558, Sheet2!$C$2:$C$558, "")</f>
        <v/>
      </c>
      <c r="H601" s="40" t="str">
        <f t="shared" si="9"/>
        <v/>
      </c>
    </row>
    <row r="602" spans="1:8" ht="15.5" x14ac:dyDescent="0.35">
      <c r="A602" s="7">
        <v>601</v>
      </c>
      <c r="B602" s="8">
        <v>13685</v>
      </c>
      <c r="C602" s="31" t="s">
        <v>583</v>
      </c>
      <c r="D602" s="8" t="s">
        <v>1067</v>
      </c>
      <c r="E602" s="7">
        <v>1992</v>
      </c>
      <c r="F602" s="36" t="str" cm="1">
        <f t="array" ref="F602">_xlfn.XLOOKUP(D602&amp;C602, Sheet3!$C$2:$C$1224&amp;Sheet3!$B$2:$B$1224, Sheet3!$D$2:$D$1224, "")</f>
        <v/>
      </c>
      <c r="G602" s="1" t="str" cm="1">
        <f t="array" ref="G602">_xlfn.XLOOKUP(D602&amp;C602, Sheet2!$A$2:$A$558&amp;Sheet2!$B$2:$B$558, Sheet2!$C$2:$C$558, "")</f>
        <v/>
      </c>
      <c r="H602" s="40" t="str">
        <f t="shared" si="9"/>
        <v/>
      </c>
    </row>
    <row r="603" spans="1:8" ht="15.5" x14ac:dyDescent="0.35">
      <c r="A603" s="7">
        <v>602</v>
      </c>
      <c r="B603" s="8">
        <v>15198</v>
      </c>
      <c r="C603" s="31" t="s">
        <v>584</v>
      </c>
      <c r="D603" s="8" t="s">
        <v>1068</v>
      </c>
      <c r="E603" s="7">
        <v>1992</v>
      </c>
      <c r="F603" s="36" t="str" cm="1">
        <f t="array" ref="F603">_xlfn.XLOOKUP(D603&amp;C603, Sheet3!$C$2:$C$1224&amp;Sheet3!$B$2:$B$1224, Sheet3!$D$2:$D$1224, "")</f>
        <v>nwidjajanti@ugm.ac.id</v>
      </c>
      <c r="G603" s="1" t="str" cm="1">
        <f t="array" ref="G603">_xlfn.XLOOKUP(D603&amp;C603, Sheet2!$A$2:$A$558&amp;Sheet2!$B$2:$B$558, Sheet2!$C$2:$C$558, "")</f>
        <v/>
      </c>
      <c r="H603" s="40" t="str">
        <f t="shared" si="9"/>
        <v>nwidjajanti@ugm.ac.id</v>
      </c>
    </row>
    <row r="604" spans="1:8" ht="15.5" x14ac:dyDescent="0.35">
      <c r="A604" s="7">
        <v>603</v>
      </c>
      <c r="B604" s="8">
        <v>12619</v>
      </c>
      <c r="C604" s="31" t="s">
        <v>585</v>
      </c>
      <c r="D604" s="8" t="s">
        <v>1063</v>
      </c>
      <c r="E604" s="7">
        <v>1992</v>
      </c>
      <c r="F604" s="36" t="str" cm="1">
        <f t="array" ref="F604">_xlfn.XLOOKUP(D604&amp;C604, Sheet3!$C$2:$C$1224&amp;Sheet3!$B$2:$B$1224, Sheet3!$D$2:$D$1224, "")</f>
        <v/>
      </c>
      <c r="G604" s="1" t="str" cm="1">
        <f t="array" ref="G604">_xlfn.XLOOKUP(D604&amp;C604, Sheet2!$A$2:$A$558&amp;Sheet2!$B$2:$B$558, Sheet2!$C$2:$C$558, "")</f>
        <v/>
      </c>
      <c r="H604" s="40" t="str">
        <f t="shared" si="9"/>
        <v/>
      </c>
    </row>
    <row r="605" spans="1:8" ht="15.5" x14ac:dyDescent="0.35">
      <c r="A605" s="7">
        <v>604</v>
      </c>
      <c r="B605" s="8">
        <v>12345</v>
      </c>
      <c r="C605" s="31" t="s">
        <v>586</v>
      </c>
      <c r="D605" s="8" t="s">
        <v>1063</v>
      </c>
      <c r="E605" s="7">
        <v>1992</v>
      </c>
      <c r="F605" s="36" t="str" cm="1">
        <f t="array" ref="F605">_xlfn.XLOOKUP(D605&amp;C605, Sheet3!$C$2:$C$1224&amp;Sheet3!$B$2:$B$1224, Sheet3!$D$2:$D$1224, "")</f>
        <v>iwanhapsoro123@gmail.com</v>
      </c>
      <c r="G605" s="1" t="str" cm="1">
        <f t="array" ref="G605">_xlfn.XLOOKUP(D605&amp;C605, Sheet2!$A$2:$A$558&amp;Sheet2!$B$2:$B$558, Sheet2!$C$2:$C$558, "")</f>
        <v/>
      </c>
      <c r="H605" s="40" t="str">
        <f t="shared" si="9"/>
        <v>iwanhapsoro123@gmail.com</v>
      </c>
    </row>
    <row r="606" spans="1:8" ht="15.5" x14ac:dyDescent="0.35">
      <c r="A606" s="7">
        <v>605</v>
      </c>
      <c r="B606" s="8">
        <v>13106</v>
      </c>
      <c r="C606" s="31" t="s">
        <v>587</v>
      </c>
      <c r="D606" s="8" t="s">
        <v>1065</v>
      </c>
      <c r="E606" s="7">
        <v>1992</v>
      </c>
      <c r="F606" s="36" t="str" cm="1">
        <f t="array" ref="F606">_xlfn.XLOOKUP(D606&amp;C606, Sheet3!$C$2:$C$1224&amp;Sheet3!$B$2:$B$1224, Sheet3!$D$2:$D$1224, "")</f>
        <v>teguh.riyono@gmail.com</v>
      </c>
      <c r="G606" s="1" t="str" cm="1">
        <f t="array" ref="G606">_xlfn.XLOOKUP(D606&amp;C606, Sheet2!$A$2:$A$558&amp;Sheet2!$B$2:$B$558, Sheet2!$C$2:$C$558, "")</f>
        <v/>
      </c>
      <c r="H606" s="40" t="str">
        <f t="shared" si="9"/>
        <v>teguh.riyono@gmail.com</v>
      </c>
    </row>
    <row r="607" spans="1:8" ht="15.5" x14ac:dyDescent="0.35">
      <c r="A607" s="7">
        <v>606</v>
      </c>
      <c r="B607" s="8">
        <v>13877</v>
      </c>
      <c r="C607" s="31" t="s">
        <v>588</v>
      </c>
      <c r="D607" s="8" t="s">
        <v>1067</v>
      </c>
      <c r="E607" s="7">
        <v>1992</v>
      </c>
      <c r="F607" s="36" t="str" cm="1">
        <f t="array" ref="F607">_xlfn.XLOOKUP(D607&amp;C607, Sheet3!$C$2:$C$1224&amp;Sheet3!$B$2:$B$1224, Sheet3!$D$2:$D$1224, "")</f>
        <v/>
      </c>
      <c r="G607" s="1" t="str" cm="1">
        <f t="array" ref="G607">_xlfn.XLOOKUP(D607&amp;C607, Sheet2!$A$2:$A$558&amp;Sheet2!$B$2:$B$558, Sheet2!$C$2:$C$558, "")</f>
        <v/>
      </c>
      <c r="H607" s="40" t="str">
        <f t="shared" si="9"/>
        <v/>
      </c>
    </row>
    <row r="608" spans="1:8" ht="15.5" x14ac:dyDescent="0.35">
      <c r="A608" s="7">
        <v>607</v>
      </c>
      <c r="B608" s="8">
        <v>14462</v>
      </c>
      <c r="C608" s="31" t="s">
        <v>589</v>
      </c>
      <c r="D608" s="8" t="s">
        <v>1066</v>
      </c>
      <c r="E608" s="7">
        <v>1992</v>
      </c>
      <c r="F608" s="36" t="str" cm="1">
        <f t="array" ref="F608">_xlfn.XLOOKUP(D608&amp;C608, Sheet3!$C$2:$C$1224&amp;Sheet3!$B$2:$B$1224, Sheet3!$D$2:$D$1224, "")</f>
        <v/>
      </c>
      <c r="G608" s="1" t="str" cm="1">
        <f t="array" ref="G608">_xlfn.XLOOKUP(D608&amp;C608, Sheet2!$A$2:$A$558&amp;Sheet2!$B$2:$B$558, Sheet2!$C$2:$C$558, "")</f>
        <v/>
      </c>
      <c r="H608" s="40" t="str">
        <f t="shared" si="9"/>
        <v/>
      </c>
    </row>
    <row r="609" spans="1:8" ht="15.5" x14ac:dyDescent="0.35">
      <c r="A609" s="7">
        <v>608</v>
      </c>
      <c r="B609" s="8">
        <v>13969</v>
      </c>
      <c r="C609" s="31" t="s">
        <v>590</v>
      </c>
      <c r="D609" s="8" t="s">
        <v>1066</v>
      </c>
      <c r="E609" s="7">
        <v>1992</v>
      </c>
      <c r="F609" s="36" t="str" cm="1">
        <f t="array" ref="F609">_xlfn.XLOOKUP(D609&amp;C609, Sheet3!$C$2:$C$1224&amp;Sheet3!$B$2:$B$1224, Sheet3!$D$2:$D$1224, "")</f>
        <v/>
      </c>
      <c r="G609" s="1" t="str" cm="1">
        <f t="array" ref="G609">_xlfn.XLOOKUP(D609&amp;C609, Sheet2!$A$2:$A$558&amp;Sheet2!$B$2:$B$558, Sheet2!$C$2:$C$558, "")</f>
        <v/>
      </c>
      <c r="H609" s="40" t="str">
        <f t="shared" si="9"/>
        <v/>
      </c>
    </row>
    <row r="610" spans="1:8" ht="15.5" x14ac:dyDescent="0.35">
      <c r="A610" s="7">
        <v>609</v>
      </c>
      <c r="B610" s="8">
        <v>12611</v>
      </c>
      <c r="C610" s="31" t="s">
        <v>591</v>
      </c>
      <c r="D610" s="8" t="s">
        <v>1063</v>
      </c>
      <c r="E610" s="7">
        <v>1992</v>
      </c>
      <c r="F610" s="36" t="str" cm="1">
        <f t="array" ref="F610">_xlfn.XLOOKUP(D610&amp;C610, Sheet3!$C$2:$C$1224&amp;Sheet3!$B$2:$B$1224, Sheet3!$D$2:$D$1224, "")</f>
        <v/>
      </c>
      <c r="G610" s="1" t="str" cm="1">
        <f t="array" ref="G610">_xlfn.XLOOKUP(D610&amp;C610, Sheet2!$A$2:$A$558&amp;Sheet2!$B$2:$B$558, Sheet2!$C$2:$C$558, "")</f>
        <v/>
      </c>
      <c r="H610" s="40" t="str">
        <f t="shared" si="9"/>
        <v/>
      </c>
    </row>
    <row r="611" spans="1:8" ht="15.5" x14ac:dyDescent="0.35">
      <c r="A611" s="7">
        <v>610</v>
      </c>
      <c r="B611" s="8">
        <v>14401</v>
      </c>
      <c r="C611" s="31" t="s">
        <v>592</v>
      </c>
      <c r="D611" s="8" t="s">
        <v>1066</v>
      </c>
      <c r="E611" s="7">
        <v>1992</v>
      </c>
      <c r="F611" s="36" t="str" cm="1">
        <f t="array" ref="F611">_xlfn.XLOOKUP(D611&amp;C611, Sheet3!$C$2:$C$1224&amp;Sheet3!$B$2:$B$1224, Sheet3!$D$2:$D$1224, "")</f>
        <v>antonius.anwar@gmail.com</v>
      </c>
      <c r="G611" s="1" t="str" cm="1">
        <f t="array" ref="G611">_xlfn.XLOOKUP(D611&amp;C611, Sheet2!$A$2:$A$558&amp;Sheet2!$B$2:$B$558, Sheet2!$C$2:$C$558, "")</f>
        <v/>
      </c>
      <c r="H611" s="40" t="str">
        <f t="shared" si="9"/>
        <v>antonius.anwar@gmail.com</v>
      </c>
    </row>
    <row r="612" spans="1:8" ht="15.5" x14ac:dyDescent="0.35">
      <c r="A612" s="7">
        <v>611</v>
      </c>
      <c r="B612" s="8">
        <v>14386</v>
      </c>
      <c r="C612" s="31" t="s">
        <v>593</v>
      </c>
      <c r="D612" s="8" t="s">
        <v>1066</v>
      </c>
      <c r="E612" s="7">
        <v>1992</v>
      </c>
      <c r="F612" s="36" t="str" cm="1">
        <f t="array" ref="F612">_xlfn.XLOOKUP(D612&amp;C612, Sheet3!$C$2:$C$1224&amp;Sheet3!$B$2:$B$1224, Sheet3!$D$2:$D$1224, "")</f>
        <v>prajardi@gmail.com</v>
      </c>
      <c r="G612" s="1" t="str" cm="1">
        <f t="array" ref="G612">_xlfn.XLOOKUP(D612&amp;C612, Sheet2!$A$2:$A$558&amp;Sheet2!$B$2:$B$558, Sheet2!$C$2:$C$558, "")</f>
        <v/>
      </c>
      <c r="H612" s="40" t="str">
        <f t="shared" si="9"/>
        <v>prajardi@gmail.com</v>
      </c>
    </row>
    <row r="613" spans="1:8" ht="15.5" x14ac:dyDescent="0.35">
      <c r="A613" s="7">
        <v>612</v>
      </c>
      <c r="B613" s="8">
        <v>12939</v>
      </c>
      <c r="C613" s="31" t="s">
        <v>594</v>
      </c>
      <c r="D613" s="8" t="s">
        <v>1065</v>
      </c>
      <c r="E613" s="7">
        <v>1992</v>
      </c>
      <c r="F613" s="36" t="str" cm="1">
        <f t="array" ref="F613">_xlfn.XLOOKUP(D613&amp;C613, Sheet3!$C$2:$C$1224&amp;Sheet3!$B$2:$B$1224, Sheet3!$D$2:$D$1224, "")</f>
        <v>arismunanto65@gmail.com</v>
      </c>
      <c r="G613" s="1" t="str" cm="1">
        <f t="array" ref="G613">_xlfn.XLOOKUP(D613&amp;C613, Sheet2!$A$2:$A$558&amp;Sheet2!$B$2:$B$558, Sheet2!$C$2:$C$558, "")</f>
        <v/>
      </c>
      <c r="H613" s="40" t="str">
        <f t="shared" si="9"/>
        <v>arismunanto65@gmail.com</v>
      </c>
    </row>
    <row r="614" spans="1:8" ht="15.5" x14ac:dyDescent="0.35">
      <c r="A614" s="7">
        <v>613</v>
      </c>
      <c r="B614" s="8">
        <v>14430</v>
      </c>
      <c r="C614" s="31" t="s">
        <v>595</v>
      </c>
      <c r="D614" s="8" t="s">
        <v>1066</v>
      </c>
      <c r="E614" s="7">
        <v>1992</v>
      </c>
      <c r="F614" s="36" t="str" cm="1">
        <f t="array" ref="F614">_xlfn.XLOOKUP(D614&amp;C614, Sheet3!$C$2:$C$1224&amp;Sheet3!$B$2:$B$1224, Sheet3!$D$2:$D$1224, "")</f>
        <v/>
      </c>
      <c r="G614" s="1" t="str" cm="1">
        <f t="array" ref="G614">_xlfn.XLOOKUP(D614&amp;C614, Sheet2!$A$2:$A$558&amp;Sheet2!$B$2:$B$558, Sheet2!$C$2:$C$558, "")</f>
        <v/>
      </c>
      <c r="H614" s="40" t="str">
        <f t="shared" si="9"/>
        <v/>
      </c>
    </row>
    <row r="615" spans="1:8" ht="15.5" x14ac:dyDescent="0.35">
      <c r="A615" s="7">
        <v>614</v>
      </c>
      <c r="B615" s="8">
        <v>13481</v>
      </c>
      <c r="C615" s="31" t="s">
        <v>596</v>
      </c>
      <c r="D615" s="8" t="s">
        <v>1067</v>
      </c>
      <c r="E615" s="7">
        <v>1992</v>
      </c>
      <c r="F615" s="36" t="str" cm="1">
        <f t="array" ref="F615">_xlfn.XLOOKUP(D615&amp;C615, Sheet3!$C$2:$C$1224&amp;Sheet3!$B$2:$B$1224, Sheet3!$D$2:$D$1224, "")</f>
        <v/>
      </c>
      <c r="G615" s="1" t="str" cm="1">
        <f t="array" ref="G615">_xlfn.XLOOKUP(D615&amp;C615, Sheet2!$A$2:$A$558&amp;Sheet2!$B$2:$B$558, Sheet2!$C$2:$C$558, "")</f>
        <v/>
      </c>
      <c r="H615" s="40" t="str">
        <f t="shared" si="9"/>
        <v/>
      </c>
    </row>
    <row r="616" spans="1:8" ht="15.5" x14ac:dyDescent="0.35">
      <c r="A616" s="7">
        <v>615</v>
      </c>
      <c r="B616" s="8">
        <v>14450</v>
      </c>
      <c r="C616" s="31" t="s">
        <v>597</v>
      </c>
      <c r="D616" s="8" t="s">
        <v>1066</v>
      </c>
      <c r="E616" s="7">
        <v>1992</v>
      </c>
      <c r="F616" s="36" t="str" cm="1">
        <f t="array" ref="F616">_xlfn.XLOOKUP(D616&amp;C616, Sheet3!$C$2:$C$1224&amp;Sheet3!$B$2:$B$1224, Sheet3!$D$2:$D$1224, "")</f>
        <v/>
      </c>
      <c r="G616" s="1" t="str" cm="1">
        <f t="array" ref="G616">_xlfn.XLOOKUP(D616&amp;C616, Sheet2!$A$2:$A$558&amp;Sheet2!$B$2:$B$558, Sheet2!$C$2:$C$558, "")</f>
        <v/>
      </c>
      <c r="H616" s="40" t="str">
        <f t="shared" si="9"/>
        <v/>
      </c>
    </row>
    <row r="617" spans="1:8" ht="15.5" x14ac:dyDescent="0.35">
      <c r="A617" s="7">
        <v>616</v>
      </c>
      <c r="B617" s="8">
        <v>12922</v>
      </c>
      <c r="C617" s="31" t="s">
        <v>598</v>
      </c>
      <c r="D617" s="8" t="s">
        <v>1065</v>
      </c>
      <c r="E617" s="7">
        <v>1992</v>
      </c>
      <c r="F617" s="36" t="str" cm="1">
        <f t="array" ref="F617">_xlfn.XLOOKUP(D617&amp;C617, Sheet3!$C$2:$C$1224&amp;Sheet3!$B$2:$B$1224, Sheet3!$D$2:$D$1224, "")</f>
        <v/>
      </c>
      <c r="G617" s="1" t="str" cm="1">
        <f t="array" ref="G617">_xlfn.XLOOKUP(D617&amp;C617, Sheet2!$A$2:$A$558&amp;Sheet2!$B$2:$B$558, Sheet2!$C$2:$C$558, "")</f>
        <v/>
      </c>
      <c r="H617" s="40" t="str">
        <f t="shared" si="9"/>
        <v/>
      </c>
    </row>
    <row r="618" spans="1:8" ht="15.5" x14ac:dyDescent="0.35">
      <c r="A618" s="7">
        <v>617</v>
      </c>
      <c r="B618" s="8">
        <v>15240</v>
      </c>
      <c r="C618" s="31" t="s">
        <v>599</v>
      </c>
      <c r="D618" s="8" t="s">
        <v>1068</v>
      </c>
      <c r="E618" s="7">
        <v>1992</v>
      </c>
      <c r="F618" s="36" t="str" cm="1">
        <f t="array" ref="F618">_xlfn.XLOOKUP(D618&amp;C618, Sheet3!$C$2:$C$1224&amp;Sheet3!$B$2:$B$1224, Sheet3!$D$2:$D$1224, "")</f>
        <v/>
      </c>
      <c r="G618" s="1" t="str" cm="1">
        <f t="array" ref="G618">_xlfn.XLOOKUP(D618&amp;C618, Sheet2!$A$2:$A$558&amp;Sheet2!$B$2:$B$558, Sheet2!$C$2:$C$558, "")</f>
        <v/>
      </c>
      <c r="H618" s="40" t="str">
        <f t="shared" si="9"/>
        <v/>
      </c>
    </row>
    <row r="619" spans="1:8" ht="15.5" x14ac:dyDescent="0.35">
      <c r="A619" s="7">
        <v>618</v>
      </c>
      <c r="B619" s="8">
        <v>15091</v>
      </c>
      <c r="C619" s="31" t="s">
        <v>600</v>
      </c>
      <c r="D619" s="8" t="s">
        <v>1064</v>
      </c>
      <c r="E619" s="7">
        <v>1992</v>
      </c>
      <c r="F619" s="36" t="str" cm="1">
        <f t="array" ref="F619">_xlfn.XLOOKUP(D619&amp;C619, Sheet3!$C$2:$C$1224&amp;Sheet3!$B$2:$B$1224, Sheet3!$D$2:$D$1224, "")</f>
        <v/>
      </c>
      <c r="G619" s="1" t="str" cm="1">
        <f t="array" ref="G619">_xlfn.XLOOKUP(D619&amp;C619, Sheet2!$A$2:$A$558&amp;Sheet2!$B$2:$B$558, Sheet2!$C$2:$C$558, "")</f>
        <v/>
      </c>
      <c r="H619" s="40" t="str">
        <f t="shared" si="9"/>
        <v/>
      </c>
    </row>
    <row r="620" spans="1:8" ht="15.5" x14ac:dyDescent="0.35">
      <c r="A620" s="7">
        <v>619</v>
      </c>
      <c r="B620" s="8">
        <v>12691</v>
      </c>
      <c r="C620" s="31" t="s">
        <v>601</v>
      </c>
      <c r="D620" s="8" t="s">
        <v>1063</v>
      </c>
      <c r="E620" s="7">
        <v>1992</v>
      </c>
      <c r="F620" s="36" t="str" cm="1">
        <f t="array" ref="F620">_xlfn.XLOOKUP(D620&amp;C620, Sheet3!$C$2:$C$1224&amp;Sheet3!$B$2:$B$1224, Sheet3!$D$2:$D$1224, "")</f>
        <v/>
      </c>
      <c r="G620" s="1" t="str" cm="1">
        <f t="array" ref="G620">_xlfn.XLOOKUP(D620&amp;C620, Sheet2!$A$2:$A$558&amp;Sheet2!$B$2:$B$558, Sheet2!$C$2:$C$558, "")</f>
        <v/>
      </c>
      <c r="H620" s="40" t="str">
        <f t="shared" si="9"/>
        <v/>
      </c>
    </row>
    <row r="621" spans="1:8" ht="15.5" x14ac:dyDescent="0.35">
      <c r="A621" s="7">
        <v>620</v>
      </c>
      <c r="B621" s="8">
        <v>13599</v>
      </c>
      <c r="C621" s="31" t="s">
        <v>602</v>
      </c>
      <c r="D621" s="8" t="s">
        <v>1067</v>
      </c>
      <c r="E621" s="7">
        <v>1992</v>
      </c>
      <c r="F621" s="36" t="str" cm="1">
        <f t="array" ref="F621">_xlfn.XLOOKUP(D621&amp;C621, Sheet3!$C$2:$C$1224&amp;Sheet3!$B$2:$B$1224, Sheet3!$D$2:$D$1224, "")</f>
        <v/>
      </c>
      <c r="G621" s="1" t="str" cm="1">
        <f t="array" ref="G621">_xlfn.XLOOKUP(D621&amp;C621, Sheet2!$A$2:$A$558&amp;Sheet2!$B$2:$B$558, Sheet2!$C$2:$C$558, "")</f>
        <v/>
      </c>
      <c r="H621" s="40" t="str">
        <f t="shared" si="9"/>
        <v/>
      </c>
    </row>
    <row r="622" spans="1:8" ht="15.5" x14ac:dyDescent="0.35">
      <c r="A622" s="7">
        <v>621</v>
      </c>
      <c r="B622" s="8">
        <v>13887</v>
      </c>
      <c r="C622" s="31" t="s">
        <v>603</v>
      </c>
      <c r="D622" s="8" t="s">
        <v>1067</v>
      </c>
      <c r="E622" s="7">
        <v>1992</v>
      </c>
      <c r="F622" s="36" t="str" cm="1">
        <f t="array" ref="F622">_xlfn.XLOOKUP(D622&amp;C622, Sheet3!$C$2:$C$1224&amp;Sheet3!$B$2:$B$1224, Sheet3!$D$2:$D$1224, "")</f>
        <v/>
      </c>
      <c r="G622" s="1" t="str" cm="1">
        <f t="array" ref="G622">_xlfn.XLOOKUP(D622&amp;C622, Sheet2!$A$2:$A$558&amp;Sheet2!$B$2:$B$558, Sheet2!$C$2:$C$558, "")</f>
        <v/>
      </c>
      <c r="H622" s="40" t="str">
        <f t="shared" si="9"/>
        <v/>
      </c>
    </row>
    <row r="623" spans="1:8" ht="15.5" x14ac:dyDescent="0.35">
      <c r="A623" s="7">
        <v>622</v>
      </c>
      <c r="B623" s="8">
        <v>13611</v>
      </c>
      <c r="C623" s="31" t="s">
        <v>604</v>
      </c>
      <c r="D623" s="8" t="s">
        <v>1067</v>
      </c>
      <c r="E623" s="7">
        <v>1992</v>
      </c>
      <c r="F623" s="36" t="str" cm="1">
        <f t="array" ref="F623">_xlfn.XLOOKUP(D623&amp;C623, Sheet3!$C$2:$C$1224&amp;Sheet3!$B$2:$B$1224, Sheet3!$D$2:$D$1224, "")</f>
        <v/>
      </c>
      <c r="G623" s="1" t="str" cm="1">
        <f t="array" ref="G623">_xlfn.XLOOKUP(D623&amp;C623, Sheet2!$A$2:$A$558&amp;Sheet2!$B$2:$B$558, Sheet2!$C$2:$C$558, "")</f>
        <v/>
      </c>
      <c r="H623" s="40" t="str">
        <f t="shared" si="9"/>
        <v/>
      </c>
    </row>
    <row r="624" spans="1:8" ht="15.5" x14ac:dyDescent="0.35">
      <c r="A624" s="7">
        <v>623</v>
      </c>
      <c r="B624" s="8">
        <v>14468</v>
      </c>
      <c r="C624" s="31" t="s">
        <v>605</v>
      </c>
      <c r="D624" s="8" t="s">
        <v>1066</v>
      </c>
      <c r="E624" s="7">
        <v>1992</v>
      </c>
      <c r="F624" s="36" t="str" cm="1">
        <f t="array" ref="F624">_xlfn.XLOOKUP(D624&amp;C624, Sheet3!$C$2:$C$1224&amp;Sheet3!$B$2:$B$1224, Sheet3!$D$2:$D$1224, "")</f>
        <v>antoniushu@yahoo.com</v>
      </c>
      <c r="G624" s="1" t="str" cm="1">
        <f t="array" ref="G624">_xlfn.XLOOKUP(D624&amp;C624, Sheet2!$A$2:$A$558&amp;Sheet2!$B$2:$B$558, Sheet2!$C$2:$C$558, "")</f>
        <v/>
      </c>
      <c r="H624" s="40" t="str">
        <f t="shared" si="9"/>
        <v>antoniushu@yahoo.com</v>
      </c>
    </row>
    <row r="625" spans="1:8" ht="15.5" x14ac:dyDescent="0.35">
      <c r="A625" s="7">
        <v>624</v>
      </c>
      <c r="B625" s="8">
        <v>15078</v>
      </c>
      <c r="C625" s="31" t="s">
        <v>606</v>
      </c>
      <c r="D625" s="8" t="s">
        <v>1064</v>
      </c>
      <c r="E625" s="7">
        <v>1992</v>
      </c>
      <c r="F625" s="36" t="str" cm="1">
        <f t="array" ref="F625">_xlfn.XLOOKUP(D625&amp;C625, Sheet3!$C$2:$C$1224&amp;Sheet3!$B$2:$B$1224, Sheet3!$D$2:$D$1224, "")</f>
        <v/>
      </c>
      <c r="G625" s="1" t="str" cm="1">
        <f t="array" ref="G625">_xlfn.XLOOKUP(D625&amp;C625, Sheet2!$A$2:$A$558&amp;Sheet2!$B$2:$B$558, Sheet2!$C$2:$C$558, "")</f>
        <v/>
      </c>
      <c r="H625" s="40" t="str">
        <f t="shared" si="9"/>
        <v/>
      </c>
    </row>
    <row r="626" spans="1:8" ht="15.5" x14ac:dyDescent="0.35">
      <c r="A626" s="7">
        <v>625</v>
      </c>
      <c r="B626" s="8">
        <v>13511</v>
      </c>
      <c r="C626" s="31" t="s">
        <v>607</v>
      </c>
      <c r="D626" s="8" t="s">
        <v>1067</v>
      </c>
      <c r="E626" s="7">
        <v>1992</v>
      </c>
      <c r="F626" s="36" t="str" cm="1">
        <f t="array" ref="F626">_xlfn.XLOOKUP(D626&amp;C626, Sheet3!$C$2:$C$1224&amp;Sheet3!$B$2:$B$1224, Sheet3!$D$2:$D$1224, "")</f>
        <v/>
      </c>
      <c r="G626" s="1" t="str" cm="1">
        <f t="array" ref="G626">_xlfn.XLOOKUP(D626&amp;C626, Sheet2!$A$2:$A$558&amp;Sheet2!$B$2:$B$558, Sheet2!$C$2:$C$558, "")</f>
        <v/>
      </c>
      <c r="H626" s="40" t="str">
        <f t="shared" si="9"/>
        <v/>
      </c>
    </row>
    <row r="627" spans="1:8" ht="15.5" x14ac:dyDescent="0.35">
      <c r="A627" s="7">
        <v>626</v>
      </c>
      <c r="B627" s="8">
        <v>15137</v>
      </c>
      <c r="C627" s="31" t="s">
        <v>608</v>
      </c>
      <c r="D627" s="8" t="s">
        <v>1068</v>
      </c>
      <c r="E627" s="7">
        <v>1992</v>
      </c>
      <c r="F627" s="36" t="str" cm="1">
        <f t="array" ref="F627">_xlfn.XLOOKUP(D627&amp;C627, Sheet3!$C$2:$C$1224&amp;Sheet3!$B$2:$B$1224, Sheet3!$D$2:$D$1224, "")</f>
        <v/>
      </c>
      <c r="G627" s="1" t="str" cm="1">
        <f t="array" ref="G627">_xlfn.XLOOKUP(D627&amp;C627, Sheet2!$A$2:$A$558&amp;Sheet2!$B$2:$B$558, Sheet2!$C$2:$C$558, "")</f>
        <v/>
      </c>
      <c r="H627" s="40" t="str">
        <f t="shared" si="9"/>
        <v/>
      </c>
    </row>
    <row r="628" spans="1:8" ht="15.5" x14ac:dyDescent="0.35">
      <c r="A628" s="7">
        <v>627</v>
      </c>
      <c r="B628" s="8">
        <v>13265</v>
      </c>
      <c r="C628" s="31" t="s">
        <v>609</v>
      </c>
      <c r="D628" s="8" t="s">
        <v>1067</v>
      </c>
      <c r="E628" s="7">
        <v>1992</v>
      </c>
      <c r="F628" s="36" t="str" cm="1">
        <f t="array" ref="F628">_xlfn.XLOOKUP(D628&amp;C628, Sheet3!$C$2:$C$1224&amp;Sheet3!$B$2:$B$1224, Sheet3!$D$2:$D$1224, "")</f>
        <v/>
      </c>
      <c r="G628" s="1" t="str" cm="1">
        <f t="array" ref="G628">_xlfn.XLOOKUP(D628&amp;C628, Sheet2!$A$2:$A$558&amp;Sheet2!$B$2:$B$558, Sheet2!$C$2:$C$558, "")</f>
        <v/>
      </c>
      <c r="H628" s="40" t="str">
        <f t="shared" si="9"/>
        <v/>
      </c>
    </row>
    <row r="629" spans="1:8" ht="15.5" x14ac:dyDescent="0.35">
      <c r="A629" s="7">
        <v>628</v>
      </c>
      <c r="B629" s="8">
        <v>12777</v>
      </c>
      <c r="C629" s="31" t="s">
        <v>610</v>
      </c>
      <c r="D629" s="8" t="s">
        <v>1065</v>
      </c>
      <c r="E629" s="7">
        <v>1993</v>
      </c>
      <c r="F629" s="36" t="str" cm="1">
        <f t="array" ref="F629">_xlfn.XLOOKUP(D629&amp;C629, Sheet3!$C$2:$C$1224&amp;Sheet3!$B$2:$B$1224, Sheet3!$D$2:$D$1224, "")</f>
        <v/>
      </c>
      <c r="G629" s="1" t="str" cm="1">
        <f t="array" ref="G629">_xlfn.XLOOKUP(D629&amp;C629, Sheet2!$A$2:$A$558&amp;Sheet2!$B$2:$B$558, Sheet2!$C$2:$C$558, "")</f>
        <v/>
      </c>
      <c r="H629" s="40" t="str">
        <f t="shared" si="9"/>
        <v/>
      </c>
    </row>
    <row r="630" spans="1:8" ht="15.5" x14ac:dyDescent="0.35">
      <c r="A630" s="7">
        <v>629</v>
      </c>
      <c r="B630" s="8">
        <v>13072</v>
      </c>
      <c r="C630" s="31" t="s">
        <v>611</v>
      </c>
      <c r="D630" s="8" t="s">
        <v>1065</v>
      </c>
      <c r="E630" s="7">
        <v>1993</v>
      </c>
      <c r="F630" s="36" t="str" cm="1">
        <f t="array" ref="F630">_xlfn.XLOOKUP(D630&amp;C630, Sheet3!$C$2:$C$1224&amp;Sheet3!$B$2:$B$1224, Sheet3!$D$2:$D$1224, "")</f>
        <v/>
      </c>
      <c r="G630" s="1" t="str" cm="1">
        <f t="array" ref="G630">_xlfn.XLOOKUP(D630&amp;C630, Sheet2!$A$2:$A$558&amp;Sheet2!$B$2:$B$558, Sheet2!$C$2:$C$558, "")</f>
        <v/>
      </c>
      <c r="H630" s="40" t="str">
        <f t="shared" si="9"/>
        <v/>
      </c>
    </row>
    <row r="631" spans="1:8" ht="15.5" x14ac:dyDescent="0.35">
      <c r="A631" s="7">
        <v>630</v>
      </c>
      <c r="B631" s="8">
        <v>14018</v>
      </c>
      <c r="C631" s="31" t="s">
        <v>612</v>
      </c>
      <c r="D631" s="8" t="s">
        <v>1066</v>
      </c>
      <c r="E631" s="7">
        <v>1993</v>
      </c>
      <c r="F631" s="36" t="str" cm="1">
        <f t="array" ref="F631">_xlfn.XLOOKUP(D631&amp;C631, Sheet3!$C$2:$C$1224&amp;Sheet3!$B$2:$B$1224, Sheet3!$D$2:$D$1224, "")</f>
        <v>edysarwoko1@gmail.com</v>
      </c>
      <c r="G631" s="1" t="str" cm="1">
        <f t="array" ref="G631">_xlfn.XLOOKUP(D631&amp;C631, Sheet2!$A$2:$A$558&amp;Sheet2!$B$2:$B$558, Sheet2!$C$2:$C$558, "")</f>
        <v>edysarwoko1@gmail.com</v>
      </c>
      <c r="H631" s="40" t="str">
        <f t="shared" si="9"/>
        <v>edysarwoko1@gmail.com</v>
      </c>
    </row>
    <row r="632" spans="1:8" ht="15.5" x14ac:dyDescent="0.35">
      <c r="A632" s="7">
        <v>631</v>
      </c>
      <c r="B632" s="8">
        <v>12613</v>
      </c>
      <c r="C632" s="31" t="s">
        <v>613</v>
      </c>
      <c r="D632" s="8" t="s">
        <v>1063</v>
      </c>
      <c r="E632" s="7">
        <v>1993</v>
      </c>
      <c r="F632" s="36" t="str" cm="1">
        <f t="array" ref="F632">_xlfn.XLOOKUP(D632&amp;C632, Sheet3!$C$2:$C$1224&amp;Sheet3!$B$2:$B$1224, Sheet3!$D$2:$D$1224, "")</f>
        <v/>
      </c>
      <c r="G632" s="1" t="str" cm="1">
        <f t="array" ref="G632">_xlfn.XLOOKUP(D632&amp;C632, Sheet2!$A$2:$A$558&amp;Sheet2!$B$2:$B$558, Sheet2!$C$2:$C$558, "")</f>
        <v/>
      </c>
      <c r="H632" s="40" t="str">
        <f t="shared" si="9"/>
        <v/>
      </c>
    </row>
    <row r="633" spans="1:8" ht="15.5" x14ac:dyDescent="0.35">
      <c r="A633" s="7">
        <v>632</v>
      </c>
      <c r="B633" s="8">
        <v>14374</v>
      </c>
      <c r="C633" s="31" t="s">
        <v>614</v>
      </c>
      <c r="D633" s="8" t="s">
        <v>1066</v>
      </c>
      <c r="E633" s="7">
        <v>1993</v>
      </c>
      <c r="F633" s="36" t="str" cm="1">
        <f t="array" ref="F633">_xlfn.XLOOKUP(D633&amp;C633, Sheet3!$C$2:$C$1224&amp;Sheet3!$B$2:$B$1224, Sheet3!$D$2:$D$1224, "")</f>
        <v>herwini.susanti@gmail.com</v>
      </c>
      <c r="G633" s="1" t="str" cm="1">
        <f t="array" ref="G633">_xlfn.XLOOKUP(D633&amp;C633, Sheet2!$A$2:$A$558&amp;Sheet2!$B$2:$B$558, Sheet2!$C$2:$C$558, "")</f>
        <v>herwini.susanti@gmail.com</v>
      </c>
      <c r="H633" s="40" t="str">
        <f t="shared" si="9"/>
        <v>herwini.susanti@gmail.com</v>
      </c>
    </row>
    <row r="634" spans="1:8" ht="15.5" x14ac:dyDescent="0.35">
      <c r="A634" s="7">
        <v>633</v>
      </c>
      <c r="B634" s="8">
        <v>13251</v>
      </c>
      <c r="C634" s="31" t="s">
        <v>615</v>
      </c>
      <c r="D634" s="8" t="s">
        <v>1067</v>
      </c>
      <c r="E634" s="7">
        <v>1993</v>
      </c>
      <c r="F634" s="36" t="str" cm="1">
        <f t="array" ref="F634">_xlfn.XLOOKUP(D634&amp;C634, Sheet3!$C$2:$C$1224&amp;Sheet3!$B$2:$B$1224, Sheet3!$D$2:$D$1224, "")</f>
        <v>rocky.xyz@yahoo.com</v>
      </c>
      <c r="G634" s="1" t="str" cm="1">
        <f t="array" ref="G634">_xlfn.XLOOKUP(D634&amp;C634, Sheet2!$A$2:$A$558&amp;Sheet2!$B$2:$B$558, Sheet2!$C$2:$C$558, "")</f>
        <v/>
      </c>
      <c r="H634" s="40" t="str">
        <f t="shared" si="9"/>
        <v>rocky.xyz@yahoo.com</v>
      </c>
    </row>
    <row r="635" spans="1:8" ht="15.5" x14ac:dyDescent="0.35">
      <c r="A635" s="7">
        <v>634</v>
      </c>
      <c r="B635" s="8">
        <v>13261</v>
      </c>
      <c r="C635" s="31" t="s">
        <v>616</v>
      </c>
      <c r="D635" s="8" t="s">
        <v>1067</v>
      </c>
      <c r="E635" s="7">
        <v>1993</v>
      </c>
      <c r="F635" s="36" t="str" cm="1">
        <f t="array" ref="F635">_xlfn.XLOOKUP(D635&amp;C635, Sheet3!$C$2:$C$1224&amp;Sheet3!$B$2:$B$1224, Sheet3!$D$2:$D$1224, "")</f>
        <v>immachristiana@gmail.com</v>
      </c>
      <c r="G635" s="1" t="str" cm="1">
        <f t="array" ref="G635">_xlfn.XLOOKUP(D635&amp;C635, Sheet2!$A$2:$A$558&amp;Sheet2!$B$2:$B$558, Sheet2!$C$2:$C$558, "")</f>
        <v/>
      </c>
      <c r="H635" s="40" t="str">
        <f t="shared" si="9"/>
        <v>immachristiana@gmail.com</v>
      </c>
    </row>
    <row r="636" spans="1:8" ht="15.5" x14ac:dyDescent="0.35">
      <c r="A636" s="7">
        <v>635</v>
      </c>
      <c r="B636" s="8">
        <v>14377</v>
      </c>
      <c r="C636" s="31" t="s">
        <v>617</v>
      </c>
      <c r="D636" s="8" t="s">
        <v>1066</v>
      </c>
      <c r="E636" s="7">
        <v>1993</v>
      </c>
      <c r="F636" s="36" t="str" cm="1">
        <f t="array" ref="F636">_xlfn.XLOOKUP(D636&amp;C636, Sheet3!$C$2:$C$1224&amp;Sheet3!$B$2:$B$1224, Sheet3!$D$2:$D$1224, "")</f>
        <v>thesesi2017@gmail.com</v>
      </c>
      <c r="G636" s="1" t="str" cm="1">
        <f t="array" ref="G636">_xlfn.XLOOKUP(D636&amp;C636, Sheet2!$A$2:$A$558&amp;Sheet2!$B$2:$B$558, Sheet2!$C$2:$C$558, "")</f>
        <v/>
      </c>
      <c r="H636" s="40" t="str">
        <f t="shared" si="9"/>
        <v>thesesi2017@gmail.com</v>
      </c>
    </row>
    <row r="637" spans="1:8" ht="15.5" x14ac:dyDescent="0.35">
      <c r="A637" s="7">
        <v>636</v>
      </c>
      <c r="B637" s="8">
        <v>14610</v>
      </c>
      <c r="C637" s="31" t="s">
        <v>618</v>
      </c>
      <c r="D637" s="8" t="s">
        <v>1064</v>
      </c>
      <c r="E637" s="7">
        <v>1993</v>
      </c>
      <c r="F637" s="36" t="str" cm="1">
        <f t="array" ref="F637">_xlfn.XLOOKUP(D637&amp;C637, Sheet3!$C$2:$C$1224&amp;Sheet3!$B$2:$B$1224, Sheet3!$D$2:$D$1224, "")</f>
        <v/>
      </c>
      <c r="G637" s="1" t="str" cm="1">
        <f t="array" ref="G637">_xlfn.XLOOKUP(D637&amp;C637, Sheet2!$A$2:$A$558&amp;Sheet2!$B$2:$B$558, Sheet2!$C$2:$C$558, "")</f>
        <v/>
      </c>
      <c r="H637" s="40" t="str">
        <f t="shared" si="9"/>
        <v/>
      </c>
    </row>
    <row r="638" spans="1:8" ht="15.5" x14ac:dyDescent="0.35">
      <c r="A638" s="7">
        <v>637</v>
      </c>
      <c r="B638" s="8">
        <v>13425</v>
      </c>
      <c r="C638" s="31" t="s">
        <v>619</v>
      </c>
      <c r="D638" s="8" t="s">
        <v>1067</v>
      </c>
      <c r="E638" s="7">
        <v>1993</v>
      </c>
      <c r="F638" s="36" t="str" cm="1">
        <f t="array" ref="F638">_xlfn.XLOOKUP(D638&amp;C638, Sheet3!$C$2:$C$1224&amp;Sheet3!$B$2:$B$1224, Sheet3!$D$2:$D$1224, "")</f>
        <v/>
      </c>
      <c r="G638" s="1" t="str" cm="1">
        <f t="array" ref="G638">_xlfn.XLOOKUP(D638&amp;C638, Sheet2!$A$2:$A$558&amp;Sheet2!$B$2:$B$558, Sheet2!$C$2:$C$558, "")</f>
        <v/>
      </c>
      <c r="H638" s="40" t="str">
        <f t="shared" si="9"/>
        <v/>
      </c>
    </row>
    <row r="639" spans="1:8" ht="15.5" x14ac:dyDescent="0.35">
      <c r="A639" s="7">
        <v>638</v>
      </c>
      <c r="B639" s="8">
        <v>14416</v>
      </c>
      <c r="C639" s="31" t="s">
        <v>620</v>
      </c>
      <c r="D639" s="8" t="s">
        <v>1066</v>
      </c>
      <c r="E639" s="7">
        <v>1993</v>
      </c>
      <c r="F639" s="36" t="str" cm="1">
        <f t="array" ref="F639">_xlfn.XLOOKUP(D639&amp;C639, Sheet3!$C$2:$C$1224&amp;Sheet3!$B$2:$B$1224, Sheet3!$D$2:$D$1224, "")</f>
        <v/>
      </c>
      <c r="G639" s="1" t="str" cm="1">
        <f t="array" ref="G639">_xlfn.XLOOKUP(D639&amp;C639, Sheet2!$A$2:$A$558&amp;Sheet2!$B$2:$B$558, Sheet2!$C$2:$C$558, "")</f>
        <v/>
      </c>
      <c r="H639" s="40" t="str">
        <f t="shared" si="9"/>
        <v/>
      </c>
    </row>
    <row r="640" spans="1:8" ht="15.5" x14ac:dyDescent="0.35">
      <c r="A640" s="7">
        <v>639</v>
      </c>
      <c r="B640" s="8">
        <v>13129</v>
      </c>
      <c r="C640" s="31" t="s">
        <v>621</v>
      </c>
      <c r="D640" s="8" t="s">
        <v>1065</v>
      </c>
      <c r="E640" s="7">
        <v>1993</v>
      </c>
      <c r="F640" s="36" t="str" cm="1">
        <f t="array" ref="F640">_xlfn.XLOOKUP(D640&amp;C640, Sheet3!$C$2:$C$1224&amp;Sheet3!$B$2:$B$1224, Sheet3!$D$2:$D$1224, "")</f>
        <v>Juliantomt234@gmail.com</v>
      </c>
      <c r="G640" s="1" t="str" cm="1">
        <f t="array" ref="G640">_xlfn.XLOOKUP(D640&amp;C640, Sheet2!$A$2:$A$558&amp;Sheet2!$B$2:$B$558, Sheet2!$C$2:$C$558, "")</f>
        <v/>
      </c>
      <c r="H640" s="40" t="str">
        <f t="shared" si="9"/>
        <v>Juliantomt234@gmail.com</v>
      </c>
    </row>
    <row r="641" spans="1:8" ht="15.5" x14ac:dyDescent="0.35">
      <c r="A641" s="7">
        <v>640</v>
      </c>
      <c r="B641" s="8">
        <v>14508</v>
      </c>
      <c r="C641" s="31" t="s">
        <v>337</v>
      </c>
      <c r="D641" s="8" t="s">
        <v>1066</v>
      </c>
      <c r="E641" s="7">
        <v>1993</v>
      </c>
      <c r="F641" s="36" t="str" cm="1">
        <f t="array" ref="F641">_xlfn.XLOOKUP(D641&amp;C641, Sheet3!$C$2:$C$1224&amp;Sheet3!$B$2:$B$1224, Sheet3!$D$2:$D$1224, "")</f>
        <v>razaqsukandar@gmail.com</v>
      </c>
      <c r="G641" s="1" t="str" cm="1">
        <f t="array" ref="G641">_xlfn.XLOOKUP(D641&amp;C641, Sheet2!$A$2:$A$558&amp;Sheet2!$B$2:$B$558, Sheet2!$C$2:$C$558, "")</f>
        <v>sukandar2013@gmail.com</v>
      </c>
      <c r="H641" s="40" t="str">
        <f t="shared" si="9"/>
        <v>razaqsukandar@gmail.com</v>
      </c>
    </row>
    <row r="642" spans="1:8" ht="15.5" x14ac:dyDescent="0.35">
      <c r="A642" s="7">
        <v>641</v>
      </c>
      <c r="B642" s="8">
        <v>14409</v>
      </c>
      <c r="C642" s="31" t="s">
        <v>622</v>
      </c>
      <c r="D642" s="8" t="s">
        <v>1066</v>
      </c>
      <c r="E642" s="7">
        <v>1993</v>
      </c>
      <c r="F642" s="36" t="str" cm="1">
        <f t="array" ref="F642">_xlfn.XLOOKUP(D642&amp;C642, Sheet3!$C$2:$C$1224&amp;Sheet3!$B$2:$B$1224, Sheet3!$D$2:$D$1224, "")</f>
        <v>tandyo.winarno@gmail.com</v>
      </c>
      <c r="G642" s="1" t="str" cm="1">
        <f t="array" ref="G642">_xlfn.XLOOKUP(D642&amp;C642, Sheet2!$A$2:$A$558&amp;Sheet2!$B$2:$B$558, Sheet2!$C$2:$C$558, "")</f>
        <v>tandyow@yahoo.com</v>
      </c>
      <c r="H642" s="40" t="str">
        <f t="shared" si="9"/>
        <v>tandyo.winarno@gmail.com</v>
      </c>
    </row>
    <row r="643" spans="1:8" ht="15.5" x14ac:dyDescent="0.35">
      <c r="A643" s="7">
        <v>642</v>
      </c>
      <c r="B643" s="8"/>
      <c r="C643" s="31" t="s">
        <v>623</v>
      </c>
      <c r="D643" s="8" t="s">
        <v>1067</v>
      </c>
      <c r="E643" s="7">
        <v>1993</v>
      </c>
      <c r="F643" s="36" t="str" cm="1">
        <f t="array" ref="F643">_xlfn.XLOOKUP(D643&amp;C643, Sheet3!$C$2:$C$1224&amp;Sheet3!$B$2:$B$1224, Sheet3!$D$2:$D$1224, "")</f>
        <v/>
      </c>
      <c r="G643" s="1" t="str" cm="1">
        <f t="array" ref="G643">_xlfn.XLOOKUP(D643&amp;C643, Sheet2!$A$2:$A$558&amp;Sheet2!$B$2:$B$558, Sheet2!$C$2:$C$558, "")</f>
        <v/>
      </c>
      <c r="H643" s="40" t="str">
        <f t="shared" ref="H643:H706" si="10">IF(F643&lt;&gt;"",F643,G643)</f>
        <v/>
      </c>
    </row>
    <row r="644" spans="1:8" ht="15.5" x14ac:dyDescent="0.35">
      <c r="A644" s="7">
        <v>643</v>
      </c>
      <c r="B644" s="8">
        <v>14443</v>
      </c>
      <c r="C644" s="31" t="s">
        <v>624</v>
      </c>
      <c r="D644" s="8" t="s">
        <v>1066</v>
      </c>
      <c r="E644" s="7">
        <v>1993</v>
      </c>
      <c r="F644" s="36" t="str" cm="1">
        <f t="array" ref="F644">_xlfn.XLOOKUP(D644&amp;C644, Sheet3!$C$2:$C$1224&amp;Sheet3!$B$2:$B$1224, Sheet3!$D$2:$D$1224, "")</f>
        <v/>
      </c>
      <c r="G644" s="1" t="str" cm="1">
        <f t="array" ref="G644">_xlfn.XLOOKUP(D644&amp;C644, Sheet2!$A$2:$A$558&amp;Sheet2!$B$2:$B$558, Sheet2!$C$2:$C$558, "")</f>
        <v/>
      </c>
      <c r="H644" s="40" t="str">
        <f t="shared" si="10"/>
        <v/>
      </c>
    </row>
    <row r="645" spans="1:8" ht="15.5" x14ac:dyDescent="0.35">
      <c r="A645" s="7">
        <v>644</v>
      </c>
      <c r="B645" s="8">
        <v>14428</v>
      </c>
      <c r="C645" s="31" t="s">
        <v>625</v>
      </c>
      <c r="D645" s="8" t="s">
        <v>1066</v>
      </c>
      <c r="E645" s="7">
        <v>1993</v>
      </c>
      <c r="F645" s="36" t="str" cm="1">
        <f t="array" ref="F645">_xlfn.XLOOKUP(D645&amp;C645, Sheet3!$C$2:$C$1224&amp;Sheet3!$B$2:$B$1224, Sheet3!$D$2:$D$1224, "")</f>
        <v/>
      </c>
      <c r="G645" s="1" t="str" cm="1">
        <f t="array" ref="G645">_xlfn.XLOOKUP(D645&amp;C645, Sheet2!$A$2:$A$558&amp;Sheet2!$B$2:$B$558, Sheet2!$C$2:$C$558, "")</f>
        <v/>
      </c>
      <c r="H645" s="40" t="str">
        <f t="shared" si="10"/>
        <v/>
      </c>
    </row>
    <row r="646" spans="1:8" ht="15.5" x14ac:dyDescent="0.35">
      <c r="A646" s="7">
        <v>645</v>
      </c>
      <c r="B646" s="8">
        <v>13176</v>
      </c>
      <c r="C646" s="31" t="s">
        <v>626</v>
      </c>
      <c r="D646" s="8" t="s">
        <v>1065</v>
      </c>
      <c r="E646" s="7">
        <v>1993</v>
      </c>
      <c r="F646" s="36" t="str" cm="1">
        <f t="array" ref="F646">_xlfn.XLOOKUP(D646&amp;C646, Sheet3!$C$2:$C$1224&amp;Sheet3!$B$2:$B$1224, Sheet3!$D$2:$D$1224, "")</f>
        <v>tegkaryadi@gmail.com</v>
      </c>
      <c r="G646" s="1" t="str" cm="1">
        <f t="array" ref="G646">_xlfn.XLOOKUP(D646&amp;C646, Sheet2!$A$2:$A$558&amp;Sheet2!$B$2:$B$558, Sheet2!$C$2:$C$558, "")</f>
        <v/>
      </c>
      <c r="H646" s="40" t="str">
        <f t="shared" si="10"/>
        <v>tegkaryadi@gmail.com</v>
      </c>
    </row>
    <row r="647" spans="1:8" ht="15.5" x14ac:dyDescent="0.35">
      <c r="A647" s="7">
        <v>646</v>
      </c>
      <c r="B647" s="8">
        <v>13578</v>
      </c>
      <c r="C647" s="31" t="s">
        <v>627</v>
      </c>
      <c r="D647" s="8" t="s">
        <v>1067</v>
      </c>
      <c r="E647" s="7">
        <v>1993</v>
      </c>
      <c r="F647" s="36" t="str" cm="1">
        <f t="array" ref="F647">_xlfn.XLOOKUP(D647&amp;C647, Sheet3!$C$2:$C$1224&amp;Sheet3!$B$2:$B$1224, Sheet3!$D$2:$D$1224, "")</f>
        <v/>
      </c>
      <c r="G647" s="1" t="str" cm="1">
        <f t="array" ref="G647">_xlfn.XLOOKUP(D647&amp;C647, Sheet2!$A$2:$A$558&amp;Sheet2!$B$2:$B$558, Sheet2!$C$2:$C$558, "")</f>
        <v/>
      </c>
      <c r="H647" s="40" t="str">
        <f t="shared" si="10"/>
        <v/>
      </c>
    </row>
    <row r="648" spans="1:8" ht="15.5" x14ac:dyDescent="0.35">
      <c r="A648" s="7">
        <v>647</v>
      </c>
      <c r="B648" s="8">
        <v>14434</v>
      </c>
      <c r="C648" s="31" t="s">
        <v>628</v>
      </c>
      <c r="D648" s="8" t="s">
        <v>1066</v>
      </c>
      <c r="E648" s="7">
        <v>1993</v>
      </c>
      <c r="F648" s="36" t="str" cm="1">
        <f t="array" ref="F648">_xlfn.XLOOKUP(D648&amp;C648, Sheet3!$C$2:$C$1224&amp;Sheet3!$B$2:$B$1224, Sheet3!$D$2:$D$1224, "")</f>
        <v>aminwidada@gmail.com</v>
      </c>
      <c r="G648" s="1" t="str" cm="1">
        <f t="array" ref="G648">_xlfn.XLOOKUP(D648&amp;C648, Sheet2!$A$2:$A$558&amp;Sheet2!$B$2:$B$558, Sheet2!$C$2:$C$558, "")</f>
        <v/>
      </c>
      <c r="H648" s="40" t="str">
        <f t="shared" si="10"/>
        <v>aminwidada@gmail.com</v>
      </c>
    </row>
    <row r="649" spans="1:8" ht="15.5" x14ac:dyDescent="0.35">
      <c r="A649" s="7">
        <v>648</v>
      </c>
      <c r="B649" s="8">
        <v>11750</v>
      </c>
      <c r="C649" s="31" t="s">
        <v>629</v>
      </c>
      <c r="D649" s="8" t="s">
        <v>1061</v>
      </c>
      <c r="E649" s="7">
        <v>1993</v>
      </c>
      <c r="F649" s="36" t="str" cm="1">
        <f t="array" ref="F649">_xlfn.XLOOKUP(D649&amp;C649, Sheet3!$C$2:$C$1224&amp;Sheet3!$B$2:$B$1224, Sheet3!$D$2:$D$1224, "")</f>
        <v/>
      </c>
      <c r="G649" s="1" t="str" cm="1">
        <f t="array" ref="G649">_xlfn.XLOOKUP(D649&amp;C649, Sheet2!$A$2:$A$558&amp;Sheet2!$B$2:$B$558, Sheet2!$C$2:$C$558, "")</f>
        <v/>
      </c>
      <c r="H649" s="40" t="str">
        <f t="shared" si="10"/>
        <v/>
      </c>
    </row>
    <row r="650" spans="1:8" ht="15.5" x14ac:dyDescent="0.35">
      <c r="A650" s="7">
        <v>649</v>
      </c>
      <c r="B650" s="8">
        <v>14589</v>
      </c>
      <c r="C650" s="31" t="s">
        <v>630</v>
      </c>
      <c r="D650" s="8" t="s">
        <v>1064</v>
      </c>
      <c r="E650" s="7">
        <v>1993</v>
      </c>
      <c r="F650" s="36" t="str" cm="1">
        <f t="array" ref="F650">_xlfn.XLOOKUP(D650&amp;C650, Sheet3!$C$2:$C$1224&amp;Sheet3!$B$2:$B$1224, Sheet3!$D$2:$D$1224, "")</f>
        <v>citraprakoso@gmail.com</v>
      </c>
      <c r="G650" s="1" t="str" cm="1">
        <f t="array" ref="G650">_xlfn.XLOOKUP(D650&amp;C650, Sheet2!$A$2:$A$558&amp;Sheet2!$B$2:$B$558, Sheet2!$C$2:$C$558, "")</f>
        <v>citraprakoso@gmail.com</v>
      </c>
      <c r="H650" s="40" t="str">
        <f t="shared" si="10"/>
        <v>citraprakoso@gmail.com</v>
      </c>
    </row>
    <row r="651" spans="1:8" ht="15.5" x14ac:dyDescent="0.35">
      <c r="A651" s="7">
        <v>650</v>
      </c>
      <c r="B651" s="8">
        <v>14420</v>
      </c>
      <c r="C651" s="31" t="s">
        <v>631</v>
      </c>
      <c r="D651" s="8" t="s">
        <v>1066</v>
      </c>
      <c r="E651" s="7">
        <v>1993</v>
      </c>
      <c r="F651" s="36" t="str" cm="1">
        <f t="array" ref="F651">_xlfn.XLOOKUP(D651&amp;C651, Sheet3!$C$2:$C$1224&amp;Sheet3!$B$2:$B$1224, Sheet3!$D$2:$D$1224, "")</f>
        <v>amprakoso@gmail.com</v>
      </c>
      <c r="G651" s="1" t="str" cm="1">
        <f t="array" ref="G651">_xlfn.XLOOKUP(D651&amp;C651, Sheet2!$A$2:$A$558&amp;Sheet2!$B$2:$B$558, Sheet2!$C$2:$C$558, "")</f>
        <v>amprakoso@gmail.com</v>
      </c>
      <c r="H651" s="40" t="str">
        <f t="shared" si="10"/>
        <v>amprakoso@gmail.com</v>
      </c>
    </row>
    <row r="652" spans="1:8" ht="15.5" x14ac:dyDescent="0.35">
      <c r="A652" s="7">
        <v>651</v>
      </c>
      <c r="B652" s="8">
        <v>14308</v>
      </c>
      <c r="C652" s="31" t="s">
        <v>632</v>
      </c>
      <c r="D652" s="8" t="s">
        <v>1066</v>
      </c>
      <c r="E652" s="7">
        <v>1993</v>
      </c>
      <c r="F652" s="36" t="str" cm="1">
        <f t="array" ref="F652">_xlfn.XLOOKUP(D652&amp;C652, Sheet3!$C$2:$C$1224&amp;Sheet3!$B$2:$B$1224, Sheet3!$D$2:$D$1224, "")</f>
        <v/>
      </c>
      <c r="G652" s="1" t="str" cm="1">
        <f t="array" ref="G652">_xlfn.XLOOKUP(D652&amp;C652, Sheet2!$A$2:$A$558&amp;Sheet2!$B$2:$B$558, Sheet2!$C$2:$C$558, "")</f>
        <v/>
      </c>
      <c r="H652" s="40" t="str">
        <f t="shared" si="10"/>
        <v/>
      </c>
    </row>
    <row r="653" spans="1:8" ht="15.5" x14ac:dyDescent="0.35">
      <c r="A653" s="7">
        <v>652</v>
      </c>
      <c r="B653" s="8">
        <v>13787</v>
      </c>
      <c r="C653" s="31" t="s">
        <v>633</v>
      </c>
      <c r="D653" s="8" t="s">
        <v>1067</v>
      </c>
      <c r="E653" s="7">
        <v>1993</v>
      </c>
      <c r="F653" s="36" t="str" cm="1">
        <f t="array" ref="F653">_xlfn.XLOOKUP(D653&amp;C653, Sheet3!$C$2:$C$1224&amp;Sheet3!$B$2:$B$1224, Sheet3!$D$2:$D$1224, "")</f>
        <v>rayonotri@gmail</v>
      </c>
      <c r="G653" s="1" t="str" cm="1">
        <f t="array" ref="G653">_xlfn.XLOOKUP(D653&amp;C653, Sheet2!$A$2:$A$558&amp;Sheet2!$B$2:$B$558, Sheet2!$C$2:$C$558, "")</f>
        <v/>
      </c>
      <c r="H653" s="40" t="str">
        <f t="shared" si="10"/>
        <v>rayonotri@gmail</v>
      </c>
    </row>
    <row r="654" spans="1:8" ht="15.5" x14ac:dyDescent="0.35">
      <c r="A654" s="7">
        <v>653</v>
      </c>
      <c r="B654" s="8">
        <v>12957</v>
      </c>
      <c r="C654" s="31" t="s">
        <v>634</v>
      </c>
      <c r="D654" s="8" t="s">
        <v>1065</v>
      </c>
      <c r="E654" s="7">
        <v>1993</v>
      </c>
      <c r="F654" s="36" t="str" cm="1">
        <f t="array" ref="F654">_xlfn.XLOOKUP(D654&amp;C654, Sheet3!$C$2:$C$1224&amp;Sheet3!$B$2:$B$1224, Sheet3!$D$2:$D$1224, "")</f>
        <v/>
      </c>
      <c r="G654" s="1" t="str" cm="1">
        <f t="array" ref="G654">_xlfn.XLOOKUP(D654&amp;C654, Sheet2!$A$2:$A$558&amp;Sheet2!$B$2:$B$558, Sheet2!$C$2:$C$558, "")</f>
        <v/>
      </c>
      <c r="H654" s="40" t="str">
        <f t="shared" si="10"/>
        <v/>
      </c>
    </row>
    <row r="655" spans="1:8" ht="15.5" x14ac:dyDescent="0.35">
      <c r="A655" s="7">
        <v>654</v>
      </c>
      <c r="B655" s="8">
        <v>14071</v>
      </c>
      <c r="C655" s="31" t="s">
        <v>635</v>
      </c>
      <c r="D655" s="8" t="s">
        <v>1066</v>
      </c>
      <c r="E655" s="7">
        <v>1993</v>
      </c>
      <c r="F655" s="36" t="str" cm="1">
        <f t="array" ref="F655">_xlfn.XLOOKUP(D655&amp;C655, Sheet3!$C$2:$C$1224&amp;Sheet3!$B$2:$B$1224, Sheet3!$D$2:$D$1224, "")</f>
        <v/>
      </c>
      <c r="G655" s="1" t="str" cm="1">
        <f t="array" ref="G655">_xlfn.XLOOKUP(D655&amp;C655, Sheet2!$A$2:$A$558&amp;Sheet2!$B$2:$B$558, Sheet2!$C$2:$C$558, "")</f>
        <v/>
      </c>
      <c r="H655" s="40" t="str">
        <f t="shared" si="10"/>
        <v/>
      </c>
    </row>
    <row r="656" spans="1:8" ht="15.5" x14ac:dyDescent="0.35">
      <c r="A656" s="7">
        <v>655</v>
      </c>
      <c r="B656" s="8">
        <v>14392</v>
      </c>
      <c r="C656" s="31" t="s">
        <v>636</v>
      </c>
      <c r="D656" s="8" t="s">
        <v>1066</v>
      </c>
      <c r="E656" s="7">
        <v>1993</v>
      </c>
      <c r="F656" s="36" t="str" cm="1">
        <f t="array" ref="F656">_xlfn.XLOOKUP(D656&amp;C656, Sheet3!$C$2:$C$1224&amp;Sheet3!$B$2:$B$1224, Sheet3!$D$2:$D$1224, "")</f>
        <v/>
      </c>
      <c r="G656" s="1" t="str" cm="1">
        <f t="array" ref="G656">_xlfn.XLOOKUP(D656&amp;C656, Sheet2!$A$2:$A$558&amp;Sheet2!$B$2:$B$558, Sheet2!$C$2:$C$558, "")</f>
        <v/>
      </c>
      <c r="H656" s="40" t="str">
        <f t="shared" si="10"/>
        <v/>
      </c>
    </row>
    <row r="657" spans="1:8" ht="15.5" x14ac:dyDescent="0.35">
      <c r="A657" s="7">
        <v>656</v>
      </c>
      <c r="B657" s="8">
        <v>13826</v>
      </c>
      <c r="C657" s="31" t="s">
        <v>637</v>
      </c>
      <c r="D657" s="8" t="s">
        <v>1067</v>
      </c>
      <c r="E657" s="7">
        <v>1993</v>
      </c>
      <c r="F657" s="36" t="str" cm="1">
        <f t="array" ref="F657">_xlfn.XLOOKUP(D657&amp;C657, Sheet3!$C$2:$C$1224&amp;Sheet3!$B$2:$B$1224, Sheet3!$D$2:$D$1224, "")</f>
        <v>trifatah66@gmail.com</v>
      </c>
      <c r="G657" s="1" t="str" cm="1">
        <f t="array" ref="G657">_xlfn.XLOOKUP(D657&amp;C657, Sheet2!$A$2:$A$558&amp;Sheet2!$B$2:$B$558, Sheet2!$C$2:$C$558, "")</f>
        <v/>
      </c>
      <c r="H657" s="40" t="str">
        <f t="shared" si="10"/>
        <v>trifatah66@gmail.com</v>
      </c>
    </row>
    <row r="658" spans="1:8" ht="15.5" x14ac:dyDescent="0.35">
      <c r="A658" s="7">
        <v>657</v>
      </c>
      <c r="B658" s="8">
        <v>11472</v>
      </c>
      <c r="C658" s="31" t="s">
        <v>638</v>
      </c>
      <c r="D658" s="8" t="s">
        <v>1060</v>
      </c>
      <c r="E658" s="7">
        <v>1993</v>
      </c>
      <c r="F658" s="36" t="str" cm="1">
        <f t="array" ref="F658">_xlfn.XLOOKUP(D658&amp;C658, Sheet3!$C$2:$C$1224&amp;Sheet3!$B$2:$B$1224, Sheet3!$D$2:$D$1224, "")</f>
        <v/>
      </c>
      <c r="G658" s="1" t="str" cm="1">
        <f t="array" ref="G658">_xlfn.XLOOKUP(D658&amp;C658, Sheet2!$A$2:$A$558&amp;Sheet2!$B$2:$B$558, Sheet2!$C$2:$C$558, "")</f>
        <v/>
      </c>
      <c r="H658" s="40" t="str">
        <f t="shared" si="10"/>
        <v/>
      </c>
    </row>
    <row r="659" spans="1:8" ht="15.5" x14ac:dyDescent="0.35">
      <c r="A659" s="7">
        <v>658</v>
      </c>
      <c r="B659" s="8">
        <v>14964</v>
      </c>
      <c r="C659" s="31" t="s">
        <v>639</v>
      </c>
      <c r="D659" s="8" t="s">
        <v>1064</v>
      </c>
      <c r="E659" s="7">
        <v>1993</v>
      </c>
      <c r="F659" s="36" t="str" cm="1">
        <f t="array" ref="F659">_xlfn.XLOOKUP(D659&amp;C659, Sheet3!$C$2:$C$1224&amp;Sheet3!$B$2:$B$1224, Sheet3!$D$2:$D$1224, "")</f>
        <v/>
      </c>
      <c r="G659" s="1" t="str" cm="1">
        <f t="array" ref="G659">_xlfn.XLOOKUP(D659&amp;C659, Sheet2!$A$2:$A$558&amp;Sheet2!$B$2:$B$558, Sheet2!$C$2:$C$558, "")</f>
        <v/>
      </c>
      <c r="H659" s="40" t="str">
        <f t="shared" si="10"/>
        <v/>
      </c>
    </row>
    <row r="660" spans="1:8" ht="15.5" x14ac:dyDescent="0.35">
      <c r="A660" s="7">
        <v>659</v>
      </c>
      <c r="B660" s="8">
        <v>13607</v>
      </c>
      <c r="C660" s="31" t="s">
        <v>640</v>
      </c>
      <c r="D660" s="8" t="s">
        <v>1067</v>
      </c>
      <c r="E660" s="7">
        <v>1993</v>
      </c>
      <c r="F660" s="36" t="str" cm="1">
        <f t="array" ref="F660">_xlfn.XLOOKUP(D660&amp;C660, Sheet3!$C$2:$C$1224&amp;Sheet3!$B$2:$B$1224, Sheet3!$D$2:$D$1224, "")</f>
        <v/>
      </c>
      <c r="G660" s="1" t="str" cm="1">
        <f t="array" ref="G660">_xlfn.XLOOKUP(D660&amp;C660, Sheet2!$A$2:$A$558&amp;Sheet2!$B$2:$B$558, Sheet2!$C$2:$C$558, "")</f>
        <v/>
      </c>
      <c r="H660" s="40" t="str">
        <f t="shared" si="10"/>
        <v/>
      </c>
    </row>
    <row r="661" spans="1:8" ht="15.5" x14ac:dyDescent="0.35">
      <c r="A661" s="7">
        <v>660</v>
      </c>
      <c r="B661" s="8">
        <v>13718</v>
      </c>
      <c r="C661" s="31" t="s">
        <v>641</v>
      </c>
      <c r="D661" s="8" t="s">
        <v>1067</v>
      </c>
      <c r="E661" s="7">
        <v>1993</v>
      </c>
      <c r="F661" s="36" t="str" cm="1">
        <f t="array" ref="F661">_xlfn.XLOOKUP(D661&amp;C661, Sheet3!$C$2:$C$1224&amp;Sheet3!$B$2:$B$1224, Sheet3!$D$2:$D$1224, "")</f>
        <v/>
      </c>
      <c r="G661" s="1" t="str" cm="1">
        <f t="array" ref="G661">_xlfn.XLOOKUP(D661&amp;C661, Sheet2!$A$2:$A$558&amp;Sheet2!$B$2:$B$558, Sheet2!$C$2:$C$558, "")</f>
        <v/>
      </c>
      <c r="H661" s="40" t="str">
        <f t="shared" si="10"/>
        <v/>
      </c>
    </row>
    <row r="662" spans="1:8" ht="15.5" x14ac:dyDescent="0.35">
      <c r="A662" s="7">
        <v>661</v>
      </c>
      <c r="B662" s="8">
        <v>13503</v>
      </c>
      <c r="C662" s="31" t="s">
        <v>642</v>
      </c>
      <c r="D662" s="8" t="s">
        <v>1067</v>
      </c>
      <c r="E662" s="7">
        <v>1993</v>
      </c>
      <c r="F662" s="36" t="str" cm="1">
        <f t="array" ref="F662">_xlfn.XLOOKUP(D662&amp;C662, Sheet3!$C$2:$C$1224&amp;Sheet3!$B$2:$B$1224, Sheet3!$D$2:$D$1224, "")</f>
        <v/>
      </c>
      <c r="G662" s="1" t="str" cm="1">
        <f t="array" ref="G662">_xlfn.XLOOKUP(D662&amp;C662, Sheet2!$A$2:$A$558&amp;Sheet2!$B$2:$B$558, Sheet2!$C$2:$C$558, "")</f>
        <v/>
      </c>
      <c r="H662" s="40" t="str">
        <f t="shared" si="10"/>
        <v/>
      </c>
    </row>
    <row r="663" spans="1:8" ht="15.5" x14ac:dyDescent="0.35">
      <c r="A663" s="7">
        <v>662</v>
      </c>
      <c r="B663" s="8">
        <v>14460</v>
      </c>
      <c r="C663" s="31" t="s">
        <v>643</v>
      </c>
      <c r="D663" s="8" t="s">
        <v>1066</v>
      </c>
      <c r="E663" s="7">
        <v>1993</v>
      </c>
      <c r="F663" s="36" t="str" cm="1">
        <f t="array" ref="F663">_xlfn.XLOOKUP(D663&amp;C663, Sheet3!$C$2:$C$1224&amp;Sheet3!$B$2:$B$1224, Sheet3!$D$2:$D$1224, "")</f>
        <v>purbohantoro@gmail.com</v>
      </c>
      <c r="G663" s="1" t="str" cm="1">
        <f t="array" ref="G663">_xlfn.XLOOKUP(D663&amp;C663, Sheet2!$A$2:$A$558&amp;Sheet2!$B$2:$B$558, Sheet2!$C$2:$C$558, "")</f>
        <v/>
      </c>
      <c r="H663" s="40" t="str">
        <f t="shared" si="10"/>
        <v>purbohantoro@gmail.com</v>
      </c>
    </row>
    <row r="664" spans="1:8" ht="15.5" x14ac:dyDescent="0.35">
      <c r="A664" s="7">
        <v>663</v>
      </c>
      <c r="B664" s="8">
        <v>13820</v>
      </c>
      <c r="C664" s="31" t="s">
        <v>644</v>
      </c>
      <c r="D664" s="8" t="s">
        <v>1067</v>
      </c>
      <c r="E664" s="7">
        <v>1993</v>
      </c>
      <c r="F664" s="36" t="str" cm="1">
        <f t="array" ref="F664">_xlfn.XLOOKUP(D664&amp;C664, Sheet3!$C$2:$C$1224&amp;Sheet3!$B$2:$B$1224, Sheet3!$D$2:$D$1224, "")</f>
        <v/>
      </c>
      <c r="G664" s="1" t="str" cm="1">
        <f t="array" ref="G664">_xlfn.XLOOKUP(D664&amp;C664, Sheet2!$A$2:$A$558&amp;Sheet2!$B$2:$B$558, Sheet2!$C$2:$C$558, "")</f>
        <v/>
      </c>
      <c r="H664" s="40" t="str">
        <f t="shared" si="10"/>
        <v/>
      </c>
    </row>
    <row r="665" spans="1:8" ht="15.5" x14ac:dyDescent="0.35">
      <c r="A665" s="7">
        <v>664</v>
      </c>
      <c r="B665" s="8">
        <v>14537</v>
      </c>
      <c r="C665" s="31" t="s">
        <v>645</v>
      </c>
      <c r="D665" s="8" t="s">
        <v>1066</v>
      </c>
      <c r="E665" s="7">
        <v>1993</v>
      </c>
      <c r="F665" s="36" t="str" cm="1">
        <f t="array" ref="F665">_xlfn.XLOOKUP(D665&amp;C665, Sheet3!$C$2:$C$1224&amp;Sheet3!$B$2:$B$1224, Sheet3!$D$2:$D$1224, "")</f>
        <v/>
      </c>
      <c r="G665" s="1" t="str" cm="1">
        <f t="array" ref="G665">_xlfn.XLOOKUP(D665&amp;C665, Sheet2!$A$2:$A$558&amp;Sheet2!$B$2:$B$558, Sheet2!$C$2:$C$558, "")</f>
        <v/>
      </c>
      <c r="H665" s="40" t="str">
        <f t="shared" si="10"/>
        <v/>
      </c>
    </row>
    <row r="666" spans="1:8" ht="15.5" x14ac:dyDescent="0.35">
      <c r="A666" s="7">
        <v>665</v>
      </c>
      <c r="B666" s="8">
        <v>15435</v>
      </c>
      <c r="C666" s="31" t="s">
        <v>646</v>
      </c>
      <c r="D666" s="8" t="s">
        <v>1068</v>
      </c>
      <c r="E666" s="7">
        <v>1993</v>
      </c>
      <c r="F666" s="36" t="str" cm="1">
        <f t="array" ref="F666">_xlfn.XLOOKUP(D666&amp;C666, Sheet3!$C$2:$C$1224&amp;Sheet3!$B$2:$B$1224, Sheet3!$D$2:$D$1224, "")</f>
        <v>diyonost@gmail.com</v>
      </c>
      <c r="G666" s="1" t="str" cm="1">
        <f t="array" ref="G666">_xlfn.XLOOKUP(D666&amp;C666, Sheet2!$A$2:$A$558&amp;Sheet2!$B$2:$B$558, Sheet2!$C$2:$C$558, "")</f>
        <v/>
      </c>
      <c r="H666" s="40" t="str">
        <f t="shared" si="10"/>
        <v>diyonost@gmail.com</v>
      </c>
    </row>
    <row r="667" spans="1:8" ht="15.5" x14ac:dyDescent="0.35">
      <c r="A667" s="7">
        <v>666</v>
      </c>
      <c r="B667" s="8">
        <v>14530</v>
      </c>
      <c r="C667" s="31" t="s">
        <v>647</v>
      </c>
      <c r="D667" s="8" t="s">
        <v>1066</v>
      </c>
      <c r="E667" s="7">
        <v>1993</v>
      </c>
      <c r="F667" s="36" t="str" cm="1">
        <f t="array" ref="F667">_xlfn.XLOOKUP(D667&amp;C667, Sheet3!$C$2:$C$1224&amp;Sheet3!$B$2:$B$1224, Sheet3!$D$2:$D$1224, "")</f>
        <v>kresna.fitriansyah@gmail.com</v>
      </c>
      <c r="G667" s="1" t="str" cm="1">
        <f t="array" ref="G667">_xlfn.XLOOKUP(D667&amp;C667, Sheet2!$A$2:$A$558&amp;Sheet2!$B$2:$B$558, Sheet2!$C$2:$C$558, "")</f>
        <v>kresna.fitriansyah@gmail.com</v>
      </c>
      <c r="H667" s="40" t="str">
        <f t="shared" si="10"/>
        <v>kresna.fitriansyah@gmail.com</v>
      </c>
    </row>
    <row r="668" spans="1:8" ht="15.5" x14ac:dyDescent="0.35">
      <c r="A668" s="7">
        <v>667</v>
      </c>
      <c r="B668" s="8">
        <v>15593</v>
      </c>
      <c r="C668" s="31" t="s">
        <v>648</v>
      </c>
      <c r="D668" s="8" t="s">
        <v>1068</v>
      </c>
      <c r="E668" s="7">
        <v>1993</v>
      </c>
      <c r="F668" s="36" t="str" cm="1">
        <f t="array" ref="F668">_xlfn.XLOOKUP(D668&amp;C668, Sheet3!$C$2:$C$1224&amp;Sheet3!$B$2:$B$1224, Sheet3!$D$2:$D$1224, "")</f>
        <v>lheliani@ugm.ac.id</v>
      </c>
      <c r="G668" s="1" t="str" cm="1">
        <f t="array" ref="G668">_xlfn.XLOOKUP(D668&amp;C668, Sheet2!$A$2:$A$558&amp;Sheet2!$B$2:$B$558, Sheet2!$C$2:$C$558, "")</f>
        <v/>
      </c>
      <c r="H668" s="40" t="str">
        <f t="shared" si="10"/>
        <v>lheliani@ugm.ac.id</v>
      </c>
    </row>
    <row r="669" spans="1:8" ht="15.5" x14ac:dyDescent="0.35">
      <c r="A669" s="7">
        <v>668</v>
      </c>
      <c r="B669" s="8">
        <v>7727</v>
      </c>
      <c r="C669" s="31" t="s">
        <v>649</v>
      </c>
      <c r="D669" s="8" t="s">
        <v>1052</v>
      </c>
      <c r="E669" s="7">
        <v>1993</v>
      </c>
      <c r="F669" s="36" t="str" cm="1">
        <f t="array" ref="F669">_xlfn.XLOOKUP(D669&amp;C669, Sheet3!$C$2:$C$1224&amp;Sheet3!$B$2:$B$1224, Sheet3!$D$2:$D$1224, "")</f>
        <v/>
      </c>
      <c r="G669" s="1" t="str" cm="1">
        <f t="array" ref="G669">_xlfn.XLOOKUP(D669&amp;C669, Sheet2!$A$2:$A$558&amp;Sheet2!$B$2:$B$558, Sheet2!$C$2:$C$558, "")</f>
        <v/>
      </c>
      <c r="H669" s="40" t="str">
        <f t="shared" si="10"/>
        <v/>
      </c>
    </row>
    <row r="670" spans="1:8" ht="15.5" x14ac:dyDescent="0.35">
      <c r="A670" s="7">
        <v>669</v>
      </c>
      <c r="B670" s="8">
        <v>14716</v>
      </c>
      <c r="C670" s="31" t="s">
        <v>650</v>
      </c>
      <c r="D670" s="8" t="s">
        <v>1064</v>
      </c>
      <c r="E670" s="7">
        <v>1993</v>
      </c>
      <c r="F670" s="36" t="str" cm="1">
        <f t="array" ref="F670">_xlfn.XLOOKUP(D670&amp;C670, Sheet3!$C$2:$C$1224&amp;Sheet3!$B$2:$B$1224, Sheet3!$D$2:$D$1224, "")</f>
        <v>masbobby55@gmail.com</v>
      </c>
      <c r="G670" s="1" t="str" cm="1">
        <f t="array" ref="G670">_xlfn.XLOOKUP(D670&amp;C670, Sheet2!$A$2:$A$558&amp;Sheet2!$B$2:$B$558, Sheet2!$C$2:$C$558, "")</f>
        <v/>
      </c>
      <c r="H670" s="40" t="str">
        <f t="shared" si="10"/>
        <v>masbobby55@gmail.com</v>
      </c>
    </row>
    <row r="671" spans="1:8" ht="15.5" x14ac:dyDescent="0.35">
      <c r="A671" s="7">
        <v>670</v>
      </c>
      <c r="B671" s="8">
        <v>14669</v>
      </c>
      <c r="C671" s="31" t="s">
        <v>651</v>
      </c>
      <c r="D671" s="8" t="s">
        <v>1064</v>
      </c>
      <c r="E671" s="7">
        <v>1993</v>
      </c>
      <c r="F671" s="36" t="str" cm="1">
        <f t="array" ref="F671">_xlfn.XLOOKUP(D671&amp;C671, Sheet3!$C$2:$C$1224&amp;Sheet3!$B$2:$B$1224, Sheet3!$D$2:$D$1224, "")</f>
        <v/>
      </c>
      <c r="G671" s="1" t="str" cm="1">
        <f t="array" ref="G671">_xlfn.XLOOKUP(D671&amp;C671, Sheet2!$A$2:$A$558&amp;Sheet2!$B$2:$B$558, Sheet2!$C$2:$C$558, "")</f>
        <v/>
      </c>
      <c r="H671" s="40" t="str">
        <f t="shared" si="10"/>
        <v/>
      </c>
    </row>
    <row r="672" spans="1:8" ht="15.5" x14ac:dyDescent="0.35">
      <c r="A672" s="7">
        <v>671</v>
      </c>
      <c r="B672" s="8">
        <v>14592</v>
      </c>
      <c r="C672" s="31" t="s">
        <v>652</v>
      </c>
      <c r="D672" s="8" t="s">
        <v>1064</v>
      </c>
      <c r="E672" s="7">
        <v>1993</v>
      </c>
      <c r="F672" s="36" t="str" cm="1">
        <f t="array" ref="F672">_xlfn.XLOOKUP(D672&amp;C672, Sheet3!$C$2:$C$1224&amp;Sheet3!$B$2:$B$1224, Sheet3!$D$2:$D$1224, "")</f>
        <v/>
      </c>
      <c r="G672" s="1" t="str" cm="1">
        <f t="array" ref="G672">_xlfn.XLOOKUP(D672&amp;C672, Sheet2!$A$2:$A$558&amp;Sheet2!$B$2:$B$558, Sheet2!$C$2:$C$558, "")</f>
        <v/>
      </c>
      <c r="H672" s="40" t="str">
        <f t="shared" si="10"/>
        <v/>
      </c>
    </row>
    <row r="673" spans="1:8" ht="15.5" x14ac:dyDescent="0.35">
      <c r="A673" s="7">
        <v>672</v>
      </c>
      <c r="B673" s="8">
        <v>11790</v>
      </c>
      <c r="C673" s="31" t="s">
        <v>653</v>
      </c>
      <c r="D673" s="8" t="s">
        <v>1061</v>
      </c>
      <c r="E673" s="7">
        <v>1993</v>
      </c>
      <c r="F673" s="36" t="str" cm="1">
        <f t="array" ref="F673">_xlfn.XLOOKUP(D673&amp;C673, Sheet3!$C$2:$C$1224&amp;Sheet3!$B$2:$B$1224, Sheet3!$D$2:$D$1224, "")</f>
        <v/>
      </c>
      <c r="G673" s="1" t="str" cm="1">
        <f t="array" ref="G673">_xlfn.XLOOKUP(D673&amp;C673, Sheet2!$A$2:$A$558&amp;Sheet2!$B$2:$B$558, Sheet2!$C$2:$C$558, "")</f>
        <v/>
      </c>
      <c r="H673" s="40" t="str">
        <f t="shared" si="10"/>
        <v/>
      </c>
    </row>
    <row r="674" spans="1:8" ht="15.5" x14ac:dyDescent="0.35">
      <c r="A674" s="7">
        <v>673</v>
      </c>
      <c r="B674" s="8">
        <v>14675</v>
      </c>
      <c r="C674" s="31" t="s">
        <v>654</v>
      </c>
      <c r="D674" s="8" t="s">
        <v>1064</v>
      </c>
      <c r="E674" s="7">
        <v>1993</v>
      </c>
      <c r="F674" s="36" t="str" cm="1">
        <f t="array" ref="F674">_xlfn.XLOOKUP(D674&amp;C674, Sheet3!$C$2:$C$1224&amp;Sheet3!$B$2:$B$1224, Sheet3!$D$2:$D$1224, "")</f>
        <v/>
      </c>
      <c r="G674" s="1" t="str" cm="1">
        <f t="array" ref="G674">_xlfn.XLOOKUP(D674&amp;C674, Sheet2!$A$2:$A$558&amp;Sheet2!$B$2:$B$558, Sheet2!$C$2:$C$558, "")</f>
        <v/>
      </c>
      <c r="H674" s="40" t="str">
        <f t="shared" si="10"/>
        <v/>
      </c>
    </row>
    <row r="675" spans="1:8" ht="15.5" x14ac:dyDescent="0.35">
      <c r="A675" s="7">
        <v>674</v>
      </c>
      <c r="B675" s="8">
        <v>14038</v>
      </c>
      <c r="C675" s="31" t="s">
        <v>655</v>
      </c>
      <c r="D675" s="8" t="s">
        <v>1066</v>
      </c>
      <c r="E675" s="7">
        <v>1993</v>
      </c>
      <c r="F675" s="36" t="str" cm="1">
        <f t="array" ref="F675">_xlfn.XLOOKUP(D675&amp;C675, Sheet3!$C$2:$C$1224&amp;Sheet3!$B$2:$B$1224, Sheet3!$D$2:$D$1224, "")</f>
        <v/>
      </c>
      <c r="G675" s="1" t="str" cm="1">
        <f t="array" ref="G675">_xlfn.XLOOKUP(D675&amp;C675, Sheet2!$A$2:$A$558&amp;Sheet2!$B$2:$B$558, Sheet2!$C$2:$C$558, "")</f>
        <v/>
      </c>
      <c r="H675" s="40" t="str">
        <f t="shared" si="10"/>
        <v/>
      </c>
    </row>
    <row r="676" spans="1:8" ht="15.5" x14ac:dyDescent="0.35">
      <c r="A676" s="7">
        <v>675</v>
      </c>
      <c r="B676" s="8">
        <v>12722</v>
      </c>
      <c r="C676" s="31" t="s">
        <v>656</v>
      </c>
      <c r="D676" s="8" t="s">
        <v>1065</v>
      </c>
      <c r="E676" s="7">
        <v>1993</v>
      </c>
      <c r="F676" s="36" t="str" cm="1">
        <f t="array" ref="F676">_xlfn.XLOOKUP(D676&amp;C676, Sheet3!$C$2:$C$1224&amp;Sheet3!$B$2:$B$1224, Sheet3!$D$2:$D$1224, "")</f>
        <v>srisukmawati@unej.ac.id</v>
      </c>
      <c r="G676" s="1" t="str" cm="1">
        <f t="array" ref="G676">_xlfn.XLOOKUP(D676&amp;C676, Sheet2!$A$2:$A$558&amp;Sheet2!$B$2:$B$558, Sheet2!$C$2:$C$558, "")</f>
        <v/>
      </c>
      <c r="H676" s="40" t="str">
        <f t="shared" si="10"/>
        <v>srisukmawati@unej.ac.id</v>
      </c>
    </row>
    <row r="677" spans="1:8" ht="15.5" x14ac:dyDescent="0.35">
      <c r="A677" s="7">
        <v>676</v>
      </c>
      <c r="B677" s="8">
        <v>14622</v>
      </c>
      <c r="C677" s="31" t="s">
        <v>657</v>
      </c>
      <c r="D677" s="8" t="s">
        <v>1064</v>
      </c>
      <c r="E677" s="7">
        <v>1993</v>
      </c>
      <c r="F677" s="36" t="str" cm="1">
        <f t="array" ref="F677">_xlfn.XLOOKUP(D677&amp;C677, Sheet3!$C$2:$C$1224&amp;Sheet3!$B$2:$B$1224, Sheet3!$D$2:$D$1224, "")</f>
        <v>ariefsyaif69@gmail.com</v>
      </c>
      <c r="G677" s="1" t="str" cm="1">
        <f t="array" ref="G677">_xlfn.XLOOKUP(D677&amp;C677, Sheet2!$A$2:$A$558&amp;Sheet2!$B$2:$B$558, Sheet2!$C$2:$C$558, "")</f>
        <v/>
      </c>
      <c r="H677" s="40" t="str">
        <f t="shared" si="10"/>
        <v>ariefsyaif69@gmail.com</v>
      </c>
    </row>
    <row r="678" spans="1:8" ht="15.5" x14ac:dyDescent="0.35">
      <c r="A678" s="7">
        <v>677</v>
      </c>
      <c r="B678" s="8">
        <v>15506</v>
      </c>
      <c r="C678" s="31" t="s">
        <v>658</v>
      </c>
      <c r="D678" s="8" t="s">
        <v>1068</v>
      </c>
      <c r="E678" s="7">
        <v>1993</v>
      </c>
      <c r="F678" s="36" t="str" cm="1">
        <f t="array" ref="F678">_xlfn.XLOOKUP(D678&amp;C678, Sheet3!$C$2:$C$1224&amp;Sheet3!$B$2:$B$1224, Sheet3!$D$2:$D$1224, "")</f>
        <v>sigitrach69@gmail.com</v>
      </c>
      <c r="G678" s="1" t="str" cm="1">
        <f t="array" ref="G678">_xlfn.XLOOKUP(D678&amp;C678, Sheet2!$A$2:$A$558&amp;Sheet2!$B$2:$B$558, Sheet2!$C$2:$C$558, "")</f>
        <v>sigitrach69@gmail.com</v>
      </c>
      <c r="H678" s="40" t="str">
        <f t="shared" si="10"/>
        <v>sigitrach69@gmail.com</v>
      </c>
    </row>
    <row r="679" spans="1:8" ht="15.5" x14ac:dyDescent="0.35">
      <c r="A679" s="7">
        <v>678</v>
      </c>
      <c r="B679" s="8">
        <v>15076</v>
      </c>
      <c r="C679" s="31" t="s">
        <v>659</v>
      </c>
      <c r="D679" s="8" t="s">
        <v>1064</v>
      </c>
      <c r="E679" s="7">
        <v>1993</v>
      </c>
      <c r="F679" s="36" t="str" cm="1">
        <f t="array" ref="F679">_xlfn.XLOOKUP(D679&amp;C679, Sheet3!$C$2:$C$1224&amp;Sheet3!$B$2:$B$1224, Sheet3!$D$2:$D$1224, "")</f>
        <v>donorahmoko.dra@gmail.com</v>
      </c>
      <c r="G679" s="1" t="str" cm="1">
        <f t="array" ref="G679">_xlfn.XLOOKUP(D679&amp;C679, Sheet2!$A$2:$A$558&amp;Sheet2!$B$2:$B$558, Sheet2!$C$2:$C$558, "")</f>
        <v/>
      </c>
      <c r="H679" s="40" t="str">
        <f t="shared" si="10"/>
        <v>donorahmoko.dra@gmail.com</v>
      </c>
    </row>
    <row r="680" spans="1:8" ht="15.5" x14ac:dyDescent="0.35">
      <c r="A680" s="7">
        <v>679</v>
      </c>
      <c r="B680" s="8">
        <v>13407</v>
      </c>
      <c r="C680" s="31" t="s">
        <v>660</v>
      </c>
      <c r="D680" s="8" t="s">
        <v>1067</v>
      </c>
      <c r="E680" s="7">
        <v>1993</v>
      </c>
      <c r="F680" s="36" t="str" cm="1">
        <f t="array" ref="F680">_xlfn.XLOOKUP(D680&amp;C680, Sheet3!$C$2:$C$1224&amp;Sheet3!$B$2:$B$1224, Sheet3!$D$2:$D$1224, "")</f>
        <v/>
      </c>
      <c r="G680" s="1" t="str" cm="1">
        <f t="array" ref="G680">_xlfn.XLOOKUP(D680&amp;C680, Sheet2!$A$2:$A$558&amp;Sheet2!$B$2:$B$558, Sheet2!$C$2:$C$558, "")</f>
        <v/>
      </c>
      <c r="H680" s="40" t="str">
        <f t="shared" si="10"/>
        <v/>
      </c>
    </row>
    <row r="681" spans="1:8" ht="15.5" x14ac:dyDescent="0.35">
      <c r="A681" s="7">
        <v>680</v>
      </c>
      <c r="B681" s="8">
        <v>15469</v>
      </c>
      <c r="C681" s="31" t="s">
        <v>661</v>
      </c>
      <c r="D681" s="8" t="s">
        <v>1068</v>
      </c>
      <c r="E681" s="7">
        <v>1993</v>
      </c>
      <c r="F681" s="36" t="str" cm="1">
        <f t="array" ref="F681">_xlfn.XLOOKUP(D681&amp;C681, Sheet3!$C$2:$C$1224&amp;Sheet3!$B$2:$B$1224, Sheet3!$D$2:$D$1224, "")</f>
        <v>nursugi@gmail.com</v>
      </c>
      <c r="G681" s="1" t="str" cm="1">
        <f t="array" ref="G681">_xlfn.XLOOKUP(D681&amp;C681, Sheet2!$A$2:$A$558&amp;Sheet2!$B$2:$B$558, Sheet2!$C$2:$C$558, "")</f>
        <v/>
      </c>
      <c r="H681" s="40" t="str">
        <f t="shared" si="10"/>
        <v>nursugi@gmail.com</v>
      </c>
    </row>
    <row r="682" spans="1:8" ht="15.5" x14ac:dyDescent="0.35">
      <c r="A682" s="7">
        <v>681</v>
      </c>
      <c r="B682" s="8">
        <v>15062</v>
      </c>
      <c r="C682" s="31" t="s">
        <v>662</v>
      </c>
      <c r="D682" s="8" t="s">
        <v>1064</v>
      </c>
      <c r="E682" s="7">
        <v>1993</v>
      </c>
      <c r="F682" s="36" t="str" cm="1">
        <f t="array" ref="F682">_xlfn.XLOOKUP(D682&amp;C682, Sheet3!$C$2:$C$1224&amp;Sheet3!$B$2:$B$1224, Sheet3!$D$2:$D$1224, "")</f>
        <v/>
      </c>
      <c r="G682" s="1" t="str" cm="1">
        <f t="array" ref="G682">_xlfn.XLOOKUP(D682&amp;C682, Sheet2!$A$2:$A$558&amp;Sheet2!$B$2:$B$558, Sheet2!$C$2:$C$558, "")</f>
        <v>salim.basir@mhucoal.co.id</v>
      </c>
      <c r="H682" s="40" t="str">
        <f t="shared" si="10"/>
        <v>salim.basir@mhucoal.co.id</v>
      </c>
    </row>
    <row r="683" spans="1:8" ht="15.5" x14ac:dyDescent="0.35">
      <c r="A683" s="7">
        <v>682</v>
      </c>
      <c r="B683" s="8">
        <v>13132</v>
      </c>
      <c r="C683" s="31" t="s">
        <v>663</v>
      </c>
      <c r="D683" s="8" t="s">
        <v>1065</v>
      </c>
      <c r="E683" s="7">
        <v>1993</v>
      </c>
      <c r="F683" s="36" t="str" cm="1">
        <f t="array" ref="F683">_xlfn.XLOOKUP(D683&amp;C683, Sheet3!$C$2:$C$1224&amp;Sheet3!$B$2:$B$1224, Sheet3!$D$2:$D$1224, "")</f>
        <v/>
      </c>
      <c r="G683" s="1" t="str" cm="1">
        <f t="array" ref="G683">_xlfn.XLOOKUP(D683&amp;C683, Sheet2!$A$2:$A$558&amp;Sheet2!$B$2:$B$558, Sheet2!$C$2:$C$558, "")</f>
        <v/>
      </c>
      <c r="H683" s="40" t="str">
        <f t="shared" si="10"/>
        <v/>
      </c>
    </row>
    <row r="684" spans="1:8" ht="15.5" x14ac:dyDescent="0.35">
      <c r="A684" s="7">
        <v>683</v>
      </c>
      <c r="B684" s="8">
        <v>13642</v>
      </c>
      <c r="C684" s="31" t="s">
        <v>664</v>
      </c>
      <c r="D684" s="8" t="s">
        <v>1067</v>
      </c>
      <c r="E684" s="7">
        <v>1993</v>
      </c>
      <c r="F684" s="36" t="str" cm="1">
        <f t="array" ref="F684">_xlfn.XLOOKUP(D684&amp;C684, Sheet3!$C$2:$C$1224&amp;Sheet3!$B$2:$B$1224, Sheet3!$D$2:$D$1224, "")</f>
        <v/>
      </c>
      <c r="G684" s="1" t="str" cm="1">
        <f t="array" ref="G684">_xlfn.XLOOKUP(D684&amp;C684, Sheet2!$A$2:$A$558&amp;Sheet2!$B$2:$B$558, Sheet2!$C$2:$C$558, "")</f>
        <v/>
      </c>
      <c r="H684" s="40" t="str">
        <f t="shared" si="10"/>
        <v/>
      </c>
    </row>
    <row r="685" spans="1:8" ht="15.5" x14ac:dyDescent="0.35">
      <c r="A685" s="7">
        <v>684</v>
      </c>
      <c r="B685" s="8">
        <v>12336</v>
      </c>
      <c r="C685" s="31" t="s">
        <v>665</v>
      </c>
      <c r="D685" s="8" t="s">
        <v>1063</v>
      </c>
      <c r="E685" s="7">
        <v>1993</v>
      </c>
      <c r="F685" s="36" t="str" cm="1">
        <f t="array" ref="F685">_xlfn.XLOOKUP(D685&amp;C685, Sheet3!$C$2:$C$1224&amp;Sheet3!$B$2:$B$1224, Sheet3!$D$2:$D$1224, "")</f>
        <v/>
      </c>
      <c r="G685" s="1" t="str" cm="1">
        <f t="array" ref="G685">_xlfn.XLOOKUP(D685&amp;C685, Sheet2!$A$2:$A$558&amp;Sheet2!$B$2:$B$558, Sheet2!$C$2:$C$558, "")</f>
        <v/>
      </c>
      <c r="H685" s="40" t="str">
        <f t="shared" si="10"/>
        <v/>
      </c>
    </row>
    <row r="686" spans="1:8" ht="15.5" x14ac:dyDescent="0.35">
      <c r="A686" s="7">
        <v>685</v>
      </c>
      <c r="B686" s="8">
        <v>15400</v>
      </c>
      <c r="C686" s="31" t="s">
        <v>666</v>
      </c>
      <c r="D686" s="8" t="s">
        <v>1068</v>
      </c>
      <c r="E686" s="7">
        <v>1994</v>
      </c>
      <c r="F686" s="36" t="str" cm="1">
        <f t="array" ref="F686">_xlfn.XLOOKUP(D686&amp;C686, Sheet3!$C$2:$C$1224&amp;Sheet3!$B$2:$B$1224, Sheet3!$D$2:$D$1224, "")</f>
        <v>Mujamaruf@gmail.com</v>
      </c>
      <c r="G686" s="1" t="str" cm="1">
        <f t="array" ref="G686">_xlfn.XLOOKUP(D686&amp;C686, Sheet2!$A$2:$A$558&amp;Sheet2!$B$2:$B$558, Sheet2!$C$2:$C$558, "")</f>
        <v/>
      </c>
      <c r="H686" s="40" t="str">
        <f t="shared" si="10"/>
        <v>Mujamaruf@gmail.com</v>
      </c>
    </row>
    <row r="687" spans="1:8" ht="15.5" x14ac:dyDescent="0.35">
      <c r="A687" s="7">
        <v>686</v>
      </c>
      <c r="B687" s="8">
        <v>13259</v>
      </c>
      <c r="C687" s="31" t="s">
        <v>667</v>
      </c>
      <c r="D687" s="8" t="s">
        <v>1067</v>
      </c>
      <c r="E687" s="7">
        <v>1994</v>
      </c>
      <c r="F687" s="36" t="str" cm="1">
        <f t="array" ref="F687">_xlfn.XLOOKUP(D687&amp;C687, Sheet3!$C$2:$C$1224&amp;Sheet3!$B$2:$B$1224, Sheet3!$D$2:$D$1224, "")</f>
        <v>dyahdika14@gmail.com</v>
      </c>
      <c r="G687" s="1" t="str" cm="1">
        <f t="array" ref="G687">_xlfn.XLOOKUP(D687&amp;C687, Sheet2!$A$2:$A$558&amp;Sheet2!$B$2:$B$558, Sheet2!$C$2:$C$558, "")</f>
        <v/>
      </c>
      <c r="H687" s="40" t="str">
        <f t="shared" si="10"/>
        <v>dyahdika14@gmail.com</v>
      </c>
    </row>
    <row r="688" spans="1:8" ht="15.5" x14ac:dyDescent="0.35">
      <c r="A688" s="7">
        <v>687</v>
      </c>
      <c r="B688" s="8">
        <v>11737</v>
      </c>
      <c r="C688" s="31" t="s">
        <v>668</v>
      </c>
      <c r="D688" s="8" t="s">
        <v>1061</v>
      </c>
      <c r="E688" s="7">
        <v>1994</v>
      </c>
      <c r="F688" s="36" t="str" cm="1">
        <f t="array" ref="F688">_xlfn.XLOOKUP(D688&amp;C688, Sheet3!$C$2:$C$1224&amp;Sheet3!$B$2:$B$1224, Sheet3!$D$2:$D$1224, "")</f>
        <v/>
      </c>
      <c r="G688" s="1" t="str" cm="1">
        <f t="array" ref="G688">_xlfn.XLOOKUP(D688&amp;C688, Sheet2!$A$2:$A$558&amp;Sheet2!$B$2:$B$558, Sheet2!$C$2:$C$558, "")</f>
        <v/>
      </c>
      <c r="H688" s="40" t="str">
        <f t="shared" si="10"/>
        <v/>
      </c>
    </row>
    <row r="689" spans="1:8" ht="15.5" x14ac:dyDescent="0.35">
      <c r="A689" s="7">
        <v>688</v>
      </c>
      <c r="B689" s="8">
        <v>13758</v>
      </c>
      <c r="C689" s="31" t="s">
        <v>669</v>
      </c>
      <c r="D689" s="8" t="s">
        <v>1067</v>
      </c>
      <c r="E689" s="7">
        <v>1994</v>
      </c>
      <c r="F689" s="36" t="str" cm="1">
        <f t="array" ref="F689">_xlfn.XLOOKUP(D689&amp;C689, Sheet3!$C$2:$C$1224&amp;Sheet3!$B$2:$B$1224, Sheet3!$D$2:$D$1224, "")</f>
        <v>agusmakmuriyanto@gmail.com</v>
      </c>
      <c r="G689" s="1" t="str" cm="1">
        <f t="array" ref="G689">_xlfn.XLOOKUP(D689&amp;C689, Sheet2!$A$2:$A$558&amp;Sheet2!$B$2:$B$558, Sheet2!$C$2:$C$558, "")</f>
        <v/>
      </c>
      <c r="H689" s="40" t="str">
        <f t="shared" si="10"/>
        <v>agusmakmuriyanto@gmail.com</v>
      </c>
    </row>
    <row r="690" spans="1:8" ht="15.5" x14ac:dyDescent="0.35">
      <c r="A690" s="7">
        <v>689</v>
      </c>
      <c r="B690" s="8">
        <v>14418</v>
      </c>
      <c r="C690" s="31" t="s">
        <v>670</v>
      </c>
      <c r="D690" s="8" t="s">
        <v>1066</v>
      </c>
      <c r="E690" s="7">
        <v>1994</v>
      </c>
      <c r="F690" s="36" t="str" cm="1">
        <f t="array" ref="F690">_xlfn.XLOOKUP(D690&amp;C690, Sheet3!$C$2:$C$1224&amp;Sheet3!$B$2:$B$1224, Sheet3!$D$2:$D$1224, "")</f>
        <v>andriesbuntoro67@gmail.com</v>
      </c>
      <c r="G690" s="1" t="str" cm="1">
        <f t="array" ref="G690">_xlfn.XLOOKUP(D690&amp;C690, Sheet2!$A$2:$A$558&amp;Sheet2!$B$2:$B$558, Sheet2!$C$2:$C$558, "")</f>
        <v/>
      </c>
      <c r="H690" s="40" t="str">
        <f t="shared" si="10"/>
        <v>andriesbuntoro67@gmail.com</v>
      </c>
    </row>
    <row r="691" spans="1:8" ht="15.5" x14ac:dyDescent="0.35">
      <c r="A691" s="7">
        <v>690</v>
      </c>
      <c r="B691" s="8">
        <v>14551</v>
      </c>
      <c r="C691" s="31" t="s">
        <v>671</v>
      </c>
      <c r="D691" s="8" t="s">
        <v>1066</v>
      </c>
      <c r="E691" s="7">
        <v>1994</v>
      </c>
      <c r="F691" s="36" t="str" cm="1">
        <f t="array" ref="F691">_xlfn.XLOOKUP(D691&amp;C691, Sheet3!$C$2:$C$1224&amp;Sheet3!$B$2:$B$1224, Sheet3!$D$2:$D$1224, "")</f>
        <v>wahyu.edysantoso@gmail.com</v>
      </c>
      <c r="G691" s="1" t="str" cm="1">
        <f t="array" ref="G691">_xlfn.XLOOKUP(D691&amp;C691, Sheet2!$A$2:$A$558&amp;Sheet2!$B$2:$B$558, Sheet2!$C$2:$C$558, "")</f>
        <v>wahyu.edysantoso@gmail.com</v>
      </c>
      <c r="H691" s="40" t="str">
        <f t="shared" si="10"/>
        <v>wahyu.edysantoso@gmail.com</v>
      </c>
    </row>
    <row r="692" spans="1:8" ht="15.5" x14ac:dyDescent="0.35">
      <c r="A692" s="7">
        <v>691</v>
      </c>
      <c r="B692" s="8">
        <v>15074</v>
      </c>
      <c r="C692" s="31" t="s">
        <v>672</v>
      </c>
      <c r="D692" s="8" t="s">
        <v>1064</v>
      </c>
      <c r="E692" s="7">
        <v>1994</v>
      </c>
      <c r="F692" s="36" t="str" cm="1">
        <f t="array" ref="F692">_xlfn.XLOOKUP(D692&amp;C692, Sheet3!$C$2:$C$1224&amp;Sheet3!$B$2:$B$1224, Sheet3!$D$2:$D$1224, "")</f>
        <v>agassti@gmail.com</v>
      </c>
      <c r="G692" s="1" t="str" cm="1">
        <f t="array" ref="G692">_xlfn.XLOOKUP(D692&amp;C692, Sheet2!$A$2:$A$558&amp;Sheet2!$B$2:$B$558, Sheet2!$C$2:$C$558, "")</f>
        <v>agassti@gmail.com</v>
      </c>
      <c r="H692" s="40" t="str">
        <f t="shared" si="10"/>
        <v>agassti@gmail.com</v>
      </c>
    </row>
    <row r="693" spans="1:8" ht="15.5" x14ac:dyDescent="0.35">
      <c r="A693" s="7">
        <v>692</v>
      </c>
      <c r="B693" s="8">
        <v>13872</v>
      </c>
      <c r="C693" s="31" t="s">
        <v>673</v>
      </c>
      <c r="D693" s="8" t="s">
        <v>1067</v>
      </c>
      <c r="E693" s="7">
        <v>1994</v>
      </c>
      <c r="F693" s="36" t="str" cm="1">
        <f t="array" ref="F693">_xlfn.XLOOKUP(D693&amp;C693, Sheet3!$C$2:$C$1224&amp;Sheet3!$B$2:$B$1224, Sheet3!$D$2:$D$1224, "")</f>
        <v/>
      </c>
      <c r="G693" s="1" t="str" cm="1">
        <f t="array" ref="G693">_xlfn.XLOOKUP(D693&amp;C693, Sheet2!$A$2:$A$558&amp;Sheet2!$B$2:$B$558, Sheet2!$C$2:$C$558, "")</f>
        <v/>
      </c>
      <c r="H693" s="40" t="str">
        <f t="shared" si="10"/>
        <v/>
      </c>
    </row>
    <row r="694" spans="1:8" ht="15.5" x14ac:dyDescent="0.35">
      <c r="A694" s="7">
        <v>693</v>
      </c>
      <c r="B694" s="8">
        <v>13689</v>
      </c>
      <c r="C694" s="31" t="s">
        <v>674</v>
      </c>
      <c r="D694" s="8" t="s">
        <v>1067</v>
      </c>
      <c r="E694" s="7">
        <v>1994</v>
      </c>
      <c r="F694" s="36" t="str" cm="1">
        <f t="array" ref="F694">_xlfn.XLOOKUP(D694&amp;C694, Sheet3!$C$2:$C$1224&amp;Sheet3!$B$2:$B$1224, Sheet3!$D$2:$D$1224, "")</f>
        <v/>
      </c>
      <c r="G694" s="1" t="str" cm="1">
        <f t="array" ref="G694">_xlfn.XLOOKUP(D694&amp;C694, Sheet2!$A$2:$A$558&amp;Sheet2!$B$2:$B$558, Sheet2!$C$2:$C$558, "")</f>
        <v/>
      </c>
      <c r="H694" s="40" t="str">
        <f t="shared" si="10"/>
        <v/>
      </c>
    </row>
    <row r="695" spans="1:8" ht="15.5" x14ac:dyDescent="0.35">
      <c r="A695" s="7">
        <v>694</v>
      </c>
      <c r="B695" s="8">
        <v>12627</v>
      </c>
      <c r="C695" s="31" t="s">
        <v>675</v>
      </c>
      <c r="D695" s="8" t="s">
        <v>1063</v>
      </c>
      <c r="E695" s="7">
        <v>1994</v>
      </c>
      <c r="F695" s="36" t="str" cm="1">
        <f t="array" ref="F695">_xlfn.XLOOKUP(D695&amp;C695, Sheet3!$C$2:$C$1224&amp;Sheet3!$B$2:$B$1224, Sheet3!$D$2:$D$1224, "")</f>
        <v/>
      </c>
      <c r="G695" s="1" t="str" cm="1">
        <f t="array" ref="G695">_xlfn.XLOOKUP(D695&amp;C695, Sheet2!$A$2:$A$558&amp;Sheet2!$B$2:$B$558, Sheet2!$C$2:$C$558, "")</f>
        <v/>
      </c>
      <c r="H695" s="40" t="str">
        <f t="shared" si="10"/>
        <v/>
      </c>
    </row>
    <row r="696" spans="1:8" ht="15.5" x14ac:dyDescent="0.35">
      <c r="A696" s="7">
        <v>695</v>
      </c>
      <c r="B696" s="8">
        <v>15088</v>
      </c>
      <c r="C696" s="31" t="s">
        <v>676</v>
      </c>
      <c r="D696" s="8" t="s">
        <v>1064</v>
      </c>
      <c r="E696" s="7">
        <v>1994</v>
      </c>
      <c r="F696" s="36" t="str" cm="1">
        <f t="array" ref="F696">_xlfn.XLOOKUP(D696&amp;C696, Sheet3!$C$2:$C$1224&amp;Sheet3!$B$2:$B$1224, Sheet3!$D$2:$D$1224, "")</f>
        <v>ariseka67@yahoo.co.id</v>
      </c>
      <c r="G696" s="1" t="str" cm="1">
        <f t="array" ref="G696">_xlfn.XLOOKUP(D696&amp;C696, Sheet2!$A$2:$A$558&amp;Sheet2!$B$2:$B$558, Sheet2!$C$2:$C$558, "")</f>
        <v/>
      </c>
      <c r="H696" s="40" t="str">
        <f t="shared" si="10"/>
        <v>ariseka67@yahoo.co.id</v>
      </c>
    </row>
    <row r="697" spans="1:8" ht="15.5" x14ac:dyDescent="0.35">
      <c r="A697" s="7">
        <v>696</v>
      </c>
      <c r="B697" s="8">
        <v>14380</v>
      </c>
      <c r="C697" s="31" t="s">
        <v>401</v>
      </c>
      <c r="D697" s="8" t="s">
        <v>1066</v>
      </c>
      <c r="E697" s="7">
        <v>1994</v>
      </c>
      <c r="F697" s="36" t="str" cm="1">
        <f t="array" ref="F697">_xlfn.XLOOKUP(D697&amp;C697, Sheet3!$C$2:$C$1224&amp;Sheet3!$B$2:$B$1224, Sheet3!$D$2:$D$1224, "")</f>
        <v>Sunaryoadi66@gmail.com</v>
      </c>
      <c r="G697" s="1" t="str" cm="1">
        <f t="array" ref="G697">_xlfn.XLOOKUP(D697&amp;C697, Sheet2!$A$2:$A$558&amp;Sheet2!$B$2:$B$558, Sheet2!$C$2:$C$558, "")</f>
        <v/>
      </c>
      <c r="H697" s="40" t="str">
        <f t="shared" si="10"/>
        <v>Sunaryoadi66@gmail.com</v>
      </c>
    </row>
    <row r="698" spans="1:8" ht="15.5" x14ac:dyDescent="0.35">
      <c r="A698" s="7">
        <v>697</v>
      </c>
      <c r="B698" s="8">
        <v>14010</v>
      </c>
      <c r="C698" s="31" t="s">
        <v>677</v>
      </c>
      <c r="D698" s="8" t="s">
        <v>1066</v>
      </c>
      <c r="E698" s="7">
        <v>1994</v>
      </c>
      <c r="F698" s="36" t="str" cm="1">
        <f t="array" ref="F698">_xlfn.XLOOKUP(D698&amp;C698, Sheet3!$C$2:$C$1224&amp;Sheet3!$B$2:$B$1224, Sheet3!$D$2:$D$1224, "")</f>
        <v/>
      </c>
      <c r="G698" s="1" t="str" cm="1">
        <f t="array" ref="G698">_xlfn.XLOOKUP(D698&amp;C698, Sheet2!$A$2:$A$558&amp;Sheet2!$B$2:$B$558, Sheet2!$C$2:$C$558, "")</f>
        <v/>
      </c>
      <c r="H698" s="40" t="str">
        <f t="shared" si="10"/>
        <v/>
      </c>
    </row>
    <row r="699" spans="1:8" ht="15.5" x14ac:dyDescent="0.35">
      <c r="A699" s="7">
        <v>698</v>
      </c>
      <c r="B699" s="8">
        <v>15172</v>
      </c>
      <c r="C699" s="31" t="s">
        <v>678</v>
      </c>
      <c r="D699" s="8" t="s">
        <v>1068</v>
      </c>
      <c r="E699" s="7">
        <v>1994</v>
      </c>
      <c r="F699" s="36" t="str" cm="1">
        <f t="array" ref="F699">_xlfn.XLOOKUP(D699&amp;C699, Sheet3!$C$2:$C$1224&amp;Sheet3!$B$2:$B$1224, Sheet3!$D$2:$D$1224, "")</f>
        <v/>
      </c>
      <c r="G699" s="1" t="str" cm="1">
        <f t="array" ref="G699">_xlfn.XLOOKUP(D699&amp;C699, Sheet2!$A$2:$A$558&amp;Sheet2!$B$2:$B$558, Sheet2!$C$2:$C$558, "")</f>
        <v/>
      </c>
      <c r="H699" s="40" t="str">
        <f t="shared" si="10"/>
        <v/>
      </c>
    </row>
    <row r="700" spans="1:8" ht="15.5" x14ac:dyDescent="0.35">
      <c r="A700" s="7">
        <v>699</v>
      </c>
      <c r="B700" s="8">
        <v>7841</v>
      </c>
      <c r="C700" s="31" t="s">
        <v>679</v>
      </c>
      <c r="D700" s="8" t="s">
        <v>1051</v>
      </c>
      <c r="E700" s="7">
        <v>1994</v>
      </c>
      <c r="F700" s="36" t="str" cm="1">
        <f t="array" ref="F700">_xlfn.XLOOKUP(D700&amp;C700, Sheet3!$C$2:$C$1224&amp;Sheet3!$B$2:$B$1224, Sheet3!$D$2:$D$1224, "")</f>
        <v/>
      </c>
      <c r="G700" s="1" t="str" cm="1">
        <f t="array" ref="G700">_xlfn.XLOOKUP(D700&amp;C700, Sheet2!$A$2:$A$558&amp;Sheet2!$B$2:$B$558, Sheet2!$C$2:$C$558, "")</f>
        <v/>
      </c>
      <c r="H700" s="40" t="str">
        <f t="shared" si="10"/>
        <v/>
      </c>
    </row>
    <row r="701" spans="1:8" ht="15.5" x14ac:dyDescent="0.35">
      <c r="A701" s="7">
        <v>700</v>
      </c>
      <c r="B701" s="8">
        <v>15081</v>
      </c>
      <c r="C701" s="31" t="s">
        <v>680</v>
      </c>
      <c r="D701" s="8" t="s">
        <v>1064</v>
      </c>
      <c r="E701" s="7">
        <v>1994</v>
      </c>
      <c r="F701" s="36" t="str" cm="1">
        <f t="array" ref="F701">_xlfn.XLOOKUP(D701&amp;C701, Sheet3!$C$2:$C$1224&amp;Sheet3!$B$2:$B$1224, Sheet3!$D$2:$D$1224, "")</f>
        <v/>
      </c>
      <c r="G701" s="1" t="str" cm="1">
        <f t="array" ref="G701">_xlfn.XLOOKUP(D701&amp;C701, Sheet2!$A$2:$A$558&amp;Sheet2!$B$2:$B$558, Sheet2!$C$2:$C$558, "")</f>
        <v/>
      </c>
      <c r="H701" s="40" t="str">
        <f t="shared" si="10"/>
        <v/>
      </c>
    </row>
    <row r="702" spans="1:8" ht="15.5" x14ac:dyDescent="0.35">
      <c r="A702" s="7">
        <v>701</v>
      </c>
      <c r="B702" s="8">
        <v>14382</v>
      </c>
      <c r="C702" s="31" t="s">
        <v>681</v>
      </c>
      <c r="D702" s="8" t="s">
        <v>1066</v>
      </c>
      <c r="E702" s="7">
        <v>1994</v>
      </c>
      <c r="F702" s="36" t="str" cm="1">
        <f t="array" ref="F702">_xlfn.XLOOKUP(D702&amp;C702, Sheet3!$C$2:$C$1224&amp;Sheet3!$B$2:$B$1224, Sheet3!$D$2:$D$1224, "")</f>
        <v>triwibisono.tw@gmail.com</v>
      </c>
      <c r="G702" s="1" t="str" cm="1">
        <f t="array" ref="G702">_xlfn.XLOOKUP(D702&amp;C702, Sheet2!$A$2:$A$558&amp;Sheet2!$B$2:$B$558, Sheet2!$C$2:$C$558, "")</f>
        <v>triwibisono.tw@gmail.com</v>
      </c>
      <c r="H702" s="40" t="str">
        <f t="shared" si="10"/>
        <v>triwibisono.tw@gmail.com</v>
      </c>
    </row>
    <row r="703" spans="1:8" ht="15.5" x14ac:dyDescent="0.35">
      <c r="A703" s="7">
        <v>702</v>
      </c>
      <c r="B703" s="8">
        <v>16123</v>
      </c>
      <c r="C703" s="31" t="s">
        <v>682</v>
      </c>
      <c r="D703" s="8" t="s">
        <v>1069</v>
      </c>
      <c r="E703" s="7">
        <v>1994</v>
      </c>
      <c r="F703" s="36" t="str" cm="1">
        <f t="array" ref="F703">_xlfn.XLOOKUP(D703&amp;C703, Sheet3!$C$2:$C$1224&amp;Sheet3!$B$2:$B$1224, Sheet3!$D$2:$D$1224, "")</f>
        <v/>
      </c>
      <c r="G703" s="1" t="str" cm="1">
        <f t="array" ref="G703">_xlfn.XLOOKUP(D703&amp;C703, Sheet2!$A$2:$A$558&amp;Sheet2!$B$2:$B$558, Sheet2!$C$2:$C$558, "")</f>
        <v/>
      </c>
      <c r="H703" s="40" t="str">
        <f t="shared" si="10"/>
        <v/>
      </c>
    </row>
    <row r="704" spans="1:8" ht="15.5" x14ac:dyDescent="0.35">
      <c r="A704" s="7">
        <v>703</v>
      </c>
      <c r="B704" s="8">
        <v>15138</v>
      </c>
      <c r="C704" s="31" t="s">
        <v>683</v>
      </c>
      <c r="D704" s="8" t="s">
        <v>1068</v>
      </c>
      <c r="E704" s="7">
        <v>1994</v>
      </c>
      <c r="F704" s="36" t="str" cm="1">
        <f t="array" ref="F704">_xlfn.XLOOKUP(D704&amp;C704, Sheet3!$C$2:$C$1224&amp;Sheet3!$B$2:$B$1224, Sheet3!$D$2:$D$1224, "")</f>
        <v>dwibudimartono@gmail.com</v>
      </c>
      <c r="G704" s="1" t="str" cm="1">
        <f t="array" ref="G704">_xlfn.XLOOKUP(D704&amp;C704, Sheet2!$A$2:$A$558&amp;Sheet2!$B$2:$B$558, Sheet2!$C$2:$C$558, "")</f>
        <v/>
      </c>
      <c r="H704" s="40" t="str">
        <f t="shared" si="10"/>
        <v>dwibudimartono@gmail.com</v>
      </c>
    </row>
    <row r="705" spans="1:8" ht="15.5" x14ac:dyDescent="0.35">
      <c r="A705" s="7">
        <v>704</v>
      </c>
      <c r="B705" s="8">
        <v>13988</v>
      </c>
      <c r="C705" s="31" t="s">
        <v>684</v>
      </c>
      <c r="D705" s="8" t="s">
        <v>1066</v>
      </c>
      <c r="E705" s="7">
        <v>1994</v>
      </c>
      <c r="F705" s="36" t="str" cm="1">
        <f t="array" ref="F705">_xlfn.XLOOKUP(D705&amp;C705, Sheet3!$C$2:$C$1224&amp;Sheet3!$B$2:$B$1224, Sheet3!$D$2:$D$1224, "")</f>
        <v/>
      </c>
      <c r="G705" s="1" t="str" cm="1">
        <f t="array" ref="G705">_xlfn.XLOOKUP(D705&amp;C705, Sheet2!$A$2:$A$558&amp;Sheet2!$B$2:$B$558, Sheet2!$C$2:$C$558, "")</f>
        <v/>
      </c>
      <c r="H705" s="40" t="str">
        <f t="shared" si="10"/>
        <v/>
      </c>
    </row>
    <row r="706" spans="1:8" ht="15.5" x14ac:dyDescent="0.35">
      <c r="A706" s="7">
        <v>705</v>
      </c>
      <c r="B706" s="8">
        <v>13666</v>
      </c>
      <c r="C706" s="31" t="s">
        <v>685</v>
      </c>
      <c r="D706" s="8" t="s">
        <v>1067</v>
      </c>
      <c r="E706" s="7">
        <v>1994</v>
      </c>
      <c r="F706" s="36" t="str" cm="1">
        <f t="array" ref="F706">_xlfn.XLOOKUP(D706&amp;C706, Sheet3!$C$2:$C$1224&amp;Sheet3!$B$2:$B$1224, Sheet3!$D$2:$D$1224, "")</f>
        <v/>
      </c>
      <c r="G706" s="1" t="str" cm="1">
        <f t="array" ref="G706">_xlfn.XLOOKUP(D706&amp;C706, Sheet2!$A$2:$A$558&amp;Sheet2!$B$2:$B$558, Sheet2!$C$2:$C$558, "")</f>
        <v/>
      </c>
      <c r="H706" s="40" t="str">
        <f t="shared" si="10"/>
        <v/>
      </c>
    </row>
    <row r="707" spans="1:8" ht="15.5" x14ac:dyDescent="0.35">
      <c r="A707" s="7">
        <v>706</v>
      </c>
      <c r="B707" s="8">
        <v>14659</v>
      </c>
      <c r="C707" s="31" t="s">
        <v>686</v>
      </c>
      <c r="D707" s="8" t="s">
        <v>1064</v>
      </c>
      <c r="E707" s="7">
        <v>1994</v>
      </c>
      <c r="F707" s="36" t="str" cm="1">
        <f t="array" ref="F707">_xlfn.XLOOKUP(D707&amp;C707, Sheet3!$C$2:$C$1224&amp;Sheet3!$B$2:$B$1224, Sheet3!$D$2:$D$1224, "")</f>
        <v/>
      </c>
      <c r="G707" s="1" t="str" cm="1">
        <f t="array" ref="G707">_xlfn.XLOOKUP(D707&amp;C707, Sheet2!$A$2:$A$558&amp;Sheet2!$B$2:$B$558, Sheet2!$C$2:$C$558, "")</f>
        <v/>
      </c>
      <c r="H707" s="40" t="str">
        <f t="shared" ref="H707:H770" si="11">IF(F707&lt;&gt;"",F707,G707)</f>
        <v/>
      </c>
    </row>
    <row r="708" spans="1:8" ht="15.5" x14ac:dyDescent="0.35">
      <c r="A708" s="7">
        <v>707</v>
      </c>
      <c r="B708" s="8">
        <v>15205</v>
      </c>
      <c r="C708" s="31" t="s">
        <v>687</v>
      </c>
      <c r="D708" s="8" t="s">
        <v>1068</v>
      </c>
      <c r="E708" s="7">
        <v>1994</v>
      </c>
      <c r="F708" s="36" t="str" cm="1">
        <f t="array" ref="F708">_xlfn.XLOOKUP(D708&amp;C708, Sheet3!$C$2:$C$1224&amp;Sheet3!$B$2:$B$1224, Sheet3!$D$2:$D$1224, "")</f>
        <v/>
      </c>
      <c r="G708" s="1" t="str" cm="1">
        <f t="array" ref="G708">_xlfn.XLOOKUP(D708&amp;C708, Sheet2!$A$2:$A$558&amp;Sheet2!$B$2:$B$558, Sheet2!$C$2:$C$558, "")</f>
        <v>heripurwanto196876@gmail.com</v>
      </c>
      <c r="H708" s="40" t="str">
        <f t="shared" si="11"/>
        <v>heripurwanto196876@gmail.com</v>
      </c>
    </row>
    <row r="709" spans="1:8" ht="15.5" x14ac:dyDescent="0.35">
      <c r="A709" s="7">
        <v>708</v>
      </c>
      <c r="B709" s="8">
        <v>16137</v>
      </c>
      <c r="C709" s="31" t="s">
        <v>688</v>
      </c>
      <c r="D709" s="8" t="s">
        <v>1069</v>
      </c>
      <c r="E709" s="7">
        <v>1994</v>
      </c>
      <c r="F709" s="36" t="str" cm="1">
        <f t="array" ref="F709">_xlfn.XLOOKUP(D709&amp;C709, Sheet3!$C$2:$C$1224&amp;Sheet3!$B$2:$B$1224, Sheet3!$D$2:$D$1224, "")</f>
        <v/>
      </c>
      <c r="G709" s="1" t="str" cm="1">
        <f t="array" ref="G709">_xlfn.XLOOKUP(D709&amp;C709, Sheet2!$A$2:$A$558&amp;Sheet2!$B$2:$B$558, Sheet2!$C$2:$C$558, "")</f>
        <v/>
      </c>
      <c r="H709" s="40" t="str">
        <f t="shared" si="11"/>
        <v/>
      </c>
    </row>
    <row r="710" spans="1:8" ht="15.5" x14ac:dyDescent="0.35">
      <c r="A710" s="7">
        <v>709</v>
      </c>
      <c r="B710" s="8">
        <v>15070</v>
      </c>
      <c r="C710" s="31" t="s">
        <v>689</v>
      </c>
      <c r="D710" s="8" t="s">
        <v>1064</v>
      </c>
      <c r="E710" s="7">
        <v>1994</v>
      </c>
      <c r="F710" s="36" t="str" cm="1">
        <f t="array" ref="F710">_xlfn.XLOOKUP(D710&amp;C710, Sheet3!$C$2:$C$1224&amp;Sheet3!$B$2:$B$1224, Sheet3!$D$2:$D$1224, "")</f>
        <v/>
      </c>
      <c r="G710" s="1" t="str" cm="1">
        <f t="array" ref="G710">_xlfn.XLOOKUP(D710&amp;C710, Sheet2!$A$2:$A$558&amp;Sheet2!$B$2:$B$558, Sheet2!$C$2:$C$558, "")</f>
        <v/>
      </c>
      <c r="H710" s="40" t="str">
        <f t="shared" si="11"/>
        <v/>
      </c>
    </row>
    <row r="711" spans="1:8" ht="15.5" x14ac:dyDescent="0.35">
      <c r="A711" s="7">
        <v>710</v>
      </c>
      <c r="B711" s="8">
        <v>13133</v>
      </c>
      <c r="C711" s="31" t="s">
        <v>690</v>
      </c>
      <c r="D711" s="8" t="s">
        <v>1065</v>
      </c>
      <c r="E711" s="7">
        <v>1994</v>
      </c>
      <c r="F711" s="36" t="str" cm="1">
        <f t="array" ref="F711">_xlfn.XLOOKUP(D711&amp;C711, Sheet3!$C$2:$C$1224&amp;Sheet3!$B$2:$B$1224, Sheet3!$D$2:$D$1224, "")</f>
        <v/>
      </c>
      <c r="G711" s="1" t="str" cm="1">
        <f t="array" ref="G711">_xlfn.XLOOKUP(D711&amp;C711, Sheet2!$A$2:$A$558&amp;Sheet2!$B$2:$B$558, Sheet2!$C$2:$C$558, "")</f>
        <v/>
      </c>
      <c r="H711" s="40" t="str">
        <f t="shared" si="11"/>
        <v/>
      </c>
    </row>
    <row r="712" spans="1:8" ht="15.5" x14ac:dyDescent="0.35">
      <c r="A712" s="7">
        <v>711</v>
      </c>
      <c r="B712" s="8">
        <v>15412</v>
      </c>
      <c r="C712" s="31" t="s">
        <v>691</v>
      </c>
      <c r="D712" s="8" t="s">
        <v>1068</v>
      </c>
      <c r="E712" s="7">
        <v>1994</v>
      </c>
      <c r="F712" s="36" t="str" cm="1">
        <f t="array" ref="F712">_xlfn.XLOOKUP(D712&amp;C712, Sheet3!$C$2:$C$1224&amp;Sheet3!$B$2:$B$1224, Sheet3!$D$2:$D$1224, "")</f>
        <v>fismads@gmail.com</v>
      </c>
      <c r="G712" s="1" t="str" cm="1">
        <f t="array" ref="G712">_xlfn.XLOOKUP(D712&amp;C712, Sheet2!$A$2:$A$558&amp;Sheet2!$B$2:$B$558, Sheet2!$C$2:$C$558, "")</f>
        <v/>
      </c>
      <c r="H712" s="40" t="str">
        <f t="shared" si="11"/>
        <v>fismads@gmail.com</v>
      </c>
    </row>
    <row r="713" spans="1:8" ht="15.5" x14ac:dyDescent="0.35">
      <c r="A713" s="7">
        <v>712</v>
      </c>
      <c r="B713" s="8">
        <v>15574</v>
      </c>
      <c r="C713" s="31" t="s">
        <v>692</v>
      </c>
      <c r="D713" s="8" t="s">
        <v>1068</v>
      </c>
      <c r="E713" s="7">
        <v>1994</v>
      </c>
      <c r="F713" s="36" t="str" cm="1">
        <f t="array" ref="F713">_xlfn.XLOOKUP(D713&amp;C713, Sheet3!$C$2:$C$1224&amp;Sheet3!$B$2:$B$1224, Sheet3!$D$2:$D$1224, "")</f>
        <v/>
      </c>
      <c r="G713" s="1" t="str" cm="1">
        <f t="array" ref="G713">_xlfn.XLOOKUP(D713&amp;C713, Sheet2!$A$2:$A$558&amp;Sheet2!$B$2:$B$558, Sheet2!$C$2:$C$558, "")</f>
        <v/>
      </c>
      <c r="H713" s="40" t="str">
        <f t="shared" si="11"/>
        <v/>
      </c>
    </row>
    <row r="714" spans="1:8" ht="15.5" x14ac:dyDescent="0.35">
      <c r="A714" s="7">
        <v>713</v>
      </c>
      <c r="B714" s="8">
        <v>12662</v>
      </c>
      <c r="C714" s="31" t="s">
        <v>693</v>
      </c>
      <c r="D714" s="8" t="s">
        <v>1066</v>
      </c>
      <c r="E714" s="7">
        <v>1994</v>
      </c>
      <c r="F714" s="36" t="str" cm="1">
        <f t="array" ref="F714">_xlfn.XLOOKUP(D714&amp;C714, Sheet3!$C$2:$C$1224&amp;Sheet3!$B$2:$B$1224, Sheet3!$D$2:$D$1224, "")</f>
        <v/>
      </c>
      <c r="G714" s="1" t="str" cm="1">
        <f t="array" ref="G714">_xlfn.XLOOKUP(D714&amp;C714, Sheet2!$A$2:$A$558&amp;Sheet2!$B$2:$B$558, Sheet2!$C$2:$C$558, "")</f>
        <v/>
      </c>
      <c r="H714" s="40" t="str">
        <f t="shared" si="11"/>
        <v/>
      </c>
    </row>
    <row r="715" spans="1:8" ht="15.5" x14ac:dyDescent="0.35">
      <c r="A715" s="7">
        <v>714</v>
      </c>
      <c r="B715" s="8">
        <v>14400</v>
      </c>
      <c r="C715" s="31" t="s">
        <v>694</v>
      </c>
      <c r="D715" s="8" t="s">
        <v>1066</v>
      </c>
      <c r="E715" s="7">
        <v>1994</v>
      </c>
      <c r="F715" s="36" t="str" cm="1">
        <f t="array" ref="F715">_xlfn.XLOOKUP(D715&amp;C715, Sheet3!$C$2:$C$1224&amp;Sheet3!$B$2:$B$1224, Sheet3!$D$2:$D$1224, "")</f>
        <v>fajarudin.ahmad@yahoo.co.id</v>
      </c>
      <c r="G715" s="1" t="str" cm="1">
        <f t="array" ref="G715">_xlfn.XLOOKUP(D715&amp;C715, Sheet2!$A$2:$A$558&amp;Sheet2!$B$2:$B$558, Sheet2!$C$2:$C$558, "")</f>
        <v/>
      </c>
      <c r="H715" s="40" t="str">
        <f t="shared" si="11"/>
        <v>fajarudin.ahmad@yahoo.co.id</v>
      </c>
    </row>
    <row r="716" spans="1:8" ht="15.5" x14ac:dyDescent="0.35">
      <c r="A716" s="7">
        <v>715</v>
      </c>
      <c r="B716" s="8">
        <v>16070</v>
      </c>
      <c r="C716" s="31" t="s">
        <v>695</v>
      </c>
      <c r="D716" s="8">
        <v>1989</v>
      </c>
      <c r="E716" s="7">
        <v>1994</v>
      </c>
      <c r="F716" s="36" t="str" cm="1">
        <f t="array" ref="F716">_xlfn.XLOOKUP(D716&amp;C716, Sheet3!$C$2:$C$1224&amp;Sheet3!$B$2:$B$1224, Sheet3!$D$2:$D$1224, "")</f>
        <v>budioyama@gmail.com</v>
      </c>
      <c r="G716" s="1" t="str" cm="1">
        <f t="array" ref="G716">_xlfn.XLOOKUP(D716&amp;C716, Sheet2!$A$2:$A$558&amp;Sheet2!$B$2:$B$558, Sheet2!$C$2:$C$558, "")</f>
        <v>edwint.tjahjadi@gmail.com</v>
      </c>
      <c r="H716" s="40" t="str">
        <f t="shared" si="11"/>
        <v>budioyama@gmail.com</v>
      </c>
    </row>
    <row r="717" spans="1:8" ht="15.5" x14ac:dyDescent="0.35">
      <c r="A717" s="7">
        <v>716</v>
      </c>
      <c r="B717" s="8">
        <v>15530</v>
      </c>
      <c r="C717" s="31" t="s">
        <v>696</v>
      </c>
      <c r="D717" s="8" t="s">
        <v>1068</v>
      </c>
      <c r="E717" s="7">
        <v>1994</v>
      </c>
      <c r="F717" s="36" t="str" cm="1">
        <f t="array" ref="F717">_xlfn.XLOOKUP(D717&amp;C717, Sheet3!$C$2:$C$1224&amp;Sheet3!$B$2:$B$1224, Sheet3!$D$2:$D$1224, "")</f>
        <v/>
      </c>
      <c r="G717" s="1" t="str" cm="1">
        <f t="array" ref="G717">_xlfn.XLOOKUP(D717&amp;C717, Sheet2!$A$2:$A$558&amp;Sheet2!$B$2:$B$558, Sheet2!$C$2:$C$558, "")</f>
        <v/>
      </c>
      <c r="H717" s="40" t="str">
        <f t="shared" si="11"/>
        <v/>
      </c>
    </row>
    <row r="718" spans="1:8" ht="15.5" x14ac:dyDescent="0.35">
      <c r="A718" s="7">
        <v>717</v>
      </c>
      <c r="B718" s="8">
        <v>16211</v>
      </c>
      <c r="C718" s="31" t="s">
        <v>697</v>
      </c>
      <c r="D718" s="8" t="s">
        <v>1069</v>
      </c>
      <c r="E718" s="7">
        <v>1994</v>
      </c>
      <c r="F718" s="36" t="str" cm="1">
        <f t="array" ref="F718">_xlfn.XLOOKUP(D718&amp;C718, Sheet3!$C$2:$C$1224&amp;Sheet3!$B$2:$B$1224, Sheet3!$D$2:$D$1224, "")</f>
        <v>tensa_n@yahoo.com</v>
      </c>
      <c r="G718" s="1" t="str" cm="1">
        <f t="array" ref="G718">_xlfn.XLOOKUP(D718&amp;C718, Sheet2!$A$2:$A$558&amp;Sheet2!$B$2:$B$558, Sheet2!$C$2:$C$558, "")</f>
        <v>tensa_n@yahoo.com</v>
      </c>
      <c r="H718" s="40" t="str">
        <f t="shared" si="11"/>
        <v>tensa_n@yahoo.com</v>
      </c>
    </row>
    <row r="719" spans="1:8" ht="15.5" x14ac:dyDescent="0.35">
      <c r="A719" s="7">
        <v>718</v>
      </c>
      <c r="B719" s="8">
        <v>16180</v>
      </c>
      <c r="C719" s="31" t="s">
        <v>698</v>
      </c>
      <c r="D719" s="8" t="s">
        <v>1069</v>
      </c>
      <c r="E719" s="7">
        <v>1994</v>
      </c>
      <c r="F719" s="36" t="str" cm="1">
        <f t="array" ref="F719">_xlfn.XLOOKUP(D719&amp;C719, Sheet3!$C$2:$C$1224&amp;Sheet3!$B$2:$B$1224, Sheet3!$D$2:$D$1224, "")</f>
        <v/>
      </c>
      <c r="G719" s="1" t="str" cm="1">
        <f t="array" ref="G719">_xlfn.XLOOKUP(D719&amp;C719, Sheet2!$A$2:$A$558&amp;Sheet2!$B$2:$B$558, Sheet2!$C$2:$C$558, "")</f>
        <v/>
      </c>
      <c r="H719" s="40" t="str">
        <f t="shared" si="11"/>
        <v/>
      </c>
    </row>
    <row r="720" spans="1:8" ht="15.5" x14ac:dyDescent="0.35">
      <c r="A720" s="7">
        <v>719</v>
      </c>
      <c r="B720" s="8">
        <v>16121</v>
      </c>
      <c r="C720" s="31" t="s">
        <v>699</v>
      </c>
      <c r="D720" s="8" t="s">
        <v>1069</v>
      </c>
      <c r="E720" s="7">
        <v>1994</v>
      </c>
      <c r="F720" s="36" t="str" cm="1">
        <f t="array" ref="F720">_xlfn.XLOOKUP(D720&amp;C720, Sheet3!$C$2:$C$1224&amp;Sheet3!$B$2:$B$1224, Sheet3!$D$2:$D$1224, "")</f>
        <v>caris@ugm.ac.id</v>
      </c>
      <c r="G720" s="1" t="str" cm="1">
        <f t="array" ref="G720">_xlfn.XLOOKUP(D720&amp;C720, Sheet2!$A$2:$A$558&amp;Sheet2!$B$2:$B$558, Sheet2!$C$2:$C$558, "")</f>
        <v>caris@ugm.ac.id</v>
      </c>
      <c r="H720" s="40" t="str">
        <f t="shared" si="11"/>
        <v>caris@ugm.ac.id</v>
      </c>
    </row>
    <row r="721" spans="1:8" ht="15.5" x14ac:dyDescent="0.35">
      <c r="A721" s="7">
        <v>720</v>
      </c>
      <c r="B721" s="8">
        <v>14671</v>
      </c>
      <c r="C721" s="31" t="s">
        <v>700</v>
      </c>
      <c r="D721" s="8" t="s">
        <v>1064</v>
      </c>
      <c r="E721" s="7">
        <v>1994</v>
      </c>
      <c r="F721" s="36" t="str" cm="1">
        <f t="array" ref="F721">_xlfn.XLOOKUP(D721&amp;C721, Sheet3!$C$2:$C$1224&amp;Sheet3!$B$2:$B$1224, Sheet3!$D$2:$D$1224, "")</f>
        <v>marotib05@gmail.com</v>
      </c>
      <c r="G721" s="1" t="str" cm="1">
        <f t="array" ref="G721">_xlfn.XLOOKUP(D721&amp;C721, Sheet2!$A$2:$A$558&amp;Sheet2!$B$2:$B$558, Sheet2!$C$2:$C$558, "")</f>
        <v/>
      </c>
      <c r="H721" s="40" t="str">
        <f t="shared" si="11"/>
        <v>marotib05@gmail.com</v>
      </c>
    </row>
    <row r="722" spans="1:8" ht="15.5" x14ac:dyDescent="0.35">
      <c r="A722" s="7">
        <v>721</v>
      </c>
      <c r="B722" s="8">
        <v>14022</v>
      </c>
      <c r="C722" s="31" t="s">
        <v>701</v>
      </c>
      <c r="D722" s="8" t="s">
        <v>1066</v>
      </c>
      <c r="E722" s="7">
        <v>1994</v>
      </c>
      <c r="F722" s="36" t="str" cm="1">
        <f t="array" ref="F722">_xlfn.XLOOKUP(D722&amp;C722, Sheet3!$C$2:$C$1224&amp;Sheet3!$B$2:$B$1224, Sheet3!$D$2:$D$1224, "")</f>
        <v/>
      </c>
      <c r="G722" s="1" t="str" cm="1">
        <f t="array" ref="G722">_xlfn.XLOOKUP(D722&amp;C722, Sheet2!$A$2:$A$558&amp;Sheet2!$B$2:$B$558, Sheet2!$C$2:$C$558, "")</f>
        <v/>
      </c>
      <c r="H722" s="40" t="str">
        <f t="shared" si="11"/>
        <v/>
      </c>
    </row>
    <row r="723" spans="1:8" ht="15.5" x14ac:dyDescent="0.35">
      <c r="A723" s="7">
        <v>722</v>
      </c>
      <c r="B723" s="8">
        <v>15082</v>
      </c>
      <c r="C723" s="31" t="s">
        <v>702</v>
      </c>
      <c r="D723" s="8" t="s">
        <v>1064</v>
      </c>
      <c r="E723" s="7">
        <v>1994</v>
      </c>
      <c r="F723" s="36" t="str" cm="1">
        <f t="array" ref="F723">_xlfn.XLOOKUP(D723&amp;C723, Sheet3!$C$2:$C$1224&amp;Sheet3!$B$2:$B$1224, Sheet3!$D$2:$D$1224, "")</f>
        <v/>
      </c>
      <c r="G723" s="1" t="str" cm="1">
        <f t="array" ref="G723">_xlfn.XLOOKUP(D723&amp;C723, Sheet2!$A$2:$A$558&amp;Sheet2!$B$2:$B$558, Sheet2!$C$2:$C$558, "")</f>
        <v/>
      </c>
      <c r="H723" s="40" t="str">
        <f t="shared" si="11"/>
        <v/>
      </c>
    </row>
    <row r="724" spans="1:8" ht="15.5" x14ac:dyDescent="0.35">
      <c r="A724" s="7">
        <v>723</v>
      </c>
      <c r="B724" s="8">
        <v>15806</v>
      </c>
      <c r="C724" s="31" t="s">
        <v>703</v>
      </c>
      <c r="D724" s="8" t="s">
        <v>1064</v>
      </c>
      <c r="E724" s="7">
        <v>1994</v>
      </c>
      <c r="F724" s="36" t="str" cm="1">
        <f t="array" ref="F724">_xlfn.XLOOKUP(D724&amp;C724, Sheet3!$C$2:$C$1224&amp;Sheet3!$B$2:$B$1224, Sheet3!$D$2:$D$1224, "")</f>
        <v/>
      </c>
      <c r="G724" s="1" t="str" cm="1">
        <f t="array" ref="G724">_xlfn.XLOOKUP(D724&amp;C724, Sheet2!$A$2:$A$558&amp;Sheet2!$B$2:$B$558, Sheet2!$C$2:$C$558, "")</f>
        <v/>
      </c>
      <c r="H724" s="40" t="str">
        <f t="shared" si="11"/>
        <v/>
      </c>
    </row>
    <row r="725" spans="1:8" ht="15.5" x14ac:dyDescent="0.35">
      <c r="A725" s="7">
        <v>724</v>
      </c>
      <c r="B725" s="8">
        <v>14445</v>
      </c>
      <c r="C725" s="31" t="s">
        <v>704</v>
      </c>
      <c r="D725" s="8" t="s">
        <v>1066</v>
      </c>
      <c r="E725" s="7">
        <v>1994</v>
      </c>
      <c r="F725" s="36" t="str" cm="1">
        <f t="array" ref="F725">_xlfn.XLOOKUP(D725&amp;C725, Sheet3!$C$2:$C$1224&amp;Sheet3!$B$2:$B$1224, Sheet3!$D$2:$D$1224, "")</f>
        <v/>
      </c>
      <c r="G725" s="1" t="str" cm="1">
        <f t="array" ref="G725">_xlfn.XLOOKUP(D725&amp;C725, Sheet2!$A$2:$A$558&amp;Sheet2!$B$2:$B$558, Sheet2!$C$2:$C$558, "")</f>
        <v/>
      </c>
      <c r="H725" s="40" t="str">
        <f t="shared" si="11"/>
        <v/>
      </c>
    </row>
    <row r="726" spans="1:8" ht="15.5" x14ac:dyDescent="0.35">
      <c r="A726" s="7">
        <v>725</v>
      </c>
      <c r="B726" s="8">
        <v>15460</v>
      </c>
      <c r="C726" s="31" t="s">
        <v>705</v>
      </c>
      <c r="D726" s="8" t="s">
        <v>1068</v>
      </c>
      <c r="E726" s="7">
        <v>1994</v>
      </c>
      <c r="F726" s="36" t="str" cm="1">
        <f t="array" ref="F726">_xlfn.XLOOKUP(D726&amp;C726, Sheet3!$C$2:$C$1224&amp;Sheet3!$B$2:$B$1224, Sheet3!$D$2:$D$1224, "")</f>
        <v>elya.margaretha@gmail.com</v>
      </c>
      <c r="G726" s="1" t="str" cm="1">
        <f t="array" ref="G726">_xlfn.XLOOKUP(D726&amp;C726, Sheet2!$A$2:$A$558&amp;Sheet2!$B$2:$B$558, Sheet2!$C$2:$C$558, "")</f>
        <v/>
      </c>
      <c r="H726" s="40" t="str">
        <f t="shared" si="11"/>
        <v>elya.margaretha@gmail.com</v>
      </c>
    </row>
    <row r="727" spans="1:8" ht="15.5" x14ac:dyDescent="0.35">
      <c r="A727" s="7">
        <v>726</v>
      </c>
      <c r="B727" s="8">
        <v>15083</v>
      </c>
      <c r="C727" s="31" t="s">
        <v>706</v>
      </c>
      <c r="D727" s="8" t="s">
        <v>1064</v>
      </c>
      <c r="E727" s="7">
        <v>1994</v>
      </c>
      <c r="F727" s="36" t="str" cm="1">
        <f t="array" ref="F727">_xlfn.XLOOKUP(D727&amp;C727, Sheet3!$C$2:$C$1224&amp;Sheet3!$B$2:$B$1224, Sheet3!$D$2:$D$1224, "")</f>
        <v/>
      </c>
      <c r="G727" s="1" t="str" cm="1">
        <f t="array" ref="G727">_xlfn.XLOOKUP(D727&amp;C727, Sheet2!$A$2:$A$558&amp;Sheet2!$B$2:$B$558, Sheet2!$C$2:$C$558, "")</f>
        <v/>
      </c>
      <c r="H727" s="40" t="str">
        <f t="shared" si="11"/>
        <v/>
      </c>
    </row>
    <row r="728" spans="1:8" ht="15.5" x14ac:dyDescent="0.35">
      <c r="A728" s="7">
        <v>727</v>
      </c>
      <c r="B728" s="8">
        <v>13118</v>
      </c>
      <c r="C728" s="31" t="s">
        <v>707</v>
      </c>
      <c r="D728" s="8" t="s">
        <v>1065</v>
      </c>
      <c r="E728" s="7">
        <v>1994</v>
      </c>
      <c r="F728" s="36" t="str" cm="1">
        <f t="array" ref="F728">_xlfn.XLOOKUP(D728&amp;C728, Sheet3!$C$2:$C$1224&amp;Sheet3!$B$2:$B$1224, Sheet3!$D$2:$D$1224, "")</f>
        <v/>
      </c>
      <c r="G728" s="1" t="str" cm="1">
        <f t="array" ref="G728">_xlfn.XLOOKUP(D728&amp;C728, Sheet2!$A$2:$A$558&amp;Sheet2!$B$2:$B$558, Sheet2!$C$2:$C$558, "")</f>
        <v/>
      </c>
      <c r="H728" s="40" t="str">
        <f t="shared" si="11"/>
        <v/>
      </c>
    </row>
    <row r="729" spans="1:8" ht="15.5" x14ac:dyDescent="0.35">
      <c r="A729" s="7">
        <v>728</v>
      </c>
      <c r="B729" s="8">
        <v>14712</v>
      </c>
      <c r="C729" s="31" t="s">
        <v>708</v>
      </c>
      <c r="D729" s="8" t="s">
        <v>1064</v>
      </c>
      <c r="E729" s="7">
        <v>1994</v>
      </c>
      <c r="F729" s="36" t="str" cm="1">
        <f t="array" ref="F729">_xlfn.XLOOKUP(D729&amp;C729, Sheet3!$C$2:$C$1224&amp;Sheet3!$B$2:$B$1224, Sheet3!$D$2:$D$1224, "")</f>
        <v/>
      </c>
      <c r="G729" s="1" t="str" cm="1">
        <f t="array" ref="G729">_xlfn.XLOOKUP(D729&amp;C729, Sheet2!$A$2:$A$558&amp;Sheet2!$B$2:$B$558, Sheet2!$C$2:$C$558, "")</f>
        <v/>
      </c>
      <c r="H729" s="40" t="str">
        <f t="shared" si="11"/>
        <v/>
      </c>
    </row>
    <row r="730" spans="1:8" ht="15.5" x14ac:dyDescent="0.35">
      <c r="A730" s="7">
        <v>729</v>
      </c>
      <c r="B730" s="8">
        <v>15084</v>
      </c>
      <c r="C730" s="31" t="s">
        <v>709</v>
      </c>
      <c r="D730" s="8" t="s">
        <v>1064</v>
      </c>
      <c r="E730" s="7">
        <v>1994</v>
      </c>
      <c r="F730" s="36" t="str" cm="1">
        <f t="array" ref="F730">_xlfn.XLOOKUP(D730&amp;C730, Sheet3!$C$2:$C$1224&amp;Sheet3!$B$2:$B$1224, Sheet3!$D$2:$D$1224, "")</f>
        <v>ali.ridlo.ar@gmail.com</v>
      </c>
      <c r="G730" s="1" t="str" cm="1">
        <f t="array" ref="G730">_xlfn.XLOOKUP(D730&amp;C730, Sheet2!$A$2:$A$558&amp;Sheet2!$B$2:$B$558, Sheet2!$C$2:$C$558, "")</f>
        <v/>
      </c>
      <c r="H730" s="40" t="str">
        <f t="shared" si="11"/>
        <v>ali.ridlo.ar@gmail.com</v>
      </c>
    </row>
    <row r="731" spans="1:8" ht="15.5" x14ac:dyDescent="0.35">
      <c r="A731" s="7">
        <v>730</v>
      </c>
      <c r="B731" s="8">
        <v>14388</v>
      </c>
      <c r="C731" s="31" t="s">
        <v>710</v>
      </c>
      <c r="D731" s="8" t="s">
        <v>1066</v>
      </c>
      <c r="E731" s="7">
        <v>1994</v>
      </c>
      <c r="F731" s="36" t="str" cm="1">
        <f t="array" ref="F731">_xlfn.XLOOKUP(D731&amp;C731, Sheet3!$C$2:$C$1224&amp;Sheet3!$B$2:$B$1224, Sheet3!$D$2:$D$1224, "")</f>
        <v/>
      </c>
      <c r="G731" s="1" t="str" cm="1">
        <f t="array" ref="G731">_xlfn.XLOOKUP(D731&amp;C731, Sheet2!$A$2:$A$558&amp;Sheet2!$B$2:$B$558, Sheet2!$C$2:$C$558, "")</f>
        <v/>
      </c>
      <c r="H731" s="40" t="str">
        <f t="shared" si="11"/>
        <v/>
      </c>
    </row>
    <row r="732" spans="1:8" ht="15.5" x14ac:dyDescent="0.35">
      <c r="A732" s="7">
        <v>731</v>
      </c>
      <c r="B732" s="8">
        <v>14531</v>
      </c>
      <c r="C732" s="31" t="s">
        <v>509</v>
      </c>
      <c r="D732" s="8" t="s">
        <v>1066</v>
      </c>
      <c r="E732" s="7">
        <v>1994</v>
      </c>
      <c r="F732" s="36" t="str" cm="1">
        <f t="array" ref="F732">_xlfn.XLOOKUP(D732&amp;C732, Sheet3!$C$2:$C$1224&amp;Sheet3!$B$2:$B$1224, Sheet3!$D$2:$D$1224, "")</f>
        <v/>
      </c>
      <c r="G732" s="1" t="str" cm="1">
        <f t="array" ref="G732">_xlfn.XLOOKUP(D732&amp;C732, Sheet2!$A$2:$A$558&amp;Sheet2!$B$2:$B$558, Sheet2!$C$2:$C$558, "")</f>
        <v/>
      </c>
      <c r="H732" s="40" t="str">
        <f t="shared" si="11"/>
        <v/>
      </c>
    </row>
    <row r="733" spans="1:8" ht="15.5" x14ac:dyDescent="0.35">
      <c r="A733" s="7">
        <v>732</v>
      </c>
      <c r="B733" s="8">
        <v>13469</v>
      </c>
      <c r="C733" s="31" t="s">
        <v>711</v>
      </c>
      <c r="D733" s="8" t="s">
        <v>1067</v>
      </c>
      <c r="E733" s="7">
        <v>1994</v>
      </c>
      <c r="F733" s="36" t="str" cm="1">
        <f t="array" ref="F733">_xlfn.XLOOKUP(D733&amp;C733, Sheet3!$C$2:$C$1224&amp;Sheet3!$B$2:$B$1224, Sheet3!$D$2:$D$1224, "")</f>
        <v/>
      </c>
      <c r="G733" s="1" t="str" cm="1">
        <f t="array" ref="G733">_xlfn.XLOOKUP(D733&amp;C733, Sheet2!$A$2:$A$558&amp;Sheet2!$B$2:$B$558, Sheet2!$C$2:$C$558, "")</f>
        <v/>
      </c>
      <c r="H733" s="40" t="str">
        <f t="shared" si="11"/>
        <v/>
      </c>
    </row>
    <row r="734" spans="1:8" ht="15.5" x14ac:dyDescent="0.35">
      <c r="A734" s="7">
        <v>733</v>
      </c>
      <c r="B734" s="8">
        <v>16033</v>
      </c>
      <c r="C734" s="31" t="s">
        <v>712</v>
      </c>
      <c r="D734" s="8" t="s">
        <v>1069</v>
      </c>
      <c r="E734" s="7">
        <v>1994</v>
      </c>
      <c r="F734" s="36" t="str" cm="1">
        <f t="array" ref="F734">_xlfn.XLOOKUP(D734&amp;C734, Sheet3!$C$2:$C$1224&amp;Sheet3!$B$2:$B$1224, Sheet3!$D$2:$D$1224, "")</f>
        <v/>
      </c>
      <c r="G734" s="1" t="str" cm="1">
        <f t="array" ref="G734">_xlfn.XLOOKUP(D734&amp;C734, Sheet2!$A$2:$A$558&amp;Sheet2!$B$2:$B$558, Sheet2!$C$2:$C$558, "")</f>
        <v/>
      </c>
      <c r="H734" s="40" t="str">
        <f t="shared" si="11"/>
        <v/>
      </c>
    </row>
    <row r="735" spans="1:8" ht="15.5" x14ac:dyDescent="0.35">
      <c r="A735" s="7">
        <v>734</v>
      </c>
      <c r="B735" s="8">
        <v>16266</v>
      </c>
      <c r="C735" s="31" t="s">
        <v>713</v>
      </c>
      <c r="D735" s="8" t="s">
        <v>1069</v>
      </c>
      <c r="E735" s="7">
        <v>1994</v>
      </c>
      <c r="F735" s="36" t="str" cm="1">
        <f t="array" ref="F735">_xlfn.XLOOKUP(D735&amp;C735, Sheet3!$C$2:$C$1224&amp;Sheet3!$B$2:$B$1224, Sheet3!$D$2:$D$1224, "")</f>
        <v/>
      </c>
      <c r="G735" s="1" t="str" cm="1">
        <f t="array" ref="G735">_xlfn.XLOOKUP(D735&amp;C735, Sheet2!$A$2:$A$558&amp;Sheet2!$B$2:$B$558, Sheet2!$C$2:$C$558, "")</f>
        <v/>
      </c>
      <c r="H735" s="40" t="str">
        <f t="shared" si="11"/>
        <v/>
      </c>
    </row>
    <row r="736" spans="1:8" ht="15.5" x14ac:dyDescent="0.35">
      <c r="A736" s="7">
        <v>735</v>
      </c>
      <c r="B736" s="8">
        <v>13463</v>
      </c>
      <c r="C736" s="31" t="s">
        <v>714</v>
      </c>
      <c r="D736" s="8" t="s">
        <v>1067</v>
      </c>
      <c r="E736" s="7">
        <v>1994</v>
      </c>
      <c r="F736" s="36" t="str" cm="1">
        <f t="array" ref="F736">_xlfn.XLOOKUP(D736&amp;C736, Sheet3!$C$2:$C$1224&amp;Sheet3!$B$2:$B$1224, Sheet3!$D$2:$D$1224, "")</f>
        <v>prihantono04@gmail.com</v>
      </c>
      <c r="G736" s="1" t="str" cm="1">
        <f t="array" ref="G736">_xlfn.XLOOKUP(D736&amp;C736, Sheet2!$A$2:$A$558&amp;Sheet2!$B$2:$B$558, Sheet2!$C$2:$C$558, "")</f>
        <v/>
      </c>
      <c r="H736" s="40" t="str">
        <f t="shared" si="11"/>
        <v>prihantono04@gmail.com</v>
      </c>
    </row>
    <row r="737" spans="1:8" ht="15.5" x14ac:dyDescent="0.35">
      <c r="A737" s="7">
        <v>736</v>
      </c>
      <c r="B737" s="8">
        <v>13659</v>
      </c>
      <c r="C737" s="31" t="s">
        <v>715</v>
      </c>
      <c r="D737" s="8" t="s">
        <v>1067</v>
      </c>
      <c r="E737" s="7">
        <v>1994</v>
      </c>
      <c r="F737" s="36" t="str" cm="1">
        <f t="array" ref="F737">_xlfn.XLOOKUP(D737&amp;C737, Sheet3!$C$2:$C$1224&amp;Sheet3!$B$2:$B$1224, Sheet3!$D$2:$D$1224, "")</f>
        <v/>
      </c>
      <c r="G737" s="1" t="str" cm="1">
        <f t="array" ref="G737">_xlfn.XLOOKUP(D737&amp;C737, Sheet2!$A$2:$A$558&amp;Sheet2!$B$2:$B$558, Sheet2!$C$2:$C$558, "")</f>
        <v/>
      </c>
      <c r="H737" s="40" t="str">
        <f t="shared" si="11"/>
        <v/>
      </c>
    </row>
    <row r="738" spans="1:8" ht="15.5" x14ac:dyDescent="0.35">
      <c r="A738" s="7">
        <v>737</v>
      </c>
      <c r="B738" s="8">
        <v>14678</v>
      </c>
      <c r="C738" s="31" t="s">
        <v>716</v>
      </c>
      <c r="D738" s="8" t="s">
        <v>1064</v>
      </c>
      <c r="E738" s="7">
        <v>1994</v>
      </c>
      <c r="F738" s="36" t="str" cm="1">
        <f t="array" ref="F738">_xlfn.XLOOKUP(D738&amp;C738, Sheet3!$C$2:$C$1224&amp;Sheet3!$B$2:$B$1224, Sheet3!$D$2:$D$1224, "")</f>
        <v/>
      </c>
      <c r="G738" s="1" t="str" cm="1">
        <f t="array" ref="G738">_xlfn.XLOOKUP(D738&amp;C738, Sheet2!$A$2:$A$558&amp;Sheet2!$B$2:$B$558, Sheet2!$C$2:$C$558, "")</f>
        <v/>
      </c>
      <c r="H738" s="40" t="str">
        <f t="shared" si="11"/>
        <v/>
      </c>
    </row>
    <row r="739" spans="1:8" ht="15.5" x14ac:dyDescent="0.35">
      <c r="A739" s="7">
        <v>738</v>
      </c>
      <c r="B739" s="8">
        <v>16117</v>
      </c>
      <c r="C739" s="31" t="s">
        <v>717</v>
      </c>
      <c r="D739" s="8" t="s">
        <v>1069</v>
      </c>
      <c r="E739" s="7">
        <v>1994</v>
      </c>
      <c r="F739" s="36" t="str" cm="1">
        <f t="array" ref="F739">_xlfn.XLOOKUP(D739&amp;C739, Sheet3!$C$2:$C$1224&amp;Sheet3!$B$2:$B$1224, Sheet3!$D$2:$D$1224, "")</f>
        <v>1sigit.widodo@gmail.com</v>
      </c>
      <c r="G739" s="1" t="str" cm="1">
        <f t="array" ref="G739">_xlfn.XLOOKUP(D739&amp;C739, Sheet2!$A$2:$A$558&amp;Sheet2!$B$2:$B$558, Sheet2!$C$2:$C$558, "")</f>
        <v>1sigit.widodo@gmail.com</v>
      </c>
      <c r="H739" s="40" t="str">
        <f t="shared" si="11"/>
        <v>1sigit.widodo@gmail.com</v>
      </c>
    </row>
    <row r="740" spans="1:8" ht="15.5" x14ac:dyDescent="0.35">
      <c r="A740" s="7">
        <v>739</v>
      </c>
      <c r="B740" s="8">
        <v>13647</v>
      </c>
      <c r="C740" s="31" t="s">
        <v>718</v>
      </c>
      <c r="D740" s="8" t="s">
        <v>1067</v>
      </c>
      <c r="E740" s="7">
        <v>1994</v>
      </c>
      <c r="F740" s="36" t="str" cm="1">
        <f t="array" ref="F740">_xlfn.XLOOKUP(D740&amp;C740, Sheet3!$C$2:$C$1224&amp;Sheet3!$B$2:$B$1224, Sheet3!$D$2:$D$1224, "")</f>
        <v/>
      </c>
      <c r="G740" s="1" t="str" cm="1">
        <f t="array" ref="G740">_xlfn.XLOOKUP(D740&amp;C740, Sheet2!$A$2:$A$558&amp;Sheet2!$B$2:$B$558, Sheet2!$C$2:$C$558, "")</f>
        <v/>
      </c>
      <c r="H740" s="40" t="str">
        <f t="shared" si="11"/>
        <v/>
      </c>
    </row>
    <row r="741" spans="1:8" ht="15.5" x14ac:dyDescent="0.35">
      <c r="A741" s="7">
        <v>740</v>
      </c>
      <c r="B741" s="8">
        <v>12634</v>
      </c>
      <c r="C741" s="31" t="s">
        <v>719</v>
      </c>
      <c r="D741" s="8" t="s">
        <v>1063</v>
      </c>
      <c r="E741" s="7">
        <v>1995</v>
      </c>
      <c r="F741" s="36" t="str" cm="1">
        <f t="array" ref="F741">_xlfn.XLOOKUP(D741&amp;C741, Sheet3!$C$2:$C$1224&amp;Sheet3!$B$2:$B$1224, Sheet3!$D$2:$D$1224, "")</f>
        <v/>
      </c>
      <c r="G741" s="1" t="str" cm="1">
        <f t="array" ref="G741">_xlfn.XLOOKUP(D741&amp;C741, Sheet2!$A$2:$A$558&amp;Sheet2!$B$2:$B$558, Sheet2!$C$2:$C$558, "")</f>
        <v/>
      </c>
      <c r="H741" s="40" t="str">
        <f t="shared" si="11"/>
        <v/>
      </c>
    </row>
    <row r="742" spans="1:8" ht="15.5" x14ac:dyDescent="0.35">
      <c r="A742" s="7">
        <v>741</v>
      </c>
      <c r="B742" s="8">
        <v>15097</v>
      </c>
      <c r="C742" s="31" t="s">
        <v>720</v>
      </c>
      <c r="D742" s="8" t="s">
        <v>1064</v>
      </c>
      <c r="E742" s="7">
        <v>1995</v>
      </c>
      <c r="F742" s="36" t="str" cm="1">
        <f t="array" ref="F742">_xlfn.XLOOKUP(D742&amp;C742, Sheet3!$C$2:$C$1224&amp;Sheet3!$B$2:$B$1224, Sheet3!$D$2:$D$1224, "")</f>
        <v/>
      </c>
      <c r="G742" s="1" t="str" cm="1">
        <f t="array" ref="G742">_xlfn.XLOOKUP(D742&amp;C742, Sheet2!$A$2:$A$558&amp;Sheet2!$B$2:$B$558, Sheet2!$C$2:$C$558, "")</f>
        <v/>
      </c>
      <c r="H742" s="40" t="str">
        <f t="shared" si="11"/>
        <v/>
      </c>
    </row>
    <row r="743" spans="1:8" ht="15.5" x14ac:dyDescent="0.35">
      <c r="A743" s="7">
        <v>742</v>
      </c>
      <c r="B743" s="8">
        <v>12630</v>
      </c>
      <c r="C743" s="31" t="s">
        <v>721</v>
      </c>
      <c r="D743" s="8" t="s">
        <v>1063</v>
      </c>
      <c r="E743" s="7">
        <v>1995</v>
      </c>
      <c r="F743" s="36" t="str" cm="1">
        <f t="array" ref="F743">_xlfn.XLOOKUP(D743&amp;C743, Sheet3!$C$2:$C$1224&amp;Sheet3!$B$2:$B$1224, Sheet3!$D$2:$D$1224, "")</f>
        <v/>
      </c>
      <c r="G743" s="1" t="str" cm="1">
        <f t="array" ref="G743">_xlfn.XLOOKUP(D743&amp;C743, Sheet2!$A$2:$A$558&amp;Sheet2!$B$2:$B$558, Sheet2!$C$2:$C$558, "")</f>
        <v/>
      </c>
      <c r="H743" s="40" t="str">
        <f t="shared" si="11"/>
        <v/>
      </c>
    </row>
    <row r="744" spans="1:8" ht="15.5" x14ac:dyDescent="0.35">
      <c r="A744" s="7">
        <v>743</v>
      </c>
      <c r="B744" s="8">
        <v>16175</v>
      </c>
      <c r="C744" s="31" t="s">
        <v>722</v>
      </c>
      <c r="D744" s="8" t="s">
        <v>1069</v>
      </c>
      <c r="E744" s="7">
        <v>1995</v>
      </c>
      <c r="F744" s="36" t="str" cm="1">
        <f t="array" ref="F744">_xlfn.XLOOKUP(D744&amp;C744, Sheet3!$C$2:$C$1224&amp;Sheet3!$B$2:$B$1224, Sheet3!$D$2:$D$1224, "")</f>
        <v>Zaidanhimawan@gmail.com</v>
      </c>
      <c r="G744" s="1" t="str" cm="1">
        <f t="array" ref="G744">_xlfn.XLOOKUP(D744&amp;C744, Sheet2!$A$2:$A$558&amp;Sheet2!$B$2:$B$558, Sheet2!$C$2:$C$558, "")</f>
        <v>mumtaz.himawan@gmail.com</v>
      </c>
      <c r="H744" s="40" t="str">
        <f t="shared" si="11"/>
        <v>Zaidanhimawan@gmail.com</v>
      </c>
    </row>
    <row r="745" spans="1:8" ht="15.5" x14ac:dyDescent="0.35">
      <c r="A745" s="7">
        <v>744</v>
      </c>
      <c r="B745" s="8">
        <v>14682</v>
      </c>
      <c r="C745" s="31" t="s">
        <v>723</v>
      </c>
      <c r="D745" s="8" t="s">
        <v>1064</v>
      </c>
      <c r="E745" s="7">
        <v>1995</v>
      </c>
      <c r="F745" s="36" t="str" cm="1">
        <f t="array" ref="F745">_xlfn.XLOOKUP(D745&amp;C745, Sheet3!$C$2:$C$1224&amp;Sheet3!$B$2:$B$1224, Sheet3!$D$2:$D$1224, "")</f>
        <v/>
      </c>
      <c r="G745" s="1" t="str" cm="1">
        <f t="array" ref="G745">_xlfn.XLOOKUP(D745&amp;C745, Sheet2!$A$2:$A$558&amp;Sheet2!$B$2:$B$558, Sheet2!$C$2:$C$558, "")</f>
        <v/>
      </c>
      <c r="H745" s="40" t="str">
        <f t="shared" si="11"/>
        <v/>
      </c>
    </row>
    <row r="746" spans="1:8" ht="15.5" x14ac:dyDescent="0.35">
      <c r="A746" s="7">
        <v>745</v>
      </c>
      <c r="B746" s="8">
        <v>15410</v>
      </c>
      <c r="C746" s="31" t="s">
        <v>724</v>
      </c>
      <c r="D746" s="8" t="s">
        <v>1068</v>
      </c>
      <c r="E746" s="7">
        <v>1995</v>
      </c>
      <c r="F746" s="36" t="str" cm="1">
        <f t="array" ref="F746">_xlfn.XLOOKUP(D746&amp;C746, Sheet3!$C$2:$C$1224&amp;Sheet3!$B$2:$B$1224, Sheet3!$D$2:$D$1224, "")</f>
        <v>nurdin237@gmail.com</v>
      </c>
      <c r="G746" s="1" t="str" cm="1">
        <f t="array" ref="G746">_xlfn.XLOOKUP(D746&amp;C746, Sheet2!$A$2:$A$558&amp;Sheet2!$B$2:$B$558, Sheet2!$C$2:$C$558, "")</f>
        <v>nurdin237@gmail.com</v>
      </c>
      <c r="H746" s="40" t="str">
        <f t="shared" si="11"/>
        <v>nurdin237@gmail.com</v>
      </c>
    </row>
    <row r="747" spans="1:8" ht="15.5" x14ac:dyDescent="0.35">
      <c r="A747" s="7">
        <v>746</v>
      </c>
      <c r="B747" s="8">
        <v>16154</v>
      </c>
      <c r="C747" s="31" t="s">
        <v>725</v>
      </c>
      <c r="D747" s="8" t="s">
        <v>1069</v>
      </c>
      <c r="E747" s="7">
        <v>1995</v>
      </c>
      <c r="F747" s="36" t="str" cm="1">
        <f t="array" ref="F747">_xlfn.XLOOKUP(D747&amp;C747, Sheet3!$C$2:$C$1224&amp;Sheet3!$B$2:$B$1224, Sheet3!$D$2:$D$1224, "")</f>
        <v/>
      </c>
      <c r="G747" s="1" t="str" cm="1">
        <f t="array" ref="G747">_xlfn.XLOOKUP(D747&amp;C747, Sheet2!$A$2:$A$558&amp;Sheet2!$B$2:$B$558, Sheet2!$C$2:$C$558, "")</f>
        <v/>
      </c>
      <c r="H747" s="40" t="str">
        <f t="shared" si="11"/>
        <v/>
      </c>
    </row>
    <row r="748" spans="1:8" ht="15.5" x14ac:dyDescent="0.35">
      <c r="A748" s="7">
        <v>747</v>
      </c>
      <c r="B748" s="8">
        <v>11795</v>
      </c>
      <c r="C748" s="31" t="s">
        <v>726</v>
      </c>
      <c r="D748" s="8" t="s">
        <v>1061</v>
      </c>
      <c r="E748" s="7">
        <v>1995</v>
      </c>
      <c r="F748" s="36" t="str" cm="1">
        <f t="array" ref="F748">_xlfn.XLOOKUP(D748&amp;C748, Sheet3!$C$2:$C$1224&amp;Sheet3!$B$2:$B$1224, Sheet3!$D$2:$D$1224, "")</f>
        <v/>
      </c>
      <c r="G748" s="1" t="str" cm="1">
        <f t="array" ref="G748">_xlfn.XLOOKUP(D748&amp;C748, Sheet2!$A$2:$A$558&amp;Sheet2!$B$2:$B$558, Sheet2!$C$2:$C$558, "")</f>
        <v/>
      </c>
      <c r="H748" s="40" t="str">
        <f t="shared" si="11"/>
        <v/>
      </c>
    </row>
    <row r="749" spans="1:8" ht="15.5" x14ac:dyDescent="0.35">
      <c r="A749" s="7">
        <v>748</v>
      </c>
      <c r="B749" s="8">
        <v>13990</v>
      </c>
      <c r="C749" s="31" t="s">
        <v>727</v>
      </c>
      <c r="D749" s="8" t="s">
        <v>1066</v>
      </c>
      <c r="E749" s="7">
        <v>1995</v>
      </c>
      <c r="F749" s="36" t="str" cm="1">
        <f t="array" ref="F749">_xlfn.XLOOKUP(D749&amp;C749, Sheet3!$C$2:$C$1224&amp;Sheet3!$B$2:$B$1224, Sheet3!$D$2:$D$1224, "")</f>
        <v/>
      </c>
      <c r="G749" s="1" t="str" cm="1">
        <f t="array" ref="G749">_xlfn.XLOOKUP(D749&amp;C749, Sheet2!$A$2:$A$558&amp;Sheet2!$B$2:$B$558, Sheet2!$C$2:$C$558, "")</f>
        <v>widiyanto.sw@gmail.com</v>
      </c>
      <c r="H749" s="40" t="str">
        <f t="shared" si="11"/>
        <v>widiyanto.sw@gmail.com</v>
      </c>
    </row>
    <row r="750" spans="1:8" ht="15.5" x14ac:dyDescent="0.35">
      <c r="A750" s="7">
        <v>749</v>
      </c>
      <c r="B750" s="8">
        <v>14453</v>
      </c>
      <c r="C750" s="31" t="s">
        <v>728</v>
      </c>
      <c r="D750" s="8" t="s">
        <v>1066</v>
      </c>
      <c r="E750" s="7">
        <v>1995</v>
      </c>
      <c r="F750" s="36" t="str" cm="1">
        <f t="array" ref="F750">_xlfn.XLOOKUP(D750&amp;C750, Sheet3!$C$2:$C$1224&amp;Sheet3!$B$2:$B$1224, Sheet3!$D$2:$D$1224, "")</f>
        <v/>
      </c>
      <c r="G750" s="1" t="str" cm="1">
        <f t="array" ref="G750">_xlfn.XLOOKUP(D750&amp;C750, Sheet2!$A$2:$A$558&amp;Sheet2!$B$2:$B$558, Sheet2!$C$2:$C$558, "")</f>
        <v/>
      </c>
      <c r="H750" s="40" t="str">
        <f t="shared" si="11"/>
        <v/>
      </c>
    </row>
    <row r="751" spans="1:8" ht="15.5" x14ac:dyDescent="0.35">
      <c r="A751" s="7">
        <v>750</v>
      </c>
      <c r="B751" s="8">
        <v>16168</v>
      </c>
      <c r="C751" s="31" t="s">
        <v>729</v>
      </c>
      <c r="D751" s="8" t="s">
        <v>1069</v>
      </c>
      <c r="E751" s="7">
        <v>1995</v>
      </c>
      <c r="F751" s="36" t="str" cm="1">
        <f t="array" ref="F751">_xlfn.XLOOKUP(D751&amp;C751, Sheet3!$C$2:$C$1224&amp;Sheet3!$B$2:$B$1224, Sheet3!$D$2:$D$1224, "")</f>
        <v/>
      </c>
      <c r="G751" s="1" t="str" cm="1">
        <f t="array" ref="G751">_xlfn.XLOOKUP(D751&amp;C751, Sheet2!$A$2:$A$558&amp;Sheet2!$B$2:$B$558, Sheet2!$C$2:$C$558, "")</f>
        <v>ratnasarahwati69@gmail.com</v>
      </c>
      <c r="H751" s="40" t="str">
        <f t="shared" si="11"/>
        <v>ratnasarahwati69@gmail.com</v>
      </c>
    </row>
    <row r="752" spans="1:8" ht="15.5" x14ac:dyDescent="0.35">
      <c r="A752" s="7">
        <v>751</v>
      </c>
      <c r="B752" s="8">
        <v>13184</v>
      </c>
      <c r="C752" s="31" t="s">
        <v>730</v>
      </c>
      <c r="D752" s="8" t="s">
        <v>1065</v>
      </c>
      <c r="E752" s="7">
        <v>1995</v>
      </c>
      <c r="F752" s="36" t="str" cm="1">
        <f t="array" ref="F752">_xlfn.XLOOKUP(D752&amp;C752, Sheet3!$C$2:$C$1224&amp;Sheet3!$B$2:$B$1224, Sheet3!$D$2:$D$1224, "")</f>
        <v>harysudiarto88@gmail.com</v>
      </c>
      <c r="G752" s="1" t="str" cm="1">
        <f t="array" ref="G752">_xlfn.XLOOKUP(D752&amp;C752, Sheet2!$A$2:$A$558&amp;Sheet2!$B$2:$B$558, Sheet2!$C$2:$C$558, "")</f>
        <v/>
      </c>
      <c r="H752" s="40" t="str">
        <f t="shared" si="11"/>
        <v>harysudiarto88@gmail.com</v>
      </c>
    </row>
    <row r="753" spans="1:8" ht="15.5" x14ac:dyDescent="0.35">
      <c r="A753" s="7">
        <v>752</v>
      </c>
      <c r="B753" s="8">
        <v>15095</v>
      </c>
      <c r="C753" s="31" t="s">
        <v>731</v>
      </c>
      <c r="D753" s="8" t="s">
        <v>1064</v>
      </c>
      <c r="E753" s="7">
        <v>1995</v>
      </c>
      <c r="F753" s="36" t="str" cm="1">
        <f t="array" ref="F753">_xlfn.XLOOKUP(D753&amp;C753, Sheet3!$C$2:$C$1224&amp;Sheet3!$B$2:$B$1224, Sheet3!$D$2:$D$1224, "")</f>
        <v/>
      </c>
      <c r="G753" s="1" t="str" cm="1">
        <f t="array" ref="G753">_xlfn.XLOOKUP(D753&amp;C753, Sheet2!$A$2:$A$558&amp;Sheet2!$B$2:$B$558, Sheet2!$C$2:$C$558, "")</f>
        <v/>
      </c>
      <c r="H753" s="40" t="str">
        <f t="shared" si="11"/>
        <v/>
      </c>
    </row>
    <row r="754" spans="1:8" ht="15.5" x14ac:dyDescent="0.35">
      <c r="A754" s="7">
        <v>753</v>
      </c>
      <c r="B754" s="8">
        <v>16917</v>
      </c>
      <c r="C754" s="31" t="s">
        <v>732</v>
      </c>
      <c r="D754" s="8" t="s">
        <v>1070</v>
      </c>
      <c r="E754" s="7">
        <v>1995</v>
      </c>
      <c r="F754" s="36" t="str" cm="1">
        <f t="array" ref="F754">_xlfn.XLOOKUP(D754&amp;C754, Sheet3!$C$2:$C$1224&amp;Sheet3!$B$2:$B$1224, Sheet3!$D$2:$D$1224, "")</f>
        <v>4prijanto@gmail.com</v>
      </c>
      <c r="G754" s="1" t="str" cm="1">
        <f t="array" ref="G754">_xlfn.XLOOKUP(D754&amp;C754, Sheet2!$A$2:$A$558&amp;Sheet2!$B$2:$B$558, Sheet2!$C$2:$C$558, "")</f>
        <v/>
      </c>
      <c r="H754" s="40" t="str">
        <f t="shared" si="11"/>
        <v>4prijanto@gmail.com</v>
      </c>
    </row>
    <row r="755" spans="1:8" ht="15.5" x14ac:dyDescent="0.35">
      <c r="A755" s="7">
        <v>754</v>
      </c>
      <c r="B755" s="8">
        <v>16565</v>
      </c>
      <c r="C755" s="31" t="s">
        <v>733</v>
      </c>
      <c r="D755" s="8" t="s">
        <v>1070</v>
      </c>
      <c r="E755" s="7">
        <v>1995</v>
      </c>
      <c r="F755" s="36" t="str" cm="1">
        <f t="array" ref="F755">_xlfn.XLOOKUP(D755&amp;C755, Sheet3!$C$2:$C$1224&amp;Sheet3!$B$2:$B$1224, Sheet3!$D$2:$D$1224, "")</f>
        <v>Binantoro71@gmail.com</v>
      </c>
      <c r="G755" s="1" t="str" cm="1">
        <f t="array" ref="G755">_xlfn.XLOOKUP(D755&amp;C755, Sheet2!$A$2:$A$558&amp;Sheet2!$B$2:$B$558, Sheet2!$C$2:$C$558, "")</f>
        <v/>
      </c>
      <c r="H755" s="40" t="str">
        <f t="shared" si="11"/>
        <v>Binantoro71@gmail.com</v>
      </c>
    </row>
    <row r="756" spans="1:8" ht="15.5" x14ac:dyDescent="0.35">
      <c r="A756" s="7">
        <v>755</v>
      </c>
      <c r="B756" s="8">
        <v>14538</v>
      </c>
      <c r="C756" s="31" t="s">
        <v>734</v>
      </c>
      <c r="D756" s="8" t="s">
        <v>1066</v>
      </c>
      <c r="E756" s="7">
        <v>1995</v>
      </c>
      <c r="F756" s="36" t="str" cm="1">
        <f t="array" ref="F756">_xlfn.XLOOKUP(D756&amp;C756, Sheet3!$C$2:$C$1224&amp;Sheet3!$B$2:$B$1224, Sheet3!$D$2:$D$1224, "")</f>
        <v/>
      </c>
      <c r="G756" s="1" t="str" cm="1">
        <f t="array" ref="G756">_xlfn.XLOOKUP(D756&amp;C756, Sheet2!$A$2:$A$558&amp;Sheet2!$B$2:$B$558, Sheet2!$C$2:$C$558, "")</f>
        <v/>
      </c>
      <c r="H756" s="40" t="str">
        <f t="shared" si="11"/>
        <v/>
      </c>
    </row>
    <row r="757" spans="1:8" ht="15.5" x14ac:dyDescent="0.35">
      <c r="A757" s="7">
        <v>756</v>
      </c>
      <c r="B757" s="8">
        <v>14582</v>
      </c>
      <c r="C757" s="31" t="s">
        <v>735</v>
      </c>
      <c r="D757" s="8" t="s">
        <v>1064</v>
      </c>
      <c r="E757" s="7">
        <v>1995</v>
      </c>
      <c r="F757" s="36" t="str" cm="1">
        <f t="array" ref="F757">_xlfn.XLOOKUP(D757&amp;C757, Sheet3!$C$2:$C$1224&amp;Sheet3!$B$2:$B$1224, Sheet3!$D$2:$D$1224, "")</f>
        <v/>
      </c>
      <c r="G757" s="1" t="str" cm="1">
        <f t="array" ref="G757">_xlfn.XLOOKUP(D757&amp;C757, Sheet2!$A$2:$A$558&amp;Sheet2!$B$2:$B$558, Sheet2!$C$2:$C$558, "")</f>
        <v/>
      </c>
      <c r="H757" s="40" t="str">
        <f t="shared" si="11"/>
        <v/>
      </c>
    </row>
    <row r="758" spans="1:8" ht="15.5" x14ac:dyDescent="0.35">
      <c r="A758" s="7">
        <v>757</v>
      </c>
      <c r="B758" s="8">
        <v>13649</v>
      </c>
      <c r="C758" s="31" t="s">
        <v>736</v>
      </c>
      <c r="D758" s="8" t="s">
        <v>1067</v>
      </c>
      <c r="E758" s="7">
        <v>1995</v>
      </c>
      <c r="F758" s="36" t="str" cm="1">
        <f t="array" ref="F758">_xlfn.XLOOKUP(D758&amp;C758, Sheet3!$C$2:$C$1224&amp;Sheet3!$B$2:$B$1224, Sheet3!$D$2:$D$1224, "")</f>
        <v/>
      </c>
      <c r="G758" s="1" t="str" cm="1">
        <f t="array" ref="G758">_xlfn.XLOOKUP(D758&amp;C758, Sheet2!$A$2:$A$558&amp;Sheet2!$B$2:$B$558, Sheet2!$C$2:$C$558, "")</f>
        <v/>
      </c>
      <c r="H758" s="40" t="str">
        <f t="shared" si="11"/>
        <v/>
      </c>
    </row>
    <row r="759" spans="1:8" ht="15.5" x14ac:dyDescent="0.35">
      <c r="A759" s="7">
        <v>758</v>
      </c>
      <c r="B759" s="8">
        <v>15073</v>
      </c>
      <c r="C759" s="31" t="s">
        <v>737</v>
      </c>
      <c r="D759" s="8" t="s">
        <v>1064</v>
      </c>
      <c r="E759" s="7">
        <v>1995</v>
      </c>
      <c r="F759" s="36" t="str" cm="1">
        <f t="array" ref="F759">_xlfn.XLOOKUP(D759&amp;C759, Sheet3!$C$2:$C$1224&amp;Sheet3!$B$2:$B$1224, Sheet3!$D$2:$D$1224, "")</f>
        <v/>
      </c>
      <c r="G759" s="1" t="str" cm="1">
        <f t="array" ref="G759">_xlfn.XLOOKUP(D759&amp;C759, Sheet2!$A$2:$A$558&amp;Sheet2!$B$2:$B$558, Sheet2!$C$2:$C$558, "")</f>
        <v/>
      </c>
      <c r="H759" s="40" t="str">
        <f t="shared" si="11"/>
        <v/>
      </c>
    </row>
    <row r="760" spans="1:8" ht="15.5" x14ac:dyDescent="0.35">
      <c r="A760" s="7">
        <v>759</v>
      </c>
      <c r="B760" s="8">
        <v>14672</v>
      </c>
      <c r="C760" s="31" t="s">
        <v>738</v>
      </c>
      <c r="D760" s="8" t="s">
        <v>1064</v>
      </c>
      <c r="E760" s="7">
        <v>1995</v>
      </c>
      <c r="F760" s="36" t="str" cm="1">
        <f t="array" ref="F760">_xlfn.XLOOKUP(D760&amp;C760, Sheet3!$C$2:$C$1224&amp;Sheet3!$B$2:$B$1224, Sheet3!$D$2:$D$1224, "")</f>
        <v/>
      </c>
      <c r="G760" s="1" t="str" cm="1">
        <f t="array" ref="G760">_xlfn.XLOOKUP(D760&amp;C760, Sheet2!$A$2:$A$558&amp;Sheet2!$B$2:$B$558, Sheet2!$C$2:$C$558, "")</f>
        <v/>
      </c>
      <c r="H760" s="40" t="str">
        <f t="shared" si="11"/>
        <v/>
      </c>
    </row>
    <row r="761" spans="1:8" ht="15.5" x14ac:dyDescent="0.35">
      <c r="A761" s="7">
        <v>760</v>
      </c>
      <c r="B761" s="8">
        <v>15178</v>
      </c>
      <c r="C761" s="31" t="s">
        <v>739</v>
      </c>
      <c r="D761" s="8" t="s">
        <v>1068</v>
      </c>
      <c r="E761" s="7">
        <v>1995</v>
      </c>
      <c r="F761" s="36" t="str" cm="1">
        <f t="array" ref="F761">_xlfn.XLOOKUP(D761&amp;C761, Sheet3!$C$2:$C$1224&amp;Sheet3!$B$2:$B$1224, Sheet3!$D$2:$D$1224, "")</f>
        <v>sutana.aaa@gmail.com</v>
      </c>
      <c r="G761" s="1" t="str" cm="1">
        <f t="array" ref="G761">_xlfn.XLOOKUP(D761&amp;C761, Sheet2!$A$2:$A$558&amp;Sheet2!$B$2:$B$558, Sheet2!$C$2:$C$558, "")</f>
        <v/>
      </c>
      <c r="H761" s="40" t="str">
        <f t="shared" si="11"/>
        <v>sutana.aaa@gmail.com</v>
      </c>
    </row>
    <row r="762" spans="1:8" ht="15.5" x14ac:dyDescent="0.35">
      <c r="A762" s="7">
        <v>761</v>
      </c>
      <c r="B762" s="8">
        <v>16919</v>
      </c>
      <c r="C762" s="31" t="s">
        <v>740</v>
      </c>
      <c r="D762" s="8" t="s">
        <v>1070</v>
      </c>
      <c r="E762" s="7">
        <v>1995</v>
      </c>
      <c r="F762" s="36" t="str" cm="1">
        <f t="array" ref="F762">_xlfn.XLOOKUP(D762&amp;C762, Sheet3!$C$2:$C$1224&amp;Sheet3!$B$2:$B$1224, Sheet3!$D$2:$D$1224, "")</f>
        <v/>
      </c>
      <c r="G762" s="1" t="str" cm="1">
        <f t="array" ref="G762">_xlfn.XLOOKUP(D762&amp;C762, Sheet2!$A$2:$A$558&amp;Sheet2!$B$2:$B$558, Sheet2!$C$2:$C$558, "")</f>
        <v/>
      </c>
      <c r="H762" s="40" t="str">
        <f t="shared" si="11"/>
        <v/>
      </c>
    </row>
    <row r="763" spans="1:8" ht="15.5" x14ac:dyDescent="0.35">
      <c r="A763" s="7">
        <v>762</v>
      </c>
      <c r="B763" s="8">
        <v>13482</v>
      </c>
      <c r="C763" s="31" t="s">
        <v>741</v>
      </c>
      <c r="D763" s="8" t="s">
        <v>1067</v>
      </c>
      <c r="E763" s="7">
        <v>1995</v>
      </c>
      <c r="F763" s="36" t="str" cm="1">
        <f t="array" ref="F763">_xlfn.XLOOKUP(D763&amp;C763, Sheet3!$C$2:$C$1224&amp;Sheet3!$B$2:$B$1224, Sheet3!$D$2:$D$1224, "")</f>
        <v/>
      </c>
      <c r="G763" s="1" t="str" cm="1">
        <f t="array" ref="G763">_xlfn.XLOOKUP(D763&amp;C763, Sheet2!$A$2:$A$558&amp;Sheet2!$B$2:$B$558, Sheet2!$C$2:$C$558, "")</f>
        <v/>
      </c>
      <c r="H763" s="40" t="str">
        <f t="shared" si="11"/>
        <v/>
      </c>
    </row>
    <row r="764" spans="1:8" ht="15.5" x14ac:dyDescent="0.35">
      <c r="A764" s="7">
        <v>763</v>
      </c>
      <c r="B764" s="8">
        <v>16219</v>
      </c>
      <c r="C764" s="31" t="s">
        <v>742</v>
      </c>
      <c r="D764" s="8" t="s">
        <v>1069</v>
      </c>
      <c r="E764" s="7">
        <v>1995</v>
      </c>
      <c r="F764" s="36" t="str" cm="1">
        <f t="array" ref="F764">_xlfn.XLOOKUP(D764&amp;C764, Sheet3!$C$2:$C$1224&amp;Sheet3!$B$2:$B$1224, Sheet3!$D$2:$D$1224, "")</f>
        <v/>
      </c>
      <c r="G764" s="1" t="str" cm="1">
        <f t="array" ref="G764">_xlfn.XLOOKUP(D764&amp;C764, Sheet2!$A$2:$A$558&amp;Sheet2!$B$2:$B$558, Sheet2!$C$2:$C$558, "")</f>
        <v>itoxnindijanto@gmail.com</v>
      </c>
      <c r="H764" s="40" t="str">
        <f t="shared" si="11"/>
        <v>itoxnindijanto@gmail.com</v>
      </c>
    </row>
    <row r="765" spans="1:8" ht="15.5" x14ac:dyDescent="0.35">
      <c r="A765" s="7">
        <v>764</v>
      </c>
      <c r="B765" s="8">
        <v>14674</v>
      </c>
      <c r="C765" s="31" t="s">
        <v>401</v>
      </c>
      <c r="D765" s="8" t="s">
        <v>1064</v>
      </c>
      <c r="E765" s="7">
        <v>1995</v>
      </c>
      <c r="F765" s="36" t="str" cm="1">
        <f t="array" ref="F765">_xlfn.XLOOKUP(D765&amp;C765, Sheet3!$C$2:$C$1224&amp;Sheet3!$B$2:$B$1224, Sheet3!$D$2:$D$1224, "")</f>
        <v/>
      </c>
      <c r="G765" s="1" t="str" cm="1">
        <f t="array" ref="G765">_xlfn.XLOOKUP(D765&amp;C765, Sheet2!$A$2:$A$558&amp;Sheet2!$B$2:$B$558, Sheet2!$C$2:$C$558, "")</f>
        <v/>
      </c>
      <c r="H765" s="40" t="str">
        <f t="shared" si="11"/>
        <v/>
      </c>
    </row>
    <row r="766" spans="1:8" ht="15.5" x14ac:dyDescent="0.35">
      <c r="A766" s="7">
        <v>765</v>
      </c>
      <c r="B766" s="8">
        <v>11798</v>
      </c>
      <c r="C766" s="31" t="s">
        <v>38</v>
      </c>
      <c r="D766" s="8" t="s">
        <v>1061</v>
      </c>
      <c r="E766" s="7">
        <v>1995</v>
      </c>
      <c r="F766" s="36" t="str" cm="1">
        <f t="array" ref="F766">_xlfn.XLOOKUP(D766&amp;C766, Sheet3!$C$2:$C$1224&amp;Sheet3!$B$2:$B$1224, Sheet3!$D$2:$D$1224, "")</f>
        <v/>
      </c>
      <c r="G766" s="1" t="str" cm="1">
        <f t="array" ref="G766">_xlfn.XLOOKUP(D766&amp;C766, Sheet2!$A$2:$A$558&amp;Sheet2!$B$2:$B$558, Sheet2!$C$2:$C$558, "")</f>
        <v/>
      </c>
      <c r="H766" s="40" t="str">
        <f t="shared" si="11"/>
        <v/>
      </c>
    </row>
    <row r="767" spans="1:8" ht="15.5" x14ac:dyDescent="0.35">
      <c r="A767" s="7">
        <v>766</v>
      </c>
      <c r="B767" s="8">
        <v>14679</v>
      </c>
      <c r="C767" s="31" t="s">
        <v>743</v>
      </c>
      <c r="D767" s="8" t="s">
        <v>1064</v>
      </c>
      <c r="E767" s="7">
        <v>1995</v>
      </c>
      <c r="F767" s="36" t="str" cm="1">
        <f t="array" ref="F767">_xlfn.XLOOKUP(D767&amp;C767, Sheet3!$C$2:$C$1224&amp;Sheet3!$B$2:$B$1224, Sheet3!$D$2:$D$1224, "")</f>
        <v>yudhinor@gmail.com</v>
      </c>
      <c r="G767" s="1" t="str" cm="1">
        <f t="array" ref="G767">_xlfn.XLOOKUP(D767&amp;C767, Sheet2!$A$2:$A$558&amp;Sheet2!$B$2:$B$558, Sheet2!$C$2:$C$558, "")</f>
        <v/>
      </c>
      <c r="H767" s="40" t="str">
        <f t="shared" si="11"/>
        <v>yudhinor@gmail.com</v>
      </c>
    </row>
    <row r="768" spans="1:8" ht="15.5" x14ac:dyDescent="0.35">
      <c r="A768" s="7">
        <v>767</v>
      </c>
      <c r="B768" s="8">
        <v>14621</v>
      </c>
      <c r="C768" s="31" t="s">
        <v>744</v>
      </c>
      <c r="D768" s="8" t="s">
        <v>1064</v>
      </c>
      <c r="E768" s="7">
        <v>1995</v>
      </c>
      <c r="F768" s="36" t="str" cm="1">
        <f t="array" ref="F768">_xlfn.XLOOKUP(D768&amp;C768, Sheet3!$C$2:$C$1224&amp;Sheet3!$B$2:$B$1224, Sheet3!$D$2:$D$1224, "")</f>
        <v/>
      </c>
      <c r="G768" s="1" t="str" cm="1">
        <f t="array" ref="G768">_xlfn.XLOOKUP(D768&amp;C768, Sheet2!$A$2:$A$558&amp;Sheet2!$B$2:$B$558, Sheet2!$C$2:$C$558, "")</f>
        <v/>
      </c>
      <c r="H768" s="40" t="str">
        <f t="shared" si="11"/>
        <v/>
      </c>
    </row>
    <row r="769" spans="1:8" ht="15.5" x14ac:dyDescent="0.35">
      <c r="A769" s="7">
        <v>768</v>
      </c>
      <c r="B769" s="8">
        <v>16230</v>
      </c>
      <c r="C769" s="31" t="s">
        <v>745</v>
      </c>
      <c r="D769" s="8" t="s">
        <v>1069</v>
      </c>
      <c r="E769" s="7">
        <v>1995</v>
      </c>
      <c r="F769" s="36" t="str" cm="1">
        <f t="array" ref="F769">_xlfn.XLOOKUP(D769&amp;C769, Sheet3!$C$2:$C$1224&amp;Sheet3!$B$2:$B$1224, Sheet3!$D$2:$D$1224, "")</f>
        <v/>
      </c>
      <c r="G769" s="1" t="str" cm="1">
        <f t="array" ref="G769">_xlfn.XLOOKUP(D769&amp;C769, Sheet2!$A$2:$A$558&amp;Sheet2!$B$2:$B$558, Sheet2!$C$2:$C$558, "")</f>
        <v/>
      </c>
      <c r="H769" s="40" t="str">
        <f t="shared" si="11"/>
        <v/>
      </c>
    </row>
    <row r="770" spans="1:8" ht="15.5" x14ac:dyDescent="0.35">
      <c r="A770" s="7">
        <v>769</v>
      </c>
      <c r="B770" s="8">
        <v>15536</v>
      </c>
      <c r="C770" s="31" t="s">
        <v>746</v>
      </c>
      <c r="D770" s="8" t="s">
        <v>1068</v>
      </c>
      <c r="E770" s="7">
        <v>1995</v>
      </c>
      <c r="F770" s="36" t="str" cm="1">
        <f t="array" ref="F770">_xlfn.XLOOKUP(D770&amp;C770, Sheet3!$C$2:$C$1224&amp;Sheet3!$B$2:$B$1224, Sheet3!$D$2:$D$1224, "")</f>
        <v>teguhsujatmiko69@gmail.com</v>
      </c>
      <c r="G770" s="1" t="str" cm="1">
        <f t="array" ref="G770">_xlfn.XLOOKUP(D770&amp;C770, Sheet2!$A$2:$A$558&amp;Sheet2!$B$2:$B$558, Sheet2!$C$2:$C$558, "")</f>
        <v/>
      </c>
      <c r="H770" s="40" t="str">
        <f t="shared" si="11"/>
        <v>teguhsujatmiko69@gmail.com</v>
      </c>
    </row>
    <row r="771" spans="1:8" ht="15.5" x14ac:dyDescent="0.35">
      <c r="A771" s="7">
        <v>770</v>
      </c>
      <c r="B771" s="8">
        <v>16724</v>
      </c>
      <c r="C771" s="31" t="s">
        <v>747</v>
      </c>
      <c r="D771" s="8" t="s">
        <v>1070</v>
      </c>
      <c r="E771" s="7">
        <v>1995</v>
      </c>
      <c r="F771" s="36" t="str" cm="1">
        <f t="array" ref="F771">_xlfn.XLOOKUP(D771&amp;C771, Sheet3!$C$2:$C$1224&amp;Sheet3!$B$2:$B$1224, Sheet3!$D$2:$D$1224, "")</f>
        <v/>
      </c>
      <c r="G771" s="1" t="str" cm="1">
        <f t="array" ref="G771">_xlfn.XLOOKUP(D771&amp;C771, Sheet2!$A$2:$A$558&amp;Sheet2!$B$2:$B$558, Sheet2!$C$2:$C$558, "")</f>
        <v/>
      </c>
      <c r="H771" s="40" t="str">
        <f t="shared" ref="H771:H834" si="12">IF(F771&lt;&gt;"",F771,G771)</f>
        <v/>
      </c>
    </row>
    <row r="772" spans="1:8" ht="15.5" x14ac:dyDescent="0.35">
      <c r="A772" s="7">
        <v>771</v>
      </c>
      <c r="B772" s="8">
        <v>16892</v>
      </c>
      <c r="C772" s="31" t="s">
        <v>748</v>
      </c>
      <c r="D772" s="8" t="s">
        <v>1070</v>
      </c>
      <c r="E772" s="7">
        <v>1995</v>
      </c>
      <c r="F772" s="36" t="str" cm="1">
        <f t="array" ref="F772">_xlfn.XLOOKUP(D772&amp;C772, Sheet3!$C$2:$C$1224&amp;Sheet3!$B$2:$B$1224, Sheet3!$D$2:$D$1224, "")</f>
        <v/>
      </c>
      <c r="G772" s="1" t="str" cm="1">
        <f t="array" ref="G772">_xlfn.XLOOKUP(D772&amp;C772, Sheet2!$A$2:$A$558&amp;Sheet2!$B$2:$B$558, Sheet2!$C$2:$C$558, "")</f>
        <v/>
      </c>
      <c r="H772" s="40" t="str">
        <f t="shared" si="12"/>
        <v/>
      </c>
    </row>
    <row r="773" spans="1:8" ht="15.5" x14ac:dyDescent="0.35">
      <c r="A773" s="7">
        <v>772</v>
      </c>
      <c r="B773" s="8">
        <v>16134</v>
      </c>
      <c r="C773" s="31" t="s">
        <v>749</v>
      </c>
      <c r="D773" s="8" t="s">
        <v>1069</v>
      </c>
      <c r="E773" s="7">
        <v>1995</v>
      </c>
      <c r="F773" s="36" t="str" cm="1">
        <f t="array" ref="F773">_xlfn.XLOOKUP(D773&amp;C773, Sheet3!$C$2:$C$1224&amp;Sheet3!$B$2:$B$1224, Sheet3!$D$2:$D$1224, "")</f>
        <v/>
      </c>
      <c r="G773" s="1" t="str" cm="1">
        <f t="array" ref="G773">_xlfn.XLOOKUP(D773&amp;C773, Sheet2!$A$2:$A$558&amp;Sheet2!$B$2:$B$558, Sheet2!$C$2:$C$558, "")</f>
        <v/>
      </c>
      <c r="H773" s="40" t="str">
        <f t="shared" si="12"/>
        <v/>
      </c>
    </row>
    <row r="774" spans="1:8" ht="15.5" x14ac:dyDescent="0.35">
      <c r="A774" s="7">
        <v>773</v>
      </c>
      <c r="B774" s="8">
        <v>16609</v>
      </c>
      <c r="C774" s="31" t="s">
        <v>750</v>
      </c>
      <c r="D774" s="8" t="s">
        <v>1070</v>
      </c>
      <c r="E774" s="7">
        <v>1995</v>
      </c>
      <c r="F774" s="36" t="str" cm="1">
        <f t="array" ref="F774">_xlfn.XLOOKUP(D774&amp;C774, Sheet3!$C$2:$C$1224&amp;Sheet3!$B$2:$B$1224, Sheet3!$D$2:$D$1224, "")</f>
        <v>ibsspeed669@gmail.com</v>
      </c>
      <c r="G774" s="1" t="str" cm="1">
        <f t="array" ref="G774">_xlfn.XLOOKUP(D774&amp;C774, Sheet2!$A$2:$A$558&amp;Sheet2!$B$2:$B$558, Sheet2!$C$2:$C$558, "")</f>
        <v/>
      </c>
      <c r="H774" s="40" t="str">
        <f t="shared" si="12"/>
        <v>ibsspeed669@gmail.com</v>
      </c>
    </row>
    <row r="775" spans="1:8" ht="15.5" x14ac:dyDescent="0.35">
      <c r="A775" s="7">
        <v>774</v>
      </c>
      <c r="B775" s="8">
        <v>15408</v>
      </c>
      <c r="C775" s="31" t="s">
        <v>751</v>
      </c>
      <c r="D775" s="8" t="s">
        <v>1068</v>
      </c>
      <c r="E775" s="7">
        <v>1995</v>
      </c>
      <c r="F775" s="36" t="str" cm="1">
        <f t="array" ref="F775">_xlfn.XLOOKUP(D775&amp;C775, Sheet3!$C$2:$C$1224&amp;Sheet3!$B$2:$B$1224, Sheet3!$D$2:$D$1224, "")</f>
        <v>hengnadi@gmail.com</v>
      </c>
      <c r="G775" s="1" t="str" cm="1">
        <f t="array" ref="G775">_xlfn.XLOOKUP(D775&amp;C775, Sheet2!$A$2:$A$558&amp;Sheet2!$B$2:$B$558, Sheet2!$C$2:$C$558, "")</f>
        <v/>
      </c>
      <c r="H775" s="40" t="str">
        <f t="shared" si="12"/>
        <v>hengnadi@gmail.com</v>
      </c>
    </row>
    <row r="776" spans="1:8" ht="15.5" x14ac:dyDescent="0.35">
      <c r="A776" s="7">
        <v>775</v>
      </c>
      <c r="B776" s="8">
        <v>15607</v>
      </c>
      <c r="C776" s="31" t="s">
        <v>752</v>
      </c>
      <c r="D776" s="8" t="s">
        <v>1068</v>
      </c>
      <c r="E776" s="7">
        <v>1995</v>
      </c>
      <c r="F776" s="36" t="str" cm="1">
        <f t="array" ref="F776">_xlfn.XLOOKUP(D776&amp;C776, Sheet3!$C$2:$C$1224&amp;Sheet3!$B$2:$B$1224, Sheet3!$D$2:$D$1224, "")</f>
        <v>donkeple@gmail.com</v>
      </c>
      <c r="G776" s="1" t="str" cm="1">
        <f t="array" ref="G776">_xlfn.XLOOKUP(D776&amp;C776, Sheet2!$A$2:$A$558&amp;Sheet2!$B$2:$B$558, Sheet2!$C$2:$C$558, "")</f>
        <v>donkeple@gmail.com</v>
      </c>
      <c r="H776" s="40" t="str">
        <f t="shared" si="12"/>
        <v>donkeple@gmail.com</v>
      </c>
    </row>
    <row r="777" spans="1:8" ht="15.5" x14ac:dyDescent="0.35">
      <c r="A777" s="7">
        <v>776</v>
      </c>
      <c r="B777" s="8">
        <v>15247</v>
      </c>
      <c r="C777" s="31" t="s">
        <v>753</v>
      </c>
      <c r="D777" s="8" t="s">
        <v>1068</v>
      </c>
      <c r="E777" s="7">
        <v>1995</v>
      </c>
      <c r="F777" s="36" t="str" cm="1">
        <f t="array" ref="F777">_xlfn.XLOOKUP(D777&amp;C777, Sheet3!$C$2:$C$1224&amp;Sheet3!$B$2:$B$1224, Sheet3!$D$2:$D$1224, "")</f>
        <v>hartantovembri@gmail.com</v>
      </c>
      <c r="G777" s="1" t="str" cm="1">
        <f t="array" ref="G777">_xlfn.XLOOKUP(D777&amp;C777, Sheet2!$A$2:$A$558&amp;Sheet2!$B$2:$B$558, Sheet2!$C$2:$C$558, "")</f>
        <v/>
      </c>
      <c r="H777" s="40" t="str">
        <f t="shared" si="12"/>
        <v>hartantovembri@gmail.com</v>
      </c>
    </row>
    <row r="778" spans="1:8" ht="15.5" x14ac:dyDescent="0.35">
      <c r="A778" s="7">
        <v>777</v>
      </c>
      <c r="B778" s="8">
        <v>16895</v>
      </c>
      <c r="C778" s="31" t="s">
        <v>754</v>
      </c>
      <c r="D778" s="8" t="s">
        <v>1070</v>
      </c>
      <c r="E778" s="7">
        <v>1995</v>
      </c>
      <c r="F778" s="36" t="str" cm="1">
        <f t="array" ref="F778">_xlfn.XLOOKUP(D778&amp;C778, Sheet3!$C$2:$C$1224&amp;Sheet3!$B$2:$B$1224, Sheet3!$D$2:$D$1224, "")</f>
        <v>andiantoharyoko@gmail.com</v>
      </c>
      <c r="G778" s="1" t="str" cm="1">
        <f t="array" ref="G778">_xlfn.XLOOKUP(D778&amp;C778, Sheet2!$A$2:$A$558&amp;Sheet2!$B$2:$B$558, Sheet2!$C$2:$C$558, "")</f>
        <v/>
      </c>
      <c r="H778" s="40" t="str">
        <f t="shared" si="12"/>
        <v>andiantoharyoko@gmail.com</v>
      </c>
    </row>
    <row r="779" spans="1:8" ht="15.5" x14ac:dyDescent="0.35">
      <c r="A779" s="7">
        <v>778</v>
      </c>
      <c r="B779" s="8">
        <v>16441</v>
      </c>
      <c r="C779" s="31" t="s">
        <v>755</v>
      </c>
      <c r="D779" s="8" t="s">
        <v>1070</v>
      </c>
      <c r="E779" s="7">
        <v>1995</v>
      </c>
      <c r="F779" s="36" t="str" cm="1">
        <f t="array" ref="F779">_xlfn.XLOOKUP(D779&amp;C779, Sheet3!$C$2:$C$1224&amp;Sheet3!$B$2:$B$1224, Sheet3!$D$2:$D$1224, "")</f>
        <v/>
      </c>
      <c r="G779" s="1" t="str" cm="1">
        <f t="array" ref="G779">_xlfn.XLOOKUP(D779&amp;C779, Sheet2!$A$2:$A$558&amp;Sheet2!$B$2:$B$558, Sheet2!$C$2:$C$558, "")</f>
        <v/>
      </c>
      <c r="H779" s="40" t="str">
        <f t="shared" si="12"/>
        <v/>
      </c>
    </row>
    <row r="780" spans="1:8" ht="15.5" x14ac:dyDescent="0.35">
      <c r="A780" s="7">
        <v>779</v>
      </c>
      <c r="B780" s="8">
        <v>15304</v>
      </c>
      <c r="C780" s="31" t="s">
        <v>756</v>
      </c>
      <c r="D780" s="8" t="s">
        <v>1068</v>
      </c>
      <c r="E780" s="7">
        <v>1995</v>
      </c>
      <c r="F780" s="36" t="str" cm="1">
        <f t="array" ref="F780">_xlfn.XLOOKUP(D780&amp;C780, Sheet3!$C$2:$C$1224&amp;Sheet3!$B$2:$B$1224, Sheet3!$D$2:$D$1224, "")</f>
        <v/>
      </c>
      <c r="G780" s="1" t="str" cm="1">
        <f t="array" ref="G780">_xlfn.XLOOKUP(D780&amp;C780, Sheet2!$A$2:$A$558&amp;Sheet2!$B$2:$B$558, Sheet2!$C$2:$C$558, "")</f>
        <v/>
      </c>
      <c r="H780" s="40" t="str">
        <f t="shared" si="12"/>
        <v/>
      </c>
    </row>
    <row r="781" spans="1:8" ht="15.5" x14ac:dyDescent="0.35">
      <c r="A781" s="7">
        <v>780</v>
      </c>
      <c r="B781" s="8">
        <v>16171</v>
      </c>
      <c r="C781" s="31" t="s">
        <v>757</v>
      </c>
      <c r="D781" s="8" t="s">
        <v>1069</v>
      </c>
      <c r="E781" s="7">
        <v>1995</v>
      </c>
      <c r="F781" s="36" t="str" cm="1">
        <f t="array" ref="F781">_xlfn.XLOOKUP(D781&amp;C781, Sheet3!$C$2:$C$1224&amp;Sheet3!$B$2:$B$1224, Sheet3!$D$2:$D$1224, "")</f>
        <v/>
      </c>
      <c r="G781" s="1" t="str" cm="1">
        <f t="array" ref="G781">_xlfn.XLOOKUP(D781&amp;C781, Sheet2!$A$2:$A$558&amp;Sheet2!$B$2:$B$558, Sheet2!$C$2:$C$558, "")</f>
        <v>dwinarni.jatmiko@gmail.com</v>
      </c>
      <c r="H781" s="40" t="str">
        <f t="shared" si="12"/>
        <v>dwinarni.jatmiko@gmail.com</v>
      </c>
    </row>
    <row r="782" spans="1:8" ht="15.5" x14ac:dyDescent="0.35">
      <c r="A782" s="7">
        <v>781</v>
      </c>
      <c r="B782" s="8">
        <v>11727</v>
      </c>
      <c r="C782" s="31" t="s">
        <v>758</v>
      </c>
      <c r="D782" s="8" t="s">
        <v>1061</v>
      </c>
      <c r="E782" s="7">
        <v>1995</v>
      </c>
      <c r="F782" s="36" t="str" cm="1">
        <f t="array" ref="F782">_xlfn.XLOOKUP(D782&amp;C782, Sheet3!$C$2:$C$1224&amp;Sheet3!$B$2:$B$1224, Sheet3!$D$2:$D$1224, "")</f>
        <v>teguhhartono2789@gmail.com</v>
      </c>
      <c r="G782" s="1" t="str" cm="1">
        <f t="array" ref="G782">_xlfn.XLOOKUP(D782&amp;C782, Sheet2!$A$2:$A$558&amp;Sheet2!$B$2:$B$558, Sheet2!$C$2:$C$558, "")</f>
        <v/>
      </c>
      <c r="H782" s="40" t="str">
        <f t="shared" si="12"/>
        <v>teguhhartono2789@gmail.com</v>
      </c>
    </row>
    <row r="783" spans="1:8" ht="15.5" x14ac:dyDescent="0.35">
      <c r="A783" s="7">
        <v>782</v>
      </c>
      <c r="B783" s="8">
        <v>15374</v>
      </c>
      <c r="C783" s="31" t="s">
        <v>759</v>
      </c>
      <c r="D783" s="8" t="s">
        <v>1068</v>
      </c>
      <c r="E783" s="7">
        <v>1995</v>
      </c>
      <c r="F783" s="36" t="str" cm="1">
        <f t="array" ref="F783">_xlfn.XLOOKUP(D783&amp;C783, Sheet3!$C$2:$C$1224&amp;Sheet3!$B$2:$B$1224, Sheet3!$D$2:$D$1224, "")</f>
        <v>fathurromdloni5@gmail.com</v>
      </c>
      <c r="G783" s="1" t="str" cm="1">
        <f t="array" ref="G783">_xlfn.XLOOKUP(D783&amp;C783, Sheet2!$A$2:$A$558&amp;Sheet2!$B$2:$B$558, Sheet2!$C$2:$C$558, "")</f>
        <v/>
      </c>
      <c r="H783" s="40" t="str">
        <f t="shared" si="12"/>
        <v>fathurromdloni5@gmail.com</v>
      </c>
    </row>
    <row r="784" spans="1:8" ht="15.5" x14ac:dyDescent="0.35">
      <c r="A784" s="7">
        <v>783</v>
      </c>
      <c r="B784" s="8">
        <v>15396</v>
      </c>
      <c r="C784" s="31" t="s">
        <v>760</v>
      </c>
      <c r="D784" s="8" t="s">
        <v>1068</v>
      </c>
      <c r="E784" s="7">
        <v>1995</v>
      </c>
      <c r="F784" s="36" t="str" cm="1">
        <f t="array" ref="F784">_xlfn.XLOOKUP(D784&amp;C784, Sheet3!$C$2:$C$1224&amp;Sheet3!$B$2:$B$1224, Sheet3!$D$2:$D$1224, "")</f>
        <v/>
      </c>
      <c r="G784" s="1" t="str" cm="1">
        <f t="array" ref="G784">_xlfn.XLOOKUP(D784&amp;C784, Sheet2!$A$2:$A$558&amp;Sheet2!$B$2:$B$558, Sheet2!$C$2:$C$558, "")</f>
        <v/>
      </c>
      <c r="H784" s="40" t="str">
        <f t="shared" si="12"/>
        <v/>
      </c>
    </row>
    <row r="785" spans="1:8" ht="15.5" x14ac:dyDescent="0.35">
      <c r="A785" s="7">
        <v>784</v>
      </c>
      <c r="B785" s="8">
        <v>15441</v>
      </c>
      <c r="C785" s="31" t="s">
        <v>761</v>
      </c>
      <c r="D785" s="8" t="s">
        <v>1068</v>
      </c>
      <c r="E785" s="7">
        <v>1995</v>
      </c>
      <c r="F785" s="36" t="str" cm="1">
        <f t="array" ref="F785">_xlfn.XLOOKUP(D785&amp;C785, Sheet3!$C$2:$C$1224&amp;Sheet3!$B$2:$B$1224, Sheet3!$D$2:$D$1224, "")</f>
        <v>yunus.susilo@unitomo.ac.id</v>
      </c>
      <c r="G785" s="1" t="str" cm="1">
        <f t="array" ref="G785">_xlfn.XLOOKUP(D785&amp;C785, Sheet2!$A$2:$A$558&amp;Sheet2!$B$2:$B$558, Sheet2!$C$2:$C$558, "")</f>
        <v>yunus.susilo@unitomo.ac.id</v>
      </c>
      <c r="H785" s="40" t="str">
        <f t="shared" si="12"/>
        <v>yunus.susilo@unitomo.ac.id</v>
      </c>
    </row>
    <row r="786" spans="1:8" ht="15.5" x14ac:dyDescent="0.35">
      <c r="A786" s="7">
        <v>785</v>
      </c>
      <c r="B786" s="8">
        <v>15094</v>
      </c>
      <c r="C786" s="31" t="s">
        <v>762</v>
      </c>
      <c r="D786" s="8" t="s">
        <v>1064</v>
      </c>
      <c r="E786" s="7">
        <v>1995</v>
      </c>
      <c r="F786" s="36" t="str" cm="1">
        <f t="array" ref="F786">_xlfn.XLOOKUP(D786&amp;C786, Sheet3!$C$2:$C$1224&amp;Sheet3!$B$2:$B$1224, Sheet3!$D$2:$D$1224, "")</f>
        <v>lulukhariyadi13@gmail.com</v>
      </c>
      <c r="G786" s="1" t="str" cm="1">
        <f t="array" ref="G786">_xlfn.XLOOKUP(D786&amp;C786, Sheet2!$A$2:$A$558&amp;Sheet2!$B$2:$B$558, Sheet2!$C$2:$C$558, "")</f>
        <v/>
      </c>
      <c r="H786" s="40" t="str">
        <f t="shared" si="12"/>
        <v>lulukhariyadi13@gmail.com</v>
      </c>
    </row>
    <row r="787" spans="1:8" ht="15.5" x14ac:dyDescent="0.35">
      <c r="A787" s="7">
        <v>786</v>
      </c>
      <c r="B787" s="8">
        <v>15085</v>
      </c>
      <c r="C787" s="31" t="s">
        <v>763</v>
      </c>
      <c r="D787" s="8" t="s">
        <v>1064</v>
      </c>
      <c r="E787" s="7">
        <v>1995</v>
      </c>
      <c r="F787" s="36" t="str" cm="1">
        <f t="array" ref="F787">_xlfn.XLOOKUP(D787&amp;C787, Sheet3!$C$2:$C$1224&amp;Sheet3!$B$2:$B$1224, Sheet3!$D$2:$D$1224, "")</f>
        <v/>
      </c>
      <c r="G787" s="1" t="str" cm="1">
        <f t="array" ref="G787">_xlfn.XLOOKUP(D787&amp;C787, Sheet2!$A$2:$A$558&amp;Sheet2!$B$2:$B$558, Sheet2!$C$2:$C$558, "")</f>
        <v/>
      </c>
      <c r="H787" s="40" t="str">
        <f t="shared" si="12"/>
        <v/>
      </c>
    </row>
    <row r="788" spans="1:8" ht="15.5" x14ac:dyDescent="0.35">
      <c r="A788" s="7">
        <v>787</v>
      </c>
      <c r="B788" s="8">
        <v>16108</v>
      </c>
      <c r="C788" s="31" t="s">
        <v>764</v>
      </c>
      <c r="D788" s="8" t="s">
        <v>1069</v>
      </c>
      <c r="E788" s="7">
        <v>1995</v>
      </c>
      <c r="F788" s="36" t="str" cm="1">
        <f t="array" ref="F788">_xlfn.XLOOKUP(D788&amp;C788, Sheet3!$C$2:$C$1224&amp;Sheet3!$B$2:$B$1224, Sheet3!$D$2:$D$1224, "")</f>
        <v/>
      </c>
      <c r="G788" s="1" t="str" cm="1">
        <f t="array" ref="G788">_xlfn.XLOOKUP(D788&amp;C788, Sheet2!$A$2:$A$558&amp;Sheet2!$B$2:$B$558, Sheet2!$C$2:$C$558, "")</f>
        <v/>
      </c>
      <c r="H788" s="40" t="str">
        <f t="shared" si="12"/>
        <v/>
      </c>
    </row>
    <row r="789" spans="1:8" ht="15.5" x14ac:dyDescent="0.35">
      <c r="A789" s="7">
        <v>788</v>
      </c>
      <c r="B789" s="8">
        <v>16017</v>
      </c>
      <c r="C789" s="31" t="s">
        <v>765</v>
      </c>
      <c r="D789" s="8" t="s">
        <v>1069</v>
      </c>
      <c r="E789" s="7">
        <v>1995</v>
      </c>
      <c r="F789" s="36" t="str" cm="1">
        <f t="array" ref="F789">_xlfn.XLOOKUP(D789&amp;C789, Sheet3!$C$2:$C$1224&amp;Sheet3!$B$2:$B$1224, Sheet3!$D$2:$D$1224, "")</f>
        <v>rinoermawan.inti@gmail.com</v>
      </c>
      <c r="G789" s="1" t="str" cm="1">
        <f t="array" ref="G789">_xlfn.XLOOKUP(D789&amp;C789, Sheet2!$A$2:$A$558&amp;Sheet2!$B$2:$B$558, Sheet2!$C$2:$C$558, "")</f>
        <v>rino@driveme.id</v>
      </c>
      <c r="H789" s="40" t="str">
        <f t="shared" si="12"/>
        <v>rinoermawan.inti@gmail.com</v>
      </c>
    </row>
    <row r="790" spans="1:8" ht="15.5" x14ac:dyDescent="0.35">
      <c r="A790" s="7">
        <v>789</v>
      </c>
      <c r="B790" s="8">
        <v>17461</v>
      </c>
      <c r="C790" s="31" t="s">
        <v>766</v>
      </c>
      <c r="D790" s="8" t="s">
        <v>1071</v>
      </c>
      <c r="E790" s="7">
        <v>1995</v>
      </c>
      <c r="F790" s="36" t="str" cm="1">
        <f t="array" ref="F790">_xlfn.XLOOKUP(D790&amp;C790, Sheet3!$C$2:$C$1224&amp;Sheet3!$B$2:$B$1224, Sheet3!$D$2:$D$1224, "")</f>
        <v>bilal.maruf@ugm.ac.id</v>
      </c>
      <c r="G790" s="1" t="str" cm="1">
        <f t="array" ref="G790">_xlfn.XLOOKUP(D790&amp;C790, Sheet2!$A$2:$A$558&amp;Sheet2!$B$2:$B$558, Sheet2!$C$2:$C$558, "")</f>
        <v/>
      </c>
      <c r="H790" s="40" t="str">
        <f t="shared" si="12"/>
        <v>bilal.maruf@ugm.ac.id</v>
      </c>
    </row>
    <row r="791" spans="1:8" ht="15.5" x14ac:dyDescent="0.35">
      <c r="A791" s="7">
        <v>790</v>
      </c>
      <c r="B791" s="8">
        <v>15117</v>
      </c>
      <c r="C791" s="31" t="s">
        <v>767</v>
      </c>
      <c r="D791" s="8" t="s">
        <v>1068</v>
      </c>
      <c r="E791" s="7">
        <v>1995</v>
      </c>
      <c r="F791" s="36" t="str" cm="1">
        <f t="array" ref="F791">_xlfn.XLOOKUP(D791&amp;C791, Sheet3!$C$2:$C$1224&amp;Sheet3!$B$2:$B$1224, Sheet3!$D$2:$D$1224, "")</f>
        <v>anggit.sunarta@yahoo.com</v>
      </c>
      <c r="G791" s="1" t="str" cm="1">
        <f t="array" ref="G791">_xlfn.XLOOKUP(D791&amp;C791, Sheet2!$A$2:$A$558&amp;Sheet2!$B$2:$B$558, Sheet2!$C$2:$C$558, "")</f>
        <v/>
      </c>
      <c r="H791" s="40" t="str">
        <f t="shared" si="12"/>
        <v>anggit.sunarta@yahoo.com</v>
      </c>
    </row>
    <row r="792" spans="1:8" ht="15.5" x14ac:dyDescent="0.35">
      <c r="A792" s="7">
        <v>791</v>
      </c>
      <c r="B792" s="8">
        <v>16907</v>
      </c>
      <c r="C792" s="31" t="s">
        <v>768</v>
      </c>
      <c r="D792" s="8" t="s">
        <v>1070</v>
      </c>
      <c r="E792" s="7">
        <v>1995</v>
      </c>
      <c r="F792" s="36" t="str" cm="1">
        <f t="array" ref="F792">_xlfn.XLOOKUP(D792&amp;C792, Sheet3!$C$2:$C$1224&amp;Sheet3!$B$2:$B$1224, Sheet3!$D$2:$D$1224, "")</f>
        <v/>
      </c>
      <c r="G792" s="1" t="str" cm="1">
        <f t="array" ref="G792">_xlfn.XLOOKUP(D792&amp;C792, Sheet2!$A$2:$A$558&amp;Sheet2!$B$2:$B$558, Sheet2!$C$2:$C$558, "")</f>
        <v/>
      </c>
      <c r="H792" s="40" t="str">
        <f t="shared" si="12"/>
        <v/>
      </c>
    </row>
    <row r="793" spans="1:8" ht="15.5" x14ac:dyDescent="0.35">
      <c r="A793" s="7">
        <v>792</v>
      </c>
      <c r="B793" s="8">
        <v>16350</v>
      </c>
      <c r="C793" s="31" t="s">
        <v>769</v>
      </c>
      <c r="D793" s="8" t="s">
        <v>1070</v>
      </c>
      <c r="E793" s="7">
        <v>1995</v>
      </c>
      <c r="F793" s="36" t="str" cm="1">
        <f t="array" ref="F793">_xlfn.XLOOKUP(D793&amp;C793, Sheet3!$C$2:$C$1224&amp;Sheet3!$B$2:$B$1224, Sheet3!$D$2:$D$1224, "")</f>
        <v/>
      </c>
      <c r="G793" s="1" t="str" cm="1">
        <f t="array" ref="G793">_xlfn.XLOOKUP(D793&amp;C793, Sheet2!$A$2:$A$558&amp;Sheet2!$B$2:$B$558, Sheet2!$C$2:$C$558, "")</f>
        <v/>
      </c>
      <c r="H793" s="40" t="str">
        <f t="shared" si="12"/>
        <v/>
      </c>
    </row>
    <row r="794" spans="1:8" ht="15.5" x14ac:dyDescent="0.35">
      <c r="A794" s="7">
        <v>793</v>
      </c>
      <c r="B794" s="8">
        <v>16189</v>
      </c>
      <c r="C794" s="31" t="s">
        <v>770</v>
      </c>
      <c r="D794" s="8" t="s">
        <v>1069</v>
      </c>
      <c r="E794" s="7">
        <v>1996</v>
      </c>
      <c r="F794" s="36" t="str" cm="1">
        <f t="array" ref="F794">_xlfn.XLOOKUP(D794&amp;C794, Sheet3!$C$2:$C$1224&amp;Sheet3!$B$2:$B$1224, Sheet3!$D$2:$D$1224, "")</f>
        <v/>
      </c>
      <c r="G794" s="1" t="str" cm="1">
        <f t="array" ref="G794">_xlfn.XLOOKUP(D794&amp;C794, Sheet2!$A$2:$A$558&amp;Sheet2!$B$2:$B$558, Sheet2!$C$2:$C$558, "")</f>
        <v>farhan.zahra.fz@gmail.com</v>
      </c>
      <c r="H794" s="40" t="str">
        <f t="shared" si="12"/>
        <v>farhan.zahra.fz@gmail.com</v>
      </c>
    </row>
    <row r="795" spans="1:8" ht="15.5" x14ac:dyDescent="0.35">
      <c r="A795" s="7">
        <v>794</v>
      </c>
      <c r="B795" s="8">
        <v>16186</v>
      </c>
      <c r="C795" s="31" t="s">
        <v>771</v>
      </c>
      <c r="D795" s="8" t="s">
        <v>1069</v>
      </c>
      <c r="E795" s="7">
        <v>1996</v>
      </c>
      <c r="F795" s="36" t="str" cm="1">
        <f t="array" ref="F795">_xlfn.XLOOKUP(D795&amp;C795, Sheet3!$C$2:$C$1224&amp;Sheet3!$B$2:$B$1224, Sheet3!$D$2:$D$1224, "")</f>
        <v/>
      </c>
      <c r="G795" s="1" t="str" cm="1">
        <f t="array" ref="G795">_xlfn.XLOOKUP(D795&amp;C795, Sheet2!$A$2:$A$558&amp;Sheet2!$B$2:$B$558, Sheet2!$C$2:$C$558, "")</f>
        <v/>
      </c>
      <c r="H795" s="40" t="str">
        <f t="shared" si="12"/>
        <v/>
      </c>
    </row>
    <row r="796" spans="1:8" ht="15.5" x14ac:dyDescent="0.35">
      <c r="A796" s="7">
        <v>795</v>
      </c>
      <c r="B796" s="8">
        <v>16235</v>
      </c>
      <c r="C796" s="31" t="s">
        <v>772</v>
      </c>
      <c r="D796" s="8" t="s">
        <v>1069</v>
      </c>
      <c r="E796" s="7">
        <v>1996</v>
      </c>
      <c r="F796" s="36" t="str" cm="1">
        <f t="array" ref="F796">_xlfn.XLOOKUP(D796&amp;C796, Sheet3!$C$2:$C$1224&amp;Sheet3!$B$2:$B$1224, Sheet3!$D$2:$D$1224, "")</f>
        <v/>
      </c>
      <c r="G796" s="1" t="str" cm="1">
        <f t="array" ref="G796">_xlfn.XLOOKUP(D796&amp;C796, Sheet2!$A$2:$A$558&amp;Sheet2!$B$2:$B$558, Sheet2!$C$2:$C$558, "")</f>
        <v/>
      </c>
      <c r="H796" s="40" t="str">
        <f t="shared" si="12"/>
        <v/>
      </c>
    </row>
    <row r="797" spans="1:8" ht="15.5" x14ac:dyDescent="0.35">
      <c r="A797" s="7">
        <v>796</v>
      </c>
      <c r="B797" s="8">
        <v>16893</v>
      </c>
      <c r="C797" s="31" t="s">
        <v>773</v>
      </c>
      <c r="D797" s="8" t="s">
        <v>1070</v>
      </c>
      <c r="E797" s="7">
        <v>1996</v>
      </c>
      <c r="F797" s="36" t="str" cm="1">
        <f t="array" ref="F797">_xlfn.XLOOKUP(D797&amp;C797, Sheet3!$C$2:$C$1224&amp;Sheet3!$B$2:$B$1224, Sheet3!$D$2:$D$1224, "")</f>
        <v>fbadjuber@gmail.com</v>
      </c>
      <c r="G797" s="1" t="str" cm="1">
        <f t="array" ref="G797">_xlfn.XLOOKUP(D797&amp;C797, Sheet2!$A$2:$A$558&amp;Sheet2!$B$2:$B$558, Sheet2!$C$2:$C$558, "")</f>
        <v/>
      </c>
      <c r="H797" s="40" t="str">
        <f t="shared" si="12"/>
        <v>fbadjuber@gmail.com</v>
      </c>
    </row>
    <row r="798" spans="1:8" ht="15.5" x14ac:dyDescent="0.35">
      <c r="A798" s="7">
        <v>797</v>
      </c>
      <c r="B798" s="8">
        <v>16894</v>
      </c>
      <c r="C798" s="31" t="s">
        <v>774</v>
      </c>
      <c r="D798" s="8" t="s">
        <v>1070</v>
      </c>
      <c r="E798" s="7">
        <v>1996</v>
      </c>
      <c r="F798" s="36" t="str" cm="1">
        <f t="array" ref="F798">_xlfn.XLOOKUP(D798&amp;C798, Sheet3!$C$2:$C$1224&amp;Sheet3!$B$2:$B$1224, Sheet3!$D$2:$D$1224, "")</f>
        <v>yulaikhah@ugm.ac.id</v>
      </c>
      <c r="G798" s="1" t="str" cm="1">
        <f t="array" ref="G798">_xlfn.XLOOKUP(D798&amp;C798, Sheet2!$A$2:$A$558&amp;Sheet2!$B$2:$B$558, Sheet2!$C$2:$C$558, "")</f>
        <v/>
      </c>
      <c r="H798" s="40" t="str">
        <f t="shared" si="12"/>
        <v>yulaikhah@ugm.ac.id</v>
      </c>
    </row>
    <row r="799" spans="1:8" ht="15.5" x14ac:dyDescent="0.35">
      <c r="A799" s="7">
        <v>798</v>
      </c>
      <c r="B799" s="8">
        <v>16900</v>
      </c>
      <c r="C799" s="31" t="s">
        <v>775</v>
      </c>
      <c r="D799" s="8" t="s">
        <v>1070</v>
      </c>
      <c r="E799" s="7">
        <v>1996</v>
      </c>
      <c r="F799" s="36" t="str" cm="1">
        <f t="array" ref="F799">_xlfn.XLOOKUP(D799&amp;C799, Sheet3!$C$2:$C$1224&amp;Sheet3!$B$2:$B$1224, Sheet3!$D$2:$D$1224, "")</f>
        <v>Sitikusumastuti71@gmail.com</v>
      </c>
      <c r="G799" s="1" t="str" cm="1">
        <f t="array" ref="G799">_xlfn.XLOOKUP(D799&amp;C799, Sheet2!$A$2:$A$558&amp;Sheet2!$B$2:$B$558, Sheet2!$C$2:$C$558, "")</f>
        <v/>
      </c>
      <c r="H799" s="40" t="str">
        <f t="shared" si="12"/>
        <v>Sitikusumastuti71@gmail.com</v>
      </c>
    </row>
    <row r="800" spans="1:8" ht="15.5" x14ac:dyDescent="0.35">
      <c r="A800" s="7">
        <v>799</v>
      </c>
      <c r="B800" s="8">
        <v>16721</v>
      </c>
      <c r="C800" s="31" t="s">
        <v>776</v>
      </c>
      <c r="D800" s="8" t="s">
        <v>1070</v>
      </c>
      <c r="E800" s="7">
        <v>1996</v>
      </c>
      <c r="F800" s="36" t="str" cm="1">
        <f t="array" ref="F800">_xlfn.XLOOKUP(D800&amp;C800, Sheet3!$C$2:$C$1224&amp;Sheet3!$B$2:$B$1224, Sheet3!$D$2:$D$1224, "")</f>
        <v>Sudung048@gmail.com</v>
      </c>
      <c r="G800" s="1" t="str" cm="1">
        <f t="array" ref="G800">_xlfn.XLOOKUP(D800&amp;C800, Sheet2!$A$2:$A$558&amp;Sheet2!$B$2:$B$558, Sheet2!$C$2:$C$558, "")</f>
        <v/>
      </c>
      <c r="H800" s="40" t="str">
        <f t="shared" si="12"/>
        <v>Sudung048@gmail.com</v>
      </c>
    </row>
    <row r="801" spans="1:8" ht="15.5" x14ac:dyDescent="0.35">
      <c r="A801" s="7">
        <v>800</v>
      </c>
      <c r="B801" s="8">
        <v>14676</v>
      </c>
      <c r="C801" s="31" t="s">
        <v>777</v>
      </c>
      <c r="D801" s="8" t="s">
        <v>1064</v>
      </c>
      <c r="E801" s="7">
        <v>1996</v>
      </c>
      <c r="F801" s="36" t="str" cm="1">
        <f t="array" ref="F801">_xlfn.XLOOKUP(D801&amp;C801, Sheet3!$C$2:$C$1224&amp;Sheet3!$B$2:$B$1224, Sheet3!$D$2:$D$1224, "")</f>
        <v>hartono. bambang@gmail.com</v>
      </c>
      <c r="G801" s="1" t="str" cm="1">
        <f t="array" ref="G801">_xlfn.XLOOKUP(D801&amp;C801, Sheet2!$A$2:$A$558&amp;Sheet2!$B$2:$B$558, Sheet2!$C$2:$C$558, "")</f>
        <v/>
      </c>
      <c r="H801" s="40" t="str">
        <f t="shared" si="12"/>
        <v>hartono. bambang@gmail.com</v>
      </c>
    </row>
    <row r="802" spans="1:8" ht="15.5" x14ac:dyDescent="0.35">
      <c r="A802" s="7">
        <v>801</v>
      </c>
      <c r="B802" s="8">
        <v>15341</v>
      </c>
      <c r="C802" s="31" t="s">
        <v>778</v>
      </c>
      <c r="D802" s="8" t="s">
        <v>1068</v>
      </c>
      <c r="E802" s="7">
        <v>1996</v>
      </c>
      <c r="F802" s="36" t="str" cm="1">
        <f t="array" ref="F802">_xlfn.XLOOKUP(D802&amp;C802, Sheet3!$C$2:$C$1224&amp;Sheet3!$B$2:$B$1224, Sheet3!$D$2:$D$1224, "")</f>
        <v/>
      </c>
      <c r="G802" s="1" t="str" cm="1">
        <f t="array" ref="G802">_xlfn.XLOOKUP(D802&amp;C802, Sheet2!$A$2:$A$558&amp;Sheet2!$B$2:$B$558, Sheet2!$C$2:$C$558, "")</f>
        <v/>
      </c>
      <c r="H802" s="40" t="str">
        <f t="shared" si="12"/>
        <v/>
      </c>
    </row>
    <row r="803" spans="1:8" ht="15.5" x14ac:dyDescent="0.35">
      <c r="A803" s="7">
        <v>802</v>
      </c>
      <c r="B803" s="8">
        <v>16728</v>
      </c>
      <c r="C803" s="31" t="s">
        <v>779</v>
      </c>
      <c r="D803" s="8" t="s">
        <v>1070</v>
      </c>
      <c r="E803" s="7">
        <v>1996</v>
      </c>
      <c r="F803" s="36" t="str" cm="1">
        <f t="array" ref="F803">_xlfn.XLOOKUP(D803&amp;C803, Sheet3!$C$2:$C$1224&amp;Sheet3!$B$2:$B$1224, Sheet3!$D$2:$D$1224, "")</f>
        <v>basith.ab@gmail.com</v>
      </c>
      <c r="G803" s="1" t="str" cm="1">
        <f t="array" ref="G803">_xlfn.XLOOKUP(D803&amp;C803, Sheet2!$A$2:$A$558&amp;Sheet2!$B$2:$B$558, Sheet2!$C$2:$C$558, "")</f>
        <v/>
      </c>
      <c r="H803" s="40" t="str">
        <f t="shared" si="12"/>
        <v>basith.ab@gmail.com</v>
      </c>
    </row>
    <row r="804" spans="1:8" ht="15.5" x14ac:dyDescent="0.35">
      <c r="A804" s="7">
        <v>803</v>
      </c>
      <c r="B804" s="8">
        <v>16265</v>
      </c>
      <c r="C804" s="31" t="s">
        <v>780</v>
      </c>
      <c r="D804" s="8" t="s">
        <v>1069</v>
      </c>
      <c r="E804" s="7">
        <v>1996</v>
      </c>
      <c r="F804" s="36" t="str" cm="1">
        <f t="array" ref="F804">_xlfn.XLOOKUP(D804&amp;C804, Sheet3!$C$2:$C$1224&amp;Sheet3!$B$2:$B$1224, Sheet3!$D$2:$D$1224, "")</f>
        <v>dedhywahyudi@yahoo.com</v>
      </c>
      <c r="G804" s="1" t="str" cm="1">
        <f t="array" ref="G804">_xlfn.XLOOKUP(D804&amp;C804, Sheet2!$A$2:$A$558&amp;Sheet2!$B$2:$B$558, Sheet2!$C$2:$C$558, "")</f>
        <v>dedhywahyudi@yahoo.com</v>
      </c>
      <c r="H804" s="40" t="str">
        <f t="shared" si="12"/>
        <v>dedhywahyudi@yahoo.com</v>
      </c>
    </row>
    <row r="805" spans="1:8" ht="15.5" x14ac:dyDescent="0.35">
      <c r="A805" s="7">
        <v>804</v>
      </c>
      <c r="B805" s="8">
        <v>12684</v>
      </c>
      <c r="C805" s="31" t="s">
        <v>781</v>
      </c>
      <c r="D805" s="8" t="s">
        <v>1063</v>
      </c>
      <c r="E805" s="7">
        <v>1996</v>
      </c>
      <c r="F805" s="36" t="str" cm="1">
        <f t="array" ref="F805">_xlfn.XLOOKUP(D805&amp;C805, Sheet3!$C$2:$C$1224&amp;Sheet3!$B$2:$B$1224, Sheet3!$D$2:$D$1224, "")</f>
        <v/>
      </c>
      <c r="G805" s="1" t="str" cm="1">
        <f t="array" ref="G805">_xlfn.XLOOKUP(D805&amp;C805, Sheet2!$A$2:$A$558&amp;Sheet2!$B$2:$B$558, Sheet2!$C$2:$C$558, "")</f>
        <v/>
      </c>
      <c r="H805" s="40" t="str">
        <f t="shared" si="12"/>
        <v/>
      </c>
    </row>
    <row r="806" spans="1:8" ht="15.5" x14ac:dyDescent="0.35">
      <c r="A806" s="7">
        <v>805</v>
      </c>
      <c r="B806" s="8">
        <v>16109</v>
      </c>
      <c r="C806" s="31" t="s">
        <v>782</v>
      </c>
      <c r="D806" s="8" t="s">
        <v>1069</v>
      </c>
      <c r="E806" s="7">
        <v>1996</v>
      </c>
      <c r="F806" s="36" t="str" cm="1">
        <f t="array" ref="F806">_xlfn.XLOOKUP(D806&amp;C806, Sheet3!$C$2:$C$1224&amp;Sheet3!$B$2:$B$1224, Sheet3!$D$2:$D$1224, "")</f>
        <v/>
      </c>
      <c r="G806" s="1" t="str" cm="1">
        <f t="array" ref="G806">_xlfn.XLOOKUP(D806&amp;C806, Sheet2!$A$2:$A$558&amp;Sheet2!$B$2:$B$558, Sheet2!$C$2:$C$558, "")</f>
        <v/>
      </c>
      <c r="H806" s="40" t="str">
        <f t="shared" si="12"/>
        <v/>
      </c>
    </row>
    <row r="807" spans="1:8" ht="15.5" x14ac:dyDescent="0.35">
      <c r="A807" s="7">
        <v>806</v>
      </c>
      <c r="B807" s="8">
        <v>16079</v>
      </c>
      <c r="C807" s="31" t="s">
        <v>783</v>
      </c>
      <c r="D807" s="8" t="s">
        <v>1069</v>
      </c>
      <c r="E807" s="7">
        <v>1996</v>
      </c>
      <c r="F807" s="36" t="str" cm="1">
        <f t="array" ref="F807">_xlfn.XLOOKUP(D807&amp;C807, Sheet3!$C$2:$C$1224&amp;Sheet3!$B$2:$B$1224, Sheet3!$D$2:$D$1224, "")</f>
        <v/>
      </c>
      <c r="G807" s="1" t="str" cm="1">
        <f t="array" ref="G807">_xlfn.XLOOKUP(D807&amp;C807, Sheet2!$A$2:$A$558&amp;Sheet2!$B$2:$B$558, Sheet2!$C$2:$C$558, "")</f>
        <v>herso10@yahoo.com</v>
      </c>
      <c r="H807" s="40" t="str">
        <f t="shared" si="12"/>
        <v>herso10@yahoo.com</v>
      </c>
    </row>
    <row r="808" spans="1:8" ht="15.5" x14ac:dyDescent="0.35">
      <c r="A808" s="7">
        <v>807</v>
      </c>
      <c r="B808" s="8">
        <v>12738</v>
      </c>
      <c r="C808" s="31" t="s">
        <v>784</v>
      </c>
      <c r="D808" s="8" t="s">
        <v>1065</v>
      </c>
      <c r="E808" s="7">
        <v>1996</v>
      </c>
      <c r="F808" s="36" t="str" cm="1">
        <f t="array" ref="F808">_xlfn.XLOOKUP(D808&amp;C808, Sheet3!$C$2:$C$1224&amp;Sheet3!$B$2:$B$1224, Sheet3!$D$2:$D$1224, "")</f>
        <v/>
      </c>
      <c r="G808" s="1" t="str" cm="1">
        <f t="array" ref="G808">_xlfn.XLOOKUP(D808&amp;C808, Sheet2!$A$2:$A$558&amp;Sheet2!$B$2:$B$558, Sheet2!$C$2:$C$558, "")</f>
        <v/>
      </c>
      <c r="H808" s="40" t="str">
        <f t="shared" si="12"/>
        <v/>
      </c>
    </row>
    <row r="809" spans="1:8" ht="15.5" x14ac:dyDescent="0.35">
      <c r="A809" s="7">
        <v>808</v>
      </c>
      <c r="B809" s="8">
        <v>16030</v>
      </c>
      <c r="C809" s="31" t="s">
        <v>785</v>
      </c>
      <c r="D809" s="8" t="s">
        <v>1069</v>
      </c>
      <c r="E809" s="7">
        <v>1996</v>
      </c>
      <c r="F809" s="36" t="str" cm="1">
        <f t="array" ref="F809">_xlfn.XLOOKUP(D809&amp;C809, Sheet3!$C$2:$C$1224&amp;Sheet3!$B$2:$B$1224, Sheet3!$D$2:$D$1224, "")</f>
        <v>syarifbc@yahoo.co.id</v>
      </c>
      <c r="G809" s="1" t="str" cm="1">
        <f t="array" ref="G809">_xlfn.XLOOKUP(D809&amp;C809, Sheet2!$A$2:$A$558&amp;Sheet2!$B$2:$B$558, Sheet2!$C$2:$C$558, "")</f>
        <v/>
      </c>
      <c r="H809" s="40" t="str">
        <f t="shared" si="12"/>
        <v>syarifbc@yahoo.co.id</v>
      </c>
    </row>
    <row r="810" spans="1:8" ht="15.5" x14ac:dyDescent="0.35">
      <c r="A810" s="7">
        <v>809</v>
      </c>
      <c r="B810" s="8">
        <v>16725</v>
      </c>
      <c r="C810" s="31" t="s">
        <v>786</v>
      </c>
      <c r="D810" s="8" t="s">
        <v>1070</v>
      </c>
      <c r="E810" s="7">
        <v>1996</v>
      </c>
      <c r="F810" s="36" t="str" cm="1">
        <f t="array" ref="F810">_xlfn.XLOOKUP(D810&amp;C810, Sheet3!$C$2:$C$1224&amp;Sheet3!$B$2:$B$1224, Sheet3!$D$2:$D$1224, "")</f>
        <v>ekhar2023@gmail.com</v>
      </c>
      <c r="G810" s="1" t="str" cm="1">
        <f t="array" ref="G810">_xlfn.XLOOKUP(D810&amp;C810, Sheet2!$A$2:$A$558&amp;Sheet2!$B$2:$B$558, Sheet2!$C$2:$C$558, "")</f>
        <v/>
      </c>
      <c r="H810" s="40" t="str">
        <f t="shared" si="12"/>
        <v>ekhar2023@gmail.com</v>
      </c>
    </row>
    <row r="811" spans="1:8" ht="15.5" x14ac:dyDescent="0.35">
      <c r="A811" s="7">
        <v>810</v>
      </c>
      <c r="B811" s="8">
        <v>15448</v>
      </c>
      <c r="C811" s="31" t="s">
        <v>787</v>
      </c>
      <c r="D811" s="8" t="s">
        <v>1068</v>
      </c>
      <c r="E811" s="7">
        <v>1996</v>
      </c>
      <c r="F811" s="36" t="str" cm="1">
        <f t="array" ref="F811">_xlfn.XLOOKUP(D811&amp;C811, Sheet3!$C$2:$C$1224&amp;Sheet3!$B$2:$B$1224, Sheet3!$D$2:$D$1224, "")</f>
        <v/>
      </c>
      <c r="G811" s="1" t="str" cm="1">
        <f t="array" ref="G811">_xlfn.XLOOKUP(D811&amp;C811, Sheet2!$A$2:$A$558&amp;Sheet2!$B$2:$B$558, Sheet2!$C$2:$C$558, "")</f>
        <v/>
      </c>
      <c r="H811" s="40" t="str">
        <f t="shared" si="12"/>
        <v/>
      </c>
    </row>
    <row r="812" spans="1:8" ht="15.5" x14ac:dyDescent="0.35">
      <c r="A812" s="7">
        <v>811</v>
      </c>
      <c r="B812" s="8">
        <v>17460</v>
      </c>
      <c r="C812" s="31" t="s">
        <v>788</v>
      </c>
      <c r="D812" s="8" t="s">
        <v>1071</v>
      </c>
      <c r="E812" s="7">
        <v>1996</v>
      </c>
      <c r="F812" s="36" t="str" cm="1">
        <f t="array" ref="F812">_xlfn.XLOOKUP(D812&amp;C812, Sheet3!$C$2:$C$1224&amp;Sheet3!$B$2:$B$1224, Sheet3!$D$2:$D$1224, "")</f>
        <v>ags.sulist@gmail.com</v>
      </c>
      <c r="G812" s="1" t="str" cm="1">
        <f t="array" ref="G812">_xlfn.XLOOKUP(D812&amp;C812, Sheet2!$A$2:$A$558&amp;Sheet2!$B$2:$B$558, Sheet2!$C$2:$C$558, "")</f>
        <v>ags.sulist@gmail.com</v>
      </c>
      <c r="H812" s="40" t="str">
        <f t="shared" si="12"/>
        <v>ags.sulist@gmail.com</v>
      </c>
    </row>
    <row r="813" spans="1:8" ht="15.5" x14ac:dyDescent="0.35">
      <c r="A813" s="7">
        <v>812</v>
      </c>
      <c r="B813" s="8">
        <v>16364</v>
      </c>
      <c r="C813" s="31" t="s">
        <v>789</v>
      </c>
      <c r="D813" s="8" t="s">
        <v>1070</v>
      </c>
      <c r="E813" s="7">
        <v>1996</v>
      </c>
      <c r="F813" s="36" t="str" cm="1">
        <f t="array" ref="F813">_xlfn.XLOOKUP(D813&amp;C813, Sheet3!$C$2:$C$1224&amp;Sheet3!$B$2:$B$1224, Sheet3!$D$2:$D$1224, "")</f>
        <v/>
      </c>
      <c r="G813" s="1" t="str" cm="1">
        <f t="array" ref="G813">_xlfn.XLOOKUP(D813&amp;C813, Sheet2!$A$2:$A$558&amp;Sheet2!$B$2:$B$558, Sheet2!$C$2:$C$558, "")</f>
        <v>agung.hmw@gmail.com</v>
      </c>
      <c r="H813" s="40" t="str">
        <f t="shared" si="12"/>
        <v>agung.hmw@gmail.com</v>
      </c>
    </row>
    <row r="814" spans="1:8" ht="15.5" x14ac:dyDescent="0.35">
      <c r="A814" s="7">
        <v>813</v>
      </c>
      <c r="B814" s="8">
        <v>16532</v>
      </c>
      <c r="C814" s="31" t="s">
        <v>790</v>
      </c>
      <c r="D814" s="8" t="s">
        <v>1070</v>
      </c>
      <c r="E814" s="7">
        <v>1996</v>
      </c>
      <c r="F814" s="36" t="str" cm="1">
        <f t="array" ref="F814">_xlfn.XLOOKUP(D814&amp;C814, Sheet3!$C$2:$C$1224&amp;Sheet3!$B$2:$B$1224, Sheet3!$D$2:$D$1224, "")</f>
        <v/>
      </c>
      <c r="G814" s="1" t="str" cm="1">
        <f t="array" ref="G814">_xlfn.XLOOKUP(D814&amp;C814, Sheet2!$A$2:$A$558&amp;Sheet2!$B$2:$B$558, Sheet2!$C$2:$C$558, "")</f>
        <v/>
      </c>
      <c r="H814" s="40" t="str">
        <f t="shared" si="12"/>
        <v/>
      </c>
    </row>
    <row r="815" spans="1:8" ht="15.5" x14ac:dyDescent="0.35">
      <c r="A815" s="7">
        <v>814</v>
      </c>
      <c r="B815" s="8">
        <v>15514</v>
      </c>
      <c r="C815" s="31" t="s">
        <v>791</v>
      </c>
      <c r="D815" s="8" t="s">
        <v>1068</v>
      </c>
      <c r="E815" s="7">
        <v>1996</v>
      </c>
      <c r="F815" s="36" t="str" cm="1">
        <f t="array" ref="F815">_xlfn.XLOOKUP(D815&amp;C815, Sheet3!$C$2:$C$1224&amp;Sheet3!$B$2:$B$1224, Sheet3!$D$2:$D$1224, "")</f>
        <v>rakhmatyasin69@gmail.com</v>
      </c>
      <c r="G815" s="1" t="str" cm="1">
        <f t="array" ref="G815">_xlfn.XLOOKUP(D815&amp;C815, Sheet2!$A$2:$A$558&amp;Sheet2!$B$2:$B$558, Sheet2!$C$2:$C$558, "")</f>
        <v/>
      </c>
      <c r="H815" s="40" t="str">
        <f t="shared" si="12"/>
        <v>rakhmatyasin69@gmail.com</v>
      </c>
    </row>
    <row r="816" spans="1:8" ht="15.5" x14ac:dyDescent="0.35">
      <c r="A816" s="7">
        <v>815</v>
      </c>
      <c r="B816" s="8">
        <v>17054</v>
      </c>
      <c r="C816" s="31" t="s">
        <v>792</v>
      </c>
      <c r="D816" s="8" t="s">
        <v>1071</v>
      </c>
      <c r="E816" s="7">
        <v>1996</v>
      </c>
      <c r="F816" s="36" t="str" cm="1">
        <f t="array" ref="F816">_xlfn.XLOOKUP(D816&amp;C816, Sheet3!$C$2:$C$1224&amp;Sheet3!$B$2:$B$1224, Sheet3!$D$2:$D$1224, "")</f>
        <v/>
      </c>
      <c r="G816" s="1" t="str" cm="1">
        <f t="array" ref="G816">_xlfn.XLOOKUP(D816&amp;C816, Sheet2!$A$2:$A$558&amp;Sheet2!$B$2:$B$558, Sheet2!$C$2:$C$558, "")</f>
        <v/>
      </c>
      <c r="H816" s="40" t="str">
        <f t="shared" si="12"/>
        <v/>
      </c>
    </row>
    <row r="817" spans="1:8" ht="15.5" x14ac:dyDescent="0.35">
      <c r="A817" s="7">
        <v>816</v>
      </c>
      <c r="B817" s="8">
        <v>15092</v>
      </c>
      <c r="C817" s="31" t="s">
        <v>793</v>
      </c>
      <c r="D817" s="8" t="s">
        <v>1064</v>
      </c>
      <c r="E817" s="7">
        <v>1996</v>
      </c>
      <c r="F817" s="36" t="str" cm="1">
        <f t="array" ref="F817">_xlfn.XLOOKUP(D817&amp;C817, Sheet3!$C$2:$C$1224&amp;Sheet3!$B$2:$B$1224, Sheet3!$D$2:$D$1224, "")</f>
        <v/>
      </c>
      <c r="G817" s="1" t="str" cm="1">
        <f t="array" ref="G817">_xlfn.XLOOKUP(D817&amp;C817, Sheet2!$A$2:$A$558&amp;Sheet2!$B$2:$B$558, Sheet2!$C$2:$C$558, "")</f>
        <v/>
      </c>
      <c r="H817" s="40" t="str">
        <f t="shared" si="12"/>
        <v/>
      </c>
    </row>
    <row r="818" spans="1:8" ht="15.5" x14ac:dyDescent="0.35">
      <c r="A818" s="7">
        <v>817</v>
      </c>
      <c r="B818" s="8">
        <v>16157</v>
      </c>
      <c r="C818" s="31" t="s">
        <v>794</v>
      </c>
      <c r="D818" s="8" t="s">
        <v>1069</v>
      </c>
      <c r="E818" s="7">
        <v>1996</v>
      </c>
      <c r="F818" s="36" t="str" cm="1">
        <f t="array" ref="F818">_xlfn.XLOOKUP(D818&amp;C818, Sheet3!$C$2:$C$1224&amp;Sheet3!$B$2:$B$1224, Sheet3!$D$2:$D$1224, "")</f>
        <v/>
      </c>
      <c r="G818" s="1" t="str" cm="1">
        <f t="array" ref="G818">_xlfn.XLOOKUP(D818&amp;C818, Sheet2!$A$2:$A$558&amp;Sheet2!$B$2:$B$558, Sheet2!$C$2:$C$558, "")</f>
        <v/>
      </c>
      <c r="H818" s="40" t="str">
        <f t="shared" si="12"/>
        <v/>
      </c>
    </row>
    <row r="819" spans="1:8" ht="15.5" x14ac:dyDescent="0.35">
      <c r="A819" s="7">
        <v>818</v>
      </c>
      <c r="B819" s="8">
        <v>17430</v>
      </c>
      <c r="C819" s="31" t="s">
        <v>795</v>
      </c>
      <c r="D819" s="8" t="s">
        <v>1071</v>
      </c>
      <c r="E819" s="7">
        <v>1996</v>
      </c>
      <c r="F819" s="36" t="str" cm="1">
        <f t="array" ref="F819">_xlfn.XLOOKUP(D819&amp;C819, Sheet3!$C$2:$C$1224&amp;Sheet3!$B$2:$B$1224, Sheet3!$D$2:$D$1224, "")</f>
        <v/>
      </c>
      <c r="G819" s="1" t="str" cm="1">
        <f t="array" ref="G819">_xlfn.XLOOKUP(D819&amp;C819, Sheet2!$A$2:$A$558&amp;Sheet2!$B$2:$B$558, Sheet2!$C$2:$C$558, "")</f>
        <v/>
      </c>
      <c r="H819" s="40" t="str">
        <f t="shared" si="12"/>
        <v/>
      </c>
    </row>
    <row r="820" spans="1:8" ht="15.5" x14ac:dyDescent="0.35">
      <c r="A820" s="7">
        <v>819</v>
      </c>
      <c r="B820" s="8">
        <v>13254</v>
      </c>
      <c r="C820" s="31" t="s">
        <v>796</v>
      </c>
      <c r="D820" s="8" t="s">
        <v>1067</v>
      </c>
      <c r="E820" s="7">
        <v>1996</v>
      </c>
      <c r="F820" s="36" t="str" cm="1">
        <f t="array" ref="F820">_xlfn.XLOOKUP(D820&amp;C820, Sheet3!$C$2:$C$1224&amp;Sheet3!$B$2:$B$1224, Sheet3!$D$2:$D$1224, "")</f>
        <v>wahyu_sutarto@rocketmail.com</v>
      </c>
      <c r="G820" s="1" t="str" cm="1">
        <f t="array" ref="G820">_xlfn.XLOOKUP(D820&amp;C820, Sheet2!$A$2:$A$558&amp;Sheet2!$B$2:$B$558, Sheet2!$C$2:$C$558, "")</f>
        <v/>
      </c>
      <c r="H820" s="40" t="str">
        <f t="shared" si="12"/>
        <v>wahyu_sutarto@rocketmail.com</v>
      </c>
    </row>
    <row r="821" spans="1:8" ht="15.5" x14ac:dyDescent="0.35">
      <c r="A821" s="7">
        <v>820</v>
      </c>
      <c r="B821" s="8">
        <v>17429</v>
      </c>
      <c r="C821" s="31" t="s">
        <v>797</v>
      </c>
      <c r="D821" s="8" t="s">
        <v>1071</v>
      </c>
      <c r="E821" s="7">
        <v>1996</v>
      </c>
      <c r="F821" s="36" t="str" cm="1">
        <f t="array" ref="F821">_xlfn.XLOOKUP(D821&amp;C821, Sheet3!$C$2:$C$1224&amp;Sheet3!$B$2:$B$1224, Sheet3!$D$2:$D$1224, "")</f>
        <v/>
      </c>
      <c r="G821" s="1" t="str" cm="1">
        <f t="array" ref="G821">_xlfn.XLOOKUP(D821&amp;C821, Sheet2!$A$2:$A$558&amp;Sheet2!$B$2:$B$558, Sheet2!$C$2:$C$558, "")</f>
        <v>farid.djailolo@gmail.com</v>
      </c>
      <c r="H821" s="40" t="str">
        <f t="shared" si="12"/>
        <v>farid.djailolo@gmail.com</v>
      </c>
    </row>
    <row r="822" spans="1:8" ht="15.5" x14ac:dyDescent="0.35">
      <c r="A822" s="7">
        <v>821</v>
      </c>
      <c r="B822" s="8">
        <v>17426</v>
      </c>
      <c r="C822" s="31" t="s">
        <v>798</v>
      </c>
      <c r="D822" s="8" t="s">
        <v>1071</v>
      </c>
      <c r="E822" s="7">
        <v>1996</v>
      </c>
      <c r="F822" s="36" t="str" cm="1">
        <f t="array" ref="F822">_xlfn.XLOOKUP(D822&amp;C822, Sheet3!$C$2:$C$1224&amp;Sheet3!$B$2:$B$1224, Sheet3!$D$2:$D$1224, "")</f>
        <v>zida.gadiz@gmail.com</v>
      </c>
      <c r="G822" s="1" t="str" cm="1">
        <f t="array" ref="G822">_xlfn.XLOOKUP(D822&amp;C822, Sheet2!$A$2:$A$558&amp;Sheet2!$B$2:$B$558, Sheet2!$C$2:$C$558, "")</f>
        <v/>
      </c>
      <c r="H822" s="40" t="str">
        <f t="shared" si="12"/>
        <v>zida.gadiz@gmail.com</v>
      </c>
    </row>
    <row r="823" spans="1:8" ht="15.5" x14ac:dyDescent="0.35">
      <c r="A823" s="7">
        <v>822</v>
      </c>
      <c r="B823" s="8">
        <v>16096</v>
      </c>
      <c r="C823" s="31" t="s">
        <v>5833</v>
      </c>
      <c r="D823" s="8" t="s">
        <v>1069</v>
      </c>
      <c r="E823" s="7">
        <v>1996</v>
      </c>
      <c r="F823" s="36" t="str" cm="1">
        <f t="array" ref="F823">_xlfn.XLOOKUP(D823&amp;C823, Sheet3!$C$2:$C$1224&amp;Sheet3!$B$2:$B$1224, Sheet3!$D$2:$D$1224, "")</f>
        <v>shpakpahan@gmail.com</v>
      </c>
      <c r="G823" s="1" t="str" cm="1">
        <f t="array" ref="G823">_xlfn.XLOOKUP(D823&amp;C823, Sheet2!$A$2:$A$558&amp;Sheet2!$B$2:$B$558, Sheet2!$C$2:$C$558, "")</f>
        <v/>
      </c>
      <c r="H823" s="40" t="str">
        <f t="shared" si="12"/>
        <v>shpakpahan@gmail.com</v>
      </c>
    </row>
    <row r="824" spans="1:8" ht="15.5" x14ac:dyDescent="0.35">
      <c r="A824" s="7">
        <v>823</v>
      </c>
      <c r="B824" s="8">
        <v>14640</v>
      </c>
      <c r="C824" s="31" t="s">
        <v>799</v>
      </c>
      <c r="D824" s="8" t="s">
        <v>1064</v>
      </c>
      <c r="E824" s="7">
        <v>1996</v>
      </c>
      <c r="F824" s="36" t="str" cm="1">
        <f t="array" ref="F824">_xlfn.XLOOKUP(D824&amp;C824, Sheet3!$C$2:$C$1224&amp;Sheet3!$B$2:$B$1224, Sheet3!$D$2:$D$1224, "")</f>
        <v/>
      </c>
      <c r="G824" s="1" t="str" cm="1">
        <f t="array" ref="G824">_xlfn.XLOOKUP(D824&amp;C824, Sheet2!$A$2:$A$558&amp;Sheet2!$B$2:$B$558, Sheet2!$C$2:$C$558, "")</f>
        <v/>
      </c>
      <c r="H824" s="40" t="str">
        <f t="shared" si="12"/>
        <v/>
      </c>
    </row>
    <row r="825" spans="1:8" ht="15.5" x14ac:dyDescent="0.35">
      <c r="A825" s="7">
        <v>824</v>
      </c>
      <c r="B825" s="8">
        <v>16031</v>
      </c>
      <c r="C825" s="31" t="s">
        <v>800</v>
      </c>
      <c r="D825" s="8" t="s">
        <v>1069</v>
      </c>
      <c r="E825" s="7">
        <v>1996</v>
      </c>
      <c r="F825" s="36" t="str" cm="1">
        <f t="array" ref="F825">_xlfn.XLOOKUP(D825&amp;C825, Sheet3!$C$2:$C$1224&amp;Sheet3!$B$2:$B$1224, Sheet3!$D$2:$D$1224, "")</f>
        <v/>
      </c>
      <c r="G825" s="1" t="str" cm="1">
        <f t="array" ref="G825">_xlfn.XLOOKUP(D825&amp;C825, Sheet2!$A$2:$A$558&amp;Sheet2!$B$2:$B$558, Sheet2!$C$2:$C$558, "")</f>
        <v/>
      </c>
      <c r="H825" s="40" t="str">
        <f t="shared" si="12"/>
        <v/>
      </c>
    </row>
    <row r="826" spans="1:8" ht="15.5" x14ac:dyDescent="0.35">
      <c r="A826" s="7">
        <v>825</v>
      </c>
      <c r="B826" s="8">
        <v>16239</v>
      </c>
      <c r="C826" s="31" t="s">
        <v>801</v>
      </c>
      <c r="D826" s="8" t="s">
        <v>1069</v>
      </c>
      <c r="E826" s="7">
        <v>1996</v>
      </c>
      <c r="F826" s="36" t="str" cm="1">
        <f t="array" ref="F826">_xlfn.XLOOKUP(D826&amp;C826, Sheet3!$C$2:$C$1224&amp;Sheet3!$B$2:$B$1224, Sheet3!$D$2:$D$1224, "")</f>
        <v/>
      </c>
      <c r="G826" s="1" t="str" cm="1">
        <f t="array" ref="G826">_xlfn.XLOOKUP(D826&amp;C826, Sheet2!$A$2:$A$558&amp;Sheet2!$B$2:$B$558, Sheet2!$C$2:$C$558, "")</f>
        <v/>
      </c>
      <c r="H826" s="40" t="str">
        <f t="shared" si="12"/>
        <v/>
      </c>
    </row>
    <row r="827" spans="1:8" ht="15.5" x14ac:dyDescent="0.35">
      <c r="A827" s="7">
        <v>826</v>
      </c>
      <c r="B827" s="8">
        <v>16899</v>
      </c>
      <c r="C827" s="31" t="s">
        <v>802</v>
      </c>
      <c r="D827" s="8" t="s">
        <v>1070</v>
      </c>
      <c r="E827" s="7">
        <v>1996</v>
      </c>
      <c r="F827" s="36" t="str" cm="1">
        <f t="array" ref="F827">_xlfn.XLOOKUP(D827&amp;C827, Sheet3!$C$2:$C$1224&amp;Sheet3!$B$2:$B$1224, Sheet3!$D$2:$D$1224, "")</f>
        <v/>
      </c>
      <c r="G827" s="1" t="str" cm="1">
        <f t="array" ref="G827">_xlfn.XLOOKUP(D827&amp;C827, Sheet2!$A$2:$A$558&amp;Sheet2!$B$2:$B$558, Sheet2!$C$2:$C$558, "")</f>
        <v/>
      </c>
      <c r="H827" s="40" t="str">
        <f t="shared" si="12"/>
        <v/>
      </c>
    </row>
    <row r="828" spans="1:8" ht="15.5" x14ac:dyDescent="0.35">
      <c r="A828" s="7">
        <v>827</v>
      </c>
      <c r="B828" s="8">
        <v>16199</v>
      </c>
      <c r="C828" s="31" t="s">
        <v>803</v>
      </c>
      <c r="D828" s="8" t="s">
        <v>1069</v>
      </c>
      <c r="E828" s="7">
        <v>1996</v>
      </c>
      <c r="F828" s="36" t="str" cm="1">
        <f t="array" ref="F828">_xlfn.XLOOKUP(D828&amp;C828, Sheet3!$C$2:$C$1224&amp;Sheet3!$B$2:$B$1224, Sheet3!$D$2:$D$1224, "")</f>
        <v>kristanto196905@gmail.com</v>
      </c>
      <c r="G828" s="1" t="str" cm="1">
        <f t="array" ref="G828">_xlfn.XLOOKUP(D828&amp;C828, Sheet2!$A$2:$A$558&amp;Sheet2!$B$2:$B$558, Sheet2!$C$2:$C$558, "")</f>
        <v/>
      </c>
      <c r="H828" s="40" t="str">
        <f t="shared" si="12"/>
        <v>kristanto196905@gmail.com</v>
      </c>
    </row>
    <row r="829" spans="1:8" ht="15.5" x14ac:dyDescent="0.35">
      <c r="A829" s="7">
        <v>828</v>
      </c>
      <c r="B829" s="8">
        <v>15134</v>
      </c>
      <c r="C829" s="31" t="s">
        <v>804</v>
      </c>
      <c r="D829" s="8" t="s">
        <v>1068</v>
      </c>
      <c r="E829" s="7">
        <v>1996</v>
      </c>
      <c r="F829" s="36" t="str" cm="1">
        <f t="array" ref="F829">_xlfn.XLOOKUP(D829&amp;C829, Sheet3!$C$2:$C$1224&amp;Sheet3!$B$2:$B$1224, Sheet3!$D$2:$D$1224, "")</f>
        <v>suharmonobambang@yahoo.co.id</v>
      </c>
      <c r="G829" s="1" t="str" cm="1">
        <f t="array" ref="G829">_xlfn.XLOOKUP(D829&amp;C829, Sheet2!$A$2:$A$558&amp;Sheet2!$B$2:$B$558, Sheet2!$C$2:$C$558, "")</f>
        <v>suharmonobambang@yahoo.co.id</v>
      </c>
      <c r="H829" s="40" t="str">
        <f t="shared" si="12"/>
        <v>suharmonobambang@yahoo.co.id</v>
      </c>
    </row>
    <row r="830" spans="1:8" ht="15.5" x14ac:dyDescent="0.35">
      <c r="A830" s="7">
        <v>829</v>
      </c>
      <c r="B830" s="8">
        <v>16195</v>
      </c>
      <c r="C830" s="31" t="s">
        <v>805</v>
      </c>
      <c r="D830" s="8" t="s">
        <v>1069</v>
      </c>
      <c r="E830" s="7">
        <v>1996</v>
      </c>
      <c r="F830" s="36" t="str" cm="1">
        <f t="array" ref="F830">_xlfn.XLOOKUP(D830&amp;C830, Sheet3!$C$2:$C$1224&amp;Sheet3!$B$2:$B$1224, Sheet3!$D$2:$D$1224, "")</f>
        <v>ojiktgd@gmail.com</v>
      </c>
      <c r="G830" s="1" t="str" cm="1">
        <f t="array" ref="G830">_xlfn.XLOOKUP(D830&amp;C830, Sheet2!$A$2:$A$558&amp;Sheet2!$B$2:$B$558, Sheet2!$C$2:$C$558, "")</f>
        <v>ojiktgd@gmail.com</v>
      </c>
      <c r="H830" s="40" t="str">
        <f t="shared" si="12"/>
        <v>ojiktgd@gmail.com</v>
      </c>
    </row>
    <row r="831" spans="1:8" ht="15.5" x14ac:dyDescent="0.35">
      <c r="A831" s="7">
        <v>830</v>
      </c>
      <c r="B831" s="8">
        <v>14713</v>
      </c>
      <c r="C831" s="31" t="s">
        <v>806</v>
      </c>
      <c r="D831" s="8" t="s">
        <v>1064</v>
      </c>
      <c r="E831" s="7">
        <v>1996</v>
      </c>
      <c r="F831" s="36" t="str" cm="1">
        <f t="array" ref="F831">_xlfn.XLOOKUP(D831&amp;C831, Sheet3!$C$2:$C$1224&amp;Sheet3!$B$2:$B$1224, Sheet3!$D$2:$D$1224, "")</f>
        <v/>
      </c>
      <c r="G831" s="1" t="str" cm="1">
        <f t="array" ref="G831">_xlfn.XLOOKUP(D831&amp;C831, Sheet2!$A$2:$A$558&amp;Sheet2!$B$2:$B$558, Sheet2!$C$2:$C$558, "")</f>
        <v/>
      </c>
      <c r="H831" s="40" t="str">
        <f t="shared" si="12"/>
        <v/>
      </c>
    </row>
    <row r="832" spans="1:8" ht="15.5" x14ac:dyDescent="0.35">
      <c r="A832" s="7">
        <v>831</v>
      </c>
      <c r="B832" s="8">
        <v>16912</v>
      </c>
      <c r="C832" s="31" t="s">
        <v>807</v>
      </c>
      <c r="D832" s="8" t="s">
        <v>1070</v>
      </c>
      <c r="E832" s="7">
        <v>1996</v>
      </c>
      <c r="F832" s="36" t="str" cm="1">
        <f t="array" ref="F832">_xlfn.XLOOKUP(D832&amp;C832, Sheet3!$C$2:$C$1224&amp;Sheet3!$B$2:$B$1224, Sheet3!$D$2:$D$1224, "")</f>
        <v>btjahjaadiwibawa@gmail.com</v>
      </c>
      <c r="G832" s="1" t="str" cm="1">
        <f t="array" ref="G832">_xlfn.XLOOKUP(D832&amp;C832, Sheet2!$A$2:$A$558&amp;Sheet2!$B$2:$B$558, Sheet2!$C$2:$C$558, "")</f>
        <v>btjahjaadiwibawa@gmail.com</v>
      </c>
      <c r="H832" s="40" t="str">
        <f t="shared" si="12"/>
        <v>btjahjaadiwibawa@gmail.com</v>
      </c>
    </row>
    <row r="833" spans="1:8" ht="15.5" x14ac:dyDescent="0.35">
      <c r="A833" s="7">
        <v>832</v>
      </c>
      <c r="B833" s="8">
        <v>17434</v>
      </c>
      <c r="C833" s="31" t="s">
        <v>808</v>
      </c>
      <c r="D833" s="8" t="s">
        <v>1071</v>
      </c>
      <c r="E833" s="7">
        <v>1996</v>
      </c>
      <c r="F833" s="36" t="str" cm="1">
        <f t="array" ref="F833">_xlfn.XLOOKUP(D833&amp;C833, Sheet3!$C$2:$C$1224&amp;Sheet3!$B$2:$B$1224, Sheet3!$D$2:$D$1224, "")</f>
        <v>aguspb2tr@gmail.com</v>
      </c>
      <c r="G833" s="1" t="str" cm="1">
        <f t="array" ref="G833">_xlfn.XLOOKUP(D833&amp;C833, Sheet2!$A$2:$A$558&amp;Sheet2!$B$2:$B$558, Sheet2!$C$2:$C$558, "")</f>
        <v/>
      </c>
      <c r="H833" s="40" t="str">
        <f t="shared" si="12"/>
        <v>aguspb2tr@gmail.com</v>
      </c>
    </row>
    <row r="834" spans="1:8" ht="15.5" x14ac:dyDescent="0.35">
      <c r="A834" s="7">
        <v>833</v>
      </c>
      <c r="B834" s="8">
        <v>17066</v>
      </c>
      <c r="C834" s="31" t="s">
        <v>809</v>
      </c>
      <c r="D834" s="8" t="s">
        <v>1071</v>
      </c>
      <c r="E834" s="7">
        <v>1996</v>
      </c>
      <c r="F834" s="36" t="str" cm="1">
        <f t="array" ref="F834">_xlfn.XLOOKUP(D834&amp;C834, Sheet3!$C$2:$C$1224&amp;Sheet3!$B$2:$B$1224, Sheet3!$D$2:$D$1224, "")</f>
        <v>AgusHar@gmail.com</v>
      </c>
      <c r="G834" s="1" t="str" cm="1">
        <f t="array" ref="G834">_xlfn.XLOOKUP(D834&amp;C834, Sheet2!$A$2:$A$558&amp;Sheet2!$B$2:$B$558, Sheet2!$C$2:$C$558, "")</f>
        <v>agusantohartanto@yahoo.com</v>
      </c>
      <c r="H834" s="40" t="str">
        <f t="shared" si="12"/>
        <v>AgusHar@gmail.com</v>
      </c>
    </row>
    <row r="835" spans="1:8" ht="15.5" x14ac:dyDescent="0.35">
      <c r="A835" s="7">
        <v>834</v>
      </c>
      <c r="B835" s="8">
        <v>15090</v>
      </c>
      <c r="C835" s="31" t="s">
        <v>810</v>
      </c>
      <c r="D835" s="8" t="s">
        <v>1064</v>
      </c>
      <c r="E835" s="7">
        <v>1996</v>
      </c>
      <c r="F835" s="36" t="str" cm="1">
        <f t="array" ref="F835">_xlfn.XLOOKUP(D835&amp;C835, Sheet3!$C$2:$C$1224&amp;Sheet3!$B$2:$B$1224, Sheet3!$D$2:$D$1224, "")</f>
        <v/>
      </c>
      <c r="G835" s="1" t="str" cm="1">
        <f t="array" ref="G835">_xlfn.XLOOKUP(D835&amp;C835, Sheet2!$A$2:$A$558&amp;Sheet2!$B$2:$B$558, Sheet2!$C$2:$C$558, "")</f>
        <v/>
      </c>
      <c r="H835" s="40" t="str">
        <f t="shared" ref="H835:H898" si="13">IF(F835&lt;&gt;"",F835,G835)</f>
        <v/>
      </c>
    </row>
    <row r="836" spans="1:8" ht="15.5" x14ac:dyDescent="0.35">
      <c r="A836" s="7">
        <v>835</v>
      </c>
      <c r="B836" s="8">
        <v>16172</v>
      </c>
      <c r="C836" s="31" t="s">
        <v>811</v>
      </c>
      <c r="D836" s="8" t="s">
        <v>1069</v>
      </c>
      <c r="E836" s="7">
        <v>1996</v>
      </c>
      <c r="F836" s="36" t="str" cm="1">
        <f t="array" ref="F836">_xlfn.XLOOKUP(D836&amp;C836, Sheet3!$C$2:$C$1224&amp;Sheet3!$B$2:$B$1224, Sheet3!$D$2:$D$1224, "")</f>
        <v/>
      </c>
      <c r="G836" s="1" t="str" cm="1">
        <f t="array" ref="G836">_xlfn.XLOOKUP(D836&amp;C836, Sheet2!$A$2:$A$558&amp;Sheet2!$B$2:$B$558, Sheet2!$C$2:$C$558, "")</f>
        <v/>
      </c>
      <c r="H836" s="40" t="str">
        <f t="shared" si="13"/>
        <v/>
      </c>
    </row>
    <row r="837" spans="1:8" ht="15.5" x14ac:dyDescent="0.35">
      <c r="A837" s="7">
        <v>836</v>
      </c>
      <c r="B837" s="8">
        <v>16187</v>
      </c>
      <c r="C837" s="31" t="s">
        <v>812</v>
      </c>
      <c r="D837" s="8" t="s">
        <v>1069</v>
      </c>
      <c r="E837" s="7">
        <v>1996</v>
      </c>
      <c r="F837" s="36" t="str" cm="1">
        <f t="array" ref="F837">_xlfn.XLOOKUP(D837&amp;C837, Sheet3!$C$2:$C$1224&amp;Sheet3!$B$2:$B$1224, Sheet3!$D$2:$D$1224, "")</f>
        <v>henny_magdalena@ft.unmul.ac.id</v>
      </c>
      <c r="G837" s="1" t="str" cm="1">
        <f t="array" ref="G837">_xlfn.XLOOKUP(D837&amp;C837, Sheet2!$A$2:$A$558&amp;Sheet2!$B$2:$B$558, Sheet2!$C$2:$C$558, "")</f>
        <v>hmagdalena89@gmail.com</v>
      </c>
      <c r="H837" s="40" t="str">
        <f t="shared" si="13"/>
        <v>henny_magdalena@ft.unmul.ac.id</v>
      </c>
    </row>
    <row r="838" spans="1:8" ht="15.5" x14ac:dyDescent="0.35">
      <c r="A838" s="7">
        <v>837</v>
      </c>
      <c r="B838" s="8">
        <v>17421</v>
      </c>
      <c r="C838" s="31" t="s">
        <v>813</v>
      </c>
      <c r="D838" s="8" t="s">
        <v>1071</v>
      </c>
      <c r="E838" s="7">
        <v>1996</v>
      </c>
      <c r="F838" s="36" t="str" cm="1">
        <f t="array" ref="F838">_xlfn.XLOOKUP(D838&amp;C838, Sheet3!$C$2:$C$1224&amp;Sheet3!$B$2:$B$1224, Sheet3!$D$2:$D$1224, "")</f>
        <v>Win270973@gmail.com</v>
      </c>
      <c r="G838" s="1" t="str" cm="1">
        <f t="array" ref="G838">_xlfn.XLOOKUP(D838&amp;C838, Sheet2!$A$2:$A$558&amp;Sheet2!$B$2:$B$558, Sheet2!$C$2:$C$558, "")</f>
        <v>dik_winarto@yahoo.com</v>
      </c>
      <c r="H838" s="40" t="str">
        <f t="shared" si="13"/>
        <v>Win270973@gmail.com</v>
      </c>
    </row>
    <row r="839" spans="1:8" ht="15.5" x14ac:dyDescent="0.35">
      <c r="A839" s="7">
        <v>838</v>
      </c>
      <c r="B839" s="8">
        <v>16908</v>
      </c>
      <c r="C839" s="31" t="s">
        <v>814</v>
      </c>
      <c r="D839" s="8" t="s">
        <v>1070</v>
      </c>
      <c r="E839" s="7">
        <v>1996</v>
      </c>
      <c r="F839" s="36" t="str" cm="1">
        <f t="array" ref="F839">_xlfn.XLOOKUP(D839&amp;C839, Sheet3!$C$2:$C$1224&amp;Sheet3!$B$2:$B$1224, Sheet3!$D$2:$D$1224, "")</f>
        <v/>
      </c>
      <c r="G839" s="1" t="str" cm="1">
        <f t="array" ref="G839">_xlfn.XLOOKUP(D839&amp;C839, Sheet2!$A$2:$A$558&amp;Sheet2!$B$2:$B$558, Sheet2!$C$2:$C$558, "")</f>
        <v/>
      </c>
      <c r="H839" s="40" t="str">
        <f t="shared" si="13"/>
        <v/>
      </c>
    </row>
    <row r="840" spans="1:8" ht="15.5" x14ac:dyDescent="0.35">
      <c r="A840" s="7">
        <v>839</v>
      </c>
      <c r="B840" s="8">
        <v>17415</v>
      </c>
      <c r="C840" s="31" t="s">
        <v>815</v>
      </c>
      <c r="D840" s="8" t="s">
        <v>1071</v>
      </c>
      <c r="E840" s="7">
        <v>1996</v>
      </c>
      <c r="F840" s="36" t="str" cm="1">
        <f t="array" ref="F840">_xlfn.XLOOKUP(D840&amp;C840, Sheet3!$C$2:$C$1224&amp;Sheet3!$B$2:$B$1224, Sheet3!$D$2:$D$1224, "")</f>
        <v/>
      </c>
      <c r="G840" s="1" t="str" cm="1">
        <f t="array" ref="G840">_xlfn.XLOOKUP(D840&amp;C840, Sheet2!$A$2:$A$558&amp;Sheet2!$B$2:$B$558, Sheet2!$C$2:$C$558, "")</f>
        <v/>
      </c>
      <c r="H840" s="40" t="str">
        <f t="shared" si="13"/>
        <v/>
      </c>
    </row>
    <row r="841" spans="1:8" ht="15.5" x14ac:dyDescent="0.35">
      <c r="A841" s="7">
        <v>840</v>
      </c>
      <c r="B841" s="8">
        <v>15388</v>
      </c>
      <c r="C841" s="31" t="s">
        <v>816</v>
      </c>
      <c r="D841" s="8" t="s">
        <v>1068</v>
      </c>
      <c r="E841" s="7">
        <v>1996</v>
      </c>
      <c r="F841" s="36" t="str" cm="1">
        <f t="array" ref="F841">_xlfn.XLOOKUP(D841&amp;C841, Sheet3!$C$2:$C$1224&amp;Sheet3!$B$2:$B$1224, Sheet3!$D$2:$D$1224, "")</f>
        <v/>
      </c>
      <c r="G841" s="1" t="str" cm="1">
        <f t="array" ref="G841">_xlfn.XLOOKUP(D841&amp;C841, Sheet2!$A$2:$A$558&amp;Sheet2!$B$2:$B$558, Sheet2!$C$2:$C$558, "")</f>
        <v/>
      </c>
      <c r="H841" s="40" t="str">
        <f t="shared" si="13"/>
        <v/>
      </c>
    </row>
    <row r="842" spans="1:8" ht="15.5" x14ac:dyDescent="0.35">
      <c r="A842" s="7">
        <v>841</v>
      </c>
      <c r="B842" s="8">
        <v>17057</v>
      </c>
      <c r="C842" s="31" t="s">
        <v>3233</v>
      </c>
      <c r="D842" s="8" t="s">
        <v>1071</v>
      </c>
      <c r="E842" s="7">
        <v>1996</v>
      </c>
      <c r="F842" s="36" t="str" cm="1">
        <f t="array" ref="F842">_xlfn.XLOOKUP(D842&amp;C842, Sheet3!$C$2:$C$1224&amp;Sheet3!$B$2:$B$1224, Sheet3!$D$2:$D$1224, "")</f>
        <v>masykurgd@gmail.com</v>
      </c>
      <c r="G842" s="1" t="str" cm="1">
        <f t="array" ref="G842">_xlfn.XLOOKUP(D842&amp;C842, Sheet2!$A$2:$A$558&amp;Sheet2!$B$2:$B$558, Sheet2!$C$2:$C$558, "")</f>
        <v>mmasykur@gmail.com</v>
      </c>
      <c r="H842" s="40" t="str">
        <f t="shared" si="13"/>
        <v>masykurgd@gmail.com</v>
      </c>
    </row>
    <row r="843" spans="1:8" ht="15.5" x14ac:dyDescent="0.35">
      <c r="A843" s="7">
        <v>842</v>
      </c>
      <c r="B843" s="8">
        <v>17456</v>
      </c>
      <c r="C843" s="31" t="s">
        <v>817</v>
      </c>
      <c r="D843" s="8" t="s">
        <v>1071</v>
      </c>
      <c r="E843" s="7">
        <v>1996</v>
      </c>
      <c r="F843" s="36" t="str" cm="1">
        <f t="array" ref="F843">_xlfn.XLOOKUP(D843&amp;C843, Sheet3!$C$2:$C$1224&amp;Sheet3!$B$2:$B$1224, Sheet3!$D$2:$D$1224, "")</f>
        <v/>
      </c>
      <c r="G843" s="1" t="str" cm="1">
        <f t="array" ref="G843">_xlfn.XLOOKUP(D843&amp;C843, Sheet2!$A$2:$A$558&amp;Sheet2!$B$2:$B$558, Sheet2!$C$2:$C$558, "")</f>
        <v/>
      </c>
      <c r="H843" s="40" t="str">
        <f t="shared" si="13"/>
        <v/>
      </c>
    </row>
    <row r="844" spans="1:8" ht="15.5" x14ac:dyDescent="0.35">
      <c r="A844" s="7">
        <v>843</v>
      </c>
      <c r="B844" s="8">
        <v>13104</v>
      </c>
      <c r="C844" s="31" t="s">
        <v>818</v>
      </c>
      <c r="D844" s="8" t="s">
        <v>1065</v>
      </c>
      <c r="E844" s="7">
        <v>1996</v>
      </c>
      <c r="F844" s="36" t="str" cm="1">
        <f t="array" ref="F844">_xlfn.XLOOKUP(D844&amp;C844, Sheet3!$C$2:$C$1224&amp;Sheet3!$B$2:$B$1224, Sheet3!$D$2:$D$1224, "")</f>
        <v/>
      </c>
      <c r="G844" s="1" t="str" cm="1">
        <f t="array" ref="G844">_xlfn.XLOOKUP(D844&amp;C844, Sheet2!$A$2:$A$558&amp;Sheet2!$B$2:$B$558, Sheet2!$C$2:$C$558, "")</f>
        <v/>
      </c>
      <c r="H844" s="40" t="str">
        <f t="shared" si="13"/>
        <v/>
      </c>
    </row>
    <row r="845" spans="1:8" ht="15.5" x14ac:dyDescent="0.35">
      <c r="A845" s="7">
        <v>844</v>
      </c>
      <c r="B845" s="8">
        <v>14402</v>
      </c>
      <c r="C845" s="31" t="s">
        <v>819</v>
      </c>
      <c r="D845" s="8" t="s">
        <v>1066</v>
      </c>
      <c r="E845" s="7">
        <v>1996</v>
      </c>
      <c r="F845" s="36" t="str" cm="1">
        <f t="array" ref="F845">_xlfn.XLOOKUP(D845&amp;C845, Sheet3!$C$2:$C$1224&amp;Sheet3!$B$2:$B$1224, Sheet3!$D$2:$D$1224, "")</f>
        <v>rofiiarbadi@gmail.com</v>
      </c>
      <c r="G845" s="1" t="str" cm="1">
        <f t="array" ref="G845">_xlfn.XLOOKUP(D845&amp;C845, Sheet2!$A$2:$A$558&amp;Sheet2!$B$2:$B$558, Sheet2!$C$2:$C$558, "")</f>
        <v/>
      </c>
      <c r="H845" s="40" t="str">
        <f t="shared" si="13"/>
        <v>rofiiarbadi@gmail.com</v>
      </c>
    </row>
    <row r="846" spans="1:8" ht="15.5" x14ac:dyDescent="0.35">
      <c r="A846" s="7">
        <v>845</v>
      </c>
      <c r="B846" s="8">
        <v>16722</v>
      </c>
      <c r="C846" s="31" t="s">
        <v>820</v>
      </c>
      <c r="D846" s="8" t="s">
        <v>1070</v>
      </c>
      <c r="E846" s="7">
        <v>1996</v>
      </c>
      <c r="F846" s="36" t="str" cm="1">
        <f t="array" ref="F846">_xlfn.XLOOKUP(D846&amp;C846, Sheet3!$C$2:$C$1224&amp;Sheet3!$B$2:$B$1224, Sheet3!$D$2:$D$1224, "")</f>
        <v>Lia.Roedji@gmail.com</v>
      </c>
      <c r="G846" s="1" t="str" cm="1">
        <f t="array" ref="G846">_xlfn.XLOOKUP(D846&amp;C846, Sheet2!$A$2:$A$558&amp;Sheet2!$B$2:$B$558, Sheet2!$C$2:$C$558, "")</f>
        <v/>
      </c>
      <c r="H846" s="40" t="str">
        <f t="shared" si="13"/>
        <v>Lia.Roedji@gmail.com</v>
      </c>
    </row>
    <row r="847" spans="1:8" ht="15.5" x14ac:dyDescent="0.35">
      <c r="A847" s="7">
        <v>846</v>
      </c>
      <c r="B847" s="8">
        <v>17420</v>
      </c>
      <c r="C847" s="31" t="s">
        <v>821</v>
      </c>
      <c r="D847" s="8" t="s">
        <v>1071</v>
      </c>
      <c r="E847" s="7">
        <v>1996</v>
      </c>
      <c r="F847" s="36" t="str" cm="1">
        <f t="array" ref="F847">_xlfn.XLOOKUP(D847&amp;C847, Sheet3!$C$2:$C$1224&amp;Sheet3!$B$2:$B$1224, Sheet3!$D$2:$D$1224, "")</f>
        <v>purnamabs@ugm.ac.id</v>
      </c>
      <c r="G847" s="1" t="str" cm="1">
        <f t="array" ref="G847">_xlfn.XLOOKUP(D847&amp;C847, Sheet2!$A$2:$A$558&amp;Sheet2!$B$2:$B$558, Sheet2!$C$2:$C$558, "")</f>
        <v/>
      </c>
      <c r="H847" s="40" t="str">
        <f t="shared" si="13"/>
        <v>purnamabs@ugm.ac.id</v>
      </c>
    </row>
    <row r="848" spans="1:8" ht="15.5" x14ac:dyDescent="0.35">
      <c r="A848" s="7">
        <v>847</v>
      </c>
      <c r="B848" s="8">
        <v>13722</v>
      </c>
      <c r="C848" s="31" t="s">
        <v>3873</v>
      </c>
      <c r="D848" s="8" t="s">
        <v>1067</v>
      </c>
      <c r="E848" s="7">
        <v>1996</v>
      </c>
      <c r="F848" s="36" t="str" cm="1">
        <f t="array" ref="F848">_xlfn.XLOOKUP(D848&amp;C848, Sheet3!$C$2:$C$1224&amp;Sheet3!$B$2:$B$1224, Sheet3!$D$2:$D$1224, "")</f>
        <v>Atami02@yahoo.com</v>
      </c>
      <c r="G848" s="1" t="str" cm="1">
        <f t="array" ref="G848">_xlfn.XLOOKUP(D848&amp;C848, Sheet2!$A$2:$A$558&amp;Sheet2!$B$2:$B$558, Sheet2!$C$2:$C$558, "")</f>
        <v/>
      </c>
      <c r="H848" s="40" t="str">
        <f t="shared" si="13"/>
        <v>Atami02@yahoo.com</v>
      </c>
    </row>
    <row r="849" spans="1:8" ht="15.5" x14ac:dyDescent="0.35">
      <c r="A849" s="7">
        <v>848</v>
      </c>
      <c r="B849" s="8">
        <v>16909</v>
      </c>
      <c r="C849" s="31" t="s">
        <v>822</v>
      </c>
      <c r="D849" s="8" t="s">
        <v>1070</v>
      </c>
      <c r="E849" s="7">
        <v>1996</v>
      </c>
      <c r="F849" s="36" t="str" cm="1">
        <f t="array" ref="F849">_xlfn.XLOOKUP(D849&amp;C849, Sheet3!$C$2:$C$1224&amp;Sheet3!$B$2:$B$1224, Sheet3!$D$2:$D$1224, "")</f>
        <v/>
      </c>
      <c r="G849" s="1" t="str" cm="1">
        <f t="array" ref="G849">_xlfn.XLOOKUP(D849&amp;C849, Sheet2!$A$2:$A$558&amp;Sheet2!$B$2:$B$558, Sheet2!$C$2:$C$558, "")</f>
        <v/>
      </c>
      <c r="H849" s="40" t="str">
        <f t="shared" si="13"/>
        <v/>
      </c>
    </row>
    <row r="850" spans="1:8" ht="15.5" x14ac:dyDescent="0.35">
      <c r="A850" s="7">
        <v>849</v>
      </c>
      <c r="B850" s="8">
        <v>12826</v>
      </c>
      <c r="C850" s="31" t="s">
        <v>823</v>
      </c>
      <c r="D850" s="8" t="s">
        <v>1065</v>
      </c>
      <c r="E850" s="7">
        <v>1996</v>
      </c>
      <c r="F850" s="36" t="str" cm="1">
        <f t="array" ref="F850">_xlfn.XLOOKUP(D850&amp;C850, Sheet3!$C$2:$C$1224&amp;Sheet3!$B$2:$B$1224, Sheet3!$D$2:$D$1224, "")</f>
        <v/>
      </c>
      <c r="G850" s="1" t="str" cm="1">
        <f t="array" ref="G850">_xlfn.XLOOKUP(D850&amp;C850, Sheet2!$A$2:$A$558&amp;Sheet2!$B$2:$B$558, Sheet2!$C$2:$C$558, "")</f>
        <v/>
      </c>
      <c r="H850" s="40" t="str">
        <f t="shared" si="13"/>
        <v/>
      </c>
    </row>
    <row r="851" spans="1:8" ht="15.5" x14ac:dyDescent="0.35">
      <c r="A851" s="7">
        <v>850</v>
      </c>
      <c r="B851" s="8">
        <v>15037</v>
      </c>
      <c r="C851" s="31" t="s">
        <v>824</v>
      </c>
      <c r="D851" s="8" t="s">
        <v>1064</v>
      </c>
      <c r="E851" s="7">
        <v>1996</v>
      </c>
      <c r="F851" s="36" t="str" cm="1">
        <f t="array" ref="F851">_xlfn.XLOOKUP(D851&amp;C851, Sheet3!$C$2:$C$1224&amp;Sheet3!$B$2:$B$1224, Sheet3!$D$2:$D$1224, "")</f>
        <v/>
      </c>
      <c r="G851" s="1" t="str" cm="1">
        <f t="array" ref="G851">_xlfn.XLOOKUP(D851&amp;C851, Sheet2!$A$2:$A$558&amp;Sheet2!$B$2:$B$558, Sheet2!$C$2:$C$558, "")</f>
        <v>kusumo1966@gmail.com</v>
      </c>
      <c r="H851" s="40" t="str">
        <f t="shared" si="13"/>
        <v>kusumo1966@gmail.com</v>
      </c>
    </row>
    <row r="852" spans="1:8" ht="15.5" x14ac:dyDescent="0.35">
      <c r="A852" s="7">
        <v>851</v>
      </c>
      <c r="B852" s="8">
        <v>15165</v>
      </c>
      <c r="C852" s="31" t="s">
        <v>825</v>
      </c>
      <c r="D852" s="8" t="s">
        <v>1068</v>
      </c>
      <c r="E852" s="7">
        <v>1996</v>
      </c>
      <c r="F852" s="36" t="str" cm="1">
        <f t="array" ref="F852">_xlfn.XLOOKUP(D852&amp;C852, Sheet3!$C$2:$C$1224&amp;Sheet3!$B$2:$B$1224, Sheet3!$D$2:$D$1224, "")</f>
        <v/>
      </c>
      <c r="G852" s="1" t="str" cm="1">
        <f t="array" ref="G852">_xlfn.XLOOKUP(D852&amp;C852, Sheet2!$A$2:$A$558&amp;Sheet2!$B$2:$B$558, Sheet2!$C$2:$C$558, "")</f>
        <v>djaja.amanda@gmail.co.id</v>
      </c>
      <c r="H852" s="40" t="str">
        <f t="shared" si="13"/>
        <v>djaja.amanda@gmail.co.id</v>
      </c>
    </row>
    <row r="853" spans="1:8" ht="15.5" x14ac:dyDescent="0.35">
      <c r="A853" s="7">
        <v>852</v>
      </c>
      <c r="B853" s="8">
        <v>14465</v>
      </c>
      <c r="C853" s="31" t="s">
        <v>826</v>
      </c>
      <c r="D853" s="8" t="s">
        <v>1066</v>
      </c>
      <c r="E853" s="7">
        <v>1996</v>
      </c>
      <c r="F853" s="36" t="str" cm="1">
        <f t="array" ref="F853">_xlfn.XLOOKUP(D853&amp;C853, Sheet3!$C$2:$C$1224&amp;Sheet3!$B$2:$B$1224, Sheet3!$D$2:$D$1224, "")</f>
        <v/>
      </c>
      <c r="G853" s="1" t="str" cm="1">
        <f t="array" ref="G853">_xlfn.XLOOKUP(D853&amp;C853, Sheet2!$A$2:$A$558&amp;Sheet2!$B$2:$B$558, Sheet2!$C$2:$C$558, "")</f>
        <v/>
      </c>
      <c r="H853" s="40" t="str">
        <f t="shared" si="13"/>
        <v/>
      </c>
    </row>
    <row r="854" spans="1:8" ht="15.5" x14ac:dyDescent="0.35">
      <c r="A854" s="7">
        <v>853</v>
      </c>
      <c r="B854" s="8">
        <v>17440</v>
      </c>
      <c r="C854" s="31" t="s">
        <v>827</v>
      </c>
      <c r="D854" s="8" t="s">
        <v>1071</v>
      </c>
      <c r="E854" s="7">
        <v>1996</v>
      </c>
      <c r="F854" s="36" t="str" cm="1">
        <f t="array" ref="F854">_xlfn.XLOOKUP(D854&amp;C854, Sheet3!$C$2:$C$1224&amp;Sheet3!$B$2:$B$1224, Sheet3!$D$2:$D$1224, "")</f>
        <v>yantobudisusanto@gmail.com</v>
      </c>
      <c r="G854" s="1" t="str" cm="1">
        <f t="array" ref="G854">_xlfn.XLOOKUP(D854&amp;C854, Sheet2!$A$2:$A$558&amp;Sheet2!$B$2:$B$558, Sheet2!$C$2:$C$558, "")</f>
        <v/>
      </c>
      <c r="H854" s="40" t="str">
        <f t="shared" si="13"/>
        <v>yantobudisusanto@gmail.com</v>
      </c>
    </row>
    <row r="855" spans="1:8" ht="15.5" x14ac:dyDescent="0.35">
      <c r="A855" s="7">
        <v>854</v>
      </c>
      <c r="B855" s="8">
        <v>16878</v>
      </c>
      <c r="C855" s="31" t="s">
        <v>828</v>
      </c>
      <c r="D855" s="8" t="s">
        <v>1070</v>
      </c>
      <c r="E855" s="7">
        <v>1996</v>
      </c>
      <c r="F855" s="36" t="str" cm="1">
        <f t="array" ref="F855">_xlfn.XLOOKUP(D855&amp;C855, Sheet3!$C$2:$C$1224&amp;Sheet3!$B$2:$B$1224, Sheet3!$D$2:$D$1224, "")</f>
        <v>rizapramudya72@gmail.com</v>
      </c>
      <c r="G855" s="1" t="str" cm="1">
        <f t="array" ref="G855">_xlfn.XLOOKUP(D855&amp;C855, Sheet2!$A$2:$A$558&amp;Sheet2!$B$2:$B$558, Sheet2!$C$2:$C$558, "")</f>
        <v/>
      </c>
      <c r="H855" s="40" t="str">
        <f t="shared" si="13"/>
        <v>rizapramudya72@gmail.com</v>
      </c>
    </row>
    <row r="856" spans="1:8" ht="15.5" x14ac:dyDescent="0.35">
      <c r="A856" s="7">
        <v>855</v>
      </c>
      <c r="B856" s="8">
        <v>12902</v>
      </c>
      <c r="C856" s="31" t="s">
        <v>829</v>
      </c>
      <c r="D856" s="8" t="s">
        <v>1065</v>
      </c>
      <c r="E856" s="7">
        <v>1997</v>
      </c>
      <c r="F856" s="36" t="str" cm="1">
        <f t="array" ref="F856">_xlfn.XLOOKUP(D856&amp;C856, Sheet3!$C$2:$C$1224&amp;Sheet3!$B$2:$B$1224, Sheet3!$D$2:$D$1224, "")</f>
        <v>hendrowi84@gmail.com</v>
      </c>
      <c r="G856" s="1" t="str" cm="1">
        <f t="array" ref="G856">_xlfn.XLOOKUP(D856&amp;C856, Sheet2!$A$2:$A$558&amp;Sheet2!$B$2:$B$558, Sheet2!$C$2:$C$558, "")</f>
        <v/>
      </c>
      <c r="H856" s="40" t="str">
        <f t="shared" si="13"/>
        <v>hendrowi84@gmail.com</v>
      </c>
    </row>
    <row r="857" spans="1:8" ht="15.5" x14ac:dyDescent="0.35">
      <c r="A857" s="7">
        <v>856</v>
      </c>
      <c r="B857" s="8">
        <v>16274</v>
      </c>
      <c r="C857" s="31" t="s">
        <v>830</v>
      </c>
      <c r="D857" s="8" t="s">
        <v>1069</v>
      </c>
      <c r="E857" s="7">
        <v>1997</v>
      </c>
      <c r="F857" s="36" t="str" cm="1">
        <f t="array" ref="F857">_xlfn.XLOOKUP(D857&amp;C857, Sheet3!$C$2:$C$1224&amp;Sheet3!$B$2:$B$1224, Sheet3!$D$2:$D$1224, "")</f>
        <v/>
      </c>
      <c r="G857" s="1" t="str" cm="1">
        <f t="array" ref="G857">_xlfn.XLOOKUP(D857&amp;C857, Sheet2!$A$2:$A$558&amp;Sheet2!$B$2:$B$558, Sheet2!$C$2:$C$558, "")</f>
        <v/>
      </c>
      <c r="H857" s="40" t="str">
        <f t="shared" si="13"/>
        <v/>
      </c>
    </row>
    <row r="858" spans="1:8" ht="15.5" x14ac:dyDescent="0.35">
      <c r="A858" s="7">
        <v>857</v>
      </c>
      <c r="B858" s="8">
        <v>16916</v>
      </c>
      <c r="C858" s="31" t="s">
        <v>831</v>
      </c>
      <c r="D858" s="8" t="s">
        <v>1070</v>
      </c>
      <c r="E858" s="7">
        <v>1997</v>
      </c>
      <c r="F858" s="36" t="str" cm="1">
        <f t="array" ref="F858">_xlfn.XLOOKUP(D858&amp;C858, Sheet3!$C$2:$C$1224&amp;Sheet3!$B$2:$B$1224, Sheet3!$D$2:$D$1224, "")</f>
        <v>teguhmars@yahoo.com</v>
      </c>
      <c r="G858" s="1" t="str" cm="1">
        <f t="array" ref="G858">_xlfn.XLOOKUP(D858&amp;C858, Sheet2!$A$2:$A$558&amp;Sheet2!$B$2:$B$558, Sheet2!$C$2:$C$558, "")</f>
        <v/>
      </c>
      <c r="H858" s="40" t="str">
        <f t="shared" si="13"/>
        <v>teguhmars@yahoo.com</v>
      </c>
    </row>
    <row r="859" spans="1:8" ht="15.5" x14ac:dyDescent="0.35">
      <c r="A859" s="7">
        <v>858</v>
      </c>
      <c r="B859" s="8">
        <v>17067</v>
      </c>
      <c r="C859" s="31" t="s">
        <v>832</v>
      </c>
      <c r="D859" s="8" t="s">
        <v>1071</v>
      </c>
      <c r="E859" s="7">
        <v>1997</v>
      </c>
      <c r="F859" s="36" t="str" cm="1">
        <f t="array" ref="F859">_xlfn.XLOOKUP(D859&amp;C859, Sheet3!$C$2:$C$1224&amp;Sheet3!$B$2:$B$1224, Sheet3!$D$2:$D$1224, "")</f>
        <v/>
      </c>
      <c r="G859" s="1" t="str" cm="1">
        <f t="array" ref="G859">_xlfn.XLOOKUP(D859&amp;C859, Sheet2!$A$2:$A$558&amp;Sheet2!$B$2:$B$558, Sheet2!$C$2:$C$558, "")</f>
        <v/>
      </c>
      <c r="H859" s="40" t="str">
        <f t="shared" si="13"/>
        <v/>
      </c>
    </row>
    <row r="860" spans="1:8" ht="15.5" x14ac:dyDescent="0.35">
      <c r="A860" s="7">
        <v>859</v>
      </c>
      <c r="B860" s="8">
        <v>16726</v>
      </c>
      <c r="C860" s="31" t="s">
        <v>833</v>
      </c>
      <c r="D860" s="8" t="s">
        <v>1070</v>
      </c>
      <c r="E860" s="7">
        <v>1997</v>
      </c>
      <c r="F860" s="36" t="str" cm="1">
        <f t="array" ref="F860">_xlfn.XLOOKUP(D860&amp;C860, Sheet3!$C$2:$C$1224&amp;Sheet3!$B$2:$B$1224, Sheet3!$D$2:$D$1224, "")</f>
        <v>anwari6913.as@gmail.com</v>
      </c>
      <c r="G860" s="1" t="str" cm="1">
        <f t="array" ref="G860">_xlfn.XLOOKUP(D860&amp;C860, Sheet2!$A$2:$A$558&amp;Sheet2!$B$2:$B$558, Sheet2!$C$2:$C$558, "")</f>
        <v>anwari6913.as@gmail.com</v>
      </c>
      <c r="H860" s="40" t="str">
        <f t="shared" si="13"/>
        <v>anwari6913.as@gmail.com</v>
      </c>
    </row>
    <row r="861" spans="1:8" ht="15.5" x14ac:dyDescent="0.35">
      <c r="A861" s="7">
        <v>860</v>
      </c>
      <c r="B861" s="8">
        <v>13742</v>
      </c>
      <c r="C861" s="31" t="s">
        <v>834</v>
      </c>
      <c r="D861" s="8" t="s">
        <v>1067</v>
      </c>
      <c r="E861" s="7">
        <v>1997</v>
      </c>
      <c r="F861" s="36" t="str" cm="1">
        <f t="array" ref="F861">_xlfn.XLOOKUP(D861&amp;C861, Sheet3!$C$2:$C$1224&amp;Sheet3!$B$2:$B$1224, Sheet3!$D$2:$D$1224, "")</f>
        <v/>
      </c>
      <c r="G861" s="1" t="str" cm="1">
        <f t="array" ref="G861">_xlfn.XLOOKUP(D861&amp;C861, Sheet2!$A$2:$A$558&amp;Sheet2!$B$2:$B$558, Sheet2!$C$2:$C$558, "")</f>
        <v/>
      </c>
      <c r="H861" s="40" t="str">
        <f t="shared" si="13"/>
        <v/>
      </c>
    </row>
    <row r="862" spans="1:8" ht="15.5" x14ac:dyDescent="0.35">
      <c r="A862" s="7">
        <v>861</v>
      </c>
      <c r="B862" s="8">
        <v>17065</v>
      </c>
      <c r="C862" s="31" t="s">
        <v>835</v>
      </c>
      <c r="D862" s="8" t="s">
        <v>1071</v>
      </c>
      <c r="E862" s="7">
        <v>1997</v>
      </c>
      <c r="F862" s="36" t="str" cm="1">
        <f t="array" ref="F862">_xlfn.XLOOKUP(D862&amp;C862, Sheet3!$C$2:$C$1224&amp;Sheet3!$B$2:$B$1224, Sheet3!$D$2:$D$1224, "")</f>
        <v/>
      </c>
      <c r="G862" s="1" t="str" cm="1">
        <f t="array" ref="G862">_xlfn.XLOOKUP(D862&amp;C862, Sheet2!$A$2:$A$558&amp;Sheet2!$B$2:$B$558, Sheet2!$C$2:$C$558, "")</f>
        <v/>
      </c>
      <c r="H862" s="40" t="str">
        <f t="shared" si="13"/>
        <v/>
      </c>
    </row>
    <row r="863" spans="1:8" ht="15.5" x14ac:dyDescent="0.35">
      <c r="A863" s="7">
        <v>862</v>
      </c>
      <c r="B863" s="8">
        <v>18090</v>
      </c>
      <c r="C863" s="31" t="s">
        <v>836</v>
      </c>
      <c r="D863" s="8" t="s">
        <v>1062</v>
      </c>
      <c r="E863" s="7">
        <v>1997</v>
      </c>
      <c r="F863" s="36" t="str" cm="1">
        <f t="array" ref="F863">_xlfn.XLOOKUP(D863&amp;C863, Sheet3!$C$2:$C$1224&amp;Sheet3!$B$2:$B$1224, Sheet3!$D$2:$D$1224, "")</f>
        <v>abinorosci@gmail.com</v>
      </c>
      <c r="G863" s="1" t="str" cm="1">
        <f t="array" ref="G863">_xlfn.XLOOKUP(D863&amp;C863, Sheet2!$A$2:$A$558&amp;Sheet2!$B$2:$B$558, Sheet2!$C$2:$C$558, "")</f>
        <v/>
      </c>
      <c r="H863" s="40" t="str">
        <f t="shared" si="13"/>
        <v>abinorosci@gmail.com</v>
      </c>
    </row>
    <row r="864" spans="1:8" ht="15.5" x14ac:dyDescent="0.35">
      <c r="A864" s="7">
        <v>863</v>
      </c>
      <c r="B864" s="8">
        <v>12882</v>
      </c>
      <c r="C864" s="31" t="s">
        <v>837</v>
      </c>
      <c r="D864" s="8" t="s">
        <v>1065</v>
      </c>
      <c r="E864" s="7">
        <v>1997</v>
      </c>
      <c r="F864" s="36" t="str" cm="1">
        <f t="array" ref="F864">_xlfn.XLOOKUP(D864&amp;C864, Sheet3!$C$2:$C$1224&amp;Sheet3!$B$2:$B$1224, Sheet3!$D$2:$D$1224, "")</f>
        <v/>
      </c>
      <c r="G864" s="1" t="str" cm="1">
        <f t="array" ref="G864">_xlfn.XLOOKUP(D864&amp;C864, Sheet2!$A$2:$A$558&amp;Sheet2!$B$2:$B$558, Sheet2!$C$2:$C$558, "")</f>
        <v/>
      </c>
      <c r="H864" s="40" t="str">
        <f t="shared" si="13"/>
        <v/>
      </c>
    </row>
    <row r="865" spans="1:8" ht="15.5" x14ac:dyDescent="0.35">
      <c r="A865" s="7">
        <v>864</v>
      </c>
      <c r="B865" s="8">
        <v>13783</v>
      </c>
      <c r="C865" s="31" t="s">
        <v>482</v>
      </c>
      <c r="D865" s="8" t="s">
        <v>1067</v>
      </c>
      <c r="E865" s="7">
        <v>1997</v>
      </c>
      <c r="F865" s="36" t="str" cm="1">
        <f t="array" ref="F865">_xlfn.XLOOKUP(D865&amp;C865, Sheet3!$C$2:$C$1224&amp;Sheet3!$B$2:$B$1224, Sheet3!$D$2:$D$1224, "")</f>
        <v/>
      </c>
      <c r="G865" s="1" t="str" cm="1">
        <f t="array" ref="G865">_xlfn.XLOOKUP(D865&amp;C865, Sheet2!$A$2:$A$558&amp;Sheet2!$B$2:$B$558, Sheet2!$C$2:$C$558, "")</f>
        <v/>
      </c>
      <c r="H865" s="40" t="str">
        <f t="shared" si="13"/>
        <v/>
      </c>
    </row>
    <row r="866" spans="1:8" ht="15.5" x14ac:dyDescent="0.35">
      <c r="A866" s="7">
        <v>865</v>
      </c>
      <c r="B866" s="8">
        <v>16901</v>
      </c>
      <c r="C866" s="31" t="s">
        <v>838</v>
      </c>
      <c r="D866" s="8" t="s">
        <v>1070</v>
      </c>
      <c r="E866" s="7">
        <v>1997</v>
      </c>
      <c r="F866" s="36" t="str" cm="1">
        <f t="array" ref="F866">_xlfn.XLOOKUP(D866&amp;C866, Sheet3!$C$2:$C$1224&amp;Sheet3!$B$2:$B$1224, Sheet3!$D$2:$D$1224, "")</f>
        <v>adji_ugm@yahoo.com</v>
      </c>
      <c r="G866" s="1" t="str" cm="1">
        <f t="array" ref="G866">_xlfn.XLOOKUP(D866&amp;C866, Sheet2!$A$2:$A$558&amp;Sheet2!$B$2:$B$558, Sheet2!$C$2:$C$558, "")</f>
        <v>kuntoadji23@gmail.com</v>
      </c>
      <c r="H866" s="40" t="str">
        <f t="shared" si="13"/>
        <v>adji_ugm@yahoo.com</v>
      </c>
    </row>
    <row r="867" spans="1:8" ht="15.5" x14ac:dyDescent="0.35">
      <c r="A867" s="7">
        <v>866</v>
      </c>
      <c r="B867" s="8">
        <v>17076</v>
      </c>
      <c r="C867" s="31" t="s">
        <v>839</v>
      </c>
      <c r="D867" s="8" t="s">
        <v>1071</v>
      </c>
      <c r="E867" s="7">
        <v>1997</v>
      </c>
      <c r="F867" s="36" t="str" cm="1">
        <f t="array" ref="F867">_xlfn.XLOOKUP(D867&amp;C867, Sheet3!$C$2:$C$1224&amp;Sheet3!$B$2:$B$1224, Sheet3!$D$2:$D$1224, "")</f>
        <v>elhamindo@gmail.com</v>
      </c>
      <c r="G867" s="1" t="str" cm="1">
        <f t="array" ref="G867">_xlfn.XLOOKUP(D867&amp;C867, Sheet2!$A$2:$A$558&amp;Sheet2!$B$2:$B$558, Sheet2!$C$2:$C$558, "")</f>
        <v/>
      </c>
      <c r="H867" s="40" t="str">
        <f t="shared" si="13"/>
        <v>elhamindo@gmail.com</v>
      </c>
    </row>
    <row r="868" spans="1:8" ht="15.5" x14ac:dyDescent="0.35">
      <c r="A868" s="7">
        <v>867</v>
      </c>
      <c r="B868" s="8">
        <v>17505</v>
      </c>
      <c r="C868" s="31" t="s">
        <v>840</v>
      </c>
      <c r="D868" s="8" t="s">
        <v>1071</v>
      </c>
      <c r="E868" s="7">
        <v>1997</v>
      </c>
      <c r="F868" s="36" t="str" cm="1">
        <f t="array" ref="F868">_xlfn.XLOOKUP(D868&amp;C868, Sheet3!$C$2:$C$1224&amp;Sheet3!$B$2:$B$1224, Sheet3!$D$2:$D$1224, "")</f>
        <v>Sawalmsaleh@gmail.com</v>
      </c>
      <c r="G868" s="1" t="str" cm="1">
        <f t="array" ref="G868">_xlfn.XLOOKUP(D868&amp;C868, Sheet2!$A$2:$A$558&amp;Sheet2!$B$2:$B$558, Sheet2!$C$2:$C$558, "")</f>
        <v/>
      </c>
      <c r="H868" s="40" t="str">
        <f t="shared" si="13"/>
        <v>Sawalmsaleh@gmail.com</v>
      </c>
    </row>
    <row r="869" spans="1:8" ht="15.5" x14ac:dyDescent="0.35">
      <c r="A869" s="7">
        <v>868</v>
      </c>
      <c r="B869" s="8">
        <v>15407</v>
      </c>
      <c r="C869" s="31" t="s">
        <v>841</v>
      </c>
      <c r="D869" s="8" t="s">
        <v>1068</v>
      </c>
      <c r="E869" s="7">
        <v>1997</v>
      </c>
      <c r="F869" s="36" t="str" cm="1">
        <f t="array" ref="F869">_xlfn.XLOOKUP(D869&amp;C869, Sheet3!$C$2:$C$1224&amp;Sheet3!$B$2:$B$1224, Sheet3!$D$2:$D$1224, "")</f>
        <v/>
      </c>
      <c r="G869" s="1" t="str" cm="1">
        <f t="array" ref="G869">_xlfn.XLOOKUP(D869&amp;C869, Sheet2!$A$2:$A$558&amp;Sheet2!$B$2:$B$558, Sheet2!$C$2:$C$558, "")</f>
        <v>w_1_no@yahoo.com</v>
      </c>
      <c r="H869" s="40" t="str">
        <f t="shared" si="13"/>
        <v>w_1_no@yahoo.com</v>
      </c>
    </row>
    <row r="870" spans="1:8" ht="15.5" x14ac:dyDescent="0.35">
      <c r="A870" s="7">
        <v>869</v>
      </c>
      <c r="B870" s="8">
        <v>17916</v>
      </c>
      <c r="C870" s="31" t="s">
        <v>842</v>
      </c>
      <c r="D870" s="8" t="s">
        <v>1062</v>
      </c>
      <c r="E870" s="7">
        <v>1997</v>
      </c>
      <c r="F870" s="36" t="str" cm="1">
        <f t="array" ref="F870">_xlfn.XLOOKUP(D870&amp;C870, Sheet3!$C$2:$C$1224&amp;Sheet3!$B$2:$B$1224, Sheet3!$D$2:$D$1224, "")</f>
        <v>roul.kns@gmail.com</v>
      </c>
      <c r="G870" s="1" t="str" cm="1">
        <f t="array" ref="G870">_xlfn.XLOOKUP(D870&amp;C870, Sheet2!$A$2:$A$558&amp;Sheet2!$B$2:$B$558, Sheet2!$C$2:$C$558, "")</f>
        <v/>
      </c>
      <c r="H870" s="40" t="str">
        <f t="shared" si="13"/>
        <v>roul.kns@gmail.com</v>
      </c>
    </row>
    <row r="871" spans="1:8" ht="15.5" x14ac:dyDescent="0.35">
      <c r="A871" s="7">
        <v>870</v>
      </c>
      <c r="B871" s="8">
        <v>16522</v>
      </c>
      <c r="C871" s="31" t="s">
        <v>843</v>
      </c>
      <c r="D871" s="8" t="s">
        <v>1070</v>
      </c>
      <c r="E871" s="7">
        <v>1997</v>
      </c>
      <c r="F871" s="36" t="str" cm="1">
        <f t="array" ref="F871">_xlfn.XLOOKUP(D871&amp;C871, Sheet3!$C$2:$C$1224&amp;Sheet3!$B$2:$B$1224, Sheet3!$D$2:$D$1224, "")</f>
        <v>wawanjunaedi@gmail.com</v>
      </c>
      <c r="G871" s="1" t="str" cm="1">
        <f t="array" ref="G871">_xlfn.XLOOKUP(D871&amp;C871, Sheet2!$A$2:$A$558&amp;Sheet2!$B$2:$B$558, Sheet2!$C$2:$C$558, "")</f>
        <v>wawanjunaedi@gmail.com</v>
      </c>
      <c r="H871" s="40" t="str">
        <f t="shared" si="13"/>
        <v>wawanjunaedi@gmail.com</v>
      </c>
    </row>
    <row r="872" spans="1:8" ht="15.5" x14ac:dyDescent="0.35">
      <c r="A872" s="7">
        <v>871</v>
      </c>
      <c r="B872" s="8">
        <v>13521</v>
      </c>
      <c r="C872" s="31" t="s">
        <v>844</v>
      </c>
      <c r="D872" s="8" t="s">
        <v>1067</v>
      </c>
      <c r="E872" s="7">
        <v>1997</v>
      </c>
      <c r="F872" s="36" t="str" cm="1">
        <f t="array" ref="F872">_xlfn.XLOOKUP(D872&amp;C872, Sheet3!$C$2:$C$1224&amp;Sheet3!$B$2:$B$1224, Sheet3!$D$2:$D$1224, "")</f>
        <v/>
      </c>
      <c r="G872" s="1" t="str" cm="1">
        <f t="array" ref="G872">_xlfn.XLOOKUP(D872&amp;C872, Sheet2!$A$2:$A$558&amp;Sheet2!$B$2:$B$558, Sheet2!$C$2:$C$558, "")</f>
        <v/>
      </c>
      <c r="H872" s="40" t="str">
        <f t="shared" si="13"/>
        <v/>
      </c>
    </row>
    <row r="873" spans="1:8" ht="15.5" x14ac:dyDescent="0.35">
      <c r="A873" s="7">
        <v>872</v>
      </c>
      <c r="B873" s="8">
        <v>15297</v>
      </c>
      <c r="C873" s="31" t="s">
        <v>845</v>
      </c>
      <c r="D873" s="8" t="s">
        <v>1068</v>
      </c>
      <c r="E873" s="7">
        <v>1997</v>
      </c>
      <c r="F873" s="36" t="str" cm="1">
        <f t="array" ref="F873">_xlfn.XLOOKUP(D873&amp;C873, Sheet3!$C$2:$C$1224&amp;Sheet3!$B$2:$B$1224, Sheet3!$D$2:$D$1224, "")</f>
        <v>sri.suhartoyo@gmail.com</v>
      </c>
      <c r="G873" s="1" t="str" cm="1">
        <f t="array" ref="G873">_xlfn.XLOOKUP(D873&amp;C873, Sheet2!$A$2:$A$558&amp;Sheet2!$B$2:$B$558, Sheet2!$C$2:$C$558, "")</f>
        <v>sri.suhartoyo@gmail.com</v>
      </c>
      <c r="H873" s="40" t="str">
        <f t="shared" si="13"/>
        <v>sri.suhartoyo@gmail.com</v>
      </c>
    </row>
    <row r="874" spans="1:8" ht="15.5" x14ac:dyDescent="0.35">
      <c r="A874" s="7">
        <v>873</v>
      </c>
      <c r="B874" s="8">
        <v>15364</v>
      </c>
      <c r="C874" s="31" t="s">
        <v>846</v>
      </c>
      <c r="D874" s="8" t="s">
        <v>1068</v>
      </c>
      <c r="E874" s="7">
        <v>1997</v>
      </c>
      <c r="F874" s="36" t="str" cm="1">
        <f t="array" ref="F874">_xlfn.XLOOKUP(D874&amp;C874, Sheet3!$C$2:$C$1224&amp;Sheet3!$B$2:$B$1224, Sheet3!$D$2:$D$1224, "")</f>
        <v>Yudi88@gmail.com</v>
      </c>
      <c r="G874" s="1" t="str" cm="1">
        <f t="array" ref="G874">_xlfn.XLOOKUP(D874&amp;C874, Sheet2!$A$2:$A$558&amp;Sheet2!$B$2:$B$558, Sheet2!$C$2:$C$558, "")</f>
        <v/>
      </c>
      <c r="H874" s="40" t="str">
        <f t="shared" si="13"/>
        <v>Yudi88@gmail.com</v>
      </c>
    </row>
    <row r="875" spans="1:8" ht="15.5" x14ac:dyDescent="0.35">
      <c r="A875" s="7">
        <v>874</v>
      </c>
      <c r="B875" s="8">
        <v>16728</v>
      </c>
      <c r="C875" s="31" t="s">
        <v>847</v>
      </c>
      <c r="D875" s="8" t="s">
        <v>1070</v>
      </c>
      <c r="E875" s="7">
        <v>1997</v>
      </c>
      <c r="F875" s="36" t="str" cm="1">
        <f t="array" ref="F875">_xlfn.XLOOKUP(D875&amp;C875, Sheet3!$C$2:$C$1224&amp;Sheet3!$B$2:$B$1224, Sheet3!$D$2:$D$1224, "")</f>
        <v/>
      </c>
      <c r="G875" s="1" t="str" cm="1">
        <f t="array" ref="G875">_xlfn.XLOOKUP(D875&amp;C875, Sheet2!$A$2:$A$558&amp;Sheet2!$B$2:$B$558, Sheet2!$C$2:$C$558, "")</f>
        <v>saptaji3agus@gmail.com</v>
      </c>
      <c r="H875" s="40" t="str">
        <f t="shared" si="13"/>
        <v>saptaji3agus@gmail.com</v>
      </c>
    </row>
    <row r="876" spans="1:8" ht="15.5" x14ac:dyDescent="0.35">
      <c r="A876" s="7">
        <v>875</v>
      </c>
      <c r="B876" s="8">
        <v>16921</v>
      </c>
      <c r="C876" s="31" t="s">
        <v>848</v>
      </c>
      <c r="D876" s="8" t="s">
        <v>1070</v>
      </c>
      <c r="E876" s="7">
        <v>1997</v>
      </c>
      <c r="F876" s="36" t="str" cm="1">
        <f t="array" ref="F876">_xlfn.XLOOKUP(D876&amp;C876, Sheet3!$C$2:$C$1224&amp;Sheet3!$B$2:$B$1224, Sheet3!$D$2:$D$1224, "")</f>
        <v/>
      </c>
      <c r="G876" s="1" t="str" cm="1">
        <f t="array" ref="G876">_xlfn.XLOOKUP(D876&amp;C876, Sheet2!$A$2:$A$558&amp;Sheet2!$B$2:$B$558, Sheet2!$C$2:$C$558, "")</f>
        <v/>
      </c>
      <c r="H876" s="40" t="str">
        <f t="shared" si="13"/>
        <v/>
      </c>
    </row>
    <row r="877" spans="1:8" ht="15.5" x14ac:dyDescent="0.35">
      <c r="A877" s="7">
        <v>876</v>
      </c>
      <c r="B877" s="8">
        <v>17438</v>
      </c>
      <c r="C877" s="31" t="s">
        <v>849</v>
      </c>
      <c r="D877" s="8" t="s">
        <v>1071</v>
      </c>
      <c r="E877" s="7">
        <v>1997</v>
      </c>
      <c r="F877" s="36" t="str" cm="1">
        <f t="array" ref="F877">_xlfn.XLOOKUP(D877&amp;C877, Sheet3!$C$2:$C$1224&amp;Sheet3!$B$2:$B$1224, Sheet3!$D$2:$D$1224, "")</f>
        <v>fajriyanto251@gmail.com</v>
      </c>
      <c r="G877" s="1" t="str" cm="1">
        <f t="array" ref="G877">_xlfn.XLOOKUP(D877&amp;C877, Sheet2!$A$2:$A$558&amp;Sheet2!$B$2:$B$558, Sheet2!$C$2:$C$558, "")</f>
        <v/>
      </c>
      <c r="H877" s="40" t="str">
        <f t="shared" si="13"/>
        <v>fajriyanto251@gmail.com</v>
      </c>
    </row>
    <row r="878" spans="1:8" ht="15.5" x14ac:dyDescent="0.35">
      <c r="A878" s="7">
        <v>877</v>
      </c>
      <c r="B878" s="8">
        <v>17589</v>
      </c>
      <c r="C878" s="31" t="s">
        <v>850</v>
      </c>
      <c r="D878" s="8" t="s">
        <v>1062</v>
      </c>
      <c r="E878" s="7">
        <v>1997</v>
      </c>
      <c r="F878" s="36" t="str" cm="1">
        <f t="array" ref="F878">_xlfn.XLOOKUP(D878&amp;C878, Sheet3!$C$2:$C$1224&amp;Sheet3!$B$2:$B$1224, Sheet3!$D$2:$D$1224, "")</f>
        <v/>
      </c>
      <c r="G878" s="1" t="str" cm="1">
        <f t="array" ref="G878">_xlfn.XLOOKUP(D878&amp;C878, Sheet2!$A$2:$A$558&amp;Sheet2!$B$2:$B$558, Sheet2!$C$2:$C$558, "")</f>
        <v/>
      </c>
      <c r="H878" s="40" t="str">
        <f t="shared" si="13"/>
        <v/>
      </c>
    </row>
    <row r="879" spans="1:8" ht="15.5" x14ac:dyDescent="0.35">
      <c r="A879" s="7">
        <v>878</v>
      </c>
      <c r="B879" s="8">
        <v>17891</v>
      </c>
      <c r="C879" s="31" t="s">
        <v>851</v>
      </c>
      <c r="D879" s="8" t="s">
        <v>1062</v>
      </c>
      <c r="E879" s="7">
        <v>1997</v>
      </c>
      <c r="F879" s="36" t="str" cm="1">
        <f t="array" ref="F879">_xlfn.XLOOKUP(D879&amp;C879, Sheet3!$C$2:$C$1224&amp;Sheet3!$B$2:$B$1224, Sheet3!$D$2:$D$1224, "")</f>
        <v/>
      </c>
      <c r="G879" s="1" t="str" cm="1">
        <f t="array" ref="G879">_xlfn.XLOOKUP(D879&amp;C879, Sheet2!$A$2:$A$558&amp;Sheet2!$B$2:$B$558, Sheet2!$C$2:$C$558, "")</f>
        <v/>
      </c>
      <c r="H879" s="40" t="str">
        <f t="shared" si="13"/>
        <v/>
      </c>
    </row>
    <row r="880" spans="1:8" ht="15.5" x14ac:dyDescent="0.35">
      <c r="A880" s="7">
        <v>879</v>
      </c>
      <c r="B880" s="8">
        <v>18044</v>
      </c>
      <c r="C880" s="31" t="s">
        <v>852</v>
      </c>
      <c r="D880" s="8" t="s">
        <v>1062</v>
      </c>
      <c r="E880" s="7">
        <v>1997</v>
      </c>
      <c r="F880" s="36" t="str" cm="1">
        <f t="array" ref="F880">_xlfn.XLOOKUP(D880&amp;C880, Sheet3!$C$2:$C$1224&amp;Sheet3!$B$2:$B$1224, Sheet3!$D$2:$D$1224, "")</f>
        <v/>
      </c>
      <c r="G880" s="1" t="str" cm="1">
        <f t="array" ref="G880">_xlfn.XLOOKUP(D880&amp;C880, Sheet2!$A$2:$A$558&amp;Sheet2!$B$2:$B$558, Sheet2!$C$2:$C$558, "")</f>
        <v/>
      </c>
      <c r="H880" s="40" t="str">
        <f t="shared" si="13"/>
        <v/>
      </c>
    </row>
    <row r="881" spans="1:8" ht="15.5" x14ac:dyDescent="0.35">
      <c r="A881" s="7">
        <v>880</v>
      </c>
      <c r="B881" s="8">
        <v>17432</v>
      </c>
      <c r="C881" s="31" t="s">
        <v>853</v>
      </c>
      <c r="D881" s="8" t="s">
        <v>1071</v>
      </c>
      <c r="E881" s="7">
        <v>1997</v>
      </c>
      <c r="F881" s="36" t="str" cm="1">
        <f t="array" ref="F881">_xlfn.XLOOKUP(D881&amp;C881, Sheet3!$C$2:$C$1224&amp;Sheet3!$B$2:$B$1224, Sheet3!$D$2:$D$1224, "")</f>
        <v>Mba.tya1303@gmail.com</v>
      </c>
      <c r="G881" s="1" t="str" cm="1">
        <f t="array" ref="G881">_xlfn.XLOOKUP(D881&amp;C881, Sheet2!$A$2:$A$558&amp;Sheet2!$B$2:$B$558, Sheet2!$C$2:$C$558, "")</f>
        <v/>
      </c>
      <c r="H881" s="40" t="str">
        <f t="shared" si="13"/>
        <v>Mba.tya1303@gmail.com</v>
      </c>
    </row>
    <row r="882" spans="1:8" ht="15.5" x14ac:dyDescent="0.35">
      <c r="A882" s="7">
        <v>881</v>
      </c>
      <c r="B882" s="8">
        <v>17517</v>
      </c>
      <c r="C882" s="31" t="s">
        <v>854</v>
      </c>
      <c r="D882" s="8" t="s">
        <v>1071</v>
      </c>
      <c r="E882" s="7">
        <v>1997</v>
      </c>
      <c r="F882" s="36" t="str" cm="1">
        <f t="array" ref="F882">_xlfn.XLOOKUP(D882&amp;C882, Sheet3!$C$2:$C$1224&amp;Sheet3!$B$2:$B$1224, Sheet3!$D$2:$D$1224, "")</f>
        <v>Safran.nasution@yahoo.com</v>
      </c>
      <c r="G882" s="1" t="str" cm="1">
        <f t="array" ref="G882">_xlfn.XLOOKUP(D882&amp;C882, Sheet2!$A$2:$A$558&amp;Sheet2!$B$2:$B$558, Sheet2!$C$2:$C$558, "")</f>
        <v/>
      </c>
      <c r="H882" s="40" t="str">
        <f t="shared" si="13"/>
        <v>Safran.nasution@yahoo.com</v>
      </c>
    </row>
    <row r="883" spans="1:8" ht="15.5" x14ac:dyDescent="0.35">
      <c r="A883" s="7">
        <v>882</v>
      </c>
      <c r="B883" s="8">
        <v>14381</v>
      </c>
      <c r="C883" s="31" t="s">
        <v>855</v>
      </c>
      <c r="D883" s="8" t="s">
        <v>1066</v>
      </c>
      <c r="E883" s="7">
        <v>1997</v>
      </c>
      <c r="F883" s="36" t="str" cm="1">
        <f t="array" ref="F883">_xlfn.XLOOKUP(D883&amp;C883, Sheet3!$C$2:$C$1224&amp;Sheet3!$B$2:$B$1224, Sheet3!$D$2:$D$1224, "")</f>
        <v/>
      </c>
      <c r="G883" s="1" t="str" cm="1">
        <f t="array" ref="G883">_xlfn.XLOOKUP(D883&amp;C883, Sheet2!$A$2:$A$558&amp;Sheet2!$B$2:$B$558, Sheet2!$C$2:$C$558, "")</f>
        <v>nurhidayat.agam@gmail.com</v>
      </c>
      <c r="H883" s="40" t="str">
        <f t="shared" si="13"/>
        <v>nurhidayat.agam@gmail.com</v>
      </c>
    </row>
    <row r="884" spans="1:8" ht="15.5" x14ac:dyDescent="0.35">
      <c r="A884" s="7">
        <v>883</v>
      </c>
      <c r="B884" s="8">
        <v>15038</v>
      </c>
      <c r="C884" s="31" t="s">
        <v>856</v>
      </c>
      <c r="D884" s="8" t="s">
        <v>1064</v>
      </c>
      <c r="E884" s="7">
        <v>1997</v>
      </c>
      <c r="F884" s="36" t="str" cm="1">
        <f t="array" ref="F884">_xlfn.XLOOKUP(D884&amp;C884, Sheet3!$C$2:$C$1224&amp;Sheet3!$B$2:$B$1224, Sheet3!$D$2:$D$1224, "")</f>
        <v/>
      </c>
      <c r="G884" s="1" t="str" cm="1">
        <f t="array" ref="G884">_xlfn.XLOOKUP(D884&amp;C884, Sheet2!$A$2:$A$558&amp;Sheet2!$B$2:$B$558, Sheet2!$C$2:$C$558, "")</f>
        <v/>
      </c>
      <c r="H884" s="40" t="str">
        <f t="shared" si="13"/>
        <v/>
      </c>
    </row>
    <row r="885" spans="1:8" ht="15.5" x14ac:dyDescent="0.35">
      <c r="A885" s="7">
        <v>884</v>
      </c>
      <c r="B885" s="8">
        <v>15498</v>
      </c>
      <c r="C885" s="31" t="s">
        <v>857</v>
      </c>
      <c r="D885" s="8" t="s">
        <v>1068</v>
      </c>
      <c r="E885" s="7">
        <v>1997</v>
      </c>
      <c r="F885" s="36" t="str" cm="1">
        <f t="array" ref="F885">_xlfn.XLOOKUP(D885&amp;C885, Sheet3!$C$2:$C$1224&amp;Sheet3!$B$2:$B$1224, Sheet3!$D$2:$D$1224, "")</f>
        <v/>
      </c>
      <c r="G885" s="1" t="str" cm="1">
        <f t="array" ref="G885">_xlfn.XLOOKUP(D885&amp;C885, Sheet2!$A$2:$A$558&amp;Sheet2!$B$2:$B$558, Sheet2!$C$2:$C$558, "")</f>
        <v/>
      </c>
      <c r="H885" s="40" t="str">
        <f t="shared" si="13"/>
        <v/>
      </c>
    </row>
    <row r="886" spans="1:8" ht="15.5" x14ac:dyDescent="0.35">
      <c r="A886" s="7">
        <v>885</v>
      </c>
      <c r="B886" s="8">
        <v>13505</v>
      </c>
      <c r="C886" s="31" t="s">
        <v>858</v>
      </c>
      <c r="D886" s="8" t="s">
        <v>1067</v>
      </c>
      <c r="E886" s="7">
        <v>1997</v>
      </c>
      <c r="F886" s="36" t="str" cm="1">
        <f t="array" ref="F886">_xlfn.XLOOKUP(D886&amp;C886, Sheet3!$C$2:$C$1224&amp;Sheet3!$B$2:$B$1224, Sheet3!$D$2:$D$1224, "")</f>
        <v/>
      </c>
      <c r="G886" s="1" t="str" cm="1">
        <f t="array" ref="G886">_xlfn.XLOOKUP(D886&amp;C886, Sheet2!$A$2:$A$558&amp;Sheet2!$B$2:$B$558, Sheet2!$C$2:$C$558, "")</f>
        <v/>
      </c>
      <c r="H886" s="40" t="str">
        <f t="shared" si="13"/>
        <v/>
      </c>
    </row>
    <row r="887" spans="1:8" ht="15.5" x14ac:dyDescent="0.35">
      <c r="A887" s="7">
        <v>886</v>
      </c>
      <c r="B887" s="8">
        <v>17575</v>
      </c>
      <c r="C887" s="31" t="s">
        <v>859</v>
      </c>
      <c r="D887" s="8" t="s">
        <v>1062</v>
      </c>
      <c r="E887" s="7">
        <v>1997</v>
      </c>
      <c r="F887" s="36" t="str" cm="1">
        <f t="array" ref="F887">_xlfn.XLOOKUP(D887&amp;C887, Sheet3!$C$2:$C$1224&amp;Sheet3!$B$2:$B$1224, Sheet3!$D$2:$D$1224, "")</f>
        <v/>
      </c>
      <c r="G887" s="1" t="str" cm="1">
        <f t="array" ref="G887">_xlfn.XLOOKUP(D887&amp;C887, Sheet2!$A$2:$A$558&amp;Sheet2!$B$2:$B$558, Sheet2!$C$2:$C$558, "")</f>
        <v/>
      </c>
      <c r="H887" s="40" t="str">
        <f t="shared" si="13"/>
        <v/>
      </c>
    </row>
    <row r="888" spans="1:8" ht="15.5" x14ac:dyDescent="0.35">
      <c r="A888" s="7">
        <v>887</v>
      </c>
      <c r="B888" s="8">
        <v>17419</v>
      </c>
      <c r="C888" s="31" t="s">
        <v>860</v>
      </c>
      <c r="D888" s="8" t="s">
        <v>1071</v>
      </c>
      <c r="E888" s="7">
        <v>1997</v>
      </c>
      <c r="F888" s="36" t="str" cm="1">
        <f t="array" ref="F888">_xlfn.XLOOKUP(D888&amp;C888, Sheet3!$C$2:$C$1224&amp;Sheet3!$B$2:$B$1224, Sheet3!$D$2:$D$1224, "")</f>
        <v>eki.dwisapto@gmail.com</v>
      </c>
      <c r="G888" s="1" t="str" cm="1">
        <f t="array" ref="G888">_xlfn.XLOOKUP(D888&amp;C888, Sheet2!$A$2:$A$558&amp;Sheet2!$B$2:$B$558, Sheet2!$C$2:$C$558, "")</f>
        <v/>
      </c>
      <c r="H888" s="40" t="str">
        <f t="shared" si="13"/>
        <v>eki.dwisapto@gmail.com</v>
      </c>
    </row>
    <row r="889" spans="1:8" ht="15.5" x14ac:dyDescent="0.35">
      <c r="A889" s="7">
        <v>888</v>
      </c>
      <c r="B889" s="8">
        <v>17915</v>
      </c>
      <c r="C889" s="31" t="s">
        <v>861</v>
      </c>
      <c r="D889" s="8" t="s">
        <v>1062</v>
      </c>
      <c r="E889" s="7">
        <v>1997</v>
      </c>
      <c r="F889" s="36" t="str" cm="1">
        <f t="array" ref="F889">_xlfn.XLOOKUP(D889&amp;C889, Sheet3!$C$2:$C$1224&amp;Sheet3!$B$2:$B$1224, Sheet3!$D$2:$D$1224, "")</f>
        <v/>
      </c>
      <c r="G889" s="1" t="str" cm="1">
        <f t="array" ref="G889">_xlfn.XLOOKUP(D889&amp;C889, Sheet2!$A$2:$A$558&amp;Sheet2!$B$2:$B$558, Sheet2!$C$2:$C$558, "")</f>
        <v/>
      </c>
      <c r="H889" s="40" t="str">
        <f t="shared" si="13"/>
        <v/>
      </c>
    </row>
    <row r="890" spans="1:8" ht="15.5" x14ac:dyDescent="0.35">
      <c r="A890" s="7">
        <v>889</v>
      </c>
      <c r="B890" s="8">
        <v>16147</v>
      </c>
      <c r="C890" s="31" t="s">
        <v>862</v>
      </c>
      <c r="D890" s="8" t="s">
        <v>1069</v>
      </c>
      <c r="E890" s="7">
        <v>1997</v>
      </c>
      <c r="F890" s="36" t="str" cm="1">
        <f t="array" ref="F890">_xlfn.XLOOKUP(D890&amp;C890, Sheet3!$C$2:$C$1224&amp;Sheet3!$B$2:$B$1224, Sheet3!$D$2:$D$1224, "")</f>
        <v>mattnad71@gmail.com</v>
      </c>
      <c r="G890" s="1" t="str" cm="1">
        <f t="array" ref="G890">_xlfn.XLOOKUP(D890&amp;C890, Sheet2!$A$2:$A$558&amp;Sheet2!$B$2:$B$558, Sheet2!$C$2:$C$558, "")</f>
        <v>mattnad71@gmail.com</v>
      </c>
      <c r="H890" s="40" t="str">
        <f t="shared" si="13"/>
        <v>mattnad71@gmail.com</v>
      </c>
    </row>
    <row r="891" spans="1:8" ht="15.5" x14ac:dyDescent="0.35">
      <c r="A891" s="7">
        <v>890</v>
      </c>
      <c r="B891" s="8">
        <v>17959</v>
      </c>
      <c r="C891" s="31" t="s">
        <v>863</v>
      </c>
      <c r="D891" s="8" t="s">
        <v>1062</v>
      </c>
      <c r="E891" s="7">
        <v>1997</v>
      </c>
      <c r="F891" s="36" t="str" cm="1">
        <f t="array" ref="F891">_xlfn.XLOOKUP(D891&amp;C891, Sheet3!$C$2:$C$1224&amp;Sheet3!$B$2:$B$1224, Sheet3!$D$2:$D$1224, "")</f>
        <v>trias.pln@gmail.com</v>
      </c>
      <c r="G891" s="1" t="str" cm="1">
        <f t="array" ref="G891">_xlfn.XLOOKUP(D891&amp;C891, Sheet2!$A$2:$A$558&amp;Sheet2!$B$2:$B$558, Sheet2!$C$2:$C$558, "")</f>
        <v/>
      </c>
      <c r="H891" s="40" t="str">
        <f t="shared" si="13"/>
        <v>trias.pln@gmail.com</v>
      </c>
    </row>
    <row r="892" spans="1:8" ht="15.5" x14ac:dyDescent="0.35">
      <c r="A892" s="7">
        <v>891</v>
      </c>
      <c r="B892" s="8">
        <v>17416</v>
      </c>
      <c r="C892" s="31" t="s">
        <v>864</v>
      </c>
      <c r="D892" s="8" t="s">
        <v>1071</v>
      </c>
      <c r="E892" s="7">
        <v>1997</v>
      </c>
      <c r="F892" s="36" t="str" cm="1">
        <f t="array" ref="F892">_xlfn.XLOOKUP(D892&amp;C892, Sheet3!$C$2:$C$1224&amp;Sheet3!$B$2:$B$1224, Sheet3!$D$2:$D$1224, "")</f>
        <v/>
      </c>
      <c r="G892" s="1" t="str" cm="1">
        <f t="array" ref="G892">_xlfn.XLOOKUP(D892&amp;C892, Sheet2!$A$2:$A$558&amp;Sheet2!$B$2:$B$558, Sheet2!$C$2:$C$558, "")</f>
        <v/>
      </c>
      <c r="H892" s="40" t="str">
        <f t="shared" si="13"/>
        <v/>
      </c>
    </row>
    <row r="893" spans="1:8" ht="15.5" x14ac:dyDescent="0.35">
      <c r="A893" s="7">
        <v>892</v>
      </c>
      <c r="B893" s="8">
        <v>16914</v>
      </c>
      <c r="C893" s="31" t="s">
        <v>865</v>
      </c>
      <c r="D893" s="8" t="s">
        <v>1070</v>
      </c>
      <c r="E893" s="7">
        <v>1997</v>
      </c>
      <c r="F893" s="36" t="str" cm="1">
        <f t="array" ref="F893">_xlfn.XLOOKUP(D893&amp;C893, Sheet3!$C$2:$C$1224&amp;Sheet3!$B$2:$B$1224, Sheet3!$D$2:$D$1224, "")</f>
        <v>muttaqindini@gmail.com</v>
      </c>
      <c r="G893" s="1" t="str" cm="1">
        <f t="array" ref="G893">_xlfn.XLOOKUP(D893&amp;C893, Sheet2!$A$2:$A$558&amp;Sheet2!$B$2:$B$558, Sheet2!$C$2:$C$558, "")</f>
        <v>muttaqinus@yahoo.com</v>
      </c>
      <c r="H893" s="40" t="str">
        <f t="shared" si="13"/>
        <v>muttaqindini@gmail.com</v>
      </c>
    </row>
    <row r="894" spans="1:8" ht="15.5" x14ac:dyDescent="0.35">
      <c r="A894" s="7">
        <v>893</v>
      </c>
      <c r="B894" s="8">
        <v>16536</v>
      </c>
      <c r="C894" s="31" t="s">
        <v>866</v>
      </c>
      <c r="D894" s="8" t="s">
        <v>1070</v>
      </c>
      <c r="E894" s="7">
        <v>1997</v>
      </c>
      <c r="F894" s="36" t="str" cm="1">
        <f t="array" ref="F894">_xlfn.XLOOKUP(D894&amp;C894, Sheet3!$C$2:$C$1224&amp;Sheet3!$B$2:$B$1224, Sheet3!$D$2:$D$1224, "")</f>
        <v/>
      </c>
      <c r="G894" s="1" t="str" cm="1">
        <f t="array" ref="G894">_xlfn.XLOOKUP(D894&amp;C894, Sheet2!$A$2:$A$558&amp;Sheet2!$B$2:$B$558, Sheet2!$C$2:$C$558, "")</f>
        <v>yonas.kpuc@gmail.com</v>
      </c>
      <c r="H894" s="40" t="str">
        <f t="shared" si="13"/>
        <v>yonas.kpuc@gmail.com</v>
      </c>
    </row>
    <row r="895" spans="1:8" ht="15.5" x14ac:dyDescent="0.35">
      <c r="A895" s="7">
        <v>894</v>
      </c>
      <c r="B895" s="8">
        <v>17691</v>
      </c>
      <c r="C895" s="31" t="s">
        <v>867</v>
      </c>
      <c r="D895" s="8" t="s">
        <v>1062</v>
      </c>
      <c r="E895" s="7">
        <v>1997</v>
      </c>
      <c r="F895" s="36" t="str" cm="1">
        <f t="array" ref="F895">_xlfn.XLOOKUP(D895&amp;C895, Sheet3!$C$2:$C$1224&amp;Sheet3!$B$2:$B$1224, Sheet3!$D$2:$D$1224, "")</f>
        <v>alex.nababan74@gmail.com</v>
      </c>
      <c r="G895" s="1" t="str" cm="1">
        <f t="array" ref="G895">_xlfn.XLOOKUP(D895&amp;C895, Sheet2!$A$2:$A$558&amp;Sheet2!$B$2:$B$558, Sheet2!$C$2:$C$558, "")</f>
        <v/>
      </c>
      <c r="H895" s="40" t="str">
        <f t="shared" si="13"/>
        <v>alex.nababan74@gmail.com</v>
      </c>
    </row>
    <row r="896" spans="1:8" ht="15.5" x14ac:dyDescent="0.35">
      <c r="A896" s="7">
        <v>895</v>
      </c>
      <c r="B896" s="8">
        <v>17690</v>
      </c>
      <c r="C896" s="31" t="s">
        <v>868</v>
      </c>
      <c r="D896" s="8" t="s">
        <v>1062</v>
      </c>
      <c r="E896" s="7">
        <v>1997</v>
      </c>
      <c r="F896" s="36" t="str" cm="1">
        <f t="array" ref="F896">_xlfn.XLOOKUP(D896&amp;C896, Sheet3!$C$2:$C$1224&amp;Sheet3!$B$2:$B$1224, Sheet3!$D$2:$D$1224, "")</f>
        <v/>
      </c>
      <c r="G896" s="1" t="str" cm="1">
        <f t="array" ref="G896">_xlfn.XLOOKUP(D896&amp;C896, Sheet2!$A$2:$A$558&amp;Sheet2!$B$2:$B$558, Sheet2!$C$2:$C$558, "")</f>
        <v/>
      </c>
      <c r="H896" s="40" t="str">
        <f t="shared" si="13"/>
        <v/>
      </c>
    </row>
    <row r="897" spans="1:8" ht="15.5" x14ac:dyDescent="0.35">
      <c r="A897" s="7">
        <v>896</v>
      </c>
      <c r="B897" s="8">
        <v>18076</v>
      </c>
      <c r="C897" s="31" t="s">
        <v>869</v>
      </c>
      <c r="D897" s="8" t="s">
        <v>1062</v>
      </c>
      <c r="E897" s="7">
        <v>1997</v>
      </c>
      <c r="F897" s="36" t="str" cm="1">
        <f t="array" ref="F897">_xlfn.XLOOKUP(D897&amp;C897, Sheet3!$C$2:$C$1224&amp;Sheet3!$B$2:$B$1224, Sheet3!$D$2:$D$1224, "")</f>
        <v>danang.tgd92@gmail.com</v>
      </c>
      <c r="G897" s="1" t="str" cm="1">
        <f t="array" ref="G897">_xlfn.XLOOKUP(D897&amp;C897, Sheet2!$A$2:$A$558&amp;Sheet2!$B$2:$B$558, Sheet2!$C$2:$C$558, "")</f>
        <v/>
      </c>
      <c r="H897" s="40" t="str">
        <f t="shared" si="13"/>
        <v>danang.tgd92@gmail.com</v>
      </c>
    </row>
    <row r="898" spans="1:8" ht="15.5" x14ac:dyDescent="0.35">
      <c r="A898" s="7">
        <v>897</v>
      </c>
      <c r="B898" s="8">
        <v>16071</v>
      </c>
      <c r="C898" s="31" t="s">
        <v>870</v>
      </c>
      <c r="D898" s="8" t="s">
        <v>1069</v>
      </c>
      <c r="E898" s="7">
        <v>1997</v>
      </c>
      <c r="F898" s="36" t="str" cm="1">
        <f t="array" ref="F898">_xlfn.XLOOKUP(D898&amp;C898, Sheet3!$C$2:$C$1224&amp;Sheet3!$B$2:$B$1224, Sheet3!$D$2:$D$1224, "")</f>
        <v/>
      </c>
      <c r="G898" s="1" t="str" cm="1">
        <f t="array" ref="G898">_xlfn.XLOOKUP(D898&amp;C898, Sheet2!$A$2:$A$558&amp;Sheet2!$B$2:$B$558, Sheet2!$C$2:$C$558, "")</f>
        <v>sarwantogeodet@gmail.com</v>
      </c>
      <c r="H898" s="40" t="str">
        <f t="shared" si="13"/>
        <v>sarwantogeodet@gmail.com</v>
      </c>
    </row>
    <row r="899" spans="1:8" ht="15.5" x14ac:dyDescent="0.35">
      <c r="A899" s="7">
        <v>898</v>
      </c>
      <c r="B899" s="8">
        <v>16166</v>
      </c>
      <c r="C899" s="31" t="s">
        <v>871</v>
      </c>
      <c r="D899" s="8" t="s">
        <v>1069</v>
      </c>
      <c r="E899" s="7">
        <v>1997</v>
      </c>
      <c r="F899" s="36" t="str" cm="1">
        <f t="array" ref="F899">_xlfn.XLOOKUP(D899&amp;C899, Sheet3!$C$2:$C$1224&amp;Sheet3!$B$2:$B$1224, Sheet3!$D$2:$D$1224, "")</f>
        <v>danarhadisuseno@gmail</v>
      </c>
      <c r="G899" s="1" t="str" cm="1">
        <f t="array" ref="G899">_xlfn.XLOOKUP(D899&amp;C899, Sheet2!$A$2:$A$558&amp;Sheet2!$B$2:$B$558, Sheet2!$C$2:$C$558, "")</f>
        <v>danarhadisuseno@gmail.com</v>
      </c>
      <c r="H899" s="40" t="str">
        <f t="shared" ref="H899:H962" si="14">IF(F899&lt;&gt;"",F899,G899)</f>
        <v>danarhadisuseno@gmail</v>
      </c>
    </row>
    <row r="900" spans="1:8" ht="15.5" x14ac:dyDescent="0.35">
      <c r="A900" s="7">
        <v>899</v>
      </c>
      <c r="B900" s="8">
        <v>17452</v>
      </c>
      <c r="C900" s="31" t="s">
        <v>872</v>
      </c>
      <c r="D900" s="8" t="s">
        <v>1071</v>
      </c>
      <c r="E900" s="7">
        <v>1997</v>
      </c>
      <c r="F900" s="36" t="str" cm="1">
        <f t="array" ref="F900">_xlfn.XLOOKUP(D900&amp;C900, Sheet3!$C$2:$C$1224&amp;Sheet3!$B$2:$B$1224, Sheet3!$D$2:$D$1224, "")</f>
        <v/>
      </c>
      <c r="G900" s="1" t="str" cm="1">
        <f t="array" ref="G900">_xlfn.XLOOKUP(D900&amp;C900, Sheet2!$A$2:$A$558&amp;Sheet2!$B$2:$B$558, Sheet2!$C$2:$C$558, "")</f>
        <v>handriyanto1303@gmai.com</v>
      </c>
      <c r="H900" s="40" t="str">
        <f t="shared" si="14"/>
        <v>handriyanto1303@gmai.com</v>
      </c>
    </row>
    <row r="901" spans="1:8" ht="15.5" x14ac:dyDescent="0.35">
      <c r="A901" s="7">
        <v>900</v>
      </c>
      <c r="B901" s="8">
        <v>17886</v>
      </c>
      <c r="C901" s="31" t="s">
        <v>873</v>
      </c>
      <c r="D901" s="8" t="s">
        <v>1062</v>
      </c>
      <c r="E901" s="7">
        <v>1997</v>
      </c>
      <c r="F901" s="36" t="str" cm="1">
        <f t="array" ref="F901">_xlfn.XLOOKUP(D901&amp;C901, Sheet3!$C$2:$C$1224&amp;Sheet3!$B$2:$B$1224, Sheet3!$D$2:$D$1224, "")</f>
        <v>poedjiasri@gmail.com</v>
      </c>
      <c r="G901" s="1" t="str" cm="1">
        <f t="array" ref="G901">_xlfn.XLOOKUP(D901&amp;C901, Sheet2!$A$2:$A$558&amp;Sheet2!$B$2:$B$558, Sheet2!$C$2:$C$558, "")</f>
        <v/>
      </c>
      <c r="H901" s="40" t="str">
        <f t="shared" si="14"/>
        <v>poedjiasri@gmail.com</v>
      </c>
    </row>
    <row r="902" spans="1:8" ht="15.5" x14ac:dyDescent="0.35">
      <c r="A902" s="7">
        <v>901</v>
      </c>
      <c r="B902" s="8">
        <v>17435</v>
      </c>
      <c r="C902" s="31" t="s">
        <v>874</v>
      </c>
      <c r="D902" s="8" t="s">
        <v>1071</v>
      </c>
      <c r="E902" s="7">
        <v>1997</v>
      </c>
      <c r="F902" s="36" t="str" cm="1">
        <f t="array" ref="F902">_xlfn.XLOOKUP(D902&amp;C902, Sheet3!$C$2:$C$1224&amp;Sheet3!$B$2:$B$1224, Sheet3!$D$2:$D$1224, "")</f>
        <v>ekoindrianto46@gmail.com</v>
      </c>
      <c r="G902" s="1" t="str" cm="1">
        <f t="array" ref="G902">_xlfn.XLOOKUP(D902&amp;C902, Sheet2!$A$2:$A$558&amp;Sheet2!$B$2:$B$558, Sheet2!$C$2:$C$558, "")</f>
        <v>ekoindrianto46@gmail.com</v>
      </c>
      <c r="H902" s="40" t="str">
        <f t="shared" si="14"/>
        <v>ekoindrianto46@gmail.com</v>
      </c>
    </row>
    <row r="903" spans="1:8" ht="15.5" x14ac:dyDescent="0.35">
      <c r="A903" s="7">
        <v>902</v>
      </c>
      <c r="B903" s="8">
        <v>16194</v>
      </c>
      <c r="C903" s="31" t="s">
        <v>875</v>
      </c>
      <c r="D903" s="8" t="s">
        <v>1069</v>
      </c>
      <c r="E903" s="7">
        <v>1997</v>
      </c>
      <c r="F903" s="36" t="str" cm="1">
        <f t="array" ref="F903">_xlfn.XLOOKUP(D903&amp;C903, Sheet3!$C$2:$C$1224&amp;Sheet3!$B$2:$B$1224, Sheet3!$D$2:$D$1224, "")</f>
        <v>tjlitasari@yahoo.com</v>
      </c>
      <c r="G903" s="1" t="str" cm="1">
        <f t="array" ref="G903">_xlfn.XLOOKUP(D903&amp;C903, Sheet2!$A$2:$A$558&amp;Sheet2!$B$2:$B$558, Sheet2!$C$2:$C$558, "")</f>
        <v/>
      </c>
      <c r="H903" s="40" t="str">
        <f t="shared" si="14"/>
        <v>tjlitasari@yahoo.com</v>
      </c>
    </row>
    <row r="904" spans="1:8" ht="15.5" x14ac:dyDescent="0.35">
      <c r="A904" s="7">
        <v>903</v>
      </c>
      <c r="B904" s="8">
        <v>17710</v>
      </c>
      <c r="C904" s="31" t="s">
        <v>5829</v>
      </c>
      <c r="D904" s="8" t="s">
        <v>1062</v>
      </c>
      <c r="E904" s="7">
        <v>1997</v>
      </c>
      <c r="F904" s="36" t="str" cm="1">
        <f t="array" ref="F904">_xlfn.XLOOKUP(D904&amp;C904, Sheet3!$C$2:$C$1224&amp;Sheet3!$B$2:$B$1224, Sheet3!$D$2:$D$1224, "")</f>
        <v>Yudhani.prap92@gmail.com</v>
      </c>
      <c r="G904" s="1" t="str" cm="1">
        <f t="array" ref="G904">_xlfn.XLOOKUP(D904&amp;C904, Sheet2!$A$2:$A$558&amp;Sheet2!$B$2:$B$558, Sheet2!$C$2:$C$558, "")</f>
        <v/>
      </c>
      <c r="H904" s="40" t="str">
        <f t="shared" si="14"/>
        <v>Yudhani.prap92@gmail.com</v>
      </c>
    </row>
    <row r="905" spans="1:8" ht="15.5" x14ac:dyDescent="0.35">
      <c r="A905" s="7">
        <v>904</v>
      </c>
      <c r="B905" s="8">
        <v>16232</v>
      </c>
      <c r="C905" s="31" t="s">
        <v>876</v>
      </c>
      <c r="D905" s="8" t="s">
        <v>1069</v>
      </c>
      <c r="E905" s="7">
        <v>1997</v>
      </c>
      <c r="F905" s="36" t="str" cm="1">
        <f t="array" ref="F905">_xlfn.XLOOKUP(D905&amp;C905, Sheet3!$C$2:$C$1224&amp;Sheet3!$B$2:$B$1224, Sheet3!$D$2:$D$1224, "")</f>
        <v>sat1ansapta@gmail.com</v>
      </c>
      <c r="G905" s="1" t="str" cm="1">
        <f t="array" ref="G905">_xlfn.XLOOKUP(D905&amp;C905, Sheet2!$A$2:$A$558&amp;Sheet2!$B$2:$B$558, Sheet2!$C$2:$C$558, "")</f>
        <v>sat1ansapta@gmail.com</v>
      </c>
      <c r="H905" s="40" t="str">
        <f t="shared" si="14"/>
        <v>sat1ansapta@gmail.com</v>
      </c>
    </row>
    <row r="906" spans="1:8" ht="15.5" x14ac:dyDescent="0.35">
      <c r="A906" s="7">
        <v>905</v>
      </c>
      <c r="B906" s="8">
        <v>18116</v>
      </c>
      <c r="C906" s="31" t="s">
        <v>877</v>
      </c>
      <c r="D906" s="8" t="s">
        <v>1062</v>
      </c>
      <c r="E906" s="7">
        <v>1997</v>
      </c>
      <c r="F906" s="36" t="str" cm="1">
        <f t="array" ref="F906">_xlfn.XLOOKUP(D906&amp;C906, Sheet3!$C$2:$C$1224&amp;Sheet3!$B$2:$B$1224, Sheet3!$D$2:$D$1224, "")</f>
        <v>Heroziana@gmail.com</v>
      </c>
      <c r="G906" s="1" t="str" cm="1">
        <f t="array" ref="G906">_xlfn.XLOOKUP(D906&amp;C906, Sheet2!$A$2:$A$558&amp;Sheet2!$B$2:$B$558, Sheet2!$C$2:$C$558, "")</f>
        <v/>
      </c>
      <c r="H906" s="40" t="str">
        <f t="shared" si="14"/>
        <v>Heroziana@gmail.com</v>
      </c>
    </row>
    <row r="907" spans="1:8" ht="15.5" x14ac:dyDescent="0.35">
      <c r="A907" s="7">
        <v>906</v>
      </c>
      <c r="B907" s="8">
        <v>17597</v>
      </c>
      <c r="C907" s="31" t="s">
        <v>878</v>
      </c>
      <c r="D907" s="8" t="s">
        <v>1062</v>
      </c>
      <c r="E907" s="7">
        <v>1997</v>
      </c>
      <c r="F907" s="36" t="str" cm="1">
        <f t="array" ref="F907">_xlfn.XLOOKUP(D907&amp;C907, Sheet3!$C$2:$C$1224&amp;Sheet3!$B$2:$B$1224, Sheet3!$D$2:$D$1224, "")</f>
        <v/>
      </c>
      <c r="G907" s="1" t="str" cm="1">
        <f t="array" ref="G907">_xlfn.XLOOKUP(D907&amp;C907, Sheet2!$A$2:$A$558&amp;Sheet2!$B$2:$B$558, Sheet2!$C$2:$C$558, "")</f>
        <v/>
      </c>
      <c r="H907" s="40" t="str">
        <f t="shared" si="14"/>
        <v/>
      </c>
    </row>
    <row r="908" spans="1:8" ht="15.5" x14ac:dyDescent="0.35">
      <c r="A908" s="7">
        <v>907</v>
      </c>
      <c r="B908" s="8">
        <v>18072</v>
      </c>
      <c r="C908" s="31" t="s">
        <v>879</v>
      </c>
      <c r="D908" s="8" t="s">
        <v>1062</v>
      </c>
      <c r="E908" s="7">
        <v>1997</v>
      </c>
      <c r="F908" s="36" t="str" cm="1">
        <f t="array" ref="F908">_xlfn.XLOOKUP(D908&amp;C908, Sheet3!$C$2:$C$1224&amp;Sheet3!$B$2:$B$1224, Sheet3!$D$2:$D$1224, "")</f>
        <v>bdyuwono92@gmail.com</v>
      </c>
      <c r="G908" s="1" t="str" cm="1">
        <f t="array" ref="G908">_xlfn.XLOOKUP(D908&amp;C908, Sheet2!$A$2:$A$558&amp;Sheet2!$B$2:$B$558, Sheet2!$C$2:$C$558, "")</f>
        <v/>
      </c>
      <c r="H908" s="40" t="str">
        <f t="shared" si="14"/>
        <v>bdyuwono92@gmail.com</v>
      </c>
    </row>
    <row r="909" spans="1:8" ht="15.5" x14ac:dyDescent="0.35">
      <c r="A909" s="7">
        <v>908</v>
      </c>
      <c r="B909" s="8">
        <v>17111</v>
      </c>
      <c r="C909" s="31" t="s">
        <v>880</v>
      </c>
      <c r="D909" s="8" t="s">
        <v>1062</v>
      </c>
      <c r="E909" s="7">
        <v>1997</v>
      </c>
      <c r="F909" s="36" t="str" cm="1">
        <f t="array" ref="F909">_xlfn.XLOOKUP(D909&amp;C909, Sheet3!$C$2:$C$1224&amp;Sheet3!$B$2:$B$1224, Sheet3!$D$2:$D$1224, "")</f>
        <v>awal210874@gmail.com</v>
      </c>
      <c r="G909" s="1" t="str" cm="1">
        <f t="array" ref="G909">_xlfn.XLOOKUP(D909&amp;C909, Sheet2!$A$2:$A$558&amp;Sheet2!$B$2:$B$558, Sheet2!$C$2:$C$558, "")</f>
        <v/>
      </c>
      <c r="H909" s="40" t="str">
        <f t="shared" si="14"/>
        <v>awal210874@gmail.com</v>
      </c>
    </row>
    <row r="910" spans="1:8" ht="15.5" x14ac:dyDescent="0.35">
      <c r="A910" s="7">
        <v>909</v>
      </c>
      <c r="B910" s="8">
        <v>17899</v>
      </c>
      <c r="C910" s="31" t="s">
        <v>881</v>
      </c>
      <c r="D910" s="8" t="s">
        <v>1062</v>
      </c>
      <c r="E910" s="7">
        <v>1997</v>
      </c>
      <c r="F910" s="36" t="str" cm="1">
        <f t="array" ref="F910">_xlfn.XLOOKUP(D910&amp;C910, Sheet3!$C$2:$C$1224&amp;Sheet3!$B$2:$B$1224, Sheet3!$D$2:$D$1224, "")</f>
        <v/>
      </c>
      <c r="G910" s="1" t="str" cm="1">
        <f t="array" ref="G910">_xlfn.XLOOKUP(D910&amp;C910, Sheet2!$A$2:$A$558&amp;Sheet2!$B$2:$B$558, Sheet2!$C$2:$C$558, "")</f>
        <v/>
      </c>
      <c r="H910" s="40" t="str">
        <f t="shared" si="14"/>
        <v/>
      </c>
    </row>
    <row r="911" spans="1:8" ht="15.5" x14ac:dyDescent="0.35">
      <c r="A911" s="7">
        <v>910</v>
      </c>
      <c r="B911" s="8">
        <v>18773</v>
      </c>
      <c r="C911" s="31" t="s">
        <v>882</v>
      </c>
      <c r="D911" s="8" t="s">
        <v>1072</v>
      </c>
      <c r="E911" s="7">
        <v>1998</v>
      </c>
      <c r="F911" s="36" t="str" cm="1">
        <f t="array" ref="F911">_xlfn.XLOOKUP(D911&amp;C911, Sheet3!$C$2:$C$1224&amp;Sheet3!$B$2:$B$1224, Sheet3!$D$2:$D$1224, "")</f>
        <v>supraz1974@gmail.com</v>
      </c>
      <c r="G911" s="1" t="str" cm="1">
        <f t="array" ref="G911">_xlfn.XLOOKUP(D911&amp;C911, Sheet2!$A$2:$A$558&amp;Sheet2!$B$2:$B$558, Sheet2!$C$2:$C$558, "")</f>
        <v>suwandiprasetyo@gmail.com</v>
      </c>
      <c r="H911" s="40" t="str">
        <f t="shared" si="14"/>
        <v>supraz1974@gmail.com</v>
      </c>
    </row>
    <row r="912" spans="1:8" ht="15.5" x14ac:dyDescent="0.35">
      <c r="A912" s="7">
        <v>911</v>
      </c>
      <c r="B912" s="8">
        <v>18292</v>
      </c>
      <c r="C912" s="31" t="s">
        <v>883</v>
      </c>
      <c r="D912" s="8" t="s">
        <v>1072</v>
      </c>
      <c r="E912" s="7">
        <v>1998</v>
      </c>
      <c r="F912" s="36" t="str" cm="1">
        <f t="array" ref="F912">_xlfn.XLOOKUP(D912&amp;C912, Sheet3!$C$2:$C$1224&amp;Sheet3!$B$2:$B$1224, Sheet3!$D$2:$D$1224, "")</f>
        <v>ary.sucaya@gmail.com</v>
      </c>
      <c r="G912" s="1" t="str" cm="1">
        <f t="array" ref="G912">_xlfn.XLOOKUP(D912&amp;C912, Sheet2!$A$2:$A$558&amp;Sheet2!$B$2:$B$558, Sheet2!$C$2:$C$558, "")</f>
        <v/>
      </c>
      <c r="H912" s="40" t="str">
        <f t="shared" si="14"/>
        <v>ary.sucaya@gmail.com</v>
      </c>
    </row>
    <row r="913" spans="1:8" ht="15.5" x14ac:dyDescent="0.35">
      <c r="A913" s="7">
        <v>912</v>
      </c>
      <c r="B913" s="8">
        <v>13552</v>
      </c>
      <c r="C913" s="31" t="s">
        <v>884</v>
      </c>
      <c r="D913" s="8" t="s">
        <v>1067</v>
      </c>
      <c r="E913" s="7">
        <v>1998</v>
      </c>
      <c r="F913" s="36" t="str" cm="1">
        <f t="array" ref="F913">_xlfn.XLOOKUP(D913&amp;C913, Sheet3!$C$2:$C$1224&amp;Sheet3!$B$2:$B$1224, Sheet3!$D$2:$D$1224, "")</f>
        <v/>
      </c>
      <c r="G913" s="1" t="str" cm="1">
        <f t="array" ref="G913">_xlfn.XLOOKUP(D913&amp;C913, Sheet2!$A$2:$A$558&amp;Sheet2!$B$2:$B$558, Sheet2!$C$2:$C$558, "")</f>
        <v/>
      </c>
      <c r="H913" s="40" t="str">
        <f t="shared" si="14"/>
        <v/>
      </c>
    </row>
    <row r="914" spans="1:8" ht="15.5" x14ac:dyDescent="0.35">
      <c r="A914" s="7">
        <v>913</v>
      </c>
      <c r="B914" s="8">
        <v>15115</v>
      </c>
      <c r="C914" s="31" t="s">
        <v>885</v>
      </c>
      <c r="D914" s="8" t="s">
        <v>1066</v>
      </c>
      <c r="E914" s="7">
        <v>1998</v>
      </c>
      <c r="F914" s="36" t="str" cm="1">
        <f t="array" ref="F914">_xlfn.XLOOKUP(D914&amp;C914, Sheet3!$C$2:$C$1224&amp;Sheet3!$B$2:$B$1224, Sheet3!$D$2:$D$1224, "")</f>
        <v/>
      </c>
      <c r="G914" s="1" t="str" cm="1">
        <f t="array" ref="G914">_xlfn.XLOOKUP(D914&amp;C914, Sheet2!$A$2:$A$558&amp;Sheet2!$B$2:$B$558, Sheet2!$C$2:$C$558, "")</f>
        <v/>
      </c>
      <c r="H914" s="40" t="str">
        <f t="shared" si="14"/>
        <v/>
      </c>
    </row>
    <row r="915" spans="1:8" ht="15.5" x14ac:dyDescent="0.35">
      <c r="A915" s="7">
        <v>914</v>
      </c>
      <c r="B915" s="8">
        <v>18086</v>
      </c>
      <c r="C915" s="31" t="s">
        <v>886</v>
      </c>
      <c r="D915" s="8" t="s">
        <v>1062</v>
      </c>
      <c r="E915" s="7">
        <v>1998</v>
      </c>
      <c r="F915" s="36" t="str" cm="1">
        <f t="array" ref="F915">_xlfn.XLOOKUP(D915&amp;C915, Sheet3!$C$2:$C$1224&amp;Sheet3!$B$2:$B$1224, Sheet3!$D$2:$D$1224, "")</f>
        <v/>
      </c>
      <c r="G915" s="1" t="str" cm="1">
        <f t="array" ref="G915">_xlfn.XLOOKUP(D915&amp;C915, Sheet2!$A$2:$A$558&amp;Sheet2!$B$2:$B$558, Sheet2!$C$2:$C$558, "")</f>
        <v/>
      </c>
      <c r="H915" s="40" t="str">
        <f t="shared" si="14"/>
        <v/>
      </c>
    </row>
    <row r="916" spans="1:8" ht="15.5" x14ac:dyDescent="0.35">
      <c r="A916" s="7">
        <v>915</v>
      </c>
      <c r="B916" s="8">
        <v>17509</v>
      </c>
      <c r="C916" s="31" t="s">
        <v>887</v>
      </c>
      <c r="D916" s="8" t="s">
        <v>1071</v>
      </c>
      <c r="E916" s="7">
        <v>1998</v>
      </c>
      <c r="F916" s="36" t="str" cm="1">
        <f t="array" ref="F916">_xlfn.XLOOKUP(D916&amp;C916, Sheet3!$C$2:$C$1224&amp;Sheet3!$B$2:$B$1224, Sheet3!$D$2:$D$1224, "")</f>
        <v/>
      </c>
      <c r="G916" s="1" t="str" cm="1">
        <f t="array" ref="G916">_xlfn.XLOOKUP(D916&amp;C916, Sheet2!$A$2:$A$558&amp;Sheet2!$B$2:$B$558, Sheet2!$C$2:$C$558, "")</f>
        <v/>
      </c>
      <c r="H916" s="40" t="str">
        <f t="shared" si="14"/>
        <v/>
      </c>
    </row>
    <row r="917" spans="1:8" ht="15.5" x14ac:dyDescent="0.35">
      <c r="A917" s="7">
        <v>916</v>
      </c>
      <c r="B917" s="8">
        <v>17612</v>
      </c>
      <c r="C917" s="31" t="s">
        <v>888</v>
      </c>
      <c r="D917" s="8" t="s">
        <v>1062</v>
      </c>
      <c r="E917" s="7">
        <v>1998</v>
      </c>
      <c r="F917" s="36" t="str" cm="1">
        <f t="array" ref="F917">_xlfn.XLOOKUP(D917&amp;C917, Sheet3!$C$2:$C$1224&amp;Sheet3!$B$2:$B$1224, Sheet3!$D$2:$D$1224, "")</f>
        <v/>
      </c>
      <c r="G917" s="1" t="str" cm="1">
        <f t="array" ref="G917">_xlfn.XLOOKUP(D917&amp;C917, Sheet2!$A$2:$A$558&amp;Sheet2!$B$2:$B$558, Sheet2!$C$2:$C$558, "")</f>
        <v/>
      </c>
      <c r="H917" s="40" t="str">
        <f t="shared" si="14"/>
        <v/>
      </c>
    </row>
    <row r="918" spans="1:8" ht="15.5" x14ac:dyDescent="0.35">
      <c r="A918" s="7">
        <v>917</v>
      </c>
      <c r="B918" s="8">
        <v>16022</v>
      </c>
      <c r="C918" s="31" t="s">
        <v>889</v>
      </c>
      <c r="D918" s="8" t="s">
        <v>1069</v>
      </c>
      <c r="E918" s="7">
        <v>1998</v>
      </c>
      <c r="F918" s="36" t="str" cm="1">
        <f t="array" ref="F918">_xlfn.XLOOKUP(D918&amp;C918, Sheet3!$C$2:$C$1224&amp;Sheet3!$B$2:$B$1224, Sheet3!$D$2:$D$1224, "")</f>
        <v/>
      </c>
      <c r="G918" s="1" t="str" cm="1">
        <f t="array" ref="G918">_xlfn.XLOOKUP(D918&amp;C918, Sheet2!$A$2:$A$558&amp;Sheet2!$B$2:$B$558, Sheet2!$C$2:$C$558, "")</f>
        <v/>
      </c>
      <c r="H918" s="40" t="str">
        <f t="shared" si="14"/>
        <v/>
      </c>
    </row>
    <row r="919" spans="1:8" ht="15.5" x14ac:dyDescent="0.35">
      <c r="A919" s="7">
        <v>918</v>
      </c>
      <c r="B919" s="8">
        <v>15056</v>
      </c>
      <c r="C919" s="31" t="s">
        <v>890</v>
      </c>
      <c r="D919" s="8" t="s">
        <v>1064</v>
      </c>
      <c r="E919" s="7">
        <v>1998</v>
      </c>
      <c r="F919" s="36" t="str" cm="1">
        <f t="array" ref="F919">_xlfn.XLOOKUP(D919&amp;C919, Sheet3!$C$2:$C$1224&amp;Sheet3!$B$2:$B$1224, Sheet3!$D$2:$D$1224, "")</f>
        <v/>
      </c>
      <c r="G919" s="1" t="str" cm="1">
        <f t="array" ref="G919">_xlfn.XLOOKUP(D919&amp;C919, Sheet2!$A$2:$A$558&amp;Sheet2!$B$2:$B$558, Sheet2!$C$2:$C$558, "")</f>
        <v/>
      </c>
      <c r="H919" s="40" t="str">
        <f t="shared" si="14"/>
        <v/>
      </c>
    </row>
    <row r="920" spans="1:8" ht="15.5" x14ac:dyDescent="0.35">
      <c r="A920" s="7">
        <v>919</v>
      </c>
      <c r="B920" s="8">
        <v>16060</v>
      </c>
      <c r="C920" s="31" t="s">
        <v>891</v>
      </c>
      <c r="D920" s="8" t="s">
        <v>1069</v>
      </c>
      <c r="E920" s="7">
        <v>1998</v>
      </c>
      <c r="F920" s="36" t="str" cm="1">
        <f t="array" ref="F920">_xlfn.XLOOKUP(D920&amp;C920, Sheet3!$C$2:$C$1224&amp;Sheet3!$B$2:$B$1224, Sheet3!$D$2:$D$1224, "")</f>
        <v/>
      </c>
      <c r="G920" s="1" t="str" cm="1">
        <f t="array" ref="G920">_xlfn.XLOOKUP(D920&amp;C920, Sheet2!$A$2:$A$558&amp;Sheet2!$B$2:$B$558, Sheet2!$C$2:$C$558, "")</f>
        <v/>
      </c>
      <c r="H920" s="40" t="str">
        <f t="shared" si="14"/>
        <v/>
      </c>
    </row>
    <row r="921" spans="1:8" ht="15.5" x14ac:dyDescent="0.35">
      <c r="A921" s="7">
        <v>920</v>
      </c>
      <c r="B921" s="8">
        <v>18642</v>
      </c>
      <c r="C921" s="31" t="s">
        <v>892</v>
      </c>
      <c r="D921" s="8" t="s">
        <v>1072</v>
      </c>
      <c r="E921" s="7">
        <v>1998</v>
      </c>
      <c r="F921" s="36" t="str" cm="1">
        <f t="array" ref="F921">_xlfn.XLOOKUP(D921&amp;C921, Sheet3!$C$2:$C$1224&amp;Sheet3!$B$2:$B$1224, Sheet3!$D$2:$D$1224, "")</f>
        <v>dwilestari@ugm.ac.id</v>
      </c>
      <c r="G921" s="1" t="str" cm="1">
        <f t="array" ref="G921">_xlfn.XLOOKUP(D921&amp;C921, Sheet2!$A$2:$A$558&amp;Sheet2!$B$2:$B$558, Sheet2!$C$2:$C$558, "")</f>
        <v>dwilestari@ugm.ac.id</v>
      </c>
      <c r="H921" s="40" t="str">
        <f t="shared" si="14"/>
        <v>dwilestari@ugm.ac.id</v>
      </c>
    </row>
    <row r="922" spans="1:8" ht="15.5" x14ac:dyDescent="0.35">
      <c r="A922" s="7">
        <v>921</v>
      </c>
      <c r="B922" s="8">
        <v>18128</v>
      </c>
      <c r="C922" s="31" t="s">
        <v>893</v>
      </c>
      <c r="D922" s="8" t="s">
        <v>1062</v>
      </c>
      <c r="E922" s="7">
        <v>1998</v>
      </c>
      <c r="F922" s="36" t="str" cm="1">
        <f t="array" ref="F922">_xlfn.XLOOKUP(D922&amp;C922, Sheet3!$C$2:$C$1224&amp;Sheet3!$B$2:$B$1224, Sheet3!$D$2:$D$1224, "")</f>
        <v>binawanindra@gmail.com</v>
      </c>
      <c r="G922" s="1" t="str" cm="1">
        <f t="array" ref="G922">_xlfn.XLOOKUP(D922&amp;C922, Sheet2!$A$2:$A$558&amp;Sheet2!$B$2:$B$558, Sheet2!$C$2:$C$558, "")</f>
        <v/>
      </c>
      <c r="H922" s="40" t="str">
        <f t="shared" si="14"/>
        <v>binawanindra@gmail.com</v>
      </c>
    </row>
    <row r="923" spans="1:8" ht="15.5" x14ac:dyDescent="0.35">
      <c r="A923" s="7">
        <v>922</v>
      </c>
      <c r="B923" s="8">
        <v>16913</v>
      </c>
      <c r="C923" s="31" t="s">
        <v>894</v>
      </c>
      <c r="D923" s="8" t="s">
        <v>1070</v>
      </c>
      <c r="E923" s="7">
        <v>1998</v>
      </c>
      <c r="F923" s="36" t="str" cm="1">
        <f t="array" ref="F923">_xlfn.XLOOKUP(D923&amp;C923, Sheet3!$C$2:$C$1224&amp;Sheet3!$B$2:$B$1224, Sheet3!$D$2:$D$1224, "")</f>
        <v/>
      </c>
      <c r="G923" s="1" t="str" cm="1">
        <f t="array" ref="G923">_xlfn.XLOOKUP(D923&amp;C923, Sheet2!$A$2:$A$558&amp;Sheet2!$B$2:$B$558, Sheet2!$C$2:$C$558, "")</f>
        <v/>
      </c>
      <c r="H923" s="40" t="str">
        <f t="shared" si="14"/>
        <v/>
      </c>
    </row>
    <row r="924" spans="1:8" ht="15.5" x14ac:dyDescent="0.35">
      <c r="A924" s="7">
        <v>923</v>
      </c>
      <c r="B924" s="8">
        <v>18073</v>
      </c>
      <c r="C924" s="31" t="s">
        <v>895</v>
      </c>
      <c r="D924" s="8" t="s">
        <v>1062</v>
      </c>
      <c r="E924" s="7">
        <v>1998</v>
      </c>
      <c r="F924" s="36" t="str" cm="1">
        <f t="array" ref="F924">_xlfn.XLOOKUP(D924&amp;C924, Sheet3!$C$2:$C$1224&amp;Sheet3!$B$2:$B$1224, Sheet3!$D$2:$D$1224, "")</f>
        <v>wiscov@gmail.com</v>
      </c>
      <c r="G924" s="1" t="str" cm="1">
        <f t="array" ref="G924">_xlfn.XLOOKUP(D924&amp;C924, Sheet2!$A$2:$A$558&amp;Sheet2!$B$2:$B$558, Sheet2!$C$2:$C$558, "")</f>
        <v/>
      </c>
      <c r="H924" s="40" t="str">
        <f t="shared" si="14"/>
        <v>wiscov@gmail.com</v>
      </c>
    </row>
    <row r="925" spans="1:8" ht="15.5" x14ac:dyDescent="0.35">
      <c r="A925" s="7">
        <v>924</v>
      </c>
      <c r="B925" s="8">
        <v>18690</v>
      </c>
      <c r="C925" s="31" t="s">
        <v>896</v>
      </c>
      <c r="D925" s="8" t="s">
        <v>1072</v>
      </c>
      <c r="E925" s="7">
        <v>1998</v>
      </c>
      <c r="F925" s="36" t="str" cm="1">
        <f t="array" ref="F925">_xlfn.XLOOKUP(D925&amp;C925, Sheet3!$C$2:$C$1224&amp;Sheet3!$B$2:$B$1224, Sheet3!$D$2:$D$1224, "")</f>
        <v>setiadji8@gmail.com</v>
      </c>
      <c r="G925" s="1" t="str" cm="1">
        <f t="array" ref="G925">_xlfn.XLOOKUP(D925&amp;C925, Sheet2!$A$2:$A$558&amp;Sheet2!$B$2:$B$558, Sheet2!$C$2:$C$558, "")</f>
        <v/>
      </c>
      <c r="H925" s="40" t="str">
        <f t="shared" si="14"/>
        <v>setiadji8@gmail.com</v>
      </c>
    </row>
    <row r="926" spans="1:8" ht="15.5" x14ac:dyDescent="0.35">
      <c r="A926" s="7">
        <v>925</v>
      </c>
      <c r="B926" s="8">
        <v>16777</v>
      </c>
      <c r="C926" s="31" t="s">
        <v>897</v>
      </c>
      <c r="D926" s="8" t="s">
        <v>1070</v>
      </c>
      <c r="E926" s="7">
        <v>1998</v>
      </c>
      <c r="F926" s="36" t="str" cm="1">
        <f t="array" ref="F926">_xlfn.XLOOKUP(D926&amp;C926, Sheet3!$C$2:$C$1224&amp;Sheet3!$B$2:$B$1224, Sheet3!$D$2:$D$1224, "")</f>
        <v>haryosusilo14@gmail.com</v>
      </c>
      <c r="G926" s="1" t="str" cm="1">
        <f t="array" ref="G926">_xlfn.XLOOKUP(D926&amp;C926, Sheet2!$A$2:$A$558&amp;Sheet2!$B$2:$B$558, Sheet2!$C$2:$C$558, "")</f>
        <v/>
      </c>
      <c r="H926" s="40" t="str">
        <f t="shared" si="14"/>
        <v>haryosusilo14@gmail.com</v>
      </c>
    </row>
    <row r="927" spans="1:8" ht="15.5" x14ac:dyDescent="0.35">
      <c r="A927" s="7">
        <v>926</v>
      </c>
      <c r="B927" s="8">
        <v>15368</v>
      </c>
      <c r="C927" s="31" t="s">
        <v>898</v>
      </c>
      <c r="D927" s="8" t="s">
        <v>1068</v>
      </c>
      <c r="E927" s="7">
        <v>1998</v>
      </c>
      <c r="F927" s="36" t="str" cm="1">
        <f t="array" ref="F927">_xlfn.XLOOKUP(D927&amp;C927, Sheet3!$C$2:$C$1224&amp;Sheet3!$B$2:$B$1224, Sheet3!$D$2:$D$1224, "")</f>
        <v>ketriadji156@gmail.com</v>
      </c>
      <c r="G927" s="1" t="str" cm="1">
        <f t="array" ref="G927">_xlfn.XLOOKUP(D927&amp;C927, Sheet2!$A$2:$A$558&amp;Sheet2!$B$2:$B$558, Sheet2!$C$2:$C$558, "")</f>
        <v/>
      </c>
      <c r="H927" s="40" t="str">
        <f t="shared" si="14"/>
        <v>ketriadji156@gmail.com</v>
      </c>
    </row>
    <row r="928" spans="1:8" ht="15.5" x14ac:dyDescent="0.35">
      <c r="A928" s="7">
        <v>927</v>
      </c>
      <c r="B928" s="8">
        <v>18081</v>
      </c>
      <c r="C928" s="31" t="s">
        <v>899</v>
      </c>
      <c r="D928" s="8" t="s">
        <v>1062</v>
      </c>
      <c r="E928" s="7">
        <v>1998</v>
      </c>
      <c r="F928" s="36" t="str" cm="1">
        <f t="array" ref="F928">_xlfn.XLOOKUP(D928&amp;C928, Sheet3!$C$2:$C$1224&amp;Sheet3!$B$2:$B$1224, Sheet3!$D$2:$D$1224, "")</f>
        <v/>
      </c>
      <c r="G928" s="1" t="str" cm="1">
        <f t="array" ref="G928">_xlfn.XLOOKUP(D928&amp;C928, Sheet2!$A$2:$A$558&amp;Sheet2!$B$2:$B$558, Sheet2!$C$2:$C$558, "")</f>
        <v/>
      </c>
      <c r="H928" s="40" t="str">
        <f t="shared" si="14"/>
        <v/>
      </c>
    </row>
    <row r="929" spans="1:8" ht="15.5" x14ac:dyDescent="0.35">
      <c r="A929" s="7">
        <v>928</v>
      </c>
      <c r="B929" s="8">
        <v>15054</v>
      </c>
      <c r="C929" s="31" t="s">
        <v>900</v>
      </c>
      <c r="D929" s="8" t="s">
        <v>1064</v>
      </c>
      <c r="E929" s="7">
        <v>1998</v>
      </c>
      <c r="F929" s="36" t="str" cm="1">
        <f t="array" ref="F929">_xlfn.XLOOKUP(D929&amp;C929, Sheet3!$C$2:$C$1224&amp;Sheet3!$B$2:$B$1224, Sheet3!$D$2:$D$1224, "")</f>
        <v/>
      </c>
      <c r="G929" s="1" t="str" cm="1">
        <f t="array" ref="G929">_xlfn.XLOOKUP(D929&amp;C929, Sheet2!$A$2:$A$558&amp;Sheet2!$B$2:$B$558, Sheet2!$C$2:$C$558, "")</f>
        <v/>
      </c>
      <c r="H929" s="40" t="str">
        <f t="shared" si="14"/>
        <v/>
      </c>
    </row>
    <row r="930" spans="1:8" ht="15.5" x14ac:dyDescent="0.35">
      <c r="A930" s="7">
        <v>929</v>
      </c>
      <c r="B930" s="8">
        <v>16915</v>
      </c>
      <c r="C930" s="31" t="s">
        <v>901</v>
      </c>
      <c r="D930" s="8" t="s">
        <v>1070</v>
      </c>
      <c r="E930" s="7">
        <v>1998</v>
      </c>
      <c r="F930" s="36" t="str" cm="1">
        <f t="array" ref="F930">_xlfn.XLOOKUP(D930&amp;C930, Sheet3!$C$2:$C$1224&amp;Sheet3!$B$2:$B$1224, Sheet3!$D$2:$D$1224, "")</f>
        <v/>
      </c>
      <c r="G930" s="1" t="str" cm="1">
        <f t="array" ref="G930">_xlfn.XLOOKUP(D930&amp;C930, Sheet2!$A$2:$A$558&amp;Sheet2!$B$2:$B$558, Sheet2!$C$2:$C$558, "")</f>
        <v/>
      </c>
      <c r="H930" s="40" t="str">
        <f t="shared" si="14"/>
        <v/>
      </c>
    </row>
    <row r="931" spans="1:8" ht="15.5" x14ac:dyDescent="0.35">
      <c r="A931" s="7">
        <v>930</v>
      </c>
      <c r="B931" s="8">
        <v>16580</v>
      </c>
      <c r="C931" s="31" t="s">
        <v>902</v>
      </c>
      <c r="D931" s="8" t="s">
        <v>1070</v>
      </c>
      <c r="E931" s="7">
        <v>1998</v>
      </c>
      <c r="F931" s="36" t="str" cm="1">
        <f t="array" ref="F931">_xlfn.XLOOKUP(D931&amp;C931, Sheet3!$C$2:$C$1224&amp;Sheet3!$B$2:$B$1224, Sheet3!$D$2:$D$1224, "")</f>
        <v>wulandonoyosep@gmail.com</v>
      </c>
      <c r="G931" s="1" t="str" cm="1">
        <f t="array" ref="G931">_xlfn.XLOOKUP(D931&amp;C931, Sheet2!$A$2:$A$558&amp;Sheet2!$B$2:$B$558, Sheet2!$C$2:$C$558, "")</f>
        <v/>
      </c>
      <c r="H931" s="40" t="str">
        <f t="shared" si="14"/>
        <v>wulandonoyosep@gmail.com</v>
      </c>
    </row>
    <row r="932" spans="1:8" ht="15.5" x14ac:dyDescent="0.35">
      <c r="A932" s="7">
        <v>931</v>
      </c>
      <c r="B932" s="8">
        <v>18747</v>
      </c>
      <c r="C932" s="31" t="s">
        <v>903</v>
      </c>
      <c r="D932" s="8" t="s">
        <v>1072</v>
      </c>
      <c r="E932" s="7">
        <v>1998</v>
      </c>
      <c r="F932" s="36" t="str" cm="1">
        <f t="array" ref="F932">_xlfn.XLOOKUP(D932&amp;C932, Sheet3!$C$2:$C$1224&amp;Sheet3!$B$2:$B$1224, Sheet3!$D$2:$D$1224, "")</f>
        <v>riyadi.hape@gmail.com</v>
      </c>
      <c r="G932" s="1" t="str" cm="1">
        <f t="array" ref="G932">_xlfn.XLOOKUP(D932&amp;C932, Sheet2!$A$2:$A$558&amp;Sheet2!$B$2:$B$558, Sheet2!$C$2:$C$558, "")</f>
        <v>riyadi.hape@gmail.com</v>
      </c>
      <c r="H932" s="40" t="str">
        <f t="shared" si="14"/>
        <v>riyadi.hape@gmail.com</v>
      </c>
    </row>
    <row r="933" spans="1:8" ht="15.5" x14ac:dyDescent="0.35">
      <c r="A933" s="7">
        <v>932</v>
      </c>
      <c r="B933" s="8">
        <v>12342</v>
      </c>
      <c r="C933" s="31" t="s">
        <v>904</v>
      </c>
      <c r="D933" s="8" t="s">
        <v>1063</v>
      </c>
      <c r="E933" s="7">
        <v>1998</v>
      </c>
      <c r="F933" s="36" t="str" cm="1">
        <f t="array" ref="F933">_xlfn.XLOOKUP(D933&amp;C933, Sheet3!$C$2:$C$1224&amp;Sheet3!$B$2:$B$1224, Sheet3!$D$2:$D$1224, "")</f>
        <v/>
      </c>
      <c r="G933" s="1" t="str" cm="1">
        <f t="array" ref="G933">_xlfn.XLOOKUP(D933&amp;C933, Sheet2!$A$2:$A$558&amp;Sheet2!$B$2:$B$558, Sheet2!$C$2:$C$558, "")</f>
        <v/>
      </c>
      <c r="H933" s="40" t="str">
        <f t="shared" si="14"/>
        <v/>
      </c>
    </row>
    <row r="934" spans="1:8" ht="15.5" x14ac:dyDescent="0.35">
      <c r="A934" s="7">
        <v>933</v>
      </c>
      <c r="B934" s="8">
        <v>16723</v>
      </c>
      <c r="C934" s="31" t="s">
        <v>905</v>
      </c>
      <c r="D934" s="8" t="s">
        <v>1070</v>
      </c>
      <c r="E934" s="7">
        <v>1998</v>
      </c>
      <c r="F934" s="36" t="str" cm="1">
        <f t="array" ref="F934">_xlfn.XLOOKUP(D934&amp;C934, Sheet3!$C$2:$C$1224&amp;Sheet3!$B$2:$B$1224, Sheet3!$D$2:$D$1224, "")</f>
        <v/>
      </c>
      <c r="G934" s="1" t="str" cm="1">
        <f t="array" ref="G934">_xlfn.XLOOKUP(D934&amp;C934, Sheet2!$A$2:$A$558&amp;Sheet2!$B$2:$B$558, Sheet2!$C$2:$C$558, "")</f>
        <v/>
      </c>
      <c r="H934" s="40" t="str">
        <f t="shared" si="14"/>
        <v/>
      </c>
    </row>
    <row r="935" spans="1:8" ht="15.5" x14ac:dyDescent="0.35">
      <c r="A935" s="7">
        <v>934</v>
      </c>
      <c r="B935" s="8">
        <v>18335</v>
      </c>
      <c r="C935" s="31" t="s">
        <v>906</v>
      </c>
      <c r="D935" s="8" t="s">
        <v>1072</v>
      </c>
      <c r="E935" s="7">
        <v>1998</v>
      </c>
      <c r="F935" s="36" t="str" cm="1">
        <f t="array" ref="F935">_xlfn.XLOOKUP(D935&amp;C935, Sheet3!$C$2:$C$1224&amp;Sheet3!$B$2:$B$1224, Sheet3!$D$2:$D$1224, "")</f>
        <v>hmawan2015@gmail.com</v>
      </c>
      <c r="G935" s="1" t="str" cm="1">
        <f t="array" ref="G935">_xlfn.XLOOKUP(D935&amp;C935, Sheet2!$A$2:$A$558&amp;Sheet2!$B$2:$B$558, Sheet2!$C$2:$C$558, "")</f>
        <v/>
      </c>
      <c r="H935" s="40" t="str">
        <f t="shared" si="14"/>
        <v>hmawan2015@gmail.com</v>
      </c>
    </row>
    <row r="936" spans="1:8" ht="15.5" x14ac:dyDescent="0.35">
      <c r="A936" s="7">
        <v>935</v>
      </c>
      <c r="B936" s="8">
        <v>16020</v>
      </c>
      <c r="C936" s="31" t="s">
        <v>907</v>
      </c>
      <c r="D936" s="8" t="s">
        <v>1069</v>
      </c>
      <c r="E936" s="7">
        <v>1998</v>
      </c>
      <c r="F936" s="36" t="str" cm="1">
        <f t="array" ref="F936">_xlfn.XLOOKUP(D936&amp;C936, Sheet3!$C$2:$C$1224&amp;Sheet3!$B$2:$B$1224, Sheet3!$D$2:$D$1224, "")</f>
        <v/>
      </c>
      <c r="G936" s="1" t="str" cm="1">
        <f t="array" ref="G936">_xlfn.XLOOKUP(D936&amp;C936, Sheet2!$A$2:$A$558&amp;Sheet2!$B$2:$B$558, Sheet2!$C$2:$C$558, "")</f>
        <v/>
      </c>
      <c r="H936" s="40" t="str">
        <f t="shared" si="14"/>
        <v/>
      </c>
    </row>
    <row r="937" spans="1:8" ht="15.5" x14ac:dyDescent="0.35">
      <c r="A937" s="7">
        <v>936</v>
      </c>
      <c r="B937" s="8">
        <v>16176</v>
      </c>
      <c r="C937" s="31" t="s">
        <v>908</v>
      </c>
      <c r="D937" s="8" t="s">
        <v>1069</v>
      </c>
      <c r="E937" s="7">
        <v>1998</v>
      </c>
      <c r="F937" s="36" t="str" cm="1">
        <f t="array" ref="F937">_xlfn.XLOOKUP(D937&amp;C937, Sheet3!$C$2:$C$1224&amp;Sheet3!$B$2:$B$1224, Sheet3!$D$2:$D$1224, "")</f>
        <v/>
      </c>
      <c r="G937" s="1" t="str" cm="1">
        <f t="array" ref="G937">_xlfn.XLOOKUP(D937&amp;C937, Sheet2!$A$2:$A$558&amp;Sheet2!$B$2:$B$558, Sheet2!$C$2:$C$558, "")</f>
        <v/>
      </c>
      <c r="H937" s="40" t="str">
        <f t="shared" si="14"/>
        <v/>
      </c>
    </row>
    <row r="938" spans="1:8" ht="15.5" x14ac:dyDescent="0.35">
      <c r="A938" s="7">
        <v>937</v>
      </c>
      <c r="B938" s="8">
        <v>17587</v>
      </c>
      <c r="C938" s="31" t="s">
        <v>909</v>
      </c>
      <c r="D938" s="8" t="s">
        <v>1062</v>
      </c>
      <c r="E938" s="7">
        <v>1998</v>
      </c>
      <c r="F938" s="36" t="str" cm="1">
        <f t="array" ref="F938">_xlfn.XLOOKUP(D938&amp;C938, Sheet3!$C$2:$C$1224&amp;Sheet3!$B$2:$B$1224, Sheet3!$D$2:$D$1224, "")</f>
        <v>arif270103@gmail.com</v>
      </c>
      <c r="G938" s="1" t="str" cm="1">
        <f t="array" ref="G938">_xlfn.XLOOKUP(D938&amp;C938, Sheet2!$A$2:$A$558&amp;Sheet2!$B$2:$B$558, Sheet2!$C$2:$C$558, "")</f>
        <v/>
      </c>
      <c r="H938" s="40" t="str">
        <f t="shared" si="14"/>
        <v>arif270103@gmail.com</v>
      </c>
    </row>
    <row r="939" spans="1:8" ht="15.5" x14ac:dyDescent="0.35">
      <c r="A939" s="7">
        <v>938</v>
      </c>
      <c r="B939" s="8">
        <v>18145</v>
      </c>
      <c r="C939" s="31" t="s">
        <v>910</v>
      </c>
      <c r="D939" s="8" t="s">
        <v>1062</v>
      </c>
      <c r="E939" s="7">
        <v>1998</v>
      </c>
      <c r="F939" s="36" t="str" cm="1">
        <f t="array" ref="F939">_xlfn.XLOOKUP(D939&amp;C939, Sheet3!$C$2:$C$1224&amp;Sheet3!$B$2:$B$1224, Sheet3!$D$2:$D$1224, "")</f>
        <v/>
      </c>
      <c r="G939" s="1" t="str" cm="1">
        <f t="array" ref="G939">_xlfn.XLOOKUP(D939&amp;C939, Sheet2!$A$2:$A$558&amp;Sheet2!$B$2:$B$558, Sheet2!$C$2:$C$558, "")</f>
        <v/>
      </c>
      <c r="H939" s="40" t="str">
        <f t="shared" si="14"/>
        <v/>
      </c>
    </row>
    <row r="940" spans="1:8" ht="15.5" x14ac:dyDescent="0.35">
      <c r="A940" s="7">
        <v>939</v>
      </c>
      <c r="B940" s="8">
        <v>17892</v>
      </c>
      <c r="C940" s="31" t="s">
        <v>911</v>
      </c>
      <c r="D940" s="8" t="s">
        <v>1062</v>
      </c>
      <c r="E940" s="7">
        <v>1998</v>
      </c>
      <c r="F940" s="36" t="str" cm="1">
        <f t="array" ref="F940">_xlfn.XLOOKUP(D940&amp;C940, Sheet3!$C$2:$C$1224&amp;Sheet3!$B$2:$B$1224, Sheet3!$D$2:$D$1224, "")</f>
        <v/>
      </c>
      <c r="G940" s="1" t="str" cm="1">
        <f t="array" ref="G940">_xlfn.XLOOKUP(D940&amp;C940, Sheet2!$A$2:$A$558&amp;Sheet2!$B$2:$B$558, Sheet2!$C$2:$C$558, "")</f>
        <v/>
      </c>
      <c r="H940" s="40" t="str">
        <f t="shared" si="14"/>
        <v/>
      </c>
    </row>
    <row r="941" spans="1:8" ht="15.5" x14ac:dyDescent="0.35">
      <c r="A941" s="7">
        <v>940</v>
      </c>
      <c r="B941" s="8">
        <v>18020</v>
      </c>
      <c r="C941" s="31" t="s">
        <v>912</v>
      </c>
      <c r="D941" s="8" t="s">
        <v>1062</v>
      </c>
      <c r="E941" s="7">
        <v>1998</v>
      </c>
      <c r="F941" s="36" t="str" cm="1">
        <f t="array" ref="F941">_xlfn.XLOOKUP(D941&amp;C941, Sheet3!$C$2:$C$1224&amp;Sheet3!$B$2:$B$1224, Sheet3!$D$2:$D$1224, "")</f>
        <v>haryo_sg@yahoo.com</v>
      </c>
      <c r="G941" s="1" t="str" cm="1">
        <f t="array" ref="G941">_xlfn.XLOOKUP(D941&amp;C941, Sheet2!$A$2:$A$558&amp;Sheet2!$B$2:$B$558, Sheet2!$C$2:$C$558, "")</f>
        <v/>
      </c>
      <c r="H941" s="40" t="str">
        <f t="shared" si="14"/>
        <v>haryo_sg@yahoo.com</v>
      </c>
    </row>
    <row r="942" spans="1:8" ht="15.5" x14ac:dyDescent="0.35">
      <c r="A942" s="7">
        <v>941</v>
      </c>
      <c r="B942" s="8">
        <v>17935</v>
      </c>
      <c r="C942" s="31" t="s">
        <v>913</v>
      </c>
      <c r="D942" s="8" t="s">
        <v>1062</v>
      </c>
      <c r="E942" s="7">
        <v>1998</v>
      </c>
      <c r="F942" s="36" t="str" cm="1">
        <f t="array" ref="F942">_xlfn.XLOOKUP(D942&amp;C942, Sheet3!$C$2:$C$1224&amp;Sheet3!$B$2:$B$1224, Sheet3!$D$2:$D$1224, "")</f>
        <v/>
      </c>
      <c r="G942" s="1" t="str" cm="1">
        <f t="array" ref="G942">_xlfn.XLOOKUP(D942&amp;C942, Sheet2!$A$2:$A$558&amp;Sheet2!$B$2:$B$558, Sheet2!$C$2:$C$558, "")</f>
        <v/>
      </c>
      <c r="H942" s="40" t="str">
        <f t="shared" si="14"/>
        <v/>
      </c>
    </row>
    <row r="943" spans="1:8" ht="15.5" x14ac:dyDescent="0.35">
      <c r="A943" s="7">
        <v>942</v>
      </c>
      <c r="B943" s="8">
        <v>16896</v>
      </c>
      <c r="C943" s="31" t="s">
        <v>914</v>
      </c>
      <c r="D943" s="8" t="s">
        <v>1070</v>
      </c>
      <c r="E943" s="7">
        <v>1998</v>
      </c>
      <c r="F943" s="36" t="str" cm="1">
        <f t="array" ref="F943">_xlfn.XLOOKUP(D943&amp;C943, Sheet3!$C$2:$C$1224&amp;Sheet3!$B$2:$B$1224, Sheet3!$D$2:$D$1224, "")</f>
        <v/>
      </c>
      <c r="G943" s="1" t="str" cm="1">
        <f t="array" ref="G943">_xlfn.XLOOKUP(D943&amp;C943, Sheet2!$A$2:$A$558&amp;Sheet2!$B$2:$B$558, Sheet2!$C$2:$C$558, "")</f>
        <v>slamul@gmail.com</v>
      </c>
      <c r="H943" s="40" t="str">
        <f t="shared" si="14"/>
        <v>slamul@gmail.com</v>
      </c>
    </row>
    <row r="944" spans="1:8" ht="15.5" x14ac:dyDescent="0.35">
      <c r="A944" s="7">
        <v>943</v>
      </c>
      <c r="B944" s="8">
        <v>16188</v>
      </c>
      <c r="C944" s="31" t="s">
        <v>215</v>
      </c>
      <c r="D944" s="8" t="s">
        <v>1069</v>
      </c>
      <c r="E944" s="7">
        <v>1998</v>
      </c>
      <c r="F944" s="36" t="str" cm="1">
        <f t="array" ref="F944">_xlfn.XLOOKUP(D944&amp;C944, Sheet3!$C$2:$C$1224&amp;Sheet3!$B$2:$B$1224, Sheet3!$D$2:$D$1224, "")</f>
        <v>sutarto.mb@gmail.com</v>
      </c>
      <c r="G944" s="1" t="str" cm="1">
        <f t="array" ref="G944">_xlfn.XLOOKUP(D944&amp;C944, Sheet2!$A$2:$A$558&amp;Sheet2!$B$2:$B$558, Sheet2!$C$2:$C$558, "")</f>
        <v/>
      </c>
      <c r="H944" s="40" t="str">
        <f t="shared" si="14"/>
        <v>sutarto.mb@gmail.com</v>
      </c>
    </row>
    <row r="945" spans="1:8" ht="15.5" x14ac:dyDescent="0.35">
      <c r="A945" s="7">
        <v>944</v>
      </c>
      <c r="B945" s="8">
        <v>18443</v>
      </c>
      <c r="C945" s="31" t="s">
        <v>915</v>
      </c>
      <c r="D945" s="8" t="s">
        <v>1072</v>
      </c>
      <c r="E945" s="7">
        <v>1998</v>
      </c>
      <c r="F945" s="36" t="str" cm="1">
        <f t="array" ref="F945">_xlfn.XLOOKUP(D945&amp;C945, Sheet3!$C$2:$C$1224&amp;Sheet3!$B$2:$B$1224, Sheet3!$D$2:$D$1224, "")</f>
        <v/>
      </c>
      <c r="G945" s="1" t="str" cm="1">
        <f t="array" ref="G945">_xlfn.XLOOKUP(D945&amp;C945, Sheet2!$A$2:$A$558&amp;Sheet2!$B$2:$B$558, Sheet2!$C$2:$C$558, "")</f>
        <v/>
      </c>
      <c r="H945" s="40" t="str">
        <f t="shared" si="14"/>
        <v/>
      </c>
    </row>
    <row r="946" spans="1:8" ht="15.5" x14ac:dyDescent="0.35">
      <c r="A946" s="7">
        <v>945</v>
      </c>
      <c r="B946" s="8">
        <v>18685</v>
      </c>
      <c r="C946" s="31" t="s">
        <v>916</v>
      </c>
      <c r="D946" s="8" t="s">
        <v>1072</v>
      </c>
      <c r="E946" s="7">
        <v>1998</v>
      </c>
      <c r="F946" s="36" t="str" cm="1">
        <f t="array" ref="F946">_xlfn.XLOOKUP(D946&amp;C946, Sheet3!$C$2:$C$1224&amp;Sheet3!$B$2:$B$1224, Sheet3!$D$2:$D$1224, "")</f>
        <v>yustrahmat@gmail.com</v>
      </c>
      <c r="G946" s="1" t="str" cm="1">
        <f t="array" ref="G946">_xlfn.XLOOKUP(D946&amp;C946, Sheet2!$A$2:$A$558&amp;Sheet2!$B$2:$B$558, Sheet2!$C$2:$C$558, "")</f>
        <v/>
      </c>
      <c r="H946" s="40" t="str">
        <f t="shared" si="14"/>
        <v>yustrahmat@gmail.com</v>
      </c>
    </row>
    <row r="947" spans="1:8" ht="15.5" x14ac:dyDescent="0.35">
      <c r="A947" s="7">
        <v>946</v>
      </c>
      <c r="B947" s="8">
        <v>17499</v>
      </c>
      <c r="C947" s="31" t="s">
        <v>210</v>
      </c>
      <c r="D947" s="8" t="s">
        <v>1071</v>
      </c>
      <c r="E947" s="7">
        <v>1998</v>
      </c>
      <c r="F947" s="36" t="str" cm="1">
        <f t="array" ref="F947">_xlfn.XLOOKUP(D947&amp;C947, Sheet3!$C$2:$C$1224&amp;Sheet3!$B$2:$B$1224, Sheet3!$D$2:$D$1224, "")</f>
        <v/>
      </c>
      <c r="G947" s="1" t="str" cm="1">
        <f t="array" ref="G947">_xlfn.XLOOKUP(D947&amp;C947, Sheet2!$A$2:$A$558&amp;Sheet2!$B$2:$B$558, Sheet2!$C$2:$C$558, "")</f>
        <v/>
      </c>
      <c r="H947" s="40" t="str">
        <f t="shared" si="14"/>
        <v/>
      </c>
    </row>
    <row r="948" spans="1:8" ht="15.5" x14ac:dyDescent="0.35">
      <c r="A948" s="7">
        <v>947</v>
      </c>
      <c r="B948" s="8">
        <v>16092</v>
      </c>
      <c r="C948" s="31" t="s">
        <v>917</v>
      </c>
      <c r="D948" s="8" t="s">
        <v>1062</v>
      </c>
      <c r="E948" s="7">
        <v>1998</v>
      </c>
      <c r="F948" s="36" t="str" cm="1">
        <f t="array" ref="F948">_xlfn.XLOOKUP(D948&amp;C948, Sheet3!$C$2:$C$1224&amp;Sheet3!$B$2:$B$1224, Sheet3!$D$2:$D$1224, "")</f>
        <v/>
      </c>
      <c r="G948" s="1" t="str" cm="1">
        <f t="array" ref="G948">_xlfn.XLOOKUP(D948&amp;C948, Sheet2!$A$2:$A$558&amp;Sheet2!$B$2:$B$558, Sheet2!$C$2:$C$558, "")</f>
        <v/>
      </c>
      <c r="H948" s="40" t="str">
        <f t="shared" si="14"/>
        <v/>
      </c>
    </row>
    <row r="949" spans="1:8" ht="15.5" x14ac:dyDescent="0.35">
      <c r="A949" s="7">
        <v>948</v>
      </c>
      <c r="B949" s="8">
        <v>18611</v>
      </c>
      <c r="C949" s="31" t="s">
        <v>918</v>
      </c>
      <c r="D949" s="8" t="s">
        <v>1072</v>
      </c>
      <c r="E949" s="7">
        <v>1998</v>
      </c>
      <c r="F949" s="36" t="str" cm="1">
        <f t="array" ref="F949">_xlfn.XLOOKUP(D949&amp;C949, Sheet3!$C$2:$C$1224&amp;Sheet3!$B$2:$B$1224, Sheet3!$D$2:$D$1224, "")</f>
        <v/>
      </c>
      <c r="G949" s="1" t="str" cm="1">
        <f t="array" ref="G949">_xlfn.XLOOKUP(D949&amp;C949, Sheet2!$A$2:$A$558&amp;Sheet2!$B$2:$B$558, Sheet2!$C$2:$C$558, "")</f>
        <v/>
      </c>
      <c r="H949" s="40" t="str">
        <f t="shared" si="14"/>
        <v/>
      </c>
    </row>
    <row r="950" spans="1:8" ht="15.5" x14ac:dyDescent="0.35">
      <c r="A950" s="7">
        <v>949</v>
      </c>
      <c r="B950" s="8">
        <v>18756</v>
      </c>
      <c r="C950" s="31" t="s">
        <v>919</v>
      </c>
      <c r="D950" s="8" t="s">
        <v>1072</v>
      </c>
      <c r="E950" s="7">
        <v>1998</v>
      </c>
      <c r="F950" s="36" t="str" cm="1">
        <f t="array" ref="F950">_xlfn.XLOOKUP(D950&amp;C950, Sheet3!$C$2:$C$1224&amp;Sheet3!$B$2:$B$1224, Sheet3!$D$2:$D$1224, "")</f>
        <v>fyaristanto@gmail.com</v>
      </c>
      <c r="G950" s="1" t="str" cm="1">
        <f t="array" ref="G950">_xlfn.XLOOKUP(D950&amp;C950, Sheet2!$A$2:$A$558&amp;Sheet2!$B$2:$B$558, Sheet2!$C$2:$C$558, "")</f>
        <v>fyaristanto@gmail.com</v>
      </c>
      <c r="H950" s="40" t="str">
        <f t="shared" si="14"/>
        <v>fyaristanto@gmail.com</v>
      </c>
    </row>
    <row r="951" spans="1:8" ht="15.5" x14ac:dyDescent="0.35">
      <c r="A951" s="7">
        <v>950</v>
      </c>
      <c r="B951" s="8">
        <v>18613</v>
      </c>
      <c r="C951" s="32" t="s">
        <v>5830</v>
      </c>
      <c r="D951" s="8" t="s">
        <v>1072</v>
      </c>
      <c r="E951" s="7">
        <v>1998</v>
      </c>
      <c r="F951" s="36" t="str" cm="1">
        <f t="array" ref="F951">_xlfn.XLOOKUP(D951&amp;C951, Sheet3!$C$2:$C$1224&amp;Sheet3!$B$2:$B$1224, Sheet3!$D$2:$D$1224, "")</f>
        <v>triasaditya@ugm.ac.id</v>
      </c>
      <c r="G951" s="1" t="str" cm="1">
        <f t="array" ref="G951">_xlfn.XLOOKUP(D951&amp;C951, Sheet2!$A$2:$A$558&amp;Sheet2!$B$2:$B$558, Sheet2!$C$2:$C$558, "")</f>
        <v/>
      </c>
      <c r="H951" s="40" t="str">
        <f t="shared" si="14"/>
        <v>triasaditya@ugm.ac.id</v>
      </c>
    </row>
    <row r="952" spans="1:8" ht="15.5" x14ac:dyDescent="0.35">
      <c r="A952" s="7">
        <v>951</v>
      </c>
      <c r="B952" s="8">
        <v>18074</v>
      </c>
      <c r="C952" s="31" t="s">
        <v>920</v>
      </c>
      <c r="D952" s="8" t="s">
        <v>1062</v>
      </c>
      <c r="E952" s="7">
        <v>1998</v>
      </c>
      <c r="F952" s="36" t="str" cm="1">
        <f t="array" ref="F952">_xlfn.XLOOKUP(D952&amp;C952, Sheet3!$C$2:$C$1224&amp;Sheet3!$B$2:$B$1224, Sheet3!$D$2:$D$1224, "")</f>
        <v xml:space="preserve">Eko.resmono@gmail.com </v>
      </c>
      <c r="G952" s="1" t="str" cm="1">
        <f t="array" ref="G952">_xlfn.XLOOKUP(D952&amp;C952, Sheet2!$A$2:$A$558&amp;Sheet2!$B$2:$B$558, Sheet2!$C$2:$C$558, "")</f>
        <v/>
      </c>
      <c r="H952" s="40" t="str">
        <f t="shared" si="14"/>
        <v xml:space="preserve">Eko.resmono@gmail.com </v>
      </c>
    </row>
    <row r="953" spans="1:8" ht="15.5" x14ac:dyDescent="0.35">
      <c r="A953" s="7">
        <v>952</v>
      </c>
      <c r="B953" s="8">
        <v>18088</v>
      </c>
      <c r="C953" s="31" t="s">
        <v>921</v>
      </c>
      <c r="D953" s="8" t="s">
        <v>1062</v>
      </c>
      <c r="E953" s="7">
        <v>1998</v>
      </c>
      <c r="F953" s="36" t="str" cm="1">
        <f t="array" ref="F953">_xlfn.XLOOKUP(D953&amp;C953, Sheet3!$C$2:$C$1224&amp;Sheet3!$B$2:$B$1224, Sheet3!$D$2:$D$1224, "")</f>
        <v/>
      </c>
      <c r="G953" s="1" t="str" cm="1">
        <f t="array" ref="G953">_xlfn.XLOOKUP(D953&amp;C953, Sheet2!$A$2:$A$558&amp;Sheet2!$B$2:$B$558, Sheet2!$C$2:$C$558, "")</f>
        <v/>
      </c>
      <c r="H953" s="40" t="str">
        <f t="shared" si="14"/>
        <v/>
      </c>
    </row>
    <row r="954" spans="1:8" ht="15.5" x14ac:dyDescent="0.35">
      <c r="A954" s="7">
        <v>953</v>
      </c>
      <c r="B954" s="8">
        <v>18841</v>
      </c>
      <c r="C954" s="31" t="s">
        <v>922</v>
      </c>
      <c r="D954" s="8" t="s">
        <v>1073</v>
      </c>
      <c r="E954" s="7">
        <v>1998</v>
      </c>
      <c r="F954" s="36" t="str" cm="1">
        <f t="array" ref="F954">_xlfn.XLOOKUP(D954&amp;C954, Sheet3!$C$2:$C$1224&amp;Sheet3!$B$2:$B$1224, Sheet3!$D$2:$D$1224, "")</f>
        <v>saiful.amin.sa3@gmail.com</v>
      </c>
      <c r="G954" s="1" t="str" cm="1">
        <f t="array" ref="G954">_xlfn.XLOOKUP(D954&amp;C954, Sheet2!$A$2:$A$558&amp;Sheet2!$B$2:$B$558, Sheet2!$C$2:$C$558, "")</f>
        <v/>
      </c>
      <c r="H954" s="40" t="str">
        <f t="shared" si="14"/>
        <v>saiful.amin.sa3@gmail.com</v>
      </c>
    </row>
    <row r="955" spans="1:8" ht="15.5" x14ac:dyDescent="0.35">
      <c r="A955" s="7">
        <v>954</v>
      </c>
      <c r="B955" s="8">
        <v>17422</v>
      </c>
      <c r="C955" s="31" t="s">
        <v>5844</v>
      </c>
      <c r="D955" s="8" t="s">
        <v>1071</v>
      </c>
      <c r="E955" s="7">
        <v>1998</v>
      </c>
      <c r="F955" s="36" t="str" cm="1">
        <f t="array" ref="F955">_xlfn.XLOOKUP(D955&amp;C955, Sheet3!$C$2:$C$1224&amp;Sheet3!$B$2:$B$1224, Sheet3!$D$2:$D$1224, "")</f>
        <v>pharisupriyadi@gmail.com</v>
      </c>
      <c r="G955" s="1" t="str" cm="1">
        <f t="array" ref="G955">_xlfn.XLOOKUP(D955&amp;C955, Sheet2!$A$2:$A$558&amp;Sheet2!$B$2:$B$558, Sheet2!$C$2:$C$558, "")</f>
        <v/>
      </c>
      <c r="H955" s="40" t="str">
        <f t="shared" si="14"/>
        <v>pharisupriyadi@gmail.com</v>
      </c>
    </row>
    <row r="956" spans="1:8" ht="15.5" x14ac:dyDescent="0.35">
      <c r="A956" s="7">
        <v>955</v>
      </c>
      <c r="B956" s="8">
        <v>19236</v>
      </c>
      <c r="C956" s="31" t="s">
        <v>924</v>
      </c>
      <c r="D956" s="8" t="s">
        <v>1073</v>
      </c>
      <c r="E956" s="7">
        <v>1998</v>
      </c>
      <c r="F956" s="36" t="str" cm="1">
        <f t="array" ref="F956">_xlfn.XLOOKUP(D956&amp;C956, Sheet3!$C$2:$C$1224&amp;Sheet3!$B$2:$B$1224, Sheet3!$D$2:$D$1224, "")</f>
        <v/>
      </c>
      <c r="G956" s="1" t="str" cm="1">
        <f t="array" ref="G956">_xlfn.XLOOKUP(D956&amp;C956, Sheet2!$A$2:$A$558&amp;Sheet2!$B$2:$B$558, Sheet2!$C$2:$C$558, "")</f>
        <v/>
      </c>
      <c r="H956" s="40" t="str">
        <f t="shared" si="14"/>
        <v/>
      </c>
    </row>
    <row r="957" spans="1:8" ht="15.5" x14ac:dyDescent="0.35">
      <c r="A957" s="7">
        <v>956</v>
      </c>
      <c r="B957" s="8">
        <v>19342</v>
      </c>
      <c r="C957" s="31" t="s">
        <v>925</v>
      </c>
      <c r="D957" s="8" t="s">
        <v>1073</v>
      </c>
      <c r="E957" s="7">
        <v>1998</v>
      </c>
      <c r="F957" s="36" t="str" cm="1">
        <f t="array" ref="F957">_xlfn.XLOOKUP(D957&amp;C957, Sheet3!$C$2:$C$1224&amp;Sheet3!$B$2:$B$1224, Sheet3!$D$2:$D$1224, "")</f>
        <v>herisutanta@gmail.com</v>
      </c>
      <c r="G957" s="1" t="str" cm="1">
        <f t="array" ref="G957">_xlfn.XLOOKUP(D957&amp;C957, Sheet2!$A$2:$A$558&amp;Sheet2!$B$2:$B$558, Sheet2!$C$2:$C$558, "")</f>
        <v/>
      </c>
      <c r="H957" s="40" t="str">
        <f t="shared" si="14"/>
        <v>herisutanta@gmail.com</v>
      </c>
    </row>
    <row r="958" spans="1:8" ht="15.5" x14ac:dyDescent="0.35">
      <c r="A958" s="7">
        <v>957</v>
      </c>
      <c r="B958" s="8">
        <v>18612</v>
      </c>
      <c r="C958" s="31" t="s">
        <v>926</v>
      </c>
      <c r="D958" s="8" t="s">
        <v>1072</v>
      </c>
      <c r="E958" s="7">
        <v>1998</v>
      </c>
      <c r="F958" s="36" t="str" cm="1">
        <f t="array" ref="F958">_xlfn.XLOOKUP(D958&amp;C958, Sheet3!$C$2:$C$1224&amp;Sheet3!$B$2:$B$1224, Sheet3!$D$2:$D$1224, "")</f>
        <v>adripurwa@gmail.com</v>
      </c>
      <c r="G958" s="1" t="str" cm="1">
        <f t="array" ref="G958">_xlfn.XLOOKUP(D958&amp;C958, Sheet2!$A$2:$A$558&amp;Sheet2!$B$2:$B$558, Sheet2!$C$2:$C$558, "")</f>
        <v>adripurwa@gmail.com</v>
      </c>
      <c r="H958" s="40" t="str">
        <f t="shared" si="14"/>
        <v>adripurwa@gmail.com</v>
      </c>
    </row>
    <row r="959" spans="1:8" ht="15.5" x14ac:dyDescent="0.35">
      <c r="A959" s="7">
        <v>958</v>
      </c>
      <c r="B959" s="8">
        <v>16220</v>
      </c>
      <c r="C959" s="31" t="s">
        <v>927</v>
      </c>
      <c r="D959" s="8" t="s">
        <v>1069</v>
      </c>
      <c r="E959" s="7">
        <v>1999</v>
      </c>
      <c r="F959" s="36" t="str" cm="1">
        <f t="array" ref="F959">_xlfn.XLOOKUP(D959&amp;C959, Sheet3!$C$2:$C$1224&amp;Sheet3!$B$2:$B$1224, Sheet3!$D$2:$D$1224, "")</f>
        <v/>
      </c>
      <c r="G959" s="1" t="str" cm="1">
        <f t="array" ref="G959">_xlfn.XLOOKUP(D959&amp;C959, Sheet2!$A$2:$A$558&amp;Sheet2!$B$2:$B$558, Sheet2!$C$2:$C$558, "")</f>
        <v/>
      </c>
      <c r="H959" s="40" t="str">
        <f t="shared" si="14"/>
        <v/>
      </c>
    </row>
    <row r="960" spans="1:8" ht="15.5" x14ac:dyDescent="0.35">
      <c r="A960" s="7">
        <v>959</v>
      </c>
      <c r="B960" s="8">
        <v>13991</v>
      </c>
      <c r="C960" s="31" t="s">
        <v>928</v>
      </c>
      <c r="D960" s="8" t="s">
        <v>1066</v>
      </c>
      <c r="E960" s="7">
        <v>1999</v>
      </c>
      <c r="F960" s="36" t="str" cm="1">
        <f t="array" ref="F960">_xlfn.XLOOKUP(D960&amp;C960, Sheet3!$C$2:$C$1224&amp;Sheet3!$B$2:$B$1224, Sheet3!$D$2:$D$1224, "")</f>
        <v/>
      </c>
      <c r="G960" s="1" t="str" cm="1">
        <f t="array" ref="G960">_xlfn.XLOOKUP(D960&amp;C960, Sheet2!$A$2:$A$558&amp;Sheet2!$B$2:$B$558, Sheet2!$C$2:$C$558, "")</f>
        <v/>
      </c>
      <c r="H960" s="40" t="str">
        <f t="shared" si="14"/>
        <v/>
      </c>
    </row>
    <row r="961" spans="1:8" ht="15.5" x14ac:dyDescent="0.35">
      <c r="A961" s="7">
        <v>960</v>
      </c>
      <c r="B961" s="8">
        <v>16644</v>
      </c>
      <c r="C961" s="31" t="s">
        <v>929</v>
      </c>
      <c r="D961" s="8" t="s">
        <v>1069</v>
      </c>
      <c r="E961" s="7">
        <v>1999</v>
      </c>
      <c r="F961" s="36" t="str" cm="1">
        <f t="array" ref="F961">_xlfn.XLOOKUP(D961&amp;C961, Sheet3!$C$2:$C$1224&amp;Sheet3!$B$2:$B$1224, Sheet3!$D$2:$D$1224, "")</f>
        <v/>
      </c>
      <c r="G961" s="1" t="str" cm="1">
        <f t="array" ref="G961">_xlfn.XLOOKUP(D961&amp;C961, Sheet2!$A$2:$A$558&amp;Sheet2!$B$2:$B$558, Sheet2!$C$2:$C$558, "")</f>
        <v>teguhris@gmail.com</v>
      </c>
      <c r="H961" s="40" t="str">
        <f t="shared" si="14"/>
        <v>teguhris@gmail.com</v>
      </c>
    </row>
    <row r="962" spans="1:8" ht="15.5" x14ac:dyDescent="0.35">
      <c r="A962" s="7">
        <v>961</v>
      </c>
      <c r="B962" s="8">
        <v>17900</v>
      </c>
      <c r="C962" s="31" t="s">
        <v>930</v>
      </c>
      <c r="D962" s="8" t="s">
        <v>1062</v>
      </c>
      <c r="E962" s="7">
        <v>1999</v>
      </c>
      <c r="F962" s="36" t="str" cm="1">
        <f t="array" ref="F962">_xlfn.XLOOKUP(D962&amp;C962, Sheet3!$C$2:$C$1224&amp;Sheet3!$B$2:$B$1224, Sheet3!$D$2:$D$1224, "")</f>
        <v/>
      </c>
      <c r="G962" s="1" t="str" cm="1">
        <f t="array" ref="G962">_xlfn.XLOOKUP(D962&amp;C962, Sheet2!$A$2:$A$558&amp;Sheet2!$B$2:$B$558, Sheet2!$C$2:$C$558, "")</f>
        <v/>
      </c>
      <c r="H962" s="40" t="str">
        <f t="shared" si="14"/>
        <v/>
      </c>
    </row>
    <row r="963" spans="1:8" ht="15.5" x14ac:dyDescent="0.35">
      <c r="A963" s="7">
        <v>962</v>
      </c>
      <c r="B963" s="8">
        <v>19696</v>
      </c>
      <c r="C963" s="31" t="s">
        <v>931</v>
      </c>
      <c r="D963" s="8" t="s">
        <v>1074</v>
      </c>
      <c r="E963" s="7">
        <v>1999</v>
      </c>
      <c r="F963" s="36" t="str" cm="1">
        <f t="array" ref="F963">_xlfn.XLOOKUP(D963&amp;C963, Sheet3!$C$2:$C$1224&amp;Sheet3!$B$2:$B$1224, Sheet3!$D$2:$D$1224, "")</f>
        <v>susan.murwanto@gmail.com</v>
      </c>
      <c r="G963" s="1" t="str" cm="1">
        <f t="array" ref="G963">_xlfn.XLOOKUP(D963&amp;C963, Sheet2!$A$2:$A$558&amp;Sheet2!$B$2:$B$558, Sheet2!$C$2:$C$558, "")</f>
        <v/>
      </c>
      <c r="H963" s="40" t="str">
        <f t="shared" ref="H963:H1026" si="15">IF(F963&lt;&gt;"",F963,G963)</f>
        <v>susan.murwanto@gmail.com</v>
      </c>
    </row>
    <row r="964" spans="1:8" ht="15.5" x14ac:dyDescent="0.35">
      <c r="A964" s="7">
        <v>963</v>
      </c>
      <c r="B964" s="8">
        <v>18083</v>
      </c>
      <c r="C964" s="31" t="s">
        <v>932</v>
      </c>
      <c r="D964" s="8" t="s">
        <v>1062</v>
      </c>
      <c r="E964" s="7">
        <v>1999</v>
      </c>
      <c r="F964" s="36" t="str" cm="1">
        <f t="array" ref="F964">_xlfn.XLOOKUP(D964&amp;C964, Sheet3!$C$2:$C$1224&amp;Sheet3!$B$2:$B$1224, Sheet3!$D$2:$D$1224, "")</f>
        <v/>
      </c>
      <c r="G964" s="1" t="str" cm="1">
        <f t="array" ref="G964">_xlfn.XLOOKUP(D964&amp;C964, Sheet2!$A$2:$A$558&amp;Sheet2!$B$2:$B$558, Sheet2!$C$2:$C$558, "")</f>
        <v/>
      </c>
      <c r="H964" s="40" t="str">
        <f t="shared" si="15"/>
        <v/>
      </c>
    </row>
    <row r="965" spans="1:8" ht="15.5" x14ac:dyDescent="0.35">
      <c r="A965" s="7">
        <v>964</v>
      </c>
      <c r="B965" s="8">
        <v>18144</v>
      </c>
      <c r="C965" s="31" t="s">
        <v>3482</v>
      </c>
      <c r="D965" s="8" t="s">
        <v>1062</v>
      </c>
      <c r="E965" s="7">
        <v>1999</v>
      </c>
      <c r="F965" s="36" t="str" cm="1">
        <f t="array" ref="F965">_xlfn.XLOOKUP(D965&amp;C965, Sheet3!$C$2:$C$1224&amp;Sheet3!$B$2:$B$1224, Sheet3!$D$2:$D$1224, "")</f>
        <v>azisdjabbarudin@gmail.com</v>
      </c>
      <c r="G965" s="1" t="str" cm="1">
        <f t="array" ref="G965">_xlfn.XLOOKUP(D965&amp;C965, Sheet2!$A$2:$A$558&amp;Sheet2!$B$2:$B$558, Sheet2!$C$2:$C$558, "")</f>
        <v>azisdjabbarudin@gmail.com</v>
      </c>
      <c r="H965" s="40" t="str">
        <f t="shared" si="15"/>
        <v>azisdjabbarudin@gmail.com</v>
      </c>
    </row>
    <row r="966" spans="1:8" ht="15.5" x14ac:dyDescent="0.35">
      <c r="A966" s="7">
        <v>965</v>
      </c>
      <c r="B966" s="8">
        <v>19148</v>
      </c>
      <c r="C966" s="31" t="s">
        <v>933</v>
      </c>
      <c r="D966" s="8" t="s">
        <v>1073</v>
      </c>
      <c r="E966" s="7">
        <v>1999</v>
      </c>
      <c r="F966" s="36" t="str" cm="1">
        <f t="array" ref="F966">_xlfn.XLOOKUP(D966&amp;C966, Sheet3!$C$2:$C$1224&amp;Sheet3!$B$2:$B$1224, Sheet3!$D$2:$D$1224, "")</f>
        <v>firsta.ep@gmail.com</v>
      </c>
      <c r="G966" s="1" t="str" cm="1">
        <f t="array" ref="G966">_xlfn.XLOOKUP(D966&amp;C966, Sheet2!$A$2:$A$558&amp;Sheet2!$B$2:$B$558, Sheet2!$C$2:$C$558, "")</f>
        <v/>
      </c>
      <c r="H966" s="40" t="str">
        <f t="shared" si="15"/>
        <v>firsta.ep@gmail.com</v>
      </c>
    </row>
    <row r="967" spans="1:8" ht="15.5" x14ac:dyDescent="0.35">
      <c r="A967" s="7">
        <v>966</v>
      </c>
      <c r="B967" s="8">
        <v>19270</v>
      </c>
      <c r="C967" s="31" t="s">
        <v>934</v>
      </c>
      <c r="D967" s="8" t="s">
        <v>1073</v>
      </c>
      <c r="E967" s="7">
        <v>1999</v>
      </c>
      <c r="F967" s="36" t="str" cm="1">
        <f t="array" ref="F967">_xlfn.XLOOKUP(D967&amp;C967, Sheet3!$C$2:$C$1224&amp;Sheet3!$B$2:$B$1224, Sheet3!$D$2:$D$1224, "")</f>
        <v>ari.cahyono3@gmail.com</v>
      </c>
      <c r="G967" s="1" t="str" cm="1">
        <f t="array" ref="G967">_xlfn.XLOOKUP(D967&amp;C967, Sheet2!$A$2:$A$558&amp;Sheet2!$B$2:$B$558, Sheet2!$C$2:$C$558, "")</f>
        <v/>
      </c>
      <c r="H967" s="40" t="str">
        <f t="shared" si="15"/>
        <v>ari.cahyono3@gmail.com</v>
      </c>
    </row>
    <row r="968" spans="1:8" ht="15.5" x14ac:dyDescent="0.35">
      <c r="A968" s="7">
        <v>967</v>
      </c>
      <c r="B968" s="8">
        <v>18087</v>
      </c>
      <c r="C968" s="31" t="s">
        <v>935</v>
      </c>
      <c r="D968" s="8" t="s">
        <v>1062</v>
      </c>
      <c r="E968" s="7">
        <v>1999</v>
      </c>
      <c r="F968" s="36" t="str" cm="1">
        <f t="array" ref="F968">_xlfn.XLOOKUP(D968&amp;C968, Sheet3!$C$2:$C$1224&amp;Sheet3!$B$2:$B$1224, Sheet3!$D$2:$D$1224, "")</f>
        <v/>
      </c>
      <c r="G968" s="1" t="str" cm="1">
        <f t="array" ref="G968">_xlfn.XLOOKUP(D968&amp;C968, Sheet2!$A$2:$A$558&amp;Sheet2!$B$2:$B$558, Sheet2!$C$2:$C$558, "")</f>
        <v/>
      </c>
      <c r="H968" s="40" t="str">
        <f t="shared" si="15"/>
        <v/>
      </c>
    </row>
    <row r="969" spans="1:8" ht="15.5" x14ac:dyDescent="0.35">
      <c r="A969" s="7">
        <v>968</v>
      </c>
      <c r="B969" s="8">
        <v>18442</v>
      </c>
      <c r="C969" s="31" t="s">
        <v>936</v>
      </c>
      <c r="D969" s="8" t="s">
        <v>1072</v>
      </c>
      <c r="E969" s="7">
        <v>1999</v>
      </c>
      <c r="F969" s="36" t="str" cm="1">
        <f t="array" ref="F969">_xlfn.XLOOKUP(D969&amp;C969, Sheet3!$C$2:$C$1224&amp;Sheet3!$B$2:$B$1224, Sheet3!$D$2:$D$1224, "")</f>
        <v/>
      </c>
      <c r="G969" s="1" t="str" cm="1">
        <f t="array" ref="G969">_xlfn.XLOOKUP(D969&amp;C969, Sheet2!$A$2:$A$558&amp;Sheet2!$B$2:$B$558, Sheet2!$C$2:$C$558, "")</f>
        <v>antin.yohana@gmail.com</v>
      </c>
      <c r="H969" s="40" t="str">
        <f t="shared" si="15"/>
        <v>antin.yohana@gmail.com</v>
      </c>
    </row>
    <row r="970" spans="1:8" ht="15.5" x14ac:dyDescent="0.35">
      <c r="A970" s="7">
        <v>969</v>
      </c>
      <c r="B970" s="8">
        <v>18075</v>
      </c>
      <c r="C970" s="31" t="s">
        <v>937</v>
      </c>
      <c r="D970" s="8" t="s">
        <v>1062</v>
      </c>
      <c r="E970" s="7">
        <v>1999</v>
      </c>
      <c r="F970" s="36" t="str" cm="1">
        <f t="array" ref="F970">_xlfn.XLOOKUP(D970&amp;C970, Sheet3!$C$2:$C$1224&amp;Sheet3!$B$2:$B$1224, Sheet3!$D$2:$D$1224, "")</f>
        <v>hakam.bgr11@gmail.com</v>
      </c>
      <c r="G970" s="1" t="str" cm="1">
        <f t="array" ref="G970">_xlfn.XLOOKUP(D970&amp;C970, Sheet2!$A$2:$A$558&amp;Sheet2!$B$2:$B$558, Sheet2!$C$2:$C$558, "")</f>
        <v/>
      </c>
      <c r="H970" s="40" t="str">
        <f t="shared" si="15"/>
        <v>hakam.bgr11@gmail.com</v>
      </c>
    </row>
    <row r="971" spans="1:8" ht="15.5" x14ac:dyDescent="0.35">
      <c r="A971" s="7">
        <v>970</v>
      </c>
      <c r="B971" s="8">
        <v>16911</v>
      </c>
      <c r="C971" s="31" t="s">
        <v>938</v>
      </c>
      <c r="D971" s="8" t="s">
        <v>1070</v>
      </c>
      <c r="E971" s="7">
        <v>1999</v>
      </c>
      <c r="F971" s="36" t="str" cm="1">
        <f t="array" ref="F971">_xlfn.XLOOKUP(D971&amp;C971, Sheet3!$C$2:$C$1224&amp;Sheet3!$B$2:$B$1224, Sheet3!$D$2:$D$1224, "")</f>
        <v>m.must4qim@gmail.com</v>
      </c>
      <c r="G971" s="1" t="str" cm="1">
        <f t="array" ref="G971">_xlfn.XLOOKUP(D971&amp;C971, Sheet2!$A$2:$A$558&amp;Sheet2!$B$2:$B$558, Sheet2!$C$2:$C$558, "")</f>
        <v/>
      </c>
      <c r="H971" s="40" t="str">
        <f t="shared" si="15"/>
        <v>m.must4qim@gmail.com</v>
      </c>
    </row>
    <row r="972" spans="1:8" ht="15.5" x14ac:dyDescent="0.35">
      <c r="A972" s="7">
        <v>971</v>
      </c>
      <c r="B972" s="8">
        <v>18574</v>
      </c>
      <c r="C972" s="31" t="s">
        <v>939</v>
      </c>
      <c r="D972" s="8" t="s">
        <v>1072</v>
      </c>
      <c r="E972" s="7">
        <v>1999</v>
      </c>
      <c r="F972" s="36" t="str" cm="1">
        <f t="array" ref="F972">_xlfn.XLOOKUP(D972&amp;C972, Sheet3!$C$2:$C$1224&amp;Sheet3!$B$2:$B$1224, Sheet3!$D$2:$D$1224, "")</f>
        <v/>
      </c>
      <c r="G972" s="1" t="str" cm="1">
        <f t="array" ref="G972">_xlfn.XLOOKUP(D972&amp;C972, Sheet2!$A$2:$A$558&amp;Sheet2!$B$2:$B$558, Sheet2!$C$2:$C$558, "")</f>
        <v/>
      </c>
      <c r="H972" s="40" t="str">
        <f t="shared" si="15"/>
        <v/>
      </c>
    </row>
    <row r="973" spans="1:8" ht="15.5" x14ac:dyDescent="0.35">
      <c r="A973" s="7">
        <v>972</v>
      </c>
      <c r="B973" s="8">
        <v>18289</v>
      </c>
      <c r="C973" s="31" t="s">
        <v>940</v>
      </c>
      <c r="D973" s="8" t="s">
        <v>1071</v>
      </c>
      <c r="E973" s="7">
        <v>1999</v>
      </c>
      <c r="F973" s="36" t="str" cm="1">
        <f t="array" ref="F973">_xlfn.XLOOKUP(D973&amp;C973, Sheet3!$C$2:$C$1224&amp;Sheet3!$B$2:$B$1224, Sheet3!$D$2:$D$1224, "")</f>
        <v>danu. patmoko@gmail.com</v>
      </c>
      <c r="G973" s="1" t="str" cm="1">
        <f t="array" ref="G973">_xlfn.XLOOKUP(D973&amp;C973, Sheet2!$A$2:$A$558&amp;Sheet2!$B$2:$B$558, Sheet2!$C$2:$C$558, "")</f>
        <v/>
      </c>
      <c r="H973" s="40" t="str">
        <f t="shared" si="15"/>
        <v>danu. patmoko@gmail.com</v>
      </c>
    </row>
    <row r="974" spans="1:8" ht="15.5" x14ac:dyDescent="0.35">
      <c r="A974" s="7">
        <v>973</v>
      </c>
      <c r="B974" s="8">
        <v>18315</v>
      </c>
      <c r="C974" s="31" t="s">
        <v>941</v>
      </c>
      <c r="D974" s="8" t="s">
        <v>1072</v>
      </c>
      <c r="E974" s="7">
        <v>1999</v>
      </c>
      <c r="F974" s="36" t="str" cm="1">
        <f t="array" ref="F974">_xlfn.XLOOKUP(D974&amp;C974, Sheet3!$C$2:$C$1224&amp;Sheet3!$B$2:$B$1224, Sheet3!$D$2:$D$1224, "")</f>
        <v/>
      </c>
      <c r="G974" s="1" t="str" cm="1">
        <f t="array" ref="G974">_xlfn.XLOOKUP(D974&amp;C974, Sheet2!$A$2:$A$558&amp;Sheet2!$B$2:$B$558, Sheet2!$C$2:$C$558, "")</f>
        <v/>
      </c>
      <c r="H974" s="40" t="str">
        <f t="shared" si="15"/>
        <v/>
      </c>
    </row>
    <row r="975" spans="1:8" ht="15.5" x14ac:dyDescent="0.35">
      <c r="A975" s="7">
        <v>974</v>
      </c>
      <c r="B975" s="8">
        <v>18961</v>
      </c>
      <c r="C975" s="31" t="s">
        <v>942</v>
      </c>
      <c r="D975" s="8" t="s">
        <v>1073</v>
      </c>
      <c r="E975" s="7">
        <v>1999</v>
      </c>
      <c r="F975" s="36" t="str" cm="1">
        <f t="array" ref="F975">_xlfn.XLOOKUP(D975&amp;C975, Sheet3!$C$2:$C$1224&amp;Sheet3!$B$2:$B$1224, Sheet3!$D$2:$D$1224, "")</f>
        <v/>
      </c>
      <c r="G975" s="1" t="str" cm="1">
        <f t="array" ref="G975">_xlfn.XLOOKUP(D975&amp;C975, Sheet2!$A$2:$A$558&amp;Sheet2!$B$2:$B$558, Sheet2!$C$2:$C$558, "")</f>
        <v/>
      </c>
      <c r="H975" s="40" t="str">
        <f t="shared" si="15"/>
        <v/>
      </c>
    </row>
    <row r="976" spans="1:8" ht="15.5" x14ac:dyDescent="0.35">
      <c r="A976" s="7">
        <v>975</v>
      </c>
      <c r="B976" s="8">
        <v>17681</v>
      </c>
      <c r="C976" s="31" t="s">
        <v>943</v>
      </c>
      <c r="D976" s="8" t="s">
        <v>1062</v>
      </c>
      <c r="E976" s="7">
        <v>1999</v>
      </c>
      <c r="F976" s="36" t="str" cm="1">
        <f t="array" ref="F976">_xlfn.XLOOKUP(D976&amp;C976, Sheet3!$C$2:$C$1224&amp;Sheet3!$B$2:$B$1224, Sheet3!$D$2:$D$1224, "")</f>
        <v/>
      </c>
      <c r="G976" s="1" t="str" cm="1">
        <f t="array" ref="G976">_xlfn.XLOOKUP(D976&amp;C976, Sheet2!$A$2:$A$558&amp;Sheet2!$B$2:$B$558, Sheet2!$C$2:$C$558, "")</f>
        <v/>
      </c>
      <c r="H976" s="40" t="str">
        <f t="shared" si="15"/>
        <v/>
      </c>
    </row>
    <row r="977" spans="1:8" ht="15.5" x14ac:dyDescent="0.35">
      <c r="A977" s="7">
        <v>976</v>
      </c>
      <c r="B977" s="8">
        <v>17932</v>
      </c>
      <c r="C977" s="31" t="s">
        <v>944</v>
      </c>
      <c r="D977" s="8" t="s">
        <v>1062</v>
      </c>
      <c r="E977" s="7">
        <v>1999</v>
      </c>
      <c r="F977" s="36" t="str" cm="1">
        <f t="array" ref="F977">_xlfn.XLOOKUP(D977&amp;C977, Sheet3!$C$2:$C$1224&amp;Sheet3!$B$2:$B$1224, Sheet3!$D$2:$D$1224, "")</f>
        <v/>
      </c>
      <c r="G977" s="1" t="str" cm="1">
        <f t="array" ref="G977">_xlfn.XLOOKUP(D977&amp;C977, Sheet2!$A$2:$A$558&amp;Sheet2!$B$2:$B$558, Sheet2!$C$2:$C$558, "")</f>
        <v/>
      </c>
      <c r="H977" s="40" t="str">
        <f t="shared" si="15"/>
        <v/>
      </c>
    </row>
    <row r="978" spans="1:8" ht="15.5" x14ac:dyDescent="0.35">
      <c r="A978" s="7">
        <v>977</v>
      </c>
      <c r="B978" s="8">
        <v>19125</v>
      </c>
      <c r="C978" s="31" t="s">
        <v>3210</v>
      </c>
      <c r="D978" s="8" t="s">
        <v>1073</v>
      </c>
      <c r="E978" s="7">
        <v>1999</v>
      </c>
      <c r="F978" s="36" t="str" cm="1">
        <f t="array" ref="F978">_xlfn.XLOOKUP(D978&amp;C978, Sheet3!$C$2:$C$1224&amp;Sheet3!$B$2:$B$1224, Sheet3!$D$2:$D$1224, "")</f>
        <v>Angingunung1@gmail.com</v>
      </c>
      <c r="G978" s="1" t="str" cm="1">
        <f t="array" ref="G978">_xlfn.XLOOKUP(D978&amp;C978, Sheet2!$A$2:$A$558&amp;Sheet2!$B$2:$B$558, Sheet2!$C$2:$C$558, "")</f>
        <v/>
      </c>
      <c r="H978" s="40" t="str">
        <f t="shared" si="15"/>
        <v>Angingunung1@gmail.com</v>
      </c>
    </row>
    <row r="979" spans="1:8" ht="15.5" x14ac:dyDescent="0.35">
      <c r="A979" s="7">
        <v>978</v>
      </c>
      <c r="B979" s="8">
        <v>16920</v>
      </c>
      <c r="C979" s="31" t="s">
        <v>945</v>
      </c>
      <c r="D979" s="8" t="s">
        <v>1068</v>
      </c>
      <c r="E979" s="7">
        <v>1999</v>
      </c>
      <c r="F979" s="36" t="str" cm="1">
        <f t="array" ref="F979">_xlfn.XLOOKUP(D979&amp;C979, Sheet3!$C$2:$C$1224&amp;Sheet3!$B$2:$B$1224, Sheet3!$D$2:$D$1224, "")</f>
        <v>hansdjamari@gmail.com</v>
      </c>
      <c r="G979" s="1" t="str" cm="1">
        <f t="array" ref="G979">_xlfn.XLOOKUP(D979&amp;C979, Sheet2!$A$2:$A$558&amp;Sheet2!$B$2:$B$558, Sheet2!$C$2:$C$558, "")</f>
        <v/>
      </c>
      <c r="H979" s="40" t="str">
        <f t="shared" si="15"/>
        <v>hansdjamari@gmail.com</v>
      </c>
    </row>
    <row r="980" spans="1:8" ht="15.5" x14ac:dyDescent="0.35">
      <c r="A980" s="7">
        <v>979</v>
      </c>
      <c r="B980" s="8">
        <v>16920</v>
      </c>
      <c r="C980" s="31" t="s">
        <v>946</v>
      </c>
      <c r="D980" s="8" t="s">
        <v>1070</v>
      </c>
      <c r="E980" s="7">
        <v>1999</v>
      </c>
      <c r="F980" s="36" t="str" cm="1">
        <f t="array" ref="F980">_xlfn.XLOOKUP(D980&amp;C980, Sheet3!$C$2:$C$1224&amp;Sheet3!$B$2:$B$1224, Sheet3!$D$2:$D$1224, "")</f>
        <v/>
      </c>
      <c r="G980" s="1" t="str" cm="1">
        <f t="array" ref="G980">_xlfn.XLOOKUP(D980&amp;C980, Sheet2!$A$2:$A$558&amp;Sheet2!$B$2:$B$558, Sheet2!$C$2:$C$558, "")</f>
        <v/>
      </c>
      <c r="H980" s="40" t="str">
        <f t="shared" si="15"/>
        <v/>
      </c>
    </row>
    <row r="981" spans="1:8" ht="15.5" x14ac:dyDescent="0.35">
      <c r="A981" s="7">
        <v>980</v>
      </c>
      <c r="B981" s="8">
        <v>18927</v>
      </c>
      <c r="C981" s="31" t="s">
        <v>4461</v>
      </c>
      <c r="D981" s="8" t="s">
        <v>1073</v>
      </c>
      <c r="E981" s="7">
        <v>1999</v>
      </c>
      <c r="F981" s="36" t="str" cm="1">
        <f t="array" ref="F981">_xlfn.XLOOKUP(D981&amp;C981, Sheet3!$C$2:$C$1224&amp;Sheet3!$B$2:$B$1224, Sheet3!$D$2:$D$1224, "")</f>
        <v>novita.rahmadani@pu.go.id</v>
      </c>
      <c r="G981" s="1" t="str" cm="1">
        <f t="array" ref="G981">_xlfn.XLOOKUP(D981&amp;C981, Sheet2!$A$2:$A$558&amp;Sheet2!$B$2:$B$558, Sheet2!$C$2:$C$558, "")</f>
        <v/>
      </c>
      <c r="H981" s="40" t="str">
        <f t="shared" si="15"/>
        <v>novita.rahmadani@pu.go.id</v>
      </c>
    </row>
    <row r="982" spans="1:8" ht="15.5" x14ac:dyDescent="0.35">
      <c r="A982" s="7">
        <v>981</v>
      </c>
      <c r="B982" s="8">
        <v>18100</v>
      </c>
      <c r="C982" s="31" t="s">
        <v>947</v>
      </c>
      <c r="D982" s="8" t="s">
        <v>1062</v>
      </c>
      <c r="E982" s="7">
        <v>1999</v>
      </c>
      <c r="F982" s="36" t="str" cm="1">
        <f t="array" ref="F982">_xlfn.XLOOKUP(D982&amp;C982, Sheet3!$C$2:$C$1224&amp;Sheet3!$B$2:$B$1224, Sheet3!$D$2:$D$1224, "")</f>
        <v>huyali2@gmail.com</v>
      </c>
      <c r="G982" s="1" t="str" cm="1">
        <f t="array" ref="G982">_xlfn.XLOOKUP(D982&amp;C982, Sheet2!$A$2:$A$558&amp;Sheet2!$B$2:$B$558, Sheet2!$C$2:$C$558, "")</f>
        <v/>
      </c>
      <c r="H982" s="40" t="str">
        <f t="shared" si="15"/>
        <v>huyali2@gmail.com</v>
      </c>
    </row>
    <row r="983" spans="1:8" ht="15.5" x14ac:dyDescent="0.35">
      <c r="A983" s="7">
        <v>982</v>
      </c>
      <c r="B983" s="8">
        <v>19137</v>
      </c>
      <c r="C983" s="31" t="s">
        <v>948</v>
      </c>
      <c r="D983" s="8" t="s">
        <v>1073</v>
      </c>
      <c r="E983" s="7">
        <v>1999</v>
      </c>
      <c r="F983" s="36" t="str" cm="1">
        <f t="array" ref="F983">_xlfn.XLOOKUP(D983&amp;C983, Sheet3!$C$2:$C$1224&amp;Sheet3!$B$2:$B$1224, Sheet3!$D$2:$D$1224, "")</f>
        <v>akhmadsutardi@yahoo.com</v>
      </c>
      <c r="G983" s="1" t="str" cm="1">
        <f t="array" ref="G983">_xlfn.XLOOKUP(D983&amp;C983, Sheet2!$A$2:$A$558&amp;Sheet2!$B$2:$B$558, Sheet2!$C$2:$C$558, "")</f>
        <v/>
      </c>
      <c r="H983" s="40" t="str">
        <f t="shared" si="15"/>
        <v>akhmadsutardi@yahoo.com</v>
      </c>
    </row>
    <row r="984" spans="1:8" ht="15.5" x14ac:dyDescent="0.35">
      <c r="A984" s="7">
        <v>983</v>
      </c>
      <c r="B984" s="8">
        <v>19999</v>
      </c>
      <c r="C984" s="31" t="s">
        <v>5825</v>
      </c>
      <c r="D984" s="8" t="s">
        <v>1074</v>
      </c>
      <c r="E984" s="7">
        <v>1999</v>
      </c>
      <c r="F984" s="36" t="str" cm="1">
        <f t="array" ref="F984">_xlfn.XLOOKUP(D984&amp;C984, Sheet3!$C$2:$C$1224&amp;Sheet3!$B$2:$B$1224, Sheet3!$D$2:$D$1224, "")</f>
        <v>di2t.setiawan@gmail.com</v>
      </c>
      <c r="G984" s="1" t="str" cm="1">
        <f t="array" ref="G984">_xlfn.XLOOKUP(D984&amp;C984, Sheet2!$A$2:$A$558&amp;Sheet2!$B$2:$B$558, Sheet2!$C$2:$C$558, "")</f>
        <v>di2t.setiawan@gmail.com</v>
      </c>
      <c r="H984" s="40" t="str">
        <f t="shared" si="15"/>
        <v>di2t.setiawan@gmail.com</v>
      </c>
    </row>
    <row r="985" spans="1:8" ht="15.5" x14ac:dyDescent="0.35">
      <c r="A985" s="7">
        <v>984</v>
      </c>
      <c r="B985" s="8">
        <v>17457</v>
      </c>
      <c r="C985" s="31" t="s">
        <v>949</v>
      </c>
      <c r="D985" s="8" t="s">
        <v>1071</v>
      </c>
      <c r="E985" s="7">
        <v>1999</v>
      </c>
      <c r="F985" s="36" t="str" cm="1">
        <f t="array" ref="F985">_xlfn.XLOOKUP(D985&amp;C985, Sheet3!$C$2:$C$1224&amp;Sheet3!$B$2:$B$1224, Sheet3!$D$2:$D$1224, "")</f>
        <v/>
      </c>
      <c r="G985" s="1" t="str" cm="1">
        <f t="array" ref="G985">_xlfn.XLOOKUP(D985&amp;C985, Sheet2!$A$2:$A$558&amp;Sheet2!$B$2:$B$558, Sheet2!$C$2:$C$558, "")</f>
        <v/>
      </c>
      <c r="H985" s="40" t="str">
        <f t="shared" si="15"/>
        <v/>
      </c>
    </row>
    <row r="986" spans="1:8" ht="15.5" x14ac:dyDescent="0.35">
      <c r="A986" s="7">
        <v>985</v>
      </c>
      <c r="B986" s="8">
        <v>17592</v>
      </c>
      <c r="C986" s="31" t="s">
        <v>950</v>
      </c>
      <c r="D986" s="8" t="s">
        <v>1062</v>
      </c>
      <c r="E986" s="7">
        <v>1999</v>
      </c>
      <c r="F986" s="36" t="str" cm="1">
        <f t="array" ref="F986">_xlfn.XLOOKUP(D986&amp;C986, Sheet3!$C$2:$C$1224&amp;Sheet3!$B$2:$B$1224, Sheet3!$D$2:$D$1224, "")</f>
        <v>fkiuk1971@gmail.com</v>
      </c>
      <c r="G986" s="1" t="str" cm="1">
        <f t="array" ref="G986">_xlfn.XLOOKUP(D986&amp;C986, Sheet2!$A$2:$A$558&amp;Sheet2!$B$2:$B$558, Sheet2!$C$2:$C$558, "")</f>
        <v/>
      </c>
      <c r="H986" s="40" t="str">
        <f t="shared" si="15"/>
        <v>fkiuk1971@gmail.com</v>
      </c>
    </row>
    <row r="987" spans="1:8" ht="15.5" x14ac:dyDescent="0.35">
      <c r="A987" s="7">
        <v>986</v>
      </c>
      <c r="B987" s="8">
        <v>17933</v>
      </c>
      <c r="C987" s="31" t="s">
        <v>951</v>
      </c>
      <c r="D987" s="8" t="s">
        <v>1062</v>
      </c>
      <c r="E987" s="7">
        <v>1999</v>
      </c>
      <c r="F987" s="36" t="str" cm="1">
        <f t="array" ref="F987">_xlfn.XLOOKUP(D987&amp;C987, Sheet3!$C$2:$C$1224&amp;Sheet3!$B$2:$B$1224, Sheet3!$D$2:$D$1224, "")</f>
        <v/>
      </c>
      <c r="G987" s="1" t="str" cm="1">
        <f t="array" ref="G987">_xlfn.XLOOKUP(D987&amp;C987, Sheet2!$A$2:$A$558&amp;Sheet2!$B$2:$B$558, Sheet2!$C$2:$C$558, "")</f>
        <v/>
      </c>
      <c r="H987" s="40" t="str">
        <f t="shared" si="15"/>
        <v/>
      </c>
    </row>
    <row r="988" spans="1:8" ht="15.5" x14ac:dyDescent="0.35">
      <c r="A988" s="7">
        <v>987</v>
      </c>
      <c r="B988" s="8">
        <v>18079</v>
      </c>
      <c r="C988" s="31" t="s">
        <v>952</v>
      </c>
      <c r="D988" s="8" t="s">
        <v>1062</v>
      </c>
      <c r="E988" s="7">
        <v>1999</v>
      </c>
      <c r="F988" s="36" t="str" cm="1">
        <f t="array" ref="F988">_xlfn.XLOOKUP(D988&amp;C988, Sheet3!$C$2:$C$1224&amp;Sheet3!$B$2:$B$1224, Sheet3!$D$2:$D$1224, "")</f>
        <v/>
      </c>
      <c r="G988" s="1" t="str" cm="1">
        <f t="array" ref="G988">_xlfn.XLOOKUP(D988&amp;C988, Sheet2!$A$2:$A$558&amp;Sheet2!$B$2:$B$558, Sheet2!$C$2:$C$558, "")</f>
        <v/>
      </c>
      <c r="H988" s="40" t="str">
        <f t="shared" si="15"/>
        <v/>
      </c>
    </row>
    <row r="989" spans="1:8" ht="15.5" x14ac:dyDescent="0.35">
      <c r="A989" s="7">
        <v>988</v>
      </c>
      <c r="B989" s="8">
        <v>18085</v>
      </c>
      <c r="C989" s="31" t="s">
        <v>3378</v>
      </c>
      <c r="D989" s="8" t="s">
        <v>1062</v>
      </c>
      <c r="E989" s="7">
        <v>1999</v>
      </c>
      <c r="F989" s="36" t="str" cm="1">
        <f t="array" ref="F989">_xlfn.XLOOKUP(D989&amp;C989, Sheet3!$C$2:$C$1224&amp;Sheet3!$B$2:$B$1224, Sheet3!$D$2:$D$1224, "")</f>
        <v>rwwidodo.gis@gmail.com</v>
      </c>
      <c r="G989" s="1" t="str" cm="1">
        <f t="array" ref="G989">_xlfn.XLOOKUP(D989&amp;C989, Sheet2!$A$2:$A$558&amp;Sheet2!$B$2:$B$558, Sheet2!$C$2:$C$558, "")</f>
        <v/>
      </c>
      <c r="H989" s="40" t="str">
        <f t="shared" si="15"/>
        <v>rwwidodo.gis@gmail.com</v>
      </c>
    </row>
    <row r="990" spans="1:8" ht="15.5" x14ac:dyDescent="0.35">
      <c r="A990" s="7">
        <v>989</v>
      </c>
      <c r="B990" s="8">
        <v>18289</v>
      </c>
      <c r="C990" s="31" t="s">
        <v>953</v>
      </c>
      <c r="D990" s="8" t="s">
        <v>1072</v>
      </c>
      <c r="E990" s="7">
        <v>1999</v>
      </c>
      <c r="F990" s="36" t="str" cm="1">
        <f t="array" ref="F990">_xlfn.XLOOKUP(D990&amp;C990, Sheet3!$C$2:$C$1224&amp;Sheet3!$B$2:$B$1224, Sheet3!$D$2:$D$1224, "")</f>
        <v/>
      </c>
      <c r="G990" s="1" t="str" cm="1">
        <f t="array" ref="G990">_xlfn.XLOOKUP(D990&amp;C990, Sheet2!$A$2:$A$558&amp;Sheet2!$B$2:$B$558, Sheet2!$C$2:$C$558, "")</f>
        <v/>
      </c>
      <c r="H990" s="40" t="str">
        <f t="shared" si="15"/>
        <v/>
      </c>
    </row>
    <row r="991" spans="1:8" ht="15.5" x14ac:dyDescent="0.35">
      <c r="A991" s="7">
        <v>990</v>
      </c>
      <c r="B991" s="8">
        <v>19026</v>
      </c>
      <c r="C991" s="31" t="s">
        <v>954</v>
      </c>
      <c r="D991" s="8" t="s">
        <v>1073</v>
      </c>
      <c r="E991" s="7">
        <v>1999</v>
      </c>
      <c r="F991" s="36" t="str" cm="1">
        <f t="array" ref="F991">_xlfn.XLOOKUP(D991&amp;C991, Sheet3!$C$2:$C$1224&amp;Sheet3!$B$2:$B$1224, Sheet3!$D$2:$D$1224, "")</f>
        <v xml:space="preserve">ntrihastuti2021@gmail.com </v>
      </c>
      <c r="G991" s="1" t="str" cm="1">
        <f t="array" ref="G991">_xlfn.XLOOKUP(D991&amp;C991, Sheet2!$A$2:$A$558&amp;Sheet2!$B$2:$B$558, Sheet2!$C$2:$C$558, "")</f>
        <v>ntrihastuti2021@gmail.com</v>
      </c>
      <c r="H991" s="40" t="str">
        <f t="shared" si="15"/>
        <v xml:space="preserve">ntrihastuti2021@gmail.com </v>
      </c>
    </row>
    <row r="992" spans="1:8" ht="15.5" x14ac:dyDescent="0.35">
      <c r="A992" s="7">
        <v>991</v>
      </c>
      <c r="B992" s="8">
        <v>19041</v>
      </c>
      <c r="C992" s="31" t="s">
        <v>955</v>
      </c>
      <c r="D992" s="8" t="s">
        <v>1073</v>
      </c>
      <c r="E992" s="7">
        <v>1999</v>
      </c>
      <c r="F992" s="36" t="str" cm="1">
        <f t="array" ref="F992">_xlfn.XLOOKUP(D992&amp;C992, Sheet3!$C$2:$C$1224&amp;Sheet3!$B$2:$B$1224, Sheet3!$D$2:$D$1224, "")</f>
        <v>Zuditax@gmail.com</v>
      </c>
      <c r="G992" s="1" t="str" cm="1">
        <f t="array" ref="G992">_xlfn.XLOOKUP(D992&amp;C992, Sheet2!$A$2:$A$558&amp;Sheet2!$B$2:$B$558, Sheet2!$C$2:$C$558, "")</f>
        <v/>
      </c>
      <c r="H992" s="40" t="str">
        <f t="shared" si="15"/>
        <v>Zuditax@gmail.com</v>
      </c>
    </row>
    <row r="993" spans="1:8" ht="15.5" x14ac:dyDescent="0.35">
      <c r="A993" s="7">
        <v>992</v>
      </c>
      <c r="B993" s="8">
        <v>19652</v>
      </c>
      <c r="C993" s="31" t="s">
        <v>956</v>
      </c>
      <c r="D993" s="8" t="s">
        <v>1074</v>
      </c>
      <c r="E993" s="7">
        <v>1999</v>
      </c>
      <c r="F993" s="36" t="str" cm="1">
        <f t="array" ref="F993">_xlfn.XLOOKUP(D993&amp;C993, Sheet3!$C$2:$C$1224&amp;Sheet3!$B$2:$B$1224, Sheet3!$D$2:$D$1224, "")</f>
        <v>tanti.widyastuti@gmail.com</v>
      </c>
      <c r="G993" s="1" t="str" cm="1">
        <f t="array" ref="G993">_xlfn.XLOOKUP(D993&amp;C993, Sheet2!$A$2:$A$558&amp;Sheet2!$B$2:$B$558, Sheet2!$C$2:$C$558, "")</f>
        <v>tanti.widyastuti@gmail.com</v>
      </c>
      <c r="H993" s="40" t="str">
        <f t="shared" si="15"/>
        <v>tanti.widyastuti@gmail.com</v>
      </c>
    </row>
    <row r="994" spans="1:8" ht="15.5" x14ac:dyDescent="0.35">
      <c r="A994" s="7">
        <v>993</v>
      </c>
      <c r="B994" s="8">
        <v>18643</v>
      </c>
      <c r="C994" s="31" t="s">
        <v>957</v>
      </c>
      <c r="D994" s="8" t="s">
        <v>1072</v>
      </c>
      <c r="E994" s="7">
        <v>1999</v>
      </c>
      <c r="F994" s="36" t="str" cm="1">
        <f t="array" ref="F994">_xlfn.XLOOKUP(D994&amp;C994, Sheet3!$C$2:$C$1224&amp;Sheet3!$B$2:$B$1224, Sheet3!$D$2:$D$1224, "")</f>
        <v>jopasti213@gmail.com</v>
      </c>
      <c r="G994" s="1" t="str" cm="1">
        <f t="array" ref="G994">_xlfn.XLOOKUP(D994&amp;C994, Sheet2!$A$2:$A$558&amp;Sheet2!$B$2:$B$558, Sheet2!$C$2:$C$558, "")</f>
        <v/>
      </c>
      <c r="H994" s="40" t="str">
        <f t="shared" si="15"/>
        <v>jopasti213@gmail.com</v>
      </c>
    </row>
    <row r="995" spans="1:8" ht="15.5" x14ac:dyDescent="0.35">
      <c r="A995" s="7">
        <v>994</v>
      </c>
      <c r="B995" s="9">
        <v>17045</v>
      </c>
      <c r="C995" s="32" t="s">
        <v>958</v>
      </c>
      <c r="D995" s="9" t="s">
        <v>1071</v>
      </c>
      <c r="E995" s="10">
        <v>1999</v>
      </c>
      <c r="F995" s="36" t="str" cm="1">
        <f t="array" ref="F995">_xlfn.XLOOKUP(D995&amp;C995, Sheet3!$C$2:$C$1224&amp;Sheet3!$B$2:$B$1224, Sheet3!$D$2:$D$1224, "")</f>
        <v>jerryjose0920@gmail.com</v>
      </c>
      <c r="G995" s="1" t="str" cm="1">
        <f t="array" ref="G995">_xlfn.XLOOKUP(D995&amp;C995, Sheet2!$A$2:$A$558&amp;Sheet2!$B$2:$B$558, Sheet2!$C$2:$C$558, "")</f>
        <v/>
      </c>
      <c r="H995" s="40" t="str">
        <f t="shared" si="15"/>
        <v>jerryjose0920@gmail.com</v>
      </c>
    </row>
    <row r="996" spans="1:8" ht="15.5" x14ac:dyDescent="0.35">
      <c r="A996" s="7">
        <v>995</v>
      </c>
      <c r="B996" s="9">
        <v>17424</v>
      </c>
      <c r="C996" s="32" t="s">
        <v>959</v>
      </c>
      <c r="D996" s="9" t="s">
        <v>1071</v>
      </c>
      <c r="E996" s="10">
        <v>1999</v>
      </c>
      <c r="F996" s="36" t="str" cm="1">
        <f t="array" ref="F996">_xlfn.XLOOKUP(D996&amp;C996, Sheet3!$C$2:$C$1224&amp;Sheet3!$B$2:$B$1224, Sheet3!$D$2:$D$1224, "")</f>
        <v/>
      </c>
      <c r="G996" s="1" t="str" cm="1">
        <f t="array" ref="G996">_xlfn.XLOOKUP(D996&amp;C996, Sheet2!$A$2:$A$558&amp;Sheet2!$B$2:$B$558, Sheet2!$C$2:$C$558, "")</f>
        <v/>
      </c>
      <c r="H996" s="40" t="str">
        <f t="shared" si="15"/>
        <v/>
      </c>
    </row>
    <row r="997" spans="1:8" ht="15.5" x14ac:dyDescent="0.35">
      <c r="A997" s="7">
        <v>996</v>
      </c>
      <c r="B997" s="9">
        <v>18968</v>
      </c>
      <c r="C997" s="32" t="s">
        <v>960</v>
      </c>
      <c r="D997" s="9" t="s">
        <v>1073</v>
      </c>
      <c r="E997" s="10">
        <v>1999</v>
      </c>
      <c r="F997" s="36" t="str" cm="1">
        <f t="array" ref="F997">_xlfn.XLOOKUP(D997&amp;C997, Sheet3!$C$2:$C$1224&amp;Sheet3!$B$2:$B$1224, Sheet3!$D$2:$D$1224, "")</f>
        <v>gerardusetianto@gmail.com</v>
      </c>
      <c r="G997" s="1" t="str" cm="1">
        <f t="array" ref="G997">_xlfn.XLOOKUP(D997&amp;C997, Sheet2!$A$2:$A$558&amp;Sheet2!$B$2:$B$558, Sheet2!$C$2:$C$558, "")</f>
        <v/>
      </c>
      <c r="H997" s="40" t="str">
        <f t="shared" si="15"/>
        <v>gerardusetianto@gmail.com</v>
      </c>
    </row>
    <row r="998" spans="1:8" ht="15.5" x14ac:dyDescent="0.35">
      <c r="A998" s="7">
        <v>997</v>
      </c>
      <c r="B998" s="9">
        <v>19079</v>
      </c>
      <c r="C998" s="32" t="s">
        <v>961</v>
      </c>
      <c r="D998" s="9" t="s">
        <v>1073</v>
      </c>
      <c r="E998" s="10">
        <v>1999</v>
      </c>
      <c r="F998" s="36" t="str" cm="1">
        <f t="array" ref="F998">_xlfn.XLOOKUP(D998&amp;C998, Sheet3!$C$2:$C$1224&amp;Sheet3!$B$2:$B$1224, Sheet3!$D$2:$D$1224, "")</f>
        <v/>
      </c>
      <c r="G998" s="1" t="str" cm="1">
        <f t="array" ref="G998">_xlfn.XLOOKUP(D998&amp;C998, Sheet2!$A$2:$A$558&amp;Sheet2!$B$2:$B$558, Sheet2!$C$2:$C$558, "")</f>
        <v/>
      </c>
      <c r="H998" s="40" t="str">
        <f t="shared" si="15"/>
        <v/>
      </c>
    </row>
    <row r="999" spans="1:8" ht="15.5" x14ac:dyDescent="0.35">
      <c r="A999" s="7">
        <v>998</v>
      </c>
      <c r="B999" s="9">
        <v>18888</v>
      </c>
      <c r="C999" s="32" t="s">
        <v>962</v>
      </c>
      <c r="D999" s="9" t="s">
        <v>1073</v>
      </c>
      <c r="E999" s="10">
        <v>1999</v>
      </c>
      <c r="F999" s="36" t="str" cm="1">
        <f t="array" ref="F999">_xlfn.XLOOKUP(D999&amp;C999, Sheet3!$C$2:$C$1224&amp;Sheet3!$B$2:$B$1224, Sheet3!$D$2:$D$1224, "")</f>
        <v>ralam1009@gmail.com</v>
      </c>
      <c r="G999" s="1" t="str" cm="1">
        <f t="array" ref="G999">_xlfn.XLOOKUP(D999&amp;C999, Sheet2!$A$2:$A$558&amp;Sheet2!$B$2:$B$558, Sheet2!$C$2:$C$558, "")</f>
        <v/>
      </c>
      <c r="H999" s="40" t="str">
        <f t="shared" si="15"/>
        <v>ralam1009@gmail.com</v>
      </c>
    </row>
    <row r="1000" spans="1:8" ht="15.5" x14ac:dyDescent="0.35">
      <c r="A1000" s="7">
        <v>999</v>
      </c>
      <c r="B1000" s="9">
        <v>18314</v>
      </c>
      <c r="C1000" s="32" t="s">
        <v>963</v>
      </c>
      <c r="D1000" s="9" t="s">
        <v>1072</v>
      </c>
      <c r="E1000" s="10">
        <v>1999</v>
      </c>
      <c r="F1000" s="36" t="str" cm="1">
        <f t="array" ref="F1000">_xlfn.XLOOKUP(D1000&amp;C1000, Sheet3!$C$2:$C$1224&amp;Sheet3!$B$2:$B$1224, Sheet3!$D$2:$D$1224, "")</f>
        <v>riaresty334@gmail.com</v>
      </c>
      <c r="G1000" s="1" t="str" cm="1">
        <f t="array" ref="G1000">_xlfn.XLOOKUP(D1000&amp;C1000, Sheet2!$A$2:$A$558&amp;Sheet2!$B$2:$B$558, Sheet2!$C$2:$C$558, "")</f>
        <v/>
      </c>
      <c r="H1000" s="40" t="str">
        <f t="shared" si="15"/>
        <v>riaresty334@gmail.com</v>
      </c>
    </row>
    <row r="1001" spans="1:8" ht="15.5" x14ac:dyDescent="0.35">
      <c r="A1001" s="7">
        <v>1000</v>
      </c>
      <c r="B1001" s="9">
        <v>14289</v>
      </c>
      <c r="C1001" s="32" t="s">
        <v>964</v>
      </c>
      <c r="D1001" s="9" t="s">
        <v>1066</v>
      </c>
      <c r="E1001" s="10">
        <v>1999</v>
      </c>
      <c r="F1001" s="36" t="str" cm="1">
        <f t="array" ref="F1001">_xlfn.XLOOKUP(D1001&amp;C1001, Sheet3!$C$2:$C$1224&amp;Sheet3!$B$2:$B$1224, Sheet3!$D$2:$D$1224, "")</f>
        <v/>
      </c>
      <c r="G1001" s="1" t="str" cm="1">
        <f t="array" ref="G1001">_xlfn.XLOOKUP(D1001&amp;C1001, Sheet2!$A$2:$A$558&amp;Sheet2!$B$2:$B$558, Sheet2!$C$2:$C$558, "")</f>
        <v/>
      </c>
      <c r="H1001" s="40" t="str">
        <f t="shared" si="15"/>
        <v/>
      </c>
    </row>
    <row r="1002" spans="1:8" ht="15.5" x14ac:dyDescent="0.35">
      <c r="A1002" s="7">
        <v>1001</v>
      </c>
      <c r="B1002" s="9">
        <v>17423</v>
      </c>
      <c r="C1002" s="32" t="s">
        <v>965</v>
      </c>
      <c r="D1002" s="9" t="s">
        <v>1071</v>
      </c>
      <c r="E1002" s="10">
        <v>1999</v>
      </c>
      <c r="F1002" s="36" t="str" cm="1">
        <f t="array" ref="F1002">_xlfn.XLOOKUP(D1002&amp;C1002, Sheet3!$C$2:$C$1224&amp;Sheet3!$B$2:$B$1224, Sheet3!$D$2:$D$1224, "")</f>
        <v>igag_swandana@yahoo.com</v>
      </c>
      <c r="G1002" s="1" t="str" cm="1">
        <f t="array" ref="G1002">_xlfn.XLOOKUP(D1002&amp;C1002, Sheet2!$A$2:$A$558&amp;Sheet2!$B$2:$B$558, Sheet2!$C$2:$C$558, "")</f>
        <v/>
      </c>
      <c r="H1002" s="40" t="str">
        <f t="shared" si="15"/>
        <v>igag_swandana@yahoo.com</v>
      </c>
    </row>
    <row r="1003" spans="1:8" ht="15.5" x14ac:dyDescent="0.35">
      <c r="A1003" s="7">
        <v>1002</v>
      </c>
      <c r="B1003" s="9">
        <v>17640</v>
      </c>
      <c r="C1003" s="32" t="s">
        <v>966</v>
      </c>
      <c r="D1003" s="9" t="s">
        <v>1062</v>
      </c>
      <c r="E1003" s="10">
        <v>1999</v>
      </c>
      <c r="F1003" s="36" t="str" cm="1">
        <f t="array" ref="F1003">_xlfn.XLOOKUP(D1003&amp;C1003, Sheet3!$C$2:$C$1224&amp;Sheet3!$B$2:$B$1224, Sheet3!$D$2:$D$1224, "")</f>
        <v/>
      </c>
      <c r="G1003" s="1" t="str" cm="1">
        <f t="array" ref="G1003">_xlfn.XLOOKUP(D1003&amp;C1003, Sheet2!$A$2:$A$558&amp;Sheet2!$B$2:$B$558, Sheet2!$C$2:$C$558, "")</f>
        <v/>
      </c>
      <c r="H1003" s="40" t="str">
        <f t="shared" si="15"/>
        <v/>
      </c>
    </row>
    <row r="1004" spans="1:8" ht="15.5" x14ac:dyDescent="0.35">
      <c r="A1004" s="7">
        <v>1003</v>
      </c>
      <c r="B1004" s="9">
        <v>18293</v>
      </c>
      <c r="C1004" s="32" t="s">
        <v>967</v>
      </c>
      <c r="D1004" s="9" t="s">
        <v>1072</v>
      </c>
      <c r="E1004" s="10">
        <v>1999</v>
      </c>
      <c r="F1004" s="36" t="str" cm="1">
        <f t="array" ref="F1004">_xlfn.XLOOKUP(D1004&amp;C1004, Sheet3!$C$2:$C$1224&amp;Sheet3!$B$2:$B$1224, Sheet3!$D$2:$D$1224, "")</f>
        <v xml:space="preserve">infraswil.bappedasit@gmail.com </v>
      </c>
      <c r="G1004" s="1" t="str" cm="1">
        <f t="array" ref="G1004">_xlfn.XLOOKUP(D1004&amp;C1004, Sheet2!$A$2:$A$558&amp;Sheet2!$B$2:$B$558, Sheet2!$C$2:$C$558, "")</f>
        <v/>
      </c>
      <c r="H1004" s="40" t="str">
        <f t="shared" si="15"/>
        <v xml:space="preserve">infraswil.bappedasit@gmail.com </v>
      </c>
    </row>
    <row r="1005" spans="1:8" ht="15.5" x14ac:dyDescent="0.35">
      <c r="A1005" s="7">
        <v>1004</v>
      </c>
      <c r="B1005" s="9">
        <v>18313</v>
      </c>
      <c r="C1005" s="32" t="s">
        <v>968</v>
      </c>
      <c r="D1005" s="9" t="s">
        <v>1072</v>
      </c>
      <c r="E1005" s="10">
        <v>1999</v>
      </c>
      <c r="F1005" s="36" t="str" cm="1">
        <f t="array" ref="F1005">_xlfn.XLOOKUP(D1005&amp;C1005, Sheet3!$C$2:$C$1224&amp;Sheet3!$B$2:$B$1224, Sheet3!$D$2:$D$1224, "")</f>
        <v>meijum93@yahoo.com</v>
      </c>
      <c r="G1005" s="1" t="str" cm="1">
        <f t="array" ref="G1005">_xlfn.XLOOKUP(D1005&amp;C1005, Sheet2!$A$2:$A$558&amp;Sheet2!$B$2:$B$558, Sheet2!$C$2:$C$558, "")</f>
        <v/>
      </c>
      <c r="H1005" s="40" t="str">
        <f t="shared" si="15"/>
        <v>meijum93@yahoo.com</v>
      </c>
    </row>
    <row r="1006" spans="1:8" ht="15.5" x14ac:dyDescent="0.35">
      <c r="A1006" s="7">
        <v>1005</v>
      </c>
      <c r="B1006" s="9">
        <v>18614</v>
      </c>
      <c r="C1006" s="32" t="s">
        <v>969</v>
      </c>
      <c r="D1006" s="9" t="s">
        <v>1072</v>
      </c>
      <c r="E1006" s="10">
        <v>1999</v>
      </c>
      <c r="F1006" s="36" t="str" cm="1">
        <f t="array" ref="F1006">_xlfn.XLOOKUP(D1006&amp;C1006, Sheet3!$C$2:$C$1224&amp;Sheet3!$B$2:$B$1224, Sheet3!$D$2:$D$1224, "")</f>
        <v>nugrohoidhiar@gmail.com</v>
      </c>
      <c r="G1006" s="1" t="str" cm="1">
        <f t="array" ref="G1006">_xlfn.XLOOKUP(D1006&amp;C1006, Sheet2!$A$2:$A$558&amp;Sheet2!$B$2:$B$558, Sheet2!$C$2:$C$558, "")</f>
        <v/>
      </c>
      <c r="H1006" s="40" t="str">
        <f t="shared" si="15"/>
        <v>nugrohoidhiar@gmail.com</v>
      </c>
    </row>
    <row r="1007" spans="1:8" ht="15.5" x14ac:dyDescent="0.35">
      <c r="A1007" s="7">
        <v>1006</v>
      </c>
      <c r="B1007" s="9">
        <v>18746</v>
      </c>
      <c r="C1007" s="32" t="s">
        <v>970</v>
      </c>
      <c r="D1007" s="9" t="s">
        <v>1072</v>
      </c>
      <c r="E1007" s="10">
        <v>1999</v>
      </c>
      <c r="F1007" s="36" t="str" cm="1">
        <f t="array" ref="F1007">_xlfn.XLOOKUP(D1007&amp;C1007, Sheet3!$C$2:$C$1224&amp;Sheet3!$B$2:$B$1224, Sheet3!$D$2:$D$1224, "")</f>
        <v>riantofsh04@gmail.com</v>
      </c>
      <c r="G1007" s="1" t="str" cm="1">
        <f t="array" ref="G1007">_xlfn.XLOOKUP(D1007&amp;C1007, Sheet2!$A$2:$A$558&amp;Sheet2!$B$2:$B$558, Sheet2!$C$2:$C$558, "")</f>
        <v/>
      </c>
      <c r="H1007" s="40" t="str">
        <f t="shared" si="15"/>
        <v>riantofsh04@gmail.com</v>
      </c>
    </row>
    <row r="1008" spans="1:8" ht="15.5" x14ac:dyDescent="0.35">
      <c r="A1008" s="7">
        <v>1007</v>
      </c>
      <c r="B1008" s="9">
        <v>18954</v>
      </c>
      <c r="C1008" s="32" t="s">
        <v>971</v>
      </c>
      <c r="D1008" s="9" t="s">
        <v>1073</v>
      </c>
      <c r="E1008" s="10">
        <v>1999</v>
      </c>
      <c r="F1008" s="36" t="str" cm="1">
        <f t="array" ref="F1008">_xlfn.XLOOKUP(D1008&amp;C1008, Sheet3!$C$2:$C$1224&amp;Sheet3!$B$2:$B$1224, Sheet3!$D$2:$D$1224, "")</f>
        <v>madewidiantoro@gmail.com</v>
      </c>
      <c r="G1008" s="1" t="str" cm="1">
        <f t="array" ref="G1008">_xlfn.XLOOKUP(D1008&amp;C1008, Sheet2!$A$2:$A$558&amp;Sheet2!$B$2:$B$558, Sheet2!$C$2:$C$558, "")</f>
        <v/>
      </c>
      <c r="H1008" s="40" t="str">
        <f t="shared" si="15"/>
        <v>madewidiantoro@gmail.com</v>
      </c>
    </row>
    <row r="1009" spans="1:8" ht="15.5" x14ac:dyDescent="0.35">
      <c r="A1009" s="7">
        <v>1008</v>
      </c>
      <c r="B1009" s="9">
        <v>18959</v>
      </c>
      <c r="C1009" s="32" t="s">
        <v>972</v>
      </c>
      <c r="D1009" s="9" t="s">
        <v>1073</v>
      </c>
      <c r="E1009" s="10">
        <v>1999</v>
      </c>
      <c r="F1009" s="36" t="str" cm="1">
        <f t="array" ref="F1009">_xlfn.XLOOKUP(D1009&amp;C1009, Sheet3!$C$2:$C$1224&amp;Sheet3!$B$2:$B$1224, Sheet3!$D$2:$D$1224, "")</f>
        <v>wahyudhe@gmail.com</v>
      </c>
      <c r="G1009" s="1" t="str" cm="1">
        <f t="array" ref="G1009">_xlfn.XLOOKUP(D1009&amp;C1009, Sheet2!$A$2:$A$558&amp;Sheet2!$B$2:$B$558, Sheet2!$C$2:$C$558, "")</f>
        <v/>
      </c>
      <c r="H1009" s="40" t="str">
        <f t="shared" si="15"/>
        <v>wahyudhe@gmail.com</v>
      </c>
    </row>
    <row r="1010" spans="1:8" ht="15.5" x14ac:dyDescent="0.35">
      <c r="A1010" s="7">
        <v>1009</v>
      </c>
      <c r="B1010" s="9">
        <v>19235</v>
      </c>
      <c r="C1010" s="32" t="s">
        <v>973</v>
      </c>
      <c r="D1010" s="9" t="s">
        <v>1073</v>
      </c>
      <c r="E1010" s="10">
        <v>1999</v>
      </c>
      <c r="F1010" s="36" t="str" cm="1">
        <f t="array" ref="F1010">_xlfn.XLOOKUP(D1010&amp;C1010, Sheet3!$C$2:$C$1224&amp;Sheet3!$B$2:$B$1224, Sheet3!$D$2:$D$1224, "")</f>
        <v/>
      </c>
      <c r="G1010" s="1" t="str" cm="1">
        <f t="array" ref="G1010">_xlfn.XLOOKUP(D1010&amp;C1010, Sheet2!$A$2:$A$558&amp;Sheet2!$B$2:$B$558, Sheet2!$C$2:$C$558, "")</f>
        <v/>
      </c>
      <c r="H1010" s="40" t="str">
        <f t="shared" si="15"/>
        <v/>
      </c>
    </row>
    <row r="1011" spans="1:8" ht="15.5" x14ac:dyDescent="0.35">
      <c r="A1011" s="7">
        <v>1010</v>
      </c>
      <c r="B1011" s="9">
        <v>19511</v>
      </c>
      <c r="C1011" s="32" t="s">
        <v>974</v>
      </c>
      <c r="D1011" s="9" t="s">
        <v>1074</v>
      </c>
      <c r="E1011" s="10">
        <v>1999</v>
      </c>
      <c r="F1011" s="36" t="str" cm="1">
        <f t="array" ref="F1011">_xlfn.XLOOKUP(D1011&amp;C1011, Sheet3!$C$2:$C$1224&amp;Sheet3!$B$2:$B$1224, Sheet3!$D$2:$D$1224, "")</f>
        <v/>
      </c>
      <c r="G1011" s="1" t="str" cm="1">
        <f t="array" ref="G1011">_xlfn.XLOOKUP(D1011&amp;C1011, Sheet2!$A$2:$A$558&amp;Sheet2!$B$2:$B$558, Sheet2!$C$2:$C$558, "")</f>
        <v/>
      </c>
      <c r="H1011" s="40" t="str">
        <f t="shared" si="15"/>
        <v/>
      </c>
    </row>
    <row r="1012" spans="1:8" ht="15.5" x14ac:dyDescent="0.35">
      <c r="A1012" s="7">
        <v>1011</v>
      </c>
      <c r="B1012" s="9">
        <v>19844</v>
      </c>
      <c r="C1012" s="32" t="s">
        <v>975</v>
      </c>
      <c r="D1012" s="9" t="s">
        <v>1074</v>
      </c>
      <c r="E1012" s="10">
        <v>1999</v>
      </c>
      <c r="F1012" s="36" t="str" cm="1">
        <f t="array" ref="F1012">_xlfn.XLOOKUP(D1012&amp;C1012, Sheet3!$C$2:$C$1224&amp;Sheet3!$B$2:$B$1224, Sheet3!$D$2:$D$1224, "")</f>
        <v>septiana.dwinani@yahoo.co.uk</v>
      </c>
      <c r="G1012" s="1" t="str" cm="1">
        <f t="array" ref="G1012">_xlfn.XLOOKUP(D1012&amp;C1012, Sheet2!$A$2:$A$558&amp;Sheet2!$B$2:$B$558, Sheet2!$C$2:$C$558, "")</f>
        <v/>
      </c>
      <c r="H1012" s="40" t="str">
        <f t="shared" si="15"/>
        <v>septiana.dwinani@yahoo.co.uk</v>
      </c>
    </row>
    <row r="1013" spans="1:8" ht="15.5" x14ac:dyDescent="0.35">
      <c r="A1013" s="7">
        <v>1012</v>
      </c>
      <c r="B1013" s="9">
        <v>19869</v>
      </c>
      <c r="C1013" s="32" t="s">
        <v>976</v>
      </c>
      <c r="D1013" s="9" t="s">
        <v>1074</v>
      </c>
      <c r="E1013" s="10">
        <v>1999</v>
      </c>
      <c r="F1013" s="36" t="str" cm="1">
        <f t="array" ref="F1013">_xlfn.XLOOKUP(D1013&amp;C1013, Sheet3!$C$2:$C$1224&amp;Sheet3!$B$2:$B$1224, Sheet3!$D$2:$D$1224, "")</f>
        <v>yunitautaminingsih@gmail.com</v>
      </c>
      <c r="G1013" s="1" t="str" cm="1">
        <f t="array" ref="G1013">_xlfn.XLOOKUP(D1013&amp;C1013, Sheet2!$A$2:$A$558&amp;Sheet2!$B$2:$B$558, Sheet2!$C$2:$C$558, "")</f>
        <v>yunitautaminingsih@gmail.com</v>
      </c>
      <c r="H1013" s="40" t="str">
        <f t="shared" si="15"/>
        <v>yunitautaminingsih@gmail.com</v>
      </c>
    </row>
    <row r="1014" spans="1:8" ht="15.5" x14ac:dyDescent="0.35">
      <c r="A1014" s="7">
        <v>1013</v>
      </c>
      <c r="B1014" s="9">
        <v>19362</v>
      </c>
      <c r="C1014" s="32" t="s">
        <v>977</v>
      </c>
      <c r="D1014" s="9" t="s">
        <v>1073</v>
      </c>
      <c r="E1014" s="10">
        <v>1999</v>
      </c>
      <c r="F1014" s="36" t="str" cm="1">
        <f t="array" ref="F1014">_xlfn.XLOOKUP(D1014&amp;C1014, Sheet3!$C$2:$C$1224&amp;Sheet3!$B$2:$B$1224, Sheet3!$D$2:$D$1224, "")</f>
        <v/>
      </c>
      <c r="G1014" s="1" t="str" cm="1">
        <f t="array" ref="G1014">_xlfn.XLOOKUP(D1014&amp;C1014, Sheet2!$A$2:$A$558&amp;Sheet2!$B$2:$B$558, Sheet2!$C$2:$C$558, "")</f>
        <v/>
      </c>
      <c r="H1014" s="40" t="str">
        <f t="shared" si="15"/>
        <v/>
      </c>
    </row>
    <row r="1015" spans="1:8" ht="15.5" x14ac:dyDescent="0.35">
      <c r="A1015" s="7">
        <v>1014</v>
      </c>
      <c r="B1015" s="9">
        <v>19621</v>
      </c>
      <c r="C1015" s="32" t="s">
        <v>978</v>
      </c>
      <c r="D1015" s="9" t="s">
        <v>1074</v>
      </c>
      <c r="E1015" s="10">
        <v>1999</v>
      </c>
      <c r="F1015" s="36" t="str" cm="1">
        <f t="array" ref="F1015">_xlfn.XLOOKUP(D1015&amp;C1015, Sheet3!$C$2:$C$1224&amp;Sheet3!$B$2:$B$1224, Sheet3!$D$2:$D$1224, "")</f>
        <v>yasinta.wongasare77@gmail.com</v>
      </c>
      <c r="G1015" s="1" t="str" cm="1">
        <f t="array" ref="G1015">_xlfn.XLOOKUP(D1015&amp;C1015, Sheet2!$A$2:$A$558&amp;Sheet2!$B$2:$B$558, Sheet2!$C$2:$C$558, "")</f>
        <v>yasinta.wongasare77@gmail.com</v>
      </c>
      <c r="H1015" s="40" t="str">
        <f t="shared" si="15"/>
        <v>yasinta.wongasare77@gmail.com</v>
      </c>
    </row>
    <row r="1016" spans="1:8" ht="15.5" x14ac:dyDescent="0.35">
      <c r="A1016" s="7">
        <v>1015</v>
      </c>
      <c r="B1016" s="9">
        <v>18080</v>
      </c>
      <c r="C1016" s="32" t="s">
        <v>979</v>
      </c>
      <c r="D1016" s="9" t="s">
        <v>1062</v>
      </c>
      <c r="E1016" s="10">
        <v>1999</v>
      </c>
      <c r="F1016" s="36" t="str" cm="1">
        <f t="array" ref="F1016">_xlfn.XLOOKUP(D1016&amp;C1016, Sheet3!$C$2:$C$1224&amp;Sheet3!$B$2:$B$1224, Sheet3!$D$2:$D$1224, "")</f>
        <v>wb.agung@gmail.com</v>
      </c>
      <c r="G1016" s="1" t="str" cm="1">
        <f t="array" ref="G1016">_xlfn.XLOOKUP(D1016&amp;C1016, Sheet2!$A$2:$A$558&amp;Sheet2!$B$2:$B$558, Sheet2!$C$2:$C$558, "")</f>
        <v/>
      </c>
      <c r="H1016" s="40" t="str">
        <f t="shared" si="15"/>
        <v>wb.agung@gmail.com</v>
      </c>
    </row>
    <row r="1017" spans="1:8" ht="15.5" x14ac:dyDescent="0.35">
      <c r="A1017" s="7">
        <v>1016</v>
      </c>
      <c r="B1017" s="9">
        <v>20028</v>
      </c>
      <c r="C1017" s="32" t="s">
        <v>980</v>
      </c>
      <c r="D1017" s="9" t="s">
        <v>1074</v>
      </c>
      <c r="E1017" s="10">
        <v>1999</v>
      </c>
      <c r="F1017" s="36" t="str" cm="1">
        <f t="array" ref="F1017">_xlfn.XLOOKUP(D1017&amp;C1017, Sheet3!$C$2:$C$1224&amp;Sheet3!$B$2:$B$1224, Sheet3!$D$2:$D$1224, "")</f>
        <v/>
      </c>
      <c r="G1017" s="1" t="str" cm="1">
        <f t="array" ref="G1017">_xlfn.XLOOKUP(D1017&amp;C1017, Sheet2!$A$2:$A$558&amp;Sheet2!$B$2:$B$558, Sheet2!$C$2:$C$558, "")</f>
        <v/>
      </c>
      <c r="H1017" s="40" t="str">
        <f t="shared" si="15"/>
        <v/>
      </c>
    </row>
    <row r="1018" spans="1:8" ht="15.5" x14ac:dyDescent="0.35">
      <c r="A1018" s="7">
        <v>1017</v>
      </c>
      <c r="B1018" s="9">
        <v>18970</v>
      </c>
      <c r="C1018" s="32" t="s">
        <v>981</v>
      </c>
      <c r="D1018" s="9" t="s">
        <v>1073</v>
      </c>
      <c r="E1018" s="10">
        <v>1999</v>
      </c>
      <c r="F1018" s="36" t="str" cm="1">
        <f t="array" ref="F1018">_xlfn.XLOOKUP(D1018&amp;C1018, Sheet3!$C$2:$C$1224&amp;Sheet3!$B$2:$B$1224, Sheet3!$D$2:$D$1224, "")</f>
        <v>andi.arif34@gmail.com</v>
      </c>
      <c r="G1018" s="1" t="str" cm="1">
        <f t="array" ref="G1018">_xlfn.XLOOKUP(D1018&amp;C1018, Sheet2!$A$2:$A$558&amp;Sheet2!$B$2:$B$558, Sheet2!$C$2:$C$558, "")</f>
        <v/>
      </c>
      <c r="H1018" s="40" t="str">
        <f t="shared" si="15"/>
        <v>andi.arif34@gmail.com</v>
      </c>
    </row>
    <row r="1019" spans="1:8" ht="15.5" x14ac:dyDescent="0.35">
      <c r="A1019" s="7">
        <v>1018</v>
      </c>
      <c r="B1019" s="9">
        <v>19036</v>
      </c>
      <c r="C1019" s="32" t="s">
        <v>982</v>
      </c>
      <c r="D1019" s="9" t="s">
        <v>1073</v>
      </c>
      <c r="E1019" s="10">
        <v>1999</v>
      </c>
      <c r="F1019" s="36" t="str" cm="1">
        <f t="array" ref="F1019">_xlfn.XLOOKUP(D1019&amp;C1019, Sheet3!$C$2:$C$1224&amp;Sheet3!$B$2:$B$1224, Sheet3!$D$2:$D$1224, "")</f>
        <v>arifinnoor76@gmail.com</v>
      </c>
      <c r="G1019" s="1" t="str" cm="1">
        <f t="array" ref="G1019">_xlfn.XLOOKUP(D1019&amp;C1019, Sheet2!$A$2:$A$558&amp;Sheet2!$B$2:$B$558, Sheet2!$C$2:$C$558, "")</f>
        <v/>
      </c>
      <c r="H1019" s="40" t="str">
        <f t="shared" si="15"/>
        <v>arifinnoor76@gmail.com</v>
      </c>
    </row>
    <row r="1020" spans="1:8" ht="15.5" x14ac:dyDescent="0.35">
      <c r="A1020" s="7">
        <v>1019</v>
      </c>
      <c r="B1020" s="9">
        <v>20006</v>
      </c>
      <c r="C1020" s="32" t="s">
        <v>983</v>
      </c>
      <c r="D1020" s="9" t="s">
        <v>1073</v>
      </c>
      <c r="E1020" s="10">
        <v>2000</v>
      </c>
      <c r="F1020" s="36" t="str" cm="1">
        <f t="array" ref="F1020">_xlfn.XLOOKUP(D1020&amp;C1020, Sheet3!$C$2:$C$1224&amp;Sheet3!$B$2:$B$1224, Sheet3!$D$2:$D$1224, "")</f>
        <v>sypramono@gmail.com</v>
      </c>
      <c r="G1020" s="1" t="str" cm="1">
        <f t="array" ref="G1020">_xlfn.XLOOKUP(D1020&amp;C1020, Sheet2!$A$2:$A$558&amp;Sheet2!$B$2:$B$558, Sheet2!$C$2:$C$558, "")</f>
        <v/>
      </c>
      <c r="H1020" s="40" t="str">
        <f t="shared" si="15"/>
        <v>sypramono@gmail.com</v>
      </c>
    </row>
    <row r="1021" spans="1:8" ht="15.5" x14ac:dyDescent="0.35">
      <c r="A1021" s="7">
        <v>1020</v>
      </c>
      <c r="B1021" s="9">
        <v>20256</v>
      </c>
      <c r="C1021" s="32" t="s">
        <v>984</v>
      </c>
      <c r="D1021" s="9" t="s">
        <v>1074</v>
      </c>
      <c r="E1021" s="10">
        <v>2000</v>
      </c>
      <c r="F1021" s="36" t="str" cm="1">
        <f t="array" ref="F1021">_xlfn.XLOOKUP(D1021&amp;C1021, Sheet3!$C$2:$C$1224&amp;Sheet3!$B$2:$B$1224, Sheet3!$D$2:$D$1224, "")</f>
        <v>amirilhepi@gmail.com</v>
      </c>
      <c r="G1021" s="1" t="str" cm="1">
        <f t="array" ref="G1021">_xlfn.XLOOKUP(D1021&amp;C1021, Sheet2!$A$2:$A$558&amp;Sheet2!$B$2:$B$558, Sheet2!$C$2:$C$558, "")</f>
        <v/>
      </c>
      <c r="H1021" s="40" t="str">
        <f t="shared" si="15"/>
        <v>amirilhepi@gmail.com</v>
      </c>
    </row>
    <row r="1022" spans="1:8" ht="15.5" x14ac:dyDescent="0.35">
      <c r="A1022" s="7">
        <v>1021</v>
      </c>
      <c r="B1022" s="9">
        <v>17707</v>
      </c>
      <c r="C1022" s="32" t="s">
        <v>985</v>
      </c>
      <c r="D1022" s="9" t="s">
        <v>1062</v>
      </c>
      <c r="E1022" s="10">
        <v>2000</v>
      </c>
      <c r="F1022" s="36" t="str" cm="1">
        <f t="array" ref="F1022">_xlfn.XLOOKUP(D1022&amp;C1022, Sheet3!$C$2:$C$1224&amp;Sheet3!$B$2:$B$1224, Sheet3!$D$2:$D$1224, "")</f>
        <v/>
      </c>
      <c r="G1022" s="1" t="str" cm="1">
        <f t="array" ref="G1022">_xlfn.XLOOKUP(D1022&amp;C1022, Sheet2!$A$2:$A$558&amp;Sheet2!$B$2:$B$558, Sheet2!$C$2:$C$558, "")</f>
        <v/>
      </c>
      <c r="H1022" s="40" t="str">
        <f t="shared" si="15"/>
        <v/>
      </c>
    </row>
    <row r="1023" spans="1:8" ht="15.5" x14ac:dyDescent="0.35">
      <c r="A1023" s="7">
        <v>1022</v>
      </c>
      <c r="B1023" s="9">
        <v>19552</v>
      </c>
      <c r="C1023" s="32" t="s">
        <v>986</v>
      </c>
      <c r="D1023" s="9" t="s">
        <v>1074</v>
      </c>
      <c r="E1023" s="10">
        <v>2000</v>
      </c>
      <c r="F1023" s="36" t="str" cm="1">
        <f t="array" ref="F1023">_xlfn.XLOOKUP(D1023&amp;C1023, Sheet3!$C$2:$C$1224&amp;Sheet3!$B$2:$B$1224, Sheet3!$D$2:$D$1224, "")</f>
        <v/>
      </c>
      <c r="G1023" s="1" t="str" cm="1">
        <f t="array" ref="G1023">_xlfn.XLOOKUP(D1023&amp;C1023, Sheet2!$A$2:$A$558&amp;Sheet2!$B$2:$B$558, Sheet2!$C$2:$C$558, "")</f>
        <v/>
      </c>
      <c r="H1023" s="40" t="str">
        <f t="shared" si="15"/>
        <v/>
      </c>
    </row>
    <row r="1024" spans="1:8" ht="15.5" x14ac:dyDescent="0.35">
      <c r="A1024" s="7">
        <v>1023</v>
      </c>
      <c r="B1024" s="9">
        <v>18945</v>
      </c>
      <c r="C1024" s="32" t="s">
        <v>987</v>
      </c>
      <c r="D1024" s="9" t="s">
        <v>1073</v>
      </c>
      <c r="E1024" s="10">
        <v>2000</v>
      </c>
      <c r="F1024" s="36" t="str" cm="1">
        <f t="array" ref="F1024">_xlfn.XLOOKUP(D1024&amp;C1024, Sheet3!$C$2:$C$1224&amp;Sheet3!$B$2:$B$1224, Sheet3!$D$2:$D$1224, "")</f>
        <v>ronggo.aw@gmail.com</v>
      </c>
      <c r="G1024" s="1" t="str" cm="1">
        <f t="array" ref="G1024">_xlfn.XLOOKUP(D1024&amp;C1024, Sheet2!$A$2:$A$558&amp;Sheet2!$B$2:$B$558, Sheet2!$C$2:$C$558, "")</f>
        <v/>
      </c>
      <c r="H1024" s="40" t="str">
        <f t="shared" si="15"/>
        <v>ronggo.aw@gmail.com</v>
      </c>
    </row>
    <row r="1025" spans="1:8" ht="15.5" x14ac:dyDescent="0.35">
      <c r="A1025" s="7">
        <v>1024</v>
      </c>
      <c r="B1025" s="9">
        <v>19555</v>
      </c>
      <c r="C1025" s="32" t="s">
        <v>988</v>
      </c>
      <c r="D1025" s="9" t="s">
        <v>1074</v>
      </c>
      <c r="E1025" s="10">
        <v>2000</v>
      </c>
      <c r="F1025" s="36" t="str" cm="1">
        <f t="array" ref="F1025">_xlfn.XLOOKUP(D1025&amp;C1025, Sheet3!$C$2:$C$1224&amp;Sheet3!$B$2:$B$1224, Sheet3!$D$2:$D$1224, "")</f>
        <v/>
      </c>
      <c r="G1025" s="1" t="str" cm="1">
        <f t="array" ref="G1025">_xlfn.XLOOKUP(D1025&amp;C1025, Sheet2!$A$2:$A$558&amp;Sheet2!$B$2:$B$558, Sheet2!$C$2:$C$558, "")</f>
        <v/>
      </c>
      <c r="H1025" s="40" t="str">
        <f t="shared" si="15"/>
        <v/>
      </c>
    </row>
    <row r="1026" spans="1:8" ht="15.5" x14ac:dyDescent="0.35">
      <c r="A1026" s="7">
        <v>1025</v>
      </c>
      <c r="B1026" s="9">
        <v>20011</v>
      </c>
      <c r="C1026" s="32" t="s">
        <v>989</v>
      </c>
      <c r="D1026" s="9" t="s">
        <v>1074</v>
      </c>
      <c r="E1026" s="10">
        <v>2000</v>
      </c>
      <c r="F1026" s="36" t="str" cm="1">
        <f t="array" ref="F1026">_xlfn.XLOOKUP(D1026&amp;C1026, Sheet3!$C$2:$C$1224&amp;Sheet3!$B$2:$B$1224, Sheet3!$D$2:$D$1224, "")</f>
        <v>dony.kbs@gmail.com</v>
      </c>
      <c r="G1026" s="1" t="str" cm="1">
        <f t="array" ref="G1026">_xlfn.XLOOKUP(D1026&amp;C1026, Sheet2!$A$2:$A$558&amp;Sheet2!$B$2:$B$558, Sheet2!$C$2:$C$558, "")</f>
        <v/>
      </c>
      <c r="H1026" s="40" t="str">
        <f t="shared" si="15"/>
        <v>dony.kbs@gmail.com</v>
      </c>
    </row>
    <row r="1027" spans="1:8" ht="15.5" x14ac:dyDescent="0.35">
      <c r="A1027" s="7">
        <v>1026</v>
      </c>
      <c r="B1027" s="9">
        <v>18097</v>
      </c>
      <c r="C1027" s="32" t="s">
        <v>990</v>
      </c>
      <c r="D1027" s="9" t="s">
        <v>1062</v>
      </c>
      <c r="E1027" s="10">
        <v>2000</v>
      </c>
      <c r="F1027" s="36" t="str" cm="1">
        <f t="array" ref="F1027">_xlfn.XLOOKUP(D1027&amp;C1027, Sheet3!$C$2:$C$1224&amp;Sheet3!$B$2:$B$1224, Sheet3!$D$2:$D$1224, "")</f>
        <v/>
      </c>
      <c r="G1027" s="1" t="str" cm="1">
        <f t="array" ref="G1027">_xlfn.XLOOKUP(D1027&amp;C1027, Sheet2!$A$2:$A$558&amp;Sheet2!$B$2:$B$558, Sheet2!$C$2:$C$558, "")</f>
        <v/>
      </c>
      <c r="H1027" s="40" t="str">
        <f t="shared" ref="H1027:H1090" si="16">IF(F1027&lt;&gt;"",F1027,G1027)</f>
        <v/>
      </c>
    </row>
    <row r="1028" spans="1:8" ht="15.5" x14ac:dyDescent="0.35">
      <c r="A1028" s="7">
        <v>1027</v>
      </c>
      <c r="B1028" s="9">
        <v>19730</v>
      </c>
      <c r="C1028" s="32" t="s">
        <v>991</v>
      </c>
      <c r="D1028" s="9" t="s">
        <v>1074</v>
      </c>
      <c r="E1028" s="10">
        <v>2000</v>
      </c>
      <c r="F1028" s="36" t="str" cm="1">
        <f t="array" ref="F1028">_xlfn.XLOOKUP(D1028&amp;C1028, Sheet3!$C$2:$C$1224&amp;Sheet3!$B$2:$B$1224, Sheet3!$D$2:$D$1224, "")</f>
        <v/>
      </c>
      <c r="G1028" s="1" t="str" cm="1">
        <f t="array" ref="G1028">_xlfn.XLOOKUP(D1028&amp;C1028, Sheet2!$A$2:$A$558&amp;Sheet2!$B$2:$B$558, Sheet2!$C$2:$C$558, "")</f>
        <v/>
      </c>
      <c r="H1028" s="40" t="str">
        <f t="shared" si="16"/>
        <v/>
      </c>
    </row>
    <row r="1029" spans="1:8" ht="15.5" x14ac:dyDescent="0.35">
      <c r="A1029" s="7">
        <v>1028</v>
      </c>
      <c r="B1029" s="9">
        <v>19810</v>
      </c>
      <c r="C1029" s="32" t="s">
        <v>992</v>
      </c>
      <c r="D1029" s="9" t="s">
        <v>1074</v>
      </c>
      <c r="E1029" s="10">
        <v>2000</v>
      </c>
      <c r="F1029" s="36" t="str" cm="1">
        <f t="array" ref="F1029">_xlfn.XLOOKUP(D1029&amp;C1029, Sheet3!$C$2:$C$1224&amp;Sheet3!$B$2:$B$1224, Sheet3!$D$2:$D$1224, "")</f>
        <v>variawati@gmail.com</v>
      </c>
      <c r="G1029" s="1" t="str" cm="1">
        <f t="array" ref="G1029">_xlfn.XLOOKUP(D1029&amp;C1029, Sheet2!$A$2:$A$558&amp;Sheet2!$B$2:$B$558, Sheet2!$C$2:$C$558, "")</f>
        <v>variawati@gmail.com</v>
      </c>
      <c r="H1029" s="40" t="str">
        <f t="shared" si="16"/>
        <v>variawati@gmail.com</v>
      </c>
    </row>
    <row r="1030" spans="1:8" ht="15.5" x14ac:dyDescent="0.35">
      <c r="A1030" s="7">
        <v>1029</v>
      </c>
      <c r="B1030" s="9">
        <v>18768</v>
      </c>
      <c r="C1030" s="32" t="s">
        <v>993</v>
      </c>
      <c r="D1030" s="9" t="s">
        <v>1072</v>
      </c>
      <c r="E1030" s="10">
        <v>2000</v>
      </c>
      <c r="F1030" s="36" t="str" cm="1">
        <f t="array" ref="F1030">_xlfn.XLOOKUP(D1030&amp;C1030, Sheet3!$C$2:$C$1224&amp;Sheet3!$B$2:$B$1224, Sheet3!$D$2:$D$1224, "")</f>
        <v/>
      </c>
      <c r="G1030" s="1" t="str" cm="1">
        <f t="array" ref="G1030">_xlfn.XLOOKUP(D1030&amp;C1030, Sheet2!$A$2:$A$558&amp;Sheet2!$B$2:$B$558, Sheet2!$C$2:$C$558, "")</f>
        <v/>
      </c>
      <c r="H1030" s="40" t="str">
        <f t="shared" si="16"/>
        <v/>
      </c>
    </row>
    <row r="1031" spans="1:8" ht="15.5" x14ac:dyDescent="0.35">
      <c r="A1031" s="7">
        <v>1030</v>
      </c>
      <c r="B1031" s="9">
        <v>19325</v>
      </c>
      <c r="C1031" s="32" t="s">
        <v>994</v>
      </c>
      <c r="D1031" s="9" t="s">
        <v>1073</v>
      </c>
      <c r="E1031" s="10">
        <v>2000</v>
      </c>
      <c r="F1031" s="36" t="str" cm="1">
        <f t="array" ref="F1031">_xlfn.XLOOKUP(D1031&amp;C1031, Sheet3!$C$2:$C$1224&amp;Sheet3!$B$2:$B$1224, Sheet3!$D$2:$D$1224, "")</f>
        <v>g.agung.ns@gmail.com</v>
      </c>
      <c r="G1031" s="1" t="str" cm="1">
        <f t="array" ref="G1031">_xlfn.XLOOKUP(D1031&amp;C1031, Sheet2!$A$2:$A$558&amp;Sheet2!$B$2:$B$558, Sheet2!$C$2:$C$558, "")</f>
        <v/>
      </c>
      <c r="H1031" s="40" t="str">
        <f t="shared" si="16"/>
        <v>g.agung.ns@gmail.com</v>
      </c>
    </row>
    <row r="1032" spans="1:8" ht="15.5" x14ac:dyDescent="0.35">
      <c r="A1032" s="7">
        <v>1031</v>
      </c>
      <c r="B1032" s="9">
        <v>18553</v>
      </c>
      <c r="C1032" s="32" t="s">
        <v>995</v>
      </c>
      <c r="D1032" s="9" t="s">
        <v>1072</v>
      </c>
      <c r="E1032" s="10">
        <v>2000</v>
      </c>
      <c r="F1032" s="36" t="str" cm="1">
        <f t="array" ref="F1032">_xlfn.XLOOKUP(D1032&amp;C1032, Sheet3!$C$2:$C$1224&amp;Sheet3!$B$2:$B$1224, Sheet3!$D$2:$D$1224, "")</f>
        <v>priyatma.adi@gmail.com</v>
      </c>
      <c r="G1032" s="1" t="str" cm="1">
        <f t="array" ref="G1032">_xlfn.XLOOKUP(D1032&amp;C1032, Sheet2!$A$2:$A$558&amp;Sheet2!$B$2:$B$558, Sheet2!$C$2:$C$558, "")</f>
        <v/>
      </c>
      <c r="H1032" s="40" t="str">
        <f t="shared" si="16"/>
        <v>priyatma.adi@gmail.com</v>
      </c>
    </row>
    <row r="1033" spans="1:8" ht="15.5" x14ac:dyDescent="0.35">
      <c r="A1033" s="7">
        <v>1032</v>
      </c>
      <c r="B1033" s="9">
        <v>19721</v>
      </c>
      <c r="C1033" s="32" t="s">
        <v>996</v>
      </c>
      <c r="D1033" s="9" t="s">
        <v>1074</v>
      </c>
      <c r="E1033" s="10">
        <v>2000</v>
      </c>
      <c r="F1033" s="36" t="str" cm="1">
        <f t="array" ref="F1033">_xlfn.XLOOKUP(D1033&amp;C1033, Sheet3!$C$2:$C$1224&amp;Sheet3!$B$2:$B$1224, Sheet3!$D$2:$D$1224, "")</f>
        <v/>
      </c>
      <c r="G1033" s="1" t="str" cm="1">
        <f t="array" ref="G1033">_xlfn.XLOOKUP(D1033&amp;C1033, Sheet2!$A$2:$A$558&amp;Sheet2!$B$2:$B$558, Sheet2!$C$2:$C$558, "")</f>
        <v/>
      </c>
      <c r="H1033" s="40" t="str">
        <f t="shared" si="16"/>
        <v/>
      </c>
    </row>
    <row r="1034" spans="1:8" ht="15.5" x14ac:dyDescent="0.35">
      <c r="A1034" s="7">
        <v>1033</v>
      </c>
      <c r="B1034" s="9">
        <v>17507</v>
      </c>
      <c r="C1034" s="32" t="s">
        <v>997</v>
      </c>
      <c r="D1034" s="9" t="s">
        <v>1071</v>
      </c>
      <c r="E1034" s="10">
        <v>2000</v>
      </c>
      <c r="F1034" s="36" t="str" cm="1">
        <f t="array" ref="F1034">_xlfn.XLOOKUP(D1034&amp;C1034, Sheet3!$C$2:$C$1224&amp;Sheet3!$B$2:$B$1224, Sheet3!$D$2:$D$1224, "")</f>
        <v>nr.rochman@gmail.com</v>
      </c>
      <c r="G1034" s="1" t="str" cm="1">
        <f t="array" ref="G1034">_xlfn.XLOOKUP(D1034&amp;C1034, Sheet2!$A$2:$A$558&amp;Sheet2!$B$2:$B$558, Sheet2!$C$2:$C$558, "")</f>
        <v>nr.rochman@gmail.com</v>
      </c>
      <c r="H1034" s="40" t="str">
        <f t="shared" si="16"/>
        <v>nr.rochman@gmail.com</v>
      </c>
    </row>
    <row r="1035" spans="1:8" ht="15.5" x14ac:dyDescent="0.35">
      <c r="A1035" s="7">
        <v>1034</v>
      </c>
      <c r="B1035" s="9">
        <v>18645</v>
      </c>
      <c r="C1035" s="32" t="s">
        <v>998</v>
      </c>
      <c r="D1035" s="9" t="s">
        <v>1072</v>
      </c>
      <c r="E1035" s="10">
        <v>2000</v>
      </c>
      <c r="F1035" s="36" t="str" cm="1">
        <f t="array" ref="F1035">_xlfn.XLOOKUP(D1035&amp;C1035, Sheet3!$C$2:$C$1224&amp;Sheet3!$B$2:$B$1224, Sheet3!$D$2:$D$1224, "")</f>
        <v>yudhana.widiatmoko@gmail.com</v>
      </c>
      <c r="G1035" s="1" t="str" cm="1">
        <f t="array" ref="G1035">_xlfn.XLOOKUP(D1035&amp;C1035, Sheet2!$A$2:$A$558&amp;Sheet2!$B$2:$B$558, Sheet2!$C$2:$C$558, "")</f>
        <v/>
      </c>
      <c r="H1035" s="40" t="str">
        <f t="shared" si="16"/>
        <v>yudhana.widiatmoko@gmail.com</v>
      </c>
    </row>
    <row r="1036" spans="1:8" ht="15.5" x14ac:dyDescent="0.35">
      <c r="A1036" s="7">
        <v>1035</v>
      </c>
      <c r="B1036" s="9">
        <v>19183</v>
      </c>
      <c r="C1036" s="32" t="s">
        <v>999</v>
      </c>
      <c r="D1036" s="9" t="s">
        <v>1073</v>
      </c>
      <c r="E1036" s="10">
        <v>2000</v>
      </c>
      <c r="F1036" s="36" t="str" cm="1">
        <f t="array" ref="F1036">_xlfn.XLOOKUP(D1036&amp;C1036, Sheet3!$C$2:$C$1224&amp;Sheet3!$B$2:$B$1224, Sheet3!$D$2:$D$1224, "")</f>
        <v>whendro06@gmail.com</v>
      </c>
      <c r="G1036" s="1" t="str" cm="1">
        <f t="array" ref="G1036">_xlfn.XLOOKUP(D1036&amp;C1036, Sheet2!$A$2:$A$558&amp;Sheet2!$B$2:$B$558, Sheet2!$C$2:$C$558, "")</f>
        <v/>
      </c>
      <c r="H1036" s="40" t="str">
        <f t="shared" si="16"/>
        <v>whendro06@gmail.com</v>
      </c>
    </row>
    <row r="1037" spans="1:8" ht="15.5" x14ac:dyDescent="0.35">
      <c r="A1037" s="7">
        <v>1036</v>
      </c>
      <c r="B1037" s="9">
        <v>19727</v>
      </c>
      <c r="C1037" s="32" t="s">
        <v>5831</v>
      </c>
      <c r="D1037" s="9" t="s">
        <v>1074</v>
      </c>
      <c r="E1037" s="10">
        <v>2000</v>
      </c>
      <c r="F1037" s="36" t="str" cm="1">
        <f t="array" ref="F1037">_xlfn.XLOOKUP(D1037&amp;C1037, Sheet3!$C$2:$C$1224&amp;Sheet3!$B$2:$B$1224, Sheet3!$D$2:$D$1224, "")</f>
        <v>ulfanuryati@gmail.com</v>
      </c>
      <c r="G1037" s="1" t="str" cm="1">
        <f t="array" ref="G1037">_xlfn.XLOOKUP(D1037&amp;C1037, Sheet2!$A$2:$A$558&amp;Sheet2!$B$2:$B$558, Sheet2!$C$2:$C$558, "")</f>
        <v/>
      </c>
      <c r="H1037" s="40" t="str">
        <f t="shared" si="16"/>
        <v>ulfanuryati@gmail.com</v>
      </c>
    </row>
    <row r="1038" spans="1:8" ht="15.5" x14ac:dyDescent="0.35">
      <c r="A1038" s="7">
        <v>1037</v>
      </c>
      <c r="B1038" s="9">
        <v>19850</v>
      </c>
      <c r="C1038" s="32" t="s">
        <v>1000</v>
      </c>
      <c r="D1038" s="9" t="s">
        <v>1074</v>
      </c>
      <c r="E1038" s="10">
        <v>2000</v>
      </c>
      <c r="F1038" s="36" t="str" cm="1">
        <f t="array" ref="F1038">_xlfn.XLOOKUP(D1038&amp;C1038, Sheet3!$C$2:$C$1224&amp;Sheet3!$B$2:$B$1224, Sheet3!$D$2:$D$1224, "")</f>
        <v/>
      </c>
      <c r="G1038" s="1" t="str" cm="1">
        <f t="array" ref="G1038">_xlfn.XLOOKUP(D1038&amp;C1038, Sheet2!$A$2:$A$558&amp;Sheet2!$B$2:$B$558, Sheet2!$C$2:$C$558, "")</f>
        <v>mulyadi.katiyo@gmail.com</v>
      </c>
      <c r="H1038" s="40" t="str">
        <f t="shared" si="16"/>
        <v>mulyadi.katiyo@gmail.com</v>
      </c>
    </row>
    <row r="1039" spans="1:8" ht="15.5" x14ac:dyDescent="0.35">
      <c r="A1039" s="7">
        <v>1038</v>
      </c>
      <c r="B1039" s="9">
        <v>17598</v>
      </c>
      <c r="C1039" s="32" t="s">
        <v>1001</v>
      </c>
      <c r="D1039" s="9" t="s">
        <v>1062</v>
      </c>
      <c r="E1039" s="10">
        <v>2000</v>
      </c>
      <c r="F1039" s="36" t="str" cm="1">
        <f t="array" ref="F1039">_xlfn.XLOOKUP(D1039&amp;C1039, Sheet3!$C$2:$C$1224&amp;Sheet3!$B$2:$B$1224, Sheet3!$D$2:$D$1224, "")</f>
        <v/>
      </c>
      <c r="G1039" s="1" t="str" cm="1">
        <f t="array" ref="G1039">_xlfn.XLOOKUP(D1039&amp;C1039, Sheet2!$A$2:$A$558&amp;Sheet2!$B$2:$B$558, Sheet2!$C$2:$C$558, "")</f>
        <v/>
      </c>
      <c r="H1039" s="40" t="str">
        <f t="shared" si="16"/>
        <v/>
      </c>
    </row>
    <row r="1040" spans="1:8" ht="15.5" x14ac:dyDescent="0.35">
      <c r="A1040" s="7">
        <v>1039</v>
      </c>
      <c r="B1040" s="9">
        <v>18098</v>
      </c>
      <c r="C1040" s="32" t="s">
        <v>1002</v>
      </c>
      <c r="D1040" s="9" t="s">
        <v>1062</v>
      </c>
      <c r="E1040" s="10">
        <v>2000</v>
      </c>
      <c r="F1040" s="36" t="str" cm="1">
        <f t="array" ref="F1040">_xlfn.XLOOKUP(D1040&amp;C1040, Sheet3!$C$2:$C$1224&amp;Sheet3!$B$2:$B$1224, Sheet3!$D$2:$D$1224, "")</f>
        <v/>
      </c>
      <c r="G1040" s="1" t="str" cm="1">
        <f t="array" ref="G1040">_xlfn.XLOOKUP(D1040&amp;C1040, Sheet2!$A$2:$A$558&amp;Sheet2!$B$2:$B$558, Sheet2!$C$2:$C$558, "")</f>
        <v/>
      </c>
      <c r="H1040" s="40" t="str">
        <f t="shared" si="16"/>
        <v/>
      </c>
    </row>
    <row r="1041" spans="1:8" ht="15.5" x14ac:dyDescent="0.35">
      <c r="A1041" s="7">
        <v>1040</v>
      </c>
      <c r="B1041" s="9">
        <v>18902</v>
      </c>
      <c r="C1041" s="32" t="s">
        <v>1003</v>
      </c>
      <c r="D1041" s="9" t="s">
        <v>1073</v>
      </c>
      <c r="E1041" s="10">
        <v>2000</v>
      </c>
      <c r="F1041" s="36" t="str" cm="1">
        <f t="array" ref="F1041">_xlfn.XLOOKUP(D1041&amp;C1041, Sheet3!$C$2:$C$1224&amp;Sheet3!$B$2:$B$1224, Sheet3!$D$2:$D$1224, "")</f>
        <v>ya2abid@yahoo.co.id</v>
      </c>
      <c r="G1041" s="1" t="str" cm="1">
        <f t="array" ref="G1041">_xlfn.XLOOKUP(D1041&amp;C1041, Sheet2!$A$2:$A$558&amp;Sheet2!$B$2:$B$558, Sheet2!$C$2:$C$558, "")</f>
        <v/>
      </c>
      <c r="H1041" s="40" t="str">
        <f t="shared" si="16"/>
        <v>ya2abid@yahoo.co.id</v>
      </c>
    </row>
    <row r="1042" spans="1:8" ht="15.5" x14ac:dyDescent="0.35">
      <c r="A1042" s="7">
        <v>1041</v>
      </c>
      <c r="B1042" s="9">
        <v>20164</v>
      </c>
      <c r="C1042" s="32" t="s">
        <v>5901</v>
      </c>
      <c r="D1042" s="9" t="s">
        <v>1074</v>
      </c>
      <c r="E1042" s="10">
        <v>2000</v>
      </c>
      <c r="F1042" s="36" t="str" cm="1">
        <f t="array" ref="F1042">_xlfn.XLOOKUP(D1042&amp;C1042, Sheet3!$C$2:$C$1224&amp;Sheet3!$B$2:$B$1224, Sheet3!$D$2:$D$1224, "")</f>
        <v>bachtiar.syamsu@gmail.com</v>
      </c>
      <c r="G1042" s="1" t="str" cm="1">
        <f t="array" ref="G1042">_xlfn.XLOOKUP(D1042&amp;C1042, Sheet2!$A$2:$A$558&amp;Sheet2!$B$2:$B$558, Sheet2!$C$2:$C$558, "")</f>
        <v>bachtiar.syamsu@gmail.com</v>
      </c>
      <c r="H1042" s="40" t="str">
        <f t="shared" si="16"/>
        <v>bachtiar.syamsu@gmail.com</v>
      </c>
    </row>
    <row r="1043" spans="1:8" ht="15.5" x14ac:dyDescent="0.35">
      <c r="A1043" s="7">
        <v>1042</v>
      </c>
      <c r="B1043" s="9">
        <v>20217</v>
      </c>
      <c r="C1043" s="32" t="s">
        <v>1004</v>
      </c>
      <c r="D1043" s="9" t="s">
        <v>1074</v>
      </c>
      <c r="E1043" s="10">
        <v>2000</v>
      </c>
      <c r="F1043" s="36" t="str" cm="1">
        <f t="array" ref="F1043">_xlfn.XLOOKUP(D1043&amp;C1043, Sheet3!$C$2:$C$1224&amp;Sheet3!$B$2:$B$1224, Sheet3!$D$2:$D$1224, "")</f>
        <v>erlinesetyawati76@gmail.com</v>
      </c>
      <c r="G1043" s="1" t="str" cm="1">
        <f t="array" ref="G1043">_xlfn.XLOOKUP(D1043&amp;C1043, Sheet2!$A$2:$A$558&amp;Sheet2!$B$2:$B$558, Sheet2!$C$2:$C$558, "")</f>
        <v/>
      </c>
      <c r="H1043" s="40" t="str">
        <f t="shared" si="16"/>
        <v>erlinesetyawati76@gmail.com</v>
      </c>
    </row>
    <row r="1044" spans="1:8" ht="15.5" x14ac:dyDescent="0.35">
      <c r="A1044" s="7">
        <v>1043</v>
      </c>
      <c r="B1044" s="9">
        <v>20284</v>
      </c>
      <c r="C1044" s="32" t="s">
        <v>1005</v>
      </c>
      <c r="D1044" s="9" t="s">
        <v>1074</v>
      </c>
      <c r="E1044" s="10">
        <v>2000</v>
      </c>
      <c r="F1044" s="36" t="str" cm="1">
        <f t="array" ref="F1044">_xlfn.XLOOKUP(D1044&amp;C1044, Sheet3!$C$2:$C$1224&amp;Sheet3!$B$2:$B$1224, Sheet3!$D$2:$D$1224, "")</f>
        <v/>
      </c>
      <c r="G1044" s="1" t="str" cm="1">
        <f t="array" ref="G1044">_xlfn.XLOOKUP(D1044&amp;C1044, Sheet2!$A$2:$A$558&amp;Sheet2!$B$2:$B$558, Sheet2!$C$2:$C$558, "")</f>
        <v/>
      </c>
      <c r="H1044" s="40" t="str">
        <f t="shared" si="16"/>
        <v/>
      </c>
    </row>
    <row r="1045" spans="1:8" ht="15.5" x14ac:dyDescent="0.35">
      <c r="A1045" s="7">
        <v>1044</v>
      </c>
      <c r="B1045" s="9">
        <v>19600</v>
      </c>
      <c r="C1045" s="32" t="s">
        <v>1006</v>
      </c>
      <c r="D1045" s="9" t="s">
        <v>1074</v>
      </c>
      <c r="E1045" s="10">
        <v>2000</v>
      </c>
      <c r="F1045" s="36" t="str" cm="1">
        <f t="array" ref="F1045">_xlfn.XLOOKUP(D1045&amp;C1045, Sheet3!$C$2:$C$1224&amp;Sheet3!$B$2:$B$1224, Sheet3!$D$2:$D$1224, "")</f>
        <v>zanauf@gmail.com</v>
      </c>
      <c r="G1045" s="1" t="str" cm="1">
        <f t="array" ref="G1045">_xlfn.XLOOKUP(D1045&amp;C1045, Sheet2!$A$2:$A$558&amp;Sheet2!$B$2:$B$558, Sheet2!$C$2:$C$558, "")</f>
        <v/>
      </c>
      <c r="H1045" s="40" t="str">
        <f t="shared" si="16"/>
        <v>zanauf@gmail.com</v>
      </c>
    </row>
    <row r="1046" spans="1:8" ht="15.5" x14ac:dyDescent="0.35">
      <c r="A1046" s="7">
        <v>1045</v>
      </c>
      <c r="B1046" s="9">
        <v>19515</v>
      </c>
      <c r="C1046" s="32" t="s">
        <v>1007</v>
      </c>
      <c r="D1046" s="9" t="s">
        <v>1074</v>
      </c>
      <c r="E1046" s="10">
        <v>2000</v>
      </c>
      <c r="F1046" s="36" t="str" cm="1">
        <f t="array" ref="F1046">_xlfn.XLOOKUP(D1046&amp;C1046, Sheet3!$C$2:$C$1224&amp;Sheet3!$B$2:$B$1224, Sheet3!$D$2:$D$1224, "")</f>
        <v/>
      </c>
      <c r="G1046" s="1" t="str" cm="1">
        <f t="array" ref="G1046">_xlfn.XLOOKUP(D1046&amp;C1046, Sheet2!$A$2:$A$558&amp;Sheet2!$B$2:$B$558, Sheet2!$C$2:$C$558, "")</f>
        <v/>
      </c>
      <c r="H1046" s="40" t="str">
        <f t="shared" si="16"/>
        <v/>
      </c>
    </row>
    <row r="1047" spans="1:8" ht="15.5" x14ac:dyDescent="0.35">
      <c r="A1047" s="7">
        <v>1046</v>
      </c>
      <c r="B1047" s="9">
        <v>20162</v>
      </c>
      <c r="C1047" s="32" t="s">
        <v>1008</v>
      </c>
      <c r="D1047" s="9" t="s">
        <v>1074</v>
      </c>
      <c r="E1047" s="10">
        <v>2000</v>
      </c>
      <c r="F1047" s="36" t="str" cm="1">
        <f t="array" ref="F1047">_xlfn.XLOOKUP(D1047&amp;C1047, Sheet3!$C$2:$C$1224&amp;Sheet3!$B$2:$B$1224, Sheet3!$D$2:$D$1224, "")</f>
        <v>doni_a@yahoo.com</v>
      </c>
      <c r="G1047" s="1" t="str" cm="1">
        <f t="array" ref="G1047">_xlfn.XLOOKUP(D1047&amp;C1047, Sheet2!$A$2:$A$558&amp;Sheet2!$B$2:$B$558, Sheet2!$C$2:$C$558, "")</f>
        <v/>
      </c>
      <c r="H1047" s="40" t="str">
        <f t="shared" si="16"/>
        <v>doni_a@yahoo.com</v>
      </c>
    </row>
    <row r="1048" spans="1:8" ht="15.5" x14ac:dyDescent="0.35">
      <c r="A1048" s="7">
        <v>1047</v>
      </c>
      <c r="B1048" s="9">
        <v>19661</v>
      </c>
      <c r="C1048" s="32" t="s">
        <v>1009</v>
      </c>
      <c r="D1048" s="9" t="s">
        <v>1074</v>
      </c>
      <c r="E1048" s="10">
        <v>2000</v>
      </c>
      <c r="F1048" s="36" t="str" cm="1">
        <f t="array" ref="F1048">_xlfn.XLOOKUP(D1048&amp;C1048, Sheet3!$C$2:$C$1224&amp;Sheet3!$B$2:$B$1224, Sheet3!$D$2:$D$1224, "")</f>
        <v/>
      </c>
      <c r="G1048" s="1" t="str" cm="1">
        <f t="array" ref="G1048">_xlfn.XLOOKUP(D1048&amp;C1048, Sheet2!$A$2:$A$558&amp;Sheet2!$B$2:$B$558, Sheet2!$C$2:$C$558, "")</f>
        <v/>
      </c>
      <c r="H1048" s="40" t="str">
        <f t="shared" si="16"/>
        <v/>
      </c>
    </row>
    <row r="1049" spans="1:8" ht="15.5" x14ac:dyDescent="0.35">
      <c r="A1049" s="7">
        <v>1048</v>
      </c>
      <c r="B1049" s="9">
        <v>19848</v>
      </c>
      <c r="C1049" s="32" t="s">
        <v>1010</v>
      </c>
      <c r="D1049" s="9" t="s">
        <v>1074</v>
      </c>
      <c r="E1049" s="10">
        <v>2000</v>
      </c>
      <c r="F1049" s="36" t="str" cm="1">
        <f t="array" ref="F1049">_xlfn.XLOOKUP(D1049&amp;C1049, Sheet3!$C$2:$C$1224&amp;Sheet3!$B$2:$B$1224, Sheet3!$D$2:$D$1224, "")</f>
        <v>qisthi.amarona@gmail.com</v>
      </c>
      <c r="G1049" s="1" t="str" cm="1">
        <f t="array" ref="G1049">_xlfn.XLOOKUP(D1049&amp;C1049, Sheet2!$A$2:$A$558&amp;Sheet2!$B$2:$B$558, Sheet2!$C$2:$C$558, "")</f>
        <v>qisthi.amarona@gmail.com</v>
      </c>
      <c r="H1049" s="40" t="str">
        <f t="shared" si="16"/>
        <v>qisthi.amarona@gmail.com</v>
      </c>
    </row>
    <row r="1050" spans="1:8" ht="15.5" x14ac:dyDescent="0.35">
      <c r="A1050" s="7">
        <v>1049</v>
      </c>
      <c r="B1050" s="9">
        <v>20080</v>
      </c>
      <c r="C1050" s="32" t="s">
        <v>1011</v>
      </c>
      <c r="D1050" s="9" t="s">
        <v>1074</v>
      </c>
      <c r="E1050" s="10">
        <v>2000</v>
      </c>
      <c r="F1050" s="36" t="str" cm="1">
        <f t="array" ref="F1050">_xlfn.XLOOKUP(D1050&amp;C1050, Sheet3!$C$2:$C$1224&amp;Sheet3!$B$2:$B$1224, Sheet3!$D$2:$D$1224, "")</f>
        <v>Widiapidianto2@gmail.com</v>
      </c>
      <c r="G1050" s="1" t="str" cm="1">
        <f t="array" ref="G1050">_xlfn.XLOOKUP(D1050&amp;C1050, Sheet2!$A$2:$A$558&amp;Sheet2!$B$2:$B$558, Sheet2!$C$2:$C$558, "")</f>
        <v>widiapidianto@gmail.com</v>
      </c>
      <c r="H1050" s="40" t="str">
        <f t="shared" si="16"/>
        <v>Widiapidianto2@gmail.com</v>
      </c>
    </row>
    <row r="1051" spans="1:8" ht="15.5" x14ac:dyDescent="0.35">
      <c r="A1051" s="7">
        <v>1050</v>
      </c>
      <c r="B1051" s="9">
        <v>18898</v>
      </c>
      <c r="C1051" s="32" t="s">
        <v>1012</v>
      </c>
      <c r="D1051" s="9" t="s">
        <v>1073</v>
      </c>
      <c r="E1051" s="10">
        <v>2000</v>
      </c>
      <c r="F1051" s="36" t="str" cm="1">
        <f t="array" ref="F1051">_xlfn.XLOOKUP(D1051&amp;C1051, Sheet3!$C$2:$C$1224&amp;Sheet3!$B$2:$B$1224, Sheet3!$D$2:$D$1224, "")</f>
        <v>dahlina.nhw@gmail.com</v>
      </c>
      <c r="G1051" s="1" t="str" cm="1">
        <f t="array" ref="G1051">_xlfn.XLOOKUP(D1051&amp;C1051, Sheet2!$A$2:$A$558&amp;Sheet2!$B$2:$B$558, Sheet2!$C$2:$C$558, "")</f>
        <v/>
      </c>
      <c r="H1051" s="40" t="str">
        <f t="shared" si="16"/>
        <v>dahlina.nhw@gmail.com</v>
      </c>
    </row>
    <row r="1052" spans="1:8" ht="15.5" x14ac:dyDescent="0.35">
      <c r="A1052" s="7">
        <v>1051</v>
      </c>
      <c r="B1052" s="9">
        <v>19726</v>
      </c>
      <c r="C1052" s="32" t="s">
        <v>1013</v>
      </c>
      <c r="D1052" s="9" t="s">
        <v>1074</v>
      </c>
      <c r="E1052" s="10">
        <v>2000</v>
      </c>
      <c r="F1052" s="36" t="str" cm="1">
        <f t="array" ref="F1052">_xlfn.XLOOKUP(D1052&amp;C1052, Sheet3!$C$2:$C$1224&amp;Sheet3!$B$2:$B$1224, Sheet3!$D$2:$D$1224, "")</f>
        <v/>
      </c>
      <c r="G1052" s="1" t="str" cm="1">
        <f t="array" ref="G1052">_xlfn.XLOOKUP(D1052&amp;C1052, Sheet2!$A$2:$A$558&amp;Sheet2!$B$2:$B$558, Sheet2!$C$2:$C$558, "")</f>
        <v/>
      </c>
      <c r="H1052" s="40" t="str">
        <f t="shared" si="16"/>
        <v/>
      </c>
    </row>
    <row r="1053" spans="1:8" ht="15.5" x14ac:dyDescent="0.35">
      <c r="A1053" s="7">
        <v>1052</v>
      </c>
      <c r="B1053" s="9">
        <v>19958</v>
      </c>
      <c r="C1053" s="32" t="s">
        <v>5874</v>
      </c>
      <c r="D1053" s="9" t="s">
        <v>1074</v>
      </c>
      <c r="E1053" s="10">
        <v>2000</v>
      </c>
      <c r="F1053" s="36" t="str" cm="1">
        <f t="array" ref="F1053">_xlfn.XLOOKUP(D1053&amp;C1053, Sheet3!$C$2:$C$1224&amp;Sheet3!$B$2:$B$1224, Sheet3!$D$2:$D$1224, "")</f>
        <v/>
      </c>
      <c r="G1053" s="1" t="str" cm="1">
        <f t="array" ref="G1053">_xlfn.XLOOKUP(D1053&amp;C1053, Sheet2!$A$2:$A$558&amp;Sheet2!$B$2:$B$558, Sheet2!$C$2:$C$558, "")</f>
        <v>andhi.mak@gmail.com</v>
      </c>
      <c r="H1053" s="40" t="str">
        <f t="shared" si="16"/>
        <v>andhi.mak@gmail.com</v>
      </c>
    </row>
    <row r="1054" spans="1:8" ht="15.5" x14ac:dyDescent="0.35">
      <c r="A1054" s="7">
        <v>1053</v>
      </c>
      <c r="B1054" s="9">
        <v>20060</v>
      </c>
      <c r="C1054" s="32" t="s">
        <v>1015</v>
      </c>
      <c r="D1054" s="9" t="s">
        <v>1074</v>
      </c>
      <c r="E1054" s="10">
        <v>2000</v>
      </c>
      <c r="F1054" s="36" t="str" cm="1">
        <f t="array" ref="F1054">_xlfn.XLOOKUP(D1054&amp;C1054, Sheet3!$C$2:$C$1224&amp;Sheet3!$B$2:$B$1224, Sheet3!$D$2:$D$1224, "")</f>
        <v>hakim.attigholy@gmail.com</v>
      </c>
      <c r="G1054" s="1" t="str" cm="1">
        <f t="array" ref="G1054">_xlfn.XLOOKUP(D1054&amp;C1054, Sheet2!$A$2:$A$558&amp;Sheet2!$B$2:$B$558, Sheet2!$C$2:$C$558, "")</f>
        <v/>
      </c>
      <c r="H1054" s="40" t="str">
        <f t="shared" si="16"/>
        <v>hakim.attigholy@gmail.com</v>
      </c>
    </row>
    <row r="1055" spans="1:8" ht="15.5" x14ac:dyDescent="0.35">
      <c r="A1055" s="7">
        <v>1054</v>
      </c>
      <c r="B1055" s="9">
        <v>19908</v>
      </c>
      <c r="C1055" s="32" t="s">
        <v>1016</v>
      </c>
      <c r="D1055" s="9" t="s">
        <v>1074</v>
      </c>
      <c r="E1055" s="10">
        <v>2000</v>
      </c>
      <c r="F1055" s="36" t="str" cm="1">
        <f t="array" ref="F1055">_xlfn.XLOOKUP(D1055&amp;C1055, Sheet3!$C$2:$C$1224&amp;Sheet3!$B$2:$B$1224, Sheet3!$D$2:$D$1224, "")</f>
        <v/>
      </c>
      <c r="G1055" s="1" t="str" cm="1">
        <f t="array" ref="G1055">_xlfn.XLOOKUP(D1055&amp;C1055, Sheet2!$A$2:$A$558&amp;Sheet2!$B$2:$B$558, Sheet2!$C$2:$C$558, "")</f>
        <v/>
      </c>
      <c r="H1055" s="40" t="str">
        <f t="shared" si="16"/>
        <v/>
      </c>
    </row>
    <row r="1056" spans="1:8" ht="15.5" x14ac:dyDescent="0.35">
      <c r="A1056" s="7">
        <v>1055</v>
      </c>
      <c r="B1056" s="9">
        <v>19682</v>
      </c>
      <c r="C1056" s="32" t="s">
        <v>1017</v>
      </c>
      <c r="D1056" s="9" t="s">
        <v>1074</v>
      </c>
      <c r="E1056" s="10">
        <v>2000</v>
      </c>
      <c r="F1056" s="36" t="str" cm="1">
        <f t="array" ref="F1056">_xlfn.XLOOKUP(D1056&amp;C1056, Sheet3!$C$2:$C$1224&amp;Sheet3!$B$2:$B$1224, Sheet3!$D$2:$D$1224, "")</f>
        <v>dwisupriyanto.202051004@gmail.com</v>
      </c>
      <c r="G1056" s="1" t="str" cm="1">
        <f t="array" ref="G1056">_xlfn.XLOOKUP(D1056&amp;C1056, Sheet2!$A$2:$A$558&amp;Sheet2!$B$2:$B$558, Sheet2!$C$2:$C$558, "")</f>
        <v/>
      </c>
      <c r="H1056" s="40" t="str">
        <f t="shared" si="16"/>
        <v>dwisupriyanto.202051004@gmail.com</v>
      </c>
    </row>
    <row r="1057" spans="1:8" ht="15.5" x14ac:dyDescent="0.35">
      <c r="A1057" s="7">
        <v>1056</v>
      </c>
      <c r="B1057" s="9">
        <v>18686</v>
      </c>
      <c r="C1057" s="32" t="s">
        <v>1018</v>
      </c>
      <c r="D1057" s="9" t="s">
        <v>1072</v>
      </c>
      <c r="E1057" s="10">
        <v>2000</v>
      </c>
      <c r="F1057" s="36" t="str" cm="1">
        <f t="array" ref="F1057">_xlfn.XLOOKUP(D1057&amp;C1057, Sheet3!$C$2:$C$1224&amp;Sheet3!$B$2:$B$1224, Sheet3!$D$2:$D$1224, "")</f>
        <v/>
      </c>
      <c r="G1057" s="1" t="str" cm="1">
        <f t="array" ref="G1057">_xlfn.XLOOKUP(D1057&amp;C1057, Sheet2!$A$2:$A$558&amp;Sheet2!$B$2:$B$558, Sheet2!$C$2:$C$558, "")</f>
        <v/>
      </c>
      <c r="H1057" s="40" t="str">
        <f t="shared" si="16"/>
        <v/>
      </c>
    </row>
    <row r="1058" spans="1:8" ht="15.5" x14ac:dyDescent="0.35">
      <c r="A1058" s="7">
        <v>1057</v>
      </c>
      <c r="B1058" s="9">
        <v>17605</v>
      </c>
      <c r="C1058" s="32" t="s">
        <v>1019</v>
      </c>
      <c r="D1058" s="9" t="s">
        <v>1062</v>
      </c>
      <c r="E1058" s="10">
        <v>2000</v>
      </c>
      <c r="F1058" s="36" t="str" cm="1">
        <f t="array" ref="F1058">_xlfn.XLOOKUP(D1058&amp;C1058, Sheet3!$C$2:$C$1224&amp;Sheet3!$B$2:$B$1224, Sheet3!$D$2:$D$1224, "")</f>
        <v/>
      </c>
      <c r="G1058" s="1" t="str" cm="1">
        <f t="array" ref="G1058">_xlfn.XLOOKUP(D1058&amp;C1058, Sheet2!$A$2:$A$558&amp;Sheet2!$B$2:$B$558, Sheet2!$C$2:$C$558, "")</f>
        <v/>
      </c>
      <c r="H1058" s="40" t="str">
        <f t="shared" si="16"/>
        <v/>
      </c>
    </row>
    <row r="1059" spans="1:8" ht="15.5" x14ac:dyDescent="0.35">
      <c r="A1059" s="7">
        <v>1058</v>
      </c>
      <c r="B1059" s="9">
        <v>17436</v>
      </c>
      <c r="C1059" s="32" t="s">
        <v>1020</v>
      </c>
      <c r="D1059" s="9" t="s">
        <v>1071</v>
      </c>
      <c r="E1059" s="10">
        <v>2000</v>
      </c>
      <c r="F1059" s="36" t="str" cm="1">
        <f t="array" ref="F1059">_xlfn.XLOOKUP(D1059&amp;C1059, Sheet3!$C$2:$C$1224&amp;Sheet3!$B$2:$B$1224, Sheet3!$D$2:$D$1224, "")</f>
        <v>atrimartanto73@gmail.com</v>
      </c>
      <c r="G1059" s="1" t="str" cm="1">
        <f t="array" ref="G1059">_xlfn.XLOOKUP(D1059&amp;C1059, Sheet2!$A$2:$A$558&amp;Sheet2!$B$2:$B$558, Sheet2!$C$2:$C$558, "")</f>
        <v>a_trimartanto@yahoo.com</v>
      </c>
      <c r="H1059" s="40" t="str">
        <f t="shared" si="16"/>
        <v>atrimartanto73@gmail.com</v>
      </c>
    </row>
    <row r="1060" spans="1:8" ht="15.5" x14ac:dyDescent="0.35">
      <c r="A1060" s="7">
        <v>1059</v>
      </c>
      <c r="B1060" s="9">
        <v>19797</v>
      </c>
      <c r="C1060" s="32" t="s">
        <v>1021</v>
      </c>
      <c r="D1060" s="9" t="s">
        <v>1074</v>
      </c>
      <c r="E1060" s="10">
        <v>2000</v>
      </c>
      <c r="F1060" s="36" t="str" cm="1">
        <f t="array" ref="F1060">_xlfn.XLOOKUP(D1060&amp;C1060, Sheet3!$C$2:$C$1224&amp;Sheet3!$B$2:$B$1224, Sheet3!$D$2:$D$1224, "")</f>
        <v/>
      </c>
      <c r="G1060" s="1" t="str" cm="1">
        <f t="array" ref="G1060">_xlfn.XLOOKUP(D1060&amp;C1060, Sheet2!$A$2:$A$558&amp;Sheet2!$B$2:$B$558, Sheet2!$C$2:$C$558, "")</f>
        <v/>
      </c>
      <c r="H1060" s="40" t="str">
        <f t="shared" si="16"/>
        <v/>
      </c>
    </row>
    <row r="1061" spans="1:8" ht="15.5" x14ac:dyDescent="0.35">
      <c r="A1061" s="7">
        <v>1060</v>
      </c>
      <c r="B1061" s="9">
        <v>19846</v>
      </c>
      <c r="C1061" s="32" t="s">
        <v>1022</v>
      </c>
      <c r="D1061" s="9" t="s">
        <v>1074</v>
      </c>
      <c r="E1061" s="10">
        <v>2000</v>
      </c>
      <c r="F1061" s="36" t="str" cm="1">
        <f t="array" ref="F1061">_xlfn.XLOOKUP(D1061&amp;C1061, Sheet3!$C$2:$C$1224&amp;Sheet3!$B$2:$B$1224, Sheet3!$D$2:$D$1224, "")</f>
        <v>komangwir27@gmail.com</v>
      </c>
      <c r="G1061" s="1" t="str" cm="1">
        <f t="array" ref="G1061">_xlfn.XLOOKUP(D1061&amp;C1061, Sheet2!$A$2:$A$558&amp;Sheet2!$B$2:$B$558, Sheet2!$C$2:$C$558, "")</f>
        <v/>
      </c>
      <c r="H1061" s="40" t="str">
        <f t="shared" si="16"/>
        <v>komangwir27@gmail.com</v>
      </c>
    </row>
    <row r="1062" spans="1:8" ht="15.5" x14ac:dyDescent="0.35">
      <c r="A1062" s="7">
        <v>1061</v>
      </c>
      <c r="B1062" s="9">
        <v>18682</v>
      </c>
      <c r="C1062" s="32" t="s">
        <v>1023</v>
      </c>
      <c r="D1062" s="9" t="s">
        <v>1072</v>
      </c>
      <c r="E1062" s="10">
        <v>2000</v>
      </c>
      <c r="F1062" s="36" t="str" cm="1">
        <f t="array" ref="F1062">_xlfn.XLOOKUP(D1062&amp;C1062, Sheet3!$C$2:$C$1224&amp;Sheet3!$B$2:$B$1224, Sheet3!$D$2:$D$1224, "")</f>
        <v/>
      </c>
      <c r="G1062" s="1" t="str" cm="1">
        <f t="array" ref="G1062">_xlfn.XLOOKUP(D1062&amp;C1062, Sheet2!$A$2:$A$558&amp;Sheet2!$B$2:$B$558, Sheet2!$C$2:$C$558, "")</f>
        <v/>
      </c>
      <c r="H1062" s="40" t="str">
        <f t="shared" si="16"/>
        <v/>
      </c>
    </row>
    <row r="1063" spans="1:8" ht="15.5" x14ac:dyDescent="0.35">
      <c r="A1063" s="7">
        <v>1062</v>
      </c>
      <c r="B1063" s="9">
        <v>20020</v>
      </c>
      <c r="C1063" s="32" t="s">
        <v>1024</v>
      </c>
      <c r="D1063" s="9" t="s">
        <v>1074</v>
      </c>
      <c r="E1063" s="10">
        <v>2000</v>
      </c>
      <c r="F1063" s="36" t="str" cm="1">
        <f t="array" ref="F1063">_xlfn.XLOOKUP(D1063&amp;C1063, Sheet3!$C$2:$C$1224&amp;Sheet3!$B$2:$B$1224, Sheet3!$D$2:$D$1224, "")</f>
        <v>Udientajudien@gmail.com</v>
      </c>
      <c r="G1063" s="1" t="str" cm="1">
        <f t="array" ref="G1063">_xlfn.XLOOKUP(D1063&amp;C1063, Sheet2!$A$2:$A$558&amp;Sheet2!$B$2:$B$558, Sheet2!$C$2:$C$558, "")</f>
        <v/>
      </c>
      <c r="H1063" s="40" t="str">
        <f t="shared" si="16"/>
        <v>Udientajudien@gmail.com</v>
      </c>
    </row>
    <row r="1064" spans="1:8" ht="15.5" x14ac:dyDescent="0.35">
      <c r="A1064" s="7">
        <v>1063</v>
      </c>
      <c r="B1064" s="9">
        <v>18903</v>
      </c>
      <c r="C1064" s="32" t="s">
        <v>1025</v>
      </c>
      <c r="D1064" s="9" t="s">
        <v>1073</v>
      </c>
      <c r="E1064" s="10">
        <v>2000</v>
      </c>
      <c r="F1064" s="36" t="str" cm="1">
        <f t="array" ref="F1064">_xlfn.XLOOKUP(D1064&amp;C1064, Sheet3!$C$2:$C$1224&amp;Sheet3!$B$2:$B$1224, Sheet3!$D$2:$D$1224, "")</f>
        <v/>
      </c>
      <c r="G1064" s="1" t="str" cm="1">
        <f t="array" ref="G1064">_xlfn.XLOOKUP(D1064&amp;C1064, Sheet2!$A$2:$A$558&amp;Sheet2!$B$2:$B$558, Sheet2!$C$2:$C$558, "")</f>
        <v/>
      </c>
      <c r="H1064" s="40" t="str">
        <f t="shared" si="16"/>
        <v/>
      </c>
    </row>
    <row r="1065" spans="1:8" ht="15.5" x14ac:dyDescent="0.35">
      <c r="A1065" s="7">
        <v>1064</v>
      </c>
      <c r="B1065" s="9">
        <v>17437</v>
      </c>
      <c r="C1065" s="32" t="s">
        <v>1026</v>
      </c>
      <c r="D1065" s="9" t="s">
        <v>1071</v>
      </c>
      <c r="E1065" s="10">
        <v>2000</v>
      </c>
      <c r="F1065" s="36" t="str" cm="1">
        <f t="array" ref="F1065">_xlfn.XLOOKUP(D1065&amp;C1065, Sheet3!$C$2:$C$1224&amp;Sheet3!$B$2:$B$1224, Sheet3!$D$2:$D$1224, "")</f>
        <v>djonikisworo@gmail.com</v>
      </c>
      <c r="G1065" s="1" t="str" cm="1">
        <f t="array" ref="G1065">_xlfn.XLOOKUP(D1065&amp;C1065, Sheet2!$A$2:$A$558&amp;Sheet2!$B$2:$B$558, Sheet2!$C$2:$C$558, "")</f>
        <v/>
      </c>
      <c r="H1065" s="40" t="str">
        <f t="shared" si="16"/>
        <v>djonikisworo@gmail.com</v>
      </c>
    </row>
    <row r="1066" spans="1:8" ht="15.5" x14ac:dyDescent="0.35">
      <c r="A1066" s="7">
        <v>1065</v>
      </c>
      <c r="B1066" s="9">
        <v>19751</v>
      </c>
      <c r="C1066" s="32" t="s">
        <v>1027</v>
      </c>
      <c r="D1066" s="9" t="s">
        <v>1074</v>
      </c>
      <c r="E1066" s="10">
        <v>2000</v>
      </c>
      <c r="F1066" s="36" t="str" cm="1">
        <f t="array" ref="F1066">_xlfn.XLOOKUP(D1066&amp;C1066, Sheet3!$C$2:$C$1224&amp;Sheet3!$B$2:$B$1224, Sheet3!$D$2:$D$1224, "")</f>
        <v/>
      </c>
      <c r="G1066" s="1" t="str" cm="1">
        <f t="array" ref="G1066">_xlfn.XLOOKUP(D1066&amp;C1066, Sheet2!$A$2:$A$558&amp;Sheet2!$B$2:$B$558, Sheet2!$C$2:$C$558, "")</f>
        <v/>
      </c>
      <c r="H1066" s="40" t="str">
        <f t="shared" si="16"/>
        <v/>
      </c>
    </row>
    <row r="1067" spans="1:8" ht="15.5" x14ac:dyDescent="0.35">
      <c r="A1067" s="7">
        <v>1066</v>
      </c>
      <c r="B1067" s="9">
        <v>20133</v>
      </c>
      <c r="C1067" s="32" t="s">
        <v>1028</v>
      </c>
      <c r="D1067" s="9" t="s">
        <v>1074</v>
      </c>
      <c r="E1067" s="10">
        <v>2000</v>
      </c>
      <c r="F1067" s="36" t="str" cm="1">
        <f t="array" ref="F1067">_xlfn.XLOOKUP(D1067&amp;C1067, Sheet3!$C$2:$C$1224&amp;Sheet3!$B$2:$B$1224, Sheet3!$D$2:$D$1224, "")</f>
        <v>cnugross@gmail.com</v>
      </c>
      <c r="G1067" s="1" t="str" cm="1">
        <f t="array" ref="G1067">_xlfn.XLOOKUP(D1067&amp;C1067, Sheet2!$A$2:$A$558&amp;Sheet2!$B$2:$B$558, Sheet2!$C$2:$C$558, "")</f>
        <v>cnugross@gmail.com</v>
      </c>
      <c r="H1067" s="40" t="str">
        <f t="shared" si="16"/>
        <v>cnugross@gmail.com</v>
      </c>
    </row>
    <row r="1068" spans="1:8" ht="15.5" x14ac:dyDescent="0.35">
      <c r="A1068" s="7">
        <v>1067</v>
      </c>
      <c r="B1068" s="9">
        <v>18082</v>
      </c>
      <c r="C1068" s="32" t="s">
        <v>1029</v>
      </c>
      <c r="D1068" s="9" t="s">
        <v>1062</v>
      </c>
      <c r="E1068" s="10">
        <v>2000</v>
      </c>
      <c r="F1068" s="36" t="str" cm="1">
        <f t="array" ref="F1068">_xlfn.XLOOKUP(D1068&amp;C1068, Sheet3!$C$2:$C$1224&amp;Sheet3!$B$2:$B$1224, Sheet3!$D$2:$D$1224, "")</f>
        <v>hery.hariyanto19@gmail.com</v>
      </c>
      <c r="G1068" s="1" t="str" cm="1">
        <f t="array" ref="G1068">_xlfn.XLOOKUP(D1068&amp;C1068, Sheet2!$A$2:$A$558&amp;Sheet2!$B$2:$B$558, Sheet2!$C$2:$C$558, "")</f>
        <v/>
      </c>
      <c r="H1068" s="40" t="str">
        <f t="shared" si="16"/>
        <v>hery.hariyanto19@gmail.com</v>
      </c>
    </row>
    <row r="1069" spans="1:8" ht="15.5" x14ac:dyDescent="0.35">
      <c r="A1069" s="7">
        <v>1068</v>
      </c>
      <c r="B1069" s="9">
        <v>19512</v>
      </c>
      <c r="C1069" s="32" t="s">
        <v>1030</v>
      </c>
      <c r="D1069" s="9" t="s">
        <v>1074</v>
      </c>
      <c r="E1069" s="10">
        <v>2000</v>
      </c>
      <c r="F1069" s="36" t="str" cm="1">
        <f t="array" ref="F1069">_xlfn.XLOOKUP(D1069&amp;C1069, Sheet3!$C$2:$C$1224&amp;Sheet3!$B$2:$B$1224, Sheet3!$D$2:$D$1224, "")</f>
        <v>dewigustanti05@gmail.com</v>
      </c>
      <c r="G1069" s="1" t="str" cm="1">
        <f t="array" ref="G1069">_xlfn.XLOOKUP(D1069&amp;C1069, Sheet2!$A$2:$A$558&amp;Sheet2!$B$2:$B$558, Sheet2!$C$2:$C$558, "")</f>
        <v/>
      </c>
      <c r="H1069" s="40" t="str">
        <f t="shared" si="16"/>
        <v>dewigustanti05@gmail.com</v>
      </c>
    </row>
    <row r="1070" spans="1:8" ht="15.5" x14ac:dyDescent="0.35">
      <c r="A1070" s="7">
        <v>1069</v>
      </c>
      <c r="B1070" s="9">
        <v>19817</v>
      </c>
      <c r="C1070" s="32" t="s">
        <v>1031</v>
      </c>
      <c r="D1070" s="9" t="s">
        <v>1074</v>
      </c>
      <c r="E1070" s="10">
        <v>2000</v>
      </c>
      <c r="F1070" s="36" t="str" cm="1">
        <f t="array" ref="F1070">_xlfn.XLOOKUP(D1070&amp;C1070, Sheet3!$C$2:$C$1224&amp;Sheet3!$B$2:$B$1224, Sheet3!$D$2:$D$1224, "")</f>
        <v/>
      </c>
      <c r="G1070" s="1" t="str" cm="1">
        <f t="array" ref="G1070">_xlfn.XLOOKUP(D1070&amp;C1070, Sheet2!$A$2:$A$558&amp;Sheet2!$B$2:$B$558, Sheet2!$C$2:$C$558, "")</f>
        <v/>
      </c>
      <c r="H1070" s="40" t="str">
        <f t="shared" si="16"/>
        <v/>
      </c>
    </row>
    <row r="1071" spans="1:8" ht="15.5" x14ac:dyDescent="0.35">
      <c r="A1071" s="7">
        <v>1070</v>
      </c>
      <c r="B1071" s="9">
        <v>20199</v>
      </c>
      <c r="C1071" s="32" t="s">
        <v>1032</v>
      </c>
      <c r="D1071" s="9" t="s">
        <v>1074</v>
      </c>
      <c r="E1071" s="10">
        <v>2000</v>
      </c>
      <c r="F1071" s="36" t="str" cm="1">
        <f t="array" ref="F1071">_xlfn.XLOOKUP(D1071&amp;C1071, Sheet3!$C$2:$C$1224&amp;Sheet3!$B$2:$B$1224, Sheet3!$D$2:$D$1224, "")</f>
        <v/>
      </c>
      <c r="G1071" s="1" t="str" cm="1">
        <f t="array" ref="G1071">_xlfn.XLOOKUP(D1071&amp;C1071, Sheet2!$A$2:$A$558&amp;Sheet2!$B$2:$B$558, Sheet2!$C$2:$C$558, "")</f>
        <v/>
      </c>
      <c r="H1071" s="40" t="str">
        <f t="shared" si="16"/>
        <v/>
      </c>
    </row>
    <row r="1072" spans="1:8" ht="15.5" x14ac:dyDescent="0.35">
      <c r="A1072" s="7">
        <v>1071</v>
      </c>
      <c r="B1072" s="9">
        <v>20799</v>
      </c>
      <c r="C1072" s="32" t="s">
        <v>1033</v>
      </c>
      <c r="D1072" s="9" t="s">
        <v>1075</v>
      </c>
      <c r="E1072" s="10">
        <v>2000</v>
      </c>
      <c r="F1072" s="36" t="str" cm="1">
        <f t="array" ref="F1072">_xlfn.XLOOKUP(D1072&amp;C1072, Sheet3!$C$2:$C$1224&amp;Sheet3!$B$2:$B$1224, Sheet3!$D$2:$D$1224, "")</f>
        <v>nieenaa@gmail.com</v>
      </c>
      <c r="G1072" s="1" t="str" cm="1">
        <f t="array" ref="G1072">_xlfn.XLOOKUP(D1072&amp;C1072, Sheet2!$A$2:$A$558&amp;Sheet2!$B$2:$B$558, Sheet2!$C$2:$C$558, "")</f>
        <v/>
      </c>
      <c r="H1072" s="40" t="str">
        <f t="shared" si="16"/>
        <v>nieenaa@gmail.com</v>
      </c>
    </row>
    <row r="1073" spans="1:8" ht="15.5" x14ac:dyDescent="0.35">
      <c r="A1073" s="7">
        <v>1072</v>
      </c>
      <c r="B1073" s="9">
        <v>20046</v>
      </c>
      <c r="C1073" s="32" t="s">
        <v>1034</v>
      </c>
      <c r="D1073" s="9" t="s">
        <v>1074</v>
      </c>
      <c r="E1073" s="10">
        <v>2000</v>
      </c>
      <c r="F1073" s="36" t="str" cm="1">
        <f t="array" ref="F1073">_xlfn.XLOOKUP(D1073&amp;C1073, Sheet3!$C$2:$C$1224&amp;Sheet3!$B$2:$B$1224, Sheet3!$D$2:$D$1224, "")</f>
        <v>yunimar77@gmail.com</v>
      </c>
      <c r="G1073" s="1" t="str" cm="1">
        <f t="array" ref="G1073">_xlfn.XLOOKUP(D1073&amp;C1073, Sheet2!$A$2:$A$558&amp;Sheet2!$B$2:$B$558, Sheet2!$C$2:$C$558, "")</f>
        <v/>
      </c>
      <c r="H1073" s="40" t="str">
        <f t="shared" si="16"/>
        <v>yunimar77@gmail.com</v>
      </c>
    </row>
    <row r="1074" spans="1:8" ht="15.5" x14ac:dyDescent="0.35">
      <c r="A1074" s="7">
        <v>1073</v>
      </c>
      <c r="B1074" s="9">
        <v>19667</v>
      </c>
      <c r="C1074" s="32" t="s">
        <v>1035</v>
      </c>
      <c r="D1074" s="9" t="s">
        <v>1074</v>
      </c>
      <c r="E1074" s="10">
        <v>2000</v>
      </c>
      <c r="F1074" s="36" t="str" cm="1">
        <f t="array" ref="F1074">_xlfn.XLOOKUP(D1074&amp;C1074, Sheet3!$C$2:$C$1224&amp;Sheet3!$B$2:$B$1224, Sheet3!$D$2:$D$1224, "")</f>
        <v/>
      </c>
      <c r="G1074" s="1" t="str" cm="1">
        <f t="array" ref="G1074">_xlfn.XLOOKUP(D1074&amp;C1074, Sheet2!$A$2:$A$558&amp;Sheet2!$B$2:$B$558, Sheet2!$C$2:$C$558, "")</f>
        <v/>
      </c>
      <c r="H1074" s="40" t="str">
        <f t="shared" si="16"/>
        <v/>
      </c>
    </row>
    <row r="1075" spans="1:8" ht="15.5" x14ac:dyDescent="0.35">
      <c r="A1075" s="7">
        <v>1074</v>
      </c>
      <c r="B1075" s="9">
        <v>17451</v>
      </c>
      <c r="C1075" s="32" t="s">
        <v>1036</v>
      </c>
      <c r="D1075" s="9" t="s">
        <v>1071</v>
      </c>
      <c r="E1075" s="10">
        <v>2000</v>
      </c>
      <c r="F1075" s="36" t="str" cm="1">
        <f t="array" ref="F1075">_xlfn.XLOOKUP(D1075&amp;C1075, Sheet3!$C$2:$C$1224&amp;Sheet3!$B$2:$B$1224, Sheet3!$D$2:$D$1224, "")</f>
        <v>nursigitpramanamail@gmail.com</v>
      </c>
      <c r="G1075" s="1" t="str" cm="1">
        <f t="array" ref="G1075">_xlfn.XLOOKUP(D1075&amp;C1075, Sheet2!$A$2:$A$558&amp;Sheet2!$B$2:$B$558, Sheet2!$C$2:$C$558, "")</f>
        <v/>
      </c>
      <c r="H1075" s="40" t="str">
        <f t="shared" si="16"/>
        <v>nursigitpramanamail@gmail.com</v>
      </c>
    </row>
    <row r="1076" spans="1:8" ht="15.5" x14ac:dyDescent="0.35">
      <c r="A1076" s="7">
        <v>1075</v>
      </c>
      <c r="B1076" s="9">
        <v>17068</v>
      </c>
      <c r="C1076" s="11" t="s">
        <v>1082</v>
      </c>
      <c r="D1076" s="9" t="s">
        <v>1071</v>
      </c>
      <c r="E1076" s="10">
        <v>2001</v>
      </c>
      <c r="F1076" s="36" t="str" cm="1">
        <f t="array" ref="F1076">_xlfn.XLOOKUP(D1076&amp;C1076, Sheet3!$C$2:$C$1224&amp;Sheet3!$B$2:$B$1224, Sheet3!$D$2:$D$1224, "")</f>
        <v>totoksumarianto005@gmail.com</v>
      </c>
      <c r="G1076" s="1" t="str" cm="1">
        <f t="array" ref="G1076">_xlfn.XLOOKUP(D1076&amp;C1076, Sheet2!$A$2:$A$558&amp;Sheet2!$B$2:$B$558, Sheet2!$C$2:$C$558, "")</f>
        <v/>
      </c>
      <c r="H1076" s="40" t="str">
        <f t="shared" si="16"/>
        <v>totoksumarianto005@gmail.com</v>
      </c>
    </row>
    <row r="1077" spans="1:8" ht="15.5" x14ac:dyDescent="0.35">
      <c r="A1077" s="7">
        <v>1076</v>
      </c>
      <c r="B1077" s="9">
        <v>17418</v>
      </c>
      <c r="C1077" s="11" t="s">
        <v>1083</v>
      </c>
      <c r="D1077" s="9" t="s">
        <v>1071</v>
      </c>
      <c r="E1077" s="10">
        <v>2001</v>
      </c>
      <c r="F1077" s="36" t="str" cm="1">
        <f t="array" ref="F1077">_xlfn.XLOOKUP(D1077&amp;C1077, Sheet3!$C$2:$C$1224&amp;Sheet3!$B$2:$B$1224, Sheet3!$D$2:$D$1224, "")</f>
        <v>yoez72@gmail.com</v>
      </c>
      <c r="G1077" s="1" t="str" cm="1">
        <f t="array" ref="G1077">_xlfn.XLOOKUP(D1077&amp;C1077, Sheet2!$A$2:$A$558&amp;Sheet2!$B$2:$B$558, Sheet2!$C$2:$C$558, "")</f>
        <v>yoez72@gmail.com</v>
      </c>
      <c r="H1077" s="40" t="str">
        <f t="shared" si="16"/>
        <v>yoez72@gmail.com</v>
      </c>
    </row>
    <row r="1078" spans="1:8" ht="15.5" x14ac:dyDescent="0.35">
      <c r="A1078" s="7">
        <v>1077</v>
      </c>
      <c r="B1078" s="9">
        <v>17458</v>
      </c>
      <c r="C1078" s="11" t="s">
        <v>1084</v>
      </c>
      <c r="D1078" s="9" t="s">
        <v>1071</v>
      </c>
      <c r="E1078" s="10">
        <v>2001</v>
      </c>
      <c r="F1078" s="36" t="str" cm="1">
        <f t="array" ref="F1078">_xlfn.XLOOKUP(D1078&amp;C1078, Sheet3!$C$2:$C$1224&amp;Sheet3!$B$2:$B$1224, Sheet3!$D$2:$D$1224, "")</f>
        <v>sea.moonth@gmail.com</v>
      </c>
      <c r="G1078" s="1" t="str" cm="1">
        <f t="array" ref="G1078">_xlfn.XLOOKUP(D1078&amp;C1078, Sheet2!$A$2:$A$558&amp;Sheet2!$B$2:$B$558, Sheet2!$C$2:$C$558, "")</f>
        <v/>
      </c>
      <c r="H1078" s="40" t="str">
        <f t="shared" si="16"/>
        <v>sea.moonth@gmail.com</v>
      </c>
    </row>
    <row r="1079" spans="1:8" ht="15.5" x14ac:dyDescent="0.35">
      <c r="A1079" s="7">
        <v>1078</v>
      </c>
      <c r="B1079" s="9">
        <v>17459</v>
      </c>
      <c r="C1079" s="11" t="s">
        <v>1085</v>
      </c>
      <c r="D1079" s="9" t="s">
        <v>1071</v>
      </c>
      <c r="E1079" s="10">
        <v>2001</v>
      </c>
      <c r="F1079" s="36" t="str" cm="1">
        <f t="array" ref="F1079">_xlfn.XLOOKUP(D1079&amp;C1079, Sheet3!$C$2:$C$1224&amp;Sheet3!$B$2:$B$1224, Sheet3!$D$2:$D$1224, "")</f>
        <v/>
      </c>
      <c r="G1079" s="1" t="str" cm="1">
        <f t="array" ref="G1079">_xlfn.XLOOKUP(D1079&amp;C1079, Sheet2!$A$2:$A$558&amp;Sheet2!$B$2:$B$558, Sheet2!$C$2:$C$558, "")</f>
        <v/>
      </c>
      <c r="H1079" s="40" t="str">
        <f t="shared" si="16"/>
        <v/>
      </c>
    </row>
    <row r="1080" spans="1:8" ht="15.5" x14ac:dyDescent="0.35">
      <c r="A1080" s="7">
        <v>1079</v>
      </c>
      <c r="B1080" s="9">
        <v>17593</v>
      </c>
      <c r="C1080" s="11" t="s">
        <v>1086</v>
      </c>
      <c r="D1080" s="9" t="s">
        <v>1062</v>
      </c>
      <c r="E1080" s="10">
        <v>2001</v>
      </c>
      <c r="F1080" s="36" t="str" cm="1">
        <f t="array" ref="F1080">_xlfn.XLOOKUP(D1080&amp;C1080, Sheet3!$C$2:$C$1224&amp;Sheet3!$B$2:$B$1224, Sheet3!$D$2:$D$1224, "")</f>
        <v/>
      </c>
      <c r="G1080" s="1" t="str" cm="1">
        <f t="array" ref="G1080">_xlfn.XLOOKUP(D1080&amp;C1080, Sheet2!$A$2:$A$558&amp;Sheet2!$B$2:$B$558, Sheet2!$C$2:$C$558, "")</f>
        <v/>
      </c>
      <c r="H1080" s="40" t="str">
        <f t="shared" si="16"/>
        <v/>
      </c>
    </row>
    <row r="1081" spans="1:8" ht="15.5" x14ac:dyDescent="0.35">
      <c r="A1081" s="7">
        <v>1080</v>
      </c>
      <c r="B1081" s="9">
        <v>18465</v>
      </c>
      <c r="C1081" s="11" t="s">
        <v>1087</v>
      </c>
      <c r="D1081" s="9" t="s">
        <v>1072</v>
      </c>
      <c r="E1081" s="10">
        <v>2001</v>
      </c>
      <c r="F1081" s="36" t="str" cm="1">
        <f t="array" ref="F1081">_xlfn.XLOOKUP(D1081&amp;C1081, Sheet3!$C$2:$C$1224&amp;Sheet3!$B$2:$B$1224, Sheet3!$D$2:$D$1224, "")</f>
        <v>antonrwidodo@gmail.com</v>
      </c>
      <c r="G1081" s="1" t="str" cm="1">
        <f t="array" ref="G1081">_xlfn.XLOOKUP(D1081&amp;C1081, Sheet2!$A$2:$A$558&amp;Sheet2!$B$2:$B$558, Sheet2!$C$2:$C$558, "")</f>
        <v/>
      </c>
      <c r="H1081" s="40" t="str">
        <f t="shared" si="16"/>
        <v>antonrwidodo@gmail.com</v>
      </c>
    </row>
    <row r="1082" spans="1:8" ht="15.5" x14ac:dyDescent="0.35">
      <c r="A1082" s="7">
        <v>1081</v>
      </c>
      <c r="B1082" s="9">
        <v>19060</v>
      </c>
      <c r="C1082" s="11" t="s">
        <v>1088</v>
      </c>
      <c r="D1082" s="9" t="s">
        <v>1073</v>
      </c>
      <c r="E1082" s="10">
        <v>2001</v>
      </c>
      <c r="F1082" s="36" t="str" cm="1">
        <f t="array" ref="F1082">_xlfn.XLOOKUP(D1082&amp;C1082, Sheet3!$C$2:$C$1224&amp;Sheet3!$B$2:$B$1224, Sheet3!$D$2:$D$1224, "")</f>
        <v/>
      </c>
      <c r="G1082" s="1" t="str" cm="1">
        <f t="array" ref="G1082">_xlfn.XLOOKUP(D1082&amp;C1082, Sheet2!$A$2:$A$558&amp;Sheet2!$B$2:$B$558, Sheet2!$C$2:$C$558, "")</f>
        <v/>
      </c>
      <c r="H1082" s="40" t="str">
        <f t="shared" si="16"/>
        <v/>
      </c>
    </row>
    <row r="1083" spans="1:8" ht="15.5" x14ac:dyDescent="0.35">
      <c r="A1083" s="7">
        <v>1082</v>
      </c>
      <c r="B1083" s="9">
        <v>19333</v>
      </c>
      <c r="C1083" s="11" t="s">
        <v>1089</v>
      </c>
      <c r="D1083" s="9" t="s">
        <v>1073</v>
      </c>
      <c r="E1083" s="10">
        <v>2001</v>
      </c>
      <c r="F1083" s="36" t="str" cm="1">
        <f t="array" ref="F1083">_xlfn.XLOOKUP(D1083&amp;C1083, Sheet3!$C$2:$C$1224&amp;Sheet3!$B$2:$B$1224, Sheet3!$D$2:$D$1224, "")</f>
        <v/>
      </c>
      <c r="G1083" s="1" t="str" cm="1">
        <f t="array" ref="G1083">_xlfn.XLOOKUP(D1083&amp;C1083, Sheet2!$A$2:$A$558&amp;Sheet2!$B$2:$B$558, Sheet2!$C$2:$C$558, "")</f>
        <v/>
      </c>
      <c r="H1083" s="40" t="str">
        <f t="shared" si="16"/>
        <v/>
      </c>
    </row>
    <row r="1084" spans="1:8" ht="15.5" x14ac:dyDescent="0.35">
      <c r="A1084" s="7">
        <v>1083</v>
      </c>
      <c r="B1084" s="9">
        <v>19551</v>
      </c>
      <c r="C1084" s="11" t="s">
        <v>1090</v>
      </c>
      <c r="D1084" s="9" t="s">
        <v>1074</v>
      </c>
      <c r="E1084" s="10">
        <v>2001</v>
      </c>
      <c r="F1084" s="36" t="str" cm="1">
        <f t="array" ref="F1084">_xlfn.XLOOKUP(D1084&amp;C1084, Sheet3!$C$2:$C$1224&amp;Sheet3!$B$2:$B$1224, Sheet3!$D$2:$D$1224, "")</f>
        <v/>
      </c>
      <c r="G1084" s="1" t="str" cm="1">
        <f t="array" ref="G1084">_xlfn.XLOOKUP(D1084&amp;C1084, Sheet2!$A$2:$A$558&amp;Sheet2!$B$2:$B$558, Sheet2!$C$2:$C$558, "")</f>
        <v/>
      </c>
      <c r="H1084" s="40" t="str">
        <f t="shared" si="16"/>
        <v/>
      </c>
    </row>
    <row r="1085" spans="1:8" ht="15.5" x14ac:dyDescent="0.35">
      <c r="A1085" s="7">
        <v>1084</v>
      </c>
      <c r="B1085" s="9">
        <v>19598</v>
      </c>
      <c r="C1085" s="11" t="s">
        <v>1091</v>
      </c>
      <c r="D1085" s="9" t="s">
        <v>1074</v>
      </c>
      <c r="E1085" s="10">
        <v>2001</v>
      </c>
      <c r="F1085" s="36" t="str" cm="1">
        <f t="array" ref="F1085">_xlfn.XLOOKUP(D1085&amp;C1085, Sheet3!$C$2:$C$1224&amp;Sheet3!$B$2:$B$1224, Sheet3!$D$2:$D$1224, "")</f>
        <v/>
      </c>
      <c r="G1085" s="1" t="str" cm="1">
        <f t="array" ref="G1085">_xlfn.XLOOKUP(D1085&amp;C1085, Sheet2!$A$2:$A$558&amp;Sheet2!$B$2:$B$558, Sheet2!$C$2:$C$558, "")</f>
        <v/>
      </c>
      <c r="H1085" s="40" t="str">
        <f t="shared" si="16"/>
        <v/>
      </c>
    </row>
    <row r="1086" spans="1:8" ht="15.5" x14ac:dyDescent="0.35">
      <c r="A1086" s="7">
        <v>1085</v>
      </c>
      <c r="B1086" s="9">
        <v>19749</v>
      </c>
      <c r="C1086" s="11" t="s">
        <v>282</v>
      </c>
      <c r="D1086" s="9" t="s">
        <v>1074</v>
      </c>
      <c r="E1086" s="10">
        <v>2001</v>
      </c>
      <c r="F1086" s="36" t="str" cm="1">
        <f t="array" ref="F1086">_xlfn.XLOOKUP(D1086&amp;C1086, Sheet3!$C$2:$C$1224&amp;Sheet3!$B$2:$B$1224, Sheet3!$D$2:$D$1224, "")</f>
        <v/>
      </c>
      <c r="G1086" s="1" t="str" cm="1">
        <f t="array" ref="G1086">_xlfn.XLOOKUP(D1086&amp;C1086, Sheet2!$A$2:$A$558&amp;Sheet2!$B$2:$B$558, Sheet2!$C$2:$C$558, "")</f>
        <v/>
      </c>
      <c r="H1086" s="40" t="str">
        <f t="shared" si="16"/>
        <v/>
      </c>
    </row>
    <row r="1087" spans="1:8" ht="15.5" x14ac:dyDescent="0.35">
      <c r="A1087" s="7">
        <v>1086</v>
      </c>
      <c r="B1087" s="9">
        <v>19995</v>
      </c>
      <c r="C1087" s="11" t="s">
        <v>1092</v>
      </c>
      <c r="D1087" s="9" t="s">
        <v>1074</v>
      </c>
      <c r="E1087" s="10">
        <v>2001</v>
      </c>
      <c r="F1087" s="36" t="str" cm="1">
        <f t="array" ref="F1087">_xlfn.XLOOKUP(D1087&amp;C1087, Sheet3!$C$2:$C$1224&amp;Sheet3!$B$2:$B$1224, Sheet3!$D$2:$D$1224, "")</f>
        <v/>
      </c>
      <c r="G1087" s="1" t="str" cm="1">
        <f t="array" ref="G1087">_xlfn.XLOOKUP(D1087&amp;C1087, Sheet2!$A$2:$A$558&amp;Sheet2!$B$2:$B$558, Sheet2!$C$2:$C$558, "")</f>
        <v/>
      </c>
      <c r="H1087" s="40" t="str">
        <f t="shared" si="16"/>
        <v/>
      </c>
    </row>
    <row r="1088" spans="1:8" ht="15.5" x14ac:dyDescent="0.35">
      <c r="A1088" s="7">
        <v>1087</v>
      </c>
      <c r="B1088" s="9">
        <v>20024</v>
      </c>
      <c r="C1088" s="11" t="s">
        <v>1093</v>
      </c>
      <c r="D1088" s="9" t="s">
        <v>1074</v>
      </c>
      <c r="E1088" s="10">
        <v>2001</v>
      </c>
      <c r="F1088" s="36" t="str" cm="1">
        <f t="array" ref="F1088">_xlfn.XLOOKUP(D1088&amp;C1088, Sheet3!$C$2:$C$1224&amp;Sheet3!$B$2:$B$1224, Sheet3!$D$2:$D$1224, "")</f>
        <v>dnuryanto95@gmail.com</v>
      </c>
      <c r="G1088" s="1" t="str" cm="1">
        <f t="array" ref="G1088">_xlfn.XLOOKUP(D1088&amp;C1088, Sheet2!$A$2:$A$558&amp;Sheet2!$B$2:$B$558, Sheet2!$C$2:$C$558, "")</f>
        <v/>
      </c>
      <c r="H1088" s="40" t="str">
        <f t="shared" si="16"/>
        <v>dnuryanto95@gmail.com</v>
      </c>
    </row>
    <row r="1089" spans="1:8" ht="15.5" x14ac:dyDescent="0.35">
      <c r="A1089" s="7">
        <v>1088</v>
      </c>
      <c r="B1089" s="9">
        <v>20271</v>
      </c>
      <c r="C1089" s="11" t="s">
        <v>1094</v>
      </c>
      <c r="D1089" s="9" t="s">
        <v>1074</v>
      </c>
      <c r="E1089" s="10">
        <v>2001</v>
      </c>
      <c r="F1089" s="36" t="str" cm="1">
        <f t="array" ref="F1089">_xlfn.XLOOKUP(D1089&amp;C1089, Sheet3!$C$2:$C$1224&amp;Sheet3!$B$2:$B$1224, Sheet3!$D$2:$D$1224, "")</f>
        <v/>
      </c>
      <c r="G1089" s="1" t="str" cm="1">
        <f t="array" ref="G1089">_xlfn.XLOOKUP(D1089&amp;C1089, Sheet2!$A$2:$A$558&amp;Sheet2!$B$2:$B$558, Sheet2!$C$2:$C$558, "")</f>
        <v/>
      </c>
      <c r="H1089" s="40" t="str">
        <f t="shared" si="16"/>
        <v/>
      </c>
    </row>
    <row r="1090" spans="1:8" ht="15.5" x14ac:dyDescent="0.35">
      <c r="A1090" s="7">
        <v>1089</v>
      </c>
      <c r="B1090" s="9">
        <v>20565</v>
      </c>
      <c r="C1090" s="11" t="s">
        <v>1095</v>
      </c>
      <c r="D1090" s="9" t="s">
        <v>1075</v>
      </c>
      <c r="E1090" s="10">
        <v>2001</v>
      </c>
      <c r="F1090" s="36" t="str" cm="1">
        <f t="array" ref="F1090">_xlfn.XLOOKUP(D1090&amp;C1090, Sheet3!$C$2:$C$1224&amp;Sheet3!$B$2:$B$1224, Sheet3!$D$2:$D$1224, "")</f>
        <v>oktorini.yossi@lecturer.unri.ac.id</v>
      </c>
      <c r="G1090" s="1" t="str" cm="1">
        <f t="array" ref="G1090">_xlfn.XLOOKUP(D1090&amp;C1090, Sheet2!$A$2:$A$558&amp;Sheet2!$B$2:$B$558, Sheet2!$C$2:$C$558, "")</f>
        <v/>
      </c>
      <c r="H1090" s="40" t="str">
        <f t="shared" si="16"/>
        <v>oktorini.yossi@lecturer.unri.ac.id</v>
      </c>
    </row>
    <row r="1091" spans="1:8" ht="15.5" x14ac:dyDescent="0.35">
      <c r="A1091" s="7">
        <v>1090</v>
      </c>
      <c r="B1091" s="9">
        <v>20590</v>
      </c>
      <c r="C1091" s="11" t="s">
        <v>1096</v>
      </c>
      <c r="D1091" s="9" t="s">
        <v>1075</v>
      </c>
      <c r="E1091" s="10">
        <v>2001</v>
      </c>
      <c r="F1091" s="36" t="str" cm="1">
        <f t="array" ref="F1091">_xlfn.XLOOKUP(D1091&amp;C1091, Sheet3!$C$2:$C$1224&amp;Sheet3!$B$2:$B$1224, Sheet3!$D$2:$D$1224, "")</f>
        <v>suranto96@gmail.com</v>
      </c>
      <c r="G1091" s="1" t="str" cm="1">
        <f t="array" ref="G1091">_xlfn.XLOOKUP(D1091&amp;C1091, Sheet2!$A$2:$A$558&amp;Sheet2!$B$2:$B$558, Sheet2!$C$2:$C$558, "")</f>
        <v/>
      </c>
      <c r="H1091" s="40" t="str">
        <f t="shared" ref="H1091:H1154" si="17">IF(F1091&lt;&gt;"",F1091,G1091)</f>
        <v>suranto96@gmail.com</v>
      </c>
    </row>
    <row r="1092" spans="1:8" ht="15.5" x14ac:dyDescent="0.35">
      <c r="A1092" s="7">
        <v>1091</v>
      </c>
      <c r="B1092" s="9">
        <v>20643</v>
      </c>
      <c r="C1092" s="11" t="s">
        <v>1097</v>
      </c>
      <c r="D1092" s="9" t="s">
        <v>1075</v>
      </c>
      <c r="E1092" s="10">
        <v>2001</v>
      </c>
      <c r="F1092" s="36" t="str" cm="1">
        <f t="array" ref="F1092">_xlfn.XLOOKUP(D1092&amp;C1092, Sheet3!$C$2:$C$1224&amp;Sheet3!$B$2:$B$1224, Sheet3!$D$2:$D$1224, "")</f>
        <v>wd7178@gmail.com</v>
      </c>
      <c r="G1092" s="1" t="str" cm="1">
        <f t="array" ref="G1092">_xlfn.XLOOKUP(D1092&amp;C1092, Sheet2!$A$2:$A$558&amp;Sheet2!$B$2:$B$558, Sheet2!$C$2:$C$558, "")</f>
        <v/>
      </c>
      <c r="H1092" s="40" t="str">
        <f t="shared" si="17"/>
        <v>wd7178@gmail.com</v>
      </c>
    </row>
    <row r="1093" spans="1:8" ht="15.5" x14ac:dyDescent="0.35">
      <c r="A1093" s="7">
        <v>1092</v>
      </c>
      <c r="B1093" s="9">
        <v>20750</v>
      </c>
      <c r="C1093" s="11" t="s">
        <v>1098</v>
      </c>
      <c r="D1093" s="9" t="s">
        <v>1075</v>
      </c>
      <c r="E1093" s="10">
        <v>2001</v>
      </c>
      <c r="F1093" s="36" t="str" cm="1">
        <f t="array" ref="F1093">_xlfn.XLOOKUP(D1093&amp;C1093, Sheet3!$C$2:$C$1224&amp;Sheet3!$B$2:$B$1224, Sheet3!$D$2:$D$1224, "")</f>
        <v>otnasu99@gmail.com</v>
      </c>
      <c r="G1093" s="1" t="str" cm="1">
        <f t="array" ref="G1093">_xlfn.XLOOKUP(D1093&amp;C1093, Sheet2!$A$2:$A$558&amp;Sheet2!$B$2:$B$558, Sheet2!$C$2:$C$558, "")</f>
        <v/>
      </c>
      <c r="H1093" s="40" t="str">
        <f t="shared" si="17"/>
        <v>otnasu99@gmail.com</v>
      </c>
    </row>
    <row r="1094" spans="1:8" ht="15.5" x14ac:dyDescent="0.35">
      <c r="A1094" s="7">
        <v>1093</v>
      </c>
      <c r="B1094" s="9">
        <v>20883</v>
      </c>
      <c r="C1094" s="11" t="s">
        <v>1099</v>
      </c>
      <c r="D1094" s="9" t="s">
        <v>1075</v>
      </c>
      <c r="E1094" s="10">
        <v>2001</v>
      </c>
      <c r="F1094" s="36" t="str" cm="1">
        <f t="array" ref="F1094">_xlfn.XLOOKUP(D1094&amp;C1094, Sheet3!$C$2:$C$1224&amp;Sheet3!$B$2:$B$1224, Sheet3!$D$2:$D$1224, "")</f>
        <v>heraarifianto@yahoo.com</v>
      </c>
      <c r="G1094" s="1" t="str" cm="1">
        <f t="array" ref="G1094">_xlfn.XLOOKUP(D1094&amp;C1094, Sheet2!$A$2:$A$558&amp;Sheet2!$B$2:$B$558, Sheet2!$C$2:$C$558, "")</f>
        <v/>
      </c>
      <c r="H1094" s="40" t="str">
        <f t="shared" si="17"/>
        <v>heraarifianto@yahoo.com</v>
      </c>
    </row>
    <row r="1095" spans="1:8" ht="15.5" x14ac:dyDescent="0.35">
      <c r="A1095" s="7">
        <v>1094</v>
      </c>
      <c r="B1095" s="9">
        <v>20924</v>
      </c>
      <c r="C1095" s="11" t="s">
        <v>1100</v>
      </c>
      <c r="D1095" s="9" t="s">
        <v>1075</v>
      </c>
      <c r="E1095" s="10">
        <v>2001</v>
      </c>
      <c r="F1095" s="36" t="str" cm="1">
        <f t="array" ref="F1095">_xlfn.XLOOKUP(D1095&amp;C1095, Sheet3!$C$2:$C$1224&amp;Sheet3!$B$2:$B$1224, Sheet3!$D$2:$D$1224, "")</f>
        <v/>
      </c>
      <c r="G1095" s="1" t="str" cm="1">
        <f t="array" ref="G1095">_xlfn.XLOOKUP(D1095&amp;C1095, Sheet2!$A$2:$A$558&amp;Sheet2!$B$2:$B$558, Sheet2!$C$2:$C$558, "")</f>
        <v/>
      </c>
      <c r="H1095" s="40" t="str">
        <f t="shared" si="17"/>
        <v/>
      </c>
    </row>
    <row r="1096" spans="1:8" ht="15.5" x14ac:dyDescent="0.35">
      <c r="A1096" s="7">
        <v>1095</v>
      </c>
      <c r="B1096" s="9">
        <v>21049</v>
      </c>
      <c r="C1096" s="11" t="s">
        <v>1101</v>
      </c>
      <c r="D1096" s="9" t="s">
        <v>1075</v>
      </c>
      <c r="E1096" s="10">
        <v>2001</v>
      </c>
      <c r="F1096" s="36" t="str" cm="1">
        <f t="array" ref="F1096">_xlfn.XLOOKUP(D1096&amp;C1096, Sheet3!$C$2:$C$1224&amp;Sheet3!$B$2:$B$1224, Sheet3!$D$2:$D$1224, "")</f>
        <v/>
      </c>
      <c r="G1096" s="1" t="str" cm="1">
        <f t="array" ref="G1096">_xlfn.XLOOKUP(D1096&amp;C1096, Sheet2!$A$2:$A$558&amp;Sheet2!$B$2:$B$558, Sheet2!$C$2:$C$558, "")</f>
        <v/>
      </c>
      <c r="H1096" s="40" t="str">
        <f t="shared" si="17"/>
        <v/>
      </c>
    </row>
    <row r="1097" spans="1:8" ht="15.5" x14ac:dyDescent="0.35">
      <c r="A1097" s="7">
        <v>1096</v>
      </c>
      <c r="B1097" s="9">
        <v>21053</v>
      </c>
      <c r="C1097" s="11" t="s">
        <v>1102</v>
      </c>
      <c r="D1097" s="9" t="s">
        <v>1075</v>
      </c>
      <c r="E1097" s="10">
        <v>2001</v>
      </c>
      <c r="F1097" s="36" t="str" cm="1">
        <f t="array" ref="F1097">_xlfn.XLOOKUP(D1097&amp;C1097, Sheet3!$C$2:$C$1224&amp;Sheet3!$B$2:$B$1224, Sheet3!$D$2:$D$1224, "")</f>
        <v>risnandarbisnis@gmail.com</v>
      </c>
      <c r="G1097" s="1" t="str" cm="1">
        <f t="array" ref="G1097">_xlfn.XLOOKUP(D1097&amp;C1097, Sheet2!$A$2:$A$558&amp;Sheet2!$B$2:$B$558, Sheet2!$C$2:$C$558, "")</f>
        <v/>
      </c>
      <c r="H1097" s="40" t="str">
        <f t="shared" si="17"/>
        <v>risnandarbisnis@gmail.com</v>
      </c>
    </row>
    <row r="1098" spans="1:8" ht="15.5" x14ac:dyDescent="0.35">
      <c r="A1098" s="7">
        <v>1097</v>
      </c>
      <c r="B1098" s="9">
        <v>21056</v>
      </c>
      <c r="C1098" s="11" t="s">
        <v>1103</v>
      </c>
      <c r="D1098" s="9" t="s">
        <v>1075</v>
      </c>
      <c r="E1098" s="10">
        <v>2001</v>
      </c>
      <c r="F1098" s="36" t="str" cm="1">
        <f t="array" ref="F1098">_xlfn.XLOOKUP(D1098&amp;C1098, Sheet3!$C$2:$C$1224&amp;Sheet3!$B$2:$B$1224, Sheet3!$D$2:$D$1224, "")</f>
        <v>hakanpraha@gmail.com</v>
      </c>
      <c r="G1098" s="1" t="str" cm="1">
        <f t="array" ref="G1098">_xlfn.XLOOKUP(D1098&amp;C1098, Sheet2!$A$2:$A$558&amp;Sheet2!$B$2:$B$558, Sheet2!$C$2:$C$558, "")</f>
        <v/>
      </c>
      <c r="H1098" s="40" t="str">
        <f t="shared" si="17"/>
        <v>hakanpraha@gmail.com</v>
      </c>
    </row>
    <row r="1099" spans="1:8" ht="15.5" x14ac:dyDescent="0.35">
      <c r="A1099" s="7">
        <v>1098</v>
      </c>
      <c r="B1099" s="9">
        <v>21073</v>
      </c>
      <c r="C1099" s="11" t="s">
        <v>1104</v>
      </c>
      <c r="D1099" s="9" t="s">
        <v>1075</v>
      </c>
      <c r="E1099" s="10">
        <v>2001</v>
      </c>
      <c r="F1099" s="36" t="str" cm="1">
        <f t="array" ref="F1099">_xlfn.XLOOKUP(D1099&amp;C1099, Sheet3!$C$2:$C$1224&amp;Sheet3!$B$2:$B$1224, Sheet3!$D$2:$D$1224, "")</f>
        <v>aribudi.pekanbaru@gmail.com</v>
      </c>
      <c r="G1099" s="1" t="str" cm="1">
        <f t="array" ref="G1099">_xlfn.XLOOKUP(D1099&amp;C1099, Sheet2!$A$2:$A$558&amp;Sheet2!$B$2:$B$558, Sheet2!$C$2:$C$558, "")</f>
        <v/>
      </c>
      <c r="H1099" s="40" t="str">
        <f t="shared" si="17"/>
        <v>aribudi.pekanbaru@gmail.com</v>
      </c>
    </row>
    <row r="1100" spans="1:8" ht="15.5" x14ac:dyDescent="0.35">
      <c r="A1100" s="7">
        <v>1099</v>
      </c>
      <c r="B1100" s="9">
        <v>21256</v>
      </c>
      <c r="C1100" s="11" t="s">
        <v>1105</v>
      </c>
      <c r="D1100" s="9" t="s">
        <v>1075</v>
      </c>
      <c r="E1100" s="10">
        <v>2001</v>
      </c>
      <c r="F1100" s="36" t="str" cm="1">
        <f t="array" ref="F1100">_xlfn.XLOOKUP(D1100&amp;C1100, Sheet3!$C$2:$C$1224&amp;Sheet3!$B$2:$B$1224, Sheet3!$D$2:$D$1224, "")</f>
        <v>wahyudinjsaputro@gmail.com</v>
      </c>
      <c r="G1100" s="1" t="str" cm="1">
        <f t="array" ref="G1100">_xlfn.XLOOKUP(D1100&amp;C1100, Sheet2!$A$2:$A$558&amp;Sheet2!$B$2:$B$558, Sheet2!$C$2:$C$558, "")</f>
        <v/>
      </c>
      <c r="H1100" s="40" t="str">
        <f t="shared" si="17"/>
        <v>wahyudinjsaputro@gmail.com</v>
      </c>
    </row>
    <row r="1101" spans="1:8" ht="15.5" x14ac:dyDescent="0.35">
      <c r="A1101" s="7">
        <v>1100</v>
      </c>
      <c r="B1101" s="9">
        <v>16910</v>
      </c>
      <c r="C1101" s="11" t="s">
        <v>1106</v>
      </c>
      <c r="D1101" s="9" t="s">
        <v>1070</v>
      </c>
      <c r="E1101" s="10">
        <v>2001</v>
      </c>
      <c r="F1101" s="36" t="str" cm="1">
        <f t="array" ref="F1101">_xlfn.XLOOKUP(D1101&amp;C1101, Sheet3!$C$2:$C$1224&amp;Sheet3!$B$2:$B$1224, Sheet3!$D$2:$D$1224, "")</f>
        <v>jatmikosuryo@gmail.com</v>
      </c>
      <c r="G1101" s="1" t="str" cm="1">
        <f t="array" ref="G1101">_xlfn.XLOOKUP(D1101&amp;C1101, Sheet2!$A$2:$A$558&amp;Sheet2!$B$2:$B$558, Sheet2!$C$2:$C$558, "")</f>
        <v>jatmikosuryo@gmail.com</v>
      </c>
      <c r="H1101" s="40" t="str">
        <f t="shared" si="17"/>
        <v>jatmikosuryo@gmail.com</v>
      </c>
    </row>
    <row r="1102" spans="1:8" ht="15.5" x14ac:dyDescent="0.35">
      <c r="A1102" s="7">
        <v>1101</v>
      </c>
      <c r="B1102" s="9">
        <v>17600</v>
      </c>
      <c r="C1102" s="11" t="s">
        <v>1107</v>
      </c>
      <c r="D1102" s="9" t="s">
        <v>1062</v>
      </c>
      <c r="E1102" s="10">
        <v>2001</v>
      </c>
      <c r="F1102" s="36" t="str" cm="1">
        <f t="array" ref="F1102">_xlfn.XLOOKUP(D1102&amp;C1102, Sheet3!$C$2:$C$1224&amp;Sheet3!$B$2:$B$1224, Sheet3!$D$2:$D$1224, "")</f>
        <v/>
      </c>
      <c r="G1102" s="1" t="str" cm="1">
        <f t="array" ref="G1102">_xlfn.XLOOKUP(D1102&amp;C1102, Sheet2!$A$2:$A$558&amp;Sheet2!$B$2:$B$558, Sheet2!$C$2:$C$558, "")</f>
        <v/>
      </c>
      <c r="H1102" s="40" t="str">
        <f t="shared" si="17"/>
        <v/>
      </c>
    </row>
    <row r="1103" spans="1:8" ht="15.5" x14ac:dyDescent="0.35">
      <c r="A1103" s="7">
        <v>1102</v>
      </c>
      <c r="B1103" s="9">
        <v>18463</v>
      </c>
      <c r="C1103" s="11" t="s">
        <v>547</v>
      </c>
      <c r="D1103" s="9" t="s">
        <v>1072</v>
      </c>
      <c r="E1103" s="10">
        <v>2001</v>
      </c>
      <c r="F1103" s="36" t="str" cm="1">
        <f t="array" ref="F1103">_xlfn.XLOOKUP(D1103&amp;C1103, Sheet3!$C$2:$C$1224&amp;Sheet3!$B$2:$B$1224, Sheet3!$D$2:$D$1224, "")</f>
        <v/>
      </c>
      <c r="G1103" s="1" t="str" cm="1">
        <f t="array" ref="G1103">_xlfn.XLOOKUP(D1103&amp;C1103, Sheet2!$A$2:$A$558&amp;Sheet2!$B$2:$B$558, Sheet2!$C$2:$C$558, "")</f>
        <v/>
      </c>
      <c r="H1103" s="40" t="str">
        <f t="shared" si="17"/>
        <v/>
      </c>
    </row>
    <row r="1104" spans="1:8" ht="15.5" x14ac:dyDescent="0.35">
      <c r="A1104" s="7">
        <v>1103</v>
      </c>
      <c r="B1104" s="9">
        <v>18998</v>
      </c>
      <c r="C1104" s="11" t="s">
        <v>1108</v>
      </c>
      <c r="D1104" s="9" t="s">
        <v>1073</v>
      </c>
      <c r="E1104" s="10">
        <v>2001</v>
      </c>
      <c r="F1104" s="36" t="str" cm="1">
        <f t="array" ref="F1104">_xlfn.XLOOKUP(D1104&amp;C1104, Sheet3!$C$2:$C$1224&amp;Sheet3!$B$2:$B$1224, Sheet3!$D$2:$D$1224, "")</f>
        <v>herisukmadi01@gmail.com</v>
      </c>
      <c r="G1104" s="1" t="str" cm="1">
        <f t="array" ref="G1104">_xlfn.XLOOKUP(D1104&amp;C1104, Sheet2!$A$2:$A$558&amp;Sheet2!$B$2:$B$558, Sheet2!$C$2:$C$558, "")</f>
        <v/>
      </c>
      <c r="H1104" s="40" t="str">
        <f t="shared" si="17"/>
        <v>herisukmadi01@gmail.com</v>
      </c>
    </row>
    <row r="1105" spans="1:8" ht="15.5" x14ac:dyDescent="0.35">
      <c r="A1105" s="7">
        <v>1104</v>
      </c>
      <c r="B1105" s="9">
        <v>20023</v>
      </c>
      <c r="C1105" s="11" t="s">
        <v>1109</v>
      </c>
      <c r="D1105" s="9" t="s">
        <v>1074</v>
      </c>
      <c r="E1105" s="10">
        <v>2001</v>
      </c>
      <c r="F1105" s="36" t="str" cm="1">
        <f t="array" ref="F1105">_xlfn.XLOOKUP(D1105&amp;C1105, Sheet3!$C$2:$C$1224&amp;Sheet3!$B$2:$B$1224, Sheet3!$D$2:$D$1224, "")</f>
        <v>karnantohendra@gmail.com</v>
      </c>
      <c r="G1105" s="1" t="str" cm="1">
        <f t="array" ref="G1105">_xlfn.XLOOKUP(D1105&amp;C1105, Sheet2!$A$2:$A$558&amp;Sheet2!$B$2:$B$558, Sheet2!$C$2:$C$558, "")</f>
        <v>karnantohendra@gmail.com</v>
      </c>
      <c r="H1105" s="40" t="str">
        <f t="shared" si="17"/>
        <v>karnantohendra@gmail.com</v>
      </c>
    </row>
    <row r="1106" spans="1:8" ht="15.5" x14ac:dyDescent="0.35">
      <c r="A1106" s="7">
        <v>1105</v>
      </c>
      <c r="B1106" s="9">
        <v>20037</v>
      </c>
      <c r="C1106" s="11" t="s">
        <v>1110</v>
      </c>
      <c r="D1106" s="9" t="s">
        <v>1074</v>
      </c>
      <c r="E1106" s="10">
        <v>2001</v>
      </c>
      <c r="F1106" s="36" t="str" cm="1">
        <f t="array" ref="F1106">_xlfn.XLOOKUP(D1106&amp;C1106, Sheet3!$C$2:$C$1224&amp;Sheet3!$B$2:$B$1224, Sheet3!$D$2:$D$1224, "")</f>
        <v/>
      </c>
      <c r="G1106" s="1" t="str" cm="1">
        <f t="array" ref="G1106">_xlfn.XLOOKUP(D1106&amp;C1106, Sheet2!$A$2:$A$558&amp;Sheet2!$B$2:$B$558, Sheet2!$C$2:$C$558, "")</f>
        <v/>
      </c>
      <c r="H1106" s="40" t="str">
        <f t="shared" si="17"/>
        <v/>
      </c>
    </row>
    <row r="1107" spans="1:8" ht="15.5" x14ac:dyDescent="0.35">
      <c r="A1107" s="7">
        <v>1106</v>
      </c>
      <c r="B1107" s="9">
        <v>20106</v>
      </c>
      <c r="C1107" s="11" t="s">
        <v>1111</v>
      </c>
      <c r="D1107" s="9" t="s">
        <v>1074</v>
      </c>
      <c r="E1107" s="10">
        <v>2001</v>
      </c>
      <c r="F1107" s="36" t="str" cm="1">
        <f t="array" ref="F1107">_xlfn.XLOOKUP(D1107&amp;C1107, Sheet3!$C$2:$C$1224&amp;Sheet3!$B$2:$B$1224, Sheet3!$D$2:$D$1224, "")</f>
        <v>opi.nafsi@gmail.com</v>
      </c>
      <c r="G1107" s="1" t="str" cm="1">
        <f t="array" ref="G1107">_xlfn.XLOOKUP(D1107&amp;C1107, Sheet2!$A$2:$A$558&amp;Sheet2!$B$2:$B$558, Sheet2!$C$2:$C$558, "")</f>
        <v>opi.nafsi@gmail.com</v>
      </c>
      <c r="H1107" s="40" t="str">
        <f t="shared" si="17"/>
        <v>opi.nafsi@gmail.com</v>
      </c>
    </row>
    <row r="1108" spans="1:8" ht="15.5" x14ac:dyDescent="0.35">
      <c r="A1108" s="7">
        <v>1107</v>
      </c>
      <c r="B1108" s="9">
        <v>20239</v>
      </c>
      <c r="C1108" s="11" t="s">
        <v>1112</v>
      </c>
      <c r="D1108" s="9" t="s">
        <v>1074</v>
      </c>
      <c r="E1108" s="10">
        <v>2001</v>
      </c>
      <c r="F1108" s="36" t="str" cm="1">
        <f t="array" ref="F1108">_xlfn.XLOOKUP(D1108&amp;C1108, Sheet3!$C$2:$C$1224&amp;Sheet3!$B$2:$B$1224, Sheet3!$D$2:$D$1224, "")</f>
        <v/>
      </c>
      <c r="G1108" s="1" t="str" cm="1">
        <f t="array" ref="G1108">_xlfn.XLOOKUP(D1108&amp;C1108, Sheet2!$A$2:$A$558&amp;Sheet2!$B$2:$B$558, Sheet2!$C$2:$C$558, "")</f>
        <v/>
      </c>
      <c r="H1108" s="40" t="str">
        <f t="shared" si="17"/>
        <v/>
      </c>
    </row>
    <row r="1109" spans="1:8" ht="15.5" x14ac:dyDescent="0.35">
      <c r="A1109" s="7">
        <v>1108</v>
      </c>
      <c r="B1109" s="9">
        <v>20749</v>
      </c>
      <c r="C1109" s="11" t="s">
        <v>4512</v>
      </c>
      <c r="D1109" s="9" t="s">
        <v>1075</v>
      </c>
      <c r="E1109" s="10">
        <v>2001</v>
      </c>
      <c r="F1109" s="36" t="str" cm="1">
        <f t="array" ref="F1109">_xlfn.XLOOKUP(D1109&amp;C1109, Sheet3!$C$2:$C$1224&amp;Sheet3!$B$2:$B$1224, Sheet3!$D$2:$D$1224, "")</f>
        <v>fabianus.krusaido@gmail.com</v>
      </c>
      <c r="G1109" s="1" t="str" cm="1">
        <f t="array" ref="G1109">_xlfn.XLOOKUP(D1109&amp;C1109, Sheet2!$A$2:$A$558&amp;Sheet2!$B$2:$B$558, Sheet2!$C$2:$C$558, "")</f>
        <v/>
      </c>
      <c r="H1109" s="40" t="str">
        <f t="shared" si="17"/>
        <v>fabianus.krusaido@gmail.com</v>
      </c>
    </row>
    <row r="1110" spans="1:8" ht="15.5" x14ac:dyDescent="0.35">
      <c r="A1110" s="7">
        <v>1109</v>
      </c>
      <c r="B1110" s="9">
        <v>20800</v>
      </c>
      <c r="C1110" s="11" t="s">
        <v>1113</v>
      </c>
      <c r="D1110" s="9" t="s">
        <v>1075</v>
      </c>
      <c r="E1110" s="10">
        <v>2001</v>
      </c>
      <c r="F1110" s="36" t="str" cm="1">
        <f t="array" ref="F1110">_xlfn.XLOOKUP(D1110&amp;C1110, Sheet3!$C$2:$C$1224&amp;Sheet3!$B$2:$B$1224, Sheet3!$D$2:$D$1224, "")</f>
        <v>anurdin147@gmail.com</v>
      </c>
      <c r="G1110" s="1" t="str" cm="1">
        <f t="array" ref="G1110">_xlfn.XLOOKUP(D1110&amp;C1110, Sheet2!$A$2:$A$558&amp;Sheet2!$B$2:$B$558, Sheet2!$C$2:$C$558, "")</f>
        <v/>
      </c>
      <c r="H1110" s="40" t="str">
        <f t="shared" si="17"/>
        <v>anurdin147@gmail.com</v>
      </c>
    </row>
    <row r="1111" spans="1:8" ht="15.5" x14ac:dyDescent="0.35">
      <c r="A1111" s="7">
        <v>1110</v>
      </c>
      <c r="B1111" s="9">
        <v>20889</v>
      </c>
      <c r="C1111" s="11" t="s">
        <v>4068</v>
      </c>
      <c r="D1111" s="9" t="s">
        <v>1075</v>
      </c>
      <c r="E1111" s="10">
        <v>2001</v>
      </c>
      <c r="F1111" s="36" t="str" cm="1">
        <f t="array" ref="F1111">_xlfn.XLOOKUP(D1111&amp;C1111, Sheet3!$C$2:$C$1224&amp;Sheet3!$B$2:$B$1224, Sheet3!$D$2:$D$1224, "")</f>
        <v>varian060806@gmail.com</v>
      </c>
      <c r="G1111" s="1" t="str" cm="1">
        <f t="array" ref="G1111">_xlfn.XLOOKUP(D1111&amp;C1111, Sheet2!$A$2:$A$558&amp;Sheet2!$B$2:$B$558, Sheet2!$C$2:$C$558, "")</f>
        <v/>
      </c>
      <c r="H1111" s="40" t="str">
        <f t="shared" si="17"/>
        <v>varian060806@gmail.com</v>
      </c>
    </row>
    <row r="1112" spans="1:8" ht="15.5" x14ac:dyDescent="0.35">
      <c r="A1112" s="7">
        <v>1111</v>
      </c>
      <c r="B1112" s="9">
        <v>21255</v>
      </c>
      <c r="C1112" s="11" t="s">
        <v>3246</v>
      </c>
      <c r="D1112" s="9" t="s">
        <v>1075</v>
      </c>
      <c r="E1112" s="10">
        <v>2001</v>
      </c>
      <c r="F1112" s="36" t="str" cm="1">
        <f t="array" ref="F1112">_xlfn.XLOOKUP(D1112&amp;C1112, Sheet3!$C$2:$C$1224&amp;Sheet3!$B$2:$B$1224, Sheet3!$D$2:$D$1224, "")</f>
        <v>nashihun@gmail.com</v>
      </c>
      <c r="G1112" s="1" t="str" cm="1">
        <f t="array" ref="G1112">_xlfn.XLOOKUP(D1112&amp;C1112, Sheet2!$A$2:$A$558&amp;Sheet2!$B$2:$B$558, Sheet2!$C$2:$C$558, "")</f>
        <v/>
      </c>
      <c r="H1112" s="40" t="str">
        <f t="shared" si="17"/>
        <v>nashihun@gmail.com</v>
      </c>
    </row>
    <row r="1113" spans="1:8" ht="15.5" x14ac:dyDescent="0.35">
      <c r="A1113" s="7">
        <v>1112</v>
      </c>
      <c r="B1113" s="9">
        <v>21511</v>
      </c>
      <c r="C1113" s="11" t="s">
        <v>1114</v>
      </c>
      <c r="D1113" s="9" t="s">
        <v>1075</v>
      </c>
      <c r="E1113" s="10">
        <v>2001</v>
      </c>
      <c r="F1113" s="36" t="str" cm="1">
        <f t="array" ref="F1113">_xlfn.XLOOKUP(D1113&amp;C1113, Sheet3!$C$2:$C$1224&amp;Sheet3!$B$2:$B$1224, Sheet3!$D$2:$D$1224, "")</f>
        <v>madeandi@ugm.ac.id</v>
      </c>
      <c r="G1113" s="1" t="str" cm="1">
        <f t="array" ref="G1113">_xlfn.XLOOKUP(D1113&amp;C1113, Sheet2!$A$2:$A$558&amp;Sheet2!$B$2:$B$558, Sheet2!$C$2:$C$558, "")</f>
        <v/>
      </c>
      <c r="H1113" s="40" t="str">
        <f t="shared" si="17"/>
        <v>madeandi@ugm.ac.id</v>
      </c>
    </row>
    <row r="1114" spans="1:8" ht="15.5" x14ac:dyDescent="0.35">
      <c r="A1114" s="7">
        <v>1113</v>
      </c>
      <c r="B1114" s="9">
        <v>16727</v>
      </c>
      <c r="C1114" s="11" t="s">
        <v>1115</v>
      </c>
      <c r="D1114" s="9" t="s">
        <v>1070</v>
      </c>
      <c r="E1114" s="10">
        <v>2001</v>
      </c>
      <c r="F1114" s="36" t="str" cm="1">
        <f t="array" ref="F1114">_xlfn.XLOOKUP(D1114&amp;C1114, Sheet3!$C$2:$C$1224&amp;Sheet3!$B$2:$B$1224, Sheet3!$D$2:$D$1224, "")</f>
        <v/>
      </c>
      <c r="G1114" s="1" t="str" cm="1">
        <f t="array" ref="G1114">_xlfn.XLOOKUP(D1114&amp;C1114, Sheet2!$A$2:$A$558&amp;Sheet2!$B$2:$B$558, Sheet2!$C$2:$C$558, "")</f>
        <v/>
      </c>
      <c r="H1114" s="40" t="str">
        <f t="shared" si="17"/>
        <v/>
      </c>
    </row>
    <row r="1115" spans="1:8" ht="15.5" x14ac:dyDescent="0.35">
      <c r="A1115" s="7">
        <v>1114</v>
      </c>
      <c r="B1115" s="9">
        <v>17417</v>
      </c>
      <c r="C1115" s="11" t="s">
        <v>1116</v>
      </c>
      <c r="D1115" s="9" t="s">
        <v>1071</v>
      </c>
      <c r="E1115" s="10">
        <v>2001</v>
      </c>
      <c r="F1115" s="36" t="str" cm="1">
        <f t="array" ref="F1115">_xlfn.XLOOKUP(D1115&amp;C1115, Sheet3!$C$2:$C$1224&amp;Sheet3!$B$2:$B$1224, Sheet3!$D$2:$D$1224, "")</f>
        <v/>
      </c>
      <c r="G1115" s="1" t="str" cm="1">
        <f t="array" ref="G1115">_xlfn.XLOOKUP(D1115&amp;C1115, Sheet2!$A$2:$A$558&amp;Sheet2!$B$2:$B$558, Sheet2!$C$2:$C$558, "")</f>
        <v/>
      </c>
      <c r="H1115" s="40" t="str">
        <f t="shared" si="17"/>
        <v/>
      </c>
    </row>
    <row r="1116" spans="1:8" ht="15.5" x14ac:dyDescent="0.35">
      <c r="A1116" s="7">
        <v>1115</v>
      </c>
      <c r="B1116" s="9">
        <v>19770</v>
      </c>
      <c r="C1116" s="11" t="s">
        <v>1117</v>
      </c>
      <c r="D1116" s="9" t="s">
        <v>1074</v>
      </c>
      <c r="E1116" s="10">
        <v>2001</v>
      </c>
      <c r="F1116" s="36" t="str" cm="1">
        <f t="array" ref="F1116">_xlfn.XLOOKUP(D1116&amp;C1116, Sheet3!$C$2:$C$1224&amp;Sheet3!$B$2:$B$1224, Sheet3!$D$2:$D$1224, "")</f>
        <v>prameswaras@gmail.com</v>
      </c>
      <c r="G1116" s="1" t="str" cm="1">
        <f t="array" ref="G1116">_xlfn.XLOOKUP(D1116&amp;C1116, Sheet2!$A$2:$A$558&amp;Sheet2!$B$2:$B$558, Sheet2!$C$2:$C$558, "")</f>
        <v>prameswaras@gmail.com</v>
      </c>
      <c r="H1116" s="40" t="str">
        <f t="shared" si="17"/>
        <v>prameswaras@gmail.com</v>
      </c>
    </row>
    <row r="1117" spans="1:8" ht="15.5" x14ac:dyDescent="0.35">
      <c r="A1117" s="7">
        <v>1116</v>
      </c>
      <c r="B1117" s="9">
        <v>19793</v>
      </c>
      <c r="C1117" s="11" t="s">
        <v>1118</v>
      </c>
      <c r="D1117" s="9" t="s">
        <v>1074</v>
      </c>
      <c r="E1117" s="10">
        <v>2001</v>
      </c>
      <c r="F1117" s="36" t="str" cm="1">
        <f t="array" ref="F1117">_xlfn.XLOOKUP(D1117&amp;C1117, Sheet3!$C$2:$C$1224&amp;Sheet3!$B$2:$B$1224, Sheet3!$D$2:$D$1224, "")</f>
        <v>Haqqi.mushtof@gmail.com</v>
      </c>
      <c r="G1117" s="1" t="str" cm="1">
        <f t="array" ref="G1117">_xlfn.XLOOKUP(D1117&amp;C1117, Sheet2!$A$2:$A$558&amp;Sheet2!$B$2:$B$558, Sheet2!$C$2:$C$558, "")</f>
        <v/>
      </c>
      <c r="H1117" s="40" t="str">
        <f t="shared" si="17"/>
        <v>Haqqi.mushtof@gmail.com</v>
      </c>
    </row>
    <row r="1118" spans="1:8" ht="15.5" x14ac:dyDescent="0.35">
      <c r="A1118" s="7">
        <v>1117</v>
      </c>
      <c r="B1118" s="9">
        <v>19843</v>
      </c>
      <c r="C1118" s="11" t="s">
        <v>1119</v>
      </c>
      <c r="D1118" s="9" t="s">
        <v>1074</v>
      </c>
      <c r="E1118" s="10">
        <v>2001</v>
      </c>
      <c r="F1118" s="36" t="str" cm="1">
        <f t="array" ref="F1118">_xlfn.XLOOKUP(D1118&amp;C1118, Sheet3!$C$2:$C$1224&amp;Sheet3!$B$2:$B$1224, Sheet3!$D$2:$D$1224, "")</f>
        <v/>
      </c>
      <c r="G1118" s="1" t="str" cm="1">
        <f t="array" ref="G1118">_xlfn.XLOOKUP(D1118&amp;C1118, Sheet2!$A$2:$A$558&amp;Sheet2!$B$2:$B$558, Sheet2!$C$2:$C$558, "")</f>
        <v/>
      </c>
      <c r="H1118" s="40" t="str">
        <f t="shared" si="17"/>
        <v/>
      </c>
    </row>
    <row r="1119" spans="1:8" ht="15.5" x14ac:dyDescent="0.35">
      <c r="A1119" s="7">
        <v>1118</v>
      </c>
      <c r="B1119" s="9">
        <v>19845</v>
      </c>
      <c r="C1119" s="11" t="s">
        <v>1120</v>
      </c>
      <c r="D1119" s="9" t="s">
        <v>1074</v>
      </c>
      <c r="E1119" s="10">
        <v>2001</v>
      </c>
      <c r="F1119" s="36" t="str" cm="1">
        <f t="array" ref="F1119">_xlfn.XLOOKUP(D1119&amp;C1119, Sheet3!$C$2:$C$1224&amp;Sheet3!$B$2:$B$1224, Sheet3!$D$2:$D$1224, "")</f>
        <v/>
      </c>
      <c r="G1119" s="1" t="str" cm="1">
        <f t="array" ref="G1119">_xlfn.XLOOKUP(D1119&amp;C1119, Sheet2!$A$2:$A$558&amp;Sheet2!$B$2:$B$558, Sheet2!$C$2:$C$558, "")</f>
        <v>prasetya1995@gmail.com</v>
      </c>
      <c r="H1119" s="40" t="str">
        <f t="shared" si="17"/>
        <v>prasetya1995@gmail.com</v>
      </c>
    </row>
    <row r="1120" spans="1:8" ht="15.5" x14ac:dyDescent="0.35">
      <c r="A1120" s="7">
        <v>1119</v>
      </c>
      <c r="B1120" s="9">
        <v>19912</v>
      </c>
      <c r="C1120" s="11" t="s">
        <v>1121</v>
      </c>
      <c r="D1120" s="9" t="s">
        <v>1074</v>
      </c>
      <c r="E1120" s="10">
        <v>2001</v>
      </c>
      <c r="F1120" s="36" t="str" cm="1">
        <f t="array" ref="F1120">_xlfn.XLOOKUP(D1120&amp;C1120, Sheet3!$C$2:$C$1224&amp;Sheet3!$B$2:$B$1224, Sheet3!$D$2:$D$1224, "")</f>
        <v/>
      </c>
      <c r="G1120" s="1" t="str" cm="1">
        <f t="array" ref="G1120">_xlfn.XLOOKUP(D1120&amp;C1120, Sheet2!$A$2:$A$558&amp;Sheet2!$B$2:$B$558, Sheet2!$C$2:$C$558, "")</f>
        <v/>
      </c>
      <c r="H1120" s="40" t="str">
        <f t="shared" si="17"/>
        <v/>
      </c>
    </row>
    <row r="1121" spans="1:8" ht="15.5" x14ac:dyDescent="0.35">
      <c r="A1121" s="7">
        <v>1120</v>
      </c>
      <c r="B1121" s="9">
        <v>20150</v>
      </c>
      <c r="C1121" s="11" t="s">
        <v>1122</v>
      </c>
      <c r="D1121" s="9" t="s">
        <v>1074</v>
      </c>
      <c r="E1121" s="10">
        <v>2001</v>
      </c>
      <c r="F1121" s="36" t="str" cm="1">
        <f t="array" ref="F1121">_xlfn.XLOOKUP(D1121&amp;C1121, Sheet3!$C$2:$C$1224&amp;Sheet3!$B$2:$B$1224, Sheet3!$D$2:$D$1224, "")</f>
        <v/>
      </c>
      <c r="G1121" s="1" t="str" cm="1">
        <f t="array" ref="G1121">_xlfn.XLOOKUP(D1121&amp;C1121, Sheet2!$A$2:$A$558&amp;Sheet2!$B$2:$B$558, Sheet2!$C$2:$C$558, "")</f>
        <v/>
      </c>
      <c r="H1121" s="40" t="str">
        <f t="shared" si="17"/>
        <v/>
      </c>
    </row>
    <row r="1122" spans="1:8" ht="15.5" x14ac:dyDescent="0.35">
      <c r="A1122" s="7">
        <v>1121</v>
      </c>
      <c r="B1122" s="9">
        <v>20422</v>
      </c>
      <c r="C1122" s="11" t="s">
        <v>1123</v>
      </c>
      <c r="D1122" s="9" t="s">
        <v>1075</v>
      </c>
      <c r="E1122" s="10">
        <v>2001</v>
      </c>
      <c r="F1122" s="36" t="str" cm="1">
        <f t="array" ref="F1122">_xlfn.XLOOKUP(D1122&amp;C1122, Sheet3!$C$2:$C$1224&amp;Sheet3!$B$2:$B$1224, Sheet3!$D$2:$D$1224, "")</f>
        <v/>
      </c>
      <c r="G1122" s="1" t="str" cm="1">
        <f t="array" ref="G1122">_xlfn.XLOOKUP(D1122&amp;C1122, Sheet2!$A$2:$A$558&amp;Sheet2!$B$2:$B$558, Sheet2!$C$2:$C$558, "")</f>
        <v/>
      </c>
      <c r="H1122" s="40" t="str">
        <f t="shared" si="17"/>
        <v/>
      </c>
    </row>
    <row r="1123" spans="1:8" ht="15.5" x14ac:dyDescent="0.35">
      <c r="A1123" s="7">
        <v>1122</v>
      </c>
      <c r="B1123" s="9">
        <v>20434</v>
      </c>
      <c r="C1123" s="11" t="s">
        <v>1124</v>
      </c>
      <c r="D1123" s="9" t="s">
        <v>1075</v>
      </c>
      <c r="E1123" s="10">
        <v>2001</v>
      </c>
      <c r="F1123" s="36" t="str" cm="1">
        <f t="array" ref="F1123">_xlfn.XLOOKUP(D1123&amp;C1123, Sheet3!$C$2:$C$1224&amp;Sheet3!$B$2:$B$1224, Sheet3!$D$2:$D$1224, "")</f>
        <v>dadimalik78@gmail.com</v>
      </c>
      <c r="G1123" s="1" t="str" cm="1">
        <f t="array" ref="G1123">_xlfn.XLOOKUP(D1123&amp;C1123, Sheet2!$A$2:$A$558&amp;Sheet2!$B$2:$B$558, Sheet2!$C$2:$C$558, "")</f>
        <v>dadimalik78@gmail.com</v>
      </c>
      <c r="H1123" s="40" t="str">
        <f t="shared" si="17"/>
        <v>dadimalik78@gmail.com</v>
      </c>
    </row>
    <row r="1124" spans="1:8" ht="15.5" x14ac:dyDescent="0.35">
      <c r="A1124" s="7">
        <v>1123</v>
      </c>
      <c r="B1124" s="9">
        <v>20514</v>
      </c>
      <c r="C1124" s="11" t="s">
        <v>1125</v>
      </c>
      <c r="D1124" s="9" t="s">
        <v>1075</v>
      </c>
      <c r="E1124" s="10">
        <v>2001</v>
      </c>
      <c r="F1124" s="36" t="str" cm="1">
        <f t="array" ref="F1124">_xlfn.XLOOKUP(D1124&amp;C1124, Sheet3!$C$2:$C$1224&amp;Sheet3!$B$2:$B$1224, Sheet3!$D$2:$D$1224, "")</f>
        <v>Lunaleya@gmail.com</v>
      </c>
      <c r="G1124" s="1" t="str" cm="1">
        <f t="array" ref="G1124">_xlfn.XLOOKUP(D1124&amp;C1124, Sheet2!$A$2:$A$558&amp;Sheet2!$B$2:$B$558, Sheet2!$C$2:$C$558, "")</f>
        <v/>
      </c>
      <c r="H1124" s="40" t="str">
        <f t="shared" si="17"/>
        <v>Lunaleya@gmail.com</v>
      </c>
    </row>
    <row r="1125" spans="1:8" ht="15.5" x14ac:dyDescent="0.35">
      <c r="A1125" s="7">
        <v>1124</v>
      </c>
      <c r="B1125" s="9">
        <v>20571</v>
      </c>
      <c r="C1125" s="11" t="s">
        <v>1126</v>
      </c>
      <c r="D1125" s="9" t="s">
        <v>1075</v>
      </c>
      <c r="E1125" s="10">
        <v>2001</v>
      </c>
      <c r="F1125" s="36" t="str" cm="1">
        <f t="array" ref="F1125">_xlfn.XLOOKUP(D1125&amp;C1125, Sheet3!$C$2:$C$1224&amp;Sheet3!$B$2:$B$1224, Sheet3!$D$2:$D$1224, "")</f>
        <v>medinapalembang@gmail.com</v>
      </c>
      <c r="G1125" s="1" t="str" cm="1">
        <f t="array" ref="G1125">_xlfn.XLOOKUP(D1125&amp;C1125, Sheet2!$A$2:$A$558&amp;Sheet2!$B$2:$B$558, Sheet2!$C$2:$C$558, "")</f>
        <v/>
      </c>
      <c r="H1125" s="40" t="str">
        <f t="shared" si="17"/>
        <v>medinapalembang@gmail.com</v>
      </c>
    </row>
    <row r="1126" spans="1:8" ht="15.5" x14ac:dyDescent="0.35">
      <c r="A1126" s="7">
        <v>1125</v>
      </c>
      <c r="B1126" s="9">
        <v>20703</v>
      </c>
      <c r="C1126" s="11" t="s">
        <v>1127</v>
      </c>
      <c r="D1126" s="9" t="s">
        <v>1075</v>
      </c>
      <c r="E1126" s="10">
        <v>2001</v>
      </c>
      <c r="F1126" s="36" t="str" cm="1">
        <f t="array" ref="F1126">_xlfn.XLOOKUP(D1126&amp;C1126, Sheet3!$C$2:$C$1224&amp;Sheet3!$B$2:$B$1224, Sheet3!$D$2:$D$1224, "")</f>
        <v>dwidaningrum7@gmail.com</v>
      </c>
      <c r="G1126" s="1" t="str" cm="1">
        <f t="array" ref="G1126">_xlfn.XLOOKUP(D1126&amp;C1126, Sheet2!$A$2:$A$558&amp;Sheet2!$B$2:$B$558, Sheet2!$C$2:$C$558, "")</f>
        <v/>
      </c>
      <c r="H1126" s="40" t="str">
        <f t="shared" si="17"/>
        <v>dwidaningrum7@gmail.com</v>
      </c>
    </row>
    <row r="1127" spans="1:8" ht="15.5" x14ac:dyDescent="0.35">
      <c r="A1127" s="7">
        <v>1126</v>
      </c>
      <c r="B1127" s="9">
        <v>20767</v>
      </c>
      <c r="C1127" s="11" t="s">
        <v>1128</v>
      </c>
      <c r="D1127" s="9" t="s">
        <v>1075</v>
      </c>
      <c r="E1127" s="10">
        <v>2001</v>
      </c>
      <c r="F1127" s="36" t="str" cm="1">
        <f t="array" ref="F1127">_xlfn.XLOOKUP(D1127&amp;C1127, Sheet3!$C$2:$C$1224&amp;Sheet3!$B$2:$B$1224, Sheet3!$D$2:$D$1224, "")</f>
        <v>sugistoro@gmail.com</v>
      </c>
      <c r="G1127" s="1" t="str" cm="1">
        <f t="array" ref="G1127">_xlfn.XLOOKUP(D1127&amp;C1127, Sheet2!$A$2:$A$558&amp;Sheet2!$B$2:$B$558, Sheet2!$C$2:$C$558, "")</f>
        <v/>
      </c>
      <c r="H1127" s="40" t="str">
        <f t="shared" si="17"/>
        <v>sugistoro@gmail.com</v>
      </c>
    </row>
    <row r="1128" spans="1:8" ht="15.5" x14ac:dyDescent="0.35">
      <c r="A1128" s="7">
        <v>1127</v>
      </c>
      <c r="B1128" s="9">
        <v>20950</v>
      </c>
      <c r="C1128" s="11" t="s">
        <v>1129</v>
      </c>
      <c r="D1128" s="9" t="s">
        <v>1075</v>
      </c>
      <c r="E1128" s="10">
        <v>2001</v>
      </c>
      <c r="F1128" s="36" t="str" cm="1">
        <f t="array" ref="F1128">_xlfn.XLOOKUP(D1128&amp;C1128, Sheet3!$C$2:$C$1224&amp;Sheet3!$B$2:$B$1224, Sheet3!$D$2:$D$1224, "")</f>
        <v>bayuaji.leo@gmail.com</v>
      </c>
      <c r="G1128" s="1" t="str" cm="1">
        <f t="array" ref="G1128">_xlfn.XLOOKUP(D1128&amp;C1128, Sheet2!$A$2:$A$558&amp;Sheet2!$B$2:$B$558, Sheet2!$C$2:$C$558, "")</f>
        <v/>
      </c>
      <c r="H1128" s="40" t="str">
        <f t="shared" si="17"/>
        <v>bayuaji.leo@gmail.com</v>
      </c>
    </row>
    <row r="1129" spans="1:8" ht="15.5" x14ac:dyDescent="0.35">
      <c r="A1129" s="7">
        <v>1128</v>
      </c>
      <c r="B1129" s="9">
        <v>20978</v>
      </c>
      <c r="C1129" s="11" t="s">
        <v>1130</v>
      </c>
      <c r="D1129" s="9" t="s">
        <v>1075</v>
      </c>
      <c r="E1129" s="10">
        <v>2001</v>
      </c>
      <c r="F1129" s="36" t="str" cm="1">
        <f t="array" ref="F1129">_xlfn.XLOOKUP(D1129&amp;C1129, Sheet3!$C$2:$C$1224&amp;Sheet3!$B$2:$B$1224, Sheet3!$D$2:$D$1224, "")</f>
        <v>f4djat@gmail.com</v>
      </c>
      <c r="G1129" s="1" t="str" cm="1">
        <f t="array" ref="G1129">_xlfn.XLOOKUP(D1129&amp;C1129, Sheet2!$A$2:$A$558&amp;Sheet2!$B$2:$B$558, Sheet2!$C$2:$C$558, "")</f>
        <v/>
      </c>
      <c r="H1129" s="40" t="str">
        <f t="shared" si="17"/>
        <v>f4djat@gmail.com</v>
      </c>
    </row>
    <row r="1130" spans="1:8" ht="15.5" x14ac:dyDescent="0.35">
      <c r="A1130" s="7">
        <v>1129</v>
      </c>
      <c r="B1130" s="9">
        <v>20982</v>
      </c>
      <c r="C1130" s="11" t="s">
        <v>1131</v>
      </c>
      <c r="D1130" s="9" t="s">
        <v>1075</v>
      </c>
      <c r="E1130" s="10">
        <v>2001</v>
      </c>
      <c r="F1130" s="36" t="str" cm="1">
        <f t="array" ref="F1130">_xlfn.XLOOKUP(D1130&amp;C1130, Sheet3!$C$2:$C$1224&amp;Sheet3!$B$2:$B$1224, Sheet3!$D$2:$D$1224, "")</f>
        <v>Toni@adaro.com</v>
      </c>
      <c r="G1130" s="1" t="str" cm="1">
        <f t="array" ref="G1130">_xlfn.XLOOKUP(D1130&amp;C1130, Sheet2!$A$2:$A$558&amp;Sheet2!$B$2:$B$558, Sheet2!$C$2:$C$558, "")</f>
        <v/>
      </c>
      <c r="H1130" s="40" t="str">
        <f t="shared" si="17"/>
        <v>Toni@adaro.com</v>
      </c>
    </row>
    <row r="1131" spans="1:8" ht="15.5" x14ac:dyDescent="0.35">
      <c r="A1131" s="7">
        <v>1130</v>
      </c>
      <c r="B1131" s="9">
        <v>20992</v>
      </c>
      <c r="C1131" s="11" t="s">
        <v>1132</v>
      </c>
      <c r="D1131" s="9" t="s">
        <v>1075</v>
      </c>
      <c r="E1131" s="10">
        <v>2001</v>
      </c>
      <c r="F1131" s="36" t="str" cm="1">
        <f t="array" ref="F1131">_xlfn.XLOOKUP(D1131&amp;C1131, Sheet3!$C$2:$C$1224&amp;Sheet3!$B$2:$B$1224, Sheet3!$D$2:$D$1224, "")</f>
        <v>artanto.cahyono@gmail.com</v>
      </c>
      <c r="G1131" s="1" t="str" cm="1">
        <f t="array" ref="G1131">_xlfn.XLOOKUP(D1131&amp;C1131, Sheet2!$A$2:$A$558&amp;Sheet2!$B$2:$B$558, Sheet2!$C$2:$C$558, "")</f>
        <v/>
      </c>
      <c r="H1131" s="40" t="str">
        <f t="shared" si="17"/>
        <v>artanto.cahyono@gmail.com</v>
      </c>
    </row>
    <row r="1132" spans="1:8" ht="15.5" x14ac:dyDescent="0.35">
      <c r="A1132" s="7">
        <v>1131</v>
      </c>
      <c r="B1132" s="9">
        <v>21984</v>
      </c>
      <c r="C1132" s="11" t="s">
        <v>1133</v>
      </c>
      <c r="D1132" s="9" t="s">
        <v>1076</v>
      </c>
      <c r="E1132" s="10">
        <v>2001</v>
      </c>
      <c r="F1132" s="36" t="str" cm="1">
        <f t="array" ref="F1132">_xlfn.XLOOKUP(D1132&amp;C1132, Sheet3!$C$2:$C$1224&amp;Sheet3!$B$2:$B$1224, Sheet3!$D$2:$D$1224, "")</f>
        <v/>
      </c>
      <c r="G1132" s="1" t="str" cm="1">
        <f t="array" ref="G1132">_xlfn.XLOOKUP(D1132&amp;C1132, Sheet2!$A$2:$A$558&amp;Sheet2!$B$2:$B$558, Sheet2!$C$2:$C$558, "")</f>
        <v/>
      </c>
      <c r="H1132" s="40" t="str">
        <f t="shared" si="17"/>
        <v/>
      </c>
    </row>
    <row r="1133" spans="1:8" ht="15.5" x14ac:dyDescent="0.35">
      <c r="A1133" s="7">
        <v>1132</v>
      </c>
      <c r="B1133" s="9">
        <v>17675</v>
      </c>
      <c r="C1133" s="11" t="s">
        <v>1134</v>
      </c>
      <c r="D1133" s="9" t="s">
        <v>1062</v>
      </c>
      <c r="E1133" s="10">
        <v>2001</v>
      </c>
      <c r="F1133" s="36" t="str" cm="1">
        <f t="array" ref="F1133">_xlfn.XLOOKUP(D1133&amp;C1133, Sheet3!$C$2:$C$1224&amp;Sheet3!$B$2:$B$1224, Sheet3!$D$2:$D$1224, "")</f>
        <v/>
      </c>
      <c r="G1133" s="1" t="str" cm="1">
        <f t="array" ref="G1133">_xlfn.XLOOKUP(D1133&amp;C1133, Sheet2!$A$2:$A$558&amp;Sheet2!$B$2:$B$558, Sheet2!$C$2:$C$558, "")</f>
        <v/>
      </c>
      <c r="H1133" s="40" t="str">
        <f t="shared" si="17"/>
        <v/>
      </c>
    </row>
    <row r="1134" spans="1:8" ht="15.5" x14ac:dyDescent="0.35">
      <c r="A1134" s="7">
        <v>1133</v>
      </c>
      <c r="B1134" s="9">
        <v>20204</v>
      </c>
      <c r="C1134" s="11" t="s">
        <v>1135</v>
      </c>
      <c r="D1134" s="9" t="s">
        <v>1074</v>
      </c>
      <c r="E1134" s="10">
        <v>2001</v>
      </c>
      <c r="F1134" s="36" t="str" cm="1">
        <f t="array" ref="F1134">_xlfn.XLOOKUP(D1134&amp;C1134, Sheet3!$C$2:$C$1224&amp;Sheet3!$B$2:$B$1224, Sheet3!$D$2:$D$1224, "")</f>
        <v/>
      </c>
      <c r="G1134" s="1" t="str" cm="1">
        <f t="array" ref="G1134">_xlfn.XLOOKUP(D1134&amp;C1134, Sheet2!$A$2:$A$558&amp;Sheet2!$B$2:$B$558, Sheet2!$C$2:$C$558, "")</f>
        <v>arisbpratama@gmail.com</v>
      </c>
      <c r="H1134" s="40" t="str">
        <f t="shared" si="17"/>
        <v>arisbpratama@gmail.com</v>
      </c>
    </row>
    <row r="1135" spans="1:8" ht="15.5" x14ac:dyDescent="0.35">
      <c r="A1135" s="7">
        <v>1134</v>
      </c>
      <c r="B1135" s="9">
        <v>20994</v>
      </c>
      <c r="C1135" s="11" t="s">
        <v>5835</v>
      </c>
      <c r="D1135" s="9" t="s">
        <v>1075</v>
      </c>
      <c r="E1135" s="10">
        <v>2001</v>
      </c>
      <c r="F1135" s="36" t="str" cm="1">
        <f t="array" ref="F1135">_xlfn.XLOOKUP(D1135&amp;C1135, Sheet3!$C$2:$C$1224&amp;Sheet3!$B$2:$B$1224, Sheet3!$D$2:$D$1224, "")</f>
        <v>Zaimnh@gmail.com</v>
      </c>
      <c r="G1135" s="1" t="str" cm="1">
        <f t="array" ref="G1135">_xlfn.XLOOKUP(D1135&amp;C1135, Sheet2!$A$2:$A$558&amp;Sheet2!$B$2:$B$558, Sheet2!$C$2:$C$558, "")</f>
        <v>zaimnh@gmail.com</v>
      </c>
      <c r="H1135" s="40" t="str">
        <f t="shared" si="17"/>
        <v>Zaimnh@gmail.com</v>
      </c>
    </row>
    <row r="1136" spans="1:8" ht="15.5" x14ac:dyDescent="0.35">
      <c r="A1136" s="7">
        <v>1135</v>
      </c>
      <c r="B1136" s="9">
        <v>21241</v>
      </c>
      <c r="C1136" s="11" t="s">
        <v>1136</v>
      </c>
      <c r="D1136" s="9" t="s">
        <v>1075</v>
      </c>
      <c r="E1136" s="10">
        <v>2001</v>
      </c>
      <c r="F1136" s="36" t="str" cm="1">
        <f t="array" ref="F1136">_xlfn.XLOOKUP(D1136&amp;C1136, Sheet3!$C$2:$C$1224&amp;Sheet3!$B$2:$B$1224, Sheet3!$D$2:$D$1224, "")</f>
        <v>Ardisiak@gmail.com</v>
      </c>
      <c r="G1136" s="1" t="str" cm="1">
        <f t="array" ref="G1136">_xlfn.XLOOKUP(D1136&amp;C1136, Sheet2!$A$2:$A$558&amp;Sheet2!$B$2:$B$558, Sheet2!$C$2:$C$558, "")</f>
        <v/>
      </c>
      <c r="H1136" s="40" t="str">
        <f t="shared" si="17"/>
        <v>Ardisiak@gmail.com</v>
      </c>
    </row>
    <row r="1137" spans="1:8" ht="15.5" x14ac:dyDescent="0.35">
      <c r="A1137" s="7">
        <v>1136</v>
      </c>
      <c r="B1137" s="9">
        <v>21242</v>
      </c>
      <c r="C1137" s="11" t="s">
        <v>1137</v>
      </c>
      <c r="D1137" s="9" t="s">
        <v>1075</v>
      </c>
      <c r="E1137" s="10">
        <v>2001</v>
      </c>
      <c r="F1137" s="36" t="str" cm="1">
        <f t="array" ref="F1137">_xlfn.XLOOKUP(D1137&amp;C1137, Sheet3!$C$2:$C$1224&amp;Sheet3!$B$2:$B$1224, Sheet3!$D$2:$D$1224, "")</f>
        <v/>
      </c>
      <c r="G1137" s="1" t="str" cm="1">
        <f t="array" ref="G1137">_xlfn.XLOOKUP(D1137&amp;C1137, Sheet2!$A$2:$A$558&amp;Sheet2!$B$2:$B$558, Sheet2!$C$2:$C$558, "")</f>
        <v/>
      </c>
      <c r="H1137" s="40" t="str">
        <f t="shared" si="17"/>
        <v/>
      </c>
    </row>
    <row r="1138" spans="1:8" ht="15.5" x14ac:dyDescent="0.35">
      <c r="A1138" s="7">
        <v>1137</v>
      </c>
      <c r="B1138" s="9">
        <v>21987</v>
      </c>
      <c r="C1138" s="11" t="s">
        <v>1138</v>
      </c>
      <c r="D1138" s="9" t="s">
        <v>1076</v>
      </c>
      <c r="E1138" s="10">
        <v>2001</v>
      </c>
      <c r="F1138" s="36" t="str" cm="1">
        <f t="array" ref="F1138">_xlfn.XLOOKUP(D1138&amp;C1138, Sheet3!$C$2:$C$1224&amp;Sheet3!$B$2:$B$1224, Sheet3!$D$2:$D$1224, "")</f>
        <v>intan.laila@me.com</v>
      </c>
      <c r="G1138" s="1" t="str" cm="1">
        <f t="array" ref="G1138">_xlfn.XLOOKUP(D1138&amp;C1138, Sheet2!$A$2:$A$558&amp;Sheet2!$B$2:$B$558, Sheet2!$C$2:$C$558, "")</f>
        <v/>
      </c>
      <c r="H1138" s="40" t="str">
        <f t="shared" si="17"/>
        <v>intan.laila@me.com</v>
      </c>
    </row>
    <row r="1139" spans="1:8" ht="15.5" x14ac:dyDescent="0.35">
      <c r="A1139" s="7">
        <v>1138</v>
      </c>
      <c r="B1139" s="9">
        <v>18327</v>
      </c>
      <c r="C1139" s="11" t="s">
        <v>1139</v>
      </c>
      <c r="D1139" s="9" t="s">
        <v>1072</v>
      </c>
      <c r="E1139" s="10">
        <v>2001</v>
      </c>
      <c r="F1139" s="36" t="str" cm="1">
        <f t="array" ref="F1139">_xlfn.XLOOKUP(D1139&amp;C1139, Sheet3!$C$2:$C$1224&amp;Sheet3!$B$2:$B$1224, Sheet3!$D$2:$D$1224, "")</f>
        <v>drw.indonesia@gmail.com</v>
      </c>
      <c r="G1139" s="1" t="str" cm="1">
        <f t="array" ref="G1139">_xlfn.XLOOKUP(D1139&amp;C1139, Sheet2!$A$2:$A$558&amp;Sheet2!$B$2:$B$558, Sheet2!$C$2:$C$558, "")</f>
        <v>drw.indonesia@yahoo.com</v>
      </c>
      <c r="H1139" s="40" t="str">
        <f t="shared" si="17"/>
        <v>drw.indonesia@gmail.com</v>
      </c>
    </row>
    <row r="1140" spans="1:8" ht="15.5" x14ac:dyDescent="0.35">
      <c r="A1140" s="7">
        <v>1139</v>
      </c>
      <c r="B1140" s="9">
        <v>19347</v>
      </c>
      <c r="C1140" s="11" t="s">
        <v>1140</v>
      </c>
      <c r="D1140" s="9" t="s">
        <v>1073</v>
      </c>
      <c r="E1140" s="10">
        <v>2001</v>
      </c>
      <c r="F1140" s="36" t="str" cm="1">
        <f t="array" ref="F1140">_xlfn.XLOOKUP(D1140&amp;C1140, Sheet3!$C$2:$C$1224&amp;Sheet3!$B$2:$B$1224, Sheet3!$D$2:$D$1224, "")</f>
        <v>thomas.ab.prasetya@gmail.com</v>
      </c>
      <c r="G1140" s="1" t="str" cm="1">
        <f t="array" ref="G1140">_xlfn.XLOOKUP(D1140&amp;C1140, Sheet2!$A$2:$A$558&amp;Sheet2!$B$2:$B$558, Sheet2!$C$2:$C$558, "")</f>
        <v/>
      </c>
      <c r="H1140" s="40" t="str">
        <f t="shared" si="17"/>
        <v>thomas.ab.prasetya@gmail.com</v>
      </c>
    </row>
    <row r="1141" spans="1:8" ht="15.5" x14ac:dyDescent="0.35">
      <c r="A1141" s="7">
        <v>1140</v>
      </c>
      <c r="B1141" s="9">
        <v>19769</v>
      </c>
      <c r="C1141" s="11" t="s">
        <v>1141</v>
      </c>
      <c r="D1141" s="9" t="s">
        <v>1074</v>
      </c>
      <c r="E1141" s="10">
        <v>2001</v>
      </c>
      <c r="F1141" s="36" t="str" cm="1">
        <f t="array" ref="F1141">_xlfn.XLOOKUP(D1141&amp;C1141, Sheet3!$C$2:$C$1224&amp;Sheet3!$B$2:$B$1224, Sheet3!$D$2:$D$1224, "")</f>
        <v/>
      </c>
      <c r="G1141" s="1" t="str" cm="1">
        <f t="array" ref="G1141">_xlfn.XLOOKUP(D1141&amp;C1141, Sheet2!$A$2:$A$558&amp;Sheet2!$B$2:$B$558, Sheet2!$C$2:$C$558, "")</f>
        <v/>
      </c>
      <c r="H1141" s="40" t="str">
        <f t="shared" si="17"/>
        <v/>
      </c>
    </row>
    <row r="1142" spans="1:8" ht="15.5" x14ac:dyDescent="0.35">
      <c r="A1142" s="7">
        <v>1141</v>
      </c>
      <c r="B1142" s="9">
        <v>20005</v>
      </c>
      <c r="C1142" s="11" t="s">
        <v>1142</v>
      </c>
      <c r="D1142" s="9" t="s">
        <v>1074</v>
      </c>
      <c r="E1142" s="10">
        <v>2001</v>
      </c>
      <c r="F1142" s="36" t="str" cm="1">
        <f t="array" ref="F1142">_xlfn.XLOOKUP(D1142&amp;C1142, Sheet3!$C$2:$C$1224&amp;Sheet3!$B$2:$B$1224, Sheet3!$D$2:$D$1224, "")</f>
        <v>bambangprasongko190675@gmail.com</v>
      </c>
      <c r="G1142" s="1" t="str" cm="1">
        <f t="array" ref="G1142">_xlfn.XLOOKUP(D1142&amp;C1142, Sheet2!$A$2:$A$558&amp;Sheet2!$B$2:$B$558, Sheet2!$C$2:$C$558, "")</f>
        <v>bambangprasongko190675@gmail.com</v>
      </c>
      <c r="H1142" s="40" t="str">
        <f t="shared" si="17"/>
        <v>bambangprasongko190675@gmail.com</v>
      </c>
    </row>
    <row r="1143" spans="1:8" ht="15.5" x14ac:dyDescent="0.35">
      <c r="A1143" s="7">
        <v>1142</v>
      </c>
      <c r="B1143" s="9">
        <v>20657</v>
      </c>
      <c r="C1143" s="11" t="s">
        <v>1143</v>
      </c>
      <c r="D1143" s="9" t="s">
        <v>1075</v>
      </c>
      <c r="E1143" s="10">
        <v>2001</v>
      </c>
      <c r="F1143" s="36" t="str" cm="1">
        <f t="array" ref="F1143">_xlfn.XLOOKUP(D1143&amp;C1143, Sheet3!$C$2:$C$1224&amp;Sheet3!$B$2:$B$1224, Sheet3!$D$2:$D$1224, "")</f>
        <v/>
      </c>
      <c r="G1143" s="1" t="str" cm="1">
        <f t="array" ref="G1143">_xlfn.XLOOKUP(D1143&amp;C1143, Sheet2!$A$2:$A$558&amp;Sheet2!$B$2:$B$558, Sheet2!$C$2:$C$558, "")</f>
        <v/>
      </c>
      <c r="H1143" s="40" t="str">
        <f t="shared" si="17"/>
        <v/>
      </c>
    </row>
    <row r="1144" spans="1:8" ht="15.5" x14ac:dyDescent="0.35">
      <c r="A1144" s="7">
        <v>1143</v>
      </c>
      <c r="B1144" s="9">
        <v>20688</v>
      </c>
      <c r="C1144" s="11" t="s">
        <v>1144</v>
      </c>
      <c r="D1144" s="9" t="s">
        <v>1075</v>
      </c>
      <c r="E1144" s="10">
        <v>2001</v>
      </c>
      <c r="F1144" s="36" t="str" cm="1">
        <f t="array" ref="F1144">_xlfn.XLOOKUP(D1144&amp;C1144, Sheet3!$C$2:$C$1224&amp;Sheet3!$B$2:$B$1224, Sheet3!$D$2:$D$1224, "")</f>
        <v>aluycia.setiyowati@gmail.com</v>
      </c>
      <c r="G1144" s="1" t="str" cm="1">
        <f t="array" ref="G1144">_xlfn.XLOOKUP(D1144&amp;C1144, Sheet2!$A$2:$A$558&amp;Sheet2!$B$2:$B$558, Sheet2!$C$2:$C$558, "")</f>
        <v/>
      </c>
      <c r="H1144" s="40" t="str">
        <f t="shared" si="17"/>
        <v>aluycia.setiyowati@gmail.com</v>
      </c>
    </row>
    <row r="1145" spans="1:8" ht="15.5" x14ac:dyDescent="0.35">
      <c r="A1145" s="7">
        <v>1144</v>
      </c>
      <c r="B1145" s="9">
        <v>21091</v>
      </c>
      <c r="C1145" s="11" t="s">
        <v>1145</v>
      </c>
      <c r="D1145" s="9" t="s">
        <v>1075</v>
      </c>
      <c r="E1145" s="10">
        <v>2001</v>
      </c>
      <c r="F1145" s="36" t="str" cm="1">
        <f t="array" ref="F1145">_xlfn.XLOOKUP(D1145&amp;C1145, Sheet3!$C$2:$C$1224&amp;Sheet3!$B$2:$B$1224, Sheet3!$D$2:$D$1224, "")</f>
        <v/>
      </c>
      <c r="G1145" s="1" t="str" cm="1">
        <f t="array" ref="G1145">_xlfn.XLOOKUP(D1145&amp;C1145, Sheet2!$A$2:$A$558&amp;Sheet2!$B$2:$B$558, Sheet2!$C$2:$C$558, "")</f>
        <v/>
      </c>
      <c r="H1145" s="40" t="str">
        <f t="shared" si="17"/>
        <v/>
      </c>
    </row>
    <row r="1146" spans="1:8" ht="15.5" x14ac:dyDescent="0.35">
      <c r="A1146" s="7">
        <v>1145</v>
      </c>
      <c r="B1146" s="9">
        <v>21092</v>
      </c>
      <c r="C1146" s="11" t="s">
        <v>1146</v>
      </c>
      <c r="D1146" s="9" t="s">
        <v>1075</v>
      </c>
      <c r="E1146" s="10">
        <v>2001</v>
      </c>
      <c r="F1146" s="36" t="str" cm="1">
        <f t="array" ref="F1146">_xlfn.XLOOKUP(D1146&amp;C1146, Sheet3!$C$2:$C$1224&amp;Sheet3!$B$2:$B$1224, Sheet3!$D$2:$D$1224, "")</f>
        <v>armeinus@gmail.com</v>
      </c>
      <c r="G1146" s="1" t="str" cm="1">
        <f t="array" ref="G1146">_xlfn.XLOOKUP(D1146&amp;C1146, Sheet2!$A$2:$A$558&amp;Sheet2!$B$2:$B$558, Sheet2!$C$2:$C$558, "")</f>
        <v/>
      </c>
      <c r="H1146" s="40" t="str">
        <f t="shared" si="17"/>
        <v>armeinus@gmail.com</v>
      </c>
    </row>
    <row r="1147" spans="1:8" ht="15.5" x14ac:dyDescent="0.35">
      <c r="A1147" s="7">
        <v>1146</v>
      </c>
      <c r="B1147" s="9">
        <v>21154</v>
      </c>
      <c r="C1147" s="11" t="s">
        <v>3228</v>
      </c>
      <c r="D1147" s="9" t="s">
        <v>1075</v>
      </c>
      <c r="E1147" s="10">
        <v>2001</v>
      </c>
      <c r="F1147" s="36" t="str" cm="1">
        <f t="array" ref="F1147">_xlfn.XLOOKUP(D1147&amp;C1147, Sheet3!$C$2:$C$1224&amp;Sheet3!$B$2:$B$1224, Sheet3!$D$2:$D$1224, "")</f>
        <v>rakhmada@gmail.com</v>
      </c>
      <c r="G1147" s="1" t="str" cm="1">
        <f t="array" ref="G1147">_xlfn.XLOOKUP(D1147&amp;C1147, Sheet2!$A$2:$A$558&amp;Sheet2!$B$2:$B$558, Sheet2!$C$2:$C$558, "")</f>
        <v/>
      </c>
      <c r="H1147" s="40" t="str">
        <f t="shared" si="17"/>
        <v>rakhmada@gmail.com</v>
      </c>
    </row>
    <row r="1148" spans="1:8" ht="15.5" x14ac:dyDescent="0.35">
      <c r="A1148" s="7">
        <v>1147</v>
      </c>
      <c r="B1148" s="9">
        <v>21960</v>
      </c>
      <c r="C1148" s="11" t="s">
        <v>1147</v>
      </c>
      <c r="D1148" s="9" t="s">
        <v>1076</v>
      </c>
      <c r="E1148" s="10">
        <v>2001</v>
      </c>
      <c r="F1148" s="36" t="str" cm="1">
        <f t="array" ref="F1148">_xlfn.XLOOKUP(D1148&amp;C1148, Sheet3!$C$2:$C$1224&amp;Sheet3!$B$2:$B$1224, Sheet3!$D$2:$D$1224, "")</f>
        <v/>
      </c>
      <c r="G1148" s="1" t="str" cm="1">
        <f t="array" ref="G1148">_xlfn.XLOOKUP(D1148&amp;C1148, Sheet2!$A$2:$A$558&amp;Sheet2!$B$2:$B$558, Sheet2!$C$2:$C$558, "")</f>
        <v/>
      </c>
      <c r="H1148" s="40" t="str">
        <f t="shared" si="17"/>
        <v/>
      </c>
    </row>
    <row r="1149" spans="1:8" ht="15.5" x14ac:dyDescent="0.35">
      <c r="A1149" s="7">
        <v>1148</v>
      </c>
      <c r="B1149" s="9">
        <v>21978</v>
      </c>
      <c r="C1149" s="11" t="s">
        <v>1148</v>
      </c>
      <c r="D1149" s="9" t="s">
        <v>1076</v>
      </c>
      <c r="E1149" s="10">
        <v>2001</v>
      </c>
      <c r="F1149" s="36" t="str" cm="1">
        <f t="array" ref="F1149">_xlfn.XLOOKUP(D1149&amp;C1149, Sheet3!$C$2:$C$1224&amp;Sheet3!$B$2:$B$1224, Sheet3!$D$2:$D$1224, "")</f>
        <v>gregoriusyerusalem1979@gmail.com</v>
      </c>
      <c r="G1149" s="1" t="str" cm="1">
        <f t="array" ref="G1149">_xlfn.XLOOKUP(D1149&amp;C1149, Sheet2!$A$2:$A$558&amp;Sheet2!$B$2:$B$558, Sheet2!$C$2:$C$558, "")</f>
        <v/>
      </c>
      <c r="H1149" s="40" t="str">
        <f t="shared" si="17"/>
        <v>gregoriusyerusalem1979@gmail.com</v>
      </c>
    </row>
    <row r="1150" spans="1:8" ht="15.5" x14ac:dyDescent="0.35">
      <c r="A1150" s="7">
        <v>1149</v>
      </c>
      <c r="B1150" s="9">
        <v>18310</v>
      </c>
      <c r="C1150" s="11" t="s">
        <v>1149</v>
      </c>
      <c r="D1150" s="9" t="s">
        <v>1072</v>
      </c>
      <c r="E1150" s="10">
        <v>2002</v>
      </c>
      <c r="F1150" s="36" t="str" cm="1">
        <f t="array" ref="F1150">_xlfn.XLOOKUP(D1150&amp;C1150, Sheet3!$C$2:$C$1224&amp;Sheet3!$B$2:$B$1224, Sheet3!$D$2:$D$1224, "")</f>
        <v/>
      </c>
      <c r="G1150" s="1" t="str" cm="1">
        <f t="array" ref="G1150">_xlfn.XLOOKUP(D1150&amp;C1150, Sheet2!$A$2:$A$558&amp;Sheet2!$B$2:$B$558, Sheet2!$C$2:$C$558, "")</f>
        <v/>
      </c>
      <c r="H1150" s="40" t="str">
        <f t="shared" si="17"/>
        <v/>
      </c>
    </row>
    <row r="1151" spans="1:8" ht="15.5" x14ac:dyDescent="0.35">
      <c r="A1151" s="7">
        <v>1150</v>
      </c>
      <c r="B1151" s="9">
        <v>20108</v>
      </c>
      <c r="C1151" s="11" t="s">
        <v>1150</v>
      </c>
      <c r="D1151" s="9" t="s">
        <v>1074</v>
      </c>
      <c r="E1151" s="10">
        <v>2002</v>
      </c>
      <c r="F1151" s="36" t="str" cm="1">
        <f t="array" ref="F1151">_xlfn.XLOOKUP(D1151&amp;C1151, Sheet3!$C$2:$C$1224&amp;Sheet3!$B$2:$B$1224, Sheet3!$D$2:$D$1224, "")</f>
        <v>herypurnomo345@gmail.com</v>
      </c>
      <c r="G1151" s="1" t="str" cm="1">
        <f t="array" ref="G1151">_xlfn.XLOOKUP(D1151&amp;C1151, Sheet2!$A$2:$A$558&amp;Sheet2!$B$2:$B$558, Sheet2!$C$2:$C$558, "")</f>
        <v>herypurnomo345@gmail.com</v>
      </c>
      <c r="H1151" s="40" t="str">
        <f t="shared" si="17"/>
        <v>herypurnomo345@gmail.com</v>
      </c>
    </row>
    <row r="1152" spans="1:8" ht="15.5" x14ac:dyDescent="0.35">
      <c r="A1152" s="7">
        <v>1151</v>
      </c>
      <c r="B1152" s="9">
        <v>20114</v>
      </c>
      <c r="C1152" s="11" t="s">
        <v>1151</v>
      </c>
      <c r="D1152" s="9" t="s">
        <v>1074</v>
      </c>
      <c r="E1152" s="10">
        <v>2002</v>
      </c>
      <c r="F1152" s="36" t="str" cm="1">
        <f t="array" ref="F1152">_xlfn.XLOOKUP(D1152&amp;C1152, Sheet3!$C$2:$C$1224&amp;Sheet3!$B$2:$B$1224, Sheet3!$D$2:$D$1224, "")</f>
        <v/>
      </c>
      <c r="G1152" s="1" t="str" cm="1">
        <f t="array" ref="G1152">_xlfn.XLOOKUP(D1152&amp;C1152, Sheet2!$A$2:$A$558&amp;Sheet2!$B$2:$B$558, Sheet2!$C$2:$C$558, "")</f>
        <v/>
      </c>
      <c r="H1152" s="40" t="str">
        <f t="shared" si="17"/>
        <v/>
      </c>
    </row>
    <row r="1153" spans="1:8" ht="15.5" x14ac:dyDescent="0.35">
      <c r="A1153" s="7">
        <v>1152</v>
      </c>
      <c r="B1153" s="9">
        <v>20428</v>
      </c>
      <c r="C1153" s="11" t="s">
        <v>1152</v>
      </c>
      <c r="D1153" s="9" t="s">
        <v>1075</v>
      </c>
      <c r="E1153" s="10">
        <v>2002</v>
      </c>
      <c r="F1153" s="36" t="str" cm="1">
        <f t="array" ref="F1153">_xlfn.XLOOKUP(D1153&amp;C1153, Sheet3!$C$2:$C$1224&amp;Sheet3!$B$2:$B$1224, Sheet3!$D$2:$D$1224, "")</f>
        <v>bu2nkrw@gmail.com</v>
      </c>
      <c r="G1153" s="1" t="str" cm="1">
        <f t="array" ref="G1153">_xlfn.XLOOKUP(D1153&amp;C1153, Sheet2!$A$2:$A$558&amp;Sheet2!$B$2:$B$558, Sheet2!$C$2:$C$558, "")</f>
        <v/>
      </c>
      <c r="H1153" s="40" t="str">
        <f t="shared" si="17"/>
        <v>bu2nkrw@gmail.com</v>
      </c>
    </row>
    <row r="1154" spans="1:8" ht="15.5" x14ac:dyDescent="0.35">
      <c r="A1154" s="7">
        <v>1153</v>
      </c>
      <c r="B1154" s="9">
        <v>20451</v>
      </c>
      <c r="C1154" s="11" t="s">
        <v>1153</v>
      </c>
      <c r="D1154" s="9" t="s">
        <v>1075</v>
      </c>
      <c r="E1154" s="10">
        <v>2002</v>
      </c>
      <c r="F1154" s="36" t="str" cm="1">
        <f t="array" ref="F1154">_xlfn.XLOOKUP(D1154&amp;C1154, Sheet3!$C$2:$C$1224&amp;Sheet3!$B$2:$B$1224, Sheet3!$D$2:$D$1224, "")</f>
        <v>yessy.elysia@gmail.com</v>
      </c>
      <c r="G1154" s="1" t="str" cm="1">
        <f t="array" ref="G1154">_xlfn.XLOOKUP(D1154&amp;C1154, Sheet2!$A$2:$A$558&amp;Sheet2!$B$2:$B$558, Sheet2!$C$2:$C$558, "")</f>
        <v/>
      </c>
      <c r="H1154" s="40" t="str">
        <f t="shared" si="17"/>
        <v>yessy.elysia@gmail.com</v>
      </c>
    </row>
    <row r="1155" spans="1:8" ht="15.5" x14ac:dyDescent="0.35">
      <c r="A1155" s="7">
        <v>1154</v>
      </c>
      <c r="B1155" s="9">
        <v>20503</v>
      </c>
      <c r="C1155" s="11" t="s">
        <v>1154</v>
      </c>
      <c r="D1155" s="9" t="s">
        <v>1075</v>
      </c>
      <c r="E1155" s="10">
        <v>2002</v>
      </c>
      <c r="F1155" s="36" t="str" cm="1">
        <f t="array" ref="F1155">_xlfn.XLOOKUP(D1155&amp;C1155, Sheet3!$C$2:$C$1224&amp;Sheet3!$B$2:$B$1224, Sheet3!$D$2:$D$1224, "")</f>
        <v/>
      </c>
      <c r="G1155" s="1" t="str" cm="1">
        <f t="array" ref="G1155">_xlfn.XLOOKUP(D1155&amp;C1155, Sheet2!$A$2:$A$558&amp;Sheet2!$B$2:$B$558, Sheet2!$C$2:$C$558, "")</f>
        <v/>
      </c>
      <c r="H1155" s="40" t="str">
        <f t="shared" ref="H1155:H1218" si="18">IF(F1155&lt;&gt;"",F1155,G1155)</f>
        <v/>
      </c>
    </row>
    <row r="1156" spans="1:8" ht="15.5" x14ac:dyDescent="0.35">
      <c r="A1156" s="7">
        <v>1155</v>
      </c>
      <c r="B1156" s="9">
        <v>20584</v>
      </c>
      <c r="C1156" s="11" t="s">
        <v>1155</v>
      </c>
      <c r="D1156" s="9" t="s">
        <v>1075</v>
      </c>
      <c r="E1156" s="10">
        <v>2002</v>
      </c>
      <c r="F1156" s="36" t="str" cm="1">
        <f t="array" ref="F1156">_xlfn.XLOOKUP(D1156&amp;C1156, Sheet3!$C$2:$C$1224&amp;Sheet3!$B$2:$B$1224, Sheet3!$D$2:$D$1224, "")</f>
        <v>soma.varian@gmail.com</v>
      </c>
      <c r="G1156" s="1" t="str" cm="1">
        <f t="array" ref="G1156">_xlfn.XLOOKUP(D1156&amp;C1156, Sheet2!$A$2:$A$558&amp;Sheet2!$B$2:$B$558, Sheet2!$C$2:$C$558, "")</f>
        <v>soma.varian@gmail.com</v>
      </c>
      <c r="H1156" s="40" t="str">
        <f t="shared" si="18"/>
        <v>soma.varian@gmail.com</v>
      </c>
    </row>
    <row r="1157" spans="1:8" ht="15.5" x14ac:dyDescent="0.35">
      <c r="A1157" s="7">
        <v>1156</v>
      </c>
      <c r="B1157" s="9">
        <v>20597</v>
      </c>
      <c r="C1157" s="11" t="s">
        <v>1156</v>
      </c>
      <c r="D1157" s="9" t="s">
        <v>1075</v>
      </c>
      <c r="E1157" s="10">
        <v>2002</v>
      </c>
      <c r="F1157" s="36" t="str" cm="1">
        <f t="array" ref="F1157">_xlfn.XLOOKUP(D1157&amp;C1157, Sheet3!$C$2:$C$1224&amp;Sheet3!$B$2:$B$1224, Sheet3!$D$2:$D$1224, "")</f>
        <v/>
      </c>
      <c r="G1157" s="1" t="str" cm="1">
        <f t="array" ref="G1157">_xlfn.XLOOKUP(D1157&amp;C1157, Sheet2!$A$2:$A$558&amp;Sheet2!$B$2:$B$558, Sheet2!$C$2:$C$558, "")</f>
        <v/>
      </c>
      <c r="H1157" s="40" t="str">
        <f t="shared" si="18"/>
        <v/>
      </c>
    </row>
    <row r="1158" spans="1:8" ht="15.5" x14ac:dyDescent="0.35">
      <c r="A1158" s="7">
        <v>1157</v>
      </c>
      <c r="B1158" s="9">
        <v>20796</v>
      </c>
      <c r="C1158" s="11" t="s">
        <v>1157</v>
      </c>
      <c r="D1158" s="9" t="s">
        <v>1075</v>
      </c>
      <c r="E1158" s="10">
        <v>2002</v>
      </c>
      <c r="F1158" s="36" t="str" cm="1">
        <f t="array" ref="F1158">_xlfn.XLOOKUP(D1158&amp;C1158, Sheet3!$C$2:$C$1224&amp;Sheet3!$B$2:$B$1224, Sheet3!$D$2:$D$1224, "")</f>
        <v>harysuse@gmail.com</v>
      </c>
      <c r="G1158" s="1" t="str" cm="1">
        <f t="array" ref="G1158">_xlfn.XLOOKUP(D1158&amp;C1158, Sheet2!$A$2:$A$558&amp;Sheet2!$B$2:$B$558, Sheet2!$C$2:$C$558, "")</f>
        <v/>
      </c>
      <c r="H1158" s="40" t="str">
        <f t="shared" si="18"/>
        <v>harysuse@gmail.com</v>
      </c>
    </row>
    <row r="1159" spans="1:8" ht="15.5" x14ac:dyDescent="0.35">
      <c r="A1159" s="7">
        <v>1158</v>
      </c>
      <c r="B1159" s="9">
        <v>20797</v>
      </c>
      <c r="C1159" s="11" t="s">
        <v>1158</v>
      </c>
      <c r="D1159" s="9" t="s">
        <v>1075</v>
      </c>
      <c r="E1159" s="10">
        <v>2002</v>
      </c>
      <c r="F1159" s="36" t="str" cm="1">
        <f t="array" ref="F1159">_xlfn.XLOOKUP(D1159&amp;C1159, Sheet3!$C$2:$C$1224&amp;Sheet3!$B$2:$B$1224, Sheet3!$D$2:$D$1224, "")</f>
        <v/>
      </c>
      <c r="G1159" s="1" t="str" cm="1">
        <f t="array" ref="G1159">_xlfn.XLOOKUP(D1159&amp;C1159, Sheet2!$A$2:$A$558&amp;Sheet2!$B$2:$B$558, Sheet2!$C$2:$C$558, "")</f>
        <v/>
      </c>
      <c r="H1159" s="40" t="str">
        <f t="shared" si="18"/>
        <v/>
      </c>
    </row>
    <row r="1160" spans="1:8" ht="15.5" x14ac:dyDescent="0.35">
      <c r="A1160" s="7">
        <v>1159</v>
      </c>
      <c r="B1160" s="9">
        <v>20927</v>
      </c>
      <c r="C1160" s="11" t="s">
        <v>1159</v>
      </c>
      <c r="D1160" s="9" t="s">
        <v>1075</v>
      </c>
      <c r="E1160" s="10">
        <v>2002</v>
      </c>
      <c r="F1160" s="36" t="str" cm="1">
        <f t="array" ref="F1160">_xlfn.XLOOKUP(D1160&amp;C1160, Sheet3!$C$2:$C$1224&amp;Sheet3!$B$2:$B$1224, Sheet3!$D$2:$D$1224, "")</f>
        <v>baharudinahmad.st@gmail.com</v>
      </c>
      <c r="G1160" s="1" t="str" cm="1">
        <f t="array" ref="G1160">_xlfn.XLOOKUP(D1160&amp;C1160, Sheet2!$A$2:$A$558&amp;Sheet2!$B$2:$B$558, Sheet2!$C$2:$C$558, "")</f>
        <v/>
      </c>
      <c r="H1160" s="40" t="str">
        <f t="shared" si="18"/>
        <v>baharudinahmad.st@gmail.com</v>
      </c>
    </row>
    <row r="1161" spans="1:8" ht="15.5" x14ac:dyDescent="0.35">
      <c r="A1161" s="7">
        <v>1160</v>
      </c>
      <c r="B1161" s="9">
        <v>20946</v>
      </c>
      <c r="C1161" s="11" t="s">
        <v>1160</v>
      </c>
      <c r="D1161" s="9" t="s">
        <v>1075</v>
      </c>
      <c r="E1161" s="10">
        <v>2002</v>
      </c>
      <c r="F1161" s="36" t="str" cm="1">
        <f t="array" ref="F1161">_xlfn.XLOOKUP(D1161&amp;C1161, Sheet3!$C$2:$C$1224&amp;Sheet3!$B$2:$B$1224, Sheet3!$D$2:$D$1224, "")</f>
        <v/>
      </c>
      <c r="G1161" s="1" t="str" cm="1">
        <f t="array" ref="G1161">_xlfn.XLOOKUP(D1161&amp;C1161, Sheet2!$A$2:$A$558&amp;Sheet2!$B$2:$B$558, Sheet2!$C$2:$C$558, "")</f>
        <v/>
      </c>
      <c r="H1161" s="40" t="str">
        <f t="shared" si="18"/>
        <v/>
      </c>
    </row>
    <row r="1162" spans="1:8" ht="15.5" x14ac:dyDescent="0.35">
      <c r="A1162" s="7">
        <v>1161</v>
      </c>
      <c r="B1162" s="9">
        <v>20980</v>
      </c>
      <c r="C1162" s="11" t="s">
        <v>1161</v>
      </c>
      <c r="D1162" s="9" t="s">
        <v>1075</v>
      </c>
      <c r="E1162" s="10">
        <v>2002</v>
      </c>
      <c r="F1162" s="36" t="str" cm="1">
        <f t="array" ref="F1162">_xlfn.XLOOKUP(D1162&amp;C1162, Sheet3!$C$2:$C$1224&amp;Sheet3!$B$2:$B$1224, Sheet3!$D$2:$D$1224, "")</f>
        <v>rob700000@gmail.com</v>
      </c>
      <c r="G1162" s="1" t="str" cm="1">
        <f t="array" ref="G1162">_xlfn.XLOOKUP(D1162&amp;C1162, Sheet2!$A$2:$A$558&amp;Sheet2!$B$2:$B$558, Sheet2!$C$2:$C$558, "")</f>
        <v/>
      </c>
      <c r="H1162" s="40" t="str">
        <f t="shared" si="18"/>
        <v>rob700000@gmail.com</v>
      </c>
    </row>
    <row r="1163" spans="1:8" ht="15.5" x14ac:dyDescent="0.35">
      <c r="A1163" s="7">
        <v>1162</v>
      </c>
      <c r="B1163" s="9">
        <v>21075</v>
      </c>
      <c r="C1163" s="11" t="s">
        <v>1162</v>
      </c>
      <c r="D1163" s="9" t="s">
        <v>1075</v>
      </c>
      <c r="E1163" s="10">
        <v>2002</v>
      </c>
      <c r="F1163" s="36" t="str" cm="1">
        <f t="array" ref="F1163">_xlfn.XLOOKUP(D1163&amp;C1163, Sheet3!$C$2:$C$1224&amp;Sheet3!$B$2:$B$1224, Sheet3!$D$2:$D$1224, "")</f>
        <v>first.ronald@gmail.com</v>
      </c>
      <c r="G1163" s="1" t="str" cm="1">
        <f t="array" ref="G1163">_xlfn.XLOOKUP(D1163&amp;C1163, Sheet2!$A$2:$A$558&amp;Sheet2!$B$2:$B$558, Sheet2!$C$2:$C$558, "")</f>
        <v/>
      </c>
      <c r="H1163" s="40" t="str">
        <f t="shared" si="18"/>
        <v>first.ronald@gmail.com</v>
      </c>
    </row>
    <row r="1164" spans="1:8" ht="15.5" x14ac:dyDescent="0.35">
      <c r="A1164" s="7">
        <v>1163</v>
      </c>
      <c r="B1164" s="9">
        <v>21227</v>
      </c>
      <c r="C1164" s="11" t="s">
        <v>1163</v>
      </c>
      <c r="D1164" s="9" t="s">
        <v>1075</v>
      </c>
      <c r="E1164" s="10">
        <v>2002</v>
      </c>
      <c r="F1164" s="36" t="str" cm="1">
        <f t="array" ref="F1164">_xlfn.XLOOKUP(D1164&amp;C1164, Sheet3!$C$2:$C$1224&amp;Sheet3!$B$2:$B$1224, Sheet3!$D$2:$D$1224, "")</f>
        <v>hedolismo@gmail.com</v>
      </c>
      <c r="G1164" s="1" t="str" cm="1">
        <f t="array" ref="G1164">_xlfn.XLOOKUP(D1164&amp;C1164, Sheet2!$A$2:$A$558&amp;Sheet2!$B$2:$B$558, Sheet2!$C$2:$C$558, "")</f>
        <v/>
      </c>
      <c r="H1164" s="40" t="str">
        <f t="shared" si="18"/>
        <v>hedolismo@gmail.com</v>
      </c>
    </row>
    <row r="1165" spans="1:8" ht="15.5" x14ac:dyDescent="0.35">
      <c r="A1165" s="7">
        <v>1164</v>
      </c>
      <c r="B1165" s="9">
        <v>21262</v>
      </c>
      <c r="C1165" s="11" t="s">
        <v>1164</v>
      </c>
      <c r="D1165" s="9" t="s">
        <v>1075</v>
      </c>
      <c r="E1165" s="10">
        <v>2002</v>
      </c>
      <c r="F1165" s="36" t="str" cm="1">
        <f t="array" ref="F1165">_xlfn.XLOOKUP(D1165&amp;C1165, Sheet3!$C$2:$C$1224&amp;Sheet3!$B$2:$B$1224, Sheet3!$D$2:$D$1224, "")</f>
        <v>atiks.priyo@gmail.com</v>
      </c>
      <c r="G1165" s="1" t="str" cm="1">
        <f t="array" ref="G1165">_xlfn.XLOOKUP(D1165&amp;C1165, Sheet2!$A$2:$A$558&amp;Sheet2!$B$2:$B$558, Sheet2!$C$2:$C$558, "")</f>
        <v/>
      </c>
      <c r="H1165" s="40" t="str">
        <f t="shared" si="18"/>
        <v>atiks.priyo@gmail.com</v>
      </c>
    </row>
    <row r="1166" spans="1:8" ht="15.5" x14ac:dyDescent="0.35">
      <c r="A1166" s="7">
        <v>1165</v>
      </c>
      <c r="B1166" s="9">
        <v>21437</v>
      </c>
      <c r="C1166" s="11" t="s">
        <v>1165</v>
      </c>
      <c r="D1166" s="9" t="s">
        <v>1076</v>
      </c>
      <c r="E1166" s="10">
        <v>2002</v>
      </c>
      <c r="F1166" s="36" t="str" cm="1">
        <f t="array" ref="F1166">_xlfn.XLOOKUP(D1166&amp;C1166, Sheet3!$C$2:$C$1224&amp;Sheet3!$B$2:$B$1224, Sheet3!$D$2:$D$1224, "")</f>
        <v>risaindrastuti@gmail.com</v>
      </c>
      <c r="G1166" s="1" t="str" cm="1">
        <f t="array" ref="G1166">_xlfn.XLOOKUP(D1166&amp;C1166, Sheet2!$A$2:$A$558&amp;Sheet2!$B$2:$B$558, Sheet2!$C$2:$C$558, "")</f>
        <v/>
      </c>
      <c r="H1166" s="40" t="str">
        <f t="shared" si="18"/>
        <v>risaindrastuti@gmail.com</v>
      </c>
    </row>
    <row r="1167" spans="1:8" ht="15.5" x14ac:dyDescent="0.35">
      <c r="A1167" s="7">
        <v>1166</v>
      </c>
      <c r="B1167" s="9">
        <v>21509</v>
      </c>
      <c r="C1167" s="11" t="s">
        <v>1166</v>
      </c>
      <c r="D1167" s="9" t="s">
        <v>1076</v>
      </c>
      <c r="E1167" s="10">
        <v>2002</v>
      </c>
      <c r="F1167" s="36" t="str" cm="1">
        <f t="array" ref="F1167">_xlfn.XLOOKUP(D1167&amp;C1167, Sheet3!$C$2:$C$1224&amp;Sheet3!$B$2:$B$1224, Sheet3!$D$2:$D$1224, "")</f>
        <v>Yoestiadi1@gmail.com</v>
      </c>
      <c r="G1167" s="1" t="str" cm="1">
        <f t="array" ref="G1167">_xlfn.XLOOKUP(D1167&amp;C1167, Sheet2!$A$2:$A$558&amp;Sheet2!$B$2:$B$558, Sheet2!$C$2:$C$558, "")</f>
        <v/>
      </c>
      <c r="H1167" s="40" t="str">
        <f t="shared" si="18"/>
        <v>Yoestiadi1@gmail.com</v>
      </c>
    </row>
    <row r="1168" spans="1:8" ht="15.5" x14ac:dyDescent="0.35">
      <c r="A1168" s="7">
        <v>1167</v>
      </c>
      <c r="B1168" s="9">
        <v>21582</v>
      </c>
      <c r="C1168" s="11" t="s">
        <v>1167</v>
      </c>
      <c r="D1168" s="9" t="s">
        <v>1076</v>
      </c>
      <c r="E1168" s="10">
        <v>2002</v>
      </c>
      <c r="F1168" s="36" t="str" cm="1">
        <f t="array" ref="F1168">_xlfn.XLOOKUP(D1168&amp;C1168, Sheet3!$C$2:$C$1224&amp;Sheet3!$B$2:$B$1224, Sheet3!$D$2:$D$1224, "")</f>
        <v/>
      </c>
      <c r="G1168" s="1" t="str" cm="1">
        <f t="array" ref="G1168">_xlfn.XLOOKUP(D1168&amp;C1168, Sheet2!$A$2:$A$558&amp;Sheet2!$B$2:$B$558, Sheet2!$C$2:$C$558, "")</f>
        <v>fariejdz@gmail.com</v>
      </c>
      <c r="H1168" s="40" t="str">
        <f t="shared" si="18"/>
        <v>fariejdz@gmail.com</v>
      </c>
    </row>
    <row r="1169" spans="1:8" ht="15.5" x14ac:dyDescent="0.35">
      <c r="A1169" s="7">
        <v>1168</v>
      </c>
      <c r="B1169" s="9">
        <v>21625</v>
      </c>
      <c r="C1169" s="11" t="s">
        <v>1168</v>
      </c>
      <c r="D1169" s="9" t="s">
        <v>1076</v>
      </c>
      <c r="E1169" s="10">
        <v>2002</v>
      </c>
      <c r="F1169" s="36" t="str" cm="1">
        <f t="array" ref="F1169">_xlfn.XLOOKUP(D1169&amp;C1169, Sheet3!$C$2:$C$1224&amp;Sheet3!$B$2:$B$1224, Sheet3!$D$2:$D$1224, "")</f>
        <v/>
      </c>
      <c r="G1169" s="1" t="str" cm="1">
        <f t="array" ref="G1169">_xlfn.XLOOKUP(D1169&amp;C1169, Sheet2!$A$2:$A$558&amp;Sheet2!$B$2:$B$558, Sheet2!$C$2:$C$558, "")</f>
        <v/>
      </c>
      <c r="H1169" s="40" t="str">
        <f t="shared" si="18"/>
        <v/>
      </c>
    </row>
    <row r="1170" spans="1:8" ht="15.5" x14ac:dyDescent="0.35">
      <c r="A1170" s="7">
        <v>1169</v>
      </c>
      <c r="B1170" s="9">
        <v>21698</v>
      </c>
      <c r="C1170" s="11" t="s">
        <v>1169</v>
      </c>
      <c r="D1170" s="9" t="s">
        <v>1076</v>
      </c>
      <c r="E1170" s="10">
        <v>2002</v>
      </c>
      <c r="F1170" s="36" t="str" cm="1">
        <f t="array" ref="F1170">_xlfn.XLOOKUP(D1170&amp;C1170, Sheet3!$C$2:$C$1224&amp;Sheet3!$B$2:$B$1224, Sheet3!$D$2:$D$1224, "")</f>
        <v/>
      </c>
      <c r="G1170" s="1" t="str" cm="1">
        <f t="array" ref="G1170">_xlfn.XLOOKUP(D1170&amp;C1170, Sheet2!$A$2:$A$558&amp;Sheet2!$B$2:$B$558, Sheet2!$C$2:$C$558, "")</f>
        <v/>
      </c>
      <c r="H1170" s="40" t="str">
        <f t="shared" si="18"/>
        <v/>
      </c>
    </row>
    <row r="1171" spans="1:8" ht="15.5" x14ac:dyDescent="0.35">
      <c r="A1171" s="7">
        <v>1170</v>
      </c>
      <c r="B1171" s="9">
        <v>21886</v>
      </c>
      <c r="C1171" s="11" t="s">
        <v>1170</v>
      </c>
      <c r="D1171" s="9" t="s">
        <v>1076</v>
      </c>
      <c r="E1171" s="10">
        <v>2002</v>
      </c>
      <c r="F1171" s="36" t="str" cm="1">
        <f t="array" ref="F1171">_xlfn.XLOOKUP(D1171&amp;C1171, Sheet3!$C$2:$C$1224&amp;Sheet3!$B$2:$B$1224, Sheet3!$D$2:$D$1224, "")</f>
        <v>Ivan.sandy97@gmail.com</v>
      </c>
      <c r="G1171" s="1" t="str" cm="1">
        <f t="array" ref="G1171">_xlfn.XLOOKUP(D1171&amp;C1171, Sheet2!$A$2:$A$558&amp;Sheet2!$B$2:$B$558, Sheet2!$C$2:$C$558, "")</f>
        <v>ivan.sandy97@gmail.com</v>
      </c>
      <c r="H1171" s="40" t="str">
        <f t="shared" si="18"/>
        <v>Ivan.sandy97@gmail.com</v>
      </c>
    </row>
    <row r="1172" spans="1:8" ht="15.5" x14ac:dyDescent="0.35">
      <c r="A1172" s="7">
        <v>1171</v>
      </c>
      <c r="B1172" s="9">
        <v>21889</v>
      </c>
      <c r="C1172" s="11" t="s">
        <v>1171</v>
      </c>
      <c r="D1172" s="9" t="s">
        <v>1076</v>
      </c>
      <c r="E1172" s="10">
        <v>2002</v>
      </c>
      <c r="F1172" s="36" t="str" cm="1">
        <f t="array" ref="F1172">_xlfn.XLOOKUP(D1172&amp;C1172, Sheet3!$C$2:$C$1224&amp;Sheet3!$B$2:$B$1224, Sheet3!$D$2:$D$1224, "")</f>
        <v/>
      </c>
      <c r="G1172" s="1" t="str" cm="1">
        <f t="array" ref="G1172">_xlfn.XLOOKUP(D1172&amp;C1172, Sheet2!$A$2:$A$558&amp;Sheet2!$B$2:$B$558, Sheet2!$C$2:$C$558, "")</f>
        <v/>
      </c>
      <c r="H1172" s="40" t="str">
        <f t="shared" si="18"/>
        <v/>
      </c>
    </row>
    <row r="1173" spans="1:8" ht="15.5" x14ac:dyDescent="0.35">
      <c r="A1173" s="7">
        <v>1172</v>
      </c>
      <c r="B1173" s="9">
        <v>22007</v>
      </c>
      <c r="C1173" s="11" t="s">
        <v>1172</v>
      </c>
      <c r="D1173" s="9" t="s">
        <v>1076</v>
      </c>
      <c r="E1173" s="10">
        <v>2002</v>
      </c>
      <c r="F1173" s="36" t="str" cm="1">
        <f t="array" ref="F1173">_xlfn.XLOOKUP(D1173&amp;C1173, Sheet3!$C$2:$C$1224&amp;Sheet3!$B$2:$B$1224, Sheet3!$D$2:$D$1224, "")</f>
        <v>prabu.fuad@gmail.com</v>
      </c>
      <c r="G1173" s="1" t="str" cm="1">
        <f t="array" ref="G1173">_xlfn.XLOOKUP(D1173&amp;C1173, Sheet2!$A$2:$A$558&amp;Sheet2!$B$2:$B$558, Sheet2!$C$2:$C$558, "")</f>
        <v>prabu.fuad@gmail.com</v>
      </c>
      <c r="H1173" s="40" t="str">
        <f t="shared" si="18"/>
        <v>prabu.fuad@gmail.com</v>
      </c>
    </row>
    <row r="1174" spans="1:8" ht="15.5" x14ac:dyDescent="0.35">
      <c r="A1174" s="7">
        <v>1173</v>
      </c>
      <c r="B1174" s="9">
        <v>22024</v>
      </c>
      <c r="C1174" s="11" t="s">
        <v>1173</v>
      </c>
      <c r="D1174" s="9" t="s">
        <v>1076</v>
      </c>
      <c r="E1174" s="10">
        <v>2002</v>
      </c>
      <c r="F1174" s="36" t="str" cm="1">
        <f t="array" ref="F1174">_xlfn.XLOOKUP(D1174&amp;C1174, Sheet3!$C$2:$C$1224&amp;Sheet3!$B$2:$B$1224, Sheet3!$D$2:$D$1224, "")</f>
        <v>Bersihbersinar@gmail.com</v>
      </c>
      <c r="G1174" s="1" t="str" cm="1">
        <f t="array" ref="G1174">_xlfn.XLOOKUP(D1174&amp;C1174, Sheet2!$A$2:$A$558&amp;Sheet2!$B$2:$B$558, Sheet2!$C$2:$C$558, "")</f>
        <v/>
      </c>
      <c r="H1174" s="40" t="str">
        <f t="shared" si="18"/>
        <v>Bersihbersinar@gmail.com</v>
      </c>
    </row>
    <row r="1175" spans="1:8" ht="15.5" x14ac:dyDescent="0.35">
      <c r="A1175" s="7">
        <v>1174</v>
      </c>
      <c r="B1175" s="9">
        <v>22043</v>
      </c>
      <c r="C1175" s="11" t="s">
        <v>1174</v>
      </c>
      <c r="D1175" s="9" t="s">
        <v>1076</v>
      </c>
      <c r="E1175" s="10">
        <v>2002</v>
      </c>
      <c r="F1175" s="36" t="str" cm="1">
        <f t="array" ref="F1175">_xlfn.XLOOKUP(D1175&amp;C1175, Sheet3!$C$2:$C$1224&amp;Sheet3!$B$2:$B$1224, Sheet3!$D$2:$D$1224, "")</f>
        <v/>
      </c>
      <c r="G1175" s="1" t="str" cm="1">
        <f t="array" ref="G1175">_xlfn.XLOOKUP(D1175&amp;C1175, Sheet2!$A$2:$A$558&amp;Sheet2!$B$2:$B$558, Sheet2!$C$2:$C$558, "")</f>
        <v/>
      </c>
      <c r="H1175" s="40" t="str">
        <f t="shared" si="18"/>
        <v/>
      </c>
    </row>
    <row r="1176" spans="1:8" ht="15.5" x14ac:dyDescent="0.35">
      <c r="A1176" s="7">
        <v>1175</v>
      </c>
      <c r="B1176" s="9">
        <v>22050</v>
      </c>
      <c r="C1176" s="11" t="s">
        <v>1175</v>
      </c>
      <c r="D1176" s="9" t="s">
        <v>1076</v>
      </c>
      <c r="E1176" s="10">
        <v>2002</v>
      </c>
      <c r="F1176" s="36" t="str" cm="1">
        <f t="array" ref="F1176">_xlfn.XLOOKUP(D1176&amp;C1176, Sheet3!$C$2:$C$1224&amp;Sheet3!$B$2:$B$1224, Sheet3!$D$2:$D$1224, "")</f>
        <v xml:space="preserve">Yudhipry@gmail.com </v>
      </c>
      <c r="G1176" s="1" t="str" cm="1">
        <f t="array" ref="G1176">_xlfn.XLOOKUP(D1176&amp;C1176, Sheet2!$A$2:$A$558&amp;Sheet2!$B$2:$B$558, Sheet2!$C$2:$C$558, "")</f>
        <v/>
      </c>
      <c r="H1176" s="40" t="str">
        <f t="shared" si="18"/>
        <v xml:space="preserve">Yudhipry@gmail.com </v>
      </c>
    </row>
    <row r="1177" spans="1:8" ht="15.5" x14ac:dyDescent="0.35">
      <c r="A1177" s="7">
        <v>1176</v>
      </c>
      <c r="B1177" s="9">
        <v>22114</v>
      </c>
      <c r="C1177" s="11" t="s">
        <v>1176</v>
      </c>
      <c r="D1177" s="9" t="s">
        <v>1076</v>
      </c>
      <c r="E1177" s="10">
        <v>2002</v>
      </c>
      <c r="F1177" s="36" t="str" cm="1">
        <f t="array" ref="F1177">_xlfn.XLOOKUP(D1177&amp;C1177, Sheet3!$C$2:$C$1224&amp;Sheet3!$B$2:$B$1224, Sheet3!$D$2:$D$1224, "")</f>
        <v>suntea.avril@gmail.com</v>
      </c>
      <c r="G1177" s="1" t="str" cm="1">
        <f t="array" ref="G1177">_xlfn.XLOOKUP(D1177&amp;C1177, Sheet2!$A$2:$A$558&amp;Sheet2!$B$2:$B$558, Sheet2!$C$2:$C$558, "")</f>
        <v/>
      </c>
      <c r="H1177" s="40" t="str">
        <f t="shared" si="18"/>
        <v>suntea.avril@gmail.com</v>
      </c>
    </row>
    <row r="1178" spans="1:8" ht="15.5" x14ac:dyDescent="0.35">
      <c r="A1178" s="7">
        <v>1177</v>
      </c>
      <c r="B1178" s="9">
        <v>22183</v>
      </c>
      <c r="C1178" s="11" t="s">
        <v>1177</v>
      </c>
      <c r="D1178" s="9" t="s">
        <v>1076</v>
      </c>
      <c r="E1178" s="10">
        <v>2002</v>
      </c>
      <c r="F1178" s="36" t="str" cm="1">
        <f t="array" ref="F1178">_xlfn.XLOOKUP(D1178&amp;C1178, Sheet3!$C$2:$C$1224&amp;Sheet3!$B$2:$B$1224, Sheet3!$D$2:$D$1224, "")</f>
        <v/>
      </c>
      <c r="G1178" s="1" t="str" cm="1">
        <f t="array" ref="G1178">_xlfn.XLOOKUP(D1178&amp;C1178, Sheet2!$A$2:$A$558&amp;Sheet2!$B$2:$B$558, Sheet2!$C$2:$C$558, "")</f>
        <v>dpalupik@gmail.com</v>
      </c>
      <c r="H1178" s="40" t="str">
        <f t="shared" si="18"/>
        <v>dpalupik@gmail.com</v>
      </c>
    </row>
    <row r="1179" spans="1:8" ht="15.5" x14ac:dyDescent="0.35">
      <c r="A1179" s="7">
        <v>1178</v>
      </c>
      <c r="B1179" s="9">
        <v>22238</v>
      </c>
      <c r="C1179" s="11" t="s">
        <v>1178</v>
      </c>
      <c r="D1179" s="9" t="s">
        <v>1076</v>
      </c>
      <c r="E1179" s="10">
        <v>2002</v>
      </c>
      <c r="F1179" s="36" t="str" cm="1">
        <f t="array" ref="F1179">_xlfn.XLOOKUP(D1179&amp;C1179, Sheet3!$C$2:$C$1224&amp;Sheet3!$B$2:$B$1224, Sheet3!$D$2:$D$1224, "")</f>
        <v/>
      </c>
      <c r="G1179" s="1" t="str" cm="1">
        <f t="array" ref="G1179">_xlfn.XLOOKUP(D1179&amp;C1179, Sheet2!$A$2:$A$558&amp;Sheet2!$B$2:$B$558, Sheet2!$C$2:$C$558, "")</f>
        <v/>
      </c>
      <c r="H1179" s="40" t="str">
        <f t="shared" si="18"/>
        <v/>
      </c>
    </row>
    <row r="1180" spans="1:8" ht="15.5" x14ac:dyDescent="0.35">
      <c r="A1180" s="7">
        <v>1179</v>
      </c>
      <c r="B1180" s="12">
        <v>18312</v>
      </c>
      <c r="C1180" s="11" t="s">
        <v>1179</v>
      </c>
      <c r="D1180" s="9" t="s">
        <v>1072</v>
      </c>
      <c r="E1180" s="10">
        <v>2002</v>
      </c>
      <c r="F1180" s="36" t="str" cm="1">
        <f t="array" ref="F1180">_xlfn.XLOOKUP(D1180&amp;C1180, Sheet3!$C$2:$C$1224&amp;Sheet3!$B$2:$B$1224, Sheet3!$D$2:$D$1224, "")</f>
        <v>jayagunawan@gmail.com</v>
      </c>
      <c r="G1180" s="1" t="str" cm="1">
        <f t="array" ref="G1180">_xlfn.XLOOKUP(D1180&amp;C1180, Sheet2!$A$2:$A$558&amp;Sheet2!$B$2:$B$558, Sheet2!$C$2:$C$558, "")</f>
        <v>jayagunawan@gmail.com</v>
      </c>
      <c r="H1180" s="40" t="str">
        <f t="shared" si="18"/>
        <v>jayagunawan@gmail.com</v>
      </c>
    </row>
    <row r="1181" spans="1:8" ht="15.5" x14ac:dyDescent="0.35">
      <c r="A1181" s="7">
        <v>1180</v>
      </c>
      <c r="B1181" s="12">
        <v>18856</v>
      </c>
      <c r="C1181" s="11" t="s">
        <v>1180</v>
      </c>
      <c r="D1181" s="9" t="s">
        <v>1072</v>
      </c>
      <c r="E1181" s="10">
        <v>2002</v>
      </c>
      <c r="F1181" s="36" t="str" cm="1">
        <f t="array" ref="F1181">_xlfn.XLOOKUP(D1181&amp;C1181, Sheet3!$C$2:$C$1224&amp;Sheet3!$B$2:$B$1224, Sheet3!$D$2:$D$1224, "")</f>
        <v>fathuha@gmail.com</v>
      </c>
      <c r="G1181" s="1" t="str" cm="1">
        <f t="array" ref="G1181">_xlfn.XLOOKUP(D1181&amp;C1181, Sheet2!$A$2:$A$558&amp;Sheet2!$B$2:$B$558, Sheet2!$C$2:$C$558, "")</f>
        <v>fathuha@gmail.com</v>
      </c>
      <c r="H1181" s="40" t="str">
        <f t="shared" si="18"/>
        <v>fathuha@gmail.com</v>
      </c>
    </row>
    <row r="1182" spans="1:8" ht="15.5" x14ac:dyDescent="0.35">
      <c r="A1182" s="7">
        <v>1181</v>
      </c>
      <c r="B1182" s="12">
        <v>18832</v>
      </c>
      <c r="C1182" s="11" t="s">
        <v>1181</v>
      </c>
      <c r="D1182" s="9" t="s">
        <v>1073</v>
      </c>
      <c r="E1182" s="10">
        <v>2002</v>
      </c>
      <c r="F1182" s="36" t="str" cm="1">
        <f t="array" ref="F1182">_xlfn.XLOOKUP(D1182&amp;C1182, Sheet3!$C$2:$C$1224&amp;Sheet3!$B$2:$B$1224, Sheet3!$D$2:$D$1224, "")</f>
        <v>ellie.nunes17@gmail.com</v>
      </c>
      <c r="G1182" s="1" t="str" cm="1">
        <f t="array" ref="G1182">_xlfn.XLOOKUP(D1182&amp;C1182, Sheet2!$A$2:$A$558&amp;Sheet2!$B$2:$B$558, Sheet2!$C$2:$C$558, "")</f>
        <v/>
      </c>
      <c r="H1182" s="40" t="str">
        <f t="shared" si="18"/>
        <v>ellie.nunes17@gmail.com</v>
      </c>
    </row>
    <row r="1183" spans="1:8" ht="15.5" x14ac:dyDescent="0.35">
      <c r="A1183" s="7">
        <v>1182</v>
      </c>
      <c r="B1183" s="12">
        <v>19955</v>
      </c>
      <c r="C1183" s="11" t="s">
        <v>1182</v>
      </c>
      <c r="D1183" s="9" t="s">
        <v>1074</v>
      </c>
      <c r="E1183" s="10">
        <v>2002</v>
      </c>
      <c r="F1183" s="36" t="str" cm="1">
        <f t="array" ref="F1183">_xlfn.XLOOKUP(D1183&amp;C1183, Sheet3!$C$2:$C$1224&amp;Sheet3!$B$2:$B$1224, Sheet3!$D$2:$D$1224, "")</f>
        <v/>
      </c>
      <c r="G1183" s="1" t="str" cm="1">
        <f t="array" ref="G1183">_xlfn.XLOOKUP(D1183&amp;C1183, Sheet2!$A$2:$A$558&amp;Sheet2!$B$2:$B$558, Sheet2!$C$2:$C$558, "")</f>
        <v/>
      </c>
      <c r="H1183" s="40" t="str">
        <f t="shared" si="18"/>
        <v/>
      </c>
    </row>
    <row r="1184" spans="1:8" ht="15.5" x14ac:dyDescent="0.35">
      <c r="A1184" s="7">
        <v>1183</v>
      </c>
      <c r="B1184" s="12">
        <v>19957</v>
      </c>
      <c r="C1184" s="11" t="s">
        <v>1183</v>
      </c>
      <c r="D1184" s="9" t="s">
        <v>1074</v>
      </c>
      <c r="E1184" s="10">
        <v>2002</v>
      </c>
      <c r="F1184" s="36" t="str" cm="1">
        <f t="array" ref="F1184">_xlfn.XLOOKUP(D1184&amp;C1184, Sheet3!$C$2:$C$1224&amp;Sheet3!$B$2:$B$1224, Sheet3!$D$2:$D$1224, "")</f>
        <v/>
      </c>
      <c r="G1184" s="1" t="str" cm="1">
        <f t="array" ref="G1184">_xlfn.XLOOKUP(D1184&amp;C1184, Sheet2!$A$2:$A$558&amp;Sheet2!$B$2:$B$558, Sheet2!$C$2:$C$558, "")</f>
        <v/>
      </c>
      <c r="H1184" s="40" t="str">
        <f t="shared" si="18"/>
        <v/>
      </c>
    </row>
    <row r="1185" spans="1:8" ht="15.5" x14ac:dyDescent="0.35">
      <c r="A1185" s="7">
        <v>1184</v>
      </c>
      <c r="B1185" s="12">
        <v>20294</v>
      </c>
      <c r="C1185" s="11" t="s">
        <v>1184</v>
      </c>
      <c r="D1185" s="9" t="s">
        <v>1074</v>
      </c>
      <c r="E1185" s="10">
        <v>2002</v>
      </c>
      <c r="F1185" s="36" t="str" cm="1">
        <f t="array" ref="F1185">_xlfn.XLOOKUP(D1185&amp;C1185, Sheet3!$C$2:$C$1224&amp;Sheet3!$B$2:$B$1224, Sheet3!$D$2:$D$1224, "")</f>
        <v/>
      </c>
      <c r="G1185" s="1" t="str" cm="1">
        <f t="array" ref="G1185">_xlfn.XLOOKUP(D1185&amp;C1185, Sheet2!$A$2:$A$558&amp;Sheet2!$B$2:$B$558, Sheet2!$C$2:$C$558, "")</f>
        <v/>
      </c>
      <c r="H1185" s="40" t="str">
        <f t="shared" si="18"/>
        <v/>
      </c>
    </row>
    <row r="1186" spans="1:8" ht="15.5" x14ac:dyDescent="0.35">
      <c r="A1186" s="7">
        <v>1185</v>
      </c>
      <c r="B1186" s="12">
        <v>20508</v>
      </c>
      <c r="C1186" s="11" t="s">
        <v>1185</v>
      </c>
      <c r="D1186" s="9" t="s">
        <v>1075</v>
      </c>
      <c r="E1186" s="10">
        <v>2002</v>
      </c>
      <c r="F1186" s="36" t="str" cm="1">
        <f t="array" ref="F1186">_xlfn.XLOOKUP(D1186&amp;C1186, Sheet3!$C$2:$C$1224&amp;Sheet3!$B$2:$B$1224, Sheet3!$D$2:$D$1224, "")</f>
        <v>Suripahheri@gmail.com</v>
      </c>
      <c r="G1186" s="1" t="str" cm="1">
        <f t="array" ref="G1186">_xlfn.XLOOKUP(D1186&amp;C1186, Sheet2!$A$2:$A$558&amp;Sheet2!$B$2:$B$558, Sheet2!$C$2:$C$558, "")</f>
        <v/>
      </c>
      <c r="H1186" s="40" t="str">
        <f t="shared" si="18"/>
        <v>Suripahheri@gmail.com</v>
      </c>
    </row>
    <row r="1187" spans="1:8" ht="15.5" x14ac:dyDescent="0.35">
      <c r="A1187" s="7">
        <v>1186</v>
      </c>
      <c r="B1187" s="12">
        <v>20550</v>
      </c>
      <c r="C1187" s="11" t="s">
        <v>1186</v>
      </c>
      <c r="D1187" s="9" t="s">
        <v>1075</v>
      </c>
      <c r="E1187" s="10">
        <v>2002</v>
      </c>
      <c r="F1187" s="36" t="str" cm="1">
        <f t="array" ref="F1187">_xlfn.XLOOKUP(D1187&amp;C1187, Sheet3!$C$2:$C$1224&amp;Sheet3!$B$2:$B$1224, Sheet3!$D$2:$D$1224, "")</f>
        <v/>
      </c>
      <c r="G1187" s="1" t="str" cm="1">
        <f t="array" ref="G1187">_xlfn.XLOOKUP(D1187&amp;C1187, Sheet2!$A$2:$A$558&amp;Sheet2!$B$2:$B$558, Sheet2!$C$2:$C$558, "")</f>
        <v/>
      </c>
      <c r="H1187" s="40" t="str">
        <f t="shared" si="18"/>
        <v/>
      </c>
    </row>
    <row r="1188" spans="1:8" ht="15.5" x14ac:dyDescent="0.35">
      <c r="A1188" s="7">
        <v>1187</v>
      </c>
      <c r="B1188" s="12">
        <v>20929</v>
      </c>
      <c r="C1188" s="11" t="s">
        <v>1187</v>
      </c>
      <c r="D1188" s="9" t="s">
        <v>1075</v>
      </c>
      <c r="E1188" s="10">
        <v>2002</v>
      </c>
      <c r="F1188" s="36" t="str" cm="1">
        <f t="array" ref="F1188">_xlfn.XLOOKUP(D1188&amp;C1188, Sheet3!$C$2:$C$1224&amp;Sheet3!$B$2:$B$1224, Sheet3!$D$2:$D$1224, "")</f>
        <v>dian.oktiari@gmail.com</v>
      </c>
      <c r="G1188" s="1" t="str" cm="1">
        <f t="array" ref="G1188">_xlfn.XLOOKUP(D1188&amp;C1188, Sheet2!$A$2:$A$558&amp;Sheet2!$B$2:$B$558, Sheet2!$C$2:$C$558, "")</f>
        <v/>
      </c>
      <c r="H1188" s="40" t="str">
        <f t="shared" si="18"/>
        <v>dian.oktiari@gmail.com</v>
      </c>
    </row>
    <row r="1189" spans="1:8" ht="15.5" x14ac:dyDescent="0.35">
      <c r="A1189" s="7">
        <v>1188</v>
      </c>
      <c r="B1189" s="12">
        <v>20931</v>
      </c>
      <c r="C1189" s="11" t="s">
        <v>1188</v>
      </c>
      <c r="D1189" s="9" t="s">
        <v>1075</v>
      </c>
      <c r="E1189" s="10">
        <v>2002</v>
      </c>
      <c r="F1189" s="36" t="str" cm="1">
        <f t="array" ref="F1189">_xlfn.XLOOKUP(D1189&amp;C1189, Sheet3!$C$2:$C$1224&amp;Sheet3!$B$2:$B$1224, Sheet3!$D$2:$D$1224, "")</f>
        <v>mesitasw@gmail.com</v>
      </c>
      <c r="G1189" s="1" t="str" cm="1">
        <f t="array" ref="G1189">_xlfn.XLOOKUP(D1189&amp;C1189, Sheet2!$A$2:$A$558&amp;Sheet2!$B$2:$B$558, Sheet2!$C$2:$C$558, "")</f>
        <v/>
      </c>
      <c r="H1189" s="40" t="str">
        <f t="shared" si="18"/>
        <v>mesitasw@gmail.com</v>
      </c>
    </row>
    <row r="1190" spans="1:8" ht="15.5" x14ac:dyDescent="0.35">
      <c r="A1190" s="7">
        <v>1189</v>
      </c>
      <c r="B1190" s="12">
        <v>20932</v>
      </c>
      <c r="C1190" s="11" t="s">
        <v>1189</v>
      </c>
      <c r="D1190" s="9" t="s">
        <v>1075</v>
      </c>
      <c r="E1190" s="10">
        <v>2002</v>
      </c>
      <c r="F1190" s="36" t="str" cm="1">
        <f t="array" ref="F1190">_xlfn.XLOOKUP(D1190&amp;C1190, Sheet3!$C$2:$C$1224&amp;Sheet3!$B$2:$B$1224, Sheet3!$D$2:$D$1224, "")</f>
        <v>mawan.triantana@gmail.com</v>
      </c>
      <c r="G1190" s="1" t="str" cm="1">
        <f t="array" ref="G1190">_xlfn.XLOOKUP(D1190&amp;C1190, Sheet2!$A$2:$A$558&amp;Sheet2!$B$2:$B$558, Sheet2!$C$2:$C$558, "")</f>
        <v/>
      </c>
      <c r="H1190" s="40" t="str">
        <f t="shared" si="18"/>
        <v>mawan.triantana@gmail.com</v>
      </c>
    </row>
    <row r="1191" spans="1:8" ht="15.5" x14ac:dyDescent="0.35">
      <c r="A1191" s="7">
        <v>1190</v>
      </c>
      <c r="B1191" s="12">
        <v>20948</v>
      </c>
      <c r="C1191" s="11" t="s">
        <v>1190</v>
      </c>
      <c r="D1191" s="9" t="s">
        <v>1075</v>
      </c>
      <c r="E1191" s="10">
        <v>2002</v>
      </c>
      <c r="F1191" s="36" t="str" cm="1">
        <f t="array" ref="F1191">_xlfn.XLOOKUP(D1191&amp;C1191, Sheet3!$C$2:$C$1224&amp;Sheet3!$B$2:$B$1224, Sheet3!$D$2:$D$1224, "")</f>
        <v>Herdi.yuniawan@Gmail.com</v>
      </c>
      <c r="G1191" s="1" t="str" cm="1">
        <f t="array" ref="G1191">_xlfn.XLOOKUP(D1191&amp;C1191, Sheet2!$A$2:$A$558&amp;Sheet2!$B$2:$B$558, Sheet2!$C$2:$C$558, "")</f>
        <v/>
      </c>
      <c r="H1191" s="40" t="str">
        <f t="shared" si="18"/>
        <v>Herdi.yuniawan@Gmail.com</v>
      </c>
    </row>
    <row r="1192" spans="1:8" ht="15.5" x14ac:dyDescent="0.35">
      <c r="A1192" s="7">
        <v>1191</v>
      </c>
      <c r="B1192" s="12">
        <v>20949</v>
      </c>
      <c r="C1192" s="11" t="s">
        <v>1191</v>
      </c>
      <c r="D1192" s="9" t="s">
        <v>1075</v>
      </c>
      <c r="E1192" s="10">
        <v>2002</v>
      </c>
      <c r="F1192" s="36" t="str" cm="1">
        <f t="array" ref="F1192">_xlfn.XLOOKUP(D1192&amp;C1192, Sheet3!$C$2:$C$1224&amp;Sheet3!$B$2:$B$1224, Sheet3!$D$2:$D$1224, "")</f>
        <v>cristagael@gmail,com</v>
      </c>
      <c r="G1192" s="1" t="str" cm="1">
        <f t="array" ref="G1192">_xlfn.XLOOKUP(D1192&amp;C1192, Sheet2!$A$2:$A$558&amp;Sheet2!$B$2:$B$558, Sheet2!$C$2:$C$558, "")</f>
        <v/>
      </c>
      <c r="H1192" s="40" t="str">
        <f t="shared" si="18"/>
        <v>cristagael@gmail,com</v>
      </c>
    </row>
    <row r="1193" spans="1:8" ht="15.5" x14ac:dyDescent="0.35">
      <c r="A1193" s="7">
        <v>1192</v>
      </c>
      <c r="B1193" s="12">
        <v>21051</v>
      </c>
      <c r="C1193" s="11" t="s">
        <v>1192</v>
      </c>
      <c r="D1193" s="9" t="s">
        <v>1075</v>
      </c>
      <c r="E1193" s="10">
        <v>2002</v>
      </c>
      <c r="F1193" s="36" t="str" cm="1">
        <f t="array" ref="F1193">_xlfn.XLOOKUP(D1193&amp;C1193, Sheet3!$C$2:$C$1224&amp;Sheet3!$B$2:$B$1224, Sheet3!$D$2:$D$1224, "")</f>
        <v/>
      </c>
      <c r="G1193" s="1" t="str" cm="1">
        <f t="array" ref="G1193">_xlfn.XLOOKUP(D1193&amp;C1193, Sheet2!$A$2:$A$558&amp;Sheet2!$B$2:$B$558, Sheet2!$C$2:$C$558, "")</f>
        <v>eko.susilo@kemenkeu.go.id</v>
      </c>
      <c r="H1193" s="40" t="str">
        <f t="shared" si="18"/>
        <v>eko.susilo@kemenkeu.go.id</v>
      </c>
    </row>
    <row r="1194" spans="1:8" ht="15.5" x14ac:dyDescent="0.35">
      <c r="A1194" s="7">
        <v>1193</v>
      </c>
      <c r="B1194" s="12">
        <v>21060</v>
      </c>
      <c r="C1194" s="11" t="s">
        <v>1193</v>
      </c>
      <c r="D1194" s="9" t="s">
        <v>1075</v>
      </c>
      <c r="E1194" s="10">
        <v>2002</v>
      </c>
      <c r="F1194" s="36" t="str" cm="1">
        <f t="array" ref="F1194">_xlfn.XLOOKUP(D1194&amp;C1194, Sheet3!$C$2:$C$1224&amp;Sheet3!$B$2:$B$1224, Sheet3!$D$2:$D$1224, "")</f>
        <v>msmaulana90@gmail.com</v>
      </c>
      <c r="G1194" s="1" t="str" cm="1">
        <f t="array" ref="G1194">_xlfn.XLOOKUP(D1194&amp;C1194, Sheet2!$A$2:$A$558&amp;Sheet2!$B$2:$B$558, Sheet2!$C$2:$C$558, "")</f>
        <v/>
      </c>
      <c r="H1194" s="40" t="str">
        <f t="shared" si="18"/>
        <v>msmaulana90@gmail.com</v>
      </c>
    </row>
    <row r="1195" spans="1:8" ht="15.5" x14ac:dyDescent="0.35">
      <c r="A1195" s="7">
        <v>1194</v>
      </c>
      <c r="B1195" s="12">
        <v>21108</v>
      </c>
      <c r="C1195" s="11" t="s">
        <v>1194</v>
      </c>
      <c r="D1195" s="9" t="s">
        <v>1075</v>
      </c>
      <c r="E1195" s="10">
        <v>2002</v>
      </c>
      <c r="F1195" s="36" t="str" cm="1">
        <f t="array" ref="F1195">_xlfn.XLOOKUP(D1195&amp;C1195, Sheet3!$C$2:$C$1224&amp;Sheet3!$B$2:$B$1224, Sheet3!$D$2:$D$1224, "")</f>
        <v>gitov.sheva@gmail.com</v>
      </c>
      <c r="G1195" s="1" t="str" cm="1">
        <f t="array" ref="G1195">_xlfn.XLOOKUP(D1195&amp;C1195, Sheet2!$A$2:$A$558&amp;Sheet2!$B$2:$B$558, Sheet2!$C$2:$C$558, "")</f>
        <v/>
      </c>
      <c r="H1195" s="40" t="str">
        <f t="shared" si="18"/>
        <v>gitov.sheva@gmail.com</v>
      </c>
    </row>
    <row r="1196" spans="1:8" ht="15.5" x14ac:dyDescent="0.35">
      <c r="A1196" s="7">
        <v>1195</v>
      </c>
      <c r="B1196" s="12">
        <v>21138</v>
      </c>
      <c r="C1196" s="11" t="s">
        <v>1195</v>
      </c>
      <c r="D1196" s="9" t="s">
        <v>1075</v>
      </c>
      <c r="E1196" s="10">
        <v>2002</v>
      </c>
      <c r="F1196" s="36" t="str" cm="1">
        <f t="array" ref="F1196">_xlfn.XLOOKUP(D1196&amp;C1196, Sheet3!$C$2:$C$1224&amp;Sheet3!$B$2:$B$1224, Sheet3!$D$2:$D$1224, "")</f>
        <v>gunawan.dbu@gmail.com</v>
      </c>
      <c r="G1196" s="1" t="str" cm="1">
        <f t="array" ref="G1196">_xlfn.XLOOKUP(D1196&amp;C1196, Sheet2!$A$2:$A$558&amp;Sheet2!$B$2:$B$558, Sheet2!$C$2:$C$558, "")</f>
        <v/>
      </c>
      <c r="H1196" s="40" t="str">
        <f t="shared" si="18"/>
        <v>gunawan.dbu@gmail.com</v>
      </c>
    </row>
    <row r="1197" spans="1:8" ht="15.5" x14ac:dyDescent="0.35">
      <c r="A1197" s="7">
        <v>1196</v>
      </c>
      <c r="B1197" s="12">
        <v>21363</v>
      </c>
      <c r="C1197" s="11" t="s">
        <v>5254</v>
      </c>
      <c r="D1197" s="9" t="s">
        <v>1076</v>
      </c>
      <c r="E1197" s="10">
        <v>2002</v>
      </c>
      <c r="F1197" s="36" t="str" cm="1">
        <f t="array" ref="F1197">_xlfn.XLOOKUP(D1197&amp;C1197, Sheet3!$C$2:$C$1224&amp;Sheet3!$B$2:$B$1224, Sheet3!$D$2:$D$1224, "")</f>
        <v>daengmute@gmail.com</v>
      </c>
      <c r="G1197" s="1" t="str" cm="1">
        <f t="array" ref="G1197">_xlfn.XLOOKUP(D1197&amp;C1197, Sheet2!$A$2:$A$558&amp;Sheet2!$B$2:$B$558, Sheet2!$C$2:$C$558, "")</f>
        <v/>
      </c>
      <c r="H1197" s="40" t="str">
        <f t="shared" si="18"/>
        <v>daengmute@gmail.com</v>
      </c>
    </row>
    <row r="1198" spans="1:8" ht="15.5" x14ac:dyDescent="0.35">
      <c r="A1198" s="7">
        <v>1197</v>
      </c>
      <c r="B1198" s="12">
        <v>21414</v>
      </c>
      <c r="C1198" s="11" t="s">
        <v>1196</v>
      </c>
      <c r="D1198" s="9" t="s">
        <v>1076</v>
      </c>
      <c r="E1198" s="10">
        <v>2002</v>
      </c>
      <c r="F1198" s="36" t="str" cm="1">
        <f t="array" ref="F1198">_xlfn.XLOOKUP(D1198&amp;C1198, Sheet3!$C$2:$C$1224&amp;Sheet3!$B$2:$B$1224, Sheet3!$D$2:$D$1224, "")</f>
        <v>hendra.sugara1@gmail.com</v>
      </c>
      <c r="G1198" s="1" t="str" cm="1">
        <f t="array" ref="G1198">_xlfn.XLOOKUP(D1198&amp;C1198, Sheet2!$A$2:$A$558&amp;Sheet2!$B$2:$B$558, Sheet2!$C$2:$C$558, "")</f>
        <v/>
      </c>
      <c r="H1198" s="40" t="str">
        <f t="shared" si="18"/>
        <v>hendra.sugara1@gmail.com</v>
      </c>
    </row>
    <row r="1199" spans="1:8" ht="15.5" x14ac:dyDescent="0.35">
      <c r="A1199" s="7">
        <v>1198</v>
      </c>
      <c r="B1199" s="12">
        <v>21425</v>
      </c>
      <c r="C1199" s="11" t="s">
        <v>509</v>
      </c>
      <c r="D1199" s="9" t="s">
        <v>1076</v>
      </c>
      <c r="E1199" s="10">
        <v>2002</v>
      </c>
      <c r="F1199" s="36" t="str" cm="1">
        <f t="array" ref="F1199">_xlfn.XLOOKUP(D1199&amp;C1199, Sheet3!$C$2:$C$1224&amp;Sheet3!$B$2:$B$1224, Sheet3!$D$2:$D$1224, "")</f>
        <v>sugiyanto78@gmail.com</v>
      </c>
      <c r="G1199" s="1" t="str" cm="1">
        <f t="array" ref="G1199">_xlfn.XLOOKUP(D1199&amp;C1199, Sheet2!$A$2:$A$558&amp;Sheet2!$B$2:$B$558, Sheet2!$C$2:$C$558, "")</f>
        <v/>
      </c>
      <c r="H1199" s="40" t="str">
        <f t="shared" si="18"/>
        <v>sugiyanto78@gmail.com</v>
      </c>
    </row>
    <row r="1200" spans="1:8" ht="15.5" x14ac:dyDescent="0.35">
      <c r="A1200" s="7">
        <v>1199</v>
      </c>
      <c r="B1200" s="12">
        <v>21428</v>
      </c>
      <c r="C1200" s="11" t="s">
        <v>1197</v>
      </c>
      <c r="D1200" s="9" t="s">
        <v>1076</v>
      </c>
      <c r="E1200" s="10">
        <v>2002</v>
      </c>
      <c r="F1200" s="36" t="str" cm="1">
        <f t="array" ref="F1200">_xlfn.XLOOKUP(D1200&amp;C1200, Sheet3!$C$2:$C$1224&amp;Sheet3!$B$2:$B$1224, Sheet3!$D$2:$D$1224, "")</f>
        <v>kusmiarto@stpn.ac.id</v>
      </c>
      <c r="G1200" s="1" t="str" cm="1">
        <f t="array" ref="G1200">_xlfn.XLOOKUP(D1200&amp;C1200, Sheet2!$A$2:$A$558&amp;Sheet2!$B$2:$B$558, Sheet2!$C$2:$C$558, "")</f>
        <v/>
      </c>
      <c r="H1200" s="40" t="str">
        <f t="shared" si="18"/>
        <v>kusmiarto@stpn.ac.id</v>
      </c>
    </row>
    <row r="1201" spans="1:8" ht="15.5" x14ac:dyDescent="0.35">
      <c r="A1201" s="7">
        <v>1200</v>
      </c>
      <c r="B1201" s="12">
        <v>21436</v>
      </c>
      <c r="C1201" s="11" t="s">
        <v>1198</v>
      </c>
      <c r="D1201" s="9" t="s">
        <v>1076</v>
      </c>
      <c r="E1201" s="10">
        <v>2002</v>
      </c>
      <c r="F1201" s="36" t="str" cm="1">
        <f t="array" ref="F1201">_xlfn.XLOOKUP(D1201&amp;C1201, Sheet3!$C$2:$C$1224&amp;Sheet3!$B$2:$B$1224, Sheet3!$D$2:$D$1224, "")</f>
        <v>zazatuzax@gmail.com</v>
      </c>
      <c r="G1201" s="1" t="str" cm="1">
        <f t="array" ref="G1201">_xlfn.XLOOKUP(D1201&amp;C1201, Sheet2!$A$2:$A$558&amp;Sheet2!$B$2:$B$558, Sheet2!$C$2:$C$558, "")</f>
        <v/>
      </c>
      <c r="H1201" s="40" t="str">
        <f t="shared" si="18"/>
        <v>zazatuzax@gmail.com</v>
      </c>
    </row>
    <row r="1202" spans="1:8" ht="15.5" x14ac:dyDescent="0.35">
      <c r="A1202" s="7">
        <v>1201</v>
      </c>
      <c r="B1202" s="12">
        <v>21543</v>
      </c>
      <c r="C1202" s="11" t="s">
        <v>1199</v>
      </c>
      <c r="D1202" s="9" t="s">
        <v>1076</v>
      </c>
      <c r="E1202" s="10">
        <v>2002</v>
      </c>
      <c r="F1202" s="36" t="str" cm="1">
        <f t="array" ref="F1202">_xlfn.XLOOKUP(D1202&amp;C1202, Sheet3!$C$2:$C$1224&amp;Sheet3!$B$2:$B$1224, Sheet3!$D$2:$D$1224, "")</f>
        <v/>
      </c>
      <c r="G1202" s="1" t="str" cm="1">
        <f t="array" ref="G1202">_xlfn.XLOOKUP(D1202&amp;C1202, Sheet2!$A$2:$A$558&amp;Sheet2!$B$2:$B$558, Sheet2!$C$2:$C$558, "")</f>
        <v/>
      </c>
      <c r="H1202" s="40" t="str">
        <f t="shared" si="18"/>
        <v/>
      </c>
    </row>
    <row r="1203" spans="1:8" ht="15.5" x14ac:dyDescent="0.35">
      <c r="A1203" s="7">
        <v>1202</v>
      </c>
      <c r="B1203" s="12">
        <v>21574</v>
      </c>
      <c r="C1203" s="11" t="s">
        <v>1200</v>
      </c>
      <c r="D1203" s="9" t="s">
        <v>1076</v>
      </c>
      <c r="E1203" s="10">
        <v>2002</v>
      </c>
      <c r="F1203" s="36" t="str" cm="1">
        <f t="array" ref="F1203">_xlfn.XLOOKUP(D1203&amp;C1203, Sheet3!$C$2:$C$1224&amp;Sheet3!$B$2:$B$1224, Sheet3!$D$2:$D$1224, "")</f>
        <v/>
      </c>
      <c r="G1203" s="1" t="str" cm="1">
        <f t="array" ref="G1203">_xlfn.XLOOKUP(D1203&amp;C1203, Sheet2!$A$2:$A$558&amp;Sheet2!$B$2:$B$558, Sheet2!$C$2:$C$558, "")</f>
        <v/>
      </c>
      <c r="H1203" s="40" t="str">
        <f t="shared" si="18"/>
        <v/>
      </c>
    </row>
    <row r="1204" spans="1:8" ht="15.5" x14ac:dyDescent="0.35">
      <c r="A1204" s="7">
        <v>1203</v>
      </c>
      <c r="B1204" s="12">
        <v>21581</v>
      </c>
      <c r="C1204" s="11" t="s">
        <v>1201</v>
      </c>
      <c r="D1204" s="9" t="s">
        <v>1076</v>
      </c>
      <c r="E1204" s="10">
        <v>2002</v>
      </c>
      <c r="F1204" s="36" t="str" cm="1">
        <f t="array" ref="F1204">_xlfn.XLOOKUP(D1204&amp;C1204, Sheet3!$C$2:$C$1224&amp;Sheet3!$B$2:$B$1224, Sheet3!$D$2:$D$1224, "")</f>
        <v>naviakaviati@gmail.com</v>
      </c>
      <c r="G1204" s="1" t="str" cm="1">
        <f t="array" ref="G1204">_xlfn.XLOOKUP(D1204&amp;C1204, Sheet2!$A$2:$A$558&amp;Sheet2!$B$2:$B$558, Sheet2!$C$2:$C$558, "")</f>
        <v/>
      </c>
      <c r="H1204" s="40" t="str">
        <f t="shared" si="18"/>
        <v>naviakaviati@gmail.com</v>
      </c>
    </row>
    <row r="1205" spans="1:8" ht="15.5" x14ac:dyDescent="0.35">
      <c r="A1205" s="7">
        <v>1204</v>
      </c>
      <c r="B1205" s="12">
        <v>21601</v>
      </c>
      <c r="C1205" s="11" t="s">
        <v>1202</v>
      </c>
      <c r="D1205" s="9" t="s">
        <v>1076</v>
      </c>
      <c r="E1205" s="10">
        <v>2002</v>
      </c>
      <c r="F1205" s="36" t="str" cm="1">
        <f t="array" ref="F1205">_xlfn.XLOOKUP(D1205&amp;C1205, Sheet3!$C$2:$C$1224&amp;Sheet3!$B$2:$B$1224, Sheet3!$D$2:$D$1224, "")</f>
        <v/>
      </c>
      <c r="G1205" s="1" t="str" cm="1">
        <f t="array" ref="G1205">_xlfn.XLOOKUP(D1205&amp;C1205, Sheet2!$A$2:$A$558&amp;Sheet2!$B$2:$B$558, Sheet2!$C$2:$C$558, "")</f>
        <v/>
      </c>
      <c r="H1205" s="40" t="str">
        <f t="shared" si="18"/>
        <v/>
      </c>
    </row>
    <row r="1206" spans="1:8" ht="15.5" x14ac:dyDescent="0.35">
      <c r="A1206" s="7">
        <v>1205</v>
      </c>
      <c r="B1206" s="12">
        <v>21627</v>
      </c>
      <c r="C1206" s="11" t="s">
        <v>1203</v>
      </c>
      <c r="D1206" s="9" t="s">
        <v>1076</v>
      </c>
      <c r="E1206" s="10">
        <v>2002</v>
      </c>
      <c r="F1206" s="36" t="str" cm="1">
        <f t="array" ref="F1206">_xlfn.XLOOKUP(D1206&amp;C1206, Sheet3!$C$2:$C$1224&amp;Sheet3!$B$2:$B$1224, Sheet3!$D$2:$D$1224, "")</f>
        <v/>
      </c>
      <c r="G1206" s="1" t="str" cm="1">
        <f t="array" ref="G1206">_xlfn.XLOOKUP(D1206&amp;C1206, Sheet2!$A$2:$A$558&amp;Sheet2!$B$2:$B$558, Sheet2!$C$2:$C$558, "")</f>
        <v/>
      </c>
      <c r="H1206" s="40" t="str">
        <f t="shared" si="18"/>
        <v/>
      </c>
    </row>
    <row r="1207" spans="1:8" ht="15.5" x14ac:dyDescent="0.35">
      <c r="A1207" s="7">
        <v>1206</v>
      </c>
      <c r="B1207" s="12">
        <v>21694</v>
      </c>
      <c r="C1207" s="11" t="s">
        <v>1204</v>
      </c>
      <c r="D1207" s="9" t="s">
        <v>1076</v>
      </c>
      <c r="E1207" s="10">
        <v>2002</v>
      </c>
      <c r="F1207" s="36" t="str" cm="1">
        <f t="array" ref="F1207">_xlfn.XLOOKUP(D1207&amp;C1207, Sheet3!$C$2:$C$1224&amp;Sheet3!$B$2:$B$1224, Sheet3!$D$2:$D$1224, "")</f>
        <v/>
      </c>
      <c r="G1207" s="1" t="str" cm="1">
        <f t="array" ref="G1207">_xlfn.XLOOKUP(D1207&amp;C1207, Sheet2!$A$2:$A$558&amp;Sheet2!$B$2:$B$558, Sheet2!$C$2:$C$558, "")</f>
        <v/>
      </c>
      <c r="H1207" s="40" t="str">
        <f t="shared" si="18"/>
        <v/>
      </c>
    </row>
    <row r="1208" spans="1:8" ht="15.5" x14ac:dyDescent="0.35">
      <c r="A1208" s="7">
        <v>1207</v>
      </c>
      <c r="B1208" s="12">
        <v>21918</v>
      </c>
      <c r="C1208" s="11" t="s">
        <v>1205</v>
      </c>
      <c r="D1208" s="9" t="s">
        <v>1076</v>
      </c>
      <c r="E1208" s="10">
        <v>2002</v>
      </c>
      <c r="F1208" s="36" t="str" cm="1">
        <f t="array" ref="F1208">_xlfn.XLOOKUP(D1208&amp;C1208, Sheet3!$C$2:$C$1224&amp;Sheet3!$B$2:$B$1224, Sheet3!$D$2:$D$1224, "")</f>
        <v/>
      </c>
      <c r="G1208" s="1" t="str" cm="1">
        <f t="array" ref="G1208">_xlfn.XLOOKUP(D1208&amp;C1208, Sheet2!$A$2:$A$558&amp;Sheet2!$B$2:$B$558, Sheet2!$C$2:$C$558, "")</f>
        <v/>
      </c>
      <c r="H1208" s="40" t="str">
        <f t="shared" si="18"/>
        <v/>
      </c>
    </row>
    <row r="1209" spans="1:8" ht="15.5" x14ac:dyDescent="0.35">
      <c r="A1209" s="7">
        <v>1208</v>
      </c>
      <c r="B1209" s="12">
        <v>21941</v>
      </c>
      <c r="C1209" s="11" t="s">
        <v>1206</v>
      </c>
      <c r="D1209" s="9" t="s">
        <v>1076</v>
      </c>
      <c r="E1209" s="10">
        <v>2002</v>
      </c>
      <c r="F1209" s="36" t="str" cm="1">
        <f t="array" ref="F1209">_xlfn.XLOOKUP(D1209&amp;C1209, Sheet3!$C$2:$C$1224&amp;Sheet3!$B$2:$B$1224, Sheet3!$D$2:$D$1224, "")</f>
        <v>meti.haryani@gmail.com</v>
      </c>
      <c r="G1209" s="1" t="str" cm="1">
        <f t="array" ref="G1209">_xlfn.XLOOKUP(D1209&amp;C1209, Sheet2!$A$2:$A$558&amp;Sheet2!$B$2:$B$558, Sheet2!$C$2:$C$558, "")</f>
        <v/>
      </c>
      <c r="H1209" s="40" t="str">
        <f t="shared" si="18"/>
        <v>meti.haryani@gmail.com</v>
      </c>
    </row>
    <row r="1210" spans="1:8" ht="15.5" x14ac:dyDescent="0.35">
      <c r="A1210" s="7">
        <v>1209</v>
      </c>
      <c r="B1210" s="12">
        <v>22008</v>
      </c>
      <c r="C1210" s="11" t="s">
        <v>1195</v>
      </c>
      <c r="D1210" s="9" t="s">
        <v>1076</v>
      </c>
      <c r="E1210" s="10">
        <v>2002</v>
      </c>
      <c r="F1210" s="36" t="str" cm="1">
        <f t="array" ref="F1210">_xlfn.XLOOKUP(D1210&amp;C1210, Sheet3!$C$2:$C$1224&amp;Sheet3!$B$2:$B$1224, Sheet3!$D$2:$D$1224, "")</f>
        <v>masguna97@yahoo.com</v>
      </c>
      <c r="G1210" s="1" t="str" cm="1">
        <f t="array" ref="G1210">_xlfn.XLOOKUP(D1210&amp;C1210, Sheet2!$A$2:$A$558&amp;Sheet2!$B$2:$B$558, Sheet2!$C$2:$C$558, "")</f>
        <v/>
      </c>
      <c r="H1210" s="40" t="str">
        <f t="shared" si="18"/>
        <v>masguna97@yahoo.com</v>
      </c>
    </row>
    <row r="1211" spans="1:8" ht="15.5" x14ac:dyDescent="0.35">
      <c r="A1211" s="7">
        <v>1210</v>
      </c>
      <c r="B1211" s="12">
        <v>22010</v>
      </c>
      <c r="C1211" s="11" t="s">
        <v>1207</v>
      </c>
      <c r="D1211" s="9" t="s">
        <v>1076</v>
      </c>
      <c r="E1211" s="10">
        <v>2002</v>
      </c>
      <c r="F1211" s="36" t="str" cm="1">
        <f t="array" ref="F1211">_xlfn.XLOOKUP(D1211&amp;C1211, Sheet3!$C$2:$C$1224&amp;Sheet3!$B$2:$B$1224, Sheet3!$D$2:$D$1224, "")</f>
        <v>yudopotter@gmail.com</v>
      </c>
      <c r="G1211" s="1" t="str" cm="1">
        <f t="array" ref="G1211">_xlfn.XLOOKUP(D1211&amp;C1211, Sheet2!$A$2:$A$558&amp;Sheet2!$B$2:$B$558, Sheet2!$C$2:$C$558, "")</f>
        <v/>
      </c>
      <c r="H1211" s="40" t="str">
        <f t="shared" si="18"/>
        <v>yudopotter@gmail.com</v>
      </c>
    </row>
    <row r="1212" spans="1:8" ht="15.5" x14ac:dyDescent="0.35">
      <c r="A1212" s="7">
        <v>1211</v>
      </c>
      <c r="B1212" s="12">
        <v>22025</v>
      </c>
      <c r="C1212" s="11" t="s">
        <v>1208</v>
      </c>
      <c r="D1212" s="9" t="s">
        <v>1076</v>
      </c>
      <c r="E1212" s="10">
        <v>2002</v>
      </c>
      <c r="F1212" s="36" t="str" cm="1">
        <f t="array" ref="F1212">_xlfn.XLOOKUP(D1212&amp;C1212, Sheet3!$C$2:$C$1224&amp;Sheet3!$B$2:$B$1224, Sheet3!$D$2:$D$1224, "")</f>
        <v>Zferinanda@gmail.com</v>
      </c>
      <c r="G1212" s="1" t="str" cm="1">
        <f t="array" ref="G1212">_xlfn.XLOOKUP(D1212&amp;C1212, Sheet2!$A$2:$A$558&amp;Sheet2!$B$2:$B$558, Sheet2!$C$2:$C$558, "")</f>
        <v/>
      </c>
      <c r="H1212" s="40" t="str">
        <f t="shared" si="18"/>
        <v>Zferinanda@gmail.com</v>
      </c>
    </row>
    <row r="1213" spans="1:8" ht="15.5" x14ac:dyDescent="0.35">
      <c r="A1213" s="7">
        <v>1212</v>
      </c>
      <c r="B1213" s="12">
        <v>22053</v>
      </c>
      <c r="C1213" s="11" t="s">
        <v>1209</v>
      </c>
      <c r="D1213" s="9" t="s">
        <v>1076</v>
      </c>
      <c r="E1213" s="10">
        <v>2002</v>
      </c>
      <c r="F1213" s="36" t="str" cm="1">
        <f t="array" ref="F1213">_xlfn.XLOOKUP(D1213&amp;C1213, Sheet3!$C$2:$C$1224&amp;Sheet3!$B$2:$B$1224, Sheet3!$D$2:$D$1224, "")</f>
        <v>Bangsuk@gmail.com</v>
      </c>
      <c r="G1213" s="1" t="str" cm="1">
        <f t="array" ref="G1213">_xlfn.XLOOKUP(D1213&amp;C1213, Sheet2!$A$2:$A$558&amp;Sheet2!$B$2:$B$558, Sheet2!$C$2:$C$558, "")</f>
        <v/>
      </c>
      <c r="H1213" s="40" t="str">
        <f t="shared" si="18"/>
        <v>Bangsuk@gmail.com</v>
      </c>
    </row>
    <row r="1214" spans="1:8" ht="15.5" x14ac:dyDescent="0.35">
      <c r="A1214" s="7">
        <v>1213</v>
      </c>
      <c r="B1214" s="12">
        <v>22067</v>
      </c>
      <c r="C1214" s="11" t="s">
        <v>1210</v>
      </c>
      <c r="D1214" s="9" t="s">
        <v>1076</v>
      </c>
      <c r="E1214" s="10">
        <v>2002</v>
      </c>
      <c r="F1214" s="36" t="str" cm="1">
        <f t="array" ref="F1214">_xlfn.XLOOKUP(D1214&amp;C1214, Sheet3!$C$2:$C$1224&amp;Sheet3!$B$2:$B$1224, Sheet3!$D$2:$D$1224, "")</f>
        <v>bf.wiedya@gmail.com</v>
      </c>
      <c r="G1214" s="1" t="str" cm="1">
        <f t="array" ref="G1214">_xlfn.XLOOKUP(D1214&amp;C1214, Sheet2!$A$2:$A$558&amp;Sheet2!$B$2:$B$558, Sheet2!$C$2:$C$558, "")</f>
        <v/>
      </c>
      <c r="H1214" s="40" t="str">
        <f t="shared" si="18"/>
        <v>bf.wiedya@gmail.com</v>
      </c>
    </row>
    <row r="1215" spans="1:8" ht="15.5" x14ac:dyDescent="0.35">
      <c r="A1215" s="7">
        <v>1214</v>
      </c>
      <c r="B1215" s="12">
        <v>22125</v>
      </c>
      <c r="C1215" s="11" t="s">
        <v>1211</v>
      </c>
      <c r="D1215" s="9" t="s">
        <v>1076</v>
      </c>
      <c r="E1215" s="10">
        <v>2002</v>
      </c>
      <c r="F1215" s="36" t="str" cm="1">
        <f t="array" ref="F1215">_xlfn.XLOOKUP(D1215&amp;C1215, Sheet3!$C$2:$C$1224&amp;Sheet3!$B$2:$B$1224, Sheet3!$D$2:$D$1224, "")</f>
        <v/>
      </c>
      <c r="G1215" s="1" t="str" cm="1">
        <f t="array" ref="G1215">_xlfn.XLOOKUP(D1215&amp;C1215, Sheet2!$A$2:$A$558&amp;Sheet2!$B$2:$B$558, Sheet2!$C$2:$C$558, "")</f>
        <v/>
      </c>
      <c r="H1215" s="40" t="str">
        <f t="shared" si="18"/>
        <v/>
      </c>
    </row>
    <row r="1216" spans="1:8" ht="15.5" x14ac:dyDescent="0.35">
      <c r="A1216" s="7">
        <v>1215</v>
      </c>
      <c r="B1216" s="12">
        <v>17449</v>
      </c>
      <c r="C1216" s="11" t="s">
        <v>1212</v>
      </c>
      <c r="D1216" s="9" t="s">
        <v>1071</v>
      </c>
      <c r="E1216" s="10">
        <v>2002</v>
      </c>
      <c r="F1216" s="36" t="str" cm="1">
        <f t="array" ref="F1216">_xlfn.XLOOKUP(D1216&amp;C1216, Sheet3!$C$2:$C$1224&amp;Sheet3!$B$2:$B$1224, Sheet3!$D$2:$D$1224, "")</f>
        <v/>
      </c>
      <c r="G1216" s="1" t="str" cm="1">
        <f t="array" ref="G1216">_xlfn.XLOOKUP(D1216&amp;C1216, Sheet2!$A$2:$A$558&amp;Sheet2!$B$2:$B$558, Sheet2!$C$2:$C$558, "")</f>
        <v/>
      </c>
      <c r="H1216" s="40" t="str">
        <f t="shared" si="18"/>
        <v/>
      </c>
    </row>
    <row r="1217" spans="1:8" ht="15.5" x14ac:dyDescent="0.35">
      <c r="A1217" s="7">
        <v>1216</v>
      </c>
      <c r="B1217" s="12">
        <v>17717</v>
      </c>
      <c r="C1217" s="11" t="s">
        <v>1213</v>
      </c>
      <c r="D1217" s="9" t="s">
        <v>1062</v>
      </c>
      <c r="E1217" s="10">
        <v>2002</v>
      </c>
      <c r="F1217" s="36" t="str" cm="1">
        <f t="array" ref="F1217">_xlfn.XLOOKUP(D1217&amp;C1217, Sheet3!$C$2:$C$1224&amp;Sheet3!$B$2:$B$1224, Sheet3!$D$2:$D$1224, "")</f>
        <v>sujadi774@gmail.com</v>
      </c>
      <c r="G1217" s="1" t="str" cm="1">
        <f t="array" ref="G1217">_xlfn.XLOOKUP(D1217&amp;C1217, Sheet2!$A$2:$A$558&amp;Sheet2!$B$2:$B$558, Sheet2!$C$2:$C$558, "")</f>
        <v/>
      </c>
      <c r="H1217" s="40" t="str">
        <f t="shared" si="18"/>
        <v>sujadi774@gmail.com</v>
      </c>
    </row>
    <row r="1218" spans="1:8" ht="15.5" x14ac:dyDescent="0.35">
      <c r="A1218" s="7">
        <v>1217</v>
      </c>
      <c r="B1218" s="12">
        <v>20235</v>
      </c>
      <c r="C1218" s="11" t="s">
        <v>1214</v>
      </c>
      <c r="D1218" s="9" t="s">
        <v>1074</v>
      </c>
      <c r="E1218" s="10">
        <v>2002</v>
      </c>
      <c r="F1218" s="36" t="str" cm="1">
        <f t="array" ref="F1218">_xlfn.XLOOKUP(D1218&amp;C1218, Sheet3!$C$2:$C$1224&amp;Sheet3!$B$2:$B$1224, Sheet3!$D$2:$D$1224, "")</f>
        <v/>
      </c>
      <c r="G1218" s="1" t="str" cm="1">
        <f t="array" ref="G1218">_xlfn.XLOOKUP(D1218&amp;C1218, Sheet2!$A$2:$A$558&amp;Sheet2!$B$2:$B$558, Sheet2!$C$2:$C$558, "")</f>
        <v/>
      </c>
      <c r="H1218" s="40" t="str">
        <f t="shared" si="18"/>
        <v/>
      </c>
    </row>
    <row r="1219" spans="1:8" ht="15.5" x14ac:dyDescent="0.35">
      <c r="A1219" s="7">
        <v>1218</v>
      </c>
      <c r="B1219" s="12">
        <v>20436</v>
      </c>
      <c r="C1219" s="11" t="s">
        <v>1215</v>
      </c>
      <c r="D1219" s="9" t="s">
        <v>1075</v>
      </c>
      <c r="E1219" s="10">
        <v>2002</v>
      </c>
      <c r="F1219" s="36" t="str" cm="1">
        <f t="array" ref="F1219">_xlfn.XLOOKUP(D1219&amp;C1219, Sheet3!$C$2:$C$1224&amp;Sheet3!$B$2:$B$1224, Sheet3!$D$2:$D$1224, "")</f>
        <v>amril_siddiq@yahoo.com</v>
      </c>
      <c r="G1219" s="1" t="str" cm="1">
        <f t="array" ref="G1219">_xlfn.XLOOKUP(D1219&amp;C1219, Sheet2!$A$2:$A$558&amp;Sheet2!$B$2:$B$558, Sheet2!$C$2:$C$558, "")</f>
        <v/>
      </c>
      <c r="H1219" s="40" t="str">
        <f t="shared" ref="H1219:H1282" si="19">IF(F1219&lt;&gt;"",F1219,G1219)</f>
        <v>amril_siddiq@yahoo.com</v>
      </c>
    </row>
    <row r="1220" spans="1:8" ht="15.5" x14ac:dyDescent="0.35">
      <c r="A1220" s="7">
        <v>1219</v>
      </c>
      <c r="B1220" s="12">
        <v>20579</v>
      </c>
      <c r="C1220" s="11" t="s">
        <v>1216</v>
      </c>
      <c r="D1220" s="9" t="s">
        <v>1075</v>
      </c>
      <c r="E1220" s="10">
        <v>2002</v>
      </c>
      <c r="F1220" s="36" t="str" cm="1">
        <f t="array" ref="F1220">_xlfn.XLOOKUP(D1220&amp;C1220, Sheet3!$C$2:$C$1224&amp;Sheet3!$B$2:$B$1224, Sheet3!$D$2:$D$1224, "")</f>
        <v>Iwan.ridwan270878@gmail.com</v>
      </c>
      <c r="G1220" s="1" t="str" cm="1">
        <f t="array" ref="G1220">_xlfn.XLOOKUP(D1220&amp;C1220, Sheet2!$A$2:$A$558&amp;Sheet2!$B$2:$B$558, Sheet2!$C$2:$C$558, "")</f>
        <v/>
      </c>
      <c r="H1220" s="40" t="str">
        <f t="shared" si="19"/>
        <v>Iwan.ridwan270878@gmail.com</v>
      </c>
    </row>
    <row r="1221" spans="1:8" ht="15.5" x14ac:dyDescent="0.35">
      <c r="A1221" s="7">
        <v>1220</v>
      </c>
      <c r="B1221" s="12">
        <v>20677</v>
      </c>
      <c r="C1221" s="11" t="s">
        <v>1217</v>
      </c>
      <c r="D1221" s="9" t="s">
        <v>1075</v>
      </c>
      <c r="E1221" s="10">
        <v>2002</v>
      </c>
      <c r="F1221" s="36" t="str" cm="1">
        <f t="array" ref="F1221">_xlfn.XLOOKUP(D1221&amp;C1221, Sheet3!$C$2:$C$1224&amp;Sheet3!$B$2:$B$1224, Sheet3!$D$2:$D$1224, "")</f>
        <v>nanangsatrio78@gmail.com</v>
      </c>
      <c r="G1221" s="1" t="str" cm="1">
        <f t="array" ref="G1221">_xlfn.XLOOKUP(D1221&amp;C1221, Sheet2!$A$2:$A$558&amp;Sheet2!$B$2:$B$558, Sheet2!$C$2:$C$558, "")</f>
        <v/>
      </c>
      <c r="H1221" s="40" t="str">
        <f t="shared" si="19"/>
        <v>nanangsatrio78@gmail.com</v>
      </c>
    </row>
    <row r="1222" spans="1:8" ht="15.5" x14ac:dyDescent="0.35">
      <c r="A1222" s="7">
        <v>1221</v>
      </c>
      <c r="B1222" s="12">
        <v>20737</v>
      </c>
      <c r="C1222" s="11" t="s">
        <v>1218</v>
      </c>
      <c r="D1222" s="9" t="s">
        <v>1075</v>
      </c>
      <c r="E1222" s="10">
        <v>2002</v>
      </c>
      <c r="F1222" s="36" t="str" cm="1">
        <f t="array" ref="F1222">_xlfn.XLOOKUP(D1222&amp;C1222, Sheet3!$C$2:$C$1224&amp;Sheet3!$B$2:$B$1224, Sheet3!$D$2:$D$1224, "")</f>
        <v/>
      </c>
      <c r="G1222" s="1" t="str" cm="1">
        <f t="array" ref="G1222">_xlfn.XLOOKUP(D1222&amp;C1222, Sheet2!$A$2:$A$558&amp;Sheet2!$B$2:$B$558, Sheet2!$C$2:$C$558, "")</f>
        <v/>
      </c>
      <c r="H1222" s="40" t="str">
        <f t="shared" si="19"/>
        <v/>
      </c>
    </row>
    <row r="1223" spans="1:8" ht="15.5" x14ac:dyDescent="0.35">
      <c r="A1223" s="7">
        <v>1222</v>
      </c>
      <c r="B1223" s="12">
        <v>20796</v>
      </c>
      <c r="C1223" s="11" t="s">
        <v>1219</v>
      </c>
      <c r="D1223" s="9" t="s">
        <v>1075</v>
      </c>
      <c r="E1223" s="10">
        <v>2002</v>
      </c>
      <c r="F1223" s="36" t="str" cm="1">
        <f t="array" ref="F1223">_xlfn.XLOOKUP(D1223&amp;C1223, Sheet3!$C$2:$C$1224&amp;Sheet3!$B$2:$B$1224, Sheet3!$D$2:$D$1224, "")</f>
        <v/>
      </c>
      <c r="G1223" s="1" t="str" cm="1">
        <f t="array" ref="G1223">_xlfn.XLOOKUP(D1223&amp;C1223, Sheet2!$A$2:$A$558&amp;Sheet2!$B$2:$B$558, Sheet2!$C$2:$C$558, "")</f>
        <v/>
      </c>
      <c r="H1223" s="40" t="str">
        <f t="shared" si="19"/>
        <v/>
      </c>
    </row>
    <row r="1224" spans="1:8" ht="15.5" x14ac:dyDescent="0.35">
      <c r="A1224" s="7">
        <v>1223</v>
      </c>
      <c r="B1224" s="12">
        <v>20925</v>
      </c>
      <c r="C1224" s="11" t="s">
        <v>1220</v>
      </c>
      <c r="D1224" s="9" t="s">
        <v>1075</v>
      </c>
      <c r="E1224" s="10">
        <v>2002</v>
      </c>
      <c r="F1224" s="36" t="str" cm="1">
        <f t="array" ref="F1224">_xlfn.XLOOKUP(D1224&amp;C1224, Sheet3!$C$2:$C$1224&amp;Sheet3!$B$2:$B$1224, Sheet3!$D$2:$D$1224, "")</f>
        <v>awanesta@gmail.com</v>
      </c>
      <c r="G1224" s="1" t="str" cm="1">
        <f t="array" ref="G1224">_xlfn.XLOOKUP(D1224&amp;C1224, Sheet2!$A$2:$A$558&amp;Sheet2!$B$2:$B$558, Sheet2!$C$2:$C$558, "")</f>
        <v/>
      </c>
      <c r="H1224" s="40" t="str">
        <f t="shared" si="19"/>
        <v>awanesta@gmail.com</v>
      </c>
    </row>
    <row r="1225" spans="1:8" ht="15.5" x14ac:dyDescent="0.35">
      <c r="A1225" s="7">
        <v>1224</v>
      </c>
      <c r="B1225" s="12">
        <v>20933</v>
      </c>
      <c r="C1225" s="11" t="s">
        <v>1221</v>
      </c>
      <c r="D1225" s="9" t="s">
        <v>1075</v>
      </c>
      <c r="E1225" s="10">
        <v>2002</v>
      </c>
      <c r="F1225" s="36" t="str" cm="1">
        <f t="array" ref="F1225">_xlfn.XLOOKUP(D1225&amp;C1225, Sheet3!$C$2:$C$1224&amp;Sheet3!$B$2:$B$1224, Sheet3!$D$2:$D$1224, "")</f>
        <v>kotak13@gmail.com</v>
      </c>
      <c r="G1225" s="1" t="str" cm="1">
        <f t="array" ref="G1225">_xlfn.XLOOKUP(D1225&amp;C1225, Sheet2!$A$2:$A$558&amp;Sheet2!$B$2:$B$558, Sheet2!$C$2:$C$558, "")</f>
        <v/>
      </c>
      <c r="H1225" s="40" t="str">
        <f t="shared" si="19"/>
        <v>kotak13@gmail.com</v>
      </c>
    </row>
    <row r="1226" spans="1:8" ht="15.5" x14ac:dyDescent="0.35">
      <c r="A1226" s="7">
        <v>1225</v>
      </c>
      <c r="B1226" s="12">
        <v>20947</v>
      </c>
      <c r="C1226" s="11" t="s">
        <v>1222</v>
      </c>
      <c r="D1226" s="9" t="s">
        <v>1075</v>
      </c>
      <c r="E1226" s="10">
        <v>2002</v>
      </c>
      <c r="F1226" s="36" t="str" cm="1">
        <f t="array" ref="F1226">_xlfn.XLOOKUP(D1226&amp;C1226, Sheet3!$C$2:$C$1224&amp;Sheet3!$B$2:$B$1224, Sheet3!$D$2:$D$1224, "")</f>
        <v>jardiiriawan@gmail.com</v>
      </c>
      <c r="G1226" s="1" t="str" cm="1">
        <f t="array" ref="G1226">_xlfn.XLOOKUP(D1226&amp;C1226, Sheet2!$A$2:$A$558&amp;Sheet2!$B$2:$B$558, Sheet2!$C$2:$C$558, "")</f>
        <v/>
      </c>
      <c r="H1226" s="40" t="str">
        <f t="shared" si="19"/>
        <v>jardiiriawan@gmail.com</v>
      </c>
    </row>
    <row r="1227" spans="1:8" ht="15.5" x14ac:dyDescent="0.35">
      <c r="A1227" s="7">
        <v>1226</v>
      </c>
      <c r="B1227" s="12">
        <v>21167</v>
      </c>
      <c r="C1227" s="11" t="s">
        <v>1223</v>
      </c>
      <c r="D1227" s="9" t="s">
        <v>1075</v>
      </c>
      <c r="E1227" s="10">
        <v>2002</v>
      </c>
      <c r="F1227" s="36" t="str" cm="1">
        <f t="array" ref="F1227">_xlfn.XLOOKUP(D1227&amp;C1227, Sheet3!$C$2:$C$1224&amp;Sheet3!$B$2:$B$1224, Sheet3!$D$2:$D$1224, "")</f>
        <v>chandra.bpn@gmail.com</v>
      </c>
      <c r="G1227" s="1" t="str" cm="1">
        <f t="array" ref="G1227">_xlfn.XLOOKUP(D1227&amp;C1227, Sheet2!$A$2:$A$558&amp;Sheet2!$B$2:$B$558, Sheet2!$C$2:$C$558, "")</f>
        <v/>
      </c>
      <c r="H1227" s="40" t="str">
        <f t="shared" si="19"/>
        <v>chandra.bpn@gmail.com</v>
      </c>
    </row>
    <row r="1228" spans="1:8" ht="15.5" x14ac:dyDescent="0.35">
      <c r="A1228" s="7">
        <v>1227</v>
      </c>
      <c r="B1228" s="12">
        <v>21263</v>
      </c>
      <c r="C1228" s="11" t="s">
        <v>1224</v>
      </c>
      <c r="D1228" s="9" t="s">
        <v>1075</v>
      </c>
      <c r="E1228" s="10">
        <v>2002</v>
      </c>
      <c r="F1228" s="36" t="str" cm="1">
        <f t="array" ref="F1228">_xlfn.XLOOKUP(D1228&amp;C1228, Sheet3!$C$2:$C$1224&amp;Sheet3!$B$2:$B$1224, Sheet3!$D$2:$D$1224, "")</f>
        <v>isnawansbt@gmail.com</v>
      </c>
      <c r="G1228" s="1" t="str" cm="1">
        <f t="array" ref="G1228">_xlfn.XLOOKUP(D1228&amp;C1228, Sheet2!$A$2:$A$558&amp;Sheet2!$B$2:$B$558, Sheet2!$C$2:$C$558, "")</f>
        <v/>
      </c>
      <c r="H1228" s="40" t="str">
        <f t="shared" si="19"/>
        <v>isnawansbt@gmail.com</v>
      </c>
    </row>
    <row r="1229" spans="1:8" ht="15.5" x14ac:dyDescent="0.35">
      <c r="A1229" s="7">
        <v>1228</v>
      </c>
      <c r="B1229" s="12">
        <v>21362</v>
      </c>
      <c r="C1229" s="11" t="s">
        <v>1225</v>
      </c>
      <c r="D1229" s="9" t="s">
        <v>1076</v>
      </c>
      <c r="E1229" s="10">
        <v>2002</v>
      </c>
      <c r="F1229" s="36" t="str" cm="1">
        <f t="array" ref="F1229">_xlfn.XLOOKUP(D1229&amp;C1229, Sheet3!$C$2:$C$1224&amp;Sheet3!$B$2:$B$1224, Sheet3!$D$2:$D$1224, "")</f>
        <v/>
      </c>
      <c r="G1229" s="1" t="str" cm="1">
        <f t="array" ref="G1229">_xlfn.XLOOKUP(D1229&amp;C1229, Sheet2!$A$2:$A$558&amp;Sheet2!$B$2:$B$558, Sheet2!$C$2:$C$558, "")</f>
        <v/>
      </c>
      <c r="H1229" s="40" t="str">
        <f t="shared" si="19"/>
        <v/>
      </c>
    </row>
    <row r="1230" spans="1:8" ht="15.5" x14ac:dyDescent="0.35">
      <c r="A1230" s="7">
        <v>1229</v>
      </c>
      <c r="B1230" s="12">
        <v>21369</v>
      </c>
      <c r="C1230" s="11" t="s">
        <v>1226</v>
      </c>
      <c r="D1230" s="9" t="s">
        <v>1076</v>
      </c>
      <c r="E1230" s="10">
        <v>2002</v>
      </c>
      <c r="F1230" s="36" t="str" cm="1">
        <f t="array" ref="F1230">_xlfn.XLOOKUP(D1230&amp;C1230, Sheet3!$C$2:$C$1224&amp;Sheet3!$B$2:$B$1224, Sheet3!$D$2:$D$1224, "")</f>
        <v/>
      </c>
      <c r="G1230" s="1" t="str" cm="1">
        <f t="array" ref="G1230">_xlfn.XLOOKUP(D1230&amp;C1230, Sheet2!$A$2:$A$558&amp;Sheet2!$B$2:$B$558, Sheet2!$C$2:$C$558, "")</f>
        <v/>
      </c>
      <c r="H1230" s="40" t="str">
        <f t="shared" si="19"/>
        <v/>
      </c>
    </row>
    <row r="1231" spans="1:8" ht="15.5" x14ac:dyDescent="0.35">
      <c r="A1231" s="7">
        <v>1230</v>
      </c>
      <c r="B1231" s="12">
        <v>21376</v>
      </c>
      <c r="C1231" s="11" t="s">
        <v>1227</v>
      </c>
      <c r="D1231" s="9" t="s">
        <v>1076</v>
      </c>
      <c r="E1231" s="10">
        <v>2002</v>
      </c>
      <c r="F1231" s="36" t="str" cm="1">
        <f t="array" ref="F1231">_xlfn.XLOOKUP(D1231&amp;C1231, Sheet3!$C$2:$C$1224&amp;Sheet3!$B$2:$B$1224, Sheet3!$D$2:$D$1224, "")</f>
        <v/>
      </c>
      <c r="G1231" s="1" t="str" cm="1">
        <f t="array" ref="G1231">_xlfn.XLOOKUP(D1231&amp;C1231, Sheet2!$A$2:$A$558&amp;Sheet2!$B$2:$B$558, Sheet2!$C$2:$C$558, "")</f>
        <v/>
      </c>
      <c r="H1231" s="40" t="str">
        <f t="shared" si="19"/>
        <v/>
      </c>
    </row>
    <row r="1232" spans="1:8" ht="15.5" x14ac:dyDescent="0.35">
      <c r="A1232" s="7">
        <v>1231</v>
      </c>
      <c r="B1232" s="12">
        <v>21408</v>
      </c>
      <c r="C1232" s="11" t="s">
        <v>1228</v>
      </c>
      <c r="D1232" s="9" t="s">
        <v>1076</v>
      </c>
      <c r="E1232" s="10">
        <v>2002</v>
      </c>
      <c r="F1232" s="36" t="str" cm="1">
        <f t="array" ref="F1232">_xlfn.XLOOKUP(D1232&amp;C1232, Sheet3!$C$2:$C$1224&amp;Sheet3!$B$2:$B$1224, Sheet3!$D$2:$D$1224, "")</f>
        <v>wikantiwaskita@gmail.com</v>
      </c>
      <c r="G1232" s="1" t="str" cm="1">
        <f t="array" ref="G1232">_xlfn.XLOOKUP(D1232&amp;C1232, Sheet2!$A$2:$A$558&amp;Sheet2!$B$2:$B$558, Sheet2!$C$2:$C$558, "")</f>
        <v/>
      </c>
      <c r="H1232" s="40" t="str">
        <f t="shared" si="19"/>
        <v>wikantiwaskita@gmail.com</v>
      </c>
    </row>
    <row r="1233" spans="1:8" ht="15.5" x14ac:dyDescent="0.35">
      <c r="A1233" s="7">
        <v>1232</v>
      </c>
      <c r="B1233" s="12">
        <v>21539</v>
      </c>
      <c r="C1233" s="11" t="s">
        <v>1229</v>
      </c>
      <c r="D1233" s="9" t="s">
        <v>1076</v>
      </c>
      <c r="E1233" s="10">
        <v>2002</v>
      </c>
      <c r="F1233" s="36" t="str" cm="1">
        <f t="array" ref="F1233">_xlfn.XLOOKUP(D1233&amp;C1233, Sheet3!$C$2:$C$1224&amp;Sheet3!$B$2:$B$1224, Sheet3!$D$2:$D$1224, "")</f>
        <v>wsawitry2778@gmail.com</v>
      </c>
      <c r="G1233" s="1" t="str" cm="1">
        <f t="array" ref="G1233">_xlfn.XLOOKUP(D1233&amp;C1233, Sheet2!$A$2:$A$558&amp;Sheet2!$B$2:$B$558, Sheet2!$C$2:$C$558, "")</f>
        <v/>
      </c>
      <c r="H1233" s="40" t="str">
        <f t="shared" si="19"/>
        <v>wsawitry2778@gmail.com</v>
      </c>
    </row>
    <row r="1234" spans="1:8" ht="15.5" x14ac:dyDescent="0.35">
      <c r="A1234" s="7">
        <v>1233</v>
      </c>
      <c r="B1234" s="12">
        <v>21540</v>
      </c>
      <c r="C1234" s="11" t="s">
        <v>1230</v>
      </c>
      <c r="D1234" s="9" t="s">
        <v>1076</v>
      </c>
      <c r="E1234" s="10">
        <v>2002</v>
      </c>
      <c r="F1234" s="36" t="str" cm="1">
        <f t="array" ref="F1234">_xlfn.XLOOKUP(D1234&amp;C1234, Sheet3!$C$2:$C$1224&amp;Sheet3!$B$2:$B$1224, Sheet3!$D$2:$D$1224, "")</f>
        <v/>
      </c>
      <c r="G1234" s="1" t="str" cm="1">
        <f t="array" ref="G1234">_xlfn.XLOOKUP(D1234&amp;C1234, Sheet2!$A$2:$A$558&amp;Sheet2!$B$2:$B$558, Sheet2!$C$2:$C$558, "")</f>
        <v/>
      </c>
      <c r="H1234" s="40" t="str">
        <f t="shared" si="19"/>
        <v/>
      </c>
    </row>
    <row r="1235" spans="1:8" ht="15.5" x14ac:dyDescent="0.35">
      <c r="A1235" s="7">
        <v>1234</v>
      </c>
      <c r="B1235" s="12">
        <v>21555</v>
      </c>
      <c r="C1235" s="11" t="s">
        <v>1231</v>
      </c>
      <c r="D1235" s="9" t="s">
        <v>1076</v>
      </c>
      <c r="E1235" s="10">
        <v>2002</v>
      </c>
      <c r="F1235" s="36" t="str" cm="1">
        <f t="array" ref="F1235">_xlfn.XLOOKUP(D1235&amp;C1235, Sheet3!$C$2:$C$1224&amp;Sheet3!$B$2:$B$1224, Sheet3!$D$2:$D$1224, "")</f>
        <v/>
      </c>
      <c r="G1235" s="1" t="str" cm="1">
        <f t="array" ref="G1235">_xlfn.XLOOKUP(D1235&amp;C1235, Sheet2!$A$2:$A$558&amp;Sheet2!$B$2:$B$558, Sheet2!$C$2:$C$558, "")</f>
        <v>reza_rajwa@yahoo.co.id</v>
      </c>
      <c r="H1235" s="40" t="str">
        <f t="shared" si="19"/>
        <v>reza_rajwa@yahoo.co.id</v>
      </c>
    </row>
    <row r="1236" spans="1:8" ht="15.5" x14ac:dyDescent="0.35">
      <c r="A1236" s="7">
        <v>1235</v>
      </c>
      <c r="B1236" s="12">
        <v>21604</v>
      </c>
      <c r="C1236" s="11" t="s">
        <v>1232</v>
      </c>
      <c r="D1236" s="9" t="s">
        <v>1076</v>
      </c>
      <c r="E1236" s="10">
        <v>2002</v>
      </c>
      <c r="F1236" s="36" t="str" cm="1">
        <f t="array" ref="F1236">_xlfn.XLOOKUP(D1236&amp;C1236, Sheet3!$C$2:$C$1224&amp;Sheet3!$B$2:$B$1224, Sheet3!$D$2:$D$1224, "")</f>
        <v>rinanto13@gmail.com</v>
      </c>
      <c r="G1236" s="1" t="str" cm="1">
        <f t="array" ref="G1236">_xlfn.XLOOKUP(D1236&amp;C1236, Sheet2!$A$2:$A$558&amp;Sheet2!$B$2:$B$558, Sheet2!$C$2:$C$558, "")</f>
        <v>rinanto13@gmail.com</v>
      </c>
      <c r="H1236" s="40" t="str">
        <f t="shared" si="19"/>
        <v>rinanto13@gmail.com</v>
      </c>
    </row>
    <row r="1237" spans="1:8" ht="15.5" x14ac:dyDescent="0.35">
      <c r="A1237" s="7">
        <v>1236</v>
      </c>
      <c r="B1237" s="12">
        <v>21675</v>
      </c>
      <c r="C1237" s="11" t="s">
        <v>1233</v>
      </c>
      <c r="D1237" s="9" t="s">
        <v>1076</v>
      </c>
      <c r="E1237" s="10">
        <v>2002</v>
      </c>
      <c r="F1237" s="36" t="str" cm="1">
        <f t="array" ref="F1237">_xlfn.XLOOKUP(D1237&amp;C1237, Sheet3!$C$2:$C$1224&amp;Sheet3!$B$2:$B$1224, Sheet3!$D$2:$D$1224, "")</f>
        <v/>
      </c>
      <c r="G1237" s="1" t="str" cm="1">
        <f t="array" ref="G1237">_xlfn.XLOOKUP(D1237&amp;C1237, Sheet2!$A$2:$A$558&amp;Sheet2!$B$2:$B$558, Sheet2!$C$2:$C$558, "")</f>
        <v/>
      </c>
      <c r="H1237" s="40" t="str">
        <f t="shared" si="19"/>
        <v/>
      </c>
    </row>
    <row r="1238" spans="1:8" ht="15.5" x14ac:dyDescent="0.35">
      <c r="A1238" s="7">
        <v>1237</v>
      </c>
      <c r="B1238" s="12">
        <v>21839</v>
      </c>
      <c r="C1238" s="11" t="s">
        <v>1234</v>
      </c>
      <c r="D1238" s="9" t="s">
        <v>1076</v>
      </c>
      <c r="E1238" s="10">
        <v>2002</v>
      </c>
      <c r="F1238" s="36" t="str" cm="1">
        <f t="array" ref="F1238">_xlfn.XLOOKUP(D1238&amp;C1238, Sheet3!$C$2:$C$1224&amp;Sheet3!$B$2:$B$1224, Sheet3!$D$2:$D$1224, "")</f>
        <v/>
      </c>
      <c r="G1238" s="1" t="str" cm="1">
        <f t="array" ref="G1238">_xlfn.XLOOKUP(D1238&amp;C1238, Sheet2!$A$2:$A$558&amp;Sheet2!$B$2:$B$558, Sheet2!$C$2:$C$558, "")</f>
        <v/>
      </c>
      <c r="H1238" s="40" t="str">
        <f t="shared" si="19"/>
        <v/>
      </c>
    </row>
    <row r="1239" spans="1:8" ht="15.5" x14ac:dyDescent="0.35">
      <c r="A1239" s="7">
        <v>1238</v>
      </c>
      <c r="B1239" s="12">
        <v>21911</v>
      </c>
      <c r="C1239" s="11" t="s">
        <v>1235</v>
      </c>
      <c r="D1239" s="9" t="s">
        <v>1076</v>
      </c>
      <c r="E1239" s="10">
        <v>2002</v>
      </c>
      <c r="F1239" s="36" t="str" cm="1">
        <f t="array" ref="F1239">_xlfn.XLOOKUP(D1239&amp;C1239, Sheet3!$C$2:$C$1224&amp;Sheet3!$B$2:$B$1224, Sheet3!$D$2:$D$1224, "")</f>
        <v>imamssubekti0014@gmail.com</v>
      </c>
      <c r="G1239" s="1" t="str" cm="1">
        <f t="array" ref="G1239">_xlfn.XLOOKUP(D1239&amp;C1239, Sheet2!$A$2:$A$558&amp;Sheet2!$B$2:$B$558, Sheet2!$C$2:$C$558, "")</f>
        <v/>
      </c>
      <c r="H1239" s="40" t="str">
        <f t="shared" si="19"/>
        <v>imamssubekti0014@gmail.com</v>
      </c>
    </row>
    <row r="1240" spans="1:8" ht="15.5" x14ac:dyDescent="0.35">
      <c r="A1240" s="7">
        <v>1239</v>
      </c>
      <c r="B1240" s="12">
        <v>22077</v>
      </c>
      <c r="C1240" s="11" t="s">
        <v>1236</v>
      </c>
      <c r="D1240" s="9" t="s">
        <v>1076</v>
      </c>
      <c r="E1240" s="10">
        <v>2002</v>
      </c>
      <c r="F1240" s="36" t="str" cm="1">
        <f t="array" ref="F1240">_xlfn.XLOOKUP(D1240&amp;C1240, Sheet3!$C$2:$C$1224&amp;Sheet3!$B$2:$B$1224, Sheet3!$D$2:$D$1224, "")</f>
        <v>pradapa2014@gmail.com</v>
      </c>
      <c r="G1240" s="1" t="str" cm="1">
        <f t="array" ref="G1240">_xlfn.XLOOKUP(D1240&amp;C1240, Sheet2!$A$2:$A$558&amp;Sheet2!$B$2:$B$558, Sheet2!$C$2:$C$558, "")</f>
        <v/>
      </c>
      <c r="H1240" s="40" t="str">
        <f t="shared" si="19"/>
        <v>pradapa2014@gmail.com</v>
      </c>
    </row>
    <row r="1241" spans="1:8" ht="15.5" x14ac:dyDescent="0.35">
      <c r="A1241" s="7">
        <v>1240</v>
      </c>
      <c r="B1241" s="12">
        <v>22078</v>
      </c>
      <c r="C1241" s="11" t="s">
        <v>1237</v>
      </c>
      <c r="D1241" s="9" t="s">
        <v>1076</v>
      </c>
      <c r="E1241" s="10">
        <v>2002</v>
      </c>
      <c r="F1241" s="36" t="str" cm="1">
        <f t="array" ref="F1241">_xlfn.XLOOKUP(D1241&amp;C1241, Sheet3!$C$2:$C$1224&amp;Sheet3!$B$2:$B$1224, Sheet3!$D$2:$D$1224, "")</f>
        <v/>
      </c>
      <c r="G1241" s="1" t="str" cm="1">
        <f t="array" ref="G1241">_xlfn.XLOOKUP(D1241&amp;C1241, Sheet2!$A$2:$A$558&amp;Sheet2!$B$2:$B$558, Sheet2!$C$2:$C$558, "")</f>
        <v/>
      </c>
      <c r="H1241" s="40" t="str">
        <f t="shared" si="19"/>
        <v/>
      </c>
    </row>
    <row r="1242" spans="1:8" ht="15.5" x14ac:dyDescent="0.35">
      <c r="A1242" s="7">
        <v>1241</v>
      </c>
      <c r="B1242" s="12">
        <v>22097</v>
      </c>
      <c r="C1242" s="11" t="s">
        <v>1238</v>
      </c>
      <c r="D1242" s="9" t="s">
        <v>1076</v>
      </c>
      <c r="E1242" s="10">
        <v>2002</v>
      </c>
      <c r="F1242" s="36" t="str" cm="1">
        <f t="array" ref="F1242">_xlfn.XLOOKUP(D1242&amp;C1242, Sheet3!$C$2:$C$1224&amp;Sheet3!$B$2:$B$1224, Sheet3!$D$2:$D$1224, "")</f>
        <v>Arlibuchari11@gmail.com</v>
      </c>
      <c r="G1242" s="1" t="str" cm="1">
        <f t="array" ref="G1242">_xlfn.XLOOKUP(D1242&amp;C1242, Sheet2!$A$2:$A$558&amp;Sheet2!$B$2:$B$558, Sheet2!$C$2:$C$558, "")</f>
        <v/>
      </c>
      <c r="H1242" s="40" t="str">
        <f t="shared" si="19"/>
        <v>Arlibuchari11@gmail.com</v>
      </c>
    </row>
    <row r="1243" spans="1:8" ht="15.5" x14ac:dyDescent="0.35">
      <c r="A1243" s="7">
        <v>1242</v>
      </c>
      <c r="B1243" s="12">
        <v>22106</v>
      </c>
      <c r="C1243" s="11" t="s">
        <v>1239</v>
      </c>
      <c r="D1243" s="9" t="s">
        <v>1076</v>
      </c>
      <c r="E1243" s="10">
        <v>2002</v>
      </c>
      <c r="F1243" s="36" t="str" cm="1">
        <f t="array" ref="F1243">_xlfn.XLOOKUP(D1243&amp;C1243, Sheet3!$C$2:$C$1224&amp;Sheet3!$B$2:$B$1224, Sheet3!$D$2:$D$1224, "")</f>
        <v/>
      </c>
      <c r="G1243" s="1" t="str" cm="1">
        <f t="array" ref="G1243">_xlfn.XLOOKUP(D1243&amp;C1243, Sheet2!$A$2:$A$558&amp;Sheet2!$B$2:$B$558, Sheet2!$C$2:$C$558, "")</f>
        <v/>
      </c>
      <c r="H1243" s="40" t="str">
        <f t="shared" si="19"/>
        <v/>
      </c>
    </row>
    <row r="1244" spans="1:8" ht="15.5" x14ac:dyDescent="0.35">
      <c r="A1244" s="7">
        <v>1243</v>
      </c>
      <c r="B1244" s="12">
        <v>22118</v>
      </c>
      <c r="C1244" s="11" t="s">
        <v>1240</v>
      </c>
      <c r="D1244" s="9" t="s">
        <v>1076</v>
      </c>
      <c r="E1244" s="10">
        <v>2002</v>
      </c>
      <c r="F1244" s="36" t="str" cm="1">
        <f t="array" ref="F1244">_xlfn.XLOOKUP(D1244&amp;C1244, Sheet3!$C$2:$C$1224&amp;Sheet3!$B$2:$B$1224, Sheet3!$D$2:$D$1224, "")</f>
        <v/>
      </c>
      <c r="G1244" s="1" t="str" cm="1">
        <f t="array" ref="G1244">_xlfn.XLOOKUP(D1244&amp;C1244, Sheet2!$A$2:$A$558&amp;Sheet2!$B$2:$B$558, Sheet2!$C$2:$C$558, "")</f>
        <v/>
      </c>
      <c r="H1244" s="40" t="str">
        <f t="shared" si="19"/>
        <v/>
      </c>
    </row>
    <row r="1245" spans="1:8" ht="15.5" x14ac:dyDescent="0.35">
      <c r="A1245" s="7">
        <v>1244</v>
      </c>
      <c r="B1245" s="12">
        <v>22170</v>
      </c>
      <c r="C1245" s="11" t="s">
        <v>1241</v>
      </c>
      <c r="D1245" s="9" t="s">
        <v>1076</v>
      </c>
      <c r="E1245" s="10">
        <v>2002</v>
      </c>
      <c r="F1245" s="36" t="str" cm="1">
        <f t="array" ref="F1245">_xlfn.XLOOKUP(D1245&amp;C1245, Sheet3!$C$2:$C$1224&amp;Sheet3!$B$2:$B$1224, Sheet3!$D$2:$D$1224, "")</f>
        <v/>
      </c>
      <c r="G1245" s="1" t="str" cm="1">
        <f t="array" ref="G1245">_xlfn.XLOOKUP(D1245&amp;C1245, Sheet2!$A$2:$A$558&amp;Sheet2!$B$2:$B$558, Sheet2!$C$2:$C$558, "")</f>
        <v/>
      </c>
      <c r="H1245" s="40" t="str">
        <f t="shared" si="19"/>
        <v/>
      </c>
    </row>
    <row r="1246" spans="1:8" ht="15.5" x14ac:dyDescent="0.35">
      <c r="A1246" s="7">
        <v>1245</v>
      </c>
      <c r="B1246" s="12">
        <v>22222</v>
      </c>
      <c r="C1246" s="11" t="s">
        <v>1242</v>
      </c>
      <c r="D1246" s="9" t="s">
        <v>1076</v>
      </c>
      <c r="E1246" s="10">
        <v>2002</v>
      </c>
      <c r="F1246" s="36" t="str" cm="1">
        <f t="array" ref="F1246">_xlfn.XLOOKUP(D1246&amp;C1246, Sheet3!$C$2:$C$1224&amp;Sheet3!$B$2:$B$1224, Sheet3!$D$2:$D$1224, "")</f>
        <v/>
      </c>
      <c r="G1246" s="1" t="str" cm="1">
        <f t="array" ref="G1246">_xlfn.XLOOKUP(D1246&amp;C1246, Sheet2!$A$2:$A$558&amp;Sheet2!$B$2:$B$558, Sheet2!$C$2:$C$558, "")</f>
        <v/>
      </c>
      <c r="H1246" s="40" t="str">
        <f t="shared" si="19"/>
        <v/>
      </c>
    </row>
    <row r="1247" spans="1:8" ht="15.5" x14ac:dyDescent="0.35">
      <c r="A1247" s="7">
        <v>1246</v>
      </c>
      <c r="B1247" s="12">
        <v>22350</v>
      </c>
      <c r="C1247" s="11" t="s">
        <v>1243</v>
      </c>
      <c r="D1247" s="9" t="s">
        <v>1077</v>
      </c>
      <c r="E1247" s="10">
        <v>2002</v>
      </c>
      <c r="F1247" s="36" t="str" cm="1">
        <f t="array" ref="F1247">_xlfn.XLOOKUP(D1247&amp;C1247, Sheet3!$C$2:$C$1224&amp;Sheet3!$B$2:$B$1224, Sheet3!$D$2:$D$1224, "")</f>
        <v>Erlindaruba@gmail.com</v>
      </c>
      <c r="G1247" s="1" t="str" cm="1">
        <f t="array" ref="G1247">_xlfn.XLOOKUP(D1247&amp;C1247, Sheet2!$A$2:$A$558&amp;Sheet2!$B$2:$B$558, Sheet2!$C$2:$C$558, "")</f>
        <v/>
      </c>
      <c r="H1247" s="40" t="str">
        <f t="shared" si="19"/>
        <v>Erlindaruba@gmail.com</v>
      </c>
    </row>
    <row r="1248" spans="1:8" ht="15.5" x14ac:dyDescent="0.35">
      <c r="A1248" s="7">
        <v>1247</v>
      </c>
      <c r="B1248" s="12">
        <v>19868</v>
      </c>
      <c r="C1248" s="11" t="s">
        <v>1244</v>
      </c>
      <c r="D1248" s="9" t="s">
        <v>1074</v>
      </c>
      <c r="E1248" s="10">
        <v>2002</v>
      </c>
      <c r="F1248" s="36" t="str" cm="1">
        <f t="array" ref="F1248">_xlfn.XLOOKUP(D1248&amp;C1248, Sheet3!$C$2:$C$1224&amp;Sheet3!$B$2:$B$1224, Sheet3!$D$2:$D$1224, "")</f>
        <v/>
      </c>
      <c r="G1248" s="1" t="str" cm="1">
        <f t="array" ref="G1248">_xlfn.XLOOKUP(D1248&amp;C1248, Sheet2!$A$2:$A$558&amp;Sheet2!$B$2:$B$558, Sheet2!$C$2:$C$558, "")</f>
        <v/>
      </c>
      <c r="H1248" s="40" t="str">
        <f t="shared" si="19"/>
        <v/>
      </c>
    </row>
    <row r="1249" spans="1:8" ht="15.5" x14ac:dyDescent="0.35">
      <c r="A1249" s="7">
        <v>1248</v>
      </c>
      <c r="B1249" s="12">
        <v>19904</v>
      </c>
      <c r="C1249" s="11" t="s">
        <v>1245</v>
      </c>
      <c r="D1249" s="9" t="s">
        <v>1074</v>
      </c>
      <c r="E1249" s="10">
        <v>2002</v>
      </c>
      <c r="F1249" s="36" t="str" cm="1">
        <f t="array" ref="F1249">_xlfn.XLOOKUP(D1249&amp;C1249, Sheet3!$C$2:$C$1224&amp;Sheet3!$B$2:$B$1224, Sheet3!$D$2:$D$1224, "")</f>
        <v>sofyanhadi_cb@yahoo.co.id</v>
      </c>
      <c r="G1249" s="1" t="str" cm="1">
        <f t="array" ref="G1249">_xlfn.XLOOKUP(D1249&amp;C1249, Sheet2!$A$2:$A$558&amp;Sheet2!$B$2:$B$558, Sheet2!$C$2:$C$558, "")</f>
        <v/>
      </c>
      <c r="H1249" s="40" t="str">
        <f t="shared" si="19"/>
        <v>sofyanhadi_cb@yahoo.co.id</v>
      </c>
    </row>
    <row r="1250" spans="1:8" ht="15.5" x14ac:dyDescent="0.35">
      <c r="A1250" s="7">
        <v>1249</v>
      </c>
      <c r="B1250" s="12">
        <v>20270</v>
      </c>
      <c r="C1250" s="11" t="s">
        <v>1246</v>
      </c>
      <c r="D1250" s="9" t="s">
        <v>1074</v>
      </c>
      <c r="E1250" s="10">
        <v>2002</v>
      </c>
      <c r="F1250" s="36" t="str" cm="1">
        <f t="array" ref="F1250">_xlfn.XLOOKUP(D1250&amp;C1250, Sheet3!$C$2:$C$1224&amp;Sheet3!$B$2:$B$1224, Sheet3!$D$2:$D$1224, "")</f>
        <v>setiwawan123456789@gmail.com</v>
      </c>
      <c r="G1250" s="1" t="str" cm="1">
        <f t="array" ref="G1250">_xlfn.XLOOKUP(D1250&amp;C1250, Sheet2!$A$2:$A$558&amp;Sheet2!$B$2:$B$558, Sheet2!$C$2:$C$558, "")</f>
        <v/>
      </c>
      <c r="H1250" s="40" t="str">
        <f t="shared" si="19"/>
        <v>setiwawan123456789@gmail.com</v>
      </c>
    </row>
    <row r="1251" spans="1:8" ht="15.5" x14ac:dyDescent="0.35">
      <c r="A1251" s="7">
        <v>1250</v>
      </c>
      <c r="B1251" s="12">
        <v>20482</v>
      </c>
      <c r="C1251" s="11" t="s">
        <v>1247</v>
      </c>
      <c r="D1251" s="9" t="s">
        <v>1075</v>
      </c>
      <c r="E1251" s="10">
        <v>2002</v>
      </c>
      <c r="F1251" s="36" t="str" cm="1">
        <f t="array" ref="F1251">_xlfn.XLOOKUP(D1251&amp;C1251, Sheet3!$C$2:$C$1224&amp;Sheet3!$B$2:$B$1224, Sheet3!$D$2:$D$1224, "")</f>
        <v>novita.harahap@gmail.com</v>
      </c>
      <c r="G1251" s="1" t="str" cm="1">
        <f t="array" ref="G1251">_xlfn.XLOOKUP(D1251&amp;C1251, Sheet2!$A$2:$A$558&amp;Sheet2!$B$2:$B$558, Sheet2!$C$2:$C$558, "")</f>
        <v/>
      </c>
      <c r="H1251" s="40" t="str">
        <f t="shared" si="19"/>
        <v>novita.harahap@gmail.com</v>
      </c>
    </row>
    <row r="1252" spans="1:8" ht="15.5" x14ac:dyDescent="0.35">
      <c r="A1252" s="7">
        <v>1251</v>
      </c>
      <c r="B1252" s="12">
        <v>20578</v>
      </c>
      <c r="C1252" s="11" t="s">
        <v>1248</v>
      </c>
      <c r="D1252" s="9" t="s">
        <v>1075</v>
      </c>
      <c r="E1252" s="10">
        <v>2002</v>
      </c>
      <c r="F1252" s="36" t="str" cm="1">
        <f t="array" ref="F1252">_xlfn.XLOOKUP(D1252&amp;C1252, Sheet3!$C$2:$C$1224&amp;Sheet3!$B$2:$B$1224, Sheet3!$D$2:$D$1224, "")</f>
        <v/>
      </c>
      <c r="G1252" s="1" t="str" cm="1">
        <f t="array" ref="G1252">_xlfn.XLOOKUP(D1252&amp;C1252, Sheet2!$A$2:$A$558&amp;Sheet2!$B$2:$B$558, Sheet2!$C$2:$C$558, "")</f>
        <v/>
      </c>
      <c r="H1252" s="40" t="str">
        <f t="shared" si="19"/>
        <v/>
      </c>
    </row>
    <row r="1253" spans="1:8" ht="15.5" x14ac:dyDescent="0.35">
      <c r="A1253" s="7">
        <v>1252</v>
      </c>
      <c r="B1253" s="12">
        <v>20586</v>
      </c>
      <c r="C1253" s="11" t="s">
        <v>1249</v>
      </c>
      <c r="D1253" s="9" t="s">
        <v>1075</v>
      </c>
      <c r="E1253" s="10">
        <v>2002</v>
      </c>
      <c r="F1253" s="36" t="str" cm="1">
        <f t="array" ref="F1253">_xlfn.XLOOKUP(D1253&amp;C1253, Sheet3!$C$2:$C$1224&amp;Sheet3!$B$2:$B$1224, Sheet3!$D$2:$D$1224, "")</f>
        <v>n1c0.s3n14r@gmail.com</v>
      </c>
      <c r="G1253" s="1" t="str" cm="1">
        <f t="array" ref="G1253">_xlfn.XLOOKUP(D1253&amp;C1253, Sheet2!$A$2:$A$558&amp;Sheet2!$B$2:$B$558, Sheet2!$C$2:$C$558, "")</f>
        <v/>
      </c>
      <c r="H1253" s="40" t="str">
        <f t="shared" si="19"/>
        <v>n1c0.s3n14r@gmail.com</v>
      </c>
    </row>
    <row r="1254" spans="1:8" ht="15.5" x14ac:dyDescent="0.35">
      <c r="A1254" s="7">
        <v>1253</v>
      </c>
      <c r="B1254" s="12">
        <v>20751</v>
      </c>
      <c r="C1254" s="11" t="s">
        <v>1250</v>
      </c>
      <c r="D1254" s="9" t="s">
        <v>1075</v>
      </c>
      <c r="E1254" s="10">
        <v>2002</v>
      </c>
      <c r="F1254" s="36" t="str" cm="1">
        <f t="array" ref="F1254">_xlfn.XLOOKUP(D1254&amp;C1254, Sheet3!$C$2:$C$1224&amp;Sheet3!$B$2:$B$1224, Sheet3!$D$2:$D$1224, "")</f>
        <v/>
      </c>
      <c r="G1254" s="1" t="str" cm="1">
        <f t="array" ref="G1254">_xlfn.XLOOKUP(D1254&amp;C1254, Sheet2!$A$2:$A$558&amp;Sheet2!$B$2:$B$558, Sheet2!$C$2:$C$558, "")</f>
        <v/>
      </c>
      <c r="H1254" s="40" t="str">
        <f t="shared" si="19"/>
        <v/>
      </c>
    </row>
    <row r="1255" spans="1:8" ht="15.5" x14ac:dyDescent="0.35">
      <c r="A1255" s="7">
        <v>1254</v>
      </c>
      <c r="B1255" s="12">
        <v>20798</v>
      </c>
      <c r="C1255" s="11" t="s">
        <v>1251</v>
      </c>
      <c r="D1255" s="9" t="s">
        <v>1075</v>
      </c>
      <c r="E1255" s="10">
        <v>2002</v>
      </c>
      <c r="F1255" s="36" t="str" cm="1">
        <f t="array" ref="F1255">_xlfn.XLOOKUP(D1255&amp;C1255, Sheet3!$C$2:$C$1224&amp;Sheet3!$B$2:$B$1224, Sheet3!$D$2:$D$1224, "")</f>
        <v>endro.sigit03@gmail.com</v>
      </c>
      <c r="G1255" s="1" t="str" cm="1">
        <f t="array" ref="G1255">_xlfn.XLOOKUP(D1255&amp;C1255, Sheet2!$A$2:$A$558&amp;Sheet2!$B$2:$B$558, Sheet2!$C$2:$C$558, "")</f>
        <v/>
      </c>
      <c r="H1255" s="40" t="str">
        <f t="shared" si="19"/>
        <v>endro.sigit03@gmail.com</v>
      </c>
    </row>
    <row r="1256" spans="1:8" ht="15.5" x14ac:dyDescent="0.35">
      <c r="A1256" s="7">
        <v>1255</v>
      </c>
      <c r="B1256" s="12">
        <v>20987</v>
      </c>
      <c r="C1256" s="11" t="s">
        <v>1252</v>
      </c>
      <c r="D1256" s="9" t="s">
        <v>1075</v>
      </c>
      <c r="E1256" s="10">
        <v>2002</v>
      </c>
      <c r="F1256" s="36" t="str" cm="1">
        <f t="array" ref="F1256">_xlfn.XLOOKUP(D1256&amp;C1256, Sheet3!$C$2:$C$1224&amp;Sheet3!$B$2:$B$1224, Sheet3!$D$2:$D$1224, "")</f>
        <v>abusalm09@gmail.com</v>
      </c>
      <c r="G1256" s="1" t="str" cm="1">
        <f t="array" ref="G1256">_xlfn.XLOOKUP(D1256&amp;C1256, Sheet2!$A$2:$A$558&amp;Sheet2!$B$2:$B$558, Sheet2!$C$2:$C$558, "")</f>
        <v/>
      </c>
      <c r="H1256" s="40" t="str">
        <f t="shared" si="19"/>
        <v>abusalm09@gmail.com</v>
      </c>
    </row>
    <row r="1257" spans="1:8" ht="15.5" x14ac:dyDescent="0.35">
      <c r="A1257" s="7">
        <v>1256</v>
      </c>
      <c r="B1257" s="12">
        <v>21427</v>
      </c>
      <c r="C1257" s="11" t="s">
        <v>1253</v>
      </c>
      <c r="D1257" s="9" t="s">
        <v>1076</v>
      </c>
      <c r="E1257" s="10">
        <v>2002</v>
      </c>
      <c r="F1257" s="36" t="str" cm="1">
        <f t="array" ref="F1257">_xlfn.XLOOKUP(D1257&amp;C1257, Sheet3!$C$2:$C$1224&amp;Sheet3!$B$2:$B$1224, Sheet3!$D$2:$D$1224, "")</f>
        <v>juniawal1979@gmail.com</v>
      </c>
      <c r="G1257" s="1" t="str" cm="1">
        <f t="array" ref="G1257">_xlfn.XLOOKUP(D1257&amp;C1257, Sheet2!$A$2:$A$558&amp;Sheet2!$B$2:$B$558, Sheet2!$C$2:$C$558, "")</f>
        <v/>
      </c>
      <c r="H1257" s="40" t="str">
        <f t="shared" si="19"/>
        <v>juniawal1979@gmail.com</v>
      </c>
    </row>
    <row r="1258" spans="1:8" ht="15.5" x14ac:dyDescent="0.35">
      <c r="A1258" s="7">
        <v>1257</v>
      </c>
      <c r="B1258" s="12">
        <v>21447</v>
      </c>
      <c r="C1258" s="11" t="s">
        <v>1254</v>
      </c>
      <c r="D1258" s="9" t="s">
        <v>1076</v>
      </c>
      <c r="E1258" s="10">
        <v>2002</v>
      </c>
      <c r="F1258" s="36" t="str" cm="1">
        <f t="array" ref="F1258">_xlfn.XLOOKUP(D1258&amp;C1258, Sheet3!$C$2:$C$1224&amp;Sheet3!$B$2:$B$1224, Sheet3!$D$2:$D$1224, "")</f>
        <v>idinyunindra@gmail.com</v>
      </c>
      <c r="G1258" s="1" t="str" cm="1">
        <f t="array" ref="G1258">_xlfn.XLOOKUP(D1258&amp;C1258, Sheet2!$A$2:$A$558&amp;Sheet2!$B$2:$B$558, Sheet2!$C$2:$C$558, "")</f>
        <v/>
      </c>
      <c r="H1258" s="40" t="str">
        <f t="shared" si="19"/>
        <v>idinyunindra@gmail.com</v>
      </c>
    </row>
    <row r="1259" spans="1:8" ht="15.5" x14ac:dyDescent="0.35">
      <c r="A1259" s="7">
        <v>1258</v>
      </c>
      <c r="B1259" s="12">
        <v>21519</v>
      </c>
      <c r="C1259" s="11" t="s">
        <v>1255</v>
      </c>
      <c r="D1259" s="9" t="s">
        <v>1076</v>
      </c>
      <c r="E1259" s="10">
        <v>2002</v>
      </c>
      <c r="F1259" s="36" t="str" cm="1">
        <f t="array" ref="F1259">_xlfn.XLOOKUP(D1259&amp;C1259, Sheet3!$C$2:$C$1224&amp;Sheet3!$B$2:$B$1224, Sheet3!$D$2:$D$1224, "")</f>
        <v/>
      </c>
      <c r="G1259" s="1" t="str" cm="1">
        <f t="array" ref="G1259">_xlfn.XLOOKUP(D1259&amp;C1259, Sheet2!$A$2:$A$558&amp;Sheet2!$B$2:$B$558, Sheet2!$C$2:$C$558, "")</f>
        <v/>
      </c>
      <c r="H1259" s="40" t="str">
        <f t="shared" si="19"/>
        <v/>
      </c>
    </row>
    <row r="1260" spans="1:8" ht="15.5" x14ac:dyDescent="0.35">
      <c r="A1260" s="7">
        <v>1259</v>
      </c>
      <c r="B1260" s="12">
        <v>21536</v>
      </c>
      <c r="C1260" s="11" t="s">
        <v>1256</v>
      </c>
      <c r="D1260" s="9" t="s">
        <v>1076</v>
      </c>
      <c r="E1260" s="10">
        <v>2002</v>
      </c>
      <c r="F1260" s="36" t="str" cm="1">
        <f t="array" ref="F1260">_xlfn.XLOOKUP(D1260&amp;C1260, Sheet3!$C$2:$C$1224&amp;Sheet3!$B$2:$B$1224, Sheet3!$D$2:$D$1224, "")</f>
        <v/>
      </c>
      <c r="G1260" s="1" t="str" cm="1">
        <f t="array" ref="G1260">_xlfn.XLOOKUP(D1260&amp;C1260, Sheet2!$A$2:$A$558&amp;Sheet2!$B$2:$B$558, Sheet2!$C$2:$C$558, "")</f>
        <v/>
      </c>
      <c r="H1260" s="40" t="str">
        <f t="shared" si="19"/>
        <v/>
      </c>
    </row>
    <row r="1261" spans="1:8" ht="15.5" x14ac:dyDescent="0.35">
      <c r="A1261" s="7">
        <v>1260</v>
      </c>
      <c r="B1261" s="12">
        <v>21653</v>
      </c>
      <c r="C1261" s="11" t="s">
        <v>1257</v>
      </c>
      <c r="D1261" s="9" t="s">
        <v>1076</v>
      </c>
      <c r="E1261" s="10">
        <v>2002</v>
      </c>
      <c r="F1261" s="36" t="str" cm="1">
        <f t="array" ref="F1261">_xlfn.XLOOKUP(D1261&amp;C1261, Sheet3!$C$2:$C$1224&amp;Sheet3!$B$2:$B$1224, Sheet3!$D$2:$D$1224, "")</f>
        <v>Arif.bm@gmail.com</v>
      </c>
      <c r="G1261" s="1" t="str" cm="1">
        <f t="array" ref="G1261">_xlfn.XLOOKUP(D1261&amp;C1261, Sheet2!$A$2:$A$558&amp;Sheet2!$B$2:$B$558, Sheet2!$C$2:$C$558, "")</f>
        <v/>
      </c>
      <c r="H1261" s="40" t="str">
        <f t="shared" si="19"/>
        <v>Arif.bm@gmail.com</v>
      </c>
    </row>
    <row r="1262" spans="1:8" ht="15.5" x14ac:dyDescent="0.35">
      <c r="A1262" s="7">
        <v>1261</v>
      </c>
      <c r="B1262" s="12">
        <v>21783</v>
      </c>
      <c r="C1262" s="11" t="s">
        <v>1258</v>
      </c>
      <c r="D1262" s="9" t="s">
        <v>1076</v>
      </c>
      <c r="E1262" s="10">
        <v>2002</v>
      </c>
      <c r="F1262" s="36" t="str" cm="1">
        <f t="array" ref="F1262">_xlfn.XLOOKUP(D1262&amp;C1262, Sheet3!$C$2:$C$1224&amp;Sheet3!$B$2:$B$1224, Sheet3!$D$2:$D$1224, "")</f>
        <v/>
      </c>
      <c r="G1262" s="1" t="str" cm="1">
        <f t="array" ref="G1262">_xlfn.XLOOKUP(D1262&amp;C1262, Sheet2!$A$2:$A$558&amp;Sheet2!$B$2:$B$558, Sheet2!$C$2:$C$558, "")</f>
        <v/>
      </c>
      <c r="H1262" s="40" t="str">
        <f t="shared" si="19"/>
        <v/>
      </c>
    </row>
    <row r="1263" spans="1:8" ht="15.5" x14ac:dyDescent="0.35">
      <c r="A1263" s="7">
        <v>1262</v>
      </c>
      <c r="B1263" s="12">
        <v>21912</v>
      </c>
      <c r="C1263" s="11" t="s">
        <v>1259</v>
      </c>
      <c r="D1263" s="9" t="s">
        <v>1076</v>
      </c>
      <c r="E1263" s="10">
        <v>2002</v>
      </c>
      <c r="F1263" s="36" t="str" cm="1">
        <f t="array" ref="F1263">_xlfn.XLOOKUP(D1263&amp;C1263, Sheet3!$C$2:$C$1224&amp;Sheet3!$B$2:$B$1224, Sheet3!$D$2:$D$1224, "")</f>
        <v>afika.rayya@gmail.com</v>
      </c>
      <c r="G1263" s="1" t="str" cm="1">
        <f t="array" ref="G1263">_xlfn.XLOOKUP(D1263&amp;C1263, Sheet2!$A$2:$A$558&amp;Sheet2!$B$2:$B$558, Sheet2!$C$2:$C$558, "")</f>
        <v/>
      </c>
      <c r="H1263" s="40" t="str">
        <f t="shared" si="19"/>
        <v>afika.rayya@gmail.com</v>
      </c>
    </row>
    <row r="1264" spans="1:8" ht="15.5" x14ac:dyDescent="0.35">
      <c r="A1264" s="7">
        <v>1263</v>
      </c>
      <c r="B1264" s="12">
        <v>21952</v>
      </c>
      <c r="C1264" s="11" t="s">
        <v>1260</v>
      </c>
      <c r="D1264" s="9" t="s">
        <v>1076</v>
      </c>
      <c r="E1264" s="10">
        <v>2002</v>
      </c>
      <c r="F1264" s="36" t="str" cm="1">
        <f t="array" ref="F1264">_xlfn.XLOOKUP(D1264&amp;C1264, Sheet3!$C$2:$C$1224&amp;Sheet3!$B$2:$B$1224, Sheet3!$D$2:$D$1224, "")</f>
        <v/>
      </c>
      <c r="G1264" s="1" t="str" cm="1">
        <f t="array" ref="G1264">_xlfn.XLOOKUP(D1264&amp;C1264, Sheet2!$A$2:$A$558&amp;Sheet2!$B$2:$B$558, Sheet2!$C$2:$C$558, "")</f>
        <v/>
      </c>
      <c r="H1264" s="40" t="str">
        <f t="shared" si="19"/>
        <v/>
      </c>
    </row>
    <row r="1265" spans="1:8" ht="15.5" x14ac:dyDescent="0.35">
      <c r="A1265" s="7">
        <v>1264</v>
      </c>
      <c r="B1265" s="12">
        <v>22026</v>
      </c>
      <c r="C1265" s="11" t="s">
        <v>1261</v>
      </c>
      <c r="D1265" s="9" t="s">
        <v>1076</v>
      </c>
      <c r="E1265" s="10">
        <v>2002</v>
      </c>
      <c r="F1265" s="36" t="str" cm="1">
        <f t="array" ref="F1265">_xlfn.XLOOKUP(D1265&amp;C1265, Sheet3!$C$2:$C$1224&amp;Sheet3!$B$2:$B$1224, Sheet3!$D$2:$D$1224, "")</f>
        <v/>
      </c>
      <c r="G1265" s="1" t="str" cm="1">
        <f t="array" ref="G1265">_xlfn.XLOOKUP(D1265&amp;C1265, Sheet2!$A$2:$A$558&amp;Sheet2!$B$2:$B$558, Sheet2!$C$2:$C$558, "")</f>
        <v/>
      </c>
      <c r="H1265" s="40" t="str">
        <f t="shared" si="19"/>
        <v/>
      </c>
    </row>
    <row r="1266" spans="1:8" ht="15.5" x14ac:dyDescent="0.35">
      <c r="A1266" s="7">
        <v>1265</v>
      </c>
      <c r="B1266" s="12">
        <v>22103</v>
      </c>
      <c r="C1266" s="11" t="s">
        <v>5716</v>
      </c>
      <c r="D1266" s="9" t="s">
        <v>1076</v>
      </c>
      <c r="E1266" s="10">
        <v>2002</v>
      </c>
      <c r="F1266" s="36" t="str" cm="1">
        <f t="array" ref="F1266">_xlfn.XLOOKUP(D1266&amp;C1266, Sheet3!$C$2:$C$1224&amp;Sheet3!$B$2:$B$1224, Sheet3!$D$2:$D$1224, "")</f>
        <v>Dicky.muharawan@gmail.com</v>
      </c>
      <c r="G1266" s="1" t="str" cm="1">
        <f t="array" ref="G1266">_xlfn.XLOOKUP(D1266&amp;C1266, Sheet2!$A$2:$A$558&amp;Sheet2!$B$2:$B$558, Sheet2!$C$2:$C$558, "")</f>
        <v/>
      </c>
      <c r="H1266" s="40" t="str">
        <f t="shared" si="19"/>
        <v>Dicky.muharawan@gmail.com</v>
      </c>
    </row>
    <row r="1267" spans="1:8" ht="15.5" x14ac:dyDescent="0.35">
      <c r="A1267" s="7">
        <v>1266</v>
      </c>
      <c r="B1267" s="12">
        <v>22119</v>
      </c>
      <c r="C1267" s="11" t="s">
        <v>1262</v>
      </c>
      <c r="D1267" s="9" t="s">
        <v>1076</v>
      </c>
      <c r="E1267" s="10">
        <v>2002</v>
      </c>
      <c r="F1267" s="36" t="str" cm="1">
        <f t="array" ref="F1267">_xlfn.XLOOKUP(D1267&amp;C1267, Sheet3!$C$2:$C$1224&amp;Sheet3!$B$2:$B$1224, Sheet3!$D$2:$D$1224, "")</f>
        <v/>
      </c>
      <c r="G1267" s="1" t="str" cm="1">
        <f t="array" ref="G1267">_xlfn.XLOOKUP(D1267&amp;C1267, Sheet2!$A$2:$A$558&amp;Sheet2!$B$2:$B$558, Sheet2!$C$2:$C$558, "")</f>
        <v/>
      </c>
      <c r="H1267" s="40" t="str">
        <f t="shared" si="19"/>
        <v/>
      </c>
    </row>
    <row r="1268" spans="1:8" ht="15.5" x14ac:dyDescent="0.35">
      <c r="A1268" s="7">
        <v>1267</v>
      </c>
      <c r="B1268" s="12">
        <v>22236</v>
      </c>
      <c r="C1268" s="11" t="s">
        <v>1263</v>
      </c>
      <c r="D1268" s="9" t="s">
        <v>1076</v>
      </c>
      <c r="E1268" s="10">
        <v>2002</v>
      </c>
      <c r="F1268" s="36" t="str" cm="1">
        <f t="array" ref="F1268">_xlfn.XLOOKUP(D1268&amp;C1268, Sheet3!$C$2:$C$1224&amp;Sheet3!$B$2:$B$1224, Sheet3!$D$2:$D$1224, "")</f>
        <v>arief.uju@gmail.com</v>
      </c>
      <c r="G1268" s="1" t="str" cm="1">
        <f t="array" ref="G1268">_xlfn.XLOOKUP(D1268&amp;C1268, Sheet2!$A$2:$A$558&amp;Sheet2!$B$2:$B$558, Sheet2!$C$2:$C$558, "")</f>
        <v/>
      </c>
      <c r="H1268" s="40" t="str">
        <f t="shared" si="19"/>
        <v>arief.uju@gmail.com</v>
      </c>
    </row>
    <row r="1269" spans="1:8" ht="15.5" x14ac:dyDescent="0.35">
      <c r="A1269" s="7">
        <v>1268</v>
      </c>
      <c r="B1269" s="12">
        <v>25946</v>
      </c>
      <c r="C1269" s="11" t="s">
        <v>1264</v>
      </c>
      <c r="D1269" s="9" t="s">
        <v>1076</v>
      </c>
      <c r="E1269" s="10">
        <v>2002</v>
      </c>
      <c r="F1269" s="36" t="str" cm="1">
        <f t="array" ref="F1269">_xlfn.XLOOKUP(D1269&amp;C1269, Sheet3!$C$2:$C$1224&amp;Sheet3!$B$2:$B$1224, Sheet3!$D$2:$D$1224, "")</f>
        <v/>
      </c>
      <c r="G1269" s="1" t="str" cm="1">
        <f t="array" ref="G1269">_xlfn.XLOOKUP(D1269&amp;C1269, Sheet2!$A$2:$A$558&amp;Sheet2!$B$2:$B$558, Sheet2!$C$2:$C$558, "")</f>
        <v/>
      </c>
      <c r="H1269" s="40" t="str">
        <f t="shared" si="19"/>
        <v/>
      </c>
    </row>
    <row r="1270" spans="1:8" ht="15.5" x14ac:dyDescent="0.35">
      <c r="A1270" s="7">
        <v>1269</v>
      </c>
      <c r="B1270" s="12">
        <v>22338</v>
      </c>
      <c r="C1270" s="11" t="s">
        <v>1265</v>
      </c>
      <c r="D1270" s="9" t="s">
        <v>1077</v>
      </c>
      <c r="E1270" s="10">
        <v>2002</v>
      </c>
      <c r="F1270" s="36" t="str" cm="1">
        <f t="array" ref="F1270">_xlfn.XLOOKUP(D1270&amp;C1270, Sheet3!$C$2:$C$1224&amp;Sheet3!$B$2:$B$1224, Sheet3!$D$2:$D$1224, "")</f>
        <v/>
      </c>
      <c r="G1270" s="1" t="str" cm="1">
        <f t="array" ref="G1270">_xlfn.XLOOKUP(D1270&amp;C1270, Sheet2!$A$2:$A$558&amp;Sheet2!$B$2:$B$558, Sheet2!$C$2:$C$558, "")</f>
        <v/>
      </c>
      <c r="H1270" s="40" t="str">
        <f t="shared" si="19"/>
        <v/>
      </c>
    </row>
    <row r="1271" spans="1:8" ht="15.5" x14ac:dyDescent="0.35">
      <c r="A1271" s="7">
        <v>1270</v>
      </c>
      <c r="B1271" s="12">
        <v>22367</v>
      </c>
      <c r="C1271" s="11" t="s">
        <v>1266</v>
      </c>
      <c r="D1271" s="9" t="s">
        <v>1077</v>
      </c>
      <c r="E1271" s="10">
        <v>2002</v>
      </c>
      <c r="F1271" s="36" t="str" cm="1">
        <f t="array" ref="F1271">_xlfn.XLOOKUP(D1271&amp;C1271, Sheet3!$C$2:$C$1224&amp;Sheet3!$B$2:$B$1224, Sheet3!$D$2:$D$1224, "")</f>
        <v>triagnasari@yahoo.com</v>
      </c>
      <c r="G1271" s="1" t="str" cm="1">
        <f t="array" ref="G1271">_xlfn.XLOOKUP(D1271&amp;C1271, Sheet2!$A$2:$A$558&amp;Sheet2!$B$2:$B$558, Sheet2!$C$2:$C$558, "")</f>
        <v>triagnasari@yahoo.com</v>
      </c>
      <c r="H1271" s="40" t="str">
        <f t="shared" si="19"/>
        <v>triagnasari@yahoo.com</v>
      </c>
    </row>
    <row r="1272" spans="1:8" ht="15.5" x14ac:dyDescent="0.35">
      <c r="A1272" s="7">
        <v>1271</v>
      </c>
      <c r="B1272" s="12">
        <v>22638</v>
      </c>
      <c r="C1272" s="11" t="s">
        <v>1267</v>
      </c>
      <c r="D1272" s="9" t="s">
        <v>1077</v>
      </c>
      <c r="E1272" s="10">
        <v>2002</v>
      </c>
      <c r="F1272" s="36" t="str" cm="1">
        <f t="array" ref="F1272">_xlfn.XLOOKUP(D1272&amp;C1272, Sheet3!$C$2:$C$1224&amp;Sheet3!$B$2:$B$1224, Sheet3!$D$2:$D$1224, "")</f>
        <v/>
      </c>
      <c r="G1272" s="1" t="str" cm="1">
        <f t="array" ref="G1272">_xlfn.XLOOKUP(D1272&amp;C1272, Sheet2!$A$2:$A$558&amp;Sheet2!$B$2:$B$558, Sheet2!$C$2:$C$558, "")</f>
        <v/>
      </c>
      <c r="H1272" s="40" t="str">
        <f t="shared" si="19"/>
        <v/>
      </c>
    </row>
    <row r="1273" spans="1:8" ht="15.5" x14ac:dyDescent="0.35">
      <c r="A1273" s="7">
        <v>1272</v>
      </c>
      <c r="B1273" s="12">
        <v>23188</v>
      </c>
      <c r="C1273" s="11" t="s">
        <v>1268</v>
      </c>
      <c r="D1273" s="9" t="s">
        <v>1077</v>
      </c>
      <c r="E1273" s="10">
        <v>2002</v>
      </c>
      <c r="F1273" s="36" t="str" cm="1">
        <f t="array" ref="F1273">_xlfn.XLOOKUP(D1273&amp;C1273, Sheet3!$C$2:$C$1224&amp;Sheet3!$B$2:$B$1224, Sheet3!$D$2:$D$1224, "")</f>
        <v>adelinegoda@gmail.com</v>
      </c>
      <c r="G1273" s="1" t="str" cm="1">
        <f t="array" ref="G1273">_xlfn.XLOOKUP(D1273&amp;C1273, Sheet2!$A$2:$A$558&amp;Sheet2!$B$2:$B$558, Sheet2!$C$2:$C$558, "")</f>
        <v>adelinegolda@yahoo.com</v>
      </c>
      <c r="H1273" s="40" t="str">
        <f t="shared" si="19"/>
        <v>adelinegoda@gmail.com</v>
      </c>
    </row>
    <row r="1274" spans="1:8" ht="15.5" x14ac:dyDescent="0.35">
      <c r="A1274" s="7">
        <v>1273</v>
      </c>
      <c r="B1274" s="12">
        <v>23322</v>
      </c>
      <c r="C1274" s="11" t="s">
        <v>1269</v>
      </c>
      <c r="D1274" s="9" t="s">
        <v>1077</v>
      </c>
      <c r="E1274" s="10">
        <v>2002</v>
      </c>
      <c r="F1274" s="36" t="str" cm="1">
        <f t="array" ref="F1274">_xlfn.XLOOKUP(D1274&amp;C1274, Sheet3!$C$2:$C$1224&amp;Sheet3!$B$2:$B$1224, Sheet3!$D$2:$D$1224, "")</f>
        <v>ayussari@gmail.com</v>
      </c>
      <c r="G1274" s="1" t="str" cm="1">
        <f t="array" ref="G1274">_xlfn.XLOOKUP(D1274&amp;C1274, Sheet2!$A$2:$A$558&amp;Sheet2!$B$2:$B$558, Sheet2!$C$2:$C$558, "")</f>
        <v>ayussari@gmail.com</v>
      </c>
      <c r="H1274" s="40" t="str">
        <f t="shared" si="19"/>
        <v>ayussari@gmail.com</v>
      </c>
    </row>
    <row r="1275" spans="1:8" ht="15.5" x14ac:dyDescent="0.35">
      <c r="A1275" s="7">
        <v>1274</v>
      </c>
      <c r="B1275" s="12">
        <v>20531</v>
      </c>
      <c r="C1275" s="11" t="s">
        <v>1270</v>
      </c>
      <c r="D1275" s="9" t="s">
        <v>1075</v>
      </c>
      <c r="E1275" s="10">
        <v>2003</v>
      </c>
      <c r="F1275" s="36" t="str" cm="1">
        <f t="array" ref="F1275">_xlfn.XLOOKUP(D1275&amp;C1275, Sheet3!$C$2:$C$1224&amp;Sheet3!$B$2:$B$1224, Sheet3!$D$2:$D$1224, "")</f>
        <v>fanggilenni@gmail.com</v>
      </c>
      <c r="G1275" s="1" t="str" cm="1">
        <f t="array" ref="G1275">_xlfn.XLOOKUP(D1275&amp;C1275, Sheet2!$A$2:$A$558&amp;Sheet2!$B$2:$B$558, Sheet2!$C$2:$C$558, "")</f>
        <v>fanggilenni@gmail.com</v>
      </c>
      <c r="H1275" s="40" t="str">
        <f t="shared" si="19"/>
        <v>fanggilenni@gmail.com</v>
      </c>
    </row>
    <row r="1276" spans="1:8" ht="15.5" x14ac:dyDescent="0.35">
      <c r="A1276" s="7">
        <v>1275</v>
      </c>
      <c r="B1276" s="12">
        <v>21054</v>
      </c>
      <c r="C1276" s="11" t="s">
        <v>1271</v>
      </c>
      <c r="D1276" s="9" t="s">
        <v>1075</v>
      </c>
      <c r="E1276" s="10">
        <v>2003</v>
      </c>
      <c r="F1276" s="36" t="str" cm="1">
        <f t="array" ref="F1276">_xlfn.XLOOKUP(D1276&amp;C1276, Sheet3!$C$2:$C$1224&amp;Sheet3!$B$2:$B$1224, Sheet3!$D$2:$D$1224, "")</f>
        <v>Lagawicaks@gmail.com</v>
      </c>
      <c r="G1276" s="1" t="str" cm="1">
        <f t="array" ref="G1276">_xlfn.XLOOKUP(D1276&amp;C1276, Sheet2!$A$2:$A$558&amp;Sheet2!$B$2:$B$558, Sheet2!$C$2:$C$558, "")</f>
        <v/>
      </c>
      <c r="H1276" s="40" t="str">
        <f t="shared" si="19"/>
        <v>Lagawicaks@gmail.com</v>
      </c>
    </row>
    <row r="1277" spans="1:8" ht="15.5" x14ac:dyDescent="0.35">
      <c r="A1277" s="7">
        <v>1276</v>
      </c>
      <c r="B1277" s="12">
        <v>21106</v>
      </c>
      <c r="C1277" s="11" t="s">
        <v>1272</v>
      </c>
      <c r="D1277" s="9" t="s">
        <v>1075</v>
      </c>
      <c r="E1277" s="10">
        <v>2003</v>
      </c>
      <c r="F1277" s="36" t="str" cm="1">
        <f t="array" ref="F1277">_xlfn.XLOOKUP(D1277&amp;C1277, Sheet3!$C$2:$C$1224&amp;Sheet3!$B$2:$B$1224, Sheet3!$D$2:$D$1224, "")</f>
        <v>gsastrawangsa@gmail.com</v>
      </c>
      <c r="G1277" s="1" t="str" cm="1">
        <f t="array" ref="G1277">_xlfn.XLOOKUP(D1277&amp;C1277, Sheet2!$A$2:$A$558&amp;Sheet2!$B$2:$B$558, Sheet2!$C$2:$C$558, "")</f>
        <v/>
      </c>
      <c r="H1277" s="40" t="str">
        <f t="shared" si="19"/>
        <v>gsastrawangsa@gmail.com</v>
      </c>
    </row>
    <row r="1278" spans="1:8" ht="15.5" x14ac:dyDescent="0.35">
      <c r="A1278" s="7">
        <v>1277</v>
      </c>
      <c r="B1278" s="12">
        <v>21687</v>
      </c>
      <c r="C1278" s="11" t="s">
        <v>1273</v>
      </c>
      <c r="D1278" s="9" t="s">
        <v>1076</v>
      </c>
      <c r="E1278" s="10">
        <v>2003</v>
      </c>
      <c r="F1278" s="36" t="str" cm="1">
        <f t="array" ref="F1278">_xlfn.XLOOKUP(D1278&amp;C1278, Sheet3!$C$2:$C$1224&amp;Sheet3!$B$2:$B$1224, Sheet3!$D$2:$D$1224, "")</f>
        <v/>
      </c>
      <c r="G1278" s="1" t="str" cm="1">
        <f t="array" ref="G1278">_xlfn.XLOOKUP(D1278&amp;C1278, Sheet2!$A$2:$A$558&amp;Sheet2!$B$2:$B$558, Sheet2!$C$2:$C$558, "")</f>
        <v/>
      </c>
      <c r="H1278" s="40" t="str">
        <f t="shared" si="19"/>
        <v/>
      </c>
    </row>
    <row r="1279" spans="1:8" ht="15.5" x14ac:dyDescent="0.35">
      <c r="A1279" s="7">
        <v>1278</v>
      </c>
      <c r="B1279" s="12">
        <v>21717</v>
      </c>
      <c r="C1279" s="11" t="s">
        <v>1274</v>
      </c>
      <c r="D1279" s="9" t="s">
        <v>1076</v>
      </c>
      <c r="E1279" s="10">
        <v>2003</v>
      </c>
      <c r="F1279" s="36" t="str" cm="1">
        <f t="array" ref="F1279">_xlfn.XLOOKUP(D1279&amp;C1279, Sheet3!$C$2:$C$1224&amp;Sheet3!$B$2:$B$1224, Sheet3!$D$2:$D$1224, "")</f>
        <v>masmunawar@yahoo.com</v>
      </c>
      <c r="G1279" s="1" t="str" cm="1">
        <f t="array" ref="G1279">_xlfn.XLOOKUP(D1279&amp;C1279, Sheet2!$A$2:$A$558&amp;Sheet2!$B$2:$B$558, Sheet2!$C$2:$C$558, "")</f>
        <v/>
      </c>
      <c r="H1279" s="40" t="str">
        <f t="shared" si="19"/>
        <v>masmunawar@yahoo.com</v>
      </c>
    </row>
    <row r="1280" spans="1:8" ht="15.5" x14ac:dyDescent="0.35">
      <c r="A1280" s="7">
        <v>1279</v>
      </c>
      <c r="B1280" s="12">
        <v>21916</v>
      </c>
      <c r="C1280" s="11" t="s">
        <v>334</v>
      </c>
      <c r="D1280" s="9" t="s">
        <v>1076</v>
      </c>
      <c r="E1280" s="10">
        <v>2003</v>
      </c>
      <c r="F1280" s="36" t="str" cm="1">
        <f t="array" ref="F1280">_xlfn.XLOOKUP(D1280&amp;C1280, Sheet3!$C$2:$C$1224&amp;Sheet3!$B$2:$B$1224, Sheet3!$D$2:$D$1224, "")</f>
        <v/>
      </c>
      <c r="G1280" s="1" t="str" cm="1">
        <f t="array" ref="G1280">_xlfn.XLOOKUP(D1280&amp;C1280, Sheet2!$A$2:$A$558&amp;Sheet2!$B$2:$B$558, Sheet2!$C$2:$C$558, "")</f>
        <v/>
      </c>
      <c r="H1280" s="40" t="str">
        <f t="shared" si="19"/>
        <v/>
      </c>
    </row>
    <row r="1281" spans="1:8" ht="15.5" x14ac:dyDescent="0.35">
      <c r="A1281" s="7">
        <v>1280</v>
      </c>
      <c r="B1281" s="12">
        <v>21929</v>
      </c>
      <c r="C1281" s="11" t="s">
        <v>1275</v>
      </c>
      <c r="D1281" s="9" t="s">
        <v>1076</v>
      </c>
      <c r="E1281" s="10">
        <v>2003</v>
      </c>
      <c r="F1281" s="36" t="str" cm="1">
        <f t="array" ref="F1281">_xlfn.XLOOKUP(D1281&amp;C1281, Sheet3!$C$2:$C$1224&amp;Sheet3!$B$2:$B$1224, Sheet3!$D$2:$D$1224, "")</f>
        <v>jomicut@gmail.com</v>
      </c>
      <c r="G1281" s="1" t="str" cm="1">
        <f t="array" ref="G1281">_xlfn.XLOOKUP(D1281&amp;C1281, Sheet2!$A$2:$A$558&amp;Sheet2!$B$2:$B$558, Sheet2!$C$2:$C$558, "")</f>
        <v/>
      </c>
      <c r="H1281" s="40" t="str">
        <f t="shared" si="19"/>
        <v>jomicut@gmail.com</v>
      </c>
    </row>
    <row r="1282" spans="1:8" ht="15.5" x14ac:dyDescent="0.35">
      <c r="A1282" s="7">
        <v>1281</v>
      </c>
      <c r="B1282" s="12">
        <v>22099</v>
      </c>
      <c r="C1282" s="11" t="s">
        <v>1276</v>
      </c>
      <c r="D1282" s="9" t="s">
        <v>1076</v>
      </c>
      <c r="E1282" s="10">
        <v>2003</v>
      </c>
      <c r="F1282" s="36" t="str" cm="1">
        <f t="array" ref="F1282">_xlfn.XLOOKUP(D1282&amp;C1282, Sheet3!$C$2:$C$1224&amp;Sheet3!$B$2:$B$1224, Sheet3!$D$2:$D$1224, "")</f>
        <v/>
      </c>
      <c r="G1282" s="1" t="str" cm="1">
        <f t="array" ref="G1282">_xlfn.XLOOKUP(D1282&amp;C1282, Sheet2!$A$2:$A$558&amp;Sheet2!$B$2:$B$558, Sheet2!$C$2:$C$558, "")</f>
        <v/>
      </c>
      <c r="H1282" s="40" t="str">
        <f t="shared" si="19"/>
        <v/>
      </c>
    </row>
    <row r="1283" spans="1:8" ht="15.5" x14ac:dyDescent="0.35">
      <c r="A1283" s="7">
        <v>1282</v>
      </c>
      <c r="B1283" s="12">
        <v>22145</v>
      </c>
      <c r="C1283" s="11" t="s">
        <v>1277</v>
      </c>
      <c r="D1283" s="9" t="s">
        <v>1076</v>
      </c>
      <c r="E1283" s="10">
        <v>2003</v>
      </c>
      <c r="F1283" s="36" t="str" cm="1">
        <f t="array" ref="F1283">_xlfn.XLOOKUP(D1283&amp;C1283, Sheet3!$C$2:$C$1224&amp;Sheet3!$B$2:$B$1224, Sheet3!$D$2:$D$1224, "")</f>
        <v>wrx6656@gmail.com</v>
      </c>
      <c r="G1283" s="1" t="str" cm="1">
        <f t="array" ref="G1283">_xlfn.XLOOKUP(D1283&amp;C1283, Sheet2!$A$2:$A$558&amp;Sheet2!$B$2:$B$558, Sheet2!$C$2:$C$558, "")</f>
        <v/>
      </c>
      <c r="H1283" s="40" t="str">
        <f t="shared" ref="H1283:H1346" si="20">IF(F1283&lt;&gt;"",F1283,G1283)</f>
        <v>wrx6656@gmail.com</v>
      </c>
    </row>
    <row r="1284" spans="1:8" ht="15.5" x14ac:dyDescent="0.35">
      <c r="A1284" s="7">
        <v>1283</v>
      </c>
      <c r="B1284" s="12">
        <v>22182</v>
      </c>
      <c r="C1284" s="11" t="s">
        <v>1278</v>
      </c>
      <c r="D1284" s="9" t="s">
        <v>1076</v>
      </c>
      <c r="E1284" s="10">
        <v>2003</v>
      </c>
      <c r="F1284" s="36" t="str" cm="1">
        <f t="array" ref="F1284">_xlfn.XLOOKUP(D1284&amp;C1284, Sheet3!$C$2:$C$1224&amp;Sheet3!$B$2:$B$1224, Sheet3!$D$2:$D$1224, "")</f>
        <v>agusindragunawan79@gmail.com</v>
      </c>
      <c r="G1284" s="1" t="str" cm="1">
        <f t="array" ref="G1284">_xlfn.XLOOKUP(D1284&amp;C1284, Sheet2!$A$2:$A$558&amp;Sheet2!$B$2:$B$558, Sheet2!$C$2:$C$558, "")</f>
        <v/>
      </c>
      <c r="H1284" s="40" t="str">
        <f t="shared" si="20"/>
        <v>agusindragunawan79@gmail.com</v>
      </c>
    </row>
    <row r="1285" spans="1:8" ht="15.5" x14ac:dyDescent="0.35">
      <c r="A1285" s="7">
        <v>1284</v>
      </c>
      <c r="B1285" s="12">
        <v>22191</v>
      </c>
      <c r="C1285" s="11" t="s">
        <v>1279</v>
      </c>
      <c r="D1285" s="9" t="s">
        <v>1076</v>
      </c>
      <c r="E1285" s="10">
        <v>2003</v>
      </c>
      <c r="F1285" s="36" t="str" cm="1">
        <f t="array" ref="F1285">_xlfn.XLOOKUP(D1285&amp;C1285, Sheet3!$C$2:$C$1224&amp;Sheet3!$B$2:$B$1224, Sheet3!$D$2:$D$1224, "")</f>
        <v/>
      </c>
      <c r="G1285" s="1" t="str" cm="1">
        <f t="array" ref="G1285">_xlfn.XLOOKUP(D1285&amp;C1285, Sheet2!$A$2:$A$558&amp;Sheet2!$B$2:$B$558, Sheet2!$C$2:$C$558, "")</f>
        <v/>
      </c>
      <c r="H1285" s="40" t="str">
        <f t="shared" si="20"/>
        <v/>
      </c>
    </row>
    <row r="1286" spans="1:8" ht="15.5" x14ac:dyDescent="0.35">
      <c r="A1286" s="7">
        <v>1285</v>
      </c>
      <c r="B1286" s="12">
        <v>22408</v>
      </c>
      <c r="C1286" s="11" t="s">
        <v>1280</v>
      </c>
      <c r="D1286" s="9" t="s">
        <v>1077</v>
      </c>
      <c r="E1286" s="10">
        <v>2003</v>
      </c>
      <c r="F1286" s="36" t="str" cm="1">
        <f t="array" ref="F1286">_xlfn.XLOOKUP(D1286&amp;C1286, Sheet3!$C$2:$C$1224&amp;Sheet3!$B$2:$B$1224, Sheet3!$D$2:$D$1224, "")</f>
        <v>watigeodesi1903@gmail.com</v>
      </c>
      <c r="G1286" s="1" t="str" cm="1">
        <f t="array" ref="G1286">_xlfn.XLOOKUP(D1286&amp;C1286, Sheet2!$A$2:$A$558&amp;Sheet2!$B$2:$B$558, Sheet2!$C$2:$C$558, "")</f>
        <v>wati_geodesi@yahoo.com</v>
      </c>
      <c r="H1286" s="40" t="str">
        <f t="shared" si="20"/>
        <v>watigeodesi1903@gmail.com</v>
      </c>
    </row>
    <row r="1287" spans="1:8" ht="15.5" x14ac:dyDescent="0.35">
      <c r="A1287" s="7">
        <v>1286</v>
      </c>
      <c r="B1287" s="12">
        <v>22492</v>
      </c>
      <c r="C1287" s="11" t="s">
        <v>1281</v>
      </c>
      <c r="D1287" s="9" t="s">
        <v>1077</v>
      </c>
      <c r="E1287" s="10">
        <v>2003</v>
      </c>
      <c r="F1287" s="36" t="str" cm="1">
        <f t="array" ref="F1287">_xlfn.XLOOKUP(D1287&amp;C1287, Sheet3!$C$2:$C$1224&amp;Sheet3!$B$2:$B$1224, Sheet3!$D$2:$D$1224, "")</f>
        <v/>
      </c>
      <c r="G1287" s="1" t="str" cm="1">
        <f t="array" ref="G1287">_xlfn.XLOOKUP(D1287&amp;C1287, Sheet2!$A$2:$A$558&amp;Sheet2!$B$2:$B$558, Sheet2!$C$2:$C$558, "")</f>
        <v>arianingsihida26779@gmail.com</v>
      </c>
      <c r="H1287" s="40" t="str">
        <f t="shared" si="20"/>
        <v>arianingsihida26779@gmail.com</v>
      </c>
    </row>
    <row r="1288" spans="1:8" ht="15.5" x14ac:dyDescent="0.35">
      <c r="A1288" s="7">
        <v>1287</v>
      </c>
      <c r="B1288" s="12">
        <v>22549</v>
      </c>
      <c r="C1288" s="11" t="s">
        <v>1282</v>
      </c>
      <c r="D1288" s="9" t="s">
        <v>1077</v>
      </c>
      <c r="E1288" s="10">
        <v>2003</v>
      </c>
      <c r="F1288" s="36" t="str" cm="1">
        <f t="array" ref="F1288">_xlfn.XLOOKUP(D1288&amp;C1288, Sheet3!$C$2:$C$1224&amp;Sheet3!$B$2:$B$1224, Sheet3!$D$2:$D$1224, "")</f>
        <v>bowo.earthline@gmail.com</v>
      </c>
      <c r="G1288" s="1" t="str" cm="1">
        <f t="array" ref="G1288">_xlfn.XLOOKUP(D1288&amp;C1288, Sheet2!$A$2:$A$558&amp;Sheet2!$B$2:$B$558, Sheet2!$C$2:$C$558, "")</f>
        <v>bowo.earthline@gmail.com</v>
      </c>
      <c r="H1288" s="40" t="str">
        <f t="shared" si="20"/>
        <v>bowo.earthline@gmail.com</v>
      </c>
    </row>
    <row r="1289" spans="1:8" ht="15.5" x14ac:dyDescent="0.35">
      <c r="A1289" s="7">
        <v>1288</v>
      </c>
      <c r="B1289" s="12">
        <v>22575</v>
      </c>
      <c r="C1289" s="11" t="s">
        <v>1283</v>
      </c>
      <c r="D1289" s="9" t="s">
        <v>1077</v>
      </c>
      <c r="E1289" s="10">
        <v>2003</v>
      </c>
      <c r="F1289" s="36" t="str" cm="1">
        <f t="array" ref="F1289">_xlfn.XLOOKUP(D1289&amp;C1289, Sheet3!$C$2:$C$1224&amp;Sheet3!$B$2:$B$1224, Sheet3!$D$2:$D$1224, "")</f>
        <v/>
      </c>
      <c r="G1289" s="1" t="str" cm="1">
        <f t="array" ref="G1289">_xlfn.XLOOKUP(D1289&amp;C1289, Sheet2!$A$2:$A$558&amp;Sheet2!$B$2:$B$558, Sheet2!$C$2:$C$558, "")</f>
        <v>tribunatmodjo@gmail.com</v>
      </c>
      <c r="H1289" s="40" t="str">
        <f t="shared" si="20"/>
        <v>tribunatmodjo@gmail.com</v>
      </c>
    </row>
    <row r="1290" spans="1:8" ht="15.5" x14ac:dyDescent="0.35">
      <c r="A1290" s="7">
        <v>1289</v>
      </c>
      <c r="B1290" s="12">
        <v>22857</v>
      </c>
      <c r="C1290" s="11" t="s">
        <v>1284</v>
      </c>
      <c r="D1290" s="9" t="s">
        <v>1077</v>
      </c>
      <c r="E1290" s="10">
        <v>2003</v>
      </c>
      <c r="F1290" s="36" t="str" cm="1">
        <f t="array" ref="F1290">_xlfn.XLOOKUP(D1290&amp;C1290, Sheet3!$C$2:$C$1224&amp;Sheet3!$B$2:$B$1224, Sheet3!$D$2:$D$1224, "")</f>
        <v/>
      </c>
      <c r="G1290" s="1" t="str" cm="1">
        <f t="array" ref="G1290">_xlfn.XLOOKUP(D1290&amp;C1290, Sheet2!$A$2:$A$558&amp;Sheet2!$B$2:$B$558, Sheet2!$C$2:$C$558, "")</f>
        <v>byuniars@gmail.com</v>
      </c>
      <c r="H1290" s="40" t="str">
        <f t="shared" si="20"/>
        <v>byuniars@gmail.com</v>
      </c>
    </row>
    <row r="1291" spans="1:8" ht="15.5" x14ac:dyDescent="0.35">
      <c r="A1291" s="7">
        <v>1290</v>
      </c>
      <c r="B1291" s="12">
        <v>22870</v>
      </c>
      <c r="C1291" s="11" t="s">
        <v>1285</v>
      </c>
      <c r="D1291" s="9" t="s">
        <v>1077</v>
      </c>
      <c r="E1291" s="10">
        <v>2003</v>
      </c>
      <c r="F1291" s="36" t="str" cm="1">
        <f t="array" ref="F1291">_xlfn.XLOOKUP(D1291&amp;C1291, Sheet3!$C$2:$C$1224&amp;Sheet3!$B$2:$B$1224, Sheet3!$D$2:$D$1224, "")</f>
        <v>fn.adi80@gmail.com</v>
      </c>
      <c r="G1291" s="1" t="str" cm="1">
        <f t="array" ref="G1291">_xlfn.XLOOKUP(D1291&amp;C1291, Sheet2!$A$2:$A$558&amp;Sheet2!$B$2:$B$558, Sheet2!$C$2:$C$558, "")</f>
        <v>fn.adi80@gmail.com</v>
      </c>
      <c r="H1291" s="40" t="str">
        <f t="shared" si="20"/>
        <v>fn.adi80@gmail.com</v>
      </c>
    </row>
    <row r="1292" spans="1:8" ht="15.5" x14ac:dyDescent="0.35">
      <c r="A1292" s="7">
        <v>1291</v>
      </c>
      <c r="B1292" s="12">
        <v>22897</v>
      </c>
      <c r="C1292" s="11" t="s">
        <v>1286</v>
      </c>
      <c r="D1292" s="9" t="s">
        <v>1077</v>
      </c>
      <c r="E1292" s="10">
        <v>2003</v>
      </c>
      <c r="F1292" s="36" t="str" cm="1">
        <f t="array" ref="F1292">_xlfn.XLOOKUP(D1292&amp;C1292, Sheet3!$C$2:$C$1224&amp;Sheet3!$B$2:$B$1224, Sheet3!$D$2:$D$1224, "")</f>
        <v/>
      </c>
      <c r="G1292" s="1" t="str" cm="1">
        <f t="array" ref="G1292">_xlfn.XLOOKUP(D1292&amp;C1292, Sheet2!$A$2:$A$558&amp;Sheet2!$B$2:$B$558, Sheet2!$C$2:$C$558, "")</f>
        <v>dwipa_kuta@yahoo.com</v>
      </c>
      <c r="H1292" s="40" t="str">
        <f t="shared" si="20"/>
        <v>dwipa_kuta@yahoo.com</v>
      </c>
    </row>
    <row r="1293" spans="1:8" ht="15.5" x14ac:dyDescent="0.35">
      <c r="A1293" s="7">
        <v>1292</v>
      </c>
      <c r="B1293" s="12">
        <v>23270</v>
      </c>
      <c r="C1293" s="11" t="s">
        <v>1287</v>
      </c>
      <c r="D1293" s="9" t="s">
        <v>1077</v>
      </c>
      <c r="E1293" s="10">
        <v>2003</v>
      </c>
      <c r="F1293" s="36" t="str" cm="1">
        <f t="array" ref="F1293">_xlfn.XLOOKUP(D1293&amp;C1293, Sheet3!$C$2:$C$1224&amp;Sheet3!$B$2:$B$1224, Sheet3!$D$2:$D$1224, "")</f>
        <v>siska.ria7@gmail.com</v>
      </c>
      <c r="G1293" s="1" t="str" cm="1">
        <f t="array" ref="G1293">_xlfn.XLOOKUP(D1293&amp;C1293, Sheet2!$A$2:$A$558&amp;Sheet2!$B$2:$B$558, Sheet2!$C$2:$C$558, "")</f>
        <v>siska.ria7@gmail.com</v>
      </c>
      <c r="H1293" s="40" t="str">
        <f t="shared" si="20"/>
        <v>siska.ria7@gmail.com</v>
      </c>
    </row>
    <row r="1294" spans="1:8" ht="15.5" x14ac:dyDescent="0.35">
      <c r="A1294" s="7">
        <v>1293</v>
      </c>
      <c r="B1294" s="12">
        <v>23279</v>
      </c>
      <c r="C1294" s="11" t="s">
        <v>1288</v>
      </c>
      <c r="D1294" s="9" t="s">
        <v>1077</v>
      </c>
      <c r="E1294" s="10">
        <v>2003</v>
      </c>
      <c r="F1294" s="36" t="str" cm="1">
        <f t="array" ref="F1294">_xlfn.XLOOKUP(D1294&amp;C1294, Sheet3!$C$2:$C$1224&amp;Sheet3!$B$2:$B$1224, Sheet3!$D$2:$D$1224, "")</f>
        <v/>
      </c>
      <c r="G1294" s="1" t="str" cm="1">
        <f t="array" ref="G1294">_xlfn.XLOOKUP(D1294&amp;C1294, Sheet2!$A$2:$A$558&amp;Sheet2!$B$2:$B$558, Sheet2!$C$2:$C$558, "")</f>
        <v>cwidyatmoko@gmail.com</v>
      </c>
      <c r="H1294" s="40" t="str">
        <f t="shared" si="20"/>
        <v>cwidyatmoko@gmail.com</v>
      </c>
    </row>
    <row r="1295" spans="1:8" ht="15.5" x14ac:dyDescent="0.35">
      <c r="A1295" s="7">
        <v>1294</v>
      </c>
      <c r="B1295" s="12">
        <v>17064</v>
      </c>
      <c r="C1295" s="11" t="s">
        <v>1289</v>
      </c>
      <c r="D1295" s="9" t="s">
        <v>1071</v>
      </c>
      <c r="E1295" s="10">
        <v>2003</v>
      </c>
      <c r="F1295" s="36" t="str" cm="1">
        <f t="array" ref="F1295">_xlfn.XLOOKUP(D1295&amp;C1295, Sheet3!$C$2:$C$1224&amp;Sheet3!$B$2:$B$1224, Sheet3!$D$2:$D$1224, "")</f>
        <v>usagala73@gmail.com</v>
      </c>
      <c r="G1295" s="1" t="str" cm="1">
        <f t="array" ref="G1295">_xlfn.XLOOKUP(D1295&amp;C1295, Sheet2!$A$2:$A$558&amp;Sheet2!$B$2:$B$558, Sheet2!$C$2:$C$558, "")</f>
        <v/>
      </c>
      <c r="H1295" s="40" t="str">
        <f t="shared" si="20"/>
        <v>usagala73@gmail.com</v>
      </c>
    </row>
    <row r="1296" spans="1:8" ht="15.5" x14ac:dyDescent="0.35">
      <c r="A1296" s="7">
        <v>1295</v>
      </c>
      <c r="B1296" s="12">
        <v>20071</v>
      </c>
      <c r="C1296" s="11" t="s">
        <v>1290</v>
      </c>
      <c r="D1296" s="9" t="s">
        <v>1074</v>
      </c>
      <c r="E1296" s="10">
        <v>2003</v>
      </c>
      <c r="F1296" s="36" t="str" cm="1">
        <f t="array" ref="F1296">_xlfn.XLOOKUP(D1296&amp;C1296, Sheet3!$C$2:$C$1224&amp;Sheet3!$B$2:$B$1224, Sheet3!$D$2:$D$1224, "")</f>
        <v/>
      </c>
      <c r="G1296" s="1" t="str" cm="1">
        <f t="array" ref="G1296">_xlfn.XLOOKUP(D1296&amp;C1296, Sheet2!$A$2:$A$558&amp;Sheet2!$B$2:$B$558, Sheet2!$C$2:$C$558, "")</f>
        <v>danankz@gmail.com</v>
      </c>
      <c r="H1296" s="40" t="str">
        <f t="shared" si="20"/>
        <v>danankz@gmail.com</v>
      </c>
    </row>
    <row r="1297" spans="1:8" ht="15.5" x14ac:dyDescent="0.35">
      <c r="A1297" s="7">
        <v>1296</v>
      </c>
      <c r="B1297" s="12">
        <v>20520</v>
      </c>
      <c r="C1297" s="11" t="s">
        <v>1291</v>
      </c>
      <c r="D1297" s="9" t="s">
        <v>1075</v>
      </c>
      <c r="E1297" s="10">
        <v>2003</v>
      </c>
      <c r="F1297" s="36" t="str" cm="1">
        <f t="array" ref="F1297">_xlfn.XLOOKUP(D1297&amp;C1297, Sheet3!$C$2:$C$1224&amp;Sheet3!$B$2:$B$1224, Sheet3!$D$2:$D$1224, "")</f>
        <v/>
      </c>
      <c r="G1297" s="1" t="str" cm="1">
        <f t="array" ref="G1297">_xlfn.XLOOKUP(D1297&amp;C1297, Sheet2!$A$2:$A$558&amp;Sheet2!$B$2:$B$558, Sheet2!$C$2:$C$558, "")</f>
        <v/>
      </c>
      <c r="H1297" s="40" t="str">
        <f t="shared" si="20"/>
        <v/>
      </c>
    </row>
    <row r="1298" spans="1:8" ht="15.5" x14ac:dyDescent="0.35">
      <c r="A1298" s="7">
        <v>1297</v>
      </c>
      <c r="B1298" s="12">
        <v>20561</v>
      </c>
      <c r="C1298" s="11" t="s">
        <v>1292</v>
      </c>
      <c r="D1298" s="9" t="s">
        <v>1075</v>
      </c>
      <c r="E1298" s="10">
        <v>2003</v>
      </c>
      <c r="F1298" s="36" t="str" cm="1">
        <f t="array" ref="F1298">_xlfn.XLOOKUP(D1298&amp;C1298, Sheet3!$C$2:$C$1224&amp;Sheet3!$B$2:$B$1224, Sheet3!$D$2:$D$1224, "")</f>
        <v/>
      </c>
      <c r="G1298" s="1" t="str" cm="1">
        <f t="array" ref="G1298">_xlfn.XLOOKUP(D1298&amp;C1298, Sheet2!$A$2:$A$558&amp;Sheet2!$B$2:$B$558, Sheet2!$C$2:$C$558, "")</f>
        <v/>
      </c>
      <c r="H1298" s="40" t="str">
        <f t="shared" si="20"/>
        <v/>
      </c>
    </row>
    <row r="1299" spans="1:8" ht="15.5" x14ac:dyDescent="0.35">
      <c r="A1299" s="7">
        <v>1298</v>
      </c>
      <c r="B1299" s="12">
        <v>21111</v>
      </c>
      <c r="C1299" s="11" t="s">
        <v>1293</v>
      </c>
      <c r="D1299" s="9" t="s">
        <v>1075</v>
      </c>
      <c r="E1299" s="10">
        <v>2003</v>
      </c>
      <c r="F1299" s="36" t="str" cm="1">
        <f t="array" ref="F1299">_xlfn.XLOOKUP(D1299&amp;C1299, Sheet3!$C$2:$C$1224&amp;Sheet3!$B$2:$B$1224, Sheet3!$D$2:$D$1224, "")</f>
        <v>rusdemuhamad@gmail.com</v>
      </c>
      <c r="G1299" s="1" t="str" cm="1">
        <f t="array" ref="G1299">_xlfn.XLOOKUP(D1299&amp;C1299, Sheet2!$A$2:$A$558&amp;Sheet2!$B$2:$B$558, Sheet2!$C$2:$C$558, "")</f>
        <v/>
      </c>
      <c r="H1299" s="40" t="str">
        <f t="shared" si="20"/>
        <v>rusdemuhamad@gmail.com</v>
      </c>
    </row>
    <row r="1300" spans="1:8" ht="15.5" x14ac:dyDescent="0.35">
      <c r="A1300" s="7">
        <v>1299</v>
      </c>
      <c r="B1300" s="12">
        <v>21645</v>
      </c>
      <c r="C1300" s="11" t="s">
        <v>1294</v>
      </c>
      <c r="D1300" s="9" t="s">
        <v>1076</v>
      </c>
      <c r="E1300" s="10">
        <v>2003</v>
      </c>
      <c r="F1300" s="36" t="str" cm="1">
        <f t="array" ref="F1300">_xlfn.XLOOKUP(D1300&amp;C1300, Sheet3!$C$2:$C$1224&amp;Sheet3!$B$2:$B$1224, Sheet3!$D$2:$D$1224, "")</f>
        <v>bennycimboy@gmail.com</v>
      </c>
      <c r="G1300" s="1" t="str" cm="1">
        <f t="array" ref="G1300">_xlfn.XLOOKUP(D1300&amp;C1300, Sheet2!$A$2:$A$558&amp;Sheet2!$B$2:$B$558, Sheet2!$C$2:$C$558, "")</f>
        <v/>
      </c>
      <c r="H1300" s="40" t="str">
        <f t="shared" si="20"/>
        <v>bennycimboy@gmail.com</v>
      </c>
    </row>
    <row r="1301" spans="1:8" ht="15.5" x14ac:dyDescent="0.35">
      <c r="A1301" s="7">
        <v>1300</v>
      </c>
      <c r="B1301" s="12">
        <v>21652</v>
      </c>
      <c r="C1301" s="11" t="s">
        <v>1295</v>
      </c>
      <c r="D1301" s="9" t="s">
        <v>1076</v>
      </c>
      <c r="E1301" s="10">
        <v>2003</v>
      </c>
      <c r="F1301" s="36" t="str" cm="1">
        <f t="array" ref="F1301">_xlfn.XLOOKUP(D1301&amp;C1301, Sheet3!$C$2:$C$1224&amp;Sheet3!$B$2:$B$1224, Sheet3!$D$2:$D$1224, "")</f>
        <v>ova.arahman@gmail.com</v>
      </c>
      <c r="G1301" s="1" t="str" cm="1">
        <f t="array" ref="G1301">_xlfn.XLOOKUP(D1301&amp;C1301, Sheet2!$A$2:$A$558&amp;Sheet2!$B$2:$B$558, Sheet2!$C$2:$C$558, "")</f>
        <v/>
      </c>
      <c r="H1301" s="40" t="str">
        <f t="shared" si="20"/>
        <v>ova.arahman@gmail.com</v>
      </c>
    </row>
    <row r="1302" spans="1:8" ht="15.5" x14ac:dyDescent="0.35">
      <c r="A1302" s="7">
        <v>1301</v>
      </c>
      <c r="B1302" s="12">
        <v>21949</v>
      </c>
      <c r="C1302" s="11" t="s">
        <v>1296</v>
      </c>
      <c r="D1302" s="9" t="s">
        <v>1076</v>
      </c>
      <c r="E1302" s="10">
        <v>2003</v>
      </c>
      <c r="F1302" s="36" t="str" cm="1">
        <f t="array" ref="F1302">_xlfn.XLOOKUP(D1302&amp;C1302, Sheet3!$C$2:$C$1224&amp;Sheet3!$B$2:$B$1224, Sheet3!$D$2:$D$1224, "")</f>
        <v/>
      </c>
      <c r="G1302" s="1" t="str" cm="1">
        <f t="array" ref="G1302">_xlfn.XLOOKUP(D1302&amp;C1302, Sheet2!$A$2:$A$558&amp;Sheet2!$B$2:$B$558, Sheet2!$C$2:$C$558, "")</f>
        <v/>
      </c>
      <c r="H1302" s="40" t="str">
        <f t="shared" si="20"/>
        <v/>
      </c>
    </row>
    <row r="1303" spans="1:8" ht="15.5" x14ac:dyDescent="0.35">
      <c r="A1303" s="7">
        <v>1302</v>
      </c>
      <c r="B1303" s="12">
        <v>22039</v>
      </c>
      <c r="C1303" s="11" t="s">
        <v>1297</v>
      </c>
      <c r="D1303" s="9" t="s">
        <v>1076</v>
      </c>
      <c r="E1303" s="10">
        <v>2003</v>
      </c>
      <c r="F1303" s="36" t="str" cm="1">
        <f t="array" ref="F1303">_xlfn.XLOOKUP(D1303&amp;C1303, Sheet3!$C$2:$C$1224&amp;Sheet3!$B$2:$B$1224, Sheet3!$D$2:$D$1224, "")</f>
        <v>satyo.r@gmail.com</v>
      </c>
      <c r="G1303" s="1" t="str" cm="1">
        <f t="array" ref="G1303">_xlfn.XLOOKUP(D1303&amp;C1303, Sheet2!$A$2:$A$558&amp;Sheet2!$B$2:$B$558, Sheet2!$C$2:$C$558, "")</f>
        <v/>
      </c>
      <c r="H1303" s="40" t="str">
        <f t="shared" si="20"/>
        <v>satyo.r@gmail.com</v>
      </c>
    </row>
    <row r="1304" spans="1:8" ht="15.5" x14ac:dyDescent="0.35">
      <c r="A1304" s="7">
        <v>1303</v>
      </c>
      <c r="B1304" s="12">
        <v>22410</v>
      </c>
      <c r="C1304" s="11" t="s">
        <v>1298</v>
      </c>
      <c r="D1304" s="9" t="s">
        <v>1077</v>
      </c>
      <c r="E1304" s="10">
        <v>2003</v>
      </c>
      <c r="F1304" s="36" t="str" cm="1">
        <f t="array" ref="F1304">_xlfn.XLOOKUP(D1304&amp;C1304, Sheet3!$C$2:$C$1224&amp;Sheet3!$B$2:$B$1224, Sheet3!$D$2:$D$1224, "")</f>
        <v>merpatisurat2016@gmail.com</v>
      </c>
      <c r="G1304" s="1" t="str" cm="1">
        <f t="array" ref="G1304">_xlfn.XLOOKUP(D1304&amp;C1304, Sheet2!$A$2:$A$558&amp;Sheet2!$B$2:$B$558, Sheet2!$C$2:$C$558, "")</f>
        <v/>
      </c>
      <c r="H1304" s="40" t="str">
        <f t="shared" si="20"/>
        <v>merpatisurat2016@gmail.com</v>
      </c>
    </row>
    <row r="1305" spans="1:8" ht="15.5" x14ac:dyDescent="0.35">
      <c r="A1305" s="7">
        <v>1304</v>
      </c>
      <c r="B1305" s="12">
        <v>22735</v>
      </c>
      <c r="C1305" s="11" t="s">
        <v>1299</v>
      </c>
      <c r="D1305" s="9" t="s">
        <v>1077</v>
      </c>
      <c r="E1305" s="10">
        <v>2003</v>
      </c>
      <c r="F1305" s="36" t="str" cm="1">
        <f t="array" ref="F1305">_xlfn.XLOOKUP(D1305&amp;C1305, Sheet3!$C$2:$C$1224&amp;Sheet3!$B$2:$B$1224, Sheet3!$D$2:$D$1224, "")</f>
        <v/>
      </c>
      <c r="G1305" s="1" t="str" cm="1">
        <f t="array" ref="G1305">_xlfn.XLOOKUP(D1305&amp;C1305, Sheet2!$A$2:$A$558&amp;Sheet2!$B$2:$B$558, Sheet2!$C$2:$C$558, "")</f>
        <v>Nugrohokuncoro58@gmail.com</v>
      </c>
      <c r="H1305" s="40" t="str">
        <f t="shared" si="20"/>
        <v>Nugrohokuncoro58@gmail.com</v>
      </c>
    </row>
    <row r="1306" spans="1:8" ht="15.5" x14ac:dyDescent="0.35">
      <c r="A1306" s="7">
        <v>1305</v>
      </c>
      <c r="B1306" s="12">
        <v>23146</v>
      </c>
      <c r="C1306" s="11" t="s">
        <v>1300</v>
      </c>
      <c r="D1306" s="9" t="s">
        <v>1077</v>
      </c>
      <c r="E1306" s="10">
        <v>2003</v>
      </c>
      <c r="F1306" s="36" t="str" cm="1">
        <f t="array" ref="F1306">_xlfn.XLOOKUP(D1306&amp;C1306, Sheet3!$C$2:$C$1224&amp;Sheet3!$B$2:$B$1224, Sheet3!$D$2:$D$1224, "")</f>
        <v>donysetiawanseptiono@gmail.com</v>
      </c>
      <c r="G1306" s="1" t="str" cm="1">
        <f t="array" ref="G1306">_xlfn.XLOOKUP(D1306&amp;C1306, Sheet2!$A$2:$A$558&amp;Sheet2!$B$2:$B$558, Sheet2!$C$2:$C$558, "")</f>
        <v>donysetiawanseptiono@gmail.com</v>
      </c>
      <c r="H1306" s="40" t="str">
        <f t="shared" si="20"/>
        <v>donysetiawanseptiono@gmail.com</v>
      </c>
    </row>
    <row r="1307" spans="1:8" ht="15.5" x14ac:dyDescent="0.35">
      <c r="A1307" s="7">
        <v>1306</v>
      </c>
      <c r="B1307" s="12">
        <v>23147</v>
      </c>
      <c r="C1307" s="11" t="s">
        <v>1301</v>
      </c>
      <c r="D1307" s="9" t="s">
        <v>1077</v>
      </c>
      <c r="E1307" s="10">
        <v>2003</v>
      </c>
      <c r="F1307" s="36" t="str" cm="1">
        <f t="array" ref="F1307">_xlfn.XLOOKUP(D1307&amp;C1307, Sheet3!$C$2:$C$1224&amp;Sheet3!$B$2:$B$1224, Sheet3!$D$2:$D$1224, "")</f>
        <v>yofrifh@gmail.com</v>
      </c>
      <c r="G1307" s="1" t="str" cm="1">
        <f t="array" ref="G1307">_xlfn.XLOOKUP(D1307&amp;C1307, Sheet2!$A$2:$A$558&amp;Sheet2!$B$2:$B$558, Sheet2!$C$2:$C$558, "")</f>
        <v>yofrifh@gmail.com</v>
      </c>
      <c r="H1307" s="40" t="str">
        <f t="shared" si="20"/>
        <v>yofrifh@gmail.com</v>
      </c>
    </row>
    <row r="1308" spans="1:8" ht="15.5" x14ac:dyDescent="0.35">
      <c r="A1308" s="7">
        <v>1307</v>
      </c>
      <c r="B1308" s="12">
        <v>23150</v>
      </c>
      <c r="C1308" s="11" t="s">
        <v>1302</v>
      </c>
      <c r="D1308" s="9" t="s">
        <v>1077</v>
      </c>
      <c r="E1308" s="10">
        <v>2003</v>
      </c>
      <c r="F1308" s="36" t="str" cm="1">
        <f t="array" ref="F1308">_xlfn.XLOOKUP(D1308&amp;C1308, Sheet3!$C$2:$C$1224&amp;Sheet3!$B$2:$B$1224, Sheet3!$D$2:$D$1224, "")</f>
        <v>lukfihalim@gmail.com</v>
      </c>
      <c r="G1308" s="1" t="str" cm="1">
        <f t="array" ref="G1308">_xlfn.XLOOKUP(D1308&amp;C1308, Sheet2!$A$2:$A$558&amp;Sheet2!$B$2:$B$558, Sheet2!$C$2:$C$558, "")</f>
        <v>lukfihalim@gmail.com</v>
      </c>
      <c r="H1308" s="40" t="str">
        <f t="shared" si="20"/>
        <v>lukfihalim@gmail.com</v>
      </c>
    </row>
    <row r="1309" spans="1:8" ht="15.5" x14ac:dyDescent="0.35">
      <c r="A1309" s="7">
        <v>1308</v>
      </c>
      <c r="B1309" s="12">
        <v>23156</v>
      </c>
      <c r="C1309" s="11" t="s">
        <v>1303</v>
      </c>
      <c r="D1309" s="9" t="s">
        <v>1077</v>
      </c>
      <c r="E1309" s="10">
        <v>2003</v>
      </c>
      <c r="F1309" s="36" t="str" cm="1">
        <f t="array" ref="F1309">_xlfn.XLOOKUP(D1309&amp;C1309, Sheet3!$C$2:$C$1224&amp;Sheet3!$B$2:$B$1224, Sheet3!$D$2:$D$1224, "")</f>
        <v/>
      </c>
      <c r="G1309" s="1" t="str" cm="1">
        <f t="array" ref="G1309">_xlfn.XLOOKUP(D1309&amp;C1309, Sheet2!$A$2:$A$558&amp;Sheet2!$B$2:$B$558, Sheet2!$C$2:$C$558, "")</f>
        <v/>
      </c>
      <c r="H1309" s="40" t="str">
        <f t="shared" si="20"/>
        <v/>
      </c>
    </row>
    <row r="1310" spans="1:8" ht="15.5" x14ac:dyDescent="0.35">
      <c r="A1310" s="7">
        <v>1309</v>
      </c>
      <c r="B1310" s="12">
        <v>23199</v>
      </c>
      <c r="C1310" s="13" t="s">
        <v>1304</v>
      </c>
      <c r="D1310" s="9" t="s">
        <v>1077</v>
      </c>
      <c r="E1310" s="10">
        <v>2003</v>
      </c>
      <c r="F1310" s="36" t="str" cm="1">
        <f t="array" ref="F1310">_xlfn.XLOOKUP(D1310&amp;C1310, Sheet3!$C$2:$C$1224&amp;Sheet3!$B$2:$B$1224, Sheet3!$D$2:$D$1224, "")</f>
        <v>hepihapsari@gmail.com</v>
      </c>
      <c r="G1310" s="1" t="str" cm="1">
        <f t="array" ref="G1310">_xlfn.XLOOKUP(D1310&amp;C1310, Sheet2!$A$2:$A$558&amp;Sheet2!$B$2:$B$558, Sheet2!$C$2:$C$558, "")</f>
        <v>hepihapsari@gmail.com</v>
      </c>
      <c r="H1310" s="40" t="str">
        <f t="shared" si="20"/>
        <v>hepihapsari@gmail.com</v>
      </c>
    </row>
    <row r="1311" spans="1:8" ht="15.5" x14ac:dyDescent="0.35">
      <c r="A1311" s="7">
        <v>1310</v>
      </c>
      <c r="B1311" s="12">
        <v>23208</v>
      </c>
      <c r="C1311" s="11" t="s">
        <v>1305</v>
      </c>
      <c r="D1311" s="9" t="s">
        <v>1077</v>
      </c>
      <c r="E1311" s="10">
        <v>2003</v>
      </c>
      <c r="F1311" s="36" t="str" cm="1">
        <f t="array" ref="F1311">_xlfn.XLOOKUP(D1311&amp;C1311, Sheet3!$C$2:$C$1224&amp;Sheet3!$B$2:$B$1224, Sheet3!$D$2:$D$1224, "")</f>
        <v/>
      </c>
      <c r="G1311" s="1" t="str" cm="1">
        <f t="array" ref="G1311">_xlfn.XLOOKUP(D1311&amp;C1311, Sheet2!$A$2:$A$558&amp;Sheet2!$B$2:$B$558, Sheet2!$C$2:$C$558, "")</f>
        <v>dedyagung@yahoo.com</v>
      </c>
      <c r="H1311" s="40" t="str">
        <f t="shared" si="20"/>
        <v>dedyagung@yahoo.com</v>
      </c>
    </row>
    <row r="1312" spans="1:8" ht="15.5" x14ac:dyDescent="0.35">
      <c r="A1312" s="7">
        <v>1311</v>
      </c>
      <c r="B1312" s="12">
        <v>23216</v>
      </c>
      <c r="C1312" s="11" t="s">
        <v>1306</v>
      </c>
      <c r="D1312" s="9" t="s">
        <v>1077</v>
      </c>
      <c r="E1312" s="10">
        <v>2003</v>
      </c>
      <c r="F1312" s="36" t="str" cm="1">
        <f t="array" ref="F1312">_xlfn.XLOOKUP(D1312&amp;C1312, Sheet3!$C$2:$C$1224&amp;Sheet3!$B$2:$B$1224, Sheet3!$D$2:$D$1224, "")</f>
        <v/>
      </c>
      <c r="G1312" s="1" t="str" cm="1">
        <f t="array" ref="G1312">_xlfn.XLOOKUP(D1312&amp;C1312, Sheet2!$A$2:$A$558&amp;Sheet2!$B$2:$B$558, Sheet2!$C$2:$C$558, "")</f>
        <v>jatiwisnumurthy@gmail.com</v>
      </c>
      <c r="H1312" s="40" t="str">
        <f t="shared" si="20"/>
        <v>jatiwisnumurthy@gmail.com</v>
      </c>
    </row>
    <row r="1313" spans="1:8" ht="15.5" x14ac:dyDescent="0.35">
      <c r="A1313" s="7">
        <v>1312</v>
      </c>
      <c r="B1313" s="12">
        <v>23243</v>
      </c>
      <c r="C1313" s="11" t="s">
        <v>1307</v>
      </c>
      <c r="D1313" s="9" t="s">
        <v>1077</v>
      </c>
      <c r="E1313" s="10">
        <v>2003</v>
      </c>
      <c r="F1313" s="36" t="str" cm="1">
        <f t="array" ref="F1313">_xlfn.XLOOKUP(D1313&amp;C1313, Sheet3!$C$2:$C$1224&amp;Sheet3!$B$2:$B$1224, Sheet3!$D$2:$D$1224, "")</f>
        <v>Aatriguseko@gmail.com</v>
      </c>
      <c r="G1313" s="1" t="str" cm="1">
        <f t="array" ref="G1313">_xlfn.XLOOKUP(D1313&amp;C1313, Sheet2!$A$2:$A$558&amp;Sheet2!$B$2:$B$558, Sheet2!$C$2:$C$558, "")</f>
        <v>triguseko@gmail.com</v>
      </c>
      <c r="H1313" s="40" t="str">
        <f t="shared" si="20"/>
        <v>Aatriguseko@gmail.com</v>
      </c>
    </row>
    <row r="1314" spans="1:8" ht="15.5" x14ac:dyDescent="0.35">
      <c r="A1314" s="7">
        <v>1313</v>
      </c>
      <c r="B1314" s="12">
        <v>23278</v>
      </c>
      <c r="C1314" s="11" t="s">
        <v>1308</v>
      </c>
      <c r="D1314" s="9" t="s">
        <v>1077</v>
      </c>
      <c r="E1314" s="10">
        <v>2003</v>
      </c>
      <c r="F1314" s="36" t="str" cm="1">
        <f t="array" ref="F1314">_xlfn.XLOOKUP(D1314&amp;C1314, Sheet3!$C$2:$C$1224&amp;Sheet3!$B$2:$B$1224, Sheet3!$D$2:$D$1224, "")</f>
        <v/>
      </c>
      <c r="G1314" s="1" t="str" cm="1">
        <f t="array" ref="G1314">_xlfn.XLOOKUP(D1314&amp;C1314, Sheet2!$A$2:$A$558&amp;Sheet2!$B$2:$B$558, Sheet2!$C$2:$C$558, "")</f>
        <v>bektitriyadi@gmail.com</v>
      </c>
      <c r="H1314" s="40" t="str">
        <f t="shared" si="20"/>
        <v>bektitriyadi@gmail.com</v>
      </c>
    </row>
    <row r="1315" spans="1:8" ht="15.5" x14ac:dyDescent="0.35">
      <c r="A1315" s="7">
        <v>1314</v>
      </c>
      <c r="B1315" s="12">
        <v>23289</v>
      </c>
      <c r="C1315" s="11" t="s">
        <v>1309</v>
      </c>
      <c r="D1315" s="9" t="s">
        <v>1077</v>
      </c>
      <c r="E1315" s="10">
        <v>2003</v>
      </c>
      <c r="F1315" s="36" t="str" cm="1">
        <f t="array" ref="F1315">_xlfn.XLOOKUP(D1315&amp;C1315, Sheet3!$C$2:$C$1224&amp;Sheet3!$B$2:$B$1224, Sheet3!$D$2:$D$1224, "")</f>
        <v/>
      </c>
      <c r="G1315" s="1" t="str" cm="1">
        <f t="array" ref="G1315">_xlfn.XLOOKUP(D1315&amp;C1315, Sheet2!$A$2:$A$558&amp;Sheet2!$B$2:$B$558, Sheet2!$C$2:$C$558, "")</f>
        <v>sandramurti@gmail.com</v>
      </c>
      <c r="H1315" s="40" t="str">
        <f t="shared" si="20"/>
        <v>sandramurti@gmail.com</v>
      </c>
    </row>
    <row r="1316" spans="1:8" ht="15.5" x14ac:dyDescent="0.35">
      <c r="A1316" s="7">
        <v>1315</v>
      </c>
      <c r="B1316" s="12">
        <v>23291</v>
      </c>
      <c r="C1316" s="11" t="s">
        <v>159</v>
      </c>
      <c r="D1316" s="9" t="s">
        <v>1077</v>
      </c>
      <c r="E1316" s="10">
        <v>2003</v>
      </c>
      <c r="F1316" s="36" t="str" cm="1">
        <f t="array" ref="F1316">_xlfn.XLOOKUP(D1316&amp;C1316, Sheet3!$C$2:$C$1224&amp;Sheet3!$B$2:$B$1224, Sheet3!$D$2:$D$1224, "")</f>
        <v/>
      </c>
      <c r="G1316" s="1" t="str" cm="1">
        <f t="array" ref="G1316">_xlfn.XLOOKUP(D1316&amp;C1316, Sheet2!$A$2:$A$558&amp;Sheet2!$B$2:$B$558, Sheet2!$C$2:$C$558, "")</f>
        <v/>
      </c>
      <c r="H1316" s="40" t="str">
        <f t="shared" si="20"/>
        <v/>
      </c>
    </row>
    <row r="1317" spans="1:8" ht="15.5" x14ac:dyDescent="0.35">
      <c r="A1317" s="7">
        <v>1316</v>
      </c>
      <c r="B1317" s="12">
        <v>23303</v>
      </c>
      <c r="C1317" s="11" t="s">
        <v>1310</v>
      </c>
      <c r="D1317" s="9" t="s">
        <v>1077</v>
      </c>
      <c r="E1317" s="10">
        <v>2003</v>
      </c>
      <c r="F1317" s="36" t="str" cm="1">
        <f t="array" ref="F1317">_xlfn.XLOOKUP(D1317&amp;C1317, Sheet3!$C$2:$C$1224&amp;Sheet3!$B$2:$B$1224, Sheet3!$D$2:$D$1224, "")</f>
        <v/>
      </c>
      <c r="G1317" s="1" t="str" cm="1">
        <f t="array" ref="G1317">_xlfn.XLOOKUP(D1317&amp;C1317, Sheet2!$A$2:$A$558&amp;Sheet2!$B$2:$B$558, Sheet2!$C$2:$C$558, "")</f>
        <v/>
      </c>
      <c r="H1317" s="40" t="str">
        <f t="shared" si="20"/>
        <v/>
      </c>
    </row>
    <row r="1318" spans="1:8" ht="15.5" x14ac:dyDescent="0.35">
      <c r="A1318" s="7">
        <v>1317</v>
      </c>
      <c r="B1318" s="12">
        <v>23381</v>
      </c>
      <c r="C1318" s="11" t="s">
        <v>1311</v>
      </c>
      <c r="D1318" s="9" t="s">
        <v>1077</v>
      </c>
      <c r="E1318" s="10">
        <v>2003</v>
      </c>
      <c r="F1318" s="36" t="str" cm="1">
        <f t="array" ref="F1318">_xlfn.XLOOKUP(D1318&amp;C1318, Sheet3!$C$2:$C$1224&amp;Sheet3!$B$2:$B$1224, Sheet3!$D$2:$D$1224, "")</f>
        <v>suhada535@gmail.com</v>
      </c>
      <c r="G1318" s="1" t="str" cm="1">
        <f t="array" ref="G1318">_xlfn.XLOOKUP(D1318&amp;C1318, Sheet2!$A$2:$A$558&amp;Sheet2!$B$2:$B$558, Sheet2!$C$2:$C$558, "")</f>
        <v/>
      </c>
      <c r="H1318" s="40" t="str">
        <f t="shared" si="20"/>
        <v>suhada535@gmail.com</v>
      </c>
    </row>
    <row r="1319" spans="1:8" ht="15.5" x14ac:dyDescent="0.35">
      <c r="A1319" s="7">
        <v>1318</v>
      </c>
      <c r="B1319" s="12">
        <v>23415</v>
      </c>
      <c r="C1319" s="11" t="s">
        <v>1312</v>
      </c>
      <c r="D1319" s="9" t="s">
        <v>1077</v>
      </c>
      <c r="E1319" s="10">
        <v>2003</v>
      </c>
      <c r="F1319" s="36" t="str" cm="1">
        <f t="array" ref="F1319">_xlfn.XLOOKUP(D1319&amp;C1319, Sheet3!$C$2:$C$1224&amp;Sheet3!$B$2:$B$1224, Sheet3!$D$2:$D$1224, "")</f>
        <v>kris.harmoko@gmail.com</v>
      </c>
      <c r="G1319" s="1" t="str" cm="1">
        <f t="array" ref="G1319">_xlfn.XLOOKUP(D1319&amp;C1319, Sheet2!$A$2:$A$558&amp;Sheet2!$B$2:$B$558, Sheet2!$C$2:$C$558, "")</f>
        <v>kris.harmoko@gmail.com</v>
      </c>
      <c r="H1319" s="40" t="str">
        <f t="shared" si="20"/>
        <v>kris.harmoko@gmail.com</v>
      </c>
    </row>
    <row r="1320" spans="1:8" ht="15.5" x14ac:dyDescent="0.35">
      <c r="A1320" s="7">
        <v>1319</v>
      </c>
      <c r="B1320" s="12">
        <v>23415</v>
      </c>
      <c r="C1320" s="11" t="s">
        <v>1313</v>
      </c>
      <c r="D1320" s="9" t="s">
        <v>1078</v>
      </c>
      <c r="E1320" s="10">
        <v>2003</v>
      </c>
      <c r="F1320" s="36" t="str" cm="1">
        <f t="array" ref="F1320">_xlfn.XLOOKUP(D1320&amp;C1320, Sheet3!$C$2:$C$1224&amp;Sheet3!$B$2:$B$1224, Sheet3!$D$2:$D$1224, "")</f>
        <v/>
      </c>
      <c r="G1320" s="1" t="str" cm="1">
        <f t="array" ref="G1320">_xlfn.XLOOKUP(D1320&amp;C1320, Sheet2!$A$2:$A$558&amp;Sheet2!$B$2:$B$558, Sheet2!$C$2:$C$558, "")</f>
        <v>lushantikusumastuti@gmail.com</v>
      </c>
      <c r="H1320" s="40" t="str">
        <f t="shared" si="20"/>
        <v>lushantikusumastuti@gmail.com</v>
      </c>
    </row>
    <row r="1321" spans="1:8" ht="15.5" x14ac:dyDescent="0.35">
      <c r="A1321" s="7">
        <v>1320</v>
      </c>
      <c r="B1321" s="12">
        <v>19971</v>
      </c>
      <c r="C1321" s="11" t="s">
        <v>1314</v>
      </c>
      <c r="D1321" s="9" t="s">
        <v>1074</v>
      </c>
      <c r="E1321" s="10">
        <v>2003</v>
      </c>
      <c r="F1321" s="36" t="str" cm="1">
        <f t="array" ref="F1321">_xlfn.XLOOKUP(D1321&amp;C1321, Sheet3!$C$2:$C$1224&amp;Sheet3!$B$2:$B$1224, Sheet3!$D$2:$D$1224, "")</f>
        <v/>
      </c>
      <c r="G1321" s="1" t="str" cm="1">
        <f t="array" ref="G1321">_xlfn.XLOOKUP(D1321&amp;C1321, Sheet2!$A$2:$A$558&amp;Sheet2!$B$2:$B$558, Sheet2!$C$2:$C$558, "")</f>
        <v/>
      </c>
      <c r="H1321" s="40" t="str">
        <f t="shared" si="20"/>
        <v/>
      </c>
    </row>
    <row r="1322" spans="1:8" ht="15.5" x14ac:dyDescent="0.35">
      <c r="A1322" s="7">
        <v>1321</v>
      </c>
      <c r="B1322" s="12">
        <v>19994</v>
      </c>
      <c r="C1322" s="11" t="s">
        <v>1315</v>
      </c>
      <c r="D1322" s="9" t="s">
        <v>1074</v>
      </c>
      <c r="E1322" s="10">
        <v>2003</v>
      </c>
      <c r="F1322" s="36" t="str" cm="1">
        <f t="array" ref="F1322">_xlfn.XLOOKUP(D1322&amp;C1322, Sheet3!$C$2:$C$1224&amp;Sheet3!$B$2:$B$1224, Sheet3!$D$2:$D$1224, "")</f>
        <v/>
      </c>
      <c r="G1322" s="1" t="str" cm="1">
        <f t="array" ref="G1322">_xlfn.XLOOKUP(D1322&amp;C1322, Sheet2!$A$2:$A$558&amp;Sheet2!$B$2:$B$558, Sheet2!$C$2:$C$558, "")</f>
        <v/>
      </c>
      <c r="H1322" s="40" t="str">
        <f t="shared" si="20"/>
        <v/>
      </c>
    </row>
    <row r="1323" spans="1:8" ht="15.5" x14ac:dyDescent="0.35">
      <c r="A1323" s="7">
        <v>1322</v>
      </c>
      <c r="B1323" s="12">
        <v>20438</v>
      </c>
      <c r="C1323" s="11" t="s">
        <v>1316</v>
      </c>
      <c r="D1323" s="9" t="s">
        <v>1075</v>
      </c>
      <c r="E1323" s="10">
        <v>2003</v>
      </c>
      <c r="F1323" s="36" t="str" cm="1">
        <f t="array" ref="F1323">_xlfn.XLOOKUP(D1323&amp;C1323, Sheet3!$C$2:$C$1224&amp;Sheet3!$B$2:$B$1224, Sheet3!$D$2:$D$1224, "")</f>
        <v/>
      </c>
      <c r="G1323" s="1" t="str" cm="1">
        <f t="array" ref="G1323">_xlfn.XLOOKUP(D1323&amp;C1323, Sheet2!$A$2:$A$558&amp;Sheet2!$B$2:$B$558, Sheet2!$C$2:$C$558, "")</f>
        <v/>
      </c>
      <c r="H1323" s="40" t="str">
        <f t="shared" si="20"/>
        <v/>
      </c>
    </row>
    <row r="1324" spans="1:8" ht="15.5" x14ac:dyDescent="0.35">
      <c r="A1324" s="7">
        <v>1323</v>
      </c>
      <c r="B1324" s="12">
        <v>20585</v>
      </c>
      <c r="C1324" s="11" t="s">
        <v>1317</v>
      </c>
      <c r="D1324" s="9" t="s">
        <v>1075</v>
      </c>
      <c r="E1324" s="10">
        <v>2003</v>
      </c>
      <c r="F1324" s="36" t="str" cm="1">
        <f t="array" ref="F1324">_xlfn.XLOOKUP(D1324&amp;C1324, Sheet3!$C$2:$C$1224&amp;Sheet3!$B$2:$B$1224, Sheet3!$D$2:$D$1224, "")</f>
        <v>NRISTI219@gmail.com</v>
      </c>
      <c r="G1324" s="1" t="str" cm="1">
        <f t="array" ref="G1324">_xlfn.XLOOKUP(D1324&amp;C1324, Sheet2!$A$2:$A$558&amp;Sheet2!$B$2:$B$558, Sheet2!$C$2:$C$558, "")</f>
        <v/>
      </c>
      <c r="H1324" s="40" t="str">
        <f t="shared" si="20"/>
        <v>NRISTI219@gmail.com</v>
      </c>
    </row>
    <row r="1325" spans="1:8" ht="15.5" x14ac:dyDescent="0.35">
      <c r="A1325" s="7">
        <v>1324</v>
      </c>
      <c r="B1325" s="12">
        <v>21391</v>
      </c>
      <c r="C1325" s="11" t="s">
        <v>1318</v>
      </c>
      <c r="D1325" s="9" t="s">
        <v>1076</v>
      </c>
      <c r="E1325" s="10">
        <v>2003</v>
      </c>
      <c r="F1325" s="36" t="str" cm="1">
        <f t="array" ref="F1325">_xlfn.XLOOKUP(D1325&amp;C1325, Sheet3!$C$2:$C$1224&amp;Sheet3!$B$2:$B$1224, Sheet3!$D$2:$D$1224, "")</f>
        <v>bambangadut@gmail.com</v>
      </c>
      <c r="G1325" s="1" t="str" cm="1">
        <f t="array" ref="G1325">_xlfn.XLOOKUP(D1325&amp;C1325, Sheet2!$A$2:$A$558&amp;Sheet2!$B$2:$B$558, Sheet2!$C$2:$C$558, "")</f>
        <v/>
      </c>
      <c r="H1325" s="40" t="str">
        <f t="shared" si="20"/>
        <v>bambangadut@gmail.com</v>
      </c>
    </row>
    <row r="1326" spans="1:8" ht="15.5" x14ac:dyDescent="0.35">
      <c r="A1326" s="7">
        <v>1325</v>
      </c>
      <c r="B1326" s="12">
        <v>21421</v>
      </c>
      <c r="C1326" s="11" t="s">
        <v>1319</v>
      </c>
      <c r="D1326" s="9" t="s">
        <v>1076</v>
      </c>
      <c r="E1326" s="10">
        <v>2003</v>
      </c>
      <c r="F1326" s="36" t="str" cm="1">
        <f t="array" ref="F1326">_xlfn.XLOOKUP(D1326&amp;C1326, Sheet3!$C$2:$C$1224&amp;Sheet3!$B$2:$B$1224, Sheet3!$D$2:$D$1224, "")</f>
        <v/>
      </c>
      <c r="G1326" s="1" t="str" cm="1">
        <f t="array" ref="G1326">_xlfn.XLOOKUP(D1326&amp;C1326, Sheet2!$A$2:$A$558&amp;Sheet2!$B$2:$B$558, Sheet2!$C$2:$C$558, "")</f>
        <v/>
      </c>
      <c r="H1326" s="40" t="str">
        <f t="shared" si="20"/>
        <v/>
      </c>
    </row>
    <row r="1327" spans="1:8" ht="15.5" x14ac:dyDescent="0.35">
      <c r="A1327" s="7">
        <v>1326</v>
      </c>
      <c r="B1327" s="12">
        <v>21819</v>
      </c>
      <c r="C1327" s="11" t="s">
        <v>1320</v>
      </c>
      <c r="D1327" s="9" t="s">
        <v>1076</v>
      </c>
      <c r="E1327" s="10">
        <v>2003</v>
      </c>
      <c r="F1327" s="36" t="str" cm="1">
        <f t="array" ref="F1327">_xlfn.XLOOKUP(D1327&amp;C1327, Sheet3!$C$2:$C$1224&amp;Sheet3!$B$2:$B$1224, Sheet3!$D$2:$D$1224, "")</f>
        <v>arigeod@gmail.com</v>
      </c>
      <c r="G1327" s="1" t="str" cm="1">
        <f t="array" ref="G1327">_xlfn.XLOOKUP(D1327&amp;C1327, Sheet2!$A$2:$A$558&amp;Sheet2!$B$2:$B$558, Sheet2!$C$2:$C$558, "")</f>
        <v/>
      </c>
      <c r="H1327" s="40" t="str">
        <f t="shared" si="20"/>
        <v>arigeod@gmail.com</v>
      </c>
    </row>
    <row r="1328" spans="1:8" ht="15.5" x14ac:dyDescent="0.35">
      <c r="A1328" s="7">
        <v>1327</v>
      </c>
      <c r="B1328" s="12">
        <v>21835</v>
      </c>
      <c r="C1328" s="11" t="s">
        <v>1321</v>
      </c>
      <c r="D1328" s="9" t="s">
        <v>1076</v>
      </c>
      <c r="E1328" s="10">
        <v>2003</v>
      </c>
      <c r="F1328" s="36" t="str" cm="1">
        <f t="array" ref="F1328">_xlfn.XLOOKUP(D1328&amp;C1328, Sheet3!$C$2:$C$1224&amp;Sheet3!$B$2:$B$1224, Sheet3!$D$2:$D$1224, "")</f>
        <v/>
      </c>
      <c r="G1328" s="1" t="str" cm="1">
        <f t="array" ref="G1328">_xlfn.XLOOKUP(D1328&amp;C1328, Sheet2!$A$2:$A$558&amp;Sheet2!$B$2:$B$558, Sheet2!$C$2:$C$558, "")</f>
        <v/>
      </c>
      <c r="H1328" s="40" t="str">
        <f t="shared" si="20"/>
        <v/>
      </c>
    </row>
    <row r="1329" spans="1:8" ht="15.5" x14ac:dyDescent="0.35">
      <c r="A1329" s="7">
        <v>1328</v>
      </c>
      <c r="B1329" s="12">
        <v>21970</v>
      </c>
      <c r="C1329" s="11" t="s">
        <v>1322</v>
      </c>
      <c r="D1329" s="9" t="s">
        <v>1076</v>
      </c>
      <c r="E1329" s="10">
        <v>2003</v>
      </c>
      <c r="F1329" s="36" t="str" cm="1">
        <f t="array" ref="F1329">_xlfn.XLOOKUP(D1329&amp;C1329, Sheet3!$C$2:$C$1224&amp;Sheet3!$B$2:$B$1224, Sheet3!$D$2:$D$1224, "")</f>
        <v/>
      </c>
      <c r="G1329" s="1" t="str" cm="1">
        <f t="array" ref="G1329">_xlfn.XLOOKUP(D1329&amp;C1329, Sheet2!$A$2:$A$558&amp;Sheet2!$B$2:$B$558, Sheet2!$C$2:$C$558, "")</f>
        <v/>
      </c>
      <c r="H1329" s="40" t="str">
        <f t="shared" si="20"/>
        <v/>
      </c>
    </row>
    <row r="1330" spans="1:8" ht="15.5" x14ac:dyDescent="0.35">
      <c r="A1330" s="7">
        <v>1329</v>
      </c>
      <c r="B1330" s="12">
        <v>22377</v>
      </c>
      <c r="C1330" s="11" t="s">
        <v>1323</v>
      </c>
      <c r="D1330" s="9" t="s">
        <v>1077</v>
      </c>
      <c r="E1330" s="10">
        <v>2003</v>
      </c>
      <c r="F1330" s="36" t="str" cm="1">
        <f t="array" ref="F1330">_xlfn.XLOOKUP(D1330&amp;C1330, Sheet3!$C$2:$C$1224&amp;Sheet3!$B$2:$B$1224, Sheet3!$D$2:$D$1224, "")</f>
        <v/>
      </c>
      <c r="G1330" s="1" t="str" cm="1">
        <f t="array" ref="G1330">_xlfn.XLOOKUP(D1330&amp;C1330, Sheet2!$A$2:$A$558&amp;Sheet2!$B$2:$B$558, Sheet2!$C$2:$C$558, "")</f>
        <v>mega.handayani13@gmail.com</v>
      </c>
      <c r="H1330" s="40" t="str">
        <f t="shared" si="20"/>
        <v>mega.handayani13@gmail.com</v>
      </c>
    </row>
    <row r="1331" spans="1:8" ht="15.5" x14ac:dyDescent="0.35">
      <c r="A1331" s="7">
        <v>1330</v>
      </c>
      <c r="B1331" s="12">
        <v>22415</v>
      </c>
      <c r="C1331" s="11" t="s">
        <v>1324</v>
      </c>
      <c r="D1331" s="9" t="s">
        <v>1077</v>
      </c>
      <c r="E1331" s="10">
        <v>2003</v>
      </c>
      <c r="F1331" s="36" t="str" cm="1">
        <f t="array" ref="F1331">_xlfn.XLOOKUP(D1331&amp;C1331, Sheet3!$C$2:$C$1224&amp;Sheet3!$B$2:$B$1224, Sheet3!$D$2:$D$1224, "")</f>
        <v>asepsmulyana80@gmail.com</v>
      </c>
      <c r="G1331" s="1" t="str" cm="1">
        <f t="array" ref="G1331">_xlfn.XLOOKUP(D1331&amp;C1331, Sheet2!$A$2:$A$558&amp;Sheet2!$B$2:$B$558, Sheet2!$C$2:$C$558, "")</f>
        <v>asepsmulyana80@gmail.com</v>
      </c>
      <c r="H1331" s="40" t="str">
        <f t="shared" si="20"/>
        <v>asepsmulyana80@gmail.com</v>
      </c>
    </row>
    <row r="1332" spans="1:8" ht="15.5" x14ac:dyDescent="0.35">
      <c r="A1332" s="7">
        <v>1331</v>
      </c>
      <c r="B1332" s="12">
        <v>22449</v>
      </c>
      <c r="C1332" s="11" t="s">
        <v>1325</v>
      </c>
      <c r="D1332" s="9" t="s">
        <v>1077</v>
      </c>
      <c r="E1332" s="10">
        <v>2003</v>
      </c>
      <c r="F1332" s="36" t="str" cm="1">
        <f t="array" ref="F1332">_xlfn.XLOOKUP(D1332&amp;C1332, Sheet3!$C$2:$C$1224&amp;Sheet3!$B$2:$B$1224, Sheet3!$D$2:$D$1224, "")</f>
        <v>rusdaryantiromey@gmail.com</v>
      </c>
      <c r="G1332" s="1" t="str" cm="1">
        <f t="array" ref="G1332">_xlfn.XLOOKUP(D1332&amp;C1332, Sheet2!$A$2:$A$558&amp;Sheet2!$B$2:$B$558, Sheet2!$C$2:$C$558, "")</f>
        <v/>
      </c>
      <c r="H1332" s="40" t="str">
        <f t="shared" si="20"/>
        <v>rusdaryantiromey@gmail.com</v>
      </c>
    </row>
    <row r="1333" spans="1:8" ht="15.5" x14ac:dyDescent="0.35">
      <c r="A1333" s="7">
        <v>1332</v>
      </c>
      <c r="B1333" s="12">
        <v>22562</v>
      </c>
      <c r="C1333" s="11" t="s">
        <v>1326</v>
      </c>
      <c r="D1333" s="9" t="s">
        <v>1077</v>
      </c>
      <c r="E1333" s="10">
        <v>2003</v>
      </c>
      <c r="F1333" s="36" t="str" cm="1">
        <f t="array" ref="F1333">_xlfn.XLOOKUP(D1333&amp;C1333, Sheet3!$C$2:$C$1224&amp;Sheet3!$B$2:$B$1224, Sheet3!$D$2:$D$1224, "")</f>
        <v/>
      </c>
      <c r="G1333" s="1" t="str" cm="1">
        <f t="array" ref="G1333">_xlfn.XLOOKUP(D1333&amp;C1333, Sheet2!$A$2:$A$558&amp;Sheet2!$B$2:$B$558, Sheet2!$C$2:$C$558, "")</f>
        <v>ventin_q@yahoo.com</v>
      </c>
      <c r="H1333" s="40" t="str">
        <f t="shared" si="20"/>
        <v>ventin_q@yahoo.com</v>
      </c>
    </row>
    <row r="1334" spans="1:8" ht="15.5" x14ac:dyDescent="0.35">
      <c r="A1334" s="7">
        <v>1333</v>
      </c>
      <c r="B1334" s="12">
        <v>22607</v>
      </c>
      <c r="C1334" s="11" t="s">
        <v>1327</v>
      </c>
      <c r="D1334" s="9" t="s">
        <v>1077</v>
      </c>
      <c r="E1334" s="10">
        <v>2003</v>
      </c>
      <c r="F1334" s="36" t="str" cm="1">
        <f t="array" ref="F1334">_xlfn.XLOOKUP(D1334&amp;C1334, Sheet3!$C$2:$C$1224&amp;Sheet3!$B$2:$B$1224, Sheet3!$D$2:$D$1224, "")</f>
        <v>ira.one.mgl@gmail.com</v>
      </c>
      <c r="G1334" s="1" t="str" cm="1">
        <f t="array" ref="G1334">_xlfn.XLOOKUP(D1334&amp;C1334, Sheet2!$A$2:$A$558&amp;Sheet2!$B$2:$B$558, Sheet2!$C$2:$C$558, "")</f>
        <v>ira.one.mgl@gmail.com</v>
      </c>
      <c r="H1334" s="40" t="str">
        <f t="shared" si="20"/>
        <v>ira.one.mgl@gmail.com</v>
      </c>
    </row>
    <row r="1335" spans="1:8" ht="15.5" x14ac:dyDescent="0.35">
      <c r="A1335" s="7">
        <v>1334</v>
      </c>
      <c r="B1335" s="12">
        <v>22759</v>
      </c>
      <c r="C1335" s="11" t="s">
        <v>1328</v>
      </c>
      <c r="D1335" s="9" t="s">
        <v>1077</v>
      </c>
      <c r="E1335" s="10">
        <v>2003</v>
      </c>
      <c r="F1335" s="36" t="str" cm="1">
        <f t="array" ref="F1335">_xlfn.XLOOKUP(D1335&amp;C1335, Sheet3!$C$2:$C$1224&amp;Sheet3!$B$2:$B$1224, Sheet3!$D$2:$D$1224, "")</f>
        <v/>
      </c>
      <c r="G1335" s="1" t="str" cm="1">
        <f t="array" ref="G1335">_xlfn.XLOOKUP(D1335&amp;C1335, Sheet2!$A$2:$A$558&amp;Sheet2!$B$2:$B$558, Sheet2!$C$2:$C$558, "")</f>
        <v/>
      </c>
      <c r="H1335" s="40" t="str">
        <f t="shared" si="20"/>
        <v/>
      </c>
    </row>
    <row r="1336" spans="1:8" ht="15.5" x14ac:dyDescent="0.35">
      <c r="A1336" s="7">
        <v>1335</v>
      </c>
      <c r="B1336" s="12">
        <v>22833</v>
      </c>
      <c r="C1336" s="11" t="s">
        <v>1329</v>
      </c>
      <c r="D1336" s="9" t="s">
        <v>1077</v>
      </c>
      <c r="E1336" s="10">
        <v>2003</v>
      </c>
      <c r="F1336" s="36" t="str" cm="1">
        <f t="array" ref="F1336">_xlfn.XLOOKUP(D1336&amp;C1336, Sheet3!$C$2:$C$1224&amp;Sheet3!$B$2:$B$1224, Sheet3!$D$2:$D$1224, "")</f>
        <v>edi.sukoco@mail.ugm.ac.id</v>
      </c>
      <c r="G1336" s="1" t="str" cm="1">
        <f t="array" ref="G1336">_xlfn.XLOOKUP(D1336&amp;C1336, Sheet2!$A$2:$A$558&amp;Sheet2!$B$2:$B$558, Sheet2!$C$2:$C$558, "")</f>
        <v>edi.sukoco@mail.ugm.ac.id</v>
      </c>
      <c r="H1336" s="40" t="str">
        <f t="shared" si="20"/>
        <v>edi.sukoco@mail.ugm.ac.id</v>
      </c>
    </row>
    <row r="1337" spans="1:8" ht="15.5" x14ac:dyDescent="0.35">
      <c r="A1337" s="7">
        <v>1336</v>
      </c>
      <c r="B1337" s="12">
        <v>22849</v>
      </c>
      <c r="C1337" s="11" t="s">
        <v>1330</v>
      </c>
      <c r="D1337" s="9" t="s">
        <v>1077</v>
      </c>
      <c r="E1337" s="10">
        <v>2003</v>
      </c>
      <c r="F1337" s="36" t="str" cm="1">
        <f t="array" ref="F1337">_xlfn.XLOOKUP(D1337&amp;C1337, Sheet3!$C$2:$C$1224&amp;Sheet3!$B$2:$B$1224, Sheet3!$D$2:$D$1224, "")</f>
        <v>havidfauzi@gmail.com</v>
      </c>
      <c r="G1337" s="1" t="str" cm="1">
        <f t="array" ref="G1337">_xlfn.XLOOKUP(D1337&amp;C1337, Sheet2!$A$2:$A$558&amp;Sheet2!$B$2:$B$558, Sheet2!$C$2:$C$558, "")</f>
        <v>havidfauzi@gmail.com</v>
      </c>
      <c r="H1337" s="40" t="str">
        <f t="shared" si="20"/>
        <v>havidfauzi@gmail.com</v>
      </c>
    </row>
    <row r="1338" spans="1:8" ht="15.5" x14ac:dyDescent="0.35">
      <c r="A1338" s="7">
        <v>1337</v>
      </c>
      <c r="B1338" s="12">
        <v>23107</v>
      </c>
      <c r="C1338" s="11" t="s">
        <v>1331</v>
      </c>
      <c r="D1338" s="9" t="s">
        <v>1077</v>
      </c>
      <c r="E1338" s="10">
        <v>2003</v>
      </c>
      <c r="F1338" s="36" t="str" cm="1">
        <f t="array" ref="F1338">_xlfn.XLOOKUP(D1338&amp;C1338, Sheet3!$C$2:$C$1224&amp;Sheet3!$B$2:$B$1224, Sheet3!$D$2:$D$1224, "")</f>
        <v/>
      </c>
      <c r="G1338" s="1" t="str" cm="1">
        <f t="array" ref="G1338">_xlfn.XLOOKUP(D1338&amp;C1338, Sheet2!$A$2:$A$558&amp;Sheet2!$B$2:$B$558, Sheet2!$C$2:$C$558, "")</f>
        <v/>
      </c>
      <c r="H1338" s="40" t="str">
        <f t="shared" si="20"/>
        <v/>
      </c>
    </row>
    <row r="1339" spans="1:8" ht="15.5" x14ac:dyDescent="0.35">
      <c r="A1339" s="7">
        <v>1338</v>
      </c>
      <c r="B1339" s="12">
        <v>23184</v>
      </c>
      <c r="C1339" s="11" t="s">
        <v>1332</v>
      </c>
      <c r="D1339" s="9" t="s">
        <v>1077</v>
      </c>
      <c r="E1339" s="10">
        <v>2003</v>
      </c>
      <c r="F1339" s="36" t="str" cm="1">
        <f t="array" ref="F1339">_xlfn.XLOOKUP(D1339&amp;C1339, Sheet3!$C$2:$C$1224&amp;Sheet3!$B$2:$B$1224, Sheet3!$D$2:$D$1224, "")</f>
        <v/>
      </c>
      <c r="G1339" s="1" t="str" cm="1">
        <f t="array" ref="G1339">_xlfn.XLOOKUP(D1339&amp;C1339, Sheet2!$A$2:$A$558&amp;Sheet2!$B$2:$B$558, Sheet2!$C$2:$C$558, "")</f>
        <v/>
      </c>
      <c r="H1339" s="40" t="str">
        <f t="shared" si="20"/>
        <v/>
      </c>
    </row>
    <row r="1340" spans="1:8" ht="15.5" x14ac:dyDescent="0.35">
      <c r="A1340" s="7">
        <v>1339</v>
      </c>
      <c r="B1340" s="12">
        <v>23202</v>
      </c>
      <c r="C1340" s="11" t="s">
        <v>1333</v>
      </c>
      <c r="D1340" s="9" t="s">
        <v>1077</v>
      </c>
      <c r="E1340" s="10">
        <v>2003</v>
      </c>
      <c r="F1340" s="36" t="str" cm="1">
        <f t="array" ref="F1340">_xlfn.XLOOKUP(D1340&amp;C1340, Sheet3!$C$2:$C$1224&amp;Sheet3!$B$2:$B$1224, Sheet3!$D$2:$D$1224, "")</f>
        <v>julysmine@gmail.com</v>
      </c>
      <c r="G1340" s="1" t="str" cm="1">
        <f t="array" ref="G1340">_xlfn.XLOOKUP(D1340&amp;C1340, Sheet2!$A$2:$A$558&amp;Sheet2!$B$2:$B$558, Sheet2!$C$2:$C$558, "")</f>
        <v>julysmine@gmail.com</v>
      </c>
      <c r="H1340" s="40" t="str">
        <f t="shared" si="20"/>
        <v>julysmine@gmail.com</v>
      </c>
    </row>
    <row r="1341" spans="1:8" ht="15.5" x14ac:dyDescent="0.35">
      <c r="A1341" s="7">
        <v>1340</v>
      </c>
      <c r="B1341" s="12">
        <v>23206</v>
      </c>
      <c r="C1341" s="11" t="s">
        <v>1334</v>
      </c>
      <c r="D1341" s="9" t="s">
        <v>1077</v>
      </c>
      <c r="E1341" s="10">
        <v>2003</v>
      </c>
      <c r="F1341" s="36" t="str" cm="1">
        <f t="array" ref="F1341">_xlfn.XLOOKUP(D1341&amp;C1341, Sheet3!$C$2:$C$1224&amp;Sheet3!$B$2:$B$1224, Sheet3!$D$2:$D$1224, "")</f>
        <v/>
      </c>
      <c r="G1341" s="1" t="str" cm="1">
        <f t="array" ref="G1341">_xlfn.XLOOKUP(D1341&amp;C1341, Sheet2!$A$2:$A$558&amp;Sheet2!$B$2:$B$558, Sheet2!$C$2:$C$558, "")</f>
        <v/>
      </c>
      <c r="H1341" s="40" t="str">
        <f t="shared" si="20"/>
        <v/>
      </c>
    </row>
    <row r="1342" spans="1:8" ht="15.5" x14ac:dyDescent="0.35">
      <c r="A1342" s="7">
        <v>1341</v>
      </c>
      <c r="B1342" s="12">
        <v>23275</v>
      </c>
      <c r="C1342" s="11" t="s">
        <v>1335</v>
      </c>
      <c r="D1342" s="9" t="s">
        <v>1077</v>
      </c>
      <c r="E1342" s="10">
        <v>2003</v>
      </c>
      <c r="F1342" s="36" t="str" cm="1">
        <f t="array" ref="F1342">_xlfn.XLOOKUP(D1342&amp;C1342, Sheet3!$C$2:$C$1224&amp;Sheet3!$B$2:$B$1224, Sheet3!$D$2:$D$1224, "")</f>
        <v>hengkymamanua@gmail.com</v>
      </c>
      <c r="G1342" s="1" t="str" cm="1">
        <f t="array" ref="G1342">_xlfn.XLOOKUP(D1342&amp;C1342, Sheet2!$A$2:$A$558&amp;Sheet2!$B$2:$B$558, Sheet2!$C$2:$C$558, "")</f>
        <v>hengkymamanua@gmail.com</v>
      </c>
      <c r="H1342" s="40" t="str">
        <f t="shared" si="20"/>
        <v>hengkymamanua@gmail.com</v>
      </c>
    </row>
    <row r="1343" spans="1:8" ht="15.5" x14ac:dyDescent="0.35">
      <c r="A1343" s="7">
        <v>1342</v>
      </c>
      <c r="B1343" s="12">
        <v>23284</v>
      </c>
      <c r="C1343" s="11" t="s">
        <v>1336</v>
      </c>
      <c r="D1343" s="9" t="s">
        <v>1077</v>
      </c>
      <c r="E1343" s="10">
        <v>2003</v>
      </c>
      <c r="F1343" s="36" t="str" cm="1">
        <f t="array" ref="F1343">_xlfn.XLOOKUP(D1343&amp;C1343, Sheet3!$C$2:$C$1224&amp;Sheet3!$B$2:$B$1224, Sheet3!$D$2:$D$1224, "")</f>
        <v/>
      </c>
      <c r="G1343" s="1" t="str" cm="1">
        <f t="array" ref="G1343">_xlfn.XLOOKUP(D1343&amp;C1343, Sheet2!$A$2:$A$558&amp;Sheet2!$B$2:$B$558, Sheet2!$C$2:$C$558, "")</f>
        <v/>
      </c>
      <c r="H1343" s="40" t="str">
        <f t="shared" si="20"/>
        <v/>
      </c>
    </row>
    <row r="1344" spans="1:8" ht="15.5" x14ac:dyDescent="0.35">
      <c r="A1344" s="7">
        <v>1343</v>
      </c>
      <c r="B1344" s="12">
        <v>23315</v>
      </c>
      <c r="C1344" s="11" t="s">
        <v>1337</v>
      </c>
      <c r="D1344" s="9" t="s">
        <v>1077</v>
      </c>
      <c r="E1344" s="10">
        <v>2003</v>
      </c>
      <c r="F1344" s="36" t="str" cm="1">
        <f t="array" ref="F1344">_xlfn.XLOOKUP(D1344&amp;C1344, Sheet3!$C$2:$C$1224&amp;Sheet3!$B$2:$B$1224, Sheet3!$D$2:$D$1224, "")</f>
        <v>ari.rubiasih@gmail.com</v>
      </c>
      <c r="G1344" s="1" t="str" cm="1">
        <f t="array" ref="G1344">_xlfn.XLOOKUP(D1344&amp;C1344, Sheet2!$A$2:$A$558&amp;Sheet2!$B$2:$B$558, Sheet2!$C$2:$C$558, "")</f>
        <v>ari.rubiasih@gmail.com</v>
      </c>
      <c r="H1344" s="40" t="str">
        <f t="shared" si="20"/>
        <v>ari.rubiasih@gmail.com</v>
      </c>
    </row>
    <row r="1345" spans="1:8" ht="15.5" x14ac:dyDescent="0.35">
      <c r="A1345" s="7">
        <v>1344</v>
      </c>
      <c r="B1345" s="12">
        <v>23326</v>
      </c>
      <c r="C1345" s="11" t="s">
        <v>1338</v>
      </c>
      <c r="D1345" s="9" t="s">
        <v>1077</v>
      </c>
      <c r="E1345" s="10">
        <v>2003</v>
      </c>
      <c r="F1345" s="36" t="str" cm="1">
        <f t="array" ref="F1345">_xlfn.XLOOKUP(D1345&amp;C1345, Sheet3!$C$2:$C$1224&amp;Sheet3!$B$2:$B$1224, Sheet3!$D$2:$D$1224, "")</f>
        <v/>
      </c>
      <c r="G1345" s="1" t="str" cm="1">
        <f t="array" ref="G1345">_xlfn.XLOOKUP(D1345&amp;C1345, Sheet2!$A$2:$A$558&amp;Sheet2!$B$2:$B$558, Sheet2!$C$2:$C$558, "")</f>
        <v>harvini@stpn.ac.id</v>
      </c>
      <c r="H1345" s="40" t="str">
        <f t="shared" si="20"/>
        <v>harvini@stpn.ac.id</v>
      </c>
    </row>
    <row r="1346" spans="1:8" ht="15.5" x14ac:dyDescent="0.35">
      <c r="A1346" s="7">
        <v>1345</v>
      </c>
      <c r="B1346" s="12">
        <v>23396</v>
      </c>
      <c r="C1346" s="11" t="s">
        <v>1339</v>
      </c>
      <c r="D1346" s="9" t="s">
        <v>1077</v>
      </c>
      <c r="E1346" s="10">
        <v>2003</v>
      </c>
      <c r="F1346" s="36" t="str" cm="1">
        <f t="array" ref="F1346">_xlfn.XLOOKUP(D1346&amp;C1346, Sheet3!$C$2:$C$1224&amp;Sheet3!$B$2:$B$1224, Sheet3!$D$2:$D$1224, "")</f>
        <v/>
      </c>
      <c r="G1346" s="1" t="str" cm="1">
        <f t="array" ref="G1346">_xlfn.XLOOKUP(D1346&amp;C1346, Sheet2!$A$2:$A$558&amp;Sheet2!$B$2:$B$558, Sheet2!$C$2:$C$558, "")</f>
        <v>agus98prasetyanto@gmail.com</v>
      </c>
      <c r="H1346" s="40" t="str">
        <f t="shared" si="20"/>
        <v>agus98prasetyanto@gmail.com</v>
      </c>
    </row>
    <row r="1347" spans="1:8" ht="15.5" x14ac:dyDescent="0.35">
      <c r="A1347" s="7">
        <v>1346</v>
      </c>
      <c r="B1347" s="12">
        <v>23425</v>
      </c>
      <c r="C1347" s="11" t="s">
        <v>1340</v>
      </c>
      <c r="D1347" s="9" t="s">
        <v>1077</v>
      </c>
      <c r="E1347" s="10">
        <v>2003</v>
      </c>
      <c r="F1347" s="36" t="str" cm="1">
        <f t="array" ref="F1347">_xlfn.XLOOKUP(D1347&amp;C1347, Sheet3!$C$2:$C$1224&amp;Sheet3!$B$2:$B$1224, Sheet3!$D$2:$D$1224, "")</f>
        <v>turnip.adysihol@gmail.com</v>
      </c>
      <c r="G1347" s="1" t="str" cm="1">
        <f t="array" ref="G1347">_xlfn.XLOOKUP(D1347&amp;C1347, Sheet2!$A$2:$A$558&amp;Sheet2!$B$2:$B$558, Sheet2!$C$2:$C$558, "")</f>
        <v>turnip.adysihol@gmail.com</v>
      </c>
      <c r="H1347" s="40" t="str">
        <f t="shared" ref="H1347:H1410" si="21">IF(F1347&lt;&gt;"",F1347,G1347)</f>
        <v>turnip.adysihol@gmail.com</v>
      </c>
    </row>
    <row r="1348" spans="1:8" ht="15.5" x14ac:dyDescent="0.35">
      <c r="A1348" s="7">
        <v>1347</v>
      </c>
      <c r="B1348" s="12">
        <v>24441</v>
      </c>
      <c r="C1348" s="11" t="s">
        <v>1341</v>
      </c>
      <c r="D1348" s="9" t="s">
        <v>1078</v>
      </c>
      <c r="E1348" s="10">
        <v>2003</v>
      </c>
      <c r="F1348" s="36" t="str" cm="1">
        <f t="array" ref="F1348">_xlfn.XLOOKUP(D1348&amp;C1348, Sheet3!$C$2:$C$1224&amp;Sheet3!$B$2:$B$1224, Sheet3!$D$2:$D$1224, "")</f>
        <v>kristiawan.nugroho@gmail.com</v>
      </c>
      <c r="G1348" s="1" t="str" cm="1">
        <f t="array" ref="G1348">_xlfn.XLOOKUP(D1348&amp;C1348, Sheet2!$A$2:$A$558&amp;Sheet2!$B$2:$B$558, Sheet2!$C$2:$C$558, "")</f>
        <v/>
      </c>
      <c r="H1348" s="40" t="str">
        <f t="shared" si="21"/>
        <v>kristiawan.nugroho@gmail.com</v>
      </c>
    </row>
    <row r="1349" spans="1:8" ht="15.5" x14ac:dyDescent="0.35">
      <c r="A1349" s="7">
        <v>1348</v>
      </c>
      <c r="B1349" s="12">
        <v>19698</v>
      </c>
      <c r="C1349" s="11" t="s">
        <v>1342</v>
      </c>
      <c r="D1349" s="9" t="s">
        <v>1074</v>
      </c>
      <c r="E1349" s="10">
        <v>2003</v>
      </c>
      <c r="F1349" s="36" t="str" cm="1">
        <f t="array" ref="F1349">_xlfn.XLOOKUP(D1349&amp;C1349, Sheet3!$C$2:$C$1224&amp;Sheet3!$B$2:$B$1224, Sheet3!$D$2:$D$1224, "")</f>
        <v>bayucatatan@gmail.com</v>
      </c>
      <c r="G1349" s="1" t="str" cm="1">
        <f t="array" ref="G1349">_xlfn.XLOOKUP(D1349&amp;C1349, Sheet2!$A$2:$A$558&amp;Sheet2!$B$2:$B$558, Sheet2!$C$2:$C$558, "")</f>
        <v/>
      </c>
      <c r="H1349" s="40" t="str">
        <f t="shared" si="21"/>
        <v>bayucatatan@gmail.com</v>
      </c>
    </row>
    <row r="1350" spans="1:8" ht="15.5" x14ac:dyDescent="0.35">
      <c r="A1350" s="7">
        <v>1349</v>
      </c>
      <c r="B1350" s="12">
        <v>21606</v>
      </c>
      <c r="C1350" s="11" t="s">
        <v>1343</v>
      </c>
      <c r="D1350" s="9" t="s">
        <v>1076</v>
      </c>
      <c r="E1350" s="10">
        <v>2003</v>
      </c>
      <c r="F1350" s="36" t="str" cm="1">
        <f t="array" ref="F1350">_xlfn.XLOOKUP(D1350&amp;C1350, Sheet3!$C$2:$C$1224&amp;Sheet3!$B$2:$B$1224, Sheet3!$D$2:$D$1224, "")</f>
        <v>adyprasetyawan79@gmail.com</v>
      </c>
      <c r="G1350" s="1" t="str" cm="1">
        <f t="array" ref="G1350">_xlfn.XLOOKUP(D1350&amp;C1350, Sheet2!$A$2:$A$558&amp;Sheet2!$B$2:$B$558, Sheet2!$C$2:$C$558, "")</f>
        <v/>
      </c>
      <c r="H1350" s="40" t="str">
        <f t="shared" si="21"/>
        <v>adyprasetyawan79@gmail.com</v>
      </c>
    </row>
    <row r="1351" spans="1:8" ht="15.5" x14ac:dyDescent="0.35">
      <c r="A1351" s="7">
        <v>1350</v>
      </c>
      <c r="B1351" s="12">
        <v>22570</v>
      </c>
      <c r="C1351" s="11" t="s">
        <v>1344</v>
      </c>
      <c r="D1351" s="9" t="s">
        <v>1077</v>
      </c>
      <c r="E1351" s="10">
        <v>2003</v>
      </c>
      <c r="F1351" s="36" t="str" cm="1">
        <f t="array" ref="F1351">_xlfn.XLOOKUP(D1351&amp;C1351, Sheet3!$C$2:$C$1224&amp;Sheet3!$B$2:$B$1224, Sheet3!$D$2:$D$1224, "")</f>
        <v/>
      </c>
      <c r="G1351" s="1" t="str" cm="1">
        <f t="array" ref="G1351">_xlfn.XLOOKUP(D1351&amp;C1351, Sheet2!$A$2:$A$558&amp;Sheet2!$B$2:$B$558, Sheet2!$C$2:$C$558, "")</f>
        <v/>
      </c>
      <c r="H1351" s="40" t="str">
        <f t="shared" si="21"/>
        <v/>
      </c>
    </row>
    <row r="1352" spans="1:8" ht="15.5" x14ac:dyDescent="0.35">
      <c r="A1352" s="7">
        <v>1351</v>
      </c>
      <c r="B1352" s="12">
        <v>20769</v>
      </c>
      <c r="C1352" s="11" t="s">
        <v>1345</v>
      </c>
      <c r="D1352" s="9" t="s">
        <v>1075</v>
      </c>
      <c r="E1352" s="10">
        <v>2003</v>
      </c>
      <c r="F1352" s="36" t="str" cm="1">
        <f t="array" ref="F1352">_xlfn.XLOOKUP(D1352&amp;C1352, Sheet3!$C$2:$C$1224&amp;Sheet3!$B$2:$B$1224, Sheet3!$D$2:$D$1224, "")</f>
        <v>ariaylwn@gmail.com</v>
      </c>
      <c r="G1352" s="1" t="str" cm="1">
        <f t="array" ref="G1352">_xlfn.XLOOKUP(D1352&amp;C1352, Sheet2!$A$2:$A$558&amp;Sheet2!$B$2:$B$558, Sheet2!$C$2:$C$558, "")</f>
        <v/>
      </c>
      <c r="H1352" s="40" t="str">
        <f t="shared" si="21"/>
        <v>ariaylwn@gmail.com</v>
      </c>
    </row>
    <row r="1353" spans="1:8" ht="15.5" x14ac:dyDescent="0.35">
      <c r="A1353" s="7">
        <v>1352</v>
      </c>
      <c r="B1353" s="12">
        <v>22834</v>
      </c>
      <c r="C1353" s="11" t="s">
        <v>1346</v>
      </c>
      <c r="D1353" s="9" t="s">
        <v>1077</v>
      </c>
      <c r="E1353" s="10">
        <v>2003</v>
      </c>
      <c r="F1353" s="36" t="str" cm="1">
        <f t="array" ref="F1353">_xlfn.XLOOKUP(D1353&amp;C1353, Sheet3!$C$2:$C$1224&amp;Sheet3!$B$2:$B$1224, Sheet3!$D$2:$D$1224, "")</f>
        <v>mustbenk22@gmail.com</v>
      </c>
      <c r="G1353" s="1" t="str" cm="1">
        <f t="array" ref="G1353">_xlfn.XLOOKUP(D1353&amp;C1353, Sheet2!$A$2:$A$558&amp;Sheet2!$B$2:$B$558, Sheet2!$C$2:$C$558, "")</f>
        <v/>
      </c>
      <c r="H1353" s="40" t="str">
        <f t="shared" si="21"/>
        <v>mustbenk22@gmail.com</v>
      </c>
    </row>
    <row r="1354" spans="1:8" ht="15.5" x14ac:dyDescent="0.35">
      <c r="A1354" s="7">
        <v>1353</v>
      </c>
      <c r="B1354" s="12">
        <v>23098</v>
      </c>
      <c r="C1354" s="11" t="s">
        <v>1347</v>
      </c>
      <c r="D1354" s="9" t="s">
        <v>1077</v>
      </c>
      <c r="E1354" s="10">
        <v>2003</v>
      </c>
      <c r="F1354" s="36" t="str" cm="1">
        <f t="array" ref="F1354">_xlfn.XLOOKUP(D1354&amp;C1354, Sheet3!$C$2:$C$1224&amp;Sheet3!$B$2:$B$1224, Sheet3!$D$2:$D$1224, "")</f>
        <v/>
      </c>
      <c r="G1354" s="1" t="str" cm="1">
        <f t="array" ref="G1354">_xlfn.XLOOKUP(D1354&amp;C1354, Sheet2!$A$2:$A$558&amp;Sheet2!$B$2:$B$558, Sheet2!$C$2:$C$558, "")</f>
        <v/>
      </c>
      <c r="H1354" s="40" t="str">
        <f t="shared" si="21"/>
        <v/>
      </c>
    </row>
    <row r="1355" spans="1:8" ht="15.5" x14ac:dyDescent="0.35">
      <c r="A1355" s="7">
        <v>1354</v>
      </c>
      <c r="B1355" s="12">
        <v>23163</v>
      </c>
      <c r="C1355" s="11" t="s">
        <v>1348</v>
      </c>
      <c r="D1355" s="9" t="s">
        <v>1077</v>
      </c>
      <c r="E1355" s="10">
        <v>2003</v>
      </c>
      <c r="F1355" s="36" t="str" cm="1">
        <f t="array" ref="F1355">_xlfn.XLOOKUP(D1355&amp;C1355, Sheet3!$C$2:$C$1224&amp;Sheet3!$B$2:$B$1224, Sheet3!$D$2:$D$1224, "")</f>
        <v/>
      </c>
      <c r="G1355" s="1" t="str" cm="1">
        <f t="array" ref="G1355">_xlfn.XLOOKUP(D1355&amp;C1355, Sheet2!$A$2:$A$558&amp;Sheet2!$B$2:$B$558, Sheet2!$C$2:$C$558, "")</f>
        <v/>
      </c>
      <c r="H1355" s="40" t="str">
        <f t="shared" si="21"/>
        <v/>
      </c>
    </row>
    <row r="1356" spans="1:8" ht="15.5" x14ac:dyDescent="0.35">
      <c r="A1356" s="7">
        <v>1355</v>
      </c>
      <c r="B1356" s="12">
        <v>23183</v>
      </c>
      <c r="C1356" s="11" t="s">
        <v>1349</v>
      </c>
      <c r="D1356" s="9" t="s">
        <v>1077</v>
      </c>
      <c r="E1356" s="10">
        <v>2003</v>
      </c>
      <c r="F1356" s="36" t="str" cm="1">
        <f t="array" ref="F1356">_xlfn.XLOOKUP(D1356&amp;C1356, Sheet3!$C$2:$C$1224&amp;Sheet3!$B$2:$B$1224, Sheet3!$D$2:$D$1224, "")</f>
        <v>Iwan_stwn@yahoo.com</v>
      </c>
      <c r="G1356" s="1" t="str" cm="1">
        <f t="array" ref="G1356">_xlfn.XLOOKUP(D1356&amp;C1356, Sheet2!$A$2:$A$558&amp;Sheet2!$B$2:$B$558, Sheet2!$C$2:$C$558, "")</f>
        <v>iwan_stwn@yahoo.com</v>
      </c>
      <c r="H1356" s="40" t="str">
        <f t="shared" si="21"/>
        <v>Iwan_stwn@yahoo.com</v>
      </c>
    </row>
    <row r="1357" spans="1:8" ht="15.5" x14ac:dyDescent="0.35">
      <c r="A1357" s="7">
        <v>1356</v>
      </c>
      <c r="B1357" s="12">
        <v>23248</v>
      </c>
      <c r="C1357" s="11" t="s">
        <v>1350</v>
      </c>
      <c r="D1357" s="9" t="s">
        <v>1077</v>
      </c>
      <c r="E1357" s="10">
        <v>2003</v>
      </c>
      <c r="F1357" s="36" t="str" cm="1">
        <f t="array" ref="F1357">_xlfn.XLOOKUP(D1357&amp;C1357, Sheet3!$C$2:$C$1224&amp;Sheet3!$B$2:$B$1224, Sheet3!$D$2:$D$1224, "")</f>
        <v/>
      </c>
      <c r="G1357" s="1" t="str" cm="1">
        <f t="array" ref="G1357">_xlfn.XLOOKUP(D1357&amp;C1357, Sheet2!$A$2:$A$558&amp;Sheet2!$B$2:$B$558, Sheet2!$C$2:$C$558, "")</f>
        <v>skangmat@gmail.com</v>
      </c>
      <c r="H1357" s="40" t="str">
        <f t="shared" si="21"/>
        <v>skangmat@gmail.com</v>
      </c>
    </row>
    <row r="1358" spans="1:8" ht="15.5" x14ac:dyDescent="0.35">
      <c r="A1358" s="7">
        <v>1357</v>
      </c>
      <c r="B1358" s="12">
        <v>23334</v>
      </c>
      <c r="C1358" s="11" t="s">
        <v>1351</v>
      </c>
      <c r="D1358" s="9" t="s">
        <v>1077</v>
      </c>
      <c r="E1358" s="10">
        <v>2003</v>
      </c>
      <c r="F1358" s="36" t="str" cm="1">
        <f t="array" ref="F1358">_xlfn.XLOOKUP(D1358&amp;C1358, Sheet3!$C$2:$C$1224&amp;Sheet3!$B$2:$B$1224, Sheet3!$D$2:$D$1224, "")</f>
        <v/>
      </c>
      <c r="G1358" s="1" t="str" cm="1">
        <f t="array" ref="G1358">_xlfn.XLOOKUP(D1358&amp;C1358, Sheet2!$A$2:$A$558&amp;Sheet2!$B$2:$B$558, Sheet2!$C$2:$C$558, "")</f>
        <v/>
      </c>
      <c r="H1358" s="40" t="str">
        <f t="shared" si="21"/>
        <v/>
      </c>
    </row>
    <row r="1359" spans="1:8" ht="15.5" x14ac:dyDescent="0.35">
      <c r="A1359" s="7">
        <v>1358</v>
      </c>
      <c r="B1359" s="12">
        <v>23696</v>
      </c>
      <c r="C1359" s="11" t="s">
        <v>1352</v>
      </c>
      <c r="D1359" s="9" t="s">
        <v>1078</v>
      </c>
      <c r="E1359" s="10">
        <v>2003</v>
      </c>
      <c r="F1359" s="36" t="str" cm="1">
        <f t="array" ref="F1359">_xlfn.XLOOKUP(D1359&amp;C1359, Sheet3!$C$2:$C$1224&amp;Sheet3!$B$2:$B$1224, Sheet3!$D$2:$D$1224, "")</f>
        <v>Rahmayantykurniawan@gmail.com</v>
      </c>
      <c r="G1359" s="1" t="str" cm="1">
        <f t="array" ref="G1359">_xlfn.XLOOKUP(D1359&amp;C1359, Sheet2!$A$2:$A$558&amp;Sheet2!$B$2:$B$558, Sheet2!$C$2:$C$558, "")</f>
        <v/>
      </c>
      <c r="H1359" s="40" t="str">
        <f t="shared" si="21"/>
        <v>Rahmayantykurniawan@gmail.com</v>
      </c>
    </row>
    <row r="1360" spans="1:8" ht="15.5" x14ac:dyDescent="0.35">
      <c r="A1360" s="7">
        <v>1359</v>
      </c>
      <c r="B1360" s="12">
        <v>23791</v>
      </c>
      <c r="C1360" s="11" t="s">
        <v>1353</v>
      </c>
      <c r="D1360" s="9" t="s">
        <v>1078</v>
      </c>
      <c r="E1360" s="10">
        <v>2003</v>
      </c>
      <c r="F1360" s="36" t="str" cm="1">
        <f t="array" ref="F1360">_xlfn.XLOOKUP(D1360&amp;C1360, Sheet3!$C$2:$C$1224&amp;Sheet3!$B$2:$B$1224, Sheet3!$D$2:$D$1224, "")</f>
        <v/>
      </c>
      <c r="G1360" s="1" t="str" cm="1">
        <f t="array" ref="G1360">_xlfn.XLOOKUP(D1360&amp;C1360, Sheet2!$A$2:$A$558&amp;Sheet2!$B$2:$B$558, Sheet2!$C$2:$C$558, "")</f>
        <v/>
      </c>
      <c r="H1360" s="40" t="str">
        <f t="shared" si="21"/>
        <v/>
      </c>
    </row>
    <row r="1361" spans="1:8" ht="15.5" x14ac:dyDescent="0.35">
      <c r="A1361" s="7">
        <v>1360</v>
      </c>
      <c r="B1361" s="12">
        <v>23823</v>
      </c>
      <c r="C1361" s="11" t="s">
        <v>1354</v>
      </c>
      <c r="D1361" s="9" t="s">
        <v>1078</v>
      </c>
      <c r="E1361" s="10">
        <v>2003</v>
      </c>
      <c r="F1361" s="36" t="str" cm="1">
        <f t="array" ref="F1361">_xlfn.XLOOKUP(D1361&amp;C1361, Sheet3!$C$2:$C$1224&amp;Sheet3!$B$2:$B$1224, Sheet3!$D$2:$D$1224, "")</f>
        <v>rachmanita1926@gmail.com</v>
      </c>
      <c r="G1361" s="1" t="str" cm="1">
        <f t="array" ref="G1361">_xlfn.XLOOKUP(D1361&amp;C1361, Sheet2!$A$2:$A$558&amp;Sheet2!$B$2:$B$558, Sheet2!$C$2:$C$558, "")</f>
        <v/>
      </c>
      <c r="H1361" s="40" t="str">
        <f t="shared" si="21"/>
        <v>rachmanita1926@gmail.com</v>
      </c>
    </row>
    <row r="1362" spans="1:8" ht="15.5" x14ac:dyDescent="0.35">
      <c r="A1362" s="7">
        <v>1361</v>
      </c>
      <c r="B1362" s="12">
        <v>23844</v>
      </c>
      <c r="C1362" s="11" t="s">
        <v>1355</v>
      </c>
      <c r="D1362" s="9" t="s">
        <v>1078</v>
      </c>
      <c r="E1362" s="10">
        <v>2003</v>
      </c>
      <c r="F1362" s="36" t="str" cm="1">
        <f t="array" ref="F1362">_xlfn.XLOOKUP(D1362&amp;C1362, Sheet3!$C$2:$C$1224&amp;Sheet3!$B$2:$B$1224, Sheet3!$D$2:$D$1224, "")</f>
        <v/>
      </c>
      <c r="G1362" s="1" t="str" cm="1">
        <f t="array" ref="G1362">_xlfn.XLOOKUP(D1362&amp;C1362, Sheet2!$A$2:$A$558&amp;Sheet2!$B$2:$B$558, Sheet2!$C$2:$C$558, "")</f>
        <v/>
      </c>
      <c r="H1362" s="40" t="str">
        <f t="shared" si="21"/>
        <v/>
      </c>
    </row>
    <row r="1363" spans="1:8" ht="15.5" x14ac:dyDescent="0.35">
      <c r="A1363" s="7">
        <v>1362</v>
      </c>
      <c r="B1363" s="12">
        <v>24037</v>
      </c>
      <c r="C1363" s="11" t="s">
        <v>1356</v>
      </c>
      <c r="D1363" s="9" t="s">
        <v>1078</v>
      </c>
      <c r="E1363" s="10">
        <v>2003</v>
      </c>
      <c r="F1363" s="36" t="str" cm="1">
        <f t="array" ref="F1363">_xlfn.XLOOKUP(D1363&amp;C1363, Sheet3!$C$2:$C$1224&amp;Sheet3!$B$2:$B$1224, Sheet3!$D$2:$D$1224, "")</f>
        <v/>
      </c>
      <c r="G1363" s="1" t="str" cm="1">
        <f t="array" ref="G1363">_xlfn.XLOOKUP(D1363&amp;C1363, Sheet2!$A$2:$A$558&amp;Sheet2!$B$2:$B$558, Sheet2!$C$2:$C$558, "")</f>
        <v/>
      </c>
      <c r="H1363" s="40" t="str">
        <f t="shared" si="21"/>
        <v/>
      </c>
    </row>
    <row r="1364" spans="1:8" ht="15.5" x14ac:dyDescent="0.35">
      <c r="A1364" s="7">
        <v>1363</v>
      </c>
      <c r="B1364" s="12">
        <v>24075</v>
      </c>
      <c r="C1364" s="11" t="s">
        <v>1357</v>
      </c>
      <c r="D1364" s="9" t="s">
        <v>1078</v>
      </c>
      <c r="E1364" s="10">
        <v>2003</v>
      </c>
      <c r="F1364" s="36" t="str" cm="1">
        <f t="array" ref="F1364">_xlfn.XLOOKUP(D1364&amp;C1364, Sheet3!$C$2:$C$1224&amp;Sheet3!$B$2:$B$1224, Sheet3!$D$2:$D$1224, "")</f>
        <v/>
      </c>
      <c r="G1364" s="1" t="str" cm="1">
        <f t="array" ref="G1364">_xlfn.XLOOKUP(D1364&amp;C1364, Sheet2!$A$2:$A$558&amp;Sheet2!$B$2:$B$558, Sheet2!$C$2:$C$558, "")</f>
        <v/>
      </c>
      <c r="H1364" s="40" t="str">
        <f t="shared" si="21"/>
        <v/>
      </c>
    </row>
    <row r="1365" spans="1:8" ht="15.5" x14ac:dyDescent="0.35">
      <c r="A1365" s="7">
        <v>1364</v>
      </c>
      <c r="B1365" s="12">
        <v>24114</v>
      </c>
      <c r="C1365" s="11" t="s">
        <v>1358</v>
      </c>
      <c r="D1365" s="9" t="s">
        <v>1078</v>
      </c>
      <c r="E1365" s="10">
        <v>2003</v>
      </c>
      <c r="F1365" s="36" t="str" cm="1">
        <f t="array" ref="F1365">_xlfn.XLOOKUP(D1365&amp;C1365, Sheet3!$C$2:$C$1224&amp;Sheet3!$B$2:$B$1224, Sheet3!$D$2:$D$1224, "")</f>
        <v>azarinsha@gmail.com</v>
      </c>
      <c r="G1365" s="1" t="str" cm="1">
        <f t="array" ref="G1365">_xlfn.XLOOKUP(D1365&amp;C1365, Sheet2!$A$2:$A$558&amp;Sheet2!$B$2:$B$558, Sheet2!$C$2:$C$558, "")</f>
        <v/>
      </c>
      <c r="H1365" s="40" t="str">
        <f t="shared" si="21"/>
        <v>azarinsha@gmail.com</v>
      </c>
    </row>
    <row r="1366" spans="1:8" ht="15.5" x14ac:dyDescent="0.35">
      <c r="A1366" s="7">
        <v>1365</v>
      </c>
      <c r="B1366" s="12">
        <v>24144</v>
      </c>
      <c r="C1366" s="11" t="s">
        <v>4759</v>
      </c>
      <c r="D1366" s="9" t="s">
        <v>1078</v>
      </c>
      <c r="E1366" s="10">
        <v>2003</v>
      </c>
      <c r="F1366" s="36" t="str" cm="1">
        <f t="array" ref="F1366">_xlfn.XLOOKUP(D1366&amp;C1366, Sheet3!$C$2:$C$1224&amp;Sheet3!$B$2:$B$1224, Sheet3!$D$2:$D$1224, "")</f>
        <v>dewantojakon@gmail.com</v>
      </c>
      <c r="G1366" s="1" t="str" cm="1">
        <f t="array" ref="G1366">_xlfn.XLOOKUP(D1366&amp;C1366, Sheet2!$A$2:$A$558&amp;Sheet2!$B$2:$B$558, Sheet2!$C$2:$C$558, "")</f>
        <v/>
      </c>
      <c r="H1366" s="40" t="str">
        <f t="shared" si="21"/>
        <v>dewantojakon@gmail.com</v>
      </c>
    </row>
    <row r="1367" spans="1:8" ht="15.5" x14ac:dyDescent="0.35">
      <c r="A1367" s="7">
        <v>1366</v>
      </c>
      <c r="B1367" s="12">
        <v>24214</v>
      </c>
      <c r="C1367" s="11" t="s">
        <v>1359</v>
      </c>
      <c r="D1367" s="9" t="s">
        <v>1078</v>
      </c>
      <c r="E1367" s="10">
        <v>2003</v>
      </c>
      <c r="F1367" s="36" t="str" cm="1">
        <f t="array" ref="F1367">_xlfn.XLOOKUP(D1367&amp;C1367, Sheet3!$C$2:$C$1224&amp;Sheet3!$B$2:$B$1224, Sheet3!$D$2:$D$1224, "")</f>
        <v>ctriwarseno@gmail.com</v>
      </c>
      <c r="G1367" s="1" t="str" cm="1">
        <f t="array" ref="G1367">_xlfn.XLOOKUP(D1367&amp;C1367, Sheet2!$A$2:$A$558&amp;Sheet2!$B$2:$B$558, Sheet2!$C$2:$C$558, "")</f>
        <v>ctriwarseno@gmail.com</v>
      </c>
      <c r="H1367" s="40" t="str">
        <f t="shared" si="21"/>
        <v>ctriwarseno@gmail.com</v>
      </c>
    </row>
    <row r="1368" spans="1:8" ht="15.5" x14ac:dyDescent="0.35">
      <c r="A1368" s="7">
        <v>1367</v>
      </c>
      <c r="B1368" s="12">
        <v>24229</v>
      </c>
      <c r="C1368" s="11" t="s">
        <v>1360</v>
      </c>
      <c r="D1368" s="9" t="s">
        <v>1078</v>
      </c>
      <c r="E1368" s="10">
        <v>2003</v>
      </c>
      <c r="F1368" s="36" t="str" cm="1">
        <f t="array" ref="F1368">_xlfn.XLOOKUP(D1368&amp;C1368, Sheet3!$C$2:$C$1224&amp;Sheet3!$B$2:$B$1224, Sheet3!$D$2:$D$1224, "")</f>
        <v>syamsulpsusu99@gmail.com</v>
      </c>
      <c r="G1368" s="1" t="str" cm="1">
        <f t="array" ref="G1368">_xlfn.XLOOKUP(D1368&amp;C1368, Sheet2!$A$2:$A$558&amp;Sheet2!$B$2:$B$558, Sheet2!$C$2:$C$558, "")</f>
        <v/>
      </c>
      <c r="H1368" s="40" t="str">
        <f t="shared" si="21"/>
        <v>syamsulpsusu99@gmail.com</v>
      </c>
    </row>
    <row r="1369" spans="1:8" ht="15.5" x14ac:dyDescent="0.35">
      <c r="A1369" s="7">
        <v>1368</v>
      </c>
      <c r="B1369" s="12">
        <v>24249</v>
      </c>
      <c r="C1369" s="11" t="s">
        <v>1361</v>
      </c>
      <c r="D1369" s="9" t="s">
        <v>1078</v>
      </c>
      <c r="E1369" s="10">
        <v>2003</v>
      </c>
      <c r="F1369" s="36" t="str" cm="1">
        <f t="array" ref="F1369">_xlfn.XLOOKUP(D1369&amp;C1369, Sheet3!$C$2:$C$1224&amp;Sheet3!$B$2:$B$1224, Sheet3!$D$2:$D$1224, "")</f>
        <v/>
      </c>
      <c r="G1369" s="1" t="str" cm="1">
        <f t="array" ref="G1369">_xlfn.XLOOKUP(D1369&amp;C1369, Sheet2!$A$2:$A$558&amp;Sheet2!$B$2:$B$558, Sheet2!$C$2:$C$558, "")</f>
        <v/>
      </c>
      <c r="H1369" s="40" t="str">
        <f t="shared" si="21"/>
        <v/>
      </c>
    </row>
    <row r="1370" spans="1:8" ht="15.5" x14ac:dyDescent="0.35">
      <c r="A1370" s="7">
        <v>1369</v>
      </c>
      <c r="B1370" s="12">
        <v>24430</v>
      </c>
      <c r="C1370" s="11" t="s">
        <v>1362</v>
      </c>
      <c r="D1370" s="9" t="s">
        <v>1078</v>
      </c>
      <c r="E1370" s="10">
        <v>2003</v>
      </c>
      <c r="F1370" s="36" t="str" cm="1">
        <f t="array" ref="F1370">_xlfn.XLOOKUP(D1370&amp;C1370, Sheet3!$C$2:$C$1224&amp;Sheet3!$B$2:$B$1224, Sheet3!$D$2:$D$1224, "")</f>
        <v/>
      </c>
      <c r="G1370" s="1" t="str" cm="1">
        <f t="array" ref="G1370">_xlfn.XLOOKUP(D1370&amp;C1370, Sheet2!$A$2:$A$558&amp;Sheet2!$B$2:$B$558, Sheet2!$C$2:$C$558, "")</f>
        <v/>
      </c>
      <c r="H1370" s="40" t="str">
        <f t="shared" si="21"/>
        <v/>
      </c>
    </row>
    <row r="1371" spans="1:8" ht="15.5" x14ac:dyDescent="0.35">
      <c r="A1371" s="7">
        <v>1370</v>
      </c>
      <c r="B1371" s="12">
        <v>24460</v>
      </c>
      <c r="C1371" s="11" t="s">
        <v>1363</v>
      </c>
      <c r="D1371" s="9" t="s">
        <v>1078</v>
      </c>
      <c r="E1371" s="10">
        <v>2003</v>
      </c>
      <c r="F1371" s="36" t="str" cm="1">
        <f t="array" ref="F1371">_xlfn.XLOOKUP(D1371&amp;C1371, Sheet3!$C$2:$C$1224&amp;Sheet3!$B$2:$B$1224, Sheet3!$D$2:$D$1224, "")</f>
        <v>laswant@gmail.com</v>
      </c>
      <c r="G1371" s="1" t="str" cm="1">
        <f t="array" ref="G1371">_xlfn.XLOOKUP(D1371&amp;C1371, Sheet2!$A$2:$A$558&amp;Sheet2!$B$2:$B$558, Sheet2!$C$2:$C$558, "")</f>
        <v/>
      </c>
      <c r="H1371" s="40" t="str">
        <f t="shared" si="21"/>
        <v>laswant@gmail.com</v>
      </c>
    </row>
    <row r="1372" spans="1:8" ht="15.5" x14ac:dyDescent="0.35">
      <c r="A1372" s="7">
        <v>1371</v>
      </c>
      <c r="B1372" s="12">
        <v>20724</v>
      </c>
      <c r="C1372" s="11" t="s">
        <v>1364</v>
      </c>
      <c r="D1372" s="9" t="s">
        <v>1075</v>
      </c>
      <c r="E1372" s="10">
        <v>2004</v>
      </c>
      <c r="F1372" s="36" t="str" cm="1">
        <f t="array" ref="F1372">_xlfn.XLOOKUP(D1372&amp;C1372, Sheet3!$C$2:$C$1224&amp;Sheet3!$B$2:$B$1224, Sheet3!$D$2:$D$1224, "")</f>
        <v/>
      </c>
      <c r="G1372" s="1" t="str" cm="1">
        <f t="array" ref="G1372">_xlfn.XLOOKUP(D1372&amp;C1372, Sheet2!$A$2:$A$558&amp;Sheet2!$B$2:$B$558, Sheet2!$C$2:$C$558, "")</f>
        <v/>
      </c>
      <c r="H1372" s="40" t="str">
        <f t="shared" si="21"/>
        <v/>
      </c>
    </row>
    <row r="1373" spans="1:8" ht="15.5" x14ac:dyDescent="0.35">
      <c r="A1373" s="7">
        <v>1372</v>
      </c>
      <c r="B1373" s="12">
        <v>21542</v>
      </c>
      <c r="C1373" s="11" t="s">
        <v>1365</v>
      </c>
      <c r="D1373" s="9" t="s">
        <v>1076</v>
      </c>
      <c r="E1373" s="10">
        <v>2004</v>
      </c>
      <c r="F1373" s="36" t="str" cm="1">
        <f t="array" ref="F1373">_xlfn.XLOOKUP(D1373&amp;C1373, Sheet3!$C$2:$C$1224&amp;Sheet3!$B$2:$B$1224, Sheet3!$D$2:$D$1224, "")</f>
        <v/>
      </c>
      <c r="G1373" s="1" t="str" cm="1">
        <f t="array" ref="G1373">_xlfn.XLOOKUP(D1373&amp;C1373, Sheet2!$A$2:$A$558&amp;Sheet2!$B$2:$B$558, Sheet2!$C$2:$C$558, "")</f>
        <v/>
      </c>
      <c r="H1373" s="40" t="str">
        <f t="shared" si="21"/>
        <v/>
      </c>
    </row>
    <row r="1374" spans="1:8" ht="15.5" x14ac:dyDescent="0.35">
      <c r="A1374" s="7">
        <v>1373</v>
      </c>
      <c r="B1374" s="12">
        <v>22242</v>
      </c>
      <c r="C1374" s="11" t="s">
        <v>1366</v>
      </c>
      <c r="D1374" s="9" t="s">
        <v>1076</v>
      </c>
      <c r="E1374" s="10">
        <v>2004</v>
      </c>
      <c r="F1374" s="36" t="str" cm="1">
        <f t="array" ref="F1374">_xlfn.XLOOKUP(D1374&amp;C1374, Sheet3!$C$2:$C$1224&amp;Sheet3!$B$2:$B$1224, Sheet3!$D$2:$D$1224, "")</f>
        <v>indra.syafriya@gmail.com</v>
      </c>
      <c r="G1374" s="1" t="str" cm="1">
        <f t="array" ref="G1374">_xlfn.XLOOKUP(D1374&amp;C1374, Sheet2!$A$2:$A$558&amp;Sheet2!$B$2:$B$558, Sheet2!$C$2:$C$558, "")</f>
        <v>indra.syafriya@gmail.com</v>
      </c>
      <c r="H1374" s="40" t="str">
        <f t="shared" si="21"/>
        <v>indra.syafriya@gmail.com</v>
      </c>
    </row>
    <row r="1375" spans="1:8" ht="15.5" x14ac:dyDescent="0.35">
      <c r="A1375" s="7">
        <v>1374</v>
      </c>
      <c r="B1375" s="12">
        <v>22376</v>
      </c>
      <c r="C1375" s="11" t="s">
        <v>1367</v>
      </c>
      <c r="D1375" s="9" t="s">
        <v>1077</v>
      </c>
      <c r="E1375" s="10">
        <v>2004</v>
      </c>
      <c r="F1375" s="36" t="str" cm="1">
        <f t="array" ref="F1375">_xlfn.XLOOKUP(D1375&amp;C1375, Sheet3!$C$2:$C$1224&amp;Sheet3!$B$2:$B$1224, Sheet3!$D$2:$D$1224, "")</f>
        <v/>
      </c>
      <c r="G1375" s="1" t="str" cm="1">
        <f t="array" ref="G1375">_xlfn.XLOOKUP(D1375&amp;C1375, Sheet2!$A$2:$A$558&amp;Sheet2!$B$2:$B$558, Sheet2!$C$2:$C$558, "")</f>
        <v/>
      </c>
      <c r="H1375" s="40" t="str">
        <f t="shared" si="21"/>
        <v/>
      </c>
    </row>
    <row r="1376" spans="1:8" ht="15.5" x14ac:dyDescent="0.35">
      <c r="A1376" s="7">
        <v>1375</v>
      </c>
      <c r="B1376" s="12">
        <v>22846</v>
      </c>
      <c r="C1376" s="11" t="s">
        <v>1368</v>
      </c>
      <c r="D1376" s="9" t="s">
        <v>1077</v>
      </c>
      <c r="E1376" s="10">
        <v>2004</v>
      </c>
      <c r="F1376" s="36" t="str" cm="1">
        <f t="array" ref="F1376">_xlfn.XLOOKUP(D1376&amp;C1376, Sheet3!$C$2:$C$1224&amp;Sheet3!$B$2:$B$1224, Sheet3!$D$2:$D$1224, "")</f>
        <v/>
      </c>
      <c r="G1376" s="1" t="str" cm="1">
        <f t="array" ref="G1376">_xlfn.XLOOKUP(D1376&amp;C1376, Sheet2!$A$2:$A$558&amp;Sheet2!$B$2:$B$558, Sheet2!$C$2:$C$558, "")</f>
        <v>yonihardono@gmail.com</v>
      </c>
      <c r="H1376" s="40" t="str">
        <f t="shared" si="21"/>
        <v>yonihardono@gmail.com</v>
      </c>
    </row>
    <row r="1377" spans="1:8" ht="15.5" x14ac:dyDescent="0.35">
      <c r="A1377" s="7">
        <v>1376</v>
      </c>
      <c r="B1377" s="12">
        <v>22926</v>
      </c>
      <c r="C1377" s="11" t="s">
        <v>1369</v>
      </c>
      <c r="D1377" s="9" t="s">
        <v>1077</v>
      </c>
      <c r="E1377" s="10">
        <v>2004</v>
      </c>
      <c r="F1377" s="36" t="str" cm="1">
        <f t="array" ref="F1377">_xlfn.XLOOKUP(D1377&amp;C1377, Sheet3!$C$2:$C$1224&amp;Sheet3!$B$2:$B$1224, Sheet3!$D$2:$D$1224, "")</f>
        <v/>
      </c>
      <c r="G1377" s="1" t="str" cm="1">
        <f t="array" ref="G1377">_xlfn.XLOOKUP(D1377&amp;C1377, Sheet2!$A$2:$A$558&amp;Sheet2!$B$2:$B$558, Sheet2!$C$2:$C$558, "")</f>
        <v/>
      </c>
      <c r="H1377" s="40" t="str">
        <f t="shared" si="21"/>
        <v/>
      </c>
    </row>
    <row r="1378" spans="1:8" ht="15.5" x14ac:dyDescent="0.35">
      <c r="A1378" s="7">
        <v>1377</v>
      </c>
      <c r="B1378" s="12">
        <v>23109</v>
      </c>
      <c r="C1378" s="11" t="s">
        <v>1370</v>
      </c>
      <c r="D1378" s="9" t="s">
        <v>1077</v>
      </c>
      <c r="E1378" s="10">
        <v>2004</v>
      </c>
      <c r="F1378" s="36" t="str" cm="1">
        <f t="array" ref="F1378">_xlfn.XLOOKUP(D1378&amp;C1378, Sheet3!$C$2:$C$1224&amp;Sheet3!$B$2:$B$1224, Sheet3!$D$2:$D$1224, "")</f>
        <v/>
      </c>
      <c r="G1378" s="1" t="str" cm="1">
        <f t="array" ref="G1378">_xlfn.XLOOKUP(D1378&amp;C1378, Sheet2!$A$2:$A$558&amp;Sheet2!$B$2:$B$558, Sheet2!$C$2:$C$558, "")</f>
        <v>darusalam021@gmail.com</v>
      </c>
      <c r="H1378" s="40" t="str">
        <f t="shared" si="21"/>
        <v>darusalam021@gmail.com</v>
      </c>
    </row>
    <row r="1379" spans="1:8" ht="15.5" x14ac:dyDescent="0.35">
      <c r="A1379" s="7">
        <v>1378</v>
      </c>
      <c r="B1379" s="12">
        <v>23126</v>
      </c>
      <c r="C1379" s="11" t="s">
        <v>1371</v>
      </c>
      <c r="D1379" s="9" t="s">
        <v>1077</v>
      </c>
      <c r="E1379" s="10">
        <v>2004</v>
      </c>
      <c r="F1379" s="36" t="str" cm="1">
        <f t="array" ref="F1379">_xlfn.XLOOKUP(D1379&amp;C1379, Sheet3!$C$2:$C$1224&amp;Sheet3!$B$2:$B$1224, Sheet3!$D$2:$D$1224, "")</f>
        <v/>
      </c>
      <c r="G1379" s="1" t="str" cm="1">
        <f t="array" ref="G1379">_xlfn.XLOOKUP(D1379&amp;C1379, Sheet2!$A$2:$A$558&amp;Sheet2!$B$2:$B$558, Sheet2!$C$2:$C$558, "")</f>
        <v/>
      </c>
      <c r="H1379" s="40" t="str">
        <f t="shared" si="21"/>
        <v/>
      </c>
    </row>
    <row r="1380" spans="1:8" ht="15.5" x14ac:dyDescent="0.35">
      <c r="A1380" s="7">
        <v>1379</v>
      </c>
      <c r="B1380" s="12">
        <v>23162</v>
      </c>
      <c r="C1380" s="11" t="s">
        <v>1372</v>
      </c>
      <c r="D1380" s="9" t="s">
        <v>1077</v>
      </c>
      <c r="E1380" s="10">
        <v>2004</v>
      </c>
      <c r="F1380" s="36" t="str" cm="1">
        <f t="array" ref="F1380">_xlfn.XLOOKUP(D1380&amp;C1380, Sheet3!$C$2:$C$1224&amp;Sheet3!$B$2:$B$1224, Sheet3!$D$2:$D$1224, "")</f>
        <v>aswaskito@gmail.com</v>
      </c>
      <c r="G1380" s="1" t="str" cm="1">
        <f t="array" ref="G1380">_xlfn.XLOOKUP(D1380&amp;C1380, Sheet2!$A$2:$A$558&amp;Sheet2!$B$2:$B$558, Sheet2!$C$2:$C$558, "")</f>
        <v>aswaskito@gmail.com</v>
      </c>
      <c r="H1380" s="40" t="str">
        <f t="shared" si="21"/>
        <v>aswaskito@gmail.com</v>
      </c>
    </row>
    <row r="1381" spans="1:8" ht="15.5" x14ac:dyDescent="0.35">
      <c r="A1381" s="7">
        <v>1380</v>
      </c>
      <c r="B1381" s="12">
        <v>23201</v>
      </c>
      <c r="C1381" s="11" t="s">
        <v>1373</v>
      </c>
      <c r="D1381" s="9" t="s">
        <v>1077</v>
      </c>
      <c r="E1381" s="10">
        <v>2004</v>
      </c>
      <c r="F1381" s="36" t="str" cm="1">
        <f t="array" ref="F1381">_xlfn.XLOOKUP(D1381&amp;C1381, Sheet3!$C$2:$C$1224&amp;Sheet3!$B$2:$B$1224, Sheet3!$D$2:$D$1224, "")</f>
        <v/>
      </c>
      <c r="G1381" s="1" t="str" cm="1">
        <f t="array" ref="G1381">_xlfn.XLOOKUP(D1381&amp;C1381, Sheet2!$A$2:$A$558&amp;Sheet2!$B$2:$B$558, Sheet2!$C$2:$C$558, "")</f>
        <v>budi.parjanto@gmail.com</v>
      </c>
      <c r="H1381" s="40" t="str">
        <f t="shared" si="21"/>
        <v>budi.parjanto@gmail.com</v>
      </c>
    </row>
    <row r="1382" spans="1:8" ht="15.5" x14ac:dyDescent="0.35">
      <c r="A1382" s="7">
        <v>1381</v>
      </c>
      <c r="B1382" s="12">
        <v>23240</v>
      </c>
      <c r="C1382" s="11" t="s">
        <v>1374</v>
      </c>
      <c r="D1382" s="9" t="s">
        <v>1077</v>
      </c>
      <c r="E1382" s="10">
        <v>2004</v>
      </c>
      <c r="F1382" s="36" t="str" cm="1">
        <f t="array" ref="F1382">_xlfn.XLOOKUP(D1382&amp;C1382, Sheet3!$C$2:$C$1224&amp;Sheet3!$B$2:$B$1224, Sheet3!$D$2:$D$1224, "")</f>
        <v>ridwan.net@gmail.com</v>
      </c>
      <c r="G1382" s="1" t="str" cm="1">
        <f t="array" ref="G1382">_xlfn.XLOOKUP(D1382&amp;C1382, Sheet2!$A$2:$A$558&amp;Sheet2!$B$2:$B$558, Sheet2!$C$2:$C$558, "")</f>
        <v>ridwan.net@gmail.com</v>
      </c>
      <c r="H1382" s="40" t="str">
        <f t="shared" si="21"/>
        <v>ridwan.net@gmail.com</v>
      </c>
    </row>
    <row r="1383" spans="1:8" ht="15.5" x14ac:dyDescent="0.35">
      <c r="A1383" s="7">
        <v>1382</v>
      </c>
      <c r="B1383" s="12">
        <v>23388</v>
      </c>
      <c r="C1383" s="11" t="s">
        <v>5843</v>
      </c>
      <c r="D1383" s="9" t="s">
        <v>1077</v>
      </c>
      <c r="E1383" s="10">
        <v>2004</v>
      </c>
      <c r="F1383" s="36" t="str" cm="1">
        <f t="array" ref="F1383">_xlfn.XLOOKUP(D1383&amp;C1383, Sheet3!$C$2:$C$1224&amp;Sheet3!$B$2:$B$1224, Sheet3!$D$2:$D$1224, "")</f>
        <v>irnovian21@gmail.com</v>
      </c>
      <c r="G1383" s="1" t="str" cm="1">
        <f t="array" ref="G1383">_xlfn.XLOOKUP(D1383&amp;C1383, Sheet2!$A$2:$A$558&amp;Sheet2!$B$2:$B$558, Sheet2!$C$2:$C$558, "")</f>
        <v>irnovian@hotmail.com</v>
      </c>
      <c r="H1383" s="40" t="str">
        <f t="shared" si="21"/>
        <v>irnovian21@gmail.com</v>
      </c>
    </row>
    <row r="1384" spans="1:8" ht="15.5" x14ac:dyDescent="0.35">
      <c r="A1384" s="7">
        <v>1383</v>
      </c>
      <c r="B1384" s="12">
        <v>23471</v>
      </c>
      <c r="C1384" s="11" t="s">
        <v>1375</v>
      </c>
      <c r="D1384" s="9" t="s">
        <v>1077</v>
      </c>
      <c r="E1384" s="10">
        <v>2004</v>
      </c>
      <c r="F1384" s="36" t="str" cm="1">
        <f t="array" ref="F1384">_xlfn.XLOOKUP(D1384&amp;C1384, Sheet3!$C$2:$C$1224&amp;Sheet3!$B$2:$B$1224, Sheet3!$D$2:$D$1224, "")</f>
        <v>ameliasipahutar80@gmail.com</v>
      </c>
      <c r="G1384" s="1" t="str" cm="1">
        <f t="array" ref="G1384">_xlfn.XLOOKUP(D1384&amp;C1384, Sheet2!$A$2:$A$558&amp;Sheet2!$B$2:$B$558, Sheet2!$C$2:$C$558, "")</f>
        <v/>
      </c>
      <c r="H1384" s="40" t="str">
        <f t="shared" si="21"/>
        <v>ameliasipahutar80@gmail.com</v>
      </c>
    </row>
    <row r="1385" spans="1:8" ht="15.5" x14ac:dyDescent="0.35">
      <c r="A1385" s="7">
        <v>1384</v>
      </c>
      <c r="B1385" s="12">
        <v>23651</v>
      </c>
      <c r="C1385" s="11" t="s">
        <v>1376</v>
      </c>
      <c r="D1385" s="9" t="s">
        <v>1078</v>
      </c>
      <c r="E1385" s="10">
        <v>2004</v>
      </c>
      <c r="F1385" s="36" t="str" cm="1">
        <f t="array" ref="F1385">_xlfn.XLOOKUP(D1385&amp;C1385, Sheet3!$C$2:$C$1224&amp;Sheet3!$B$2:$B$1224, Sheet3!$D$2:$D$1224, "")</f>
        <v/>
      </c>
      <c r="G1385" s="1" t="str" cm="1">
        <f t="array" ref="G1385">_xlfn.XLOOKUP(D1385&amp;C1385, Sheet2!$A$2:$A$558&amp;Sheet2!$B$2:$B$558, Sheet2!$C$2:$C$558, "")</f>
        <v/>
      </c>
      <c r="H1385" s="40" t="str">
        <f t="shared" si="21"/>
        <v/>
      </c>
    </row>
    <row r="1386" spans="1:8" ht="15.5" x14ac:dyDescent="0.35">
      <c r="A1386" s="7">
        <v>1385</v>
      </c>
      <c r="B1386" s="12">
        <v>23667</v>
      </c>
      <c r="C1386" s="11" t="s">
        <v>1377</v>
      </c>
      <c r="D1386" s="9" t="s">
        <v>1078</v>
      </c>
      <c r="E1386" s="10">
        <v>2004</v>
      </c>
      <c r="F1386" s="36" t="str" cm="1">
        <f t="array" ref="F1386">_xlfn.XLOOKUP(D1386&amp;C1386, Sheet3!$C$2:$C$1224&amp;Sheet3!$B$2:$B$1224, Sheet3!$D$2:$D$1224, "")</f>
        <v>wiyono1980@gmail.com</v>
      </c>
      <c r="G1386" s="1" t="str" cm="1">
        <f t="array" ref="G1386">_xlfn.XLOOKUP(D1386&amp;C1386, Sheet2!$A$2:$A$558&amp;Sheet2!$B$2:$B$558, Sheet2!$C$2:$C$558, "")</f>
        <v/>
      </c>
      <c r="H1386" s="40" t="str">
        <f t="shared" si="21"/>
        <v>wiyono1980@gmail.com</v>
      </c>
    </row>
    <row r="1387" spans="1:8" ht="15.5" x14ac:dyDescent="0.35">
      <c r="A1387" s="7">
        <v>1386</v>
      </c>
      <c r="B1387" s="12">
        <v>23679</v>
      </c>
      <c r="C1387" s="11" t="s">
        <v>1378</v>
      </c>
      <c r="D1387" s="9" t="s">
        <v>1078</v>
      </c>
      <c r="E1387" s="10">
        <v>2004</v>
      </c>
      <c r="F1387" s="36" t="str" cm="1">
        <f t="array" ref="F1387">_xlfn.XLOOKUP(D1387&amp;C1387, Sheet3!$C$2:$C$1224&amp;Sheet3!$B$2:$B$1224, Sheet3!$D$2:$D$1224, "")</f>
        <v>dewiwaas81@gmail.com</v>
      </c>
      <c r="G1387" s="1" t="str" cm="1">
        <f t="array" ref="G1387">_xlfn.XLOOKUP(D1387&amp;C1387, Sheet2!$A$2:$A$558&amp;Sheet2!$B$2:$B$558, Sheet2!$C$2:$C$558, "")</f>
        <v/>
      </c>
      <c r="H1387" s="40" t="str">
        <f t="shared" si="21"/>
        <v>dewiwaas81@gmail.com</v>
      </c>
    </row>
    <row r="1388" spans="1:8" ht="15.5" x14ac:dyDescent="0.35">
      <c r="A1388" s="7">
        <v>1387</v>
      </c>
      <c r="B1388" s="12">
        <v>23829</v>
      </c>
      <c r="C1388" s="11" t="s">
        <v>1379</v>
      </c>
      <c r="D1388" s="9" t="s">
        <v>1078</v>
      </c>
      <c r="E1388" s="10">
        <v>2004</v>
      </c>
      <c r="F1388" s="36" t="str" cm="1">
        <f t="array" ref="F1388">_xlfn.XLOOKUP(D1388&amp;C1388, Sheet3!$C$2:$C$1224&amp;Sheet3!$B$2:$B$1224, Sheet3!$D$2:$D$1224, "")</f>
        <v>Asihsulistiyo@gmail.com</v>
      </c>
      <c r="G1388" s="1" t="str" cm="1">
        <f t="array" ref="G1388">_xlfn.XLOOKUP(D1388&amp;C1388, Sheet2!$A$2:$A$558&amp;Sheet2!$B$2:$B$558, Sheet2!$C$2:$C$558, "")</f>
        <v/>
      </c>
      <c r="H1388" s="40" t="str">
        <f t="shared" si="21"/>
        <v>Asihsulistiyo@gmail.com</v>
      </c>
    </row>
    <row r="1389" spans="1:8" ht="15.5" x14ac:dyDescent="0.35">
      <c r="A1389" s="7">
        <v>1388</v>
      </c>
      <c r="B1389" s="12">
        <v>23871</v>
      </c>
      <c r="C1389" s="11" t="s">
        <v>1380</v>
      </c>
      <c r="D1389" s="9" t="s">
        <v>1078</v>
      </c>
      <c r="E1389" s="10">
        <v>2004</v>
      </c>
      <c r="F1389" s="36" t="str" cm="1">
        <f t="array" ref="F1389">_xlfn.XLOOKUP(D1389&amp;C1389, Sheet3!$C$2:$C$1224&amp;Sheet3!$B$2:$B$1224, Sheet3!$D$2:$D$1224, "")</f>
        <v>taufikrahman@yahoo.com</v>
      </c>
      <c r="G1389" s="1" t="str" cm="1">
        <f t="array" ref="G1389">_xlfn.XLOOKUP(D1389&amp;C1389, Sheet2!$A$2:$A$558&amp;Sheet2!$B$2:$B$558, Sheet2!$C$2:$C$558, "")</f>
        <v>taufikrahman@yahoo.com</v>
      </c>
      <c r="H1389" s="40" t="str">
        <f t="shared" si="21"/>
        <v>taufikrahman@yahoo.com</v>
      </c>
    </row>
    <row r="1390" spans="1:8" ht="15.5" x14ac:dyDescent="0.35">
      <c r="A1390" s="7">
        <v>1389</v>
      </c>
      <c r="B1390" s="12">
        <v>23881</v>
      </c>
      <c r="C1390" s="11" t="s">
        <v>1381</v>
      </c>
      <c r="D1390" s="9" t="s">
        <v>1078</v>
      </c>
      <c r="E1390" s="10">
        <v>2004</v>
      </c>
      <c r="F1390" s="36" t="str" cm="1">
        <f t="array" ref="F1390">_xlfn.XLOOKUP(D1390&amp;C1390, Sheet3!$C$2:$C$1224&amp;Sheet3!$B$2:$B$1224, Sheet3!$D$2:$D$1224, "")</f>
        <v>Kla_sik@yahoo.com</v>
      </c>
      <c r="G1390" s="1" t="str" cm="1">
        <f t="array" ref="G1390">_xlfn.XLOOKUP(D1390&amp;C1390, Sheet2!$A$2:$A$558&amp;Sheet2!$B$2:$B$558, Sheet2!$C$2:$C$558, "")</f>
        <v>kla_sik@yahoo.com</v>
      </c>
      <c r="H1390" s="40" t="str">
        <f t="shared" si="21"/>
        <v>Kla_sik@yahoo.com</v>
      </c>
    </row>
    <row r="1391" spans="1:8" ht="15.5" x14ac:dyDescent="0.35">
      <c r="A1391" s="7">
        <v>1390</v>
      </c>
      <c r="B1391" s="12">
        <v>23997</v>
      </c>
      <c r="C1391" s="11" t="s">
        <v>1382</v>
      </c>
      <c r="D1391" s="9" t="s">
        <v>1078</v>
      </c>
      <c r="E1391" s="10">
        <v>2004</v>
      </c>
      <c r="F1391" s="36" t="str" cm="1">
        <f t="array" ref="F1391">_xlfn.XLOOKUP(D1391&amp;C1391, Sheet3!$C$2:$C$1224&amp;Sheet3!$B$2:$B$1224, Sheet3!$D$2:$D$1224, "")</f>
        <v>Hintbabyshop@gmail.com</v>
      </c>
      <c r="G1391" s="1" t="str" cm="1">
        <f t="array" ref="G1391">_xlfn.XLOOKUP(D1391&amp;C1391, Sheet2!$A$2:$A$558&amp;Sheet2!$B$2:$B$558, Sheet2!$C$2:$C$558, "")</f>
        <v/>
      </c>
      <c r="H1391" s="40" t="str">
        <f t="shared" si="21"/>
        <v>Hintbabyshop@gmail.com</v>
      </c>
    </row>
    <row r="1392" spans="1:8" ht="15.5" x14ac:dyDescent="0.35">
      <c r="A1392" s="7">
        <v>1391</v>
      </c>
      <c r="B1392" s="12">
        <v>24006</v>
      </c>
      <c r="C1392" s="11" t="s">
        <v>1383</v>
      </c>
      <c r="D1392" s="9" t="s">
        <v>1078</v>
      </c>
      <c r="E1392" s="10">
        <v>2004</v>
      </c>
      <c r="F1392" s="36" t="str" cm="1">
        <f t="array" ref="F1392">_xlfn.XLOOKUP(D1392&amp;C1392, Sheet3!$C$2:$C$1224&amp;Sheet3!$B$2:$B$1224, Sheet3!$D$2:$D$1224, "")</f>
        <v/>
      </c>
      <c r="G1392" s="1" t="str" cm="1">
        <f t="array" ref="G1392">_xlfn.XLOOKUP(D1392&amp;C1392, Sheet2!$A$2:$A$558&amp;Sheet2!$B$2:$B$558, Sheet2!$C$2:$C$558, "")</f>
        <v/>
      </c>
      <c r="H1392" s="40" t="str">
        <f t="shared" si="21"/>
        <v/>
      </c>
    </row>
    <row r="1393" spans="1:8" ht="15.5" x14ac:dyDescent="0.35">
      <c r="A1393" s="7">
        <v>1392</v>
      </c>
      <c r="B1393" s="12">
        <v>24212</v>
      </c>
      <c r="C1393" s="11" t="s">
        <v>1384</v>
      </c>
      <c r="D1393" s="9" t="s">
        <v>1078</v>
      </c>
      <c r="E1393" s="10">
        <v>2004</v>
      </c>
      <c r="F1393" s="36" t="str" cm="1">
        <f t="array" ref="F1393">_xlfn.XLOOKUP(D1393&amp;C1393, Sheet3!$C$2:$C$1224&amp;Sheet3!$B$2:$B$1224, Sheet3!$D$2:$D$1224, "")</f>
        <v>haya.haryanto@gmail.com</v>
      </c>
      <c r="G1393" s="1" t="str" cm="1">
        <f t="array" ref="G1393">_xlfn.XLOOKUP(D1393&amp;C1393, Sheet2!$A$2:$A$558&amp;Sheet2!$B$2:$B$558, Sheet2!$C$2:$C$558, "")</f>
        <v/>
      </c>
      <c r="H1393" s="40" t="str">
        <f t="shared" si="21"/>
        <v>haya.haryanto@gmail.com</v>
      </c>
    </row>
    <row r="1394" spans="1:8" ht="15.5" x14ac:dyDescent="0.35">
      <c r="A1394" s="7">
        <v>1393</v>
      </c>
      <c r="B1394" s="12">
        <v>24236</v>
      </c>
      <c r="C1394" s="11" t="s">
        <v>1385</v>
      </c>
      <c r="D1394" s="9" t="s">
        <v>1078</v>
      </c>
      <c r="E1394" s="10">
        <v>2004</v>
      </c>
      <c r="F1394" s="36" t="str" cm="1">
        <f t="array" ref="F1394">_xlfn.XLOOKUP(D1394&amp;C1394, Sheet3!$C$2:$C$1224&amp;Sheet3!$B$2:$B$1224, Sheet3!$D$2:$D$1224, "")</f>
        <v/>
      </c>
      <c r="G1394" s="1" t="str" cm="1">
        <f t="array" ref="G1394">_xlfn.XLOOKUP(D1394&amp;C1394, Sheet2!$A$2:$A$558&amp;Sheet2!$B$2:$B$558, Sheet2!$C$2:$C$558, "")</f>
        <v/>
      </c>
      <c r="H1394" s="40" t="str">
        <f t="shared" si="21"/>
        <v/>
      </c>
    </row>
    <row r="1395" spans="1:8" ht="15.5" x14ac:dyDescent="0.35">
      <c r="A1395" s="7">
        <v>1394</v>
      </c>
      <c r="B1395" s="12">
        <v>24404</v>
      </c>
      <c r="C1395" s="11" t="s">
        <v>268</v>
      </c>
      <c r="D1395" s="9" t="s">
        <v>1078</v>
      </c>
      <c r="E1395" s="10">
        <v>2004</v>
      </c>
      <c r="F1395" s="36" t="str" cm="1">
        <f t="array" ref="F1395">_xlfn.XLOOKUP(D1395&amp;C1395, Sheet3!$C$2:$C$1224&amp;Sheet3!$B$2:$B$1224, Sheet3!$D$2:$D$1224, "")</f>
        <v/>
      </c>
      <c r="G1395" s="1" t="str" cm="1">
        <f t="array" ref="G1395">_xlfn.XLOOKUP(D1395&amp;C1395, Sheet2!$A$2:$A$558&amp;Sheet2!$B$2:$B$558, Sheet2!$C$2:$C$558, "")</f>
        <v/>
      </c>
      <c r="H1395" s="40" t="str">
        <f t="shared" si="21"/>
        <v/>
      </c>
    </row>
    <row r="1396" spans="1:8" ht="15.5" x14ac:dyDescent="0.35">
      <c r="A1396" s="7">
        <v>1395</v>
      </c>
      <c r="B1396" s="12">
        <v>24406</v>
      </c>
      <c r="C1396" s="11" t="s">
        <v>1386</v>
      </c>
      <c r="D1396" s="9" t="s">
        <v>1078</v>
      </c>
      <c r="E1396" s="10">
        <v>2004</v>
      </c>
      <c r="F1396" s="36" t="str" cm="1">
        <f t="array" ref="F1396">_xlfn.XLOOKUP(D1396&amp;C1396, Sheet3!$C$2:$C$1224&amp;Sheet3!$B$2:$B$1224, Sheet3!$D$2:$D$1224, "")</f>
        <v/>
      </c>
      <c r="G1396" s="1" t="str" cm="1">
        <f t="array" ref="G1396">_xlfn.XLOOKUP(D1396&amp;C1396, Sheet2!$A$2:$A$558&amp;Sheet2!$B$2:$B$558, Sheet2!$C$2:$C$558, "")</f>
        <v/>
      </c>
      <c r="H1396" s="40" t="str">
        <f t="shared" si="21"/>
        <v/>
      </c>
    </row>
    <row r="1397" spans="1:8" ht="15.5" x14ac:dyDescent="0.35">
      <c r="A1397" s="7">
        <v>1396</v>
      </c>
      <c r="B1397" s="12">
        <v>20059</v>
      </c>
      <c r="C1397" s="11" t="s">
        <v>1387</v>
      </c>
      <c r="D1397" s="9" t="s">
        <v>1074</v>
      </c>
      <c r="E1397" s="10">
        <v>2004</v>
      </c>
      <c r="F1397" s="36" t="str" cm="1">
        <f t="array" ref="F1397">_xlfn.XLOOKUP(D1397&amp;C1397, Sheet3!$C$2:$C$1224&amp;Sheet3!$B$2:$B$1224, Sheet3!$D$2:$D$1224, "")</f>
        <v/>
      </c>
      <c r="G1397" s="1" t="str" cm="1">
        <f t="array" ref="G1397">_xlfn.XLOOKUP(D1397&amp;C1397, Sheet2!$A$2:$A$558&amp;Sheet2!$B$2:$B$558, Sheet2!$C$2:$C$558, "")</f>
        <v/>
      </c>
      <c r="H1397" s="40" t="str">
        <f t="shared" si="21"/>
        <v/>
      </c>
    </row>
    <row r="1398" spans="1:8" ht="15.5" x14ac:dyDescent="0.35">
      <c r="A1398" s="7">
        <v>1397</v>
      </c>
      <c r="B1398" s="12">
        <v>20171</v>
      </c>
      <c r="C1398" s="11" t="s">
        <v>1388</v>
      </c>
      <c r="D1398" s="9" t="s">
        <v>1074</v>
      </c>
      <c r="E1398" s="10">
        <v>2004</v>
      </c>
      <c r="F1398" s="36" t="str" cm="1">
        <f t="array" ref="F1398">_xlfn.XLOOKUP(D1398&amp;C1398, Sheet3!$C$2:$C$1224&amp;Sheet3!$B$2:$B$1224, Sheet3!$D$2:$D$1224, "")</f>
        <v/>
      </c>
      <c r="G1398" s="1" t="str" cm="1">
        <f t="array" ref="G1398">_xlfn.XLOOKUP(D1398&amp;C1398, Sheet2!$A$2:$A$558&amp;Sheet2!$B$2:$B$558, Sheet2!$C$2:$C$558, "")</f>
        <v>aangku@yahoo.com</v>
      </c>
      <c r="H1398" s="40" t="str">
        <f t="shared" si="21"/>
        <v>aangku@yahoo.com</v>
      </c>
    </row>
    <row r="1399" spans="1:8" ht="15.5" x14ac:dyDescent="0.35">
      <c r="A1399" s="7">
        <v>1398</v>
      </c>
      <c r="B1399" s="12">
        <v>20176</v>
      </c>
      <c r="C1399" s="11" t="s">
        <v>1389</v>
      </c>
      <c r="D1399" s="9" t="s">
        <v>1074</v>
      </c>
      <c r="E1399" s="10">
        <v>2004</v>
      </c>
      <c r="F1399" s="36" t="str" cm="1">
        <f t="array" ref="F1399">_xlfn.XLOOKUP(D1399&amp;C1399, Sheet3!$C$2:$C$1224&amp;Sheet3!$B$2:$B$1224, Sheet3!$D$2:$D$1224, "")</f>
        <v/>
      </c>
      <c r="G1399" s="1" t="str" cm="1">
        <f t="array" ref="G1399">_xlfn.XLOOKUP(D1399&amp;C1399, Sheet2!$A$2:$A$558&amp;Sheet2!$B$2:$B$558, Sheet2!$C$2:$C$558, "")</f>
        <v/>
      </c>
      <c r="H1399" s="40" t="str">
        <f t="shared" si="21"/>
        <v/>
      </c>
    </row>
    <row r="1400" spans="1:8" ht="15.5" x14ac:dyDescent="0.35">
      <c r="A1400" s="7">
        <v>1399</v>
      </c>
      <c r="B1400" s="12">
        <v>22919</v>
      </c>
      <c r="C1400" s="11" t="s">
        <v>1390</v>
      </c>
      <c r="D1400" s="9" t="s">
        <v>1077</v>
      </c>
      <c r="E1400" s="10">
        <v>2004</v>
      </c>
      <c r="F1400" s="36" t="str" cm="1">
        <f t="array" ref="F1400">_xlfn.XLOOKUP(D1400&amp;C1400, Sheet3!$C$2:$C$1224&amp;Sheet3!$B$2:$B$1224, Sheet3!$D$2:$D$1224, "")</f>
        <v>elmoudy@gmail.com</v>
      </c>
      <c r="G1400" s="1" t="str" cm="1">
        <f t="array" ref="G1400">_xlfn.XLOOKUP(D1400&amp;C1400, Sheet2!$A$2:$A$558&amp;Sheet2!$B$2:$B$558, Sheet2!$C$2:$C$558, "")</f>
        <v>elmoudy@gmail.com</v>
      </c>
      <c r="H1400" s="40" t="str">
        <f t="shared" si="21"/>
        <v>elmoudy@gmail.com</v>
      </c>
    </row>
    <row r="1401" spans="1:8" ht="15.5" x14ac:dyDescent="0.35">
      <c r="A1401" s="7">
        <v>1400</v>
      </c>
      <c r="B1401" s="12">
        <v>23118</v>
      </c>
      <c r="C1401" s="11" t="s">
        <v>1391</v>
      </c>
      <c r="D1401" s="9" t="s">
        <v>1077</v>
      </c>
      <c r="E1401" s="10">
        <v>2004</v>
      </c>
      <c r="F1401" s="36" t="str" cm="1">
        <f t="array" ref="F1401">_xlfn.XLOOKUP(D1401&amp;C1401, Sheet3!$C$2:$C$1224&amp;Sheet3!$B$2:$B$1224, Sheet3!$D$2:$D$1224, "")</f>
        <v/>
      </c>
      <c r="G1401" s="1" t="str" cm="1">
        <f t="array" ref="G1401">_xlfn.XLOOKUP(D1401&amp;C1401, Sheet2!$A$2:$A$558&amp;Sheet2!$B$2:$B$558, Sheet2!$C$2:$C$558, "")</f>
        <v/>
      </c>
      <c r="H1401" s="40" t="str">
        <f t="shared" si="21"/>
        <v/>
      </c>
    </row>
    <row r="1402" spans="1:8" ht="15.5" x14ac:dyDescent="0.35">
      <c r="A1402" s="7">
        <v>1401</v>
      </c>
      <c r="B1402" s="12">
        <v>23122</v>
      </c>
      <c r="C1402" s="11" t="s">
        <v>1392</v>
      </c>
      <c r="D1402" s="9" t="s">
        <v>1077</v>
      </c>
      <c r="E1402" s="10">
        <v>2004</v>
      </c>
      <c r="F1402" s="36" t="str" cm="1">
        <f t="array" ref="F1402">_xlfn.XLOOKUP(D1402&amp;C1402, Sheet3!$C$2:$C$1224&amp;Sheet3!$B$2:$B$1224, Sheet3!$D$2:$D$1224, "")</f>
        <v>sahitaanggana@yahoo.co.id</v>
      </c>
      <c r="G1402" s="1" t="str" cm="1">
        <f t="array" ref="G1402">_xlfn.XLOOKUP(D1402&amp;C1402, Sheet2!$A$2:$A$558&amp;Sheet2!$B$2:$B$558, Sheet2!$C$2:$C$558, "")</f>
        <v>sahitaanggana@yahoo.co.id</v>
      </c>
      <c r="H1402" s="40" t="str">
        <f t="shared" si="21"/>
        <v>sahitaanggana@yahoo.co.id</v>
      </c>
    </row>
    <row r="1403" spans="1:8" ht="15.5" x14ac:dyDescent="0.35">
      <c r="A1403" s="7">
        <v>1402</v>
      </c>
      <c r="B1403" s="12">
        <v>23197</v>
      </c>
      <c r="C1403" s="11" t="s">
        <v>1150</v>
      </c>
      <c r="D1403" s="9" t="s">
        <v>1077</v>
      </c>
      <c r="E1403" s="10">
        <v>2004</v>
      </c>
      <c r="F1403" s="36" t="str" cm="1">
        <f t="array" ref="F1403">_xlfn.XLOOKUP(D1403&amp;C1403, Sheet3!$C$2:$C$1224&amp;Sheet3!$B$2:$B$1224, Sheet3!$D$2:$D$1224, "")</f>
        <v/>
      </c>
      <c r="G1403" s="1" t="str" cm="1">
        <f t="array" ref="G1403">_xlfn.XLOOKUP(D1403&amp;C1403, Sheet2!$A$2:$A$558&amp;Sheet2!$B$2:$B$558, Sheet2!$C$2:$C$558, "")</f>
        <v/>
      </c>
      <c r="H1403" s="40" t="str">
        <f t="shared" si="21"/>
        <v/>
      </c>
    </row>
    <row r="1404" spans="1:8" ht="15.5" x14ac:dyDescent="0.35">
      <c r="A1404" s="7">
        <v>1403</v>
      </c>
      <c r="B1404" s="12">
        <v>23312</v>
      </c>
      <c r="C1404" s="11" t="s">
        <v>1393</v>
      </c>
      <c r="D1404" s="9" t="s">
        <v>1077</v>
      </c>
      <c r="E1404" s="10">
        <v>2004</v>
      </c>
      <c r="F1404" s="36" t="str" cm="1">
        <f t="array" ref="F1404">_xlfn.XLOOKUP(D1404&amp;C1404, Sheet3!$C$2:$C$1224&amp;Sheet3!$B$2:$B$1224, Sheet3!$D$2:$D$1224, "")</f>
        <v>dediatunggal@ugm.ac.id</v>
      </c>
      <c r="G1404" s="1" t="str" cm="1">
        <f t="array" ref="G1404">_xlfn.XLOOKUP(D1404&amp;C1404, Sheet2!$A$2:$A$558&amp;Sheet2!$B$2:$B$558, Sheet2!$C$2:$C$558, "")</f>
        <v>dediatunggal@ugm.ac.id</v>
      </c>
      <c r="H1404" s="40" t="str">
        <f t="shared" si="21"/>
        <v>dediatunggal@ugm.ac.id</v>
      </c>
    </row>
    <row r="1405" spans="1:8" ht="15.5" x14ac:dyDescent="0.35">
      <c r="A1405" s="7">
        <v>1404</v>
      </c>
      <c r="B1405" s="12">
        <v>23639</v>
      </c>
      <c r="C1405" s="11" t="s">
        <v>1394</v>
      </c>
      <c r="D1405" s="9" t="s">
        <v>1078</v>
      </c>
      <c r="E1405" s="10">
        <v>2004</v>
      </c>
      <c r="F1405" s="36" t="str" cm="1">
        <f t="array" ref="F1405">_xlfn.XLOOKUP(D1405&amp;C1405, Sheet3!$C$2:$C$1224&amp;Sheet3!$B$2:$B$1224, Sheet3!$D$2:$D$1224, "")</f>
        <v/>
      </c>
      <c r="G1405" s="1" t="str" cm="1">
        <f t="array" ref="G1405">_xlfn.XLOOKUP(D1405&amp;C1405, Sheet2!$A$2:$A$558&amp;Sheet2!$B$2:$B$558, Sheet2!$C$2:$C$558, "")</f>
        <v/>
      </c>
      <c r="H1405" s="40" t="str">
        <f t="shared" si="21"/>
        <v/>
      </c>
    </row>
    <row r="1406" spans="1:8" ht="15.5" x14ac:dyDescent="0.35">
      <c r="A1406" s="7">
        <v>1405</v>
      </c>
      <c r="B1406" s="12">
        <v>23755</v>
      </c>
      <c r="C1406" s="11" t="s">
        <v>1395</v>
      </c>
      <c r="D1406" s="9" t="s">
        <v>1078</v>
      </c>
      <c r="E1406" s="10">
        <v>2004</v>
      </c>
      <c r="F1406" s="36" t="str" cm="1">
        <f t="array" ref="F1406">_xlfn.XLOOKUP(D1406&amp;C1406, Sheet3!$C$2:$C$1224&amp;Sheet3!$B$2:$B$1224, Sheet3!$D$2:$D$1224, "")</f>
        <v>hesticicilia@gmail.com</v>
      </c>
      <c r="G1406" s="1" t="str" cm="1">
        <f t="array" ref="G1406">_xlfn.XLOOKUP(D1406&amp;C1406, Sheet2!$A$2:$A$558&amp;Sheet2!$B$2:$B$558, Sheet2!$C$2:$C$558, "")</f>
        <v>hesticicilia@gmail.com</v>
      </c>
      <c r="H1406" s="40" t="str">
        <f t="shared" si="21"/>
        <v>hesticicilia@gmail.com</v>
      </c>
    </row>
    <row r="1407" spans="1:8" ht="15.5" x14ac:dyDescent="0.35">
      <c r="A1407" s="7">
        <v>1406</v>
      </c>
      <c r="B1407" s="12">
        <v>23793</v>
      </c>
      <c r="C1407" s="11" t="s">
        <v>1396</v>
      </c>
      <c r="D1407" s="9" t="s">
        <v>1078</v>
      </c>
      <c r="E1407" s="10">
        <v>2004</v>
      </c>
      <c r="F1407" s="36" t="str" cm="1">
        <f t="array" ref="F1407">_xlfn.XLOOKUP(D1407&amp;C1407, Sheet3!$C$2:$C$1224&amp;Sheet3!$B$2:$B$1224, Sheet3!$D$2:$D$1224, "")</f>
        <v>lillo.esdpu⁰@gmail.com</v>
      </c>
      <c r="G1407" s="1" t="str" cm="1">
        <f t="array" ref="G1407">_xlfn.XLOOKUP(D1407&amp;C1407, Sheet2!$A$2:$A$558&amp;Sheet2!$B$2:$B$558, Sheet2!$C$2:$C$558, "")</f>
        <v/>
      </c>
      <c r="H1407" s="40" t="str">
        <f t="shared" si="21"/>
        <v>lillo.esdpu⁰@gmail.com</v>
      </c>
    </row>
    <row r="1408" spans="1:8" ht="15.5" x14ac:dyDescent="0.35">
      <c r="A1408" s="7">
        <v>1407</v>
      </c>
      <c r="B1408" s="12">
        <v>23811</v>
      </c>
      <c r="C1408" s="11" t="s">
        <v>1397</v>
      </c>
      <c r="D1408" s="9" t="s">
        <v>1078</v>
      </c>
      <c r="E1408" s="10">
        <v>2004</v>
      </c>
      <c r="F1408" s="36" t="str" cm="1">
        <f t="array" ref="F1408">_xlfn.XLOOKUP(D1408&amp;C1408, Sheet3!$C$2:$C$1224&amp;Sheet3!$B$2:$B$1224, Sheet3!$D$2:$D$1224, "")</f>
        <v>yulietaaji@gmail.com</v>
      </c>
      <c r="G1408" s="1" t="str" cm="1">
        <f t="array" ref="G1408">_xlfn.XLOOKUP(D1408&amp;C1408, Sheet2!$A$2:$A$558&amp;Sheet2!$B$2:$B$558, Sheet2!$C$2:$C$558, "")</f>
        <v/>
      </c>
      <c r="H1408" s="40" t="str">
        <f t="shared" si="21"/>
        <v>yulietaaji@gmail.com</v>
      </c>
    </row>
    <row r="1409" spans="1:8" ht="15.5" x14ac:dyDescent="0.35">
      <c r="A1409" s="7">
        <v>1408</v>
      </c>
      <c r="B1409" s="12">
        <v>23984</v>
      </c>
      <c r="C1409" s="11" t="s">
        <v>3702</v>
      </c>
      <c r="D1409" s="9" t="s">
        <v>1078</v>
      </c>
      <c r="E1409" s="10">
        <v>2004</v>
      </c>
      <c r="F1409" s="36" t="str" cm="1">
        <f t="array" ref="F1409">_xlfn.XLOOKUP(D1409&amp;C1409, Sheet3!$C$2:$C$1224&amp;Sheet3!$B$2:$B$1224, Sheet3!$D$2:$D$1224, "")</f>
        <v>xander_ms@yahoo.com</v>
      </c>
      <c r="G1409" s="1" t="str" cm="1">
        <f t="array" ref="G1409">_xlfn.XLOOKUP(D1409&amp;C1409, Sheet2!$A$2:$A$558&amp;Sheet2!$B$2:$B$558, Sheet2!$C$2:$C$558, "")</f>
        <v/>
      </c>
      <c r="H1409" s="40" t="str">
        <f t="shared" si="21"/>
        <v>xander_ms@yahoo.com</v>
      </c>
    </row>
    <row r="1410" spans="1:8" ht="15.5" x14ac:dyDescent="0.35">
      <c r="A1410" s="7">
        <v>1409</v>
      </c>
      <c r="B1410" s="12">
        <v>23987</v>
      </c>
      <c r="C1410" s="11" t="s">
        <v>1398</v>
      </c>
      <c r="D1410" s="9" t="s">
        <v>1078</v>
      </c>
      <c r="E1410" s="10">
        <v>2004</v>
      </c>
      <c r="F1410" s="36" t="str" cm="1">
        <f t="array" ref="F1410">_xlfn.XLOOKUP(D1410&amp;C1410, Sheet3!$C$2:$C$1224&amp;Sheet3!$B$2:$B$1224, Sheet3!$D$2:$D$1224, "")</f>
        <v>wsandirachman@gmail.com</v>
      </c>
      <c r="G1410" s="1" t="str" cm="1">
        <f t="array" ref="G1410">_xlfn.XLOOKUP(D1410&amp;C1410, Sheet2!$A$2:$A$558&amp;Sheet2!$B$2:$B$558, Sheet2!$C$2:$C$558, "")</f>
        <v>wahyu.andirachman@gmail.com</v>
      </c>
      <c r="H1410" s="40" t="str">
        <f t="shared" si="21"/>
        <v>wsandirachman@gmail.com</v>
      </c>
    </row>
    <row r="1411" spans="1:8" ht="15.5" x14ac:dyDescent="0.35">
      <c r="A1411" s="7">
        <v>1410</v>
      </c>
      <c r="B1411" s="12">
        <v>24128</v>
      </c>
      <c r="C1411" s="11" t="s">
        <v>1399</v>
      </c>
      <c r="D1411" s="9" t="s">
        <v>1078</v>
      </c>
      <c r="E1411" s="10">
        <v>2004</v>
      </c>
      <c r="F1411" s="36" t="str" cm="1">
        <f t="array" ref="F1411">_xlfn.XLOOKUP(D1411&amp;C1411, Sheet3!$C$2:$C$1224&amp;Sheet3!$B$2:$B$1224, Sheet3!$D$2:$D$1224, "")</f>
        <v/>
      </c>
      <c r="G1411" s="1" t="str" cm="1">
        <f t="array" ref="G1411">_xlfn.XLOOKUP(D1411&amp;C1411, Sheet2!$A$2:$A$558&amp;Sheet2!$B$2:$B$558, Sheet2!$C$2:$C$558, "")</f>
        <v/>
      </c>
      <c r="H1411" s="40" t="str">
        <f t="shared" ref="H1411:H1474" si="22">IF(F1411&lt;&gt;"",F1411,G1411)</f>
        <v/>
      </c>
    </row>
    <row r="1412" spans="1:8" ht="15.5" x14ac:dyDescent="0.35">
      <c r="A1412" s="7">
        <v>1411</v>
      </c>
      <c r="B1412" s="12">
        <v>24248</v>
      </c>
      <c r="C1412" s="11" t="s">
        <v>1400</v>
      </c>
      <c r="D1412" s="9" t="s">
        <v>1078</v>
      </c>
      <c r="E1412" s="10">
        <v>2004</v>
      </c>
      <c r="F1412" s="36" t="str" cm="1">
        <f t="array" ref="F1412">_xlfn.XLOOKUP(D1412&amp;C1412, Sheet3!$C$2:$C$1224&amp;Sheet3!$B$2:$B$1224, Sheet3!$D$2:$D$1224, "")</f>
        <v/>
      </c>
      <c r="G1412" s="1" t="str" cm="1">
        <f t="array" ref="G1412">_xlfn.XLOOKUP(D1412&amp;C1412, Sheet2!$A$2:$A$558&amp;Sheet2!$B$2:$B$558, Sheet2!$C$2:$C$558, "")</f>
        <v/>
      </c>
      <c r="H1412" s="40" t="str">
        <f t="shared" si="22"/>
        <v/>
      </c>
    </row>
    <row r="1413" spans="1:8" ht="15.5" x14ac:dyDescent="0.35">
      <c r="A1413" s="7">
        <v>1412</v>
      </c>
      <c r="B1413" s="12">
        <v>24289</v>
      </c>
      <c r="C1413" s="11" t="s">
        <v>1401</v>
      </c>
      <c r="D1413" s="9" t="s">
        <v>1078</v>
      </c>
      <c r="E1413" s="10">
        <v>2004</v>
      </c>
      <c r="F1413" s="36" t="str" cm="1">
        <f t="array" ref="F1413">_xlfn.XLOOKUP(D1413&amp;C1413, Sheet3!$C$2:$C$1224&amp;Sheet3!$B$2:$B$1224, Sheet3!$D$2:$D$1224, "")</f>
        <v>mokotarget@gmail.com</v>
      </c>
      <c r="G1413" s="1" t="str" cm="1">
        <f t="array" ref="G1413">_xlfn.XLOOKUP(D1413&amp;C1413, Sheet2!$A$2:$A$558&amp;Sheet2!$B$2:$B$558, Sheet2!$C$2:$C$558, "")</f>
        <v>triyatmoko99@gmail.com</v>
      </c>
      <c r="H1413" s="40" t="str">
        <f t="shared" si="22"/>
        <v>mokotarget@gmail.com</v>
      </c>
    </row>
    <row r="1414" spans="1:8" ht="15.5" x14ac:dyDescent="0.35">
      <c r="A1414" s="7">
        <v>1413</v>
      </c>
      <c r="B1414" s="12">
        <v>24486</v>
      </c>
      <c r="C1414" s="11" t="s">
        <v>1402</v>
      </c>
      <c r="D1414" s="9" t="s">
        <v>1078</v>
      </c>
      <c r="E1414" s="10">
        <v>2004</v>
      </c>
      <c r="F1414" s="36" t="str" cm="1">
        <f t="array" ref="F1414">_xlfn.XLOOKUP(D1414&amp;C1414, Sheet3!$C$2:$C$1224&amp;Sheet3!$B$2:$B$1224, Sheet3!$D$2:$D$1224, "")</f>
        <v>just.soekamto18@gmail.com</v>
      </c>
      <c r="G1414" s="1" t="str" cm="1">
        <f t="array" ref="G1414">_xlfn.XLOOKUP(D1414&amp;C1414, Sheet2!$A$2:$A$558&amp;Sheet2!$B$2:$B$558, Sheet2!$C$2:$C$558, "")</f>
        <v/>
      </c>
      <c r="H1414" s="40" t="str">
        <f t="shared" si="22"/>
        <v>just.soekamto18@gmail.com</v>
      </c>
    </row>
    <row r="1415" spans="1:8" ht="15.5" x14ac:dyDescent="0.35">
      <c r="A1415" s="7">
        <v>1414</v>
      </c>
      <c r="B1415" s="12">
        <v>24653</v>
      </c>
      <c r="C1415" s="11" t="s">
        <v>1403</v>
      </c>
      <c r="D1415" s="9" t="s">
        <v>1078</v>
      </c>
      <c r="E1415" s="10">
        <v>2004</v>
      </c>
      <c r="F1415" s="36" t="str" cm="1">
        <f t="array" ref="F1415">_xlfn.XLOOKUP(D1415&amp;C1415, Sheet3!$C$2:$C$1224&amp;Sheet3!$B$2:$B$1224, Sheet3!$D$2:$D$1224, "")</f>
        <v/>
      </c>
      <c r="G1415" s="1" t="str" cm="1">
        <f t="array" ref="G1415">_xlfn.XLOOKUP(D1415&amp;C1415, Sheet2!$A$2:$A$558&amp;Sheet2!$B$2:$B$558, Sheet2!$C$2:$C$558, "")</f>
        <v/>
      </c>
      <c r="H1415" s="40" t="str">
        <f t="shared" si="22"/>
        <v/>
      </c>
    </row>
    <row r="1416" spans="1:8" ht="15.5" x14ac:dyDescent="0.35">
      <c r="A1416" s="7">
        <v>1415</v>
      </c>
      <c r="B1416" s="12">
        <v>19750</v>
      </c>
      <c r="C1416" s="11" t="s">
        <v>1404</v>
      </c>
      <c r="D1416" s="9" t="s">
        <v>1074</v>
      </c>
      <c r="E1416" s="10">
        <v>2004</v>
      </c>
      <c r="F1416" s="36" t="str" cm="1">
        <f t="array" ref="F1416">_xlfn.XLOOKUP(D1416&amp;C1416, Sheet3!$C$2:$C$1224&amp;Sheet3!$B$2:$B$1224, Sheet3!$D$2:$D$1224, "")</f>
        <v/>
      </c>
      <c r="G1416" s="1" t="str" cm="1">
        <f t="array" ref="G1416">_xlfn.XLOOKUP(D1416&amp;C1416, Sheet2!$A$2:$A$558&amp;Sheet2!$B$2:$B$558, Sheet2!$C$2:$C$558, "")</f>
        <v/>
      </c>
      <c r="H1416" s="40" t="str">
        <f t="shared" si="22"/>
        <v/>
      </c>
    </row>
    <row r="1417" spans="1:8" ht="15.5" x14ac:dyDescent="0.35">
      <c r="A1417" s="7">
        <v>1416</v>
      </c>
      <c r="B1417" s="12">
        <v>21641</v>
      </c>
      <c r="C1417" s="11" t="s">
        <v>1405</v>
      </c>
      <c r="D1417" s="9" t="s">
        <v>1076</v>
      </c>
      <c r="E1417" s="10">
        <v>2004</v>
      </c>
      <c r="F1417" s="36" t="str" cm="1">
        <f t="array" ref="F1417">_xlfn.XLOOKUP(D1417&amp;C1417, Sheet3!$C$2:$C$1224&amp;Sheet3!$B$2:$B$1224, Sheet3!$D$2:$D$1224, "")</f>
        <v>biantara77@gmail.com</v>
      </c>
      <c r="G1417" s="1" t="str" cm="1">
        <f t="array" ref="G1417">_xlfn.XLOOKUP(D1417&amp;C1417, Sheet2!$A$2:$A$558&amp;Sheet2!$B$2:$B$558, Sheet2!$C$2:$C$558, "")</f>
        <v/>
      </c>
      <c r="H1417" s="40" t="str">
        <f t="shared" si="22"/>
        <v>biantara77@gmail.com</v>
      </c>
    </row>
    <row r="1418" spans="1:8" ht="15.5" x14ac:dyDescent="0.35">
      <c r="A1418" s="7">
        <v>1417</v>
      </c>
      <c r="B1418" s="12">
        <v>21936</v>
      </c>
      <c r="C1418" s="11" t="s">
        <v>1406</v>
      </c>
      <c r="D1418" s="9" t="s">
        <v>1076</v>
      </c>
      <c r="E1418" s="10">
        <v>2004</v>
      </c>
      <c r="F1418" s="36" t="str" cm="1">
        <f t="array" ref="F1418">_xlfn.XLOOKUP(D1418&amp;C1418, Sheet3!$C$2:$C$1224&amp;Sheet3!$B$2:$B$1224, Sheet3!$D$2:$D$1224, "")</f>
        <v>nursidiq.sdq@gmail.com</v>
      </c>
      <c r="G1418" s="1" t="str" cm="1">
        <f t="array" ref="G1418">_xlfn.XLOOKUP(D1418&amp;C1418, Sheet2!$A$2:$A$558&amp;Sheet2!$B$2:$B$558, Sheet2!$C$2:$C$558, "")</f>
        <v/>
      </c>
      <c r="H1418" s="40" t="str">
        <f t="shared" si="22"/>
        <v>nursidiq.sdq@gmail.com</v>
      </c>
    </row>
    <row r="1419" spans="1:8" ht="15.5" x14ac:dyDescent="0.35">
      <c r="A1419" s="7">
        <v>1418</v>
      </c>
      <c r="B1419" s="12">
        <v>22368</v>
      </c>
      <c r="C1419" s="11" t="s">
        <v>1407</v>
      </c>
      <c r="D1419" s="9" t="s">
        <v>1077</v>
      </c>
      <c r="E1419" s="10">
        <v>2004</v>
      </c>
      <c r="F1419" s="36" t="str" cm="1">
        <f t="array" ref="F1419">_xlfn.XLOOKUP(D1419&amp;C1419, Sheet3!$C$2:$C$1224&amp;Sheet3!$B$2:$B$1224, Sheet3!$D$2:$D$1224, "")</f>
        <v>novifebrianti1980@gmail.com</v>
      </c>
      <c r="G1419" s="1" t="str" cm="1">
        <f t="array" ref="G1419">_xlfn.XLOOKUP(D1419&amp;C1419, Sheet2!$A$2:$A$558&amp;Sheet2!$B$2:$B$558, Sheet2!$C$2:$C$558, "")</f>
        <v>novifebrianti1980@gmail.com</v>
      </c>
      <c r="H1419" s="40" t="str">
        <f t="shared" si="22"/>
        <v>novifebrianti1980@gmail.com</v>
      </c>
    </row>
    <row r="1420" spans="1:8" ht="15.5" x14ac:dyDescent="0.35">
      <c r="A1420" s="7">
        <v>1419</v>
      </c>
      <c r="B1420" s="12">
        <v>22379</v>
      </c>
      <c r="C1420" s="11" t="s">
        <v>1408</v>
      </c>
      <c r="D1420" s="9" t="s">
        <v>1077</v>
      </c>
      <c r="E1420" s="10">
        <v>2004</v>
      </c>
      <c r="F1420" s="36" t="str" cm="1">
        <f t="array" ref="F1420">_xlfn.XLOOKUP(D1420&amp;C1420, Sheet3!$C$2:$C$1224&amp;Sheet3!$B$2:$B$1224, Sheet3!$D$2:$D$1224, "")</f>
        <v/>
      </c>
      <c r="G1420" s="1" t="str" cm="1">
        <f t="array" ref="G1420">_xlfn.XLOOKUP(D1420&amp;C1420, Sheet2!$A$2:$A$558&amp;Sheet2!$B$2:$B$558, Sheet2!$C$2:$C$558, "")</f>
        <v>yudho.arto@gmail.com</v>
      </c>
      <c r="H1420" s="40" t="str">
        <f t="shared" si="22"/>
        <v>yudho.arto@gmail.com</v>
      </c>
    </row>
    <row r="1421" spans="1:8" ht="15.5" x14ac:dyDescent="0.35">
      <c r="A1421" s="7">
        <v>1420</v>
      </c>
      <c r="B1421" s="12">
        <v>22494</v>
      </c>
      <c r="C1421" s="11" t="s">
        <v>1409</v>
      </c>
      <c r="D1421" s="9" t="s">
        <v>1077</v>
      </c>
      <c r="E1421" s="10">
        <v>2004</v>
      </c>
      <c r="F1421" s="36" t="str" cm="1">
        <f t="array" ref="F1421">_xlfn.XLOOKUP(D1421&amp;C1421, Sheet3!$C$2:$C$1224&amp;Sheet3!$B$2:$B$1224, Sheet3!$D$2:$D$1224, "")</f>
        <v>yemimanatisha@gmail.com</v>
      </c>
      <c r="G1421" s="1" t="str" cm="1">
        <f t="array" ref="G1421">_xlfn.XLOOKUP(D1421&amp;C1421, Sheet2!$A$2:$A$558&amp;Sheet2!$B$2:$B$558, Sheet2!$C$2:$C$558, "")</f>
        <v>yemimanatisha@gmail.com</v>
      </c>
      <c r="H1421" s="40" t="str">
        <f t="shared" si="22"/>
        <v>yemimanatisha@gmail.com</v>
      </c>
    </row>
    <row r="1422" spans="1:8" ht="15.5" x14ac:dyDescent="0.35">
      <c r="A1422" s="7">
        <v>1421</v>
      </c>
      <c r="B1422" s="12">
        <v>22954</v>
      </c>
      <c r="C1422" s="11" t="s">
        <v>1410</v>
      </c>
      <c r="D1422" s="9" t="s">
        <v>1077</v>
      </c>
      <c r="E1422" s="10">
        <v>2004</v>
      </c>
      <c r="F1422" s="36" t="str" cm="1">
        <f t="array" ref="F1422">_xlfn.XLOOKUP(D1422&amp;C1422, Sheet3!$C$2:$C$1224&amp;Sheet3!$B$2:$B$1224, Sheet3!$D$2:$D$1224, "")</f>
        <v/>
      </c>
      <c r="G1422" s="1" t="str" cm="1">
        <f t="array" ref="G1422">_xlfn.XLOOKUP(D1422&amp;C1422, Sheet2!$A$2:$A$558&amp;Sheet2!$B$2:$B$558, Sheet2!$C$2:$C$558, "")</f>
        <v>antondwi.a@gmail.com</v>
      </c>
      <c r="H1422" s="40" t="str">
        <f t="shared" si="22"/>
        <v>antondwi.a@gmail.com</v>
      </c>
    </row>
    <row r="1423" spans="1:8" ht="15.5" x14ac:dyDescent="0.35">
      <c r="A1423" s="7">
        <v>1422</v>
      </c>
      <c r="B1423" s="12">
        <v>23112</v>
      </c>
      <c r="C1423" s="11" t="s">
        <v>1411</v>
      </c>
      <c r="D1423" s="9" t="s">
        <v>1077</v>
      </c>
      <c r="E1423" s="10">
        <v>2004</v>
      </c>
      <c r="F1423" s="36" t="str" cm="1">
        <f t="array" ref="F1423">_xlfn.XLOOKUP(D1423&amp;C1423, Sheet3!$C$2:$C$1224&amp;Sheet3!$B$2:$B$1224, Sheet3!$D$2:$D$1224, "")</f>
        <v>hermawan.tgd98@gmail.com</v>
      </c>
      <c r="G1423" s="1" t="str" cm="1">
        <f t="array" ref="G1423">_xlfn.XLOOKUP(D1423&amp;C1423, Sheet2!$A$2:$A$558&amp;Sheet2!$B$2:$B$558, Sheet2!$C$2:$C$558, "")</f>
        <v>hermawan.tgd98@gmail.com</v>
      </c>
      <c r="H1423" s="40" t="str">
        <f t="shared" si="22"/>
        <v>hermawan.tgd98@gmail.com</v>
      </c>
    </row>
    <row r="1424" spans="1:8" ht="15.5" x14ac:dyDescent="0.35">
      <c r="A1424" s="7">
        <v>1423</v>
      </c>
      <c r="B1424" s="12">
        <v>23148</v>
      </c>
      <c r="C1424" s="11" t="s">
        <v>1412</v>
      </c>
      <c r="D1424" s="9" t="s">
        <v>1077</v>
      </c>
      <c r="E1424" s="10">
        <v>2004</v>
      </c>
      <c r="F1424" s="36" t="str" cm="1">
        <f t="array" ref="F1424">_xlfn.XLOOKUP(D1424&amp;C1424, Sheet3!$C$2:$C$1224&amp;Sheet3!$B$2:$B$1224, Sheet3!$D$2:$D$1224, "")</f>
        <v/>
      </c>
      <c r="G1424" s="1" t="str" cm="1">
        <f t="array" ref="G1424">_xlfn.XLOOKUP(D1424&amp;C1424, Sheet2!$A$2:$A$558&amp;Sheet2!$B$2:$B$558, Sheet2!$C$2:$C$558, "")</f>
        <v>sharibowo@gmail.com</v>
      </c>
      <c r="H1424" s="40" t="str">
        <f t="shared" si="22"/>
        <v>sharibowo@gmail.com</v>
      </c>
    </row>
    <row r="1425" spans="1:8" ht="15.5" x14ac:dyDescent="0.35">
      <c r="A1425" s="7">
        <v>1424</v>
      </c>
      <c r="B1425" s="12">
        <v>23166</v>
      </c>
      <c r="C1425" s="11" t="s">
        <v>1413</v>
      </c>
      <c r="D1425" s="9" t="s">
        <v>1077</v>
      </c>
      <c r="E1425" s="10">
        <v>2004</v>
      </c>
      <c r="F1425" s="36" t="str" cm="1">
        <f t="array" ref="F1425">_xlfn.XLOOKUP(D1425&amp;C1425, Sheet3!$C$2:$C$1224&amp;Sheet3!$B$2:$B$1224, Sheet3!$D$2:$D$1224, "")</f>
        <v/>
      </c>
      <c r="G1425" s="1" t="str" cm="1">
        <f t="array" ref="G1425">_xlfn.XLOOKUP(D1425&amp;C1425, Sheet2!$A$2:$A$558&amp;Sheet2!$B$2:$B$558, Sheet2!$C$2:$C$558, "")</f>
        <v/>
      </c>
      <c r="H1425" s="40" t="str">
        <f t="shared" si="22"/>
        <v/>
      </c>
    </row>
    <row r="1426" spans="1:8" ht="15.5" x14ac:dyDescent="0.35">
      <c r="A1426" s="7">
        <v>1425</v>
      </c>
      <c r="B1426" s="12">
        <v>23234</v>
      </c>
      <c r="C1426" s="11" t="s">
        <v>1414</v>
      </c>
      <c r="D1426" s="9" t="s">
        <v>1077</v>
      </c>
      <c r="E1426" s="10">
        <v>2004</v>
      </c>
      <c r="F1426" s="36" t="str" cm="1">
        <f t="array" ref="F1426">_xlfn.XLOOKUP(D1426&amp;C1426, Sheet3!$C$2:$C$1224&amp;Sheet3!$B$2:$B$1224, Sheet3!$D$2:$D$1224, "")</f>
        <v/>
      </c>
      <c r="G1426" s="1" t="str" cm="1">
        <f t="array" ref="G1426">_xlfn.XLOOKUP(D1426&amp;C1426, Sheet2!$A$2:$A$558&amp;Sheet2!$B$2:$B$558, Sheet2!$C$2:$C$558, "")</f>
        <v>rinaldok80@gmail.com</v>
      </c>
      <c r="H1426" s="40" t="str">
        <f t="shared" si="22"/>
        <v>rinaldok80@gmail.com</v>
      </c>
    </row>
    <row r="1427" spans="1:8" ht="15.5" x14ac:dyDescent="0.35">
      <c r="A1427" s="7">
        <v>1426</v>
      </c>
      <c r="B1427" s="12">
        <v>23345</v>
      </c>
      <c r="C1427" s="11" t="s">
        <v>1415</v>
      </c>
      <c r="D1427" s="9" t="s">
        <v>1077</v>
      </c>
      <c r="E1427" s="10">
        <v>2004</v>
      </c>
      <c r="F1427" s="36" t="str" cm="1">
        <f t="array" ref="F1427">_xlfn.XLOOKUP(D1427&amp;C1427, Sheet3!$C$2:$C$1224&amp;Sheet3!$B$2:$B$1224, Sheet3!$D$2:$D$1224, "")</f>
        <v/>
      </c>
      <c r="G1427" s="1" t="str" cm="1">
        <f t="array" ref="G1427">_xlfn.XLOOKUP(D1427&amp;C1427, Sheet2!$A$2:$A$558&amp;Sheet2!$B$2:$B$558, Sheet2!$C$2:$C$558, "")</f>
        <v>jokonova@ymail.com</v>
      </c>
      <c r="H1427" s="40" t="str">
        <f t="shared" si="22"/>
        <v>jokonova@ymail.com</v>
      </c>
    </row>
    <row r="1428" spans="1:8" ht="15.5" x14ac:dyDescent="0.35">
      <c r="A1428" s="7">
        <v>1427</v>
      </c>
      <c r="B1428" s="12">
        <v>23848</v>
      </c>
      <c r="C1428" s="11" t="s">
        <v>1416</v>
      </c>
      <c r="D1428" s="9" t="s">
        <v>1078</v>
      </c>
      <c r="E1428" s="10">
        <v>2004</v>
      </c>
      <c r="F1428" s="36" t="str" cm="1">
        <f t="array" ref="F1428">_xlfn.XLOOKUP(D1428&amp;C1428, Sheet3!$C$2:$C$1224&amp;Sheet3!$B$2:$B$1224, Sheet3!$D$2:$D$1224, "")</f>
        <v>bambangkun@ugm.ac.id</v>
      </c>
      <c r="G1428" s="1" t="str" cm="1">
        <f t="array" ref="G1428">_xlfn.XLOOKUP(D1428&amp;C1428, Sheet2!$A$2:$A$558&amp;Sheet2!$B$2:$B$558, Sheet2!$C$2:$C$558, "")</f>
        <v>bambangkun@ugm.ac.id</v>
      </c>
      <c r="H1428" s="40" t="str">
        <f t="shared" si="22"/>
        <v>bambangkun@ugm.ac.id</v>
      </c>
    </row>
    <row r="1429" spans="1:8" ht="15.5" x14ac:dyDescent="0.35">
      <c r="A1429" s="7">
        <v>1428</v>
      </c>
      <c r="B1429" s="12">
        <v>24165</v>
      </c>
      <c r="C1429" s="11" t="s">
        <v>1417</v>
      </c>
      <c r="D1429" s="9" t="s">
        <v>1078</v>
      </c>
      <c r="E1429" s="10">
        <v>2004</v>
      </c>
      <c r="F1429" s="36" t="str" cm="1">
        <f t="array" ref="F1429">_xlfn.XLOOKUP(D1429&amp;C1429, Sheet3!$C$2:$C$1224&amp;Sheet3!$B$2:$B$1224, Sheet3!$D$2:$D$1224, "")</f>
        <v/>
      </c>
      <c r="G1429" s="1" t="str" cm="1">
        <f t="array" ref="G1429">_xlfn.XLOOKUP(D1429&amp;C1429, Sheet2!$A$2:$A$558&amp;Sheet2!$B$2:$B$558, Sheet2!$C$2:$C$558, "")</f>
        <v/>
      </c>
      <c r="H1429" s="40" t="str">
        <f t="shared" si="22"/>
        <v/>
      </c>
    </row>
    <row r="1430" spans="1:8" ht="15.5" x14ac:dyDescent="0.35">
      <c r="A1430" s="7">
        <v>1429</v>
      </c>
      <c r="B1430" s="12">
        <v>24223</v>
      </c>
      <c r="C1430" s="11" t="s">
        <v>1418</v>
      </c>
      <c r="D1430" s="9" t="s">
        <v>1078</v>
      </c>
      <c r="E1430" s="10">
        <v>2004</v>
      </c>
      <c r="F1430" s="36" t="str" cm="1">
        <f t="array" ref="F1430">_xlfn.XLOOKUP(D1430&amp;C1430, Sheet3!$C$2:$C$1224&amp;Sheet3!$B$2:$B$1224, Sheet3!$D$2:$D$1224, "")</f>
        <v>ambar_nh@yahoo.com</v>
      </c>
      <c r="G1430" s="1" t="str" cm="1">
        <f t="array" ref="G1430">_xlfn.XLOOKUP(D1430&amp;C1430, Sheet2!$A$2:$A$558&amp;Sheet2!$B$2:$B$558, Sheet2!$C$2:$C$558, "")</f>
        <v/>
      </c>
      <c r="H1430" s="40" t="str">
        <f t="shared" si="22"/>
        <v>ambar_nh@yahoo.com</v>
      </c>
    </row>
    <row r="1431" spans="1:8" ht="15.5" x14ac:dyDescent="0.35">
      <c r="A1431" s="7">
        <v>1430</v>
      </c>
      <c r="B1431" s="12">
        <v>24235</v>
      </c>
      <c r="C1431" s="11" t="s">
        <v>1419</v>
      </c>
      <c r="D1431" s="9" t="s">
        <v>1078</v>
      </c>
      <c r="E1431" s="10">
        <v>2004</v>
      </c>
      <c r="F1431" s="36" t="str" cm="1">
        <f t="array" ref="F1431">_xlfn.XLOOKUP(D1431&amp;C1431, Sheet3!$C$2:$C$1224&amp;Sheet3!$B$2:$B$1224, Sheet3!$D$2:$D$1224, "")</f>
        <v/>
      </c>
      <c r="G1431" s="1" t="str" cm="1">
        <f t="array" ref="G1431">_xlfn.XLOOKUP(D1431&amp;C1431, Sheet2!$A$2:$A$558&amp;Sheet2!$B$2:$B$558, Sheet2!$C$2:$C$558, "")</f>
        <v/>
      </c>
      <c r="H1431" s="40" t="str">
        <f t="shared" si="22"/>
        <v/>
      </c>
    </row>
    <row r="1432" spans="1:8" ht="15.5" x14ac:dyDescent="0.35">
      <c r="A1432" s="7">
        <v>1431</v>
      </c>
      <c r="B1432" s="12">
        <v>24238</v>
      </c>
      <c r="C1432" s="11" t="s">
        <v>1420</v>
      </c>
      <c r="D1432" s="9" t="s">
        <v>1078</v>
      </c>
      <c r="E1432" s="10">
        <v>2004</v>
      </c>
      <c r="F1432" s="36" t="str" cm="1">
        <f t="array" ref="F1432">_xlfn.XLOOKUP(D1432&amp;C1432, Sheet3!$C$2:$C$1224&amp;Sheet3!$B$2:$B$1224, Sheet3!$D$2:$D$1224, "")</f>
        <v/>
      </c>
      <c r="G1432" s="1" t="str" cm="1">
        <f t="array" ref="G1432">_xlfn.XLOOKUP(D1432&amp;C1432, Sheet2!$A$2:$A$558&amp;Sheet2!$B$2:$B$558, Sheet2!$C$2:$C$558, "")</f>
        <v/>
      </c>
      <c r="H1432" s="40" t="str">
        <f t="shared" si="22"/>
        <v/>
      </c>
    </row>
    <row r="1433" spans="1:8" ht="15.5" x14ac:dyDescent="0.35">
      <c r="A1433" s="7">
        <v>1432</v>
      </c>
      <c r="B1433" s="12">
        <v>24244</v>
      </c>
      <c r="C1433" s="11" t="s">
        <v>1421</v>
      </c>
      <c r="D1433" s="9" t="s">
        <v>1078</v>
      </c>
      <c r="E1433" s="10">
        <v>2004</v>
      </c>
      <c r="F1433" s="36" t="str" cm="1">
        <f t="array" ref="F1433">_xlfn.XLOOKUP(D1433&amp;C1433, Sheet3!$C$2:$C$1224&amp;Sheet3!$B$2:$B$1224, Sheet3!$D$2:$D$1224, "")</f>
        <v>aulia4681@gmail.com</v>
      </c>
      <c r="G1433" s="1" t="str" cm="1">
        <f t="array" ref="G1433">_xlfn.XLOOKUP(D1433&amp;C1433, Sheet2!$A$2:$A$558&amp;Sheet2!$B$2:$B$558, Sheet2!$C$2:$C$558, "")</f>
        <v>a.akbar.idn@gmail.com</v>
      </c>
      <c r="H1433" s="40" t="str">
        <f t="shared" si="22"/>
        <v>aulia4681@gmail.com</v>
      </c>
    </row>
    <row r="1434" spans="1:8" ht="15.5" x14ac:dyDescent="0.35">
      <c r="A1434" s="7">
        <v>1433</v>
      </c>
      <c r="B1434" s="12">
        <v>24290</v>
      </c>
      <c r="C1434" s="11" t="s">
        <v>1422</v>
      </c>
      <c r="D1434" s="9" t="s">
        <v>1078</v>
      </c>
      <c r="E1434" s="10">
        <v>2004</v>
      </c>
      <c r="F1434" s="36" t="str" cm="1">
        <f t="array" ref="F1434">_xlfn.XLOOKUP(D1434&amp;C1434, Sheet3!$C$2:$C$1224&amp;Sheet3!$B$2:$B$1224, Sheet3!$D$2:$D$1224, "")</f>
        <v>samilhamhartoko@gmail.com</v>
      </c>
      <c r="G1434" s="1" t="str" cm="1">
        <f t="array" ref="G1434">_xlfn.XLOOKUP(D1434&amp;C1434, Sheet2!$A$2:$A$558&amp;Sheet2!$B$2:$B$558, Sheet2!$C$2:$C$558, "")</f>
        <v/>
      </c>
      <c r="H1434" s="40" t="str">
        <f t="shared" si="22"/>
        <v>samilhamhartoko@gmail.com</v>
      </c>
    </row>
    <row r="1435" spans="1:8" ht="15.5" x14ac:dyDescent="0.35">
      <c r="A1435" s="7">
        <v>1434</v>
      </c>
      <c r="B1435" s="12">
        <v>24346</v>
      </c>
      <c r="C1435" s="11" t="s">
        <v>1423</v>
      </c>
      <c r="D1435" s="9" t="s">
        <v>1078</v>
      </c>
      <c r="E1435" s="10">
        <v>2004</v>
      </c>
      <c r="F1435" s="36" t="str" cm="1">
        <f t="array" ref="F1435">_xlfn.XLOOKUP(D1435&amp;C1435, Sheet3!$C$2:$C$1224&amp;Sheet3!$B$2:$B$1224, Sheet3!$D$2:$D$1224, "")</f>
        <v/>
      </c>
      <c r="G1435" s="1" t="str" cm="1">
        <f t="array" ref="G1435">_xlfn.XLOOKUP(D1435&amp;C1435, Sheet2!$A$2:$A$558&amp;Sheet2!$B$2:$B$558, Sheet2!$C$2:$C$558, "")</f>
        <v/>
      </c>
      <c r="H1435" s="40" t="str">
        <f t="shared" si="22"/>
        <v/>
      </c>
    </row>
    <row r="1436" spans="1:8" ht="15.5" x14ac:dyDescent="0.35">
      <c r="A1436" s="7">
        <v>1435</v>
      </c>
      <c r="B1436" s="12">
        <v>24384</v>
      </c>
      <c r="C1436" s="11" t="s">
        <v>1424</v>
      </c>
      <c r="D1436" s="9" t="s">
        <v>1078</v>
      </c>
      <c r="E1436" s="10">
        <v>2004</v>
      </c>
      <c r="F1436" s="36" t="str" cm="1">
        <f t="array" ref="F1436">_xlfn.XLOOKUP(D1436&amp;C1436, Sheet3!$C$2:$C$1224&amp;Sheet3!$B$2:$B$1224, Sheet3!$D$2:$D$1224, "")</f>
        <v>reny.octaviana81@gmail.com</v>
      </c>
      <c r="G1436" s="1" t="str" cm="1">
        <f t="array" ref="G1436">_xlfn.XLOOKUP(D1436&amp;C1436, Sheet2!$A$2:$A$558&amp;Sheet2!$B$2:$B$558, Sheet2!$C$2:$C$558, "")</f>
        <v/>
      </c>
      <c r="H1436" s="40" t="str">
        <f t="shared" si="22"/>
        <v>reny.octaviana81@gmail.com</v>
      </c>
    </row>
    <row r="1437" spans="1:8" ht="15.5" x14ac:dyDescent="0.35">
      <c r="A1437" s="7">
        <v>1436</v>
      </c>
      <c r="B1437" s="12">
        <v>24437</v>
      </c>
      <c r="C1437" s="11" t="s">
        <v>1425</v>
      </c>
      <c r="D1437" s="9" t="s">
        <v>1078</v>
      </c>
      <c r="E1437" s="10">
        <v>2004</v>
      </c>
      <c r="F1437" s="36" t="str" cm="1">
        <f t="array" ref="F1437">_xlfn.XLOOKUP(D1437&amp;C1437, Sheet3!$C$2:$C$1224&amp;Sheet3!$B$2:$B$1224, Sheet3!$D$2:$D$1224, "")</f>
        <v>fachryansori81@gmail.com</v>
      </c>
      <c r="G1437" s="1" t="str" cm="1">
        <f t="array" ref="G1437">_xlfn.XLOOKUP(D1437&amp;C1437, Sheet2!$A$2:$A$558&amp;Sheet2!$B$2:$B$558, Sheet2!$C$2:$C$558, "")</f>
        <v/>
      </c>
      <c r="H1437" s="40" t="str">
        <f t="shared" si="22"/>
        <v>fachryansori81@gmail.com</v>
      </c>
    </row>
    <row r="1438" spans="1:8" ht="15.5" x14ac:dyDescent="0.35">
      <c r="A1438" s="7">
        <v>1437</v>
      </c>
      <c r="B1438" s="12">
        <v>24471</v>
      </c>
      <c r="C1438" s="11" t="s">
        <v>1426</v>
      </c>
      <c r="D1438" s="9" t="s">
        <v>1078</v>
      </c>
      <c r="E1438" s="10">
        <v>2004</v>
      </c>
      <c r="F1438" s="36" t="str" cm="1">
        <f t="array" ref="F1438">_xlfn.XLOOKUP(D1438&amp;C1438, Sheet3!$C$2:$C$1224&amp;Sheet3!$B$2:$B$1224, Sheet3!$D$2:$D$1224, "")</f>
        <v/>
      </c>
      <c r="G1438" s="1" t="str" cm="1">
        <f t="array" ref="G1438">_xlfn.XLOOKUP(D1438&amp;C1438, Sheet2!$A$2:$A$558&amp;Sheet2!$B$2:$B$558, Sheet2!$C$2:$C$558, "")</f>
        <v/>
      </c>
      <c r="H1438" s="40" t="str">
        <f t="shared" si="22"/>
        <v/>
      </c>
    </row>
    <row r="1439" spans="1:8" ht="15.5" x14ac:dyDescent="0.35">
      <c r="A1439" s="7">
        <v>1438</v>
      </c>
      <c r="B1439" s="12">
        <v>24480</v>
      </c>
      <c r="C1439" s="11" t="s">
        <v>1427</v>
      </c>
      <c r="D1439" s="9" t="s">
        <v>1078</v>
      </c>
      <c r="E1439" s="10">
        <v>2004</v>
      </c>
      <c r="F1439" s="36" t="str" cm="1">
        <f t="array" ref="F1439">_xlfn.XLOOKUP(D1439&amp;C1439, Sheet3!$C$2:$C$1224&amp;Sheet3!$B$2:$B$1224, Sheet3!$D$2:$D$1224, "")</f>
        <v/>
      </c>
      <c r="G1439" s="1" t="str" cm="1">
        <f t="array" ref="G1439">_xlfn.XLOOKUP(D1439&amp;C1439, Sheet2!$A$2:$A$558&amp;Sheet2!$B$2:$B$558, Sheet2!$C$2:$C$558, "")</f>
        <v/>
      </c>
      <c r="H1439" s="40" t="str">
        <f t="shared" si="22"/>
        <v/>
      </c>
    </row>
    <row r="1440" spans="1:8" ht="15.5" x14ac:dyDescent="0.35">
      <c r="A1440" s="7">
        <v>1439</v>
      </c>
      <c r="B1440" s="12">
        <v>24513</v>
      </c>
      <c r="C1440" s="11" t="s">
        <v>1428</v>
      </c>
      <c r="D1440" s="9" t="s">
        <v>1078</v>
      </c>
      <c r="E1440" s="10">
        <v>2004</v>
      </c>
      <c r="F1440" s="36" t="str" cm="1">
        <f t="array" ref="F1440">_xlfn.XLOOKUP(D1440&amp;C1440, Sheet3!$C$2:$C$1224&amp;Sheet3!$B$2:$B$1224, Sheet3!$D$2:$D$1224, "")</f>
        <v>lpjylpjy@gmail.com</v>
      </c>
      <c r="G1440" s="1" t="str" cm="1">
        <f t="array" ref="G1440">_xlfn.XLOOKUP(D1440&amp;C1440, Sheet2!$A$2:$A$558&amp;Sheet2!$B$2:$B$558, Sheet2!$C$2:$C$558, "")</f>
        <v>lambang.pjy@pu.go.id</v>
      </c>
      <c r="H1440" s="40" t="str">
        <f t="shared" si="22"/>
        <v>lpjylpjy@gmail.com</v>
      </c>
    </row>
    <row r="1441" spans="1:8" ht="15.5" x14ac:dyDescent="0.35">
      <c r="A1441" s="7">
        <v>1440</v>
      </c>
      <c r="B1441" s="12">
        <v>24539</v>
      </c>
      <c r="C1441" s="11" t="s">
        <v>1429</v>
      </c>
      <c r="D1441" s="9" t="s">
        <v>1078</v>
      </c>
      <c r="E1441" s="10">
        <v>2004</v>
      </c>
      <c r="F1441" s="36" t="str" cm="1">
        <f t="array" ref="F1441">_xlfn.XLOOKUP(D1441&amp;C1441, Sheet3!$C$2:$C$1224&amp;Sheet3!$B$2:$B$1224, Sheet3!$D$2:$D$1224, "")</f>
        <v>hasan.marzuki@gmail.com</v>
      </c>
      <c r="G1441" s="1" t="str" cm="1">
        <f t="array" ref="G1441">_xlfn.XLOOKUP(D1441&amp;C1441, Sheet2!$A$2:$A$558&amp;Sheet2!$B$2:$B$558, Sheet2!$C$2:$C$558, "")</f>
        <v>hasan.marzuki@gmail.com</v>
      </c>
      <c r="H1441" s="40" t="str">
        <f t="shared" si="22"/>
        <v>hasan.marzuki@gmail.com</v>
      </c>
    </row>
    <row r="1442" spans="1:8" ht="15.5" x14ac:dyDescent="0.35">
      <c r="A1442" s="7">
        <v>1441</v>
      </c>
      <c r="B1442" s="12">
        <v>25135</v>
      </c>
      <c r="C1442" s="11" t="s">
        <v>1430</v>
      </c>
      <c r="D1442" s="9">
        <v>2000</v>
      </c>
      <c r="E1442" s="10">
        <v>2004</v>
      </c>
      <c r="F1442" s="36" t="str" cm="1">
        <f t="array" ref="F1442">_xlfn.XLOOKUP(D1442&amp;C1442, Sheet3!$C$2:$C$1224&amp;Sheet3!$B$2:$B$1224, Sheet3!$D$2:$D$1224, "")</f>
        <v>arie.komang@gmail.com</v>
      </c>
      <c r="G1442" s="1" t="str" cm="1">
        <f t="array" ref="G1442">_xlfn.XLOOKUP(D1442&amp;C1442, Sheet2!$A$2:$A$558&amp;Sheet2!$B$2:$B$558, Sheet2!$C$2:$C$558, "")</f>
        <v>arie.komang@gmail.com</v>
      </c>
      <c r="H1442" s="40" t="str">
        <f t="shared" si="22"/>
        <v>arie.komang@gmail.com</v>
      </c>
    </row>
    <row r="1443" spans="1:8" ht="15.5" x14ac:dyDescent="0.35">
      <c r="A1443" s="7">
        <v>1442</v>
      </c>
      <c r="B1443" s="12">
        <v>25236</v>
      </c>
      <c r="C1443" s="11" t="s">
        <v>1431</v>
      </c>
      <c r="D1443" s="9">
        <v>2000</v>
      </c>
      <c r="E1443" s="10">
        <v>2004</v>
      </c>
      <c r="F1443" s="36" t="str" cm="1">
        <f t="array" ref="F1443">_xlfn.XLOOKUP(D1443&amp;C1443, Sheet3!$C$2:$C$1224&amp;Sheet3!$B$2:$B$1224, Sheet3!$D$2:$D$1224, "")</f>
        <v>s.paramia@gmail.com</v>
      </c>
      <c r="G1443" s="1" t="str" cm="1">
        <f t="array" ref="G1443">_xlfn.XLOOKUP(D1443&amp;C1443, Sheet2!$A$2:$A$558&amp;Sheet2!$B$2:$B$558, Sheet2!$C$2:$C$558, "")</f>
        <v/>
      </c>
      <c r="H1443" s="40" t="str">
        <f t="shared" si="22"/>
        <v>s.paramia@gmail.com</v>
      </c>
    </row>
    <row r="1444" spans="1:8" ht="15.5" x14ac:dyDescent="0.35">
      <c r="A1444" s="7">
        <v>1443</v>
      </c>
      <c r="B1444" s="12">
        <v>25299</v>
      </c>
      <c r="C1444" s="11" t="s">
        <v>1432</v>
      </c>
      <c r="D1444" s="9">
        <v>2000</v>
      </c>
      <c r="E1444" s="10">
        <v>2004</v>
      </c>
      <c r="F1444" s="36" t="str" cm="1">
        <f t="array" ref="F1444">_xlfn.XLOOKUP(D1444&amp;C1444, Sheet3!$C$2:$C$1224&amp;Sheet3!$B$2:$B$1224, Sheet3!$D$2:$D$1224, "")</f>
        <v>dianaping17@gmail.com</v>
      </c>
      <c r="G1444" s="1" t="str" cm="1">
        <f t="array" ref="G1444">_xlfn.XLOOKUP(D1444&amp;C1444, Sheet2!$A$2:$A$558&amp;Sheet2!$B$2:$B$558, Sheet2!$C$2:$C$558, "")</f>
        <v/>
      </c>
      <c r="H1444" s="40" t="str">
        <f t="shared" si="22"/>
        <v>dianaping17@gmail.com</v>
      </c>
    </row>
    <row r="1445" spans="1:8" ht="15.5" x14ac:dyDescent="0.35">
      <c r="A1445" s="7">
        <v>1444</v>
      </c>
      <c r="B1445" s="12">
        <v>20666</v>
      </c>
      <c r="C1445" s="11" t="s">
        <v>1433</v>
      </c>
      <c r="D1445" s="9" t="s">
        <v>1075</v>
      </c>
      <c r="E1445" s="10">
        <v>2004</v>
      </c>
      <c r="F1445" s="36" t="str" cm="1">
        <f t="array" ref="F1445">_xlfn.XLOOKUP(D1445&amp;C1445, Sheet3!$C$2:$C$1224&amp;Sheet3!$B$2:$B$1224, Sheet3!$D$2:$D$1224, "")</f>
        <v>5ut3ps@gmail.com</v>
      </c>
      <c r="G1445" s="1" t="str" cm="1">
        <f t="array" ref="G1445">_xlfn.XLOOKUP(D1445&amp;C1445, Sheet2!$A$2:$A$558&amp;Sheet2!$B$2:$B$558, Sheet2!$C$2:$C$558, "")</f>
        <v/>
      </c>
      <c r="H1445" s="40" t="str">
        <f t="shared" si="22"/>
        <v>5ut3ps@gmail.com</v>
      </c>
    </row>
    <row r="1446" spans="1:8" ht="15.5" x14ac:dyDescent="0.35">
      <c r="A1446" s="7">
        <v>1445</v>
      </c>
      <c r="B1446" s="12">
        <v>21950</v>
      </c>
      <c r="C1446" s="11" t="s">
        <v>1434</v>
      </c>
      <c r="D1446" s="9" t="s">
        <v>1076</v>
      </c>
      <c r="E1446" s="10">
        <v>2004</v>
      </c>
      <c r="F1446" s="36" t="str" cm="1">
        <f t="array" ref="F1446">_xlfn.XLOOKUP(D1446&amp;C1446, Sheet3!$C$2:$C$1224&amp;Sheet3!$B$2:$B$1224, Sheet3!$D$2:$D$1224, "")</f>
        <v>astama2014@gmail.com</v>
      </c>
      <c r="G1446" s="1" t="str" cm="1">
        <f t="array" ref="G1446">_xlfn.XLOOKUP(D1446&amp;C1446, Sheet2!$A$2:$A$558&amp;Sheet2!$B$2:$B$558, Sheet2!$C$2:$C$558, "")</f>
        <v/>
      </c>
      <c r="H1446" s="40" t="str">
        <f t="shared" si="22"/>
        <v>astama2014@gmail.com</v>
      </c>
    </row>
    <row r="1447" spans="1:8" ht="15.5" x14ac:dyDescent="0.35">
      <c r="A1447" s="7">
        <v>1446</v>
      </c>
      <c r="B1447" s="12">
        <v>22879</v>
      </c>
      <c r="C1447" s="11" t="s">
        <v>1435</v>
      </c>
      <c r="D1447" s="9" t="s">
        <v>1077</v>
      </c>
      <c r="E1447" s="10">
        <v>2004</v>
      </c>
      <c r="F1447" s="36" t="str" cm="1">
        <f t="array" ref="F1447">_xlfn.XLOOKUP(D1447&amp;C1447, Sheet3!$C$2:$C$1224&amp;Sheet3!$B$2:$B$1224, Sheet3!$D$2:$D$1224, "")</f>
        <v/>
      </c>
      <c r="G1447" s="1" t="str" cm="1">
        <f t="array" ref="G1447">_xlfn.XLOOKUP(D1447&amp;C1447, Sheet2!$A$2:$A$558&amp;Sheet2!$B$2:$B$558, Sheet2!$C$2:$C$558, "")</f>
        <v/>
      </c>
      <c r="H1447" s="40" t="str">
        <f t="shared" si="22"/>
        <v/>
      </c>
    </row>
    <row r="1448" spans="1:8" ht="15.5" x14ac:dyDescent="0.35">
      <c r="A1448" s="7">
        <v>1447</v>
      </c>
      <c r="B1448" s="12">
        <v>23370</v>
      </c>
      <c r="C1448" s="11" t="s">
        <v>1436</v>
      </c>
      <c r="D1448" s="9" t="s">
        <v>1077</v>
      </c>
      <c r="E1448" s="10">
        <v>2004</v>
      </c>
      <c r="F1448" s="36" t="str" cm="1">
        <f t="array" ref="F1448">_xlfn.XLOOKUP(D1448&amp;C1448, Sheet3!$C$2:$C$1224&amp;Sheet3!$B$2:$B$1224, Sheet3!$D$2:$D$1224, "")</f>
        <v/>
      </c>
      <c r="G1448" s="1" t="str" cm="1">
        <f t="array" ref="G1448">_xlfn.XLOOKUP(D1448&amp;C1448, Sheet2!$A$2:$A$558&amp;Sheet2!$B$2:$B$558, Sheet2!$C$2:$C$558, "")</f>
        <v/>
      </c>
      <c r="H1448" s="40" t="str">
        <f t="shared" si="22"/>
        <v/>
      </c>
    </row>
    <row r="1449" spans="1:8" ht="15.5" x14ac:dyDescent="0.35">
      <c r="A1449" s="7">
        <v>1448</v>
      </c>
      <c r="B1449" s="12">
        <v>23438</v>
      </c>
      <c r="C1449" s="11" t="s">
        <v>1437</v>
      </c>
      <c r="D1449" s="9" t="s">
        <v>1077</v>
      </c>
      <c r="E1449" s="10">
        <v>2004</v>
      </c>
      <c r="F1449" s="36" t="str" cm="1">
        <f t="array" ref="F1449">_xlfn.XLOOKUP(D1449&amp;C1449, Sheet3!$C$2:$C$1224&amp;Sheet3!$B$2:$B$1224, Sheet3!$D$2:$D$1224, "")</f>
        <v/>
      </c>
      <c r="G1449" s="1" t="str" cm="1">
        <f t="array" ref="G1449">_xlfn.XLOOKUP(D1449&amp;C1449, Sheet2!$A$2:$A$558&amp;Sheet2!$B$2:$B$558, Sheet2!$C$2:$C$558, "")</f>
        <v/>
      </c>
      <c r="H1449" s="40" t="str">
        <f t="shared" si="22"/>
        <v/>
      </c>
    </row>
    <row r="1450" spans="1:8" ht="15.5" x14ac:dyDescent="0.35">
      <c r="A1450" s="7">
        <v>1449</v>
      </c>
      <c r="B1450" s="12">
        <v>23547</v>
      </c>
      <c r="C1450" s="11" t="s">
        <v>5838</v>
      </c>
      <c r="D1450" s="9" t="s">
        <v>1077</v>
      </c>
      <c r="E1450" s="10">
        <v>2004</v>
      </c>
      <c r="F1450" s="36" t="str" cm="1">
        <f t="array" ref="F1450">_xlfn.XLOOKUP(D1450&amp;C1450, Sheet3!$C$2:$C$1224&amp;Sheet3!$B$2:$B$1224, Sheet3!$D$2:$D$1224, "")</f>
        <v>zozax_grs@yahoo.com</v>
      </c>
      <c r="G1450" s="1" t="str" cm="1">
        <f t="array" ref="G1450">_xlfn.XLOOKUP(D1450&amp;C1450, Sheet2!$A$2:$A$558&amp;Sheet2!$B$2:$B$558, Sheet2!$C$2:$C$558, "")</f>
        <v>jggeo1998@gmail.com</v>
      </c>
      <c r="H1450" s="40" t="str">
        <f t="shared" si="22"/>
        <v>zozax_grs@yahoo.com</v>
      </c>
    </row>
    <row r="1451" spans="1:8" ht="15.5" x14ac:dyDescent="0.35">
      <c r="A1451" s="7">
        <v>1450</v>
      </c>
      <c r="B1451" s="12">
        <v>24364</v>
      </c>
      <c r="C1451" s="11" t="s">
        <v>338</v>
      </c>
      <c r="D1451" s="9" t="s">
        <v>1078</v>
      </c>
      <c r="E1451" s="10">
        <v>2004</v>
      </c>
      <c r="F1451" s="36" t="str" cm="1">
        <f t="array" ref="F1451">_xlfn.XLOOKUP(D1451&amp;C1451, Sheet3!$C$2:$C$1224&amp;Sheet3!$B$2:$B$1224, Sheet3!$D$2:$D$1224, "")</f>
        <v/>
      </c>
      <c r="G1451" s="1" t="str" cm="1">
        <f t="array" ref="G1451">_xlfn.XLOOKUP(D1451&amp;C1451, Sheet2!$A$2:$A$558&amp;Sheet2!$B$2:$B$558, Sheet2!$C$2:$C$558, "")</f>
        <v/>
      </c>
      <c r="H1451" s="40" t="str">
        <f t="shared" si="22"/>
        <v/>
      </c>
    </row>
    <row r="1452" spans="1:8" ht="15.5" x14ac:dyDescent="0.35">
      <c r="A1452" s="7">
        <v>1451</v>
      </c>
      <c r="B1452" s="12">
        <v>25273</v>
      </c>
      <c r="C1452" s="11" t="s">
        <v>1438</v>
      </c>
      <c r="D1452" s="9">
        <v>2000</v>
      </c>
      <c r="E1452" s="10">
        <v>2004</v>
      </c>
      <c r="F1452" s="36" t="str" cm="1">
        <f t="array" ref="F1452">_xlfn.XLOOKUP(D1452&amp;C1452, Sheet3!$C$2:$C$1224&amp;Sheet3!$B$2:$B$1224, Sheet3!$D$2:$D$1224, "")</f>
        <v>gatot_esti@yahoo.co.id</v>
      </c>
      <c r="G1452" s="1" t="str" cm="1">
        <f t="array" ref="G1452">_xlfn.XLOOKUP(D1452&amp;C1452, Sheet2!$A$2:$A$558&amp;Sheet2!$B$2:$B$558, Sheet2!$C$2:$C$558, "")</f>
        <v>gatot_esti@yahoo.co.id</v>
      </c>
      <c r="H1452" s="40" t="str">
        <f t="shared" si="22"/>
        <v>gatot_esti@yahoo.co.id</v>
      </c>
    </row>
    <row r="1453" spans="1:8" ht="15.5" x14ac:dyDescent="0.35">
      <c r="A1453" s="7">
        <v>1452</v>
      </c>
      <c r="B1453" s="12">
        <v>22397</v>
      </c>
      <c r="C1453" s="11" t="s">
        <v>1439</v>
      </c>
      <c r="D1453" s="9" t="s">
        <v>1077</v>
      </c>
      <c r="E1453" s="10">
        <v>2004</v>
      </c>
      <c r="F1453" s="36" t="str" cm="1">
        <f t="array" ref="F1453">_xlfn.XLOOKUP(D1453&amp;C1453, Sheet3!$C$2:$C$1224&amp;Sheet3!$B$2:$B$1224, Sheet3!$D$2:$D$1224, "")</f>
        <v/>
      </c>
      <c r="G1453" s="1" t="str" cm="1">
        <f t="array" ref="G1453">_xlfn.XLOOKUP(D1453&amp;C1453, Sheet2!$A$2:$A$558&amp;Sheet2!$B$2:$B$558, Sheet2!$C$2:$C$558, "")</f>
        <v/>
      </c>
      <c r="H1453" s="40" t="str">
        <f t="shared" si="22"/>
        <v/>
      </c>
    </row>
    <row r="1454" spans="1:8" ht="15.5" x14ac:dyDescent="0.35">
      <c r="A1454" s="7">
        <v>1453</v>
      </c>
      <c r="B1454" s="12">
        <v>24339</v>
      </c>
      <c r="C1454" s="11" t="s">
        <v>1440</v>
      </c>
      <c r="D1454" s="9" t="s">
        <v>1078</v>
      </c>
      <c r="E1454" s="10">
        <v>2004</v>
      </c>
      <c r="F1454" s="36" t="str" cm="1">
        <f t="array" ref="F1454">_xlfn.XLOOKUP(D1454&amp;C1454, Sheet3!$C$2:$C$1224&amp;Sheet3!$B$2:$B$1224, Sheet3!$D$2:$D$1224, "")</f>
        <v/>
      </c>
      <c r="G1454" s="1" t="str" cm="1">
        <f t="array" ref="G1454">_xlfn.XLOOKUP(D1454&amp;C1454, Sheet2!$A$2:$A$558&amp;Sheet2!$B$2:$B$558, Sheet2!$C$2:$C$558, "")</f>
        <v>m_ramli@yahoo.co.id</v>
      </c>
      <c r="H1454" s="40" t="str">
        <f t="shared" si="22"/>
        <v>m_ramli@yahoo.co.id</v>
      </c>
    </row>
    <row r="1455" spans="1:8" ht="15.5" x14ac:dyDescent="0.35">
      <c r="A1455" s="7">
        <v>1454</v>
      </c>
      <c r="B1455" s="12">
        <v>23676</v>
      </c>
      <c r="C1455" s="11" t="s">
        <v>1441</v>
      </c>
      <c r="D1455" s="9" t="s">
        <v>1078</v>
      </c>
      <c r="E1455" s="10">
        <v>2004</v>
      </c>
      <c r="F1455" s="36" t="str" cm="1">
        <f t="array" ref="F1455">_xlfn.XLOOKUP(D1455&amp;C1455, Sheet3!$C$2:$C$1224&amp;Sheet3!$B$2:$B$1224, Sheet3!$D$2:$D$1224, "")</f>
        <v>Made.martawan26@gmail.com</v>
      </c>
      <c r="G1455" s="1" t="str" cm="1">
        <f t="array" ref="G1455">_xlfn.XLOOKUP(D1455&amp;C1455, Sheet2!$A$2:$A$558&amp;Sheet2!$B$2:$B$558, Sheet2!$C$2:$C$558, "")</f>
        <v/>
      </c>
      <c r="H1455" s="40" t="str">
        <f t="shared" si="22"/>
        <v>Made.martawan26@gmail.com</v>
      </c>
    </row>
    <row r="1456" spans="1:8" ht="15.5" x14ac:dyDescent="0.35">
      <c r="A1456" s="7">
        <v>1455</v>
      </c>
      <c r="B1456" s="12">
        <v>22390</v>
      </c>
      <c r="C1456" s="11" t="s">
        <v>1442</v>
      </c>
      <c r="D1456" s="9" t="s">
        <v>1077</v>
      </c>
      <c r="E1456" s="10">
        <v>2004</v>
      </c>
      <c r="F1456" s="36" t="str" cm="1">
        <f t="array" ref="F1456">_xlfn.XLOOKUP(D1456&amp;C1456, Sheet3!$C$2:$C$1224&amp;Sheet3!$B$2:$B$1224, Sheet3!$D$2:$D$1224, "")</f>
        <v/>
      </c>
      <c r="G1456" s="1" t="str" cm="1">
        <f t="array" ref="G1456">_xlfn.XLOOKUP(D1456&amp;C1456, Sheet2!$A$2:$A$558&amp;Sheet2!$B$2:$B$558, Sheet2!$C$2:$C$558, "")</f>
        <v>arieyulfa@fis.unp.ac.id</v>
      </c>
      <c r="H1456" s="40" t="str">
        <f t="shared" si="22"/>
        <v>arieyulfa@fis.unp.ac.id</v>
      </c>
    </row>
    <row r="1457" spans="1:8" ht="15.5" x14ac:dyDescent="0.35">
      <c r="A1457" s="7">
        <v>1456</v>
      </c>
      <c r="B1457" s="12">
        <v>22431</v>
      </c>
      <c r="C1457" s="11" t="s">
        <v>1443</v>
      </c>
      <c r="D1457" s="9" t="s">
        <v>1077</v>
      </c>
      <c r="E1457" s="10">
        <v>2004</v>
      </c>
      <c r="F1457" s="36" t="str" cm="1">
        <f t="array" ref="F1457">_xlfn.XLOOKUP(D1457&amp;C1457, Sheet3!$C$2:$C$1224&amp;Sheet3!$B$2:$B$1224, Sheet3!$D$2:$D$1224, "")</f>
        <v/>
      </c>
      <c r="G1457" s="1" t="str" cm="1">
        <f t="array" ref="G1457">_xlfn.XLOOKUP(D1457&amp;C1457, Sheet2!$A$2:$A$558&amp;Sheet2!$B$2:$B$558, Sheet2!$C$2:$C$558, "")</f>
        <v>ikhwan_tgd@yahoo.co.id</v>
      </c>
      <c r="H1457" s="40" t="str">
        <f t="shared" si="22"/>
        <v>ikhwan_tgd@yahoo.co.id</v>
      </c>
    </row>
    <row r="1458" spans="1:8" ht="15.5" x14ac:dyDescent="0.35">
      <c r="A1458" s="7">
        <v>1457</v>
      </c>
      <c r="B1458" s="12">
        <v>23231</v>
      </c>
      <c r="C1458" s="11" t="s">
        <v>1444</v>
      </c>
      <c r="D1458" s="9" t="s">
        <v>1077</v>
      </c>
      <c r="E1458" s="10">
        <v>2004</v>
      </c>
      <c r="F1458" s="36" t="str" cm="1">
        <f t="array" ref="F1458">_xlfn.XLOOKUP(D1458&amp;C1458, Sheet3!$C$2:$C$1224&amp;Sheet3!$B$2:$B$1224, Sheet3!$D$2:$D$1224, "")</f>
        <v/>
      </c>
      <c r="G1458" s="1" t="str" cm="1">
        <f t="array" ref="G1458">_xlfn.XLOOKUP(D1458&amp;C1458, Sheet2!$A$2:$A$558&amp;Sheet2!$B$2:$B$558, Sheet2!$C$2:$C$558, "")</f>
        <v>thomas.hardy@bmkg.go.id</v>
      </c>
      <c r="H1458" s="40" t="str">
        <f t="shared" si="22"/>
        <v>thomas.hardy@bmkg.go.id</v>
      </c>
    </row>
    <row r="1459" spans="1:8" ht="15.5" x14ac:dyDescent="0.35">
      <c r="A1459" s="7">
        <v>1458</v>
      </c>
      <c r="B1459" s="12">
        <v>23236</v>
      </c>
      <c r="C1459" s="11" t="s">
        <v>1445</v>
      </c>
      <c r="D1459" s="9" t="s">
        <v>1077</v>
      </c>
      <c r="E1459" s="10">
        <v>2004</v>
      </c>
      <c r="F1459" s="36" t="str" cm="1">
        <f t="array" ref="F1459">_xlfn.XLOOKUP(D1459&amp;C1459, Sheet3!$C$2:$C$1224&amp;Sheet3!$B$2:$B$1224, Sheet3!$D$2:$D$1224, "")</f>
        <v/>
      </c>
      <c r="G1459" s="1" t="str" cm="1">
        <f t="array" ref="G1459">_xlfn.XLOOKUP(D1459&amp;C1459, Sheet2!$A$2:$A$558&amp;Sheet2!$B$2:$B$558, Sheet2!$C$2:$C$558, "")</f>
        <v>libria.sefitadewi@gmail.com</v>
      </c>
      <c r="H1459" s="40" t="str">
        <f t="shared" si="22"/>
        <v>libria.sefitadewi@gmail.com</v>
      </c>
    </row>
    <row r="1460" spans="1:8" ht="15.5" x14ac:dyDescent="0.35">
      <c r="A1460" s="7">
        <v>1459</v>
      </c>
      <c r="B1460" s="12">
        <v>23260</v>
      </c>
      <c r="C1460" s="11" t="s">
        <v>1446</v>
      </c>
      <c r="D1460" s="9" t="s">
        <v>1077</v>
      </c>
      <c r="E1460" s="10">
        <v>2004</v>
      </c>
      <c r="F1460" s="36" t="str" cm="1">
        <f t="array" ref="F1460">_xlfn.XLOOKUP(D1460&amp;C1460, Sheet3!$C$2:$C$1224&amp;Sheet3!$B$2:$B$1224, Sheet3!$D$2:$D$1224, "")</f>
        <v>hkustono79@gmail.com</v>
      </c>
      <c r="G1460" s="1" t="str" cm="1">
        <f t="array" ref="G1460">_xlfn.XLOOKUP(D1460&amp;C1460, Sheet2!$A$2:$A$558&amp;Sheet2!$B$2:$B$558, Sheet2!$C$2:$C$558, "")</f>
        <v/>
      </c>
      <c r="H1460" s="40" t="str">
        <f t="shared" si="22"/>
        <v>hkustono79@gmail.com</v>
      </c>
    </row>
    <row r="1461" spans="1:8" ht="15.5" x14ac:dyDescent="0.35">
      <c r="A1461" s="7">
        <v>1460</v>
      </c>
      <c r="B1461" s="12">
        <v>23637</v>
      </c>
      <c r="C1461" s="11" t="s">
        <v>1447</v>
      </c>
      <c r="D1461" s="9" t="s">
        <v>1078</v>
      </c>
      <c r="E1461" s="10">
        <v>2004</v>
      </c>
      <c r="F1461" s="36" t="str" cm="1">
        <f t="array" ref="F1461">_xlfn.XLOOKUP(D1461&amp;C1461, Sheet3!$C$2:$C$1224&amp;Sheet3!$B$2:$B$1224, Sheet3!$D$2:$D$1224, "")</f>
        <v/>
      </c>
      <c r="G1461" s="1" t="str" cm="1">
        <f t="array" ref="G1461">_xlfn.XLOOKUP(D1461&amp;C1461, Sheet2!$A$2:$A$558&amp;Sheet2!$B$2:$B$558, Sheet2!$C$2:$C$558, "")</f>
        <v/>
      </c>
      <c r="H1461" s="40" t="str">
        <f t="shared" si="22"/>
        <v/>
      </c>
    </row>
    <row r="1462" spans="1:8" ht="15.5" x14ac:dyDescent="0.35">
      <c r="A1462" s="7">
        <v>1461</v>
      </c>
      <c r="B1462" s="12">
        <v>23665</v>
      </c>
      <c r="C1462" s="11" t="s">
        <v>1448</v>
      </c>
      <c r="D1462" s="9" t="s">
        <v>1078</v>
      </c>
      <c r="E1462" s="10">
        <v>2004</v>
      </c>
      <c r="F1462" s="36" t="str" cm="1">
        <f t="array" ref="F1462">_xlfn.XLOOKUP(D1462&amp;C1462, Sheet3!$C$2:$C$1224&amp;Sheet3!$B$2:$B$1224, Sheet3!$D$2:$D$1224, "")</f>
        <v>hilmansyahmuhammad@yahoo.com</v>
      </c>
      <c r="G1462" s="1" t="str" cm="1">
        <f t="array" ref="G1462">_xlfn.XLOOKUP(D1462&amp;C1462, Sheet2!$A$2:$A$558&amp;Sheet2!$B$2:$B$558, Sheet2!$C$2:$C$558, "")</f>
        <v/>
      </c>
      <c r="H1462" s="40" t="str">
        <f t="shared" si="22"/>
        <v>hilmansyahmuhammad@yahoo.com</v>
      </c>
    </row>
    <row r="1463" spans="1:8" ht="15.5" x14ac:dyDescent="0.35">
      <c r="A1463" s="7">
        <v>1462</v>
      </c>
      <c r="B1463" s="12">
        <v>23724</v>
      </c>
      <c r="C1463" s="11" t="s">
        <v>1449</v>
      </c>
      <c r="D1463" s="9" t="s">
        <v>1078</v>
      </c>
      <c r="E1463" s="10">
        <v>2004</v>
      </c>
      <c r="F1463" s="36" t="str" cm="1">
        <f t="array" ref="F1463">_xlfn.XLOOKUP(D1463&amp;C1463, Sheet3!$C$2:$C$1224&amp;Sheet3!$B$2:$B$1224, Sheet3!$D$2:$D$1224, "")</f>
        <v>andikadado@gmail.com</v>
      </c>
      <c r="G1463" s="1" t="str" cm="1">
        <f t="array" ref="G1463">_xlfn.XLOOKUP(D1463&amp;C1463, Sheet2!$A$2:$A$558&amp;Sheet2!$B$2:$B$558, Sheet2!$C$2:$C$558, "")</f>
        <v/>
      </c>
      <c r="H1463" s="40" t="str">
        <f t="shared" si="22"/>
        <v>andikadado@gmail.com</v>
      </c>
    </row>
    <row r="1464" spans="1:8" ht="15.5" x14ac:dyDescent="0.35">
      <c r="A1464" s="7">
        <v>1463</v>
      </c>
      <c r="B1464" s="12">
        <v>24084</v>
      </c>
      <c r="C1464" s="11" t="s">
        <v>1450</v>
      </c>
      <c r="D1464" s="9" t="s">
        <v>1078</v>
      </c>
      <c r="E1464" s="10">
        <v>2004</v>
      </c>
      <c r="F1464" s="36" t="str" cm="1">
        <f t="array" ref="F1464">_xlfn.XLOOKUP(D1464&amp;C1464, Sheet3!$C$2:$C$1224&amp;Sheet3!$B$2:$B$1224, Sheet3!$D$2:$D$1224, "")</f>
        <v/>
      </c>
      <c r="G1464" s="1" t="str" cm="1">
        <f t="array" ref="G1464">_xlfn.XLOOKUP(D1464&amp;C1464, Sheet2!$A$2:$A$558&amp;Sheet2!$B$2:$B$558, Sheet2!$C$2:$C$558, "")</f>
        <v/>
      </c>
      <c r="H1464" s="40" t="str">
        <f t="shared" si="22"/>
        <v/>
      </c>
    </row>
    <row r="1465" spans="1:8" ht="15.5" x14ac:dyDescent="0.35">
      <c r="A1465" s="7">
        <v>1464</v>
      </c>
      <c r="B1465" s="12">
        <v>24127</v>
      </c>
      <c r="C1465" s="11" t="s">
        <v>1451</v>
      </c>
      <c r="D1465" s="9" t="s">
        <v>1078</v>
      </c>
      <c r="E1465" s="10">
        <v>2004</v>
      </c>
      <c r="F1465" s="36" t="str" cm="1">
        <f t="array" ref="F1465">_xlfn.XLOOKUP(D1465&amp;C1465, Sheet3!$C$2:$C$1224&amp;Sheet3!$B$2:$B$1224, Sheet3!$D$2:$D$1224, "")</f>
        <v>noviyanto1811@gmail.com</v>
      </c>
      <c r="G1465" s="1" t="str" cm="1">
        <f t="array" ref="G1465">_xlfn.XLOOKUP(D1465&amp;C1465, Sheet2!$A$2:$A$558&amp;Sheet2!$B$2:$B$558, Sheet2!$C$2:$C$558, "")</f>
        <v/>
      </c>
      <c r="H1465" s="40" t="str">
        <f t="shared" si="22"/>
        <v>noviyanto1811@gmail.com</v>
      </c>
    </row>
    <row r="1466" spans="1:8" ht="15.5" x14ac:dyDescent="0.35">
      <c r="A1466" s="7">
        <v>1465</v>
      </c>
      <c r="B1466" s="12">
        <v>25102</v>
      </c>
      <c r="C1466" s="11" t="s">
        <v>1452</v>
      </c>
      <c r="D1466" s="9">
        <v>2000</v>
      </c>
      <c r="E1466" s="10">
        <v>2004</v>
      </c>
      <c r="F1466" s="36" t="str" cm="1">
        <f t="array" ref="F1466">_xlfn.XLOOKUP(D1466&amp;C1466, Sheet3!$C$2:$C$1224&amp;Sheet3!$B$2:$B$1224, Sheet3!$D$2:$D$1224, "")</f>
        <v>bayu_triyogo@yahoo.co.uk</v>
      </c>
      <c r="G1466" s="1" t="str" cm="1">
        <f t="array" ref="G1466">_xlfn.XLOOKUP(D1466&amp;C1466, Sheet2!$A$2:$A$558&amp;Sheet2!$B$2:$B$558, Sheet2!$C$2:$C$558, "")</f>
        <v>bayutriyogo81@gmail.com</v>
      </c>
      <c r="H1466" s="40" t="str">
        <f t="shared" si="22"/>
        <v>bayu_triyogo@yahoo.co.uk</v>
      </c>
    </row>
    <row r="1467" spans="1:8" ht="15.5" x14ac:dyDescent="0.35">
      <c r="A1467" s="7">
        <v>1466</v>
      </c>
      <c r="B1467" s="12">
        <v>25139</v>
      </c>
      <c r="C1467" s="11" t="s">
        <v>1453</v>
      </c>
      <c r="D1467" s="9">
        <v>2000</v>
      </c>
      <c r="E1467" s="10">
        <v>2004</v>
      </c>
      <c r="F1467" s="36" t="str" cm="1">
        <f t="array" ref="F1467">_xlfn.XLOOKUP(D1467&amp;C1467, Sheet3!$C$2:$C$1224&amp;Sheet3!$B$2:$B$1224, Sheet3!$D$2:$D$1224, "")</f>
        <v>rahmanyaagung@gmail.com</v>
      </c>
      <c r="G1467" s="1" t="str" cm="1">
        <f t="array" ref="G1467">_xlfn.XLOOKUP(D1467&amp;C1467, Sheet2!$A$2:$A$558&amp;Sheet2!$B$2:$B$558, Sheet2!$C$2:$C$558, "")</f>
        <v/>
      </c>
      <c r="H1467" s="40" t="str">
        <f t="shared" si="22"/>
        <v>rahmanyaagung@gmail.com</v>
      </c>
    </row>
    <row r="1468" spans="1:8" ht="15.5" x14ac:dyDescent="0.35">
      <c r="A1468" s="7">
        <v>1467</v>
      </c>
      <c r="B1468" s="12">
        <v>25269</v>
      </c>
      <c r="C1468" s="11" t="s">
        <v>1454</v>
      </c>
      <c r="D1468" s="9">
        <v>2000</v>
      </c>
      <c r="E1468" s="10">
        <v>2004</v>
      </c>
      <c r="F1468" s="36" t="str" cm="1">
        <f t="array" ref="F1468">_xlfn.XLOOKUP(D1468&amp;C1468, Sheet3!$C$2:$C$1224&amp;Sheet3!$B$2:$B$1224, Sheet3!$D$2:$D$1224, "")</f>
        <v/>
      </c>
      <c r="G1468" s="1" t="str" cm="1">
        <f t="array" ref="G1468">_xlfn.XLOOKUP(D1468&amp;C1468, Sheet2!$A$2:$A$558&amp;Sheet2!$B$2:$B$558, Sheet2!$C$2:$C$558, "")</f>
        <v/>
      </c>
      <c r="H1468" s="40" t="str">
        <f t="shared" si="22"/>
        <v/>
      </c>
    </row>
    <row r="1469" spans="1:8" ht="15.5" x14ac:dyDescent="0.35">
      <c r="A1469" s="7">
        <v>1468</v>
      </c>
      <c r="B1469" s="12">
        <v>25470</v>
      </c>
      <c r="C1469" s="11" t="s">
        <v>1455</v>
      </c>
      <c r="D1469" s="9">
        <v>2000</v>
      </c>
      <c r="E1469" s="10">
        <v>2004</v>
      </c>
      <c r="F1469" s="36" t="str" cm="1">
        <f t="array" ref="F1469">_xlfn.XLOOKUP(D1469&amp;C1469, Sheet3!$C$2:$C$1224&amp;Sheet3!$B$2:$B$1224, Sheet3!$D$2:$D$1224, "")</f>
        <v>andre.tp.psp@gmail.com</v>
      </c>
      <c r="G1469" s="1" t="str" cm="1">
        <f t="array" ref="G1469">_xlfn.XLOOKUP(D1469&amp;C1469, Sheet2!$A$2:$A$558&amp;Sheet2!$B$2:$B$558, Sheet2!$C$2:$C$558, "")</f>
        <v>andre.tp.psp@gmail.com</v>
      </c>
      <c r="H1469" s="40" t="str">
        <f t="shared" si="22"/>
        <v>andre.tp.psp@gmail.com</v>
      </c>
    </row>
    <row r="1470" spans="1:8" ht="15.5" x14ac:dyDescent="0.35">
      <c r="A1470" s="7">
        <v>1469</v>
      </c>
      <c r="B1470" s="12">
        <v>25627</v>
      </c>
      <c r="C1470" s="11" t="s">
        <v>1456</v>
      </c>
      <c r="D1470" s="9">
        <v>2000</v>
      </c>
      <c r="E1470" s="10">
        <v>2004</v>
      </c>
      <c r="F1470" s="36" t="str" cm="1">
        <f t="array" ref="F1470">_xlfn.XLOOKUP(D1470&amp;C1470, Sheet3!$C$2:$C$1224&amp;Sheet3!$B$2:$B$1224, Sheet3!$D$2:$D$1224, "")</f>
        <v>titikhariyantist@gmail.com</v>
      </c>
      <c r="G1470" s="1" t="str" cm="1">
        <f t="array" ref="G1470">_xlfn.XLOOKUP(D1470&amp;C1470, Sheet2!$A$2:$A$558&amp;Sheet2!$B$2:$B$558, Sheet2!$C$2:$C$558, "")</f>
        <v/>
      </c>
      <c r="H1470" s="40" t="str">
        <f t="shared" si="22"/>
        <v>titikhariyantist@gmail.com</v>
      </c>
    </row>
    <row r="1471" spans="1:8" ht="15.5" x14ac:dyDescent="0.35">
      <c r="A1471" s="7">
        <v>1470</v>
      </c>
      <c r="B1471" s="12">
        <v>25871</v>
      </c>
      <c r="C1471" s="11" t="s">
        <v>1457</v>
      </c>
      <c r="D1471" s="9">
        <v>2000</v>
      </c>
      <c r="E1471" s="10">
        <v>2004</v>
      </c>
      <c r="F1471" s="36" t="str" cm="1">
        <f t="array" ref="F1471">_xlfn.XLOOKUP(D1471&amp;C1471, Sheet3!$C$2:$C$1224&amp;Sheet3!$B$2:$B$1224, Sheet3!$D$2:$D$1224, "")</f>
        <v/>
      </c>
      <c r="G1471" s="1" t="str" cm="1">
        <f t="array" ref="G1471">_xlfn.XLOOKUP(D1471&amp;C1471, Sheet2!$A$2:$A$558&amp;Sheet2!$B$2:$B$558, Sheet2!$C$2:$C$558, "")</f>
        <v/>
      </c>
      <c r="H1471" s="40" t="str">
        <f t="shared" si="22"/>
        <v/>
      </c>
    </row>
    <row r="1472" spans="1:8" ht="15.5" x14ac:dyDescent="0.35">
      <c r="A1472" s="7">
        <v>1471</v>
      </c>
      <c r="B1472" s="12">
        <v>24096</v>
      </c>
      <c r="C1472" s="11" t="s">
        <v>1458</v>
      </c>
      <c r="D1472" s="9" t="s">
        <v>1078</v>
      </c>
      <c r="E1472" s="10">
        <v>2004</v>
      </c>
      <c r="F1472" s="36" t="str" cm="1">
        <f t="array" ref="F1472">_xlfn.XLOOKUP(D1472&amp;C1472, Sheet3!$C$2:$C$1224&amp;Sheet3!$B$2:$B$1224, Sheet3!$D$2:$D$1224, "")</f>
        <v>Ariwfwicaksana.official@hmail.com</v>
      </c>
      <c r="G1472" s="1" t="str" cm="1">
        <f t="array" ref="G1472">_xlfn.XLOOKUP(D1472&amp;C1472, Sheet2!$A$2:$A$558&amp;Sheet2!$B$2:$B$558, Sheet2!$C$2:$C$558, "")</f>
        <v/>
      </c>
      <c r="H1472" s="40" t="str">
        <f t="shared" si="22"/>
        <v>Ariwfwicaksana.official@hmail.com</v>
      </c>
    </row>
    <row r="1473" spans="1:8" ht="15.5" x14ac:dyDescent="0.35">
      <c r="A1473" s="7">
        <v>1472</v>
      </c>
      <c r="B1473" s="12">
        <v>19851</v>
      </c>
      <c r="C1473" s="11" t="s">
        <v>1459</v>
      </c>
      <c r="D1473" s="9" t="s">
        <v>1074</v>
      </c>
      <c r="E1473" s="10">
        <v>2005</v>
      </c>
      <c r="F1473" s="36" t="str" cm="1">
        <f t="array" ref="F1473">_xlfn.XLOOKUP(D1473&amp;C1473, Sheet3!$C$2:$C$1224&amp;Sheet3!$B$2:$B$1224, Sheet3!$D$2:$D$1224, "")</f>
        <v/>
      </c>
      <c r="G1473" s="1" t="str" cm="1">
        <f t="array" ref="G1473">_xlfn.XLOOKUP(D1473&amp;C1473, Sheet2!$A$2:$A$558&amp;Sheet2!$B$2:$B$558, Sheet2!$C$2:$C$558, "")</f>
        <v/>
      </c>
      <c r="H1473" s="40" t="str">
        <f t="shared" si="22"/>
        <v/>
      </c>
    </row>
    <row r="1474" spans="1:8" ht="15.5" x14ac:dyDescent="0.35">
      <c r="A1474" s="7">
        <v>1473</v>
      </c>
      <c r="B1474" s="12">
        <v>22040</v>
      </c>
      <c r="C1474" s="11" t="s">
        <v>1460</v>
      </c>
      <c r="D1474" s="9" t="s">
        <v>1076</v>
      </c>
      <c r="E1474" s="10">
        <v>2005</v>
      </c>
      <c r="F1474" s="36" t="str" cm="1">
        <f t="array" ref="F1474">_xlfn.XLOOKUP(D1474&amp;C1474, Sheet3!$C$2:$C$1224&amp;Sheet3!$B$2:$B$1224, Sheet3!$D$2:$D$1224, "")</f>
        <v/>
      </c>
      <c r="G1474" s="1" t="str" cm="1">
        <f t="array" ref="G1474">_xlfn.XLOOKUP(D1474&amp;C1474, Sheet2!$A$2:$A$558&amp;Sheet2!$B$2:$B$558, Sheet2!$C$2:$C$558, "")</f>
        <v/>
      </c>
      <c r="H1474" s="40" t="str">
        <f t="shared" si="22"/>
        <v/>
      </c>
    </row>
    <row r="1475" spans="1:8" ht="15.5" x14ac:dyDescent="0.35">
      <c r="A1475" s="7">
        <v>1474</v>
      </c>
      <c r="B1475" s="12">
        <v>22402</v>
      </c>
      <c r="C1475" s="11" t="s">
        <v>1461</v>
      </c>
      <c r="D1475" s="9" t="s">
        <v>1077</v>
      </c>
      <c r="E1475" s="10">
        <v>2005</v>
      </c>
      <c r="F1475" s="36" t="str" cm="1">
        <f t="array" ref="F1475">_xlfn.XLOOKUP(D1475&amp;C1475, Sheet3!$C$2:$C$1224&amp;Sheet3!$B$2:$B$1224, Sheet3!$D$2:$D$1224, "")</f>
        <v>apanji25@gmail.com</v>
      </c>
      <c r="G1475" s="1" t="str" cm="1">
        <f t="array" ref="G1475">_xlfn.XLOOKUP(D1475&amp;C1475, Sheet2!$A$2:$A$558&amp;Sheet2!$B$2:$B$558, Sheet2!$C$2:$C$558, "")</f>
        <v>apanji25@gmail.com</v>
      </c>
      <c r="H1475" s="40" t="str">
        <f t="shared" ref="H1475:H1538" si="23">IF(F1475&lt;&gt;"",F1475,G1475)</f>
        <v>apanji25@gmail.com</v>
      </c>
    </row>
    <row r="1476" spans="1:8" ht="15.5" x14ac:dyDescent="0.35">
      <c r="A1476" s="7">
        <v>1475</v>
      </c>
      <c r="B1476" s="12">
        <v>23097</v>
      </c>
      <c r="C1476" s="11" t="s">
        <v>1462</v>
      </c>
      <c r="D1476" s="9" t="s">
        <v>1077</v>
      </c>
      <c r="E1476" s="10">
        <v>2005</v>
      </c>
      <c r="F1476" s="36" t="str" cm="1">
        <f t="array" ref="F1476">_xlfn.XLOOKUP(D1476&amp;C1476, Sheet3!$C$2:$C$1224&amp;Sheet3!$B$2:$B$1224, Sheet3!$D$2:$D$1224, "")</f>
        <v/>
      </c>
      <c r="G1476" s="1" t="str" cm="1">
        <f t="array" ref="G1476">_xlfn.XLOOKUP(D1476&amp;C1476, Sheet2!$A$2:$A$558&amp;Sheet2!$B$2:$B$558, Sheet2!$C$2:$C$558, "")</f>
        <v/>
      </c>
      <c r="H1476" s="40" t="str">
        <f t="shared" si="23"/>
        <v/>
      </c>
    </row>
    <row r="1477" spans="1:8" ht="15.5" x14ac:dyDescent="0.35">
      <c r="A1477" s="7">
        <v>1476</v>
      </c>
      <c r="B1477" s="12">
        <v>23167</v>
      </c>
      <c r="C1477" s="11" t="s">
        <v>1463</v>
      </c>
      <c r="D1477" s="9" t="s">
        <v>1077</v>
      </c>
      <c r="E1477" s="10">
        <v>2005</v>
      </c>
      <c r="F1477" s="36" t="str" cm="1">
        <f t="array" ref="F1477">_xlfn.XLOOKUP(D1477&amp;C1477, Sheet3!$C$2:$C$1224&amp;Sheet3!$B$2:$B$1224, Sheet3!$D$2:$D$1224, "")</f>
        <v/>
      </c>
      <c r="G1477" s="1" t="str" cm="1">
        <f t="array" ref="G1477">_xlfn.XLOOKUP(D1477&amp;C1477, Sheet2!$A$2:$A$558&amp;Sheet2!$B$2:$B$558, Sheet2!$C$2:$C$558, "")</f>
        <v/>
      </c>
      <c r="H1477" s="40" t="str">
        <f t="shared" si="23"/>
        <v/>
      </c>
    </row>
    <row r="1478" spans="1:8" ht="15.5" x14ac:dyDescent="0.35">
      <c r="A1478" s="7">
        <v>1477</v>
      </c>
      <c r="B1478" s="14">
        <v>23192</v>
      </c>
      <c r="C1478" s="15" t="s">
        <v>1464</v>
      </c>
      <c r="D1478" s="9" t="s">
        <v>1077</v>
      </c>
      <c r="E1478" s="10">
        <v>2005</v>
      </c>
      <c r="F1478" s="36" t="str" cm="1">
        <f t="array" ref="F1478">_xlfn.XLOOKUP(D1478&amp;C1478, Sheet3!$C$2:$C$1224&amp;Sheet3!$B$2:$B$1224, Sheet3!$D$2:$D$1224, "")</f>
        <v/>
      </c>
      <c r="G1478" s="1" t="str" cm="1">
        <f t="array" ref="G1478">_xlfn.XLOOKUP(D1478&amp;C1478, Sheet2!$A$2:$A$558&amp;Sheet2!$B$2:$B$558, Sheet2!$C$2:$C$558, "")</f>
        <v>agung1mur@gmail.com</v>
      </c>
      <c r="H1478" s="40" t="str">
        <f t="shared" si="23"/>
        <v>agung1mur@gmail.com</v>
      </c>
    </row>
    <row r="1479" spans="1:8" ht="15.5" x14ac:dyDescent="0.35">
      <c r="A1479" s="7">
        <v>1478</v>
      </c>
      <c r="B1479" s="12">
        <v>23221</v>
      </c>
      <c r="C1479" s="11" t="s">
        <v>1465</v>
      </c>
      <c r="D1479" s="9" t="s">
        <v>1077</v>
      </c>
      <c r="E1479" s="10">
        <v>2005</v>
      </c>
      <c r="F1479" s="36" t="str" cm="1">
        <f t="array" ref="F1479">_xlfn.XLOOKUP(D1479&amp;C1479, Sheet3!$C$2:$C$1224&amp;Sheet3!$B$2:$B$1224, Sheet3!$D$2:$D$1224, "")</f>
        <v>2121adityadimas@gmail.com</v>
      </c>
      <c r="G1479" s="1" t="str" cm="1">
        <f t="array" ref="G1479">_xlfn.XLOOKUP(D1479&amp;C1479, Sheet2!$A$2:$A$558&amp;Sheet2!$B$2:$B$558, Sheet2!$C$2:$C$558, "")</f>
        <v/>
      </c>
      <c r="H1479" s="40" t="str">
        <f t="shared" si="23"/>
        <v>2121adityadimas@gmail.com</v>
      </c>
    </row>
    <row r="1480" spans="1:8" ht="15.5" x14ac:dyDescent="0.35">
      <c r="A1480" s="7">
        <v>1479</v>
      </c>
      <c r="B1480" s="12">
        <v>23317</v>
      </c>
      <c r="C1480" s="11" t="s">
        <v>1466</v>
      </c>
      <c r="D1480" s="9" t="s">
        <v>1077</v>
      </c>
      <c r="E1480" s="10">
        <v>2005</v>
      </c>
      <c r="F1480" s="36" t="str" cm="1">
        <f t="array" ref="F1480">_xlfn.XLOOKUP(D1480&amp;C1480, Sheet3!$C$2:$C$1224&amp;Sheet3!$B$2:$B$1224, Sheet3!$D$2:$D$1224, "")</f>
        <v/>
      </c>
      <c r="G1480" s="1" t="str" cm="1">
        <f t="array" ref="G1480">_xlfn.XLOOKUP(D1480&amp;C1480, Sheet2!$A$2:$A$558&amp;Sheet2!$B$2:$B$558, Sheet2!$C$2:$C$558, "")</f>
        <v/>
      </c>
      <c r="H1480" s="40" t="str">
        <f t="shared" si="23"/>
        <v/>
      </c>
    </row>
    <row r="1481" spans="1:8" ht="15.5" x14ac:dyDescent="0.35">
      <c r="A1481" s="7">
        <v>1480</v>
      </c>
      <c r="B1481" s="12">
        <v>23808</v>
      </c>
      <c r="C1481" s="11" t="s">
        <v>1467</v>
      </c>
      <c r="D1481" s="9" t="s">
        <v>1078</v>
      </c>
      <c r="E1481" s="10">
        <v>2005</v>
      </c>
      <c r="F1481" s="36" t="str" cm="1">
        <f t="array" ref="F1481">_xlfn.XLOOKUP(D1481&amp;C1481, Sheet3!$C$2:$C$1224&amp;Sheet3!$B$2:$B$1224, Sheet3!$D$2:$D$1224, "")</f>
        <v>Elfirapanay5290@gmail.com</v>
      </c>
      <c r="G1481" s="1" t="str" cm="1">
        <f t="array" ref="G1481">_xlfn.XLOOKUP(D1481&amp;C1481, Sheet2!$A$2:$A$558&amp;Sheet2!$B$2:$B$558, Sheet2!$C$2:$C$558, "")</f>
        <v/>
      </c>
      <c r="H1481" s="40" t="str">
        <f t="shared" si="23"/>
        <v>Elfirapanay5290@gmail.com</v>
      </c>
    </row>
    <row r="1482" spans="1:8" ht="15.5" x14ac:dyDescent="0.35">
      <c r="A1482" s="7">
        <v>1481</v>
      </c>
      <c r="B1482" s="12">
        <v>23883</v>
      </c>
      <c r="C1482" s="11" t="s">
        <v>1468</v>
      </c>
      <c r="D1482" s="9" t="s">
        <v>1078</v>
      </c>
      <c r="E1482" s="10">
        <v>2005</v>
      </c>
      <c r="F1482" s="36" t="str" cm="1">
        <f t="array" ref="F1482">_xlfn.XLOOKUP(D1482&amp;C1482, Sheet3!$C$2:$C$1224&amp;Sheet3!$B$2:$B$1224, Sheet3!$D$2:$D$1224, "")</f>
        <v/>
      </c>
      <c r="G1482" s="1" t="str" cm="1">
        <f t="array" ref="G1482">_xlfn.XLOOKUP(D1482&amp;C1482, Sheet2!$A$2:$A$558&amp;Sheet2!$B$2:$B$558, Sheet2!$C$2:$C$558, "")</f>
        <v/>
      </c>
      <c r="H1482" s="40" t="str">
        <f t="shared" si="23"/>
        <v/>
      </c>
    </row>
    <row r="1483" spans="1:8" ht="15.5" x14ac:dyDescent="0.35">
      <c r="A1483" s="7">
        <v>1482</v>
      </c>
      <c r="B1483" s="12">
        <v>23972</v>
      </c>
      <c r="C1483" s="11" t="s">
        <v>1469</v>
      </c>
      <c r="D1483" s="9" t="s">
        <v>1078</v>
      </c>
      <c r="E1483" s="10">
        <v>2005</v>
      </c>
      <c r="F1483" s="36" t="str" cm="1">
        <f t="array" ref="F1483">_xlfn.XLOOKUP(D1483&amp;C1483, Sheet3!$C$2:$C$1224&amp;Sheet3!$B$2:$B$1224, Sheet3!$D$2:$D$1224, "")</f>
        <v/>
      </c>
      <c r="G1483" s="1" t="str" cm="1">
        <f t="array" ref="G1483">_xlfn.XLOOKUP(D1483&amp;C1483, Sheet2!$A$2:$A$558&amp;Sheet2!$B$2:$B$558, Sheet2!$C$2:$C$558, "")</f>
        <v/>
      </c>
      <c r="H1483" s="40" t="str">
        <f t="shared" si="23"/>
        <v/>
      </c>
    </row>
    <row r="1484" spans="1:8" ht="15.5" x14ac:dyDescent="0.35">
      <c r="A1484" s="7">
        <v>1483</v>
      </c>
      <c r="B1484" s="12">
        <v>24040</v>
      </c>
      <c r="C1484" s="11" t="s">
        <v>1470</v>
      </c>
      <c r="D1484" s="9" t="s">
        <v>1078</v>
      </c>
      <c r="E1484" s="10">
        <v>2005</v>
      </c>
      <c r="F1484" s="36" t="str" cm="1">
        <f t="array" ref="F1484">_xlfn.XLOOKUP(D1484&amp;C1484, Sheet3!$C$2:$C$1224&amp;Sheet3!$B$2:$B$1224, Sheet3!$D$2:$D$1224, "")</f>
        <v/>
      </c>
      <c r="G1484" s="1" t="str" cm="1">
        <f t="array" ref="G1484">_xlfn.XLOOKUP(D1484&amp;C1484, Sheet2!$A$2:$A$558&amp;Sheet2!$B$2:$B$558, Sheet2!$C$2:$C$558, "")</f>
        <v>echo.wibi@gmail.com</v>
      </c>
      <c r="H1484" s="40" t="str">
        <f t="shared" si="23"/>
        <v>echo.wibi@gmail.com</v>
      </c>
    </row>
    <row r="1485" spans="1:8" ht="15.5" x14ac:dyDescent="0.35">
      <c r="A1485" s="7">
        <v>1484</v>
      </c>
      <c r="B1485" s="12">
        <v>24062</v>
      </c>
      <c r="C1485" s="11" t="s">
        <v>1471</v>
      </c>
      <c r="D1485" s="9" t="s">
        <v>1078</v>
      </c>
      <c r="E1485" s="10">
        <v>2005</v>
      </c>
      <c r="F1485" s="36" t="str" cm="1">
        <f t="array" ref="F1485">_xlfn.XLOOKUP(D1485&amp;C1485, Sheet3!$C$2:$C$1224&amp;Sheet3!$B$2:$B$1224, Sheet3!$D$2:$D$1224, "")</f>
        <v>hendrizaki@gmail.com</v>
      </c>
      <c r="G1485" s="1" t="str" cm="1">
        <f t="array" ref="G1485">_xlfn.XLOOKUP(D1485&amp;C1485, Sheet2!$A$2:$A$558&amp;Sheet2!$B$2:$B$558, Sheet2!$C$2:$C$558, "")</f>
        <v/>
      </c>
      <c r="H1485" s="40" t="str">
        <f t="shared" si="23"/>
        <v>hendrizaki@gmail.com</v>
      </c>
    </row>
    <row r="1486" spans="1:8" ht="15.5" x14ac:dyDescent="0.35">
      <c r="A1486" s="7">
        <v>1485</v>
      </c>
      <c r="B1486" s="12">
        <v>24097</v>
      </c>
      <c r="C1486" s="11" t="s">
        <v>1472</v>
      </c>
      <c r="D1486" s="9" t="s">
        <v>1078</v>
      </c>
      <c r="E1486" s="10">
        <v>2005</v>
      </c>
      <c r="F1486" s="36" t="str" cm="1">
        <f t="array" ref="F1486">_xlfn.XLOOKUP(D1486&amp;C1486, Sheet3!$C$2:$C$1224&amp;Sheet3!$B$2:$B$1224, Sheet3!$D$2:$D$1224, "")</f>
        <v>susenohardi@gmail.com</v>
      </c>
      <c r="G1486" s="1" t="str" cm="1">
        <f t="array" ref="G1486">_xlfn.XLOOKUP(D1486&amp;C1486, Sheet2!$A$2:$A$558&amp;Sheet2!$B$2:$B$558, Sheet2!$C$2:$C$558, "")</f>
        <v/>
      </c>
      <c r="H1486" s="40" t="str">
        <f t="shared" si="23"/>
        <v>susenohardi@gmail.com</v>
      </c>
    </row>
    <row r="1487" spans="1:8" ht="15.5" x14ac:dyDescent="0.35">
      <c r="A1487" s="7">
        <v>1486</v>
      </c>
      <c r="B1487" s="12">
        <v>24247</v>
      </c>
      <c r="C1487" s="11" t="s">
        <v>1473</v>
      </c>
      <c r="D1487" s="9" t="s">
        <v>1078</v>
      </c>
      <c r="E1487" s="10">
        <v>2005</v>
      </c>
      <c r="F1487" s="36" t="str" cm="1">
        <f t="array" ref="F1487">_xlfn.XLOOKUP(D1487&amp;C1487, Sheet3!$C$2:$C$1224&amp;Sheet3!$B$2:$B$1224, Sheet3!$D$2:$D$1224, "")</f>
        <v>olybert21dabutar@gmail.com</v>
      </c>
      <c r="G1487" s="1" t="str" cm="1">
        <f t="array" ref="G1487">_xlfn.XLOOKUP(D1487&amp;C1487, Sheet2!$A$2:$A$558&amp;Sheet2!$B$2:$B$558, Sheet2!$C$2:$C$558, "")</f>
        <v/>
      </c>
      <c r="H1487" s="40" t="str">
        <f t="shared" si="23"/>
        <v>olybert21dabutar@gmail.com</v>
      </c>
    </row>
    <row r="1488" spans="1:8" ht="15.5" x14ac:dyDescent="0.35">
      <c r="A1488" s="7">
        <v>1487</v>
      </c>
      <c r="B1488" s="12">
        <v>24303</v>
      </c>
      <c r="C1488" s="11" t="s">
        <v>1474</v>
      </c>
      <c r="D1488" s="9" t="s">
        <v>1078</v>
      </c>
      <c r="E1488" s="10">
        <v>2005</v>
      </c>
      <c r="F1488" s="36" t="str" cm="1">
        <f t="array" ref="F1488">_xlfn.XLOOKUP(D1488&amp;C1488, Sheet3!$C$2:$C$1224&amp;Sheet3!$B$2:$B$1224, Sheet3!$D$2:$D$1224, "")</f>
        <v/>
      </c>
      <c r="G1488" s="1" t="str" cm="1">
        <f t="array" ref="G1488">_xlfn.XLOOKUP(D1488&amp;C1488, Sheet2!$A$2:$A$558&amp;Sheet2!$B$2:$B$558, Sheet2!$C$2:$C$558, "")</f>
        <v/>
      </c>
      <c r="H1488" s="40" t="str">
        <f t="shared" si="23"/>
        <v/>
      </c>
    </row>
    <row r="1489" spans="1:8" ht="15.5" x14ac:dyDescent="0.35">
      <c r="A1489" s="7">
        <v>1488</v>
      </c>
      <c r="B1489" s="12">
        <v>24412</v>
      </c>
      <c r="C1489" s="11" t="s">
        <v>206</v>
      </c>
      <c r="D1489" s="9" t="s">
        <v>1078</v>
      </c>
      <c r="E1489" s="10">
        <v>2005</v>
      </c>
      <c r="F1489" s="36" t="str" cm="1">
        <f t="array" ref="F1489">_xlfn.XLOOKUP(D1489&amp;C1489, Sheet3!$C$2:$C$1224&amp;Sheet3!$B$2:$B$1224, Sheet3!$D$2:$D$1224, "")</f>
        <v/>
      </c>
      <c r="G1489" s="1" t="str" cm="1">
        <f t="array" ref="G1489">_xlfn.XLOOKUP(D1489&amp;C1489, Sheet2!$A$2:$A$558&amp;Sheet2!$B$2:$B$558, Sheet2!$C$2:$C$558, "")</f>
        <v/>
      </c>
      <c r="H1489" s="40" t="str">
        <f t="shared" si="23"/>
        <v/>
      </c>
    </row>
    <row r="1490" spans="1:8" ht="15.5" x14ac:dyDescent="0.35">
      <c r="A1490" s="7">
        <v>1489</v>
      </c>
      <c r="B1490" s="12">
        <v>24438</v>
      </c>
      <c r="C1490" s="11" t="s">
        <v>1475</v>
      </c>
      <c r="D1490" s="9" t="s">
        <v>1078</v>
      </c>
      <c r="E1490" s="10">
        <v>2005</v>
      </c>
      <c r="F1490" s="36" t="str" cm="1">
        <f t="array" ref="F1490">_xlfn.XLOOKUP(D1490&amp;C1490, Sheet3!$C$2:$C$1224&amp;Sheet3!$B$2:$B$1224, Sheet3!$D$2:$D$1224, "")</f>
        <v>ade.cdr@gmail.com</v>
      </c>
      <c r="G1490" s="1" t="str" cm="1">
        <f t="array" ref="G1490">_xlfn.XLOOKUP(D1490&amp;C1490, Sheet2!$A$2:$A$558&amp;Sheet2!$B$2:$B$558, Sheet2!$C$2:$C$558, "")</f>
        <v/>
      </c>
      <c r="H1490" s="40" t="str">
        <f t="shared" si="23"/>
        <v>ade.cdr@gmail.com</v>
      </c>
    </row>
    <row r="1491" spans="1:8" ht="15.5" x14ac:dyDescent="0.35">
      <c r="A1491" s="7">
        <v>1490</v>
      </c>
      <c r="B1491" s="12">
        <v>24504</v>
      </c>
      <c r="C1491" s="11" t="s">
        <v>1476</v>
      </c>
      <c r="D1491" s="9" t="s">
        <v>1078</v>
      </c>
      <c r="E1491" s="10">
        <v>2005</v>
      </c>
      <c r="F1491" s="36" t="str" cm="1">
        <f t="array" ref="F1491">_xlfn.XLOOKUP(D1491&amp;C1491, Sheet3!$C$2:$C$1224&amp;Sheet3!$B$2:$B$1224, Sheet3!$D$2:$D$1224, "")</f>
        <v>arissetiyadi@yahoo.com</v>
      </c>
      <c r="G1491" s="1" t="str" cm="1">
        <f t="array" ref="G1491">_xlfn.XLOOKUP(D1491&amp;C1491, Sheet2!$A$2:$A$558&amp;Sheet2!$B$2:$B$558, Sheet2!$C$2:$C$558, "")</f>
        <v>arissetiyadi@yahoo.com</v>
      </c>
      <c r="H1491" s="40" t="str">
        <f t="shared" si="23"/>
        <v>arissetiyadi@yahoo.com</v>
      </c>
    </row>
    <row r="1492" spans="1:8" ht="15.5" x14ac:dyDescent="0.35">
      <c r="A1492" s="7">
        <v>1491</v>
      </c>
      <c r="B1492" s="12">
        <v>24542</v>
      </c>
      <c r="C1492" s="11" t="s">
        <v>1477</v>
      </c>
      <c r="D1492" s="9" t="s">
        <v>1078</v>
      </c>
      <c r="E1492" s="10">
        <v>2005</v>
      </c>
      <c r="F1492" s="36" t="str" cm="1">
        <f t="array" ref="F1492">_xlfn.XLOOKUP(D1492&amp;C1492, Sheet3!$C$2:$C$1224&amp;Sheet3!$B$2:$B$1224, Sheet3!$D$2:$D$1224, "")</f>
        <v>arifsetiawan12@gmail.com</v>
      </c>
      <c r="G1492" s="1" t="str" cm="1">
        <f t="array" ref="G1492">_xlfn.XLOOKUP(D1492&amp;C1492, Sheet2!$A$2:$A$558&amp;Sheet2!$B$2:$B$558, Sheet2!$C$2:$C$558, "")</f>
        <v>asetiawan.fsi@gmail.com</v>
      </c>
      <c r="H1492" s="40" t="str">
        <f t="shared" si="23"/>
        <v>arifsetiawan12@gmail.com</v>
      </c>
    </row>
    <row r="1493" spans="1:8" ht="15.5" x14ac:dyDescent="0.35">
      <c r="A1493" s="7">
        <v>1492</v>
      </c>
      <c r="B1493" s="12">
        <v>25261</v>
      </c>
      <c r="C1493" s="11" t="s">
        <v>1492</v>
      </c>
      <c r="D1493" s="12" t="s">
        <v>1486</v>
      </c>
      <c r="E1493" s="10">
        <v>2005</v>
      </c>
      <c r="F1493" s="36" t="str" cm="1">
        <f t="array" ref="F1493">_xlfn.XLOOKUP(D1493&amp;C1493, Sheet3!$C$2:$C$1224&amp;Sheet3!$B$2:$B$1224, Sheet3!$D$2:$D$1224, "")</f>
        <v/>
      </c>
      <c r="G1493" s="1" t="str" cm="1">
        <f t="array" ref="G1493">_xlfn.XLOOKUP(D1493&amp;C1493, Sheet2!$A$2:$A$558&amp;Sheet2!$B$2:$B$558, Sheet2!$C$2:$C$558, "")</f>
        <v/>
      </c>
      <c r="H1493" s="40" t="str">
        <f t="shared" si="23"/>
        <v/>
      </c>
    </row>
    <row r="1494" spans="1:8" ht="15.5" x14ac:dyDescent="0.35">
      <c r="A1494" s="7">
        <v>1493</v>
      </c>
      <c r="B1494" s="12">
        <v>25363</v>
      </c>
      <c r="C1494" s="11" t="s">
        <v>1493</v>
      </c>
      <c r="D1494" s="12" t="s">
        <v>1486</v>
      </c>
      <c r="E1494" s="10">
        <v>2005</v>
      </c>
      <c r="F1494" s="36" t="str" cm="1">
        <f t="array" ref="F1494">_xlfn.XLOOKUP(D1494&amp;C1494, Sheet3!$C$2:$C$1224&amp;Sheet3!$B$2:$B$1224, Sheet3!$D$2:$D$1224, "")</f>
        <v>masri.limart@gmail.com</v>
      </c>
      <c r="G1494" s="1" t="str" cm="1">
        <f t="array" ref="G1494">_xlfn.XLOOKUP(D1494&amp;C1494, Sheet2!$A$2:$A$558&amp;Sheet2!$B$2:$B$558, Sheet2!$C$2:$C$558, "")</f>
        <v>masri.limart@gmail.com</v>
      </c>
      <c r="H1494" s="40" t="str">
        <f t="shared" si="23"/>
        <v>masri.limart@gmail.com</v>
      </c>
    </row>
    <row r="1495" spans="1:8" ht="15.5" x14ac:dyDescent="0.35">
      <c r="A1495" s="7">
        <v>1494</v>
      </c>
      <c r="B1495" s="12">
        <v>25780</v>
      </c>
      <c r="C1495" s="11" t="s">
        <v>1494</v>
      </c>
      <c r="D1495" s="12" t="s">
        <v>1486</v>
      </c>
      <c r="E1495" s="10">
        <v>2005</v>
      </c>
      <c r="F1495" s="36" t="str" cm="1">
        <f t="array" ref="F1495">_xlfn.XLOOKUP(D1495&amp;C1495, Sheet3!$C$2:$C$1224&amp;Sheet3!$B$2:$B$1224, Sheet3!$D$2:$D$1224, "")</f>
        <v/>
      </c>
      <c r="G1495" s="1" t="str" cm="1">
        <f t="array" ref="G1495">_xlfn.XLOOKUP(D1495&amp;C1495, Sheet2!$A$2:$A$558&amp;Sheet2!$B$2:$B$558, Sheet2!$C$2:$C$558, "")</f>
        <v>dharuwedy@gmail.com</v>
      </c>
      <c r="H1495" s="40" t="str">
        <f t="shared" si="23"/>
        <v>dharuwedy@gmail.com</v>
      </c>
    </row>
    <row r="1496" spans="1:8" ht="15.5" x14ac:dyDescent="0.35">
      <c r="A1496" s="7">
        <v>1495</v>
      </c>
      <c r="B1496" s="12">
        <v>25011</v>
      </c>
      <c r="C1496" s="11" t="s">
        <v>1495</v>
      </c>
      <c r="D1496" s="12" t="s">
        <v>1486</v>
      </c>
      <c r="E1496" s="10">
        <v>2005</v>
      </c>
      <c r="F1496" s="36" t="str" cm="1">
        <f t="array" ref="F1496">_xlfn.XLOOKUP(D1496&amp;C1496, Sheet3!$C$2:$C$1224&amp;Sheet3!$B$2:$B$1224, Sheet3!$D$2:$D$1224, "")</f>
        <v/>
      </c>
      <c r="G1496" s="1" t="str" cm="1">
        <f t="array" ref="G1496">_xlfn.XLOOKUP(D1496&amp;C1496, Sheet2!$A$2:$A$558&amp;Sheet2!$B$2:$B$558, Sheet2!$C$2:$C$558, "")</f>
        <v>chuckdewi07@gmail.com</v>
      </c>
      <c r="H1496" s="40" t="str">
        <f t="shared" si="23"/>
        <v>chuckdewi07@gmail.com</v>
      </c>
    </row>
    <row r="1497" spans="1:8" ht="15.5" x14ac:dyDescent="0.35">
      <c r="A1497" s="7">
        <v>1496</v>
      </c>
      <c r="B1497" s="12">
        <v>25030</v>
      </c>
      <c r="C1497" s="11" t="s">
        <v>1496</v>
      </c>
      <c r="D1497" s="12" t="s">
        <v>1486</v>
      </c>
      <c r="E1497" s="10">
        <v>2005</v>
      </c>
      <c r="F1497" s="36" t="str" cm="1">
        <f t="array" ref="F1497">_xlfn.XLOOKUP(D1497&amp;C1497, Sheet3!$C$2:$C$1224&amp;Sheet3!$B$2:$B$1224, Sheet3!$D$2:$D$1224, "")</f>
        <v/>
      </c>
      <c r="G1497" s="1" t="str" cm="1">
        <f t="array" ref="G1497">_xlfn.XLOOKUP(D1497&amp;C1497, Sheet2!$A$2:$A$558&amp;Sheet2!$B$2:$B$558, Sheet2!$C$2:$C$558, "")</f>
        <v/>
      </c>
      <c r="H1497" s="40" t="str">
        <f t="shared" si="23"/>
        <v/>
      </c>
    </row>
    <row r="1498" spans="1:8" ht="15.5" x14ac:dyDescent="0.35">
      <c r="A1498" s="7">
        <v>1497</v>
      </c>
      <c r="B1498" s="12">
        <v>25152</v>
      </c>
      <c r="C1498" s="11" t="s">
        <v>1497</v>
      </c>
      <c r="D1498" s="12" t="s">
        <v>1486</v>
      </c>
      <c r="E1498" s="10">
        <v>2005</v>
      </c>
      <c r="F1498" s="36" t="str" cm="1">
        <f t="array" ref="F1498">_xlfn.XLOOKUP(D1498&amp;C1498, Sheet3!$C$2:$C$1224&amp;Sheet3!$B$2:$B$1224, Sheet3!$D$2:$D$1224, "")</f>
        <v>iwanroshayani@gmail.com</v>
      </c>
      <c r="G1498" s="1" t="str" cm="1">
        <f t="array" ref="G1498">_xlfn.XLOOKUP(D1498&amp;C1498, Sheet2!$A$2:$A$558&amp;Sheet2!$B$2:$B$558, Sheet2!$C$2:$C$558, "")</f>
        <v>iwan.nurhidayat@perhutani.co.id</v>
      </c>
      <c r="H1498" s="40" t="str">
        <f t="shared" si="23"/>
        <v>iwanroshayani@gmail.com</v>
      </c>
    </row>
    <row r="1499" spans="1:8" ht="15.5" x14ac:dyDescent="0.35">
      <c r="A1499" s="7">
        <v>1498</v>
      </c>
      <c r="B1499" s="12">
        <v>25262</v>
      </c>
      <c r="C1499" s="11" t="s">
        <v>1498</v>
      </c>
      <c r="D1499" s="12" t="s">
        <v>1486</v>
      </c>
      <c r="E1499" s="10">
        <v>2005</v>
      </c>
      <c r="F1499" s="36" t="str" cm="1">
        <f t="array" ref="F1499">_xlfn.XLOOKUP(D1499&amp;C1499, Sheet3!$C$2:$C$1224&amp;Sheet3!$B$2:$B$1224, Sheet3!$D$2:$D$1224, "")</f>
        <v>anitarosalina82@gmail.com</v>
      </c>
      <c r="G1499" s="1" t="str" cm="1">
        <f t="array" ref="G1499">_xlfn.XLOOKUP(D1499&amp;C1499, Sheet2!$A$2:$A$558&amp;Sheet2!$B$2:$B$558, Sheet2!$C$2:$C$558, "")</f>
        <v/>
      </c>
      <c r="H1499" s="40" t="str">
        <f t="shared" si="23"/>
        <v>anitarosalina82@gmail.com</v>
      </c>
    </row>
    <row r="1500" spans="1:8" ht="15.5" x14ac:dyDescent="0.35">
      <c r="A1500" s="7">
        <v>1499</v>
      </c>
      <c r="B1500" s="12">
        <v>25272</v>
      </c>
      <c r="C1500" s="11" t="s">
        <v>1499</v>
      </c>
      <c r="D1500" s="12" t="s">
        <v>1486</v>
      </c>
      <c r="E1500" s="10">
        <v>2005</v>
      </c>
      <c r="F1500" s="36" t="str" cm="1">
        <f t="array" ref="F1500">_xlfn.XLOOKUP(D1500&amp;C1500, Sheet3!$C$2:$C$1224&amp;Sheet3!$B$2:$B$1224, Sheet3!$D$2:$D$1224, "")</f>
        <v>ulli_cancer@yahoo.com</v>
      </c>
      <c r="G1500" s="1" t="str" cm="1">
        <f t="array" ref="G1500">_xlfn.XLOOKUP(D1500&amp;C1500, Sheet2!$A$2:$A$558&amp;Sheet2!$B$2:$B$558, Sheet2!$C$2:$C$558, "")</f>
        <v/>
      </c>
      <c r="H1500" s="40" t="str">
        <f t="shared" si="23"/>
        <v>ulli_cancer@yahoo.com</v>
      </c>
    </row>
    <row r="1501" spans="1:8" ht="15.5" x14ac:dyDescent="0.35">
      <c r="A1501" s="7">
        <v>1500</v>
      </c>
      <c r="B1501" s="12">
        <v>25343</v>
      </c>
      <c r="C1501" s="11" t="s">
        <v>1500</v>
      </c>
      <c r="D1501" s="12" t="s">
        <v>1486</v>
      </c>
      <c r="E1501" s="10">
        <v>2005</v>
      </c>
      <c r="F1501" s="36" t="str" cm="1">
        <f t="array" ref="F1501">_xlfn.XLOOKUP(D1501&amp;C1501, Sheet3!$C$2:$C$1224&amp;Sheet3!$B$2:$B$1224, Sheet3!$D$2:$D$1224, "")</f>
        <v>ruliandaru@ugm.ac.id</v>
      </c>
      <c r="G1501" s="1" t="str" cm="1">
        <f t="array" ref="G1501">_xlfn.XLOOKUP(D1501&amp;C1501, Sheet2!$A$2:$A$558&amp;Sheet2!$B$2:$B$558, Sheet2!$C$2:$C$558, "")</f>
        <v>ruliandaru@ugm.ac.id</v>
      </c>
      <c r="H1501" s="40" t="str">
        <f t="shared" si="23"/>
        <v>ruliandaru@ugm.ac.id</v>
      </c>
    </row>
    <row r="1502" spans="1:8" ht="15.5" x14ac:dyDescent="0.35">
      <c r="A1502" s="7">
        <v>1501</v>
      </c>
      <c r="B1502" s="12">
        <v>25546</v>
      </c>
      <c r="C1502" s="11" t="s">
        <v>1501</v>
      </c>
      <c r="D1502" s="12" t="s">
        <v>1486</v>
      </c>
      <c r="E1502" s="10">
        <v>2005</v>
      </c>
      <c r="F1502" s="36" t="str" cm="1">
        <f t="array" ref="F1502">_xlfn.XLOOKUP(D1502&amp;C1502, Sheet3!$C$2:$C$1224&amp;Sheet3!$B$2:$B$1224, Sheet3!$D$2:$D$1224, "")</f>
        <v/>
      </c>
      <c r="G1502" s="1" t="str" cm="1">
        <f t="array" ref="G1502">_xlfn.XLOOKUP(D1502&amp;C1502, Sheet2!$A$2:$A$558&amp;Sheet2!$B$2:$B$558, Sheet2!$C$2:$C$558, "")</f>
        <v>setiawanjoni2006@gmail.com</v>
      </c>
      <c r="H1502" s="40" t="str">
        <f t="shared" si="23"/>
        <v>setiawanjoni2006@gmail.com</v>
      </c>
    </row>
    <row r="1503" spans="1:8" ht="15.5" x14ac:dyDescent="0.35">
      <c r="A1503" s="7">
        <v>1502</v>
      </c>
      <c r="B1503" s="12">
        <v>25547</v>
      </c>
      <c r="C1503" s="11" t="s">
        <v>1502</v>
      </c>
      <c r="D1503" s="12" t="s">
        <v>1486</v>
      </c>
      <c r="E1503" s="10">
        <v>2005</v>
      </c>
      <c r="F1503" s="36" t="str" cm="1">
        <f t="array" ref="F1503">_xlfn.XLOOKUP(D1503&amp;C1503, Sheet3!$C$2:$C$1224&amp;Sheet3!$B$2:$B$1224, Sheet3!$D$2:$D$1224, "")</f>
        <v>m.aris.sukmono@gmail.com</v>
      </c>
      <c r="G1503" s="1" t="str" cm="1">
        <f t="array" ref="G1503">_xlfn.XLOOKUP(D1503&amp;C1503, Sheet2!$A$2:$A$558&amp;Sheet2!$B$2:$B$558, Sheet2!$C$2:$C$558, "")</f>
        <v/>
      </c>
      <c r="H1503" s="40" t="str">
        <f t="shared" si="23"/>
        <v>m.aris.sukmono@gmail.com</v>
      </c>
    </row>
    <row r="1504" spans="1:8" ht="15.5" x14ac:dyDescent="0.35">
      <c r="A1504" s="7">
        <v>1503</v>
      </c>
      <c r="B1504" s="12">
        <v>25728</v>
      </c>
      <c r="C1504" s="11" t="s">
        <v>1503</v>
      </c>
      <c r="D1504" s="12" t="s">
        <v>1486</v>
      </c>
      <c r="E1504" s="10">
        <v>2005</v>
      </c>
      <c r="F1504" s="36" t="str" cm="1">
        <f t="array" ref="F1504">_xlfn.XLOOKUP(D1504&amp;C1504, Sheet3!$C$2:$C$1224&amp;Sheet3!$B$2:$B$1224, Sheet3!$D$2:$D$1224, "")</f>
        <v>gugus.bpn@gmail.com</v>
      </c>
      <c r="G1504" s="1" t="str" cm="1">
        <f t="array" ref="G1504">_xlfn.XLOOKUP(D1504&amp;C1504, Sheet2!$A$2:$A$558&amp;Sheet2!$B$2:$B$558, Sheet2!$C$2:$C$558, "")</f>
        <v>gugus.bpn@gmail.com</v>
      </c>
      <c r="H1504" s="40" t="str">
        <f t="shared" si="23"/>
        <v>gugus.bpn@gmail.com</v>
      </c>
    </row>
    <row r="1505" spans="1:8" ht="15.5" x14ac:dyDescent="0.35">
      <c r="A1505" s="7">
        <v>1504</v>
      </c>
      <c r="B1505" s="12">
        <v>25796</v>
      </c>
      <c r="C1505" s="11" t="s">
        <v>1504</v>
      </c>
      <c r="D1505" s="12" t="s">
        <v>1486</v>
      </c>
      <c r="E1505" s="10">
        <v>2005</v>
      </c>
      <c r="F1505" s="36" t="str" cm="1">
        <f t="array" ref="F1505">_xlfn.XLOOKUP(D1505&amp;C1505, Sheet3!$C$2:$C$1224&amp;Sheet3!$B$2:$B$1224, Sheet3!$D$2:$D$1224, "")</f>
        <v>zuldi.suharyanto@gmail.com</v>
      </c>
      <c r="G1505" s="1" t="str" cm="1">
        <f t="array" ref="G1505">_xlfn.XLOOKUP(D1505&amp;C1505, Sheet2!$A$2:$A$558&amp;Sheet2!$B$2:$B$558, Sheet2!$C$2:$C$558, "")</f>
        <v/>
      </c>
      <c r="H1505" s="40" t="str">
        <f t="shared" si="23"/>
        <v>zuldi.suharyanto@gmail.com</v>
      </c>
    </row>
    <row r="1506" spans="1:8" ht="15.5" x14ac:dyDescent="0.35">
      <c r="A1506" s="7">
        <v>1505</v>
      </c>
      <c r="B1506" s="12">
        <v>25901</v>
      </c>
      <c r="C1506" s="11" t="s">
        <v>1505</v>
      </c>
      <c r="D1506" s="12" t="s">
        <v>1486</v>
      </c>
      <c r="E1506" s="10">
        <v>2005</v>
      </c>
      <c r="F1506" s="36" t="str" cm="1">
        <f t="array" ref="F1506">_xlfn.XLOOKUP(D1506&amp;C1506, Sheet3!$C$2:$C$1224&amp;Sheet3!$B$2:$B$1224, Sheet3!$D$2:$D$1224, "")</f>
        <v/>
      </c>
      <c r="G1506" s="1" t="str" cm="1">
        <f t="array" ref="G1506">_xlfn.XLOOKUP(D1506&amp;C1506, Sheet2!$A$2:$A$558&amp;Sheet2!$B$2:$B$558, Sheet2!$C$2:$C$558, "")</f>
        <v>sulthan.dany@gmail.com</v>
      </c>
      <c r="H1506" s="40" t="str">
        <f t="shared" si="23"/>
        <v>sulthan.dany@gmail.com</v>
      </c>
    </row>
    <row r="1507" spans="1:8" ht="15.5" x14ac:dyDescent="0.35">
      <c r="A1507" s="7">
        <v>1506</v>
      </c>
      <c r="B1507" s="12">
        <v>25029</v>
      </c>
      <c r="C1507" s="11" t="s">
        <v>1506</v>
      </c>
      <c r="D1507" s="12" t="s">
        <v>1486</v>
      </c>
      <c r="E1507" s="10">
        <v>2005</v>
      </c>
      <c r="F1507" s="36" t="str" cm="1">
        <f t="array" ref="F1507">_xlfn.XLOOKUP(D1507&amp;C1507, Sheet3!$C$2:$C$1224&amp;Sheet3!$B$2:$B$1224, Sheet3!$D$2:$D$1224, "")</f>
        <v/>
      </c>
      <c r="G1507" s="1" t="str" cm="1">
        <f t="array" ref="G1507">_xlfn.XLOOKUP(D1507&amp;C1507, Sheet2!$A$2:$A$558&amp;Sheet2!$B$2:$B$558, Sheet2!$C$2:$C$558, "")</f>
        <v/>
      </c>
      <c r="H1507" s="40" t="str">
        <f t="shared" si="23"/>
        <v/>
      </c>
    </row>
    <row r="1508" spans="1:8" ht="15.5" x14ac:dyDescent="0.35">
      <c r="A1508" s="7">
        <v>1507</v>
      </c>
      <c r="B1508" s="12">
        <v>25097</v>
      </c>
      <c r="C1508" s="11" t="s">
        <v>1507</v>
      </c>
      <c r="D1508" s="12" t="s">
        <v>1486</v>
      </c>
      <c r="E1508" s="10">
        <v>2005</v>
      </c>
      <c r="F1508" s="36" t="str" cm="1">
        <f t="array" ref="F1508">_xlfn.XLOOKUP(D1508&amp;C1508, Sheet3!$C$2:$C$1224&amp;Sheet3!$B$2:$B$1224, Sheet3!$D$2:$D$1224, "")</f>
        <v>itrisnawan@gmail.com</v>
      </c>
      <c r="G1508" s="1" t="str" cm="1">
        <f t="array" ref="G1508">_xlfn.XLOOKUP(D1508&amp;C1508, Sheet2!$A$2:$A$558&amp;Sheet2!$B$2:$B$558, Sheet2!$C$2:$C$558, "")</f>
        <v>itrisnawan@gmail.com</v>
      </c>
      <c r="H1508" s="40" t="str">
        <f t="shared" si="23"/>
        <v>itrisnawan@gmail.com</v>
      </c>
    </row>
    <row r="1509" spans="1:8" ht="15.5" x14ac:dyDescent="0.35">
      <c r="A1509" s="7">
        <v>1508</v>
      </c>
      <c r="B1509" s="12">
        <v>25176</v>
      </c>
      <c r="C1509" s="11" t="s">
        <v>1508</v>
      </c>
      <c r="D1509" s="12" t="s">
        <v>1486</v>
      </c>
      <c r="E1509" s="10">
        <v>2005</v>
      </c>
      <c r="F1509" s="36" t="str" cm="1">
        <f t="array" ref="F1509">_xlfn.XLOOKUP(D1509&amp;C1509, Sheet3!$C$2:$C$1224&amp;Sheet3!$B$2:$B$1224, Sheet3!$D$2:$D$1224, "")</f>
        <v/>
      </c>
      <c r="G1509" s="1" t="str" cm="1">
        <f t="array" ref="G1509">_xlfn.XLOOKUP(D1509&amp;C1509, Sheet2!$A$2:$A$558&amp;Sheet2!$B$2:$B$558, Sheet2!$C$2:$C$558, "")</f>
        <v/>
      </c>
      <c r="H1509" s="40" t="str">
        <f t="shared" si="23"/>
        <v/>
      </c>
    </row>
    <row r="1510" spans="1:8" ht="15.5" x14ac:dyDescent="0.35">
      <c r="A1510" s="7">
        <v>1509</v>
      </c>
      <c r="B1510" s="12">
        <v>25239</v>
      </c>
      <c r="C1510" s="11" t="s">
        <v>1509</v>
      </c>
      <c r="D1510" s="12" t="s">
        <v>1486</v>
      </c>
      <c r="E1510" s="10">
        <v>2005</v>
      </c>
      <c r="F1510" s="36" t="str" cm="1">
        <f t="array" ref="F1510">_xlfn.XLOOKUP(D1510&amp;C1510, Sheet3!$C$2:$C$1224&amp;Sheet3!$B$2:$B$1224, Sheet3!$D$2:$D$1224, "")</f>
        <v>dwiatmokophone@gmail.com</v>
      </c>
      <c r="G1510" s="1" t="str" cm="1">
        <f t="array" ref="G1510">_xlfn.XLOOKUP(D1510&amp;C1510, Sheet2!$A$2:$A$558&amp;Sheet2!$B$2:$B$558, Sheet2!$C$2:$C$558, "")</f>
        <v/>
      </c>
      <c r="H1510" s="40" t="str">
        <f t="shared" si="23"/>
        <v>dwiatmokophone@gmail.com</v>
      </c>
    </row>
    <row r="1511" spans="1:8" ht="15.5" x14ac:dyDescent="0.35">
      <c r="A1511" s="7">
        <v>1510</v>
      </c>
      <c r="B1511" s="12">
        <v>25332</v>
      </c>
      <c r="C1511" s="11" t="s">
        <v>1510</v>
      </c>
      <c r="D1511" s="12" t="s">
        <v>1486</v>
      </c>
      <c r="E1511" s="10">
        <v>2005</v>
      </c>
      <c r="F1511" s="36" t="str" cm="1">
        <f t="array" ref="F1511">_xlfn.XLOOKUP(D1511&amp;C1511, Sheet3!$C$2:$C$1224&amp;Sheet3!$B$2:$B$1224, Sheet3!$D$2:$D$1224, "")</f>
        <v/>
      </c>
      <c r="G1511" s="1" t="str" cm="1">
        <f t="array" ref="G1511">_xlfn.XLOOKUP(D1511&amp;C1511, Sheet2!$A$2:$A$558&amp;Sheet2!$B$2:$B$558, Sheet2!$C$2:$C$558, "")</f>
        <v/>
      </c>
      <c r="H1511" s="40" t="str">
        <f t="shared" si="23"/>
        <v/>
      </c>
    </row>
    <row r="1512" spans="1:8" ht="15.5" x14ac:dyDescent="0.35">
      <c r="A1512" s="7">
        <v>1511</v>
      </c>
      <c r="B1512" s="12">
        <v>25351</v>
      </c>
      <c r="C1512" s="11" t="s">
        <v>1511</v>
      </c>
      <c r="D1512" s="12" t="s">
        <v>1486</v>
      </c>
      <c r="E1512" s="10">
        <v>2005</v>
      </c>
      <c r="F1512" s="36" t="str" cm="1">
        <f t="array" ref="F1512">_xlfn.XLOOKUP(D1512&amp;C1512, Sheet3!$C$2:$C$1224&amp;Sheet3!$B$2:$B$1224, Sheet3!$D$2:$D$1224, "")</f>
        <v>abayu.wicaksono@gmail.com</v>
      </c>
      <c r="G1512" s="1" t="str" cm="1">
        <f t="array" ref="G1512">_xlfn.XLOOKUP(D1512&amp;C1512, Sheet2!$A$2:$A$558&amp;Sheet2!$B$2:$B$558, Sheet2!$C$2:$C$558, "")</f>
        <v/>
      </c>
      <c r="H1512" s="40" t="str">
        <f t="shared" si="23"/>
        <v>abayu.wicaksono@gmail.com</v>
      </c>
    </row>
    <row r="1513" spans="1:8" ht="15.5" x14ac:dyDescent="0.35">
      <c r="A1513" s="7">
        <v>1512</v>
      </c>
      <c r="B1513" s="12">
        <v>25359</v>
      </c>
      <c r="C1513" s="11" t="s">
        <v>1512</v>
      </c>
      <c r="D1513" s="12" t="s">
        <v>1486</v>
      </c>
      <c r="E1513" s="10">
        <v>2005</v>
      </c>
      <c r="F1513" s="36" t="str" cm="1">
        <f t="array" ref="F1513">_xlfn.XLOOKUP(D1513&amp;C1513, Sheet3!$C$2:$C$1224&amp;Sheet3!$B$2:$B$1224, Sheet3!$D$2:$D$1224, "")</f>
        <v>Arifrachmanrustamaji@gmail.com</v>
      </c>
      <c r="G1513" s="1" t="str" cm="1">
        <f t="array" ref="G1513">_xlfn.XLOOKUP(D1513&amp;C1513, Sheet2!$A$2:$A$558&amp;Sheet2!$B$2:$B$558, Sheet2!$C$2:$C$558, "")</f>
        <v/>
      </c>
      <c r="H1513" s="40" t="str">
        <f t="shared" si="23"/>
        <v>Arifrachmanrustamaji@gmail.com</v>
      </c>
    </row>
    <row r="1514" spans="1:8" ht="15.5" x14ac:dyDescent="0.35">
      <c r="A1514" s="7">
        <v>1513</v>
      </c>
      <c r="B1514" s="12">
        <v>25467</v>
      </c>
      <c r="C1514" s="11" t="s">
        <v>1513</v>
      </c>
      <c r="D1514" s="12" t="s">
        <v>1486</v>
      </c>
      <c r="E1514" s="10">
        <v>2005</v>
      </c>
      <c r="F1514" s="36" t="str" cm="1">
        <f t="array" ref="F1514">_xlfn.XLOOKUP(D1514&amp;C1514, Sheet3!$C$2:$C$1224&amp;Sheet3!$B$2:$B$1224, Sheet3!$D$2:$D$1224, "")</f>
        <v>endra.dpmptsp21n@gmail.com</v>
      </c>
      <c r="G1514" s="1" t="str" cm="1">
        <f t="array" ref="G1514">_xlfn.XLOOKUP(D1514&amp;C1514, Sheet2!$A$2:$A$558&amp;Sheet2!$B$2:$B$558, Sheet2!$C$2:$C$558, "")</f>
        <v/>
      </c>
      <c r="H1514" s="40" t="str">
        <f t="shared" si="23"/>
        <v>endra.dpmptsp21n@gmail.com</v>
      </c>
    </row>
    <row r="1515" spans="1:8" ht="15.5" x14ac:dyDescent="0.35">
      <c r="A1515" s="7">
        <v>1514</v>
      </c>
      <c r="B1515" s="12">
        <v>25545</v>
      </c>
      <c r="C1515" s="11" t="s">
        <v>1514</v>
      </c>
      <c r="D1515" s="12" t="s">
        <v>1486</v>
      </c>
      <c r="E1515" s="10">
        <v>2005</v>
      </c>
      <c r="F1515" s="36" t="str" cm="1">
        <f t="array" ref="F1515">_xlfn.XLOOKUP(D1515&amp;C1515, Sheet3!$C$2:$C$1224&amp;Sheet3!$B$2:$B$1224, Sheet3!$D$2:$D$1224, "")</f>
        <v/>
      </c>
      <c r="G1515" s="1" t="str" cm="1">
        <f t="array" ref="G1515">_xlfn.XLOOKUP(D1515&amp;C1515, Sheet2!$A$2:$A$558&amp;Sheet2!$B$2:$B$558, Sheet2!$C$2:$C$558, "")</f>
        <v/>
      </c>
      <c r="H1515" s="40" t="str">
        <f t="shared" si="23"/>
        <v/>
      </c>
    </row>
    <row r="1516" spans="1:8" ht="15.5" x14ac:dyDescent="0.35">
      <c r="A1516" s="7">
        <v>1515</v>
      </c>
      <c r="B1516" s="12">
        <v>25733</v>
      </c>
      <c r="C1516" s="11" t="s">
        <v>1515</v>
      </c>
      <c r="D1516" s="12" t="s">
        <v>1486</v>
      </c>
      <c r="E1516" s="10">
        <v>2005</v>
      </c>
      <c r="F1516" s="36" t="str" cm="1">
        <f t="array" ref="F1516">_xlfn.XLOOKUP(D1516&amp;C1516, Sheet3!$C$2:$C$1224&amp;Sheet3!$B$2:$B$1224, Sheet3!$D$2:$D$1224, "")</f>
        <v>dede.wahyudi@yahoo.co.id</v>
      </c>
      <c r="G1516" s="1" t="str" cm="1">
        <f t="array" ref="G1516">_xlfn.XLOOKUP(D1516&amp;C1516, Sheet2!$A$2:$A$558&amp;Sheet2!$B$2:$B$558, Sheet2!$C$2:$C$558, "")</f>
        <v>dede.wahyudi@yahoo.co.id</v>
      </c>
      <c r="H1516" s="40" t="str">
        <f t="shared" si="23"/>
        <v>dede.wahyudi@yahoo.co.id</v>
      </c>
    </row>
    <row r="1517" spans="1:8" ht="15.5" x14ac:dyDescent="0.35">
      <c r="A1517" s="7">
        <v>1516</v>
      </c>
      <c r="B1517" s="12">
        <v>25776</v>
      </c>
      <c r="C1517" s="11" t="s">
        <v>1516</v>
      </c>
      <c r="D1517" s="12" t="s">
        <v>1486</v>
      </c>
      <c r="E1517" s="10">
        <v>2005</v>
      </c>
      <c r="F1517" s="36" t="str" cm="1">
        <f t="array" ref="F1517">_xlfn.XLOOKUP(D1517&amp;C1517, Sheet3!$C$2:$C$1224&amp;Sheet3!$B$2:$B$1224, Sheet3!$D$2:$D$1224, "")</f>
        <v/>
      </c>
      <c r="G1517" s="1" t="str" cm="1">
        <f t="array" ref="G1517">_xlfn.XLOOKUP(D1517&amp;C1517, Sheet2!$A$2:$A$558&amp;Sheet2!$B$2:$B$558, Sheet2!$C$2:$C$558, "")</f>
        <v/>
      </c>
      <c r="H1517" s="40" t="str">
        <f t="shared" si="23"/>
        <v/>
      </c>
    </row>
    <row r="1518" spans="1:8" ht="15.5" x14ac:dyDescent="0.35">
      <c r="A1518" s="7">
        <v>1517</v>
      </c>
      <c r="B1518" s="12">
        <v>25846</v>
      </c>
      <c r="C1518" s="11" t="s">
        <v>1517</v>
      </c>
      <c r="D1518" s="12" t="s">
        <v>1486</v>
      </c>
      <c r="E1518" s="10">
        <v>2005</v>
      </c>
      <c r="F1518" s="36" t="str" cm="1">
        <f t="array" ref="F1518">_xlfn.XLOOKUP(D1518&amp;C1518, Sheet3!$C$2:$C$1224&amp;Sheet3!$B$2:$B$1224, Sheet3!$D$2:$D$1224, "")</f>
        <v>dimas.hanityawan@gmail.com</v>
      </c>
      <c r="G1518" s="1" t="str" cm="1">
        <f t="array" ref="G1518">_xlfn.XLOOKUP(D1518&amp;C1518, Sheet2!$A$2:$A$558&amp;Sheet2!$B$2:$B$558, Sheet2!$C$2:$C$558, "")</f>
        <v/>
      </c>
      <c r="H1518" s="40" t="str">
        <f t="shared" si="23"/>
        <v>dimas.hanityawan@gmail.com</v>
      </c>
    </row>
    <row r="1519" spans="1:8" ht="15.5" x14ac:dyDescent="0.35">
      <c r="A1519" s="7">
        <v>1518</v>
      </c>
      <c r="B1519" s="12">
        <v>25865</v>
      </c>
      <c r="C1519" s="11" t="s">
        <v>1518</v>
      </c>
      <c r="D1519" s="12" t="s">
        <v>1486</v>
      </c>
      <c r="E1519" s="10">
        <v>2005</v>
      </c>
      <c r="F1519" s="36" t="str" cm="1">
        <f t="array" ref="F1519">_xlfn.XLOOKUP(D1519&amp;C1519, Sheet3!$C$2:$C$1224&amp;Sheet3!$B$2:$B$1224, Sheet3!$D$2:$D$1224, "")</f>
        <v>qonitasayang15@gmail.com</v>
      </c>
      <c r="G1519" s="1" t="str" cm="1">
        <f t="array" ref="G1519">_xlfn.XLOOKUP(D1519&amp;C1519, Sheet2!$A$2:$A$558&amp;Sheet2!$B$2:$B$558, Sheet2!$C$2:$C$558, "")</f>
        <v/>
      </c>
      <c r="H1519" s="40" t="str">
        <f t="shared" si="23"/>
        <v>qonitasayang15@gmail.com</v>
      </c>
    </row>
    <row r="1520" spans="1:8" ht="15.5" x14ac:dyDescent="0.35">
      <c r="A1520" s="7">
        <v>1519</v>
      </c>
      <c r="B1520" s="12">
        <v>25922</v>
      </c>
      <c r="C1520" s="11" t="s">
        <v>5842</v>
      </c>
      <c r="D1520" s="12" t="s">
        <v>1486</v>
      </c>
      <c r="E1520" s="10">
        <v>2005</v>
      </c>
      <c r="F1520" s="36" t="str" cm="1">
        <f t="array" ref="F1520">_xlfn.XLOOKUP(D1520&amp;C1520, Sheet3!$C$2:$C$1224&amp;Sheet3!$B$2:$B$1224, Sheet3!$D$2:$D$1224, "")</f>
        <v>ipoez_301m@yahoo.com</v>
      </c>
      <c r="G1520" s="1" t="str" cm="1">
        <f t="array" ref="G1520">_xlfn.XLOOKUP(D1520&amp;C1520, Sheet2!$A$2:$A$558&amp;Sheet2!$B$2:$B$558, Sheet2!$C$2:$C$558, "")</f>
        <v/>
      </c>
      <c r="H1520" s="40" t="str">
        <f t="shared" si="23"/>
        <v>ipoez_301m@yahoo.com</v>
      </c>
    </row>
    <row r="1521" spans="1:8" ht="15.5" x14ac:dyDescent="0.35">
      <c r="A1521" s="7">
        <v>1520</v>
      </c>
      <c r="B1521" s="12">
        <v>25929</v>
      </c>
      <c r="C1521" s="11" t="s">
        <v>1519</v>
      </c>
      <c r="D1521" s="12" t="s">
        <v>1486</v>
      </c>
      <c r="E1521" s="10">
        <v>2005</v>
      </c>
      <c r="F1521" s="36" t="str" cm="1">
        <f t="array" ref="F1521">_xlfn.XLOOKUP(D1521&amp;C1521, Sheet3!$C$2:$C$1224&amp;Sheet3!$B$2:$B$1224, Sheet3!$D$2:$D$1224, "")</f>
        <v>zamilul.m@gmail.com</v>
      </c>
      <c r="G1521" s="1" t="str" cm="1">
        <f t="array" ref="G1521">_xlfn.XLOOKUP(D1521&amp;C1521, Sheet2!$A$2:$A$558&amp;Sheet2!$B$2:$B$558, Sheet2!$C$2:$C$558, "")</f>
        <v/>
      </c>
      <c r="H1521" s="40" t="str">
        <f t="shared" si="23"/>
        <v>zamilul.m@gmail.com</v>
      </c>
    </row>
    <row r="1522" spans="1:8" ht="15.5" x14ac:dyDescent="0.35">
      <c r="A1522" s="7">
        <v>1521</v>
      </c>
      <c r="B1522" s="12">
        <v>22382</v>
      </c>
      <c r="C1522" s="11" t="s">
        <v>1520</v>
      </c>
      <c r="D1522" s="12" t="s">
        <v>1077</v>
      </c>
      <c r="E1522" s="10">
        <v>2005</v>
      </c>
      <c r="F1522" s="36" t="str" cm="1">
        <f t="array" ref="F1522">_xlfn.XLOOKUP(D1522&amp;C1522, Sheet3!$C$2:$C$1224&amp;Sheet3!$B$2:$B$1224, Sheet3!$D$2:$D$1224, "")</f>
        <v/>
      </c>
      <c r="G1522" s="1" t="str" cm="1">
        <f t="array" ref="G1522">_xlfn.XLOOKUP(D1522&amp;C1522, Sheet2!$A$2:$A$558&amp;Sheet2!$B$2:$B$558, Sheet2!$C$2:$C$558, "")</f>
        <v/>
      </c>
      <c r="H1522" s="40" t="str">
        <f t="shared" si="23"/>
        <v/>
      </c>
    </row>
    <row r="1523" spans="1:8" ht="15.5" x14ac:dyDescent="0.35">
      <c r="A1523" s="7">
        <v>1522</v>
      </c>
      <c r="B1523" s="12">
        <v>23919</v>
      </c>
      <c r="C1523" s="11" t="s">
        <v>1521</v>
      </c>
      <c r="D1523" s="12" t="s">
        <v>1078</v>
      </c>
      <c r="E1523" s="10">
        <v>2005</v>
      </c>
      <c r="F1523" s="36" t="str" cm="1">
        <f t="array" ref="F1523">_xlfn.XLOOKUP(D1523&amp;C1523, Sheet3!$C$2:$C$1224&amp;Sheet3!$B$2:$B$1224, Sheet3!$D$2:$D$1224, "")</f>
        <v/>
      </c>
      <c r="G1523" s="1" t="str" cm="1">
        <f t="array" ref="G1523">_xlfn.XLOOKUP(D1523&amp;C1523, Sheet2!$A$2:$A$558&amp;Sheet2!$B$2:$B$558, Sheet2!$C$2:$C$558, "")</f>
        <v/>
      </c>
      <c r="H1523" s="40" t="str">
        <f t="shared" si="23"/>
        <v/>
      </c>
    </row>
    <row r="1524" spans="1:8" ht="15.5" x14ac:dyDescent="0.35">
      <c r="A1524" s="7">
        <v>1523</v>
      </c>
      <c r="B1524" s="12">
        <v>23980</v>
      </c>
      <c r="C1524" s="11" t="s">
        <v>1522</v>
      </c>
      <c r="D1524" s="12" t="s">
        <v>1078</v>
      </c>
      <c r="E1524" s="10">
        <v>2005</v>
      </c>
      <c r="F1524" s="36" t="str" cm="1">
        <f t="array" ref="F1524">_xlfn.XLOOKUP(D1524&amp;C1524, Sheet3!$C$2:$C$1224&amp;Sheet3!$B$2:$B$1224, Sheet3!$D$2:$D$1224, "")</f>
        <v/>
      </c>
      <c r="G1524" s="1" t="str" cm="1">
        <f t="array" ref="G1524">_xlfn.XLOOKUP(D1524&amp;C1524, Sheet2!$A$2:$A$558&amp;Sheet2!$B$2:$B$558, Sheet2!$C$2:$C$558, "")</f>
        <v/>
      </c>
      <c r="H1524" s="40" t="str">
        <f t="shared" si="23"/>
        <v/>
      </c>
    </row>
    <row r="1525" spans="1:8" ht="15.5" x14ac:dyDescent="0.35">
      <c r="A1525" s="7">
        <v>1524</v>
      </c>
      <c r="B1525" s="12">
        <v>24421</v>
      </c>
      <c r="C1525" s="11" t="s">
        <v>1523</v>
      </c>
      <c r="D1525" s="12" t="s">
        <v>1078</v>
      </c>
      <c r="E1525" s="10">
        <v>2005</v>
      </c>
      <c r="F1525" s="36" t="str" cm="1">
        <f t="array" ref="F1525">_xlfn.XLOOKUP(D1525&amp;C1525, Sheet3!$C$2:$C$1224&amp;Sheet3!$B$2:$B$1224, Sheet3!$D$2:$D$1224, "")</f>
        <v/>
      </c>
      <c r="G1525" s="1" t="str" cm="1">
        <f t="array" ref="G1525">_xlfn.XLOOKUP(D1525&amp;C1525, Sheet2!$A$2:$A$558&amp;Sheet2!$B$2:$B$558, Sheet2!$C$2:$C$558, "")</f>
        <v/>
      </c>
      <c r="H1525" s="40" t="str">
        <f t="shared" si="23"/>
        <v/>
      </c>
    </row>
    <row r="1526" spans="1:8" ht="15.5" x14ac:dyDescent="0.35">
      <c r="A1526" s="7">
        <v>1525</v>
      </c>
      <c r="B1526" s="12">
        <v>24474</v>
      </c>
      <c r="C1526" s="11" t="s">
        <v>1524</v>
      </c>
      <c r="D1526" s="12" t="s">
        <v>1078</v>
      </c>
      <c r="E1526" s="10">
        <v>2005</v>
      </c>
      <c r="F1526" s="36" t="str" cm="1">
        <f t="array" ref="F1526">_xlfn.XLOOKUP(D1526&amp;C1526, Sheet3!$C$2:$C$1224&amp;Sheet3!$B$2:$B$1224, Sheet3!$D$2:$D$1224, "")</f>
        <v/>
      </c>
      <c r="G1526" s="1" t="str" cm="1">
        <f t="array" ref="G1526">_xlfn.XLOOKUP(D1526&amp;C1526, Sheet2!$A$2:$A$558&amp;Sheet2!$B$2:$B$558, Sheet2!$C$2:$C$558, "")</f>
        <v/>
      </c>
      <c r="H1526" s="40" t="str">
        <f t="shared" si="23"/>
        <v/>
      </c>
    </row>
    <row r="1527" spans="1:8" ht="15.5" x14ac:dyDescent="0.35">
      <c r="A1527" s="7">
        <v>1526</v>
      </c>
      <c r="B1527" s="12">
        <v>24909</v>
      </c>
      <c r="C1527" s="11" t="s">
        <v>1525</v>
      </c>
      <c r="D1527" s="12" t="s">
        <v>1486</v>
      </c>
      <c r="E1527" s="10">
        <v>2005</v>
      </c>
      <c r="F1527" s="36" t="str" cm="1">
        <f t="array" ref="F1527">_xlfn.XLOOKUP(D1527&amp;C1527, Sheet3!$C$2:$C$1224&amp;Sheet3!$B$2:$B$1224, Sheet3!$D$2:$D$1224, "")</f>
        <v>wyunanda@gmail.com</v>
      </c>
      <c r="G1527" s="1" t="str" cm="1">
        <f t="array" ref="G1527">_xlfn.XLOOKUP(D1527&amp;C1527, Sheet2!$A$2:$A$558&amp;Sheet2!$B$2:$B$558, Sheet2!$C$2:$C$558, "")</f>
        <v>wyunanda@gmail.com</v>
      </c>
      <c r="H1527" s="40" t="str">
        <f t="shared" si="23"/>
        <v>wyunanda@gmail.com</v>
      </c>
    </row>
    <row r="1528" spans="1:8" ht="15.5" x14ac:dyDescent="0.35">
      <c r="A1528" s="7">
        <v>1527</v>
      </c>
      <c r="B1528" s="12">
        <v>24932</v>
      </c>
      <c r="C1528" s="11" t="s">
        <v>1526</v>
      </c>
      <c r="D1528" s="12" t="s">
        <v>1486</v>
      </c>
      <c r="E1528" s="10">
        <v>2005</v>
      </c>
      <c r="F1528" s="36" t="str" cm="1">
        <f t="array" ref="F1528">_xlfn.XLOOKUP(D1528&amp;C1528, Sheet3!$C$2:$C$1224&amp;Sheet3!$B$2:$B$1224, Sheet3!$D$2:$D$1224, "")</f>
        <v/>
      </c>
      <c r="G1528" s="1" t="str" cm="1">
        <f t="array" ref="G1528">_xlfn.XLOOKUP(D1528&amp;C1528, Sheet2!$A$2:$A$558&amp;Sheet2!$B$2:$B$558, Sheet2!$C$2:$C$558, "")</f>
        <v/>
      </c>
      <c r="H1528" s="40" t="str">
        <f t="shared" si="23"/>
        <v/>
      </c>
    </row>
    <row r="1529" spans="1:8" ht="15.5" x14ac:dyDescent="0.35">
      <c r="A1529" s="7">
        <v>1528</v>
      </c>
      <c r="B1529" s="12">
        <v>24971</v>
      </c>
      <c r="C1529" s="11" t="s">
        <v>1527</v>
      </c>
      <c r="D1529" s="12" t="s">
        <v>1486</v>
      </c>
      <c r="E1529" s="10">
        <v>2005</v>
      </c>
      <c r="F1529" s="36" t="str" cm="1">
        <f t="array" ref="F1529">_xlfn.XLOOKUP(D1529&amp;C1529, Sheet3!$C$2:$C$1224&amp;Sheet3!$B$2:$B$1224, Sheet3!$D$2:$D$1224, "")</f>
        <v>syohraenist@gmail.com</v>
      </c>
      <c r="G1529" s="1" t="str" cm="1">
        <f t="array" ref="G1529">_xlfn.XLOOKUP(D1529&amp;C1529, Sheet2!$A$2:$A$558&amp;Sheet2!$B$2:$B$558, Sheet2!$C$2:$C$558, "")</f>
        <v>syohraenist@gmail.com</v>
      </c>
      <c r="H1529" s="40" t="str">
        <f t="shared" si="23"/>
        <v>syohraenist@gmail.com</v>
      </c>
    </row>
    <row r="1530" spans="1:8" ht="15.5" x14ac:dyDescent="0.35">
      <c r="A1530" s="7">
        <v>1529</v>
      </c>
      <c r="B1530" s="12">
        <v>25058</v>
      </c>
      <c r="C1530" s="11" t="s">
        <v>1528</v>
      </c>
      <c r="D1530" s="12" t="s">
        <v>1486</v>
      </c>
      <c r="E1530" s="10">
        <v>2005</v>
      </c>
      <c r="F1530" s="36" t="str" cm="1">
        <f t="array" ref="F1530">_xlfn.XLOOKUP(D1530&amp;C1530, Sheet3!$C$2:$C$1224&amp;Sheet3!$B$2:$B$1224, Sheet3!$D$2:$D$1224, "")</f>
        <v/>
      </c>
      <c r="G1530" s="1" t="str" cm="1">
        <f t="array" ref="G1530">_xlfn.XLOOKUP(D1530&amp;C1530, Sheet2!$A$2:$A$558&amp;Sheet2!$B$2:$B$558, Sheet2!$C$2:$C$558, "")</f>
        <v/>
      </c>
      <c r="H1530" s="40" t="str">
        <f t="shared" si="23"/>
        <v/>
      </c>
    </row>
    <row r="1531" spans="1:8" ht="15.5" x14ac:dyDescent="0.35">
      <c r="A1531" s="7">
        <v>1530</v>
      </c>
      <c r="B1531" s="12">
        <v>25070</v>
      </c>
      <c r="C1531" s="11" t="s">
        <v>1529</v>
      </c>
      <c r="D1531" s="12" t="s">
        <v>1486</v>
      </c>
      <c r="E1531" s="10">
        <v>2005</v>
      </c>
      <c r="F1531" s="36" t="str" cm="1">
        <f t="array" ref="F1531">_xlfn.XLOOKUP(D1531&amp;C1531, Sheet3!$C$2:$C$1224&amp;Sheet3!$B$2:$B$1224, Sheet3!$D$2:$D$1224, "")</f>
        <v>alfathhatma@gmail.com</v>
      </c>
      <c r="G1531" s="1" t="str" cm="1">
        <f t="array" ref="G1531">_xlfn.XLOOKUP(D1531&amp;C1531, Sheet2!$A$2:$A$558&amp;Sheet2!$B$2:$B$558, Sheet2!$C$2:$C$558, "")</f>
        <v>alfathhatma@gmail.com</v>
      </c>
      <c r="H1531" s="40" t="str">
        <f t="shared" si="23"/>
        <v>alfathhatma@gmail.com</v>
      </c>
    </row>
    <row r="1532" spans="1:8" ht="15.5" x14ac:dyDescent="0.35">
      <c r="A1532" s="7">
        <v>1531</v>
      </c>
      <c r="B1532" s="12">
        <v>25105</v>
      </c>
      <c r="C1532" s="11" t="s">
        <v>1530</v>
      </c>
      <c r="D1532" s="12" t="s">
        <v>1486</v>
      </c>
      <c r="E1532" s="10">
        <v>2005</v>
      </c>
      <c r="F1532" s="36" t="str" cm="1">
        <f t="array" ref="F1532">_xlfn.XLOOKUP(D1532&amp;C1532, Sheet3!$C$2:$C$1224&amp;Sheet3!$B$2:$B$1224, Sheet3!$D$2:$D$1224, "")</f>
        <v>fatmanurida1@gmail.com</v>
      </c>
      <c r="G1532" s="1" t="str" cm="1">
        <f t="array" ref="G1532">_xlfn.XLOOKUP(D1532&amp;C1532, Sheet2!$A$2:$A$558&amp;Sheet2!$B$2:$B$558, Sheet2!$C$2:$C$558, "")</f>
        <v/>
      </c>
      <c r="H1532" s="40" t="str">
        <f t="shared" si="23"/>
        <v>fatmanurida1@gmail.com</v>
      </c>
    </row>
    <row r="1533" spans="1:8" ht="15.5" x14ac:dyDescent="0.35">
      <c r="A1533" s="7">
        <v>1532</v>
      </c>
      <c r="B1533" s="12">
        <v>25153</v>
      </c>
      <c r="C1533" s="11" t="s">
        <v>1531</v>
      </c>
      <c r="D1533" s="12" t="s">
        <v>1486</v>
      </c>
      <c r="E1533" s="10">
        <v>2005</v>
      </c>
      <c r="F1533" s="36" t="str" cm="1">
        <f t="array" ref="F1533">_xlfn.XLOOKUP(D1533&amp;C1533, Sheet3!$C$2:$C$1224&amp;Sheet3!$B$2:$B$1224, Sheet3!$D$2:$D$1224, "")</f>
        <v/>
      </c>
      <c r="G1533" s="1" t="str" cm="1">
        <f t="array" ref="G1533">_xlfn.XLOOKUP(D1533&amp;C1533, Sheet2!$A$2:$A$558&amp;Sheet2!$B$2:$B$558, Sheet2!$C$2:$C$558, "")</f>
        <v/>
      </c>
      <c r="H1533" s="40" t="str">
        <f t="shared" si="23"/>
        <v/>
      </c>
    </row>
    <row r="1534" spans="1:8" ht="15.5" x14ac:dyDescent="0.35">
      <c r="A1534" s="7">
        <v>1533</v>
      </c>
      <c r="B1534" s="12">
        <v>25254</v>
      </c>
      <c r="C1534" s="11" t="s">
        <v>1532</v>
      </c>
      <c r="D1534" s="12" t="s">
        <v>1486</v>
      </c>
      <c r="E1534" s="10">
        <v>2005</v>
      </c>
      <c r="F1534" s="36" t="str" cm="1">
        <f t="array" ref="F1534">_xlfn.XLOOKUP(D1534&amp;C1534, Sheet3!$C$2:$C$1224&amp;Sheet3!$B$2:$B$1224, Sheet3!$D$2:$D$1224, "")</f>
        <v/>
      </c>
      <c r="G1534" s="1" t="str" cm="1">
        <f t="array" ref="G1534">_xlfn.XLOOKUP(D1534&amp;C1534, Sheet2!$A$2:$A$558&amp;Sheet2!$B$2:$B$558, Sheet2!$C$2:$C$558, "")</f>
        <v/>
      </c>
      <c r="H1534" s="40" t="str">
        <f t="shared" si="23"/>
        <v/>
      </c>
    </row>
    <row r="1535" spans="1:8" ht="15.5" x14ac:dyDescent="0.35">
      <c r="A1535" s="7">
        <v>1534</v>
      </c>
      <c r="B1535" s="12">
        <v>25422</v>
      </c>
      <c r="C1535" s="11" t="s">
        <v>1533</v>
      </c>
      <c r="D1535" s="12" t="s">
        <v>1486</v>
      </c>
      <c r="E1535" s="10">
        <v>2005</v>
      </c>
      <c r="F1535" s="36" t="str" cm="1">
        <f t="array" ref="F1535">_xlfn.XLOOKUP(D1535&amp;C1535, Sheet3!$C$2:$C$1224&amp;Sheet3!$B$2:$B$1224, Sheet3!$D$2:$D$1224, "")</f>
        <v/>
      </c>
      <c r="G1535" s="1" t="str" cm="1">
        <f t="array" ref="G1535">_xlfn.XLOOKUP(D1535&amp;C1535, Sheet2!$A$2:$A$558&amp;Sheet2!$B$2:$B$558, Sheet2!$C$2:$C$558, "")</f>
        <v/>
      </c>
      <c r="H1535" s="40" t="str">
        <f t="shared" si="23"/>
        <v/>
      </c>
    </row>
    <row r="1536" spans="1:8" ht="15.5" x14ac:dyDescent="0.35">
      <c r="A1536" s="7">
        <v>1535</v>
      </c>
      <c r="B1536" s="12">
        <v>25451</v>
      </c>
      <c r="C1536" s="11" t="s">
        <v>1534</v>
      </c>
      <c r="D1536" s="12" t="s">
        <v>1486</v>
      </c>
      <c r="E1536" s="10">
        <v>2005</v>
      </c>
      <c r="F1536" s="36" t="str" cm="1">
        <f t="array" ref="F1536">_xlfn.XLOOKUP(D1536&amp;C1536, Sheet3!$C$2:$C$1224&amp;Sheet3!$B$2:$B$1224, Sheet3!$D$2:$D$1224, "")</f>
        <v>prambodo.arrief@gmail.com</v>
      </c>
      <c r="G1536" s="1" t="str" cm="1">
        <f t="array" ref="G1536">_xlfn.XLOOKUP(D1536&amp;C1536, Sheet2!$A$2:$A$558&amp;Sheet2!$B$2:$B$558, Sheet2!$C$2:$C$558, "")</f>
        <v>prambodo.arrief@gmail.com</v>
      </c>
      <c r="H1536" s="40" t="str">
        <f t="shared" si="23"/>
        <v>prambodo.arrief@gmail.com</v>
      </c>
    </row>
    <row r="1537" spans="1:8" ht="15.5" x14ac:dyDescent="0.35">
      <c r="A1537" s="7">
        <v>1536</v>
      </c>
      <c r="B1537" s="12">
        <v>25492</v>
      </c>
      <c r="C1537" s="11" t="s">
        <v>1535</v>
      </c>
      <c r="D1537" s="12" t="s">
        <v>1486</v>
      </c>
      <c r="E1537" s="10">
        <v>2005</v>
      </c>
      <c r="F1537" s="36" t="str" cm="1">
        <f t="array" ref="F1537">_xlfn.XLOOKUP(D1537&amp;C1537, Sheet3!$C$2:$C$1224&amp;Sheet3!$B$2:$B$1224, Sheet3!$D$2:$D$1224, "")</f>
        <v/>
      </c>
      <c r="G1537" s="1" t="str" cm="1">
        <f t="array" ref="G1537">_xlfn.XLOOKUP(D1537&amp;C1537, Sheet2!$A$2:$A$558&amp;Sheet2!$B$2:$B$558, Sheet2!$C$2:$C$558, "")</f>
        <v/>
      </c>
      <c r="H1537" s="40" t="str">
        <f t="shared" si="23"/>
        <v/>
      </c>
    </row>
    <row r="1538" spans="1:8" ht="15.5" x14ac:dyDescent="0.35">
      <c r="A1538" s="7">
        <v>1537</v>
      </c>
      <c r="B1538" s="12">
        <v>25586</v>
      </c>
      <c r="C1538" s="11" t="s">
        <v>89</v>
      </c>
      <c r="D1538" s="12" t="s">
        <v>1486</v>
      </c>
      <c r="E1538" s="10">
        <v>2005</v>
      </c>
      <c r="F1538" s="36" t="str" cm="1">
        <f t="array" ref="F1538">_xlfn.XLOOKUP(D1538&amp;C1538, Sheet3!$C$2:$C$1224&amp;Sheet3!$B$2:$B$1224, Sheet3!$D$2:$D$1224, "")</f>
        <v>narto.shineon@gmail.com</v>
      </c>
      <c r="G1538" s="1" t="str" cm="1">
        <f t="array" ref="G1538">_xlfn.XLOOKUP(D1538&amp;C1538, Sheet2!$A$2:$A$558&amp;Sheet2!$B$2:$B$558, Sheet2!$C$2:$C$558, "")</f>
        <v/>
      </c>
      <c r="H1538" s="40" t="str">
        <f t="shared" si="23"/>
        <v>narto.shineon@gmail.com</v>
      </c>
    </row>
    <row r="1539" spans="1:8" ht="15.5" x14ac:dyDescent="0.35">
      <c r="A1539" s="7">
        <v>1538</v>
      </c>
      <c r="B1539" s="12">
        <v>25588</v>
      </c>
      <c r="C1539" s="11" t="s">
        <v>1536</v>
      </c>
      <c r="D1539" s="12" t="s">
        <v>1486</v>
      </c>
      <c r="E1539" s="10">
        <v>2005</v>
      </c>
      <c r="F1539" s="36" t="str" cm="1">
        <f t="array" ref="F1539">_xlfn.XLOOKUP(D1539&amp;C1539, Sheet3!$C$2:$C$1224&amp;Sheet3!$B$2:$B$1224, Sheet3!$D$2:$D$1224, "")</f>
        <v>widorasmo@gmail.com</v>
      </c>
      <c r="G1539" s="1" t="str" cm="1">
        <f t="array" ref="G1539">_xlfn.XLOOKUP(D1539&amp;C1539, Sheet2!$A$2:$A$558&amp;Sheet2!$B$2:$B$558, Sheet2!$C$2:$C$558, "")</f>
        <v>widorasmo@gmail.com</v>
      </c>
      <c r="H1539" s="40" t="str">
        <f t="shared" ref="H1539:H1602" si="24">IF(F1539&lt;&gt;"",F1539,G1539)</f>
        <v>widorasmo@gmail.com</v>
      </c>
    </row>
    <row r="1540" spans="1:8" ht="15.5" x14ac:dyDescent="0.35">
      <c r="A1540" s="7">
        <v>1539</v>
      </c>
      <c r="B1540" s="12">
        <v>25646</v>
      </c>
      <c r="C1540" s="11" t="s">
        <v>1537</v>
      </c>
      <c r="D1540" s="12" t="s">
        <v>1486</v>
      </c>
      <c r="E1540" s="10">
        <v>2005</v>
      </c>
      <c r="F1540" s="36" t="str" cm="1">
        <f t="array" ref="F1540">_xlfn.XLOOKUP(D1540&amp;C1540, Sheet3!$C$2:$C$1224&amp;Sheet3!$B$2:$B$1224, Sheet3!$D$2:$D$1224, "")</f>
        <v>yuli.ssnp@gmail.com</v>
      </c>
      <c r="G1540" s="1" t="str" cm="1">
        <f t="array" ref="G1540">_xlfn.XLOOKUP(D1540&amp;C1540, Sheet2!$A$2:$A$558&amp;Sheet2!$B$2:$B$558, Sheet2!$C$2:$C$558, "")</f>
        <v/>
      </c>
      <c r="H1540" s="40" t="str">
        <f t="shared" si="24"/>
        <v>yuli.ssnp@gmail.com</v>
      </c>
    </row>
    <row r="1541" spans="1:8" ht="15.5" x14ac:dyDescent="0.35">
      <c r="A1541" s="7">
        <v>1540</v>
      </c>
      <c r="B1541" s="12">
        <v>25668</v>
      </c>
      <c r="C1541" s="11" t="s">
        <v>1538</v>
      </c>
      <c r="D1541" s="12" t="s">
        <v>1486</v>
      </c>
      <c r="E1541" s="10">
        <v>2005</v>
      </c>
      <c r="F1541" s="36" t="str" cm="1">
        <f t="array" ref="F1541">_xlfn.XLOOKUP(D1541&amp;C1541, Sheet3!$C$2:$C$1224&amp;Sheet3!$B$2:$B$1224, Sheet3!$D$2:$D$1224, "")</f>
        <v>Badruszaman256682@gmail.com</v>
      </c>
      <c r="G1541" s="1" t="str" cm="1">
        <f t="array" ref="G1541">_xlfn.XLOOKUP(D1541&amp;C1541, Sheet2!$A$2:$A$558&amp;Sheet2!$B$2:$B$558, Sheet2!$C$2:$C$558, "")</f>
        <v/>
      </c>
      <c r="H1541" s="40" t="str">
        <f t="shared" si="24"/>
        <v>Badruszaman256682@gmail.com</v>
      </c>
    </row>
    <row r="1542" spans="1:8" ht="15.5" x14ac:dyDescent="0.35">
      <c r="A1542" s="7">
        <v>1541</v>
      </c>
      <c r="B1542" s="12">
        <v>25713</v>
      </c>
      <c r="C1542" s="11" t="s">
        <v>1539</v>
      </c>
      <c r="D1542" s="12" t="s">
        <v>1486</v>
      </c>
      <c r="E1542" s="10">
        <v>2005</v>
      </c>
      <c r="F1542" s="36" t="str" cm="1">
        <f t="array" ref="F1542">_xlfn.XLOOKUP(D1542&amp;C1542, Sheet3!$C$2:$C$1224&amp;Sheet3!$B$2:$B$1224, Sheet3!$D$2:$D$1224, "")</f>
        <v>rino.ari.wibowo82@gmail.com</v>
      </c>
      <c r="G1542" s="1" t="str" cm="1">
        <f t="array" ref="G1542">_xlfn.XLOOKUP(D1542&amp;C1542, Sheet2!$A$2:$A$558&amp;Sheet2!$B$2:$B$558, Sheet2!$C$2:$C$558, "")</f>
        <v>rino.ari.wibowo82@gmail.com</v>
      </c>
      <c r="H1542" s="40" t="str">
        <f t="shared" si="24"/>
        <v>rino.ari.wibowo82@gmail.com</v>
      </c>
    </row>
    <row r="1543" spans="1:8" ht="15.5" x14ac:dyDescent="0.35">
      <c r="A1543" s="7">
        <v>1542</v>
      </c>
      <c r="B1543" s="12">
        <v>25809</v>
      </c>
      <c r="C1543" s="11" t="s">
        <v>1540</v>
      </c>
      <c r="D1543" s="12" t="s">
        <v>1486</v>
      </c>
      <c r="E1543" s="10">
        <v>2005</v>
      </c>
      <c r="F1543" s="36" t="str" cm="1">
        <f t="array" ref="F1543">_xlfn.XLOOKUP(D1543&amp;C1543, Sheet3!$C$2:$C$1224&amp;Sheet3!$B$2:$B$1224, Sheet3!$D$2:$D$1224, "")</f>
        <v/>
      </c>
      <c r="G1543" s="1" t="str" cm="1">
        <f t="array" ref="G1543">_xlfn.XLOOKUP(D1543&amp;C1543, Sheet2!$A$2:$A$558&amp;Sheet2!$B$2:$B$558, Sheet2!$C$2:$C$558, "")</f>
        <v/>
      </c>
      <c r="H1543" s="40" t="str">
        <f t="shared" si="24"/>
        <v/>
      </c>
    </row>
    <row r="1544" spans="1:8" ht="15.5" x14ac:dyDescent="0.35">
      <c r="A1544" s="7">
        <v>1543</v>
      </c>
      <c r="B1544" s="12">
        <v>25828</v>
      </c>
      <c r="C1544" s="11" t="s">
        <v>1541</v>
      </c>
      <c r="D1544" s="12" t="s">
        <v>1486</v>
      </c>
      <c r="E1544" s="10">
        <v>2005</v>
      </c>
      <c r="F1544" s="36" t="str" cm="1">
        <f t="array" ref="F1544">_xlfn.XLOOKUP(D1544&amp;C1544, Sheet3!$C$2:$C$1224&amp;Sheet3!$B$2:$B$1224, Sheet3!$D$2:$D$1224, "")</f>
        <v>dngchyn@gmail.com</v>
      </c>
      <c r="G1544" s="1" t="str" cm="1">
        <f t="array" ref="G1544">_xlfn.XLOOKUP(D1544&amp;C1544, Sheet2!$A$2:$A$558&amp;Sheet2!$B$2:$B$558, Sheet2!$C$2:$C$558, "")</f>
        <v>dngchyn@gmail.com</v>
      </c>
      <c r="H1544" s="40" t="str">
        <f t="shared" si="24"/>
        <v>dngchyn@gmail.com</v>
      </c>
    </row>
    <row r="1545" spans="1:8" ht="15.5" x14ac:dyDescent="0.35">
      <c r="A1545" s="7">
        <v>1544</v>
      </c>
      <c r="B1545" s="12">
        <v>25858</v>
      </c>
      <c r="C1545" s="11" t="s">
        <v>1542</v>
      </c>
      <c r="D1545" s="12" t="s">
        <v>1486</v>
      </c>
      <c r="E1545" s="10">
        <v>2005</v>
      </c>
      <c r="F1545" s="36" t="str" cm="1">
        <f t="array" ref="F1545">_xlfn.XLOOKUP(D1545&amp;C1545, Sheet3!$C$2:$C$1224&amp;Sheet3!$B$2:$B$1224, Sheet3!$D$2:$D$1224, "")</f>
        <v/>
      </c>
      <c r="G1545" s="1" t="str" cm="1">
        <f t="array" ref="G1545">_xlfn.XLOOKUP(D1545&amp;C1545, Sheet2!$A$2:$A$558&amp;Sheet2!$B$2:$B$558, Sheet2!$C$2:$C$558, "")</f>
        <v/>
      </c>
      <c r="H1545" s="40" t="str">
        <f t="shared" si="24"/>
        <v/>
      </c>
    </row>
    <row r="1546" spans="1:8" ht="15.5" x14ac:dyDescent="0.35">
      <c r="A1546" s="7">
        <v>1545</v>
      </c>
      <c r="B1546" s="12">
        <v>25932</v>
      </c>
      <c r="C1546" s="11" t="s">
        <v>1543</v>
      </c>
      <c r="D1546" s="12" t="s">
        <v>1486</v>
      </c>
      <c r="E1546" s="10">
        <v>2005</v>
      </c>
      <c r="F1546" s="36" t="str" cm="1">
        <f t="array" ref="F1546">_xlfn.XLOOKUP(D1546&amp;C1546, Sheet3!$C$2:$C$1224&amp;Sheet3!$B$2:$B$1224, Sheet3!$D$2:$D$1224, "")</f>
        <v>arhizt@gmail.com</v>
      </c>
      <c r="G1546" s="1" t="str" cm="1">
        <f t="array" ref="G1546">_xlfn.XLOOKUP(D1546&amp;C1546, Sheet2!$A$2:$A$558&amp;Sheet2!$B$2:$B$558, Sheet2!$C$2:$C$558, "")</f>
        <v/>
      </c>
      <c r="H1546" s="40" t="str">
        <f t="shared" si="24"/>
        <v>arhizt@gmail.com</v>
      </c>
    </row>
    <row r="1547" spans="1:8" ht="15.5" x14ac:dyDescent="0.35">
      <c r="A1547" s="7">
        <v>1546</v>
      </c>
      <c r="B1547" s="12">
        <v>26052</v>
      </c>
      <c r="C1547" s="11" t="s">
        <v>1544</v>
      </c>
      <c r="D1547" s="12" t="s">
        <v>1487</v>
      </c>
      <c r="E1547" s="10">
        <v>2005</v>
      </c>
      <c r="F1547" s="36" t="str" cm="1">
        <f t="array" ref="F1547">_xlfn.XLOOKUP(D1547&amp;C1547, Sheet3!$C$2:$C$1224&amp;Sheet3!$B$2:$B$1224, Sheet3!$D$2:$D$1224, "")</f>
        <v>iman.sadesmesli@big.go.id</v>
      </c>
      <c r="G1547" s="1" t="str" cm="1">
        <f t="array" ref="G1547">_xlfn.XLOOKUP(D1547&amp;C1547, Sheet2!$A$2:$A$558&amp;Sheet2!$B$2:$B$558, Sheet2!$C$2:$C$558, "")</f>
        <v>iman.sadesmesli@big.go.id</v>
      </c>
      <c r="H1547" s="40" t="str">
        <f t="shared" si="24"/>
        <v>iman.sadesmesli@big.go.id</v>
      </c>
    </row>
    <row r="1548" spans="1:8" ht="15.5" x14ac:dyDescent="0.35">
      <c r="A1548" s="7">
        <v>1547</v>
      </c>
      <c r="B1548" s="12">
        <v>26643</v>
      </c>
      <c r="C1548" s="11" t="s">
        <v>1545</v>
      </c>
      <c r="D1548" s="12" t="s">
        <v>1487</v>
      </c>
      <c r="E1548" s="10">
        <v>2005</v>
      </c>
      <c r="F1548" s="36" t="str" cm="1">
        <f t="array" ref="F1548">_xlfn.XLOOKUP(D1548&amp;C1548, Sheet3!$C$2:$C$1224&amp;Sheet3!$B$2:$B$1224, Sheet3!$D$2:$D$1224, "")</f>
        <v/>
      </c>
      <c r="G1548" s="1" t="str" cm="1">
        <f t="array" ref="G1548">_xlfn.XLOOKUP(D1548&amp;C1548, Sheet2!$A$2:$A$558&amp;Sheet2!$B$2:$B$558, Sheet2!$C$2:$C$558, "")</f>
        <v/>
      </c>
      <c r="H1548" s="40" t="str">
        <f t="shared" si="24"/>
        <v/>
      </c>
    </row>
    <row r="1549" spans="1:8" ht="15.5" x14ac:dyDescent="0.35">
      <c r="A1549" s="7">
        <v>1548</v>
      </c>
      <c r="B1549" s="12">
        <v>26741</v>
      </c>
      <c r="C1549" s="11" t="s">
        <v>1546</v>
      </c>
      <c r="D1549" s="12" t="s">
        <v>1487</v>
      </c>
      <c r="E1549" s="10">
        <v>2005</v>
      </c>
      <c r="F1549" s="36" t="str" cm="1">
        <f t="array" ref="F1549">_xlfn.XLOOKUP(D1549&amp;C1549, Sheet3!$C$2:$C$1224&amp;Sheet3!$B$2:$B$1224, Sheet3!$D$2:$D$1224, "")</f>
        <v/>
      </c>
      <c r="G1549" s="1" t="str" cm="1">
        <f t="array" ref="G1549">_xlfn.XLOOKUP(D1549&amp;C1549, Sheet2!$A$2:$A$558&amp;Sheet2!$B$2:$B$558, Sheet2!$C$2:$C$558, "")</f>
        <v/>
      </c>
      <c r="H1549" s="40" t="str">
        <f t="shared" si="24"/>
        <v/>
      </c>
    </row>
    <row r="1550" spans="1:8" ht="15.5" x14ac:dyDescent="0.35">
      <c r="A1550" s="7">
        <v>1549</v>
      </c>
      <c r="B1550" s="12">
        <v>18455</v>
      </c>
      <c r="C1550" s="11" t="s">
        <v>1547</v>
      </c>
      <c r="D1550" s="12" t="s">
        <v>1072</v>
      </c>
      <c r="E1550" s="10">
        <v>2005</v>
      </c>
      <c r="F1550" s="36" t="str" cm="1">
        <f t="array" ref="F1550">_xlfn.XLOOKUP(D1550&amp;C1550, Sheet3!$C$2:$C$1224&amp;Sheet3!$B$2:$B$1224, Sheet3!$D$2:$D$1224, "")</f>
        <v/>
      </c>
      <c r="G1550" s="1" t="str" cm="1">
        <f t="array" ref="G1550">_xlfn.XLOOKUP(D1550&amp;C1550, Sheet2!$A$2:$A$558&amp;Sheet2!$B$2:$B$558, Sheet2!$C$2:$C$558, "")</f>
        <v/>
      </c>
      <c r="H1550" s="40" t="str">
        <f t="shared" si="24"/>
        <v/>
      </c>
    </row>
    <row r="1551" spans="1:8" ht="15.5" x14ac:dyDescent="0.35">
      <c r="A1551" s="7">
        <v>1550</v>
      </c>
      <c r="B1551" s="12">
        <v>22481</v>
      </c>
      <c r="C1551" s="11" t="s">
        <v>1548</v>
      </c>
      <c r="D1551" s="12" t="s">
        <v>1077</v>
      </c>
      <c r="E1551" s="10">
        <v>2005</v>
      </c>
      <c r="F1551" s="36" t="str" cm="1">
        <f t="array" ref="F1551">_xlfn.XLOOKUP(D1551&amp;C1551, Sheet3!$C$2:$C$1224&amp;Sheet3!$B$2:$B$1224, Sheet3!$D$2:$D$1224, "")</f>
        <v/>
      </c>
      <c r="G1551" s="1" t="str" cm="1">
        <f t="array" ref="G1551">_xlfn.XLOOKUP(D1551&amp;C1551, Sheet2!$A$2:$A$558&amp;Sheet2!$B$2:$B$558, Sheet2!$C$2:$C$558, "")</f>
        <v>yusrizalfahmi80@gmail.com</v>
      </c>
      <c r="H1551" s="40" t="str">
        <f t="shared" si="24"/>
        <v>yusrizalfahmi80@gmail.com</v>
      </c>
    </row>
    <row r="1552" spans="1:8" ht="15.5" x14ac:dyDescent="0.35">
      <c r="A1552" s="7">
        <v>1551</v>
      </c>
      <c r="B1552" s="12">
        <v>23229</v>
      </c>
      <c r="C1552" s="11" t="s">
        <v>1549</v>
      </c>
      <c r="D1552" s="12" t="s">
        <v>1077</v>
      </c>
      <c r="E1552" s="10">
        <v>2005</v>
      </c>
      <c r="F1552" s="36" t="str" cm="1">
        <f t="array" ref="F1552">_xlfn.XLOOKUP(D1552&amp;C1552, Sheet3!$C$2:$C$1224&amp;Sheet3!$B$2:$B$1224, Sheet3!$D$2:$D$1224, "")</f>
        <v/>
      </c>
      <c r="G1552" s="1" t="str" cm="1">
        <f t="array" ref="G1552">_xlfn.XLOOKUP(D1552&amp;C1552, Sheet2!$A$2:$A$558&amp;Sheet2!$B$2:$B$558, Sheet2!$C$2:$C$558, "")</f>
        <v/>
      </c>
      <c r="H1552" s="40" t="str">
        <f t="shared" si="24"/>
        <v/>
      </c>
    </row>
    <row r="1553" spans="1:8" ht="15.5" x14ac:dyDescent="0.35">
      <c r="A1553" s="7">
        <v>1552</v>
      </c>
      <c r="B1553" s="12">
        <v>23652</v>
      </c>
      <c r="C1553" s="11" t="s">
        <v>1550</v>
      </c>
      <c r="D1553" s="12" t="s">
        <v>1078</v>
      </c>
      <c r="E1553" s="10">
        <v>2005</v>
      </c>
      <c r="F1553" s="36" t="str" cm="1">
        <f t="array" ref="F1553">_xlfn.XLOOKUP(D1553&amp;C1553, Sheet3!$C$2:$C$1224&amp;Sheet3!$B$2:$B$1224, Sheet3!$D$2:$D$1224, "")</f>
        <v>kjskb.april@gmail.com</v>
      </c>
      <c r="G1553" s="1" t="str" cm="1">
        <f t="array" ref="G1553">_xlfn.XLOOKUP(D1553&amp;C1553, Sheet2!$A$2:$A$558&amp;Sheet2!$B$2:$B$558, Sheet2!$C$2:$C$558, "")</f>
        <v>a.tonapa@gmail.com</v>
      </c>
      <c r="H1553" s="40" t="str">
        <f t="shared" si="24"/>
        <v>kjskb.april@gmail.com</v>
      </c>
    </row>
    <row r="1554" spans="1:8" ht="15.5" x14ac:dyDescent="0.35">
      <c r="A1554" s="7">
        <v>1553</v>
      </c>
      <c r="B1554" s="12">
        <v>23788</v>
      </c>
      <c r="C1554" s="11" t="s">
        <v>1551</v>
      </c>
      <c r="D1554" s="12" t="s">
        <v>1078</v>
      </c>
      <c r="E1554" s="10">
        <v>2005</v>
      </c>
      <c r="F1554" s="36" t="str" cm="1">
        <f t="array" ref="F1554">_xlfn.XLOOKUP(D1554&amp;C1554, Sheet3!$C$2:$C$1224&amp;Sheet3!$B$2:$B$1224, Sheet3!$D$2:$D$1224, "")</f>
        <v/>
      </c>
      <c r="G1554" s="1" t="str" cm="1">
        <f t="array" ref="G1554">_xlfn.XLOOKUP(D1554&amp;C1554, Sheet2!$A$2:$A$558&amp;Sheet2!$B$2:$B$558, Sheet2!$C$2:$C$558, "")</f>
        <v/>
      </c>
      <c r="H1554" s="40" t="str">
        <f t="shared" si="24"/>
        <v/>
      </c>
    </row>
    <row r="1555" spans="1:8" ht="15.5" x14ac:dyDescent="0.35">
      <c r="A1555" s="7">
        <v>1554</v>
      </c>
      <c r="B1555" s="12">
        <v>24230</v>
      </c>
      <c r="C1555" s="11" t="s">
        <v>1552</v>
      </c>
      <c r="D1555" s="12" t="s">
        <v>1078</v>
      </c>
      <c r="E1555" s="10">
        <v>2005</v>
      </c>
      <c r="F1555" s="36" t="str" cm="1">
        <f t="array" ref="F1555">_xlfn.XLOOKUP(D1555&amp;C1555, Sheet3!$C$2:$C$1224&amp;Sheet3!$B$2:$B$1224, Sheet3!$D$2:$D$1224, "")</f>
        <v/>
      </c>
      <c r="G1555" s="1" t="str" cm="1">
        <f t="array" ref="G1555">_xlfn.XLOOKUP(D1555&amp;C1555, Sheet2!$A$2:$A$558&amp;Sheet2!$B$2:$B$558, Sheet2!$C$2:$C$558, "")</f>
        <v/>
      </c>
      <c r="H1555" s="40" t="str">
        <f t="shared" si="24"/>
        <v/>
      </c>
    </row>
    <row r="1556" spans="1:8" ht="15.5" x14ac:dyDescent="0.35">
      <c r="A1556" s="7">
        <v>1555</v>
      </c>
      <c r="B1556" s="12">
        <v>24396</v>
      </c>
      <c r="C1556" s="11" t="s">
        <v>1553</v>
      </c>
      <c r="D1556" s="12" t="s">
        <v>1078</v>
      </c>
      <c r="E1556" s="10">
        <v>2005</v>
      </c>
      <c r="F1556" s="36" t="str" cm="1">
        <f t="array" ref="F1556">_xlfn.XLOOKUP(D1556&amp;C1556, Sheet3!$C$2:$C$1224&amp;Sheet3!$B$2:$B$1224, Sheet3!$D$2:$D$1224, "")</f>
        <v/>
      </c>
      <c r="G1556" s="1" t="str" cm="1">
        <f t="array" ref="G1556">_xlfn.XLOOKUP(D1556&amp;C1556, Sheet2!$A$2:$A$558&amp;Sheet2!$B$2:$B$558, Sheet2!$C$2:$C$558, "")</f>
        <v/>
      </c>
      <c r="H1556" s="40" t="str">
        <f t="shared" si="24"/>
        <v/>
      </c>
    </row>
    <row r="1557" spans="1:8" ht="15.5" x14ac:dyDescent="0.35">
      <c r="A1557" s="7">
        <v>1556</v>
      </c>
      <c r="B1557" s="12">
        <v>25352</v>
      </c>
      <c r="C1557" s="11" t="s">
        <v>1554</v>
      </c>
      <c r="D1557" s="12" t="s">
        <v>1486</v>
      </c>
      <c r="E1557" s="10">
        <v>2005</v>
      </c>
      <c r="F1557" s="36" t="str" cm="1">
        <f t="array" ref="F1557">_xlfn.XLOOKUP(D1557&amp;C1557, Sheet3!$C$2:$C$1224&amp;Sheet3!$B$2:$B$1224, Sheet3!$D$2:$D$1224, "")</f>
        <v>nofriesms@gmail.com</v>
      </c>
      <c r="G1557" s="1" t="str" cm="1">
        <f t="array" ref="G1557">_xlfn.XLOOKUP(D1557&amp;C1557, Sheet2!$A$2:$A$558&amp;Sheet2!$B$2:$B$558, Sheet2!$C$2:$C$558, "")</f>
        <v>nofriesms@gmail.com</v>
      </c>
      <c r="H1557" s="40" t="str">
        <f t="shared" si="24"/>
        <v>nofriesms@gmail.com</v>
      </c>
    </row>
    <row r="1558" spans="1:8" ht="15.5" x14ac:dyDescent="0.35">
      <c r="A1558" s="7">
        <v>1557</v>
      </c>
      <c r="B1558" s="12">
        <v>24305</v>
      </c>
      <c r="C1558" s="11" t="s">
        <v>1555</v>
      </c>
      <c r="D1558" s="12" t="s">
        <v>1078</v>
      </c>
      <c r="E1558" s="10">
        <v>2005</v>
      </c>
      <c r="F1558" s="36" t="str" cm="1">
        <f t="array" ref="F1558">_xlfn.XLOOKUP(D1558&amp;C1558, Sheet3!$C$2:$C$1224&amp;Sheet3!$B$2:$B$1224, Sheet3!$D$2:$D$1224, "")</f>
        <v/>
      </c>
      <c r="G1558" s="1" t="str" cm="1">
        <f t="array" ref="G1558">_xlfn.XLOOKUP(D1558&amp;C1558, Sheet2!$A$2:$A$558&amp;Sheet2!$B$2:$B$558, Sheet2!$C$2:$C$558, "")</f>
        <v/>
      </c>
      <c r="H1558" s="40" t="str">
        <f t="shared" si="24"/>
        <v/>
      </c>
    </row>
    <row r="1559" spans="1:8" ht="15.5" x14ac:dyDescent="0.35">
      <c r="A1559" s="7">
        <v>1558</v>
      </c>
      <c r="B1559" s="12">
        <v>23709</v>
      </c>
      <c r="C1559" s="11" t="s">
        <v>1556</v>
      </c>
      <c r="D1559" s="12" t="s">
        <v>1078</v>
      </c>
      <c r="E1559" s="10">
        <v>2005</v>
      </c>
      <c r="F1559" s="36" t="str" cm="1">
        <f t="array" ref="F1559">_xlfn.XLOOKUP(D1559&amp;C1559, Sheet3!$C$2:$C$1224&amp;Sheet3!$B$2:$B$1224, Sheet3!$D$2:$D$1224, "")</f>
        <v>sirairone99@gmail.com</v>
      </c>
      <c r="G1559" s="1" t="str" cm="1">
        <f t="array" ref="G1559">_xlfn.XLOOKUP(D1559&amp;C1559, Sheet2!$A$2:$A$558&amp;Sheet2!$B$2:$B$558, Sheet2!$C$2:$C$558, "")</f>
        <v/>
      </c>
      <c r="H1559" s="40" t="str">
        <f t="shared" si="24"/>
        <v>sirairone99@gmail.com</v>
      </c>
    </row>
    <row r="1560" spans="1:8" ht="15.5" x14ac:dyDescent="0.35">
      <c r="A1560" s="7">
        <v>1559</v>
      </c>
      <c r="B1560" s="12">
        <v>23770</v>
      </c>
      <c r="C1560" s="11" t="s">
        <v>579</v>
      </c>
      <c r="D1560" s="12" t="s">
        <v>1078</v>
      </c>
      <c r="E1560" s="10">
        <v>2005</v>
      </c>
      <c r="F1560" s="36" t="str" cm="1">
        <f t="array" ref="F1560">_xlfn.XLOOKUP(D1560&amp;C1560, Sheet3!$C$2:$C$1224&amp;Sheet3!$B$2:$B$1224, Sheet3!$D$2:$D$1224, "")</f>
        <v>sigitwahyudi99@gmail.com</v>
      </c>
      <c r="G1560" s="1" t="str" cm="1">
        <f t="array" ref="G1560">_xlfn.XLOOKUP(D1560&amp;C1560, Sheet2!$A$2:$A$558&amp;Sheet2!$B$2:$B$558, Sheet2!$C$2:$C$558, "")</f>
        <v>sigitwahyudi99@gmail.com</v>
      </c>
      <c r="H1560" s="40" t="str">
        <f t="shared" si="24"/>
        <v>sigitwahyudi99@gmail.com</v>
      </c>
    </row>
    <row r="1561" spans="1:8" ht="15.5" x14ac:dyDescent="0.35">
      <c r="A1561" s="7">
        <v>1560</v>
      </c>
      <c r="B1561" s="12">
        <v>24173</v>
      </c>
      <c r="C1561" s="11" t="s">
        <v>1557</v>
      </c>
      <c r="D1561" s="12" t="s">
        <v>1078</v>
      </c>
      <c r="E1561" s="10">
        <v>2005</v>
      </c>
      <c r="F1561" s="36" t="str" cm="1">
        <f t="array" ref="F1561">_xlfn.XLOOKUP(D1561&amp;C1561, Sheet3!$C$2:$C$1224&amp;Sheet3!$B$2:$B$1224, Sheet3!$D$2:$D$1224, "")</f>
        <v/>
      </c>
      <c r="G1561" s="1" t="str" cm="1">
        <f t="array" ref="G1561">_xlfn.XLOOKUP(D1561&amp;C1561, Sheet2!$A$2:$A$558&amp;Sheet2!$B$2:$B$558, Sheet2!$C$2:$C$558, "")</f>
        <v/>
      </c>
      <c r="H1561" s="40" t="str">
        <f t="shared" si="24"/>
        <v/>
      </c>
    </row>
    <row r="1562" spans="1:8" ht="15.5" x14ac:dyDescent="0.35">
      <c r="A1562" s="7">
        <v>1561</v>
      </c>
      <c r="B1562" s="12">
        <v>25071</v>
      </c>
      <c r="C1562" s="11" t="s">
        <v>1558</v>
      </c>
      <c r="D1562" s="12" t="s">
        <v>1486</v>
      </c>
      <c r="E1562" s="10">
        <v>2005</v>
      </c>
      <c r="F1562" s="36" t="str" cm="1">
        <f t="array" ref="F1562">_xlfn.XLOOKUP(D1562&amp;C1562, Sheet3!$C$2:$C$1224&amp;Sheet3!$B$2:$B$1224, Sheet3!$D$2:$D$1224, "")</f>
        <v/>
      </c>
      <c r="G1562" s="1" t="str" cm="1">
        <f t="array" ref="G1562">_xlfn.XLOOKUP(D1562&amp;C1562, Sheet2!$A$2:$A$558&amp;Sheet2!$B$2:$B$558, Sheet2!$C$2:$C$558, "")</f>
        <v/>
      </c>
      <c r="H1562" s="40" t="str">
        <f t="shared" si="24"/>
        <v/>
      </c>
    </row>
    <row r="1563" spans="1:8" ht="15.5" x14ac:dyDescent="0.35">
      <c r="A1563" s="7">
        <v>1562</v>
      </c>
      <c r="B1563" s="12">
        <v>25360</v>
      </c>
      <c r="C1563" s="11" t="s">
        <v>1559</v>
      </c>
      <c r="D1563" s="12" t="s">
        <v>1486</v>
      </c>
      <c r="E1563" s="10">
        <v>2005</v>
      </c>
      <c r="F1563" s="36" t="str" cm="1">
        <f t="array" ref="F1563">_xlfn.XLOOKUP(D1563&amp;C1563, Sheet3!$C$2:$C$1224&amp;Sheet3!$B$2:$B$1224, Sheet3!$D$2:$D$1224, "")</f>
        <v/>
      </c>
      <c r="G1563" s="1" t="str" cm="1">
        <f t="array" ref="G1563">_xlfn.XLOOKUP(D1563&amp;C1563, Sheet2!$A$2:$A$558&amp;Sheet2!$B$2:$B$558, Sheet2!$C$2:$C$558, "")</f>
        <v/>
      </c>
      <c r="H1563" s="40" t="str">
        <f t="shared" si="24"/>
        <v/>
      </c>
    </row>
    <row r="1564" spans="1:8" ht="15.5" x14ac:dyDescent="0.35">
      <c r="A1564" s="7">
        <v>1563</v>
      </c>
      <c r="B1564" s="12">
        <v>25469</v>
      </c>
      <c r="C1564" s="11" t="s">
        <v>1560</v>
      </c>
      <c r="D1564" s="12" t="s">
        <v>1486</v>
      </c>
      <c r="E1564" s="10">
        <v>2005</v>
      </c>
      <c r="F1564" s="36" t="str" cm="1">
        <f t="array" ref="F1564">_xlfn.XLOOKUP(D1564&amp;C1564, Sheet3!$C$2:$C$1224&amp;Sheet3!$B$2:$B$1224, Sheet3!$D$2:$D$1224, "")</f>
        <v>theokapratama@gmail.com</v>
      </c>
      <c r="G1564" s="1" t="str" cm="1">
        <f t="array" ref="G1564">_xlfn.XLOOKUP(D1564&amp;C1564, Sheet2!$A$2:$A$558&amp;Sheet2!$B$2:$B$558, Sheet2!$C$2:$C$558, "")</f>
        <v/>
      </c>
      <c r="H1564" s="40" t="str">
        <f t="shared" si="24"/>
        <v>theokapratama@gmail.com</v>
      </c>
    </row>
    <row r="1565" spans="1:8" ht="15.5" x14ac:dyDescent="0.35">
      <c r="A1565" s="7">
        <v>1564</v>
      </c>
      <c r="B1565" s="12">
        <v>25587</v>
      </c>
      <c r="C1565" s="11" t="s">
        <v>1561</v>
      </c>
      <c r="D1565" s="12" t="s">
        <v>1486</v>
      </c>
      <c r="E1565" s="10">
        <v>2005</v>
      </c>
      <c r="F1565" s="36" t="str" cm="1">
        <f t="array" ref="F1565">_xlfn.XLOOKUP(D1565&amp;C1565, Sheet3!$C$2:$C$1224&amp;Sheet3!$B$2:$B$1224, Sheet3!$D$2:$D$1224, "")</f>
        <v/>
      </c>
      <c r="G1565" s="1" t="str" cm="1">
        <f t="array" ref="G1565">_xlfn.XLOOKUP(D1565&amp;C1565, Sheet2!$A$2:$A$558&amp;Sheet2!$B$2:$B$558, Sheet2!$C$2:$C$558, "")</f>
        <v/>
      </c>
      <c r="H1565" s="40" t="str">
        <f t="shared" si="24"/>
        <v/>
      </c>
    </row>
    <row r="1566" spans="1:8" ht="15.5" x14ac:dyDescent="0.35">
      <c r="A1566" s="7">
        <v>1565</v>
      </c>
      <c r="B1566" s="12">
        <v>25792</v>
      </c>
      <c r="C1566" s="11" t="s">
        <v>1562</v>
      </c>
      <c r="D1566" s="12" t="s">
        <v>1486</v>
      </c>
      <c r="E1566" s="10">
        <v>2005</v>
      </c>
      <c r="F1566" s="36" t="str" cm="1">
        <f t="array" ref="F1566">_xlfn.XLOOKUP(D1566&amp;C1566, Sheet3!$C$2:$C$1224&amp;Sheet3!$B$2:$B$1224, Sheet3!$D$2:$D$1224, "")</f>
        <v>yahya.mhj@gmail.com</v>
      </c>
      <c r="G1566" s="1" t="str" cm="1">
        <f t="array" ref="G1566">_xlfn.XLOOKUP(D1566&amp;C1566, Sheet2!$A$2:$A$558&amp;Sheet2!$B$2:$B$558, Sheet2!$C$2:$C$558, "")</f>
        <v>yahya.mhj@gmail.com</v>
      </c>
      <c r="H1566" s="40" t="str">
        <f t="shared" si="24"/>
        <v>yahya.mhj@gmail.com</v>
      </c>
    </row>
    <row r="1567" spans="1:8" ht="15.5" x14ac:dyDescent="0.35">
      <c r="A1567" s="7">
        <v>1566</v>
      </c>
      <c r="B1567" s="12">
        <v>25837</v>
      </c>
      <c r="C1567" s="11" t="s">
        <v>1563</v>
      </c>
      <c r="D1567" s="12" t="s">
        <v>1486</v>
      </c>
      <c r="E1567" s="10">
        <v>2005</v>
      </c>
      <c r="F1567" s="36" t="str" cm="1">
        <f t="array" ref="F1567">_xlfn.XLOOKUP(D1567&amp;C1567, Sheet3!$C$2:$C$1224&amp;Sheet3!$B$2:$B$1224, Sheet3!$D$2:$D$1224, "")</f>
        <v>Krisnadi.btm@gmail.com</v>
      </c>
      <c r="G1567" s="1" t="str" cm="1">
        <f t="array" ref="G1567">_xlfn.XLOOKUP(D1567&amp;C1567, Sheet2!$A$2:$A$558&amp;Sheet2!$B$2:$B$558, Sheet2!$C$2:$C$558, "")</f>
        <v/>
      </c>
      <c r="H1567" s="40" t="str">
        <f t="shared" si="24"/>
        <v>Krisnadi.btm@gmail.com</v>
      </c>
    </row>
    <row r="1568" spans="1:8" ht="15.5" x14ac:dyDescent="0.35">
      <c r="A1568" s="7">
        <v>1567</v>
      </c>
      <c r="B1568" s="12">
        <v>26058</v>
      </c>
      <c r="C1568" s="11" t="s">
        <v>1564</v>
      </c>
      <c r="D1568" s="12" t="s">
        <v>1487</v>
      </c>
      <c r="E1568" s="10">
        <v>2005</v>
      </c>
      <c r="F1568" s="36" t="str" cm="1">
        <f t="array" ref="F1568">_xlfn.XLOOKUP(D1568&amp;C1568, Sheet3!$C$2:$C$1224&amp;Sheet3!$B$2:$B$1224, Sheet3!$D$2:$D$1224, "")</f>
        <v/>
      </c>
      <c r="G1568" s="1" t="str" cm="1">
        <f t="array" ref="G1568">_xlfn.XLOOKUP(D1568&amp;C1568, Sheet2!$A$2:$A$558&amp;Sheet2!$B$2:$B$558, Sheet2!$C$2:$C$558, "")</f>
        <v/>
      </c>
      <c r="H1568" s="40" t="str">
        <f t="shared" si="24"/>
        <v/>
      </c>
    </row>
    <row r="1569" spans="1:8" ht="15.5" x14ac:dyDescent="0.35">
      <c r="A1569" s="7">
        <v>1568</v>
      </c>
      <c r="B1569" s="12">
        <v>26256</v>
      </c>
      <c r="C1569" s="11" t="s">
        <v>1565</v>
      </c>
      <c r="D1569" s="12" t="s">
        <v>1487</v>
      </c>
      <c r="E1569" s="10">
        <v>2005</v>
      </c>
      <c r="F1569" s="36" t="str" cm="1">
        <f t="array" ref="F1569">_xlfn.XLOOKUP(D1569&amp;C1569, Sheet3!$C$2:$C$1224&amp;Sheet3!$B$2:$B$1224, Sheet3!$D$2:$D$1224, "")</f>
        <v/>
      </c>
      <c r="G1569" s="1" t="str" cm="1">
        <f t="array" ref="G1569">_xlfn.XLOOKUP(D1569&amp;C1569, Sheet2!$A$2:$A$558&amp;Sheet2!$B$2:$B$558, Sheet2!$C$2:$C$558, "")</f>
        <v>pirmansah92@gmail.com</v>
      </c>
      <c r="H1569" s="40" t="str">
        <f t="shared" si="24"/>
        <v>pirmansah92@gmail.com</v>
      </c>
    </row>
    <row r="1570" spans="1:8" ht="15.5" x14ac:dyDescent="0.35">
      <c r="A1570" s="7">
        <v>1569</v>
      </c>
      <c r="B1570" s="12">
        <v>26287</v>
      </c>
      <c r="C1570" s="11" t="s">
        <v>1566</v>
      </c>
      <c r="D1570" s="12" t="s">
        <v>1487</v>
      </c>
      <c r="E1570" s="10">
        <v>2005</v>
      </c>
      <c r="F1570" s="36" t="str" cm="1">
        <f t="array" ref="F1570">_xlfn.XLOOKUP(D1570&amp;C1570, Sheet3!$C$2:$C$1224&amp;Sheet3!$B$2:$B$1224, Sheet3!$D$2:$D$1224, "")</f>
        <v/>
      </c>
      <c r="G1570" s="1" t="str" cm="1">
        <f t="array" ref="G1570">_xlfn.XLOOKUP(D1570&amp;C1570, Sheet2!$A$2:$A$558&amp;Sheet2!$B$2:$B$558, Sheet2!$C$2:$C$558, "")</f>
        <v/>
      </c>
      <c r="H1570" s="40" t="str">
        <f t="shared" si="24"/>
        <v/>
      </c>
    </row>
    <row r="1571" spans="1:8" ht="15.5" x14ac:dyDescent="0.35">
      <c r="A1571" s="7">
        <v>1570</v>
      </c>
      <c r="B1571" s="12">
        <v>26549</v>
      </c>
      <c r="C1571" s="11" t="s">
        <v>1567</v>
      </c>
      <c r="D1571" s="12" t="s">
        <v>1487</v>
      </c>
      <c r="E1571" s="10">
        <v>2005</v>
      </c>
      <c r="F1571" s="36" t="str" cm="1">
        <f t="array" ref="F1571">_xlfn.XLOOKUP(D1571&amp;C1571, Sheet3!$C$2:$C$1224&amp;Sheet3!$B$2:$B$1224, Sheet3!$D$2:$D$1224, "")</f>
        <v/>
      </c>
      <c r="G1571" s="1" t="str" cm="1">
        <f t="array" ref="G1571">_xlfn.XLOOKUP(D1571&amp;C1571, Sheet2!$A$2:$A$558&amp;Sheet2!$B$2:$B$558, Sheet2!$C$2:$C$558, "")</f>
        <v>nila.laiqa@gmail.com</v>
      </c>
      <c r="H1571" s="40" t="str">
        <f t="shared" si="24"/>
        <v>nila.laiqa@gmail.com</v>
      </c>
    </row>
    <row r="1572" spans="1:8" ht="15.5" x14ac:dyDescent="0.35">
      <c r="A1572" s="7">
        <v>1571</v>
      </c>
      <c r="B1572" s="12">
        <v>26553</v>
      </c>
      <c r="C1572" s="11" t="s">
        <v>1568</v>
      </c>
      <c r="D1572" s="12" t="s">
        <v>1487</v>
      </c>
      <c r="E1572" s="10">
        <v>2005</v>
      </c>
      <c r="F1572" s="36" t="str" cm="1">
        <f t="array" ref="F1572">_xlfn.XLOOKUP(D1572&amp;C1572, Sheet3!$C$2:$C$1224&amp;Sheet3!$B$2:$B$1224, Sheet3!$D$2:$D$1224, "")</f>
        <v>yunicatur2018@gmail.com</v>
      </c>
      <c r="G1572" s="1" t="str" cm="1">
        <f t="array" ref="G1572">_xlfn.XLOOKUP(D1572&amp;C1572, Sheet2!$A$2:$A$558&amp;Sheet2!$B$2:$B$558, Sheet2!$C$2:$C$558, "")</f>
        <v/>
      </c>
      <c r="H1572" s="40" t="str">
        <f t="shared" si="24"/>
        <v>yunicatur2018@gmail.com</v>
      </c>
    </row>
    <row r="1573" spans="1:8" ht="15.5" x14ac:dyDescent="0.35">
      <c r="A1573" s="7">
        <v>1572</v>
      </c>
      <c r="B1573" s="12">
        <v>26723</v>
      </c>
      <c r="C1573" s="11" t="s">
        <v>1569</v>
      </c>
      <c r="D1573" s="12" t="s">
        <v>1487</v>
      </c>
      <c r="E1573" s="10">
        <v>2005</v>
      </c>
      <c r="F1573" s="36" t="str" cm="1">
        <f t="array" ref="F1573">_xlfn.XLOOKUP(D1573&amp;C1573, Sheet3!$C$2:$C$1224&amp;Sheet3!$B$2:$B$1224, Sheet3!$D$2:$D$1224, "")</f>
        <v/>
      </c>
      <c r="G1573" s="1" t="str" cm="1">
        <f t="array" ref="G1573">_xlfn.XLOOKUP(D1573&amp;C1573, Sheet2!$A$2:$A$558&amp;Sheet2!$B$2:$B$558, Sheet2!$C$2:$C$558, "")</f>
        <v/>
      </c>
      <c r="H1573" s="40" t="str">
        <f t="shared" si="24"/>
        <v/>
      </c>
    </row>
    <row r="1574" spans="1:8" ht="15.5" x14ac:dyDescent="0.35">
      <c r="A1574" s="7">
        <v>1573</v>
      </c>
      <c r="B1574" s="12">
        <v>26940</v>
      </c>
      <c r="C1574" s="11" t="s">
        <v>1570</v>
      </c>
      <c r="D1574" s="12" t="s">
        <v>1487</v>
      </c>
      <c r="E1574" s="10">
        <v>2005</v>
      </c>
      <c r="F1574" s="36" t="str" cm="1">
        <f t="array" ref="F1574">_xlfn.XLOOKUP(D1574&amp;C1574, Sheet3!$C$2:$C$1224&amp;Sheet3!$B$2:$B$1224, Sheet3!$D$2:$D$1224, "")</f>
        <v>handyaranur@gmail.com</v>
      </c>
      <c r="G1574" s="1" t="str" cm="1">
        <f t="array" ref="G1574">_xlfn.XLOOKUP(D1574&amp;C1574, Sheet2!$A$2:$A$558&amp;Sheet2!$B$2:$B$558, Sheet2!$C$2:$C$558, "")</f>
        <v/>
      </c>
      <c r="H1574" s="40" t="str">
        <f t="shared" si="24"/>
        <v>handyaranur@gmail.com</v>
      </c>
    </row>
    <row r="1575" spans="1:8" ht="15.5" x14ac:dyDescent="0.35">
      <c r="A1575" s="7">
        <v>1574</v>
      </c>
      <c r="B1575" s="12">
        <v>20887</v>
      </c>
      <c r="C1575" s="11" t="s">
        <v>1571</v>
      </c>
      <c r="D1575" s="12" t="s">
        <v>1075</v>
      </c>
      <c r="E1575" s="10">
        <v>2006</v>
      </c>
      <c r="F1575" s="36" t="str" cm="1">
        <f t="array" ref="F1575">_xlfn.XLOOKUP(D1575&amp;C1575, Sheet3!$C$2:$C$1224&amp;Sheet3!$B$2:$B$1224, Sheet3!$D$2:$D$1224, "")</f>
        <v>prayitnomulia96@gmail.com</v>
      </c>
      <c r="G1575" s="1" t="str" cm="1">
        <f t="array" ref="G1575">_xlfn.XLOOKUP(D1575&amp;C1575, Sheet2!$A$2:$A$558&amp;Sheet2!$B$2:$B$558, Sheet2!$C$2:$C$558, "")</f>
        <v/>
      </c>
      <c r="H1575" s="40" t="str">
        <f t="shared" si="24"/>
        <v>prayitnomulia96@gmail.com</v>
      </c>
    </row>
    <row r="1576" spans="1:8" ht="15.5" x14ac:dyDescent="0.35">
      <c r="A1576" s="7">
        <v>1575</v>
      </c>
      <c r="B1576" s="12">
        <v>24083</v>
      </c>
      <c r="C1576" s="11" t="s">
        <v>703</v>
      </c>
      <c r="D1576" s="12" t="s">
        <v>1078</v>
      </c>
      <c r="E1576" s="10">
        <v>2006</v>
      </c>
      <c r="F1576" s="36" t="str" cm="1">
        <f t="array" ref="F1576">_xlfn.XLOOKUP(D1576&amp;C1576, Sheet3!$C$2:$C$1224&amp;Sheet3!$B$2:$B$1224, Sheet3!$D$2:$D$1224, "")</f>
        <v/>
      </c>
      <c r="G1576" s="1" t="str" cm="1">
        <f t="array" ref="G1576">_xlfn.XLOOKUP(D1576&amp;C1576, Sheet2!$A$2:$A$558&amp;Sheet2!$B$2:$B$558, Sheet2!$C$2:$C$558, "")</f>
        <v/>
      </c>
      <c r="H1576" s="40" t="str">
        <f t="shared" si="24"/>
        <v/>
      </c>
    </row>
    <row r="1577" spans="1:8" ht="15.5" x14ac:dyDescent="0.35">
      <c r="A1577" s="7">
        <v>1576</v>
      </c>
      <c r="B1577" s="12">
        <v>24352</v>
      </c>
      <c r="C1577" s="11" t="s">
        <v>1572</v>
      </c>
      <c r="D1577" s="12" t="s">
        <v>1078</v>
      </c>
      <c r="E1577" s="10">
        <v>2006</v>
      </c>
      <c r="F1577" s="36" t="str" cm="1">
        <f t="array" ref="F1577">_xlfn.XLOOKUP(D1577&amp;C1577, Sheet3!$C$2:$C$1224&amp;Sheet3!$B$2:$B$1224, Sheet3!$D$2:$D$1224, "")</f>
        <v>Prasbow@gmail.com</v>
      </c>
      <c r="G1577" s="1" t="str" cm="1">
        <f t="array" ref="G1577">_xlfn.XLOOKUP(D1577&amp;C1577, Sheet2!$A$2:$A$558&amp;Sheet2!$B$2:$B$558, Sheet2!$C$2:$C$558, "")</f>
        <v/>
      </c>
      <c r="H1577" s="40" t="str">
        <f t="shared" si="24"/>
        <v>Prasbow@gmail.com</v>
      </c>
    </row>
    <row r="1578" spans="1:8" ht="15.5" x14ac:dyDescent="0.35">
      <c r="A1578" s="7">
        <v>1577</v>
      </c>
      <c r="B1578" s="12">
        <v>25117</v>
      </c>
      <c r="C1578" s="11" t="s">
        <v>1573</v>
      </c>
      <c r="D1578" s="12" t="s">
        <v>1486</v>
      </c>
      <c r="E1578" s="10">
        <v>2006</v>
      </c>
      <c r="F1578" s="36" t="str" cm="1">
        <f t="array" ref="F1578">_xlfn.XLOOKUP(D1578&amp;C1578, Sheet3!$C$2:$C$1224&amp;Sheet3!$B$2:$B$1224, Sheet3!$D$2:$D$1224, "")</f>
        <v/>
      </c>
      <c r="G1578" s="1" t="str" cm="1">
        <f t="array" ref="G1578">_xlfn.XLOOKUP(D1578&amp;C1578, Sheet2!$A$2:$A$558&amp;Sheet2!$B$2:$B$558, Sheet2!$C$2:$C$558, "")</f>
        <v/>
      </c>
      <c r="H1578" s="40" t="str">
        <f t="shared" si="24"/>
        <v/>
      </c>
    </row>
    <row r="1579" spans="1:8" ht="15.5" x14ac:dyDescent="0.35">
      <c r="A1579" s="7">
        <v>1578</v>
      </c>
      <c r="B1579" s="12">
        <v>25138</v>
      </c>
      <c r="C1579" s="11" t="s">
        <v>1574</v>
      </c>
      <c r="D1579" s="12" t="s">
        <v>1486</v>
      </c>
      <c r="E1579" s="10">
        <v>2006</v>
      </c>
      <c r="F1579" s="36" t="str" cm="1">
        <f t="array" ref="F1579">_xlfn.XLOOKUP(D1579&amp;C1579, Sheet3!$C$2:$C$1224&amp;Sheet3!$B$2:$B$1224, Sheet3!$D$2:$D$1224, "")</f>
        <v>ronie.tanggamus@gmail.com</v>
      </c>
      <c r="G1579" s="1" t="str" cm="1">
        <f t="array" ref="G1579">_xlfn.XLOOKUP(D1579&amp;C1579, Sheet2!$A$2:$A$558&amp;Sheet2!$B$2:$B$558, Sheet2!$C$2:$C$558, "")</f>
        <v>ronie.tanggamus@gmail.com</v>
      </c>
      <c r="H1579" s="40" t="str">
        <f t="shared" si="24"/>
        <v>ronie.tanggamus@gmail.com</v>
      </c>
    </row>
    <row r="1580" spans="1:8" ht="15.5" x14ac:dyDescent="0.35">
      <c r="A1580" s="7">
        <v>1579</v>
      </c>
      <c r="B1580" s="12">
        <v>25262</v>
      </c>
      <c r="C1580" s="11" t="s">
        <v>1575</v>
      </c>
      <c r="D1580" s="12" t="s">
        <v>1486</v>
      </c>
      <c r="E1580" s="10">
        <v>2006</v>
      </c>
      <c r="F1580" s="36" t="str" cm="1">
        <f t="array" ref="F1580">_xlfn.XLOOKUP(D1580&amp;C1580, Sheet3!$C$2:$C$1224&amp;Sheet3!$B$2:$B$1224, Sheet3!$D$2:$D$1224, "")</f>
        <v>adhityo.susilo@gmail.com</v>
      </c>
      <c r="G1580" s="1" t="str" cm="1">
        <f t="array" ref="G1580">_xlfn.XLOOKUP(D1580&amp;C1580, Sheet2!$A$2:$A$558&amp;Sheet2!$B$2:$B$558, Sheet2!$C$2:$C$558, "")</f>
        <v>adhityo.susilo@gmail.com</v>
      </c>
      <c r="H1580" s="40" t="str">
        <f t="shared" si="24"/>
        <v>adhityo.susilo@gmail.com</v>
      </c>
    </row>
    <row r="1581" spans="1:8" ht="15.5" x14ac:dyDescent="0.35">
      <c r="A1581" s="7">
        <v>1580</v>
      </c>
      <c r="B1581" s="12">
        <v>25288</v>
      </c>
      <c r="C1581" s="11" t="s">
        <v>1576</v>
      </c>
      <c r="D1581" s="12" t="s">
        <v>1486</v>
      </c>
      <c r="E1581" s="10">
        <v>2006</v>
      </c>
      <c r="F1581" s="36" t="str" cm="1">
        <f t="array" ref="F1581">_xlfn.XLOOKUP(D1581&amp;C1581, Sheet3!$C$2:$C$1224&amp;Sheet3!$B$2:$B$1224, Sheet3!$D$2:$D$1224, "")</f>
        <v>kayyisa.ok@gmail.com</v>
      </c>
      <c r="G1581" s="1" t="str" cm="1">
        <f t="array" ref="G1581">_xlfn.XLOOKUP(D1581&amp;C1581, Sheet2!$A$2:$A$558&amp;Sheet2!$B$2:$B$558, Sheet2!$C$2:$C$558, "")</f>
        <v>kayyisa.ok@gmail.com</v>
      </c>
      <c r="H1581" s="40" t="str">
        <f t="shared" si="24"/>
        <v>kayyisa.ok@gmail.com</v>
      </c>
    </row>
    <row r="1582" spans="1:8" ht="15.5" x14ac:dyDescent="0.35">
      <c r="A1582" s="7">
        <v>1581</v>
      </c>
      <c r="B1582" s="12">
        <v>25446</v>
      </c>
      <c r="C1582" s="11" t="s">
        <v>1577</v>
      </c>
      <c r="D1582" s="12" t="s">
        <v>1486</v>
      </c>
      <c r="E1582" s="10">
        <v>2006</v>
      </c>
      <c r="F1582" s="36" t="str" cm="1">
        <f t="array" ref="F1582">_xlfn.XLOOKUP(D1582&amp;C1582, Sheet3!$C$2:$C$1224&amp;Sheet3!$B$2:$B$1224, Sheet3!$D$2:$D$1224, "")</f>
        <v/>
      </c>
      <c r="G1582" s="1" t="str" cm="1">
        <f t="array" ref="G1582">_xlfn.XLOOKUP(D1582&amp;C1582, Sheet2!$A$2:$A$558&amp;Sheet2!$B$2:$B$558, Sheet2!$C$2:$C$558, "")</f>
        <v/>
      </c>
      <c r="H1582" s="40" t="str">
        <f t="shared" si="24"/>
        <v/>
      </c>
    </row>
    <row r="1583" spans="1:8" ht="15.5" x14ac:dyDescent="0.35">
      <c r="A1583" s="7">
        <v>1582</v>
      </c>
      <c r="B1583" s="12">
        <v>25525</v>
      </c>
      <c r="C1583" s="11" t="s">
        <v>1578</v>
      </c>
      <c r="D1583" s="12" t="s">
        <v>1486</v>
      </c>
      <c r="E1583" s="10">
        <v>2006</v>
      </c>
      <c r="F1583" s="36" t="str" cm="1">
        <f t="array" ref="F1583">_xlfn.XLOOKUP(D1583&amp;C1583, Sheet3!$C$2:$C$1224&amp;Sheet3!$B$2:$B$1224, Sheet3!$D$2:$D$1224, "")</f>
        <v>hari.sutopo80@gmail.com</v>
      </c>
      <c r="G1583" s="1" t="str" cm="1">
        <f t="array" ref="G1583">_xlfn.XLOOKUP(D1583&amp;C1583, Sheet2!$A$2:$A$558&amp;Sheet2!$B$2:$B$558, Sheet2!$C$2:$C$558, "")</f>
        <v>hari.sutopo80@gmail.com</v>
      </c>
      <c r="H1583" s="40" t="str">
        <f t="shared" si="24"/>
        <v>hari.sutopo80@gmail.com</v>
      </c>
    </row>
    <row r="1584" spans="1:8" ht="15.5" x14ac:dyDescent="0.35">
      <c r="A1584" s="7">
        <v>1583</v>
      </c>
      <c r="B1584" s="12">
        <v>25571</v>
      </c>
      <c r="C1584" s="11" t="s">
        <v>1579</v>
      </c>
      <c r="D1584" s="12" t="s">
        <v>1486</v>
      </c>
      <c r="E1584" s="10">
        <v>2006</v>
      </c>
      <c r="F1584" s="36" t="str" cm="1">
        <f t="array" ref="F1584">_xlfn.XLOOKUP(D1584&amp;C1584, Sheet3!$C$2:$C$1224&amp;Sheet3!$B$2:$B$1224, Sheet3!$D$2:$D$1224, "")</f>
        <v>henz.febriawan@gmail.com</v>
      </c>
      <c r="G1584" s="1" t="str" cm="1">
        <f t="array" ref="G1584">_xlfn.XLOOKUP(D1584&amp;C1584, Sheet2!$A$2:$A$558&amp;Sheet2!$B$2:$B$558, Sheet2!$C$2:$C$558, "")</f>
        <v/>
      </c>
      <c r="H1584" s="40" t="str">
        <f t="shared" si="24"/>
        <v>henz.febriawan@gmail.com</v>
      </c>
    </row>
    <row r="1585" spans="1:8" ht="15.5" x14ac:dyDescent="0.35">
      <c r="A1585" s="7">
        <v>1584</v>
      </c>
      <c r="B1585" s="12">
        <v>25643</v>
      </c>
      <c r="C1585" s="11" t="s">
        <v>1580</v>
      </c>
      <c r="D1585" s="12" t="s">
        <v>1486</v>
      </c>
      <c r="E1585" s="10">
        <v>2006</v>
      </c>
      <c r="F1585" s="36" t="str" cm="1">
        <f t="array" ref="F1585">_xlfn.XLOOKUP(D1585&amp;C1585, Sheet3!$C$2:$C$1224&amp;Sheet3!$B$2:$B$1224, Sheet3!$D$2:$D$1224, "")</f>
        <v>tantos1022@gmail.com</v>
      </c>
      <c r="G1585" s="1" t="str" cm="1">
        <f t="array" ref="G1585">_xlfn.XLOOKUP(D1585&amp;C1585, Sheet2!$A$2:$A$558&amp;Sheet2!$B$2:$B$558, Sheet2!$C$2:$C$558, "")</f>
        <v/>
      </c>
      <c r="H1585" s="40" t="str">
        <f t="shared" si="24"/>
        <v>tantos1022@gmail.com</v>
      </c>
    </row>
    <row r="1586" spans="1:8" ht="15.5" x14ac:dyDescent="0.35">
      <c r="A1586" s="7">
        <v>1585</v>
      </c>
      <c r="B1586" s="12">
        <v>25818</v>
      </c>
      <c r="C1586" s="11" t="s">
        <v>1581</v>
      </c>
      <c r="D1586" s="12" t="s">
        <v>1486</v>
      </c>
      <c r="E1586" s="10">
        <v>2006</v>
      </c>
      <c r="F1586" s="36" t="str" cm="1">
        <f t="array" ref="F1586">_xlfn.XLOOKUP(D1586&amp;C1586, Sheet3!$C$2:$C$1224&amp;Sheet3!$B$2:$B$1224, Sheet3!$D$2:$D$1224, "")</f>
        <v/>
      </c>
      <c r="G1586" s="1" t="str" cm="1">
        <f t="array" ref="G1586">_xlfn.XLOOKUP(D1586&amp;C1586, Sheet2!$A$2:$A$558&amp;Sheet2!$B$2:$B$558, Sheet2!$C$2:$C$558, "")</f>
        <v/>
      </c>
      <c r="H1586" s="40" t="str">
        <f t="shared" si="24"/>
        <v/>
      </c>
    </row>
    <row r="1587" spans="1:8" ht="15.5" x14ac:dyDescent="0.35">
      <c r="A1587" s="7">
        <v>1586</v>
      </c>
      <c r="B1587" s="12">
        <v>25878</v>
      </c>
      <c r="C1587" s="11" t="s">
        <v>1582</v>
      </c>
      <c r="D1587" s="12" t="s">
        <v>1486</v>
      </c>
      <c r="E1587" s="10">
        <v>2006</v>
      </c>
      <c r="F1587" s="36" t="str" cm="1">
        <f t="array" ref="F1587">_xlfn.XLOOKUP(D1587&amp;C1587, Sheet3!$C$2:$C$1224&amp;Sheet3!$B$2:$B$1224, Sheet3!$D$2:$D$1224, "")</f>
        <v/>
      </c>
      <c r="G1587" s="1" t="str" cm="1">
        <f t="array" ref="G1587">_xlfn.XLOOKUP(D1587&amp;C1587, Sheet2!$A$2:$A$558&amp;Sheet2!$B$2:$B$558, Sheet2!$C$2:$C$558, "")</f>
        <v>sigit.prabowo@pttimah.co.id</v>
      </c>
      <c r="H1587" s="40" t="str">
        <f t="shared" si="24"/>
        <v>sigit.prabowo@pttimah.co.id</v>
      </c>
    </row>
    <row r="1588" spans="1:8" ht="15.5" x14ac:dyDescent="0.35">
      <c r="A1588" s="7">
        <v>1587</v>
      </c>
      <c r="B1588" s="12">
        <v>26053</v>
      </c>
      <c r="C1588" s="11" t="s">
        <v>1583</v>
      </c>
      <c r="D1588" s="12" t="s">
        <v>1487</v>
      </c>
      <c r="E1588" s="10">
        <v>2006</v>
      </c>
      <c r="F1588" s="36" t="str" cm="1">
        <f t="array" ref="F1588">_xlfn.XLOOKUP(D1588&amp;C1588, Sheet3!$C$2:$C$1224&amp;Sheet3!$B$2:$B$1224, Sheet3!$D$2:$D$1224, "")</f>
        <v/>
      </c>
      <c r="G1588" s="1" t="str" cm="1">
        <f t="array" ref="G1588">_xlfn.XLOOKUP(D1588&amp;C1588, Sheet2!$A$2:$A$558&amp;Sheet2!$B$2:$B$558, Sheet2!$C$2:$C$558, "")</f>
        <v/>
      </c>
      <c r="H1588" s="40" t="str">
        <f t="shared" si="24"/>
        <v/>
      </c>
    </row>
    <row r="1589" spans="1:8" ht="15.5" x14ac:dyDescent="0.35">
      <c r="A1589" s="7">
        <v>1588</v>
      </c>
      <c r="B1589" s="12">
        <v>25265</v>
      </c>
      <c r="C1589" s="11" t="s">
        <v>1584</v>
      </c>
      <c r="D1589" s="12" t="s">
        <v>1486</v>
      </c>
      <c r="E1589" s="10">
        <v>2006</v>
      </c>
      <c r="F1589" s="36" t="str" cm="1">
        <f t="array" ref="F1589">_xlfn.XLOOKUP(D1589&amp;C1589, Sheet3!$C$2:$C$1224&amp;Sheet3!$B$2:$B$1224, Sheet3!$D$2:$D$1224, "")</f>
        <v>bismajz@gmail.com</v>
      </c>
      <c r="G1589" s="1" t="str" cm="1">
        <f t="array" ref="G1589">_xlfn.XLOOKUP(D1589&amp;C1589, Sheet2!$A$2:$A$558&amp;Sheet2!$B$2:$B$558, Sheet2!$C$2:$C$558, "")</f>
        <v>bisma.jaja@big.go.id</v>
      </c>
      <c r="H1589" s="40" t="str">
        <f t="shared" si="24"/>
        <v>bismajz@gmail.com</v>
      </c>
    </row>
    <row r="1590" spans="1:8" ht="15.5" x14ac:dyDescent="0.35">
      <c r="A1590" s="7">
        <v>1589</v>
      </c>
      <c r="B1590" s="12">
        <v>26078</v>
      </c>
      <c r="C1590" s="11" t="s">
        <v>1585</v>
      </c>
      <c r="D1590" s="12" t="s">
        <v>1487</v>
      </c>
      <c r="E1590" s="10">
        <v>2006</v>
      </c>
      <c r="F1590" s="36" t="str" cm="1">
        <f t="array" ref="F1590">_xlfn.XLOOKUP(D1590&amp;C1590, Sheet3!$C$2:$C$1224&amp;Sheet3!$B$2:$B$1224, Sheet3!$D$2:$D$1224, "")</f>
        <v/>
      </c>
      <c r="G1590" s="1" t="str" cm="1">
        <f t="array" ref="G1590">_xlfn.XLOOKUP(D1590&amp;C1590, Sheet2!$A$2:$A$558&amp;Sheet2!$B$2:$B$558, Sheet2!$C$2:$C$558, "")</f>
        <v/>
      </c>
      <c r="H1590" s="40" t="str">
        <f t="shared" si="24"/>
        <v/>
      </c>
    </row>
    <row r="1591" spans="1:8" ht="15.5" x14ac:dyDescent="0.35">
      <c r="A1591" s="7">
        <v>1590</v>
      </c>
      <c r="B1591" s="12">
        <v>26141</v>
      </c>
      <c r="C1591" s="11" t="s">
        <v>1586</v>
      </c>
      <c r="D1591" s="12" t="s">
        <v>1487</v>
      </c>
      <c r="E1591" s="10">
        <v>2006</v>
      </c>
      <c r="F1591" s="36" t="str" cm="1">
        <f t="array" ref="F1591">_xlfn.XLOOKUP(D1591&amp;C1591, Sheet3!$C$2:$C$1224&amp;Sheet3!$B$2:$B$1224, Sheet3!$D$2:$D$1224, "")</f>
        <v>listyowatititis@gmail.com</v>
      </c>
      <c r="G1591" s="1" t="str" cm="1">
        <f t="array" ref="G1591">_xlfn.XLOOKUP(D1591&amp;C1591, Sheet2!$A$2:$A$558&amp;Sheet2!$B$2:$B$558, Sheet2!$C$2:$C$558, "")</f>
        <v/>
      </c>
      <c r="H1591" s="40" t="str">
        <f t="shared" si="24"/>
        <v>listyowatititis@gmail.com</v>
      </c>
    </row>
    <row r="1592" spans="1:8" ht="15.5" x14ac:dyDescent="0.35">
      <c r="A1592" s="7">
        <v>1591</v>
      </c>
      <c r="B1592" s="12">
        <v>26178</v>
      </c>
      <c r="C1592" s="11" t="s">
        <v>1587</v>
      </c>
      <c r="D1592" s="12" t="s">
        <v>1487</v>
      </c>
      <c r="E1592" s="10">
        <v>2006</v>
      </c>
      <c r="F1592" s="36" t="str" cm="1">
        <f t="array" ref="F1592">_xlfn.XLOOKUP(D1592&amp;C1592, Sheet3!$C$2:$C$1224&amp;Sheet3!$B$2:$B$1224, Sheet3!$D$2:$D$1224, "")</f>
        <v/>
      </c>
      <c r="G1592" s="1" t="str" cm="1">
        <f t="array" ref="G1592">_xlfn.XLOOKUP(D1592&amp;C1592, Sheet2!$A$2:$A$558&amp;Sheet2!$B$2:$B$558, Sheet2!$C$2:$C$558, "")</f>
        <v>yanu.koesumakristi@gmail.com</v>
      </c>
      <c r="H1592" s="40" t="str">
        <f t="shared" si="24"/>
        <v>yanu.koesumakristi@gmail.com</v>
      </c>
    </row>
    <row r="1593" spans="1:8" ht="15.5" x14ac:dyDescent="0.35">
      <c r="A1593" s="7">
        <v>1592</v>
      </c>
      <c r="B1593" s="12">
        <v>26212</v>
      </c>
      <c r="C1593" s="11" t="s">
        <v>1588</v>
      </c>
      <c r="D1593" s="12" t="s">
        <v>1487</v>
      </c>
      <c r="E1593" s="10">
        <v>2006</v>
      </c>
      <c r="F1593" s="36" t="str" cm="1">
        <f t="array" ref="F1593">_xlfn.XLOOKUP(D1593&amp;C1593, Sheet3!$C$2:$C$1224&amp;Sheet3!$B$2:$B$1224, Sheet3!$D$2:$D$1224, "")</f>
        <v/>
      </c>
      <c r="G1593" s="1" t="str" cm="1">
        <f t="array" ref="G1593">_xlfn.XLOOKUP(D1593&amp;C1593, Sheet2!$A$2:$A$558&amp;Sheet2!$B$2:$B$558, Sheet2!$C$2:$C$558, "")</f>
        <v/>
      </c>
      <c r="H1593" s="40" t="str">
        <f t="shared" si="24"/>
        <v/>
      </c>
    </row>
    <row r="1594" spans="1:8" ht="15.5" x14ac:dyDescent="0.35">
      <c r="A1594" s="7">
        <v>1593</v>
      </c>
      <c r="B1594" s="12">
        <v>26344</v>
      </c>
      <c r="C1594" s="11" t="s">
        <v>1589</v>
      </c>
      <c r="D1594" s="12" t="s">
        <v>1487</v>
      </c>
      <c r="E1594" s="10">
        <v>2006</v>
      </c>
      <c r="F1594" s="36" t="str" cm="1">
        <f t="array" ref="F1594">_xlfn.XLOOKUP(D1594&amp;C1594, Sheet3!$C$2:$C$1224&amp;Sheet3!$B$2:$B$1224, Sheet3!$D$2:$D$1224, "")</f>
        <v/>
      </c>
      <c r="G1594" s="1" t="str" cm="1">
        <f t="array" ref="G1594">_xlfn.XLOOKUP(D1594&amp;C1594, Sheet2!$A$2:$A$558&amp;Sheet2!$B$2:$B$558, Sheet2!$C$2:$C$558, "")</f>
        <v/>
      </c>
      <c r="H1594" s="40" t="str">
        <f t="shared" si="24"/>
        <v/>
      </c>
    </row>
    <row r="1595" spans="1:8" ht="15.5" x14ac:dyDescent="0.35">
      <c r="A1595" s="7">
        <v>1594</v>
      </c>
      <c r="B1595" s="12">
        <v>26562</v>
      </c>
      <c r="C1595" s="11" t="s">
        <v>1590</v>
      </c>
      <c r="D1595" s="12" t="s">
        <v>1487</v>
      </c>
      <c r="E1595" s="10">
        <v>2006</v>
      </c>
      <c r="F1595" s="36" t="str" cm="1">
        <f t="array" ref="F1595">_xlfn.XLOOKUP(D1595&amp;C1595, Sheet3!$C$2:$C$1224&amp;Sheet3!$B$2:$B$1224, Sheet3!$D$2:$D$1224, "")</f>
        <v/>
      </c>
      <c r="G1595" s="1" t="str" cm="1">
        <f t="array" ref="G1595">_xlfn.XLOOKUP(D1595&amp;C1595, Sheet2!$A$2:$A$558&amp;Sheet2!$B$2:$B$558, Sheet2!$C$2:$C$558, "")</f>
        <v/>
      </c>
      <c r="H1595" s="40" t="str">
        <f t="shared" si="24"/>
        <v/>
      </c>
    </row>
    <row r="1596" spans="1:8" ht="15.5" x14ac:dyDescent="0.35">
      <c r="A1596" s="7">
        <v>1595</v>
      </c>
      <c r="B1596" s="12">
        <v>26607</v>
      </c>
      <c r="C1596" s="11" t="s">
        <v>1591</v>
      </c>
      <c r="D1596" s="12" t="s">
        <v>1487</v>
      </c>
      <c r="E1596" s="10">
        <v>2006</v>
      </c>
      <c r="F1596" s="36" t="str" cm="1">
        <f t="array" ref="F1596">_xlfn.XLOOKUP(D1596&amp;C1596, Sheet3!$C$2:$C$1224&amp;Sheet3!$B$2:$B$1224, Sheet3!$D$2:$D$1224, "")</f>
        <v/>
      </c>
      <c r="G1596" s="1" t="str" cm="1">
        <f t="array" ref="G1596">_xlfn.XLOOKUP(D1596&amp;C1596, Sheet2!$A$2:$A$558&amp;Sheet2!$B$2:$B$558, Sheet2!$C$2:$C$558, "")</f>
        <v>mhd.irfan12982@gmail.com</v>
      </c>
      <c r="H1596" s="40" t="str">
        <f t="shared" si="24"/>
        <v>mhd.irfan12982@gmail.com</v>
      </c>
    </row>
    <row r="1597" spans="1:8" ht="15.5" x14ac:dyDescent="0.35">
      <c r="A1597" s="7">
        <v>1596</v>
      </c>
      <c r="B1597" s="12">
        <v>26713</v>
      </c>
      <c r="C1597" s="11" t="s">
        <v>1592</v>
      </c>
      <c r="D1597" s="12" t="s">
        <v>1487</v>
      </c>
      <c r="E1597" s="10">
        <v>2006</v>
      </c>
      <c r="F1597" s="36" t="str" cm="1">
        <f t="array" ref="F1597">_xlfn.XLOOKUP(D1597&amp;C1597, Sheet3!$C$2:$C$1224&amp;Sheet3!$B$2:$B$1224, Sheet3!$D$2:$D$1224, "")</f>
        <v/>
      </c>
      <c r="G1597" s="1" t="str" cm="1">
        <f t="array" ref="G1597">_xlfn.XLOOKUP(D1597&amp;C1597, Sheet2!$A$2:$A$558&amp;Sheet2!$B$2:$B$558, Sheet2!$C$2:$C$558, "")</f>
        <v/>
      </c>
      <c r="H1597" s="40" t="str">
        <f t="shared" si="24"/>
        <v/>
      </c>
    </row>
    <row r="1598" spans="1:8" ht="15.5" x14ac:dyDescent="0.35">
      <c r="A1598" s="7">
        <v>1597</v>
      </c>
      <c r="B1598" s="12">
        <v>26769</v>
      </c>
      <c r="C1598" s="11" t="s">
        <v>1593</v>
      </c>
      <c r="D1598" s="12" t="s">
        <v>1487</v>
      </c>
      <c r="E1598" s="10">
        <v>2006</v>
      </c>
      <c r="F1598" s="36" t="str" cm="1">
        <f t="array" ref="F1598">_xlfn.XLOOKUP(D1598&amp;C1598, Sheet3!$C$2:$C$1224&amp;Sheet3!$B$2:$B$1224, Sheet3!$D$2:$D$1224, "")</f>
        <v>sanpam19@gmail.com</v>
      </c>
      <c r="G1598" s="1" t="str" cm="1">
        <f t="array" ref="G1598">_xlfn.XLOOKUP(D1598&amp;C1598, Sheet2!$A$2:$A$558&amp;Sheet2!$B$2:$B$558, Sheet2!$C$2:$C$558, "")</f>
        <v>sanpam19@gmail.com</v>
      </c>
      <c r="H1598" s="40" t="str">
        <f t="shared" si="24"/>
        <v>sanpam19@gmail.com</v>
      </c>
    </row>
    <row r="1599" spans="1:8" ht="15.5" x14ac:dyDescent="0.35">
      <c r="A1599" s="7">
        <v>1598</v>
      </c>
      <c r="B1599" s="12">
        <v>26775</v>
      </c>
      <c r="C1599" s="11" t="s">
        <v>1594</v>
      </c>
      <c r="D1599" s="12" t="s">
        <v>1487</v>
      </c>
      <c r="E1599" s="10">
        <v>2006</v>
      </c>
      <c r="F1599" s="36" t="str" cm="1">
        <f t="array" ref="F1599">_xlfn.XLOOKUP(D1599&amp;C1599, Sheet3!$C$2:$C$1224&amp;Sheet3!$B$2:$B$1224, Sheet3!$D$2:$D$1224, "")</f>
        <v>handoko.barajp@gmail.com</v>
      </c>
      <c r="G1599" s="1" t="str" cm="1">
        <f t="array" ref="G1599">_xlfn.XLOOKUP(D1599&amp;C1599, Sheet2!$A$2:$A$558&amp;Sheet2!$B$2:$B$558, Sheet2!$C$2:$C$558, "")</f>
        <v>handoko.barajp@gmail.com</v>
      </c>
      <c r="H1599" s="40" t="str">
        <f t="shared" si="24"/>
        <v>handoko.barajp@gmail.com</v>
      </c>
    </row>
    <row r="1600" spans="1:8" ht="15.5" x14ac:dyDescent="0.35">
      <c r="A1600" s="7">
        <v>1599</v>
      </c>
      <c r="B1600" s="12">
        <v>26810</v>
      </c>
      <c r="C1600" s="11" t="s">
        <v>1595</v>
      </c>
      <c r="D1600" s="12" t="s">
        <v>1487</v>
      </c>
      <c r="E1600" s="10">
        <v>2006</v>
      </c>
      <c r="F1600" s="36" t="str" cm="1">
        <f t="array" ref="F1600">_xlfn.XLOOKUP(D1600&amp;C1600, Sheet3!$C$2:$C$1224&amp;Sheet3!$B$2:$B$1224, Sheet3!$D$2:$D$1224, "")</f>
        <v/>
      </c>
      <c r="G1600" s="1" t="str" cm="1">
        <f t="array" ref="G1600">_xlfn.XLOOKUP(D1600&amp;C1600, Sheet2!$A$2:$A$558&amp;Sheet2!$B$2:$B$558, Sheet2!$C$2:$C$558, "")</f>
        <v/>
      </c>
      <c r="H1600" s="40" t="str">
        <f t="shared" si="24"/>
        <v/>
      </c>
    </row>
    <row r="1601" spans="1:8" ht="15.5" x14ac:dyDescent="0.35">
      <c r="A1601" s="7">
        <v>1600</v>
      </c>
      <c r="B1601" s="12">
        <v>26835</v>
      </c>
      <c r="C1601" s="11" t="s">
        <v>1596</v>
      </c>
      <c r="D1601" s="12" t="s">
        <v>1487</v>
      </c>
      <c r="E1601" s="10">
        <v>2006</v>
      </c>
      <c r="F1601" s="36" t="str" cm="1">
        <f t="array" ref="F1601">_xlfn.XLOOKUP(D1601&amp;C1601, Sheet3!$C$2:$C$1224&amp;Sheet3!$B$2:$B$1224, Sheet3!$D$2:$D$1224, "")</f>
        <v/>
      </c>
      <c r="G1601" s="1" t="str" cm="1">
        <f t="array" ref="G1601">_xlfn.XLOOKUP(D1601&amp;C1601, Sheet2!$A$2:$A$558&amp;Sheet2!$B$2:$B$558, Sheet2!$C$2:$C$558, "")</f>
        <v/>
      </c>
      <c r="H1601" s="40" t="str">
        <f t="shared" si="24"/>
        <v/>
      </c>
    </row>
    <row r="1602" spans="1:8" ht="15.5" x14ac:dyDescent="0.35">
      <c r="A1602" s="7">
        <v>1601</v>
      </c>
      <c r="B1602" s="12">
        <v>26861</v>
      </c>
      <c r="C1602" s="11" t="s">
        <v>5834</v>
      </c>
      <c r="D1602" s="12" t="s">
        <v>1487</v>
      </c>
      <c r="E1602" s="10">
        <v>2006</v>
      </c>
      <c r="F1602" s="36" t="str" cm="1">
        <f t="array" ref="F1602">_xlfn.XLOOKUP(D1602&amp;C1602, Sheet3!$C$2:$C$1224&amp;Sheet3!$B$2:$B$1224, Sheet3!$D$2:$D$1224, "")</f>
        <v>darul.fathan@gmail.com</v>
      </c>
      <c r="G1602" s="1" t="str" cm="1">
        <f t="array" ref="G1602">_xlfn.XLOOKUP(D1602&amp;C1602, Sheet2!$A$2:$A$558&amp;Sheet2!$B$2:$B$558, Sheet2!$C$2:$C$558, "")</f>
        <v>darul.fathan@gmail.com</v>
      </c>
      <c r="H1602" s="40" t="str">
        <f t="shared" si="24"/>
        <v>darul.fathan@gmail.com</v>
      </c>
    </row>
    <row r="1603" spans="1:8" ht="15.5" x14ac:dyDescent="0.35">
      <c r="A1603" s="7">
        <v>1602</v>
      </c>
      <c r="B1603" s="12">
        <v>26977</v>
      </c>
      <c r="C1603" s="11" t="s">
        <v>1597</v>
      </c>
      <c r="D1603" s="12" t="s">
        <v>1487</v>
      </c>
      <c r="E1603" s="10">
        <v>2006</v>
      </c>
      <c r="F1603" s="36" t="str" cm="1">
        <f t="array" ref="F1603">_xlfn.XLOOKUP(D1603&amp;C1603, Sheet3!$C$2:$C$1224&amp;Sheet3!$B$2:$B$1224, Sheet3!$D$2:$D$1224, "")</f>
        <v>zilfanzizi@gmail.com</v>
      </c>
      <c r="G1603" s="1" t="str" cm="1">
        <f t="array" ref="G1603">_xlfn.XLOOKUP(D1603&amp;C1603, Sheet2!$A$2:$A$558&amp;Sheet2!$B$2:$B$558, Sheet2!$C$2:$C$558, "")</f>
        <v>zilfanzizi@gmail.com</v>
      </c>
      <c r="H1603" s="40" t="str">
        <f t="shared" ref="H1603:H1666" si="25">IF(F1603&lt;&gt;"",F1603,G1603)</f>
        <v>zilfanzizi@gmail.com</v>
      </c>
    </row>
    <row r="1604" spans="1:8" ht="15.5" x14ac:dyDescent="0.35">
      <c r="A1604" s="7">
        <v>1603</v>
      </c>
      <c r="B1604" s="12">
        <v>25251</v>
      </c>
      <c r="C1604" s="11" t="s">
        <v>1598</v>
      </c>
      <c r="D1604" s="12" t="s">
        <v>1486</v>
      </c>
      <c r="E1604" s="10">
        <v>2006</v>
      </c>
      <c r="F1604" s="36" t="str" cm="1">
        <f t="array" ref="F1604">_xlfn.XLOOKUP(D1604&amp;C1604, Sheet3!$C$2:$C$1224&amp;Sheet3!$B$2:$B$1224, Sheet3!$D$2:$D$1224, "")</f>
        <v>Khikmanto@gmail.com</v>
      </c>
      <c r="G1604" s="1" t="str" cm="1">
        <f t="array" ref="G1604">_xlfn.XLOOKUP(D1604&amp;C1604, Sheet2!$A$2:$A$558&amp;Sheet2!$B$2:$B$558, Sheet2!$C$2:$C$558, "")</f>
        <v/>
      </c>
      <c r="H1604" s="40" t="str">
        <f t="shared" si="25"/>
        <v>Khikmanto@gmail.com</v>
      </c>
    </row>
    <row r="1605" spans="1:8" ht="15.5" x14ac:dyDescent="0.35">
      <c r="A1605" s="7">
        <v>1604</v>
      </c>
      <c r="B1605" s="12">
        <v>26114</v>
      </c>
      <c r="C1605" s="11" t="s">
        <v>1599</v>
      </c>
      <c r="D1605" s="12" t="s">
        <v>1487</v>
      </c>
      <c r="E1605" s="10">
        <v>2006</v>
      </c>
      <c r="F1605" s="36" t="str" cm="1">
        <f t="array" ref="F1605">_xlfn.XLOOKUP(D1605&amp;C1605, Sheet3!$C$2:$C$1224&amp;Sheet3!$B$2:$B$1224, Sheet3!$D$2:$D$1224, "")</f>
        <v/>
      </c>
      <c r="G1605" s="1" t="str" cm="1">
        <f t="array" ref="G1605">_xlfn.XLOOKUP(D1605&amp;C1605, Sheet2!$A$2:$A$558&amp;Sheet2!$B$2:$B$558, Sheet2!$C$2:$C$558, "")</f>
        <v/>
      </c>
      <c r="H1605" s="40" t="str">
        <f t="shared" si="25"/>
        <v/>
      </c>
    </row>
    <row r="1606" spans="1:8" ht="15.5" x14ac:dyDescent="0.35">
      <c r="A1606" s="7">
        <v>1605</v>
      </c>
      <c r="B1606" s="12">
        <v>26186</v>
      </c>
      <c r="C1606" s="11" t="s">
        <v>1600</v>
      </c>
      <c r="D1606" s="12" t="s">
        <v>1487</v>
      </c>
      <c r="E1606" s="10">
        <v>2006</v>
      </c>
      <c r="F1606" s="36" t="str" cm="1">
        <f t="array" ref="F1606">_xlfn.XLOOKUP(D1606&amp;C1606, Sheet3!$C$2:$C$1224&amp;Sheet3!$B$2:$B$1224, Sheet3!$D$2:$D$1224, "")</f>
        <v/>
      </c>
      <c r="G1606" s="1" t="str" cm="1">
        <f t="array" ref="G1606">_xlfn.XLOOKUP(D1606&amp;C1606, Sheet2!$A$2:$A$558&amp;Sheet2!$B$2:$B$558, Sheet2!$C$2:$C$558, "")</f>
        <v/>
      </c>
      <c r="H1606" s="40" t="str">
        <f t="shared" si="25"/>
        <v/>
      </c>
    </row>
    <row r="1607" spans="1:8" ht="15.5" x14ac:dyDescent="0.35">
      <c r="A1607" s="7">
        <v>1606</v>
      </c>
      <c r="B1607" s="12">
        <v>26461</v>
      </c>
      <c r="C1607" s="11" t="s">
        <v>1601</v>
      </c>
      <c r="D1607" s="12" t="s">
        <v>1487</v>
      </c>
      <c r="E1607" s="10">
        <v>2006</v>
      </c>
      <c r="F1607" s="36" t="str" cm="1">
        <f t="array" ref="F1607">_xlfn.XLOOKUP(D1607&amp;C1607, Sheet3!$C$2:$C$1224&amp;Sheet3!$B$2:$B$1224, Sheet3!$D$2:$D$1224, "")</f>
        <v/>
      </c>
      <c r="G1607" s="1" t="str" cm="1">
        <f t="array" ref="G1607">_xlfn.XLOOKUP(D1607&amp;C1607, Sheet2!$A$2:$A$558&amp;Sheet2!$B$2:$B$558, Sheet2!$C$2:$C$558, "")</f>
        <v/>
      </c>
      <c r="H1607" s="40" t="str">
        <f t="shared" si="25"/>
        <v/>
      </c>
    </row>
    <row r="1608" spans="1:8" ht="15.5" x14ac:dyDescent="0.35">
      <c r="A1608" s="7">
        <v>1607</v>
      </c>
      <c r="B1608" s="12">
        <v>26505</v>
      </c>
      <c r="C1608" s="11" t="s">
        <v>1602</v>
      </c>
      <c r="D1608" s="12" t="s">
        <v>1487</v>
      </c>
      <c r="E1608" s="10">
        <v>2006</v>
      </c>
      <c r="F1608" s="36" t="str" cm="1">
        <f t="array" ref="F1608">_xlfn.XLOOKUP(D1608&amp;C1608, Sheet3!$C$2:$C$1224&amp;Sheet3!$B$2:$B$1224, Sheet3!$D$2:$D$1224, "")</f>
        <v/>
      </c>
      <c r="G1608" s="1" t="str" cm="1">
        <f t="array" ref="G1608">_xlfn.XLOOKUP(D1608&amp;C1608, Sheet2!$A$2:$A$558&amp;Sheet2!$B$2:$B$558, Sheet2!$C$2:$C$558, "")</f>
        <v/>
      </c>
      <c r="H1608" s="40" t="str">
        <f t="shared" si="25"/>
        <v/>
      </c>
    </row>
    <row r="1609" spans="1:8" ht="15.5" x14ac:dyDescent="0.35">
      <c r="A1609" s="7">
        <v>1608</v>
      </c>
      <c r="B1609" s="12">
        <v>26513</v>
      </c>
      <c r="C1609" s="11" t="s">
        <v>1603</v>
      </c>
      <c r="D1609" s="12" t="s">
        <v>1487</v>
      </c>
      <c r="E1609" s="10">
        <v>2006</v>
      </c>
      <c r="F1609" s="36" t="str" cm="1">
        <f t="array" ref="F1609">_xlfn.XLOOKUP(D1609&amp;C1609, Sheet3!$C$2:$C$1224&amp;Sheet3!$B$2:$B$1224, Sheet3!$D$2:$D$1224, "")</f>
        <v/>
      </c>
      <c r="G1609" s="1" t="str" cm="1">
        <f t="array" ref="G1609">_xlfn.XLOOKUP(D1609&amp;C1609, Sheet2!$A$2:$A$558&amp;Sheet2!$B$2:$B$558, Sheet2!$C$2:$C$558, "")</f>
        <v/>
      </c>
      <c r="H1609" s="40" t="str">
        <f t="shared" si="25"/>
        <v/>
      </c>
    </row>
    <row r="1610" spans="1:8" ht="15.5" x14ac:dyDescent="0.35">
      <c r="A1610" s="7">
        <v>1609</v>
      </c>
      <c r="B1610" s="12">
        <v>26521</v>
      </c>
      <c r="C1610" s="11" t="s">
        <v>1604</v>
      </c>
      <c r="D1610" s="12" t="s">
        <v>1487</v>
      </c>
      <c r="E1610" s="10">
        <v>2006</v>
      </c>
      <c r="F1610" s="36" t="str" cm="1">
        <f t="array" ref="F1610">_xlfn.XLOOKUP(D1610&amp;C1610, Sheet3!$C$2:$C$1224&amp;Sheet3!$B$2:$B$1224, Sheet3!$D$2:$D$1224, "")</f>
        <v>emailnya.dian@gmail.com</v>
      </c>
      <c r="G1610" s="1" t="str" cm="1">
        <f t="array" ref="G1610">_xlfn.XLOOKUP(D1610&amp;C1610, Sheet2!$A$2:$A$558&amp;Sheet2!$B$2:$B$558, Sheet2!$C$2:$C$558, "")</f>
        <v/>
      </c>
      <c r="H1610" s="40" t="str">
        <f t="shared" si="25"/>
        <v>emailnya.dian@gmail.com</v>
      </c>
    </row>
    <row r="1611" spans="1:8" ht="15.5" x14ac:dyDescent="0.35">
      <c r="A1611" s="7">
        <v>1610</v>
      </c>
      <c r="B1611" s="12">
        <v>26633</v>
      </c>
      <c r="C1611" s="11" t="s">
        <v>1605</v>
      </c>
      <c r="D1611" s="12" t="s">
        <v>1487</v>
      </c>
      <c r="E1611" s="10">
        <v>2006</v>
      </c>
      <c r="F1611" s="36" t="str" cm="1">
        <f t="array" ref="F1611">_xlfn.XLOOKUP(D1611&amp;C1611, Sheet3!$C$2:$C$1224&amp;Sheet3!$B$2:$B$1224, Sheet3!$D$2:$D$1224, "")</f>
        <v/>
      </c>
      <c r="G1611" s="1" t="str" cm="1">
        <f t="array" ref="G1611">_xlfn.XLOOKUP(D1611&amp;C1611, Sheet2!$A$2:$A$558&amp;Sheet2!$B$2:$B$558, Sheet2!$C$2:$C$558, "")</f>
        <v/>
      </c>
      <c r="H1611" s="40" t="str">
        <f t="shared" si="25"/>
        <v/>
      </c>
    </row>
    <row r="1612" spans="1:8" ht="15.5" x14ac:dyDescent="0.35">
      <c r="A1612" s="7">
        <v>1611</v>
      </c>
      <c r="B1612" s="12">
        <v>26640</v>
      </c>
      <c r="C1612" s="11" t="s">
        <v>1606</v>
      </c>
      <c r="D1612" s="12" t="s">
        <v>1487</v>
      </c>
      <c r="E1612" s="10">
        <v>2006</v>
      </c>
      <c r="F1612" s="36" t="str" cm="1">
        <f t="array" ref="F1612">_xlfn.XLOOKUP(D1612&amp;C1612, Sheet3!$C$2:$C$1224&amp;Sheet3!$B$2:$B$1224, Sheet3!$D$2:$D$1224, "")</f>
        <v/>
      </c>
      <c r="G1612" s="1" t="str" cm="1">
        <f t="array" ref="G1612">_xlfn.XLOOKUP(D1612&amp;C1612, Sheet2!$A$2:$A$558&amp;Sheet2!$B$2:$B$558, Sheet2!$C$2:$C$558, "")</f>
        <v/>
      </c>
      <c r="H1612" s="40" t="str">
        <f t="shared" si="25"/>
        <v/>
      </c>
    </row>
    <row r="1613" spans="1:8" ht="15.5" x14ac:dyDescent="0.35">
      <c r="A1613" s="7">
        <v>1612</v>
      </c>
      <c r="B1613" s="12">
        <v>26780</v>
      </c>
      <c r="C1613" s="11" t="s">
        <v>1607</v>
      </c>
      <c r="D1613" s="12" t="s">
        <v>1487</v>
      </c>
      <c r="E1613" s="10">
        <v>2006</v>
      </c>
      <c r="F1613" s="36" t="str" cm="1">
        <f t="array" ref="F1613">_xlfn.XLOOKUP(D1613&amp;C1613, Sheet3!$C$2:$C$1224&amp;Sheet3!$B$2:$B$1224, Sheet3!$D$2:$D$1224, "")</f>
        <v/>
      </c>
      <c r="G1613" s="1" t="str" cm="1">
        <f t="array" ref="G1613">_xlfn.XLOOKUP(D1613&amp;C1613, Sheet2!$A$2:$A$558&amp;Sheet2!$B$2:$B$558, Sheet2!$C$2:$C$558, "")</f>
        <v/>
      </c>
      <c r="H1613" s="40" t="str">
        <f t="shared" si="25"/>
        <v/>
      </c>
    </row>
    <row r="1614" spans="1:8" ht="15.5" x14ac:dyDescent="0.35">
      <c r="A1614" s="7">
        <v>1613</v>
      </c>
      <c r="B1614" s="12">
        <v>26881</v>
      </c>
      <c r="C1614" s="11" t="s">
        <v>1608</v>
      </c>
      <c r="D1614" s="12" t="s">
        <v>1487</v>
      </c>
      <c r="E1614" s="10">
        <v>2006</v>
      </c>
      <c r="F1614" s="36" t="str" cm="1">
        <f t="array" ref="F1614">_xlfn.XLOOKUP(D1614&amp;C1614, Sheet3!$C$2:$C$1224&amp;Sheet3!$B$2:$B$1224, Sheet3!$D$2:$D$1224, "")</f>
        <v/>
      </c>
      <c r="G1614" s="1" t="str" cm="1">
        <f t="array" ref="G1614">_xlfn.XLOOKUP(D1614&amp;C1614, Sheet2!$A$2:$A$558&amp;Sheet2!$B$2:$B$558, Sheet2!$C$2:$C$558, "")</f>
        <v/>
      </c>
      <c r="H1614" s="40" t="str">
        <f t="shared" si="25"/>
        <v/>
      </c>
    </row>
    <row r="1615" spans="1:8" ht="15.5" x14ac:dyDescent="0.35">
      <c r="A1615" s="7">
        <v>1614</v>
      </c>
      <c r="B1615" s="12">
        <v>27040</v>
      </c>
      <c r="C1615" s="11" t="s">
        <v>1609</v>
      </c>
      <c r="D1615" s="12" t="s">
        <v>1488</v>
      </c>
      <c r="E1615" s="10">
        <v>2006</v>
      </c>
      <c r="F1615" s="36" t="str" cm="1">
        <f t="array" ref="F1615">_xlfn.XLOOKUP(D1615&amp;C1615, Sheet3!$C$2:$C$1224&amp;Sheet3!$B$2:$B$1224, Sheet3!$D$2:$D$1224, "")</f>
        <v>hendra.ramdhani@gmail.com</v>
      </c>
      <c r="G1615" s="1" t="str" cm="1">
        <f t="array" ref="G1615">_xlfn.XLOOKUP(D1615&amp;C1615, Sheet2!$A$2:$A$558&amp;Sheet2!$B$2:$B$558, Sheet2!$C$2:$C$558, "")</f>
        <v/>
      </c>
      <c r="H1615" s="40" t="str">
        <f t="shared" si="25"/>
        <v>hendra.ramdhani@gmail.com</v>
      </c>
    </row>
    <row r="1616" spans="1:8" ht="15.5" x14ac:dyDescent="0.35">
      <c r="A1616" s="7">
        <v>1615</v>
      </c>
      <c r="B1616" s="12">
        <v>26734</v>
      </c>
      <c r="C1616" s="11" t="s">
        <v>1610</v>
      </c>
      <c r="D1616" s="12" t="s">
        <v>1487</v>
      </c>
      <c r="E1616" s="10">
        <v>2006</v>
      </c>
      <c r="F1616" s="36" t="str" cm="1">
        <f t="array" ref="F1616">_xlfn.XLOOKUP(D1616&amp;C1616, Sheet3!$C$2:$C$1224&amp;Sheet3!$B$2:$B$1224, Sheet3!$D$2:$D$1224, "")</f>
        <v>imamsayuti14@gmail.com</v>
      </c>
      <c r="G1616" s="1" t="str" cm="1">
        <f t="array" ref="G1616">_xlfn.XLOOKUP(D1616&amp;C1616, Sheet2!$A$2:$A$558&amp;Sheet2!$B$2:$B$558, Sheet2!$C$2:$C$558, "")</f>
        <v/>
      </c>
      <c r="H1616" s="40" t="str">
        <f t="shared" si="25"/>
        <v>imamsayuti14@gmail.com</v>
      </c>
    </row>
    <row r="1617" spans="1:8" ht="15.5" x14ac:dyDescent="0.35">
      <c r="A1617" s="7">
        <v>1616</v>
      </c>
      <c r="B1617" s="12">
        <v>26667</v>
      </c>
      <c r="C1617" s="11" t="s">
        <v>1611</v>
      </c>
      <c r="D1617" s="12" t="s">
        <v>1487</v>
      </c>
      <c r="E1617" s="10">
        <v>2006</v>
      </c>
      <c r="F1617" s="36" t="str" cm="1">
        <f t="array" ref="F1617">_xlfn.XLOOKUP(D1617&amp;C1617, Sheet3!$C$2:$C$1224&amp;Sheet3!$B$2:$B$1224, Sheet3!$D$2:$D$1224, "")</f>
        <v>fredysultra@gmail.com</v>
      </c>
      <c r="G1617" s="1" t="str" cm="1">
        <f t="array" ref="G1617">_xlfn.XLOOKUP(D1617&amp;C1617, Sheet2!$A$2:$A$558&amp;Sheet2!$B$2:$B$558, Sheet2!$C$2:$C$558, "")</f>
        <v/>
      </c>
      <c r="H1617" s="40" t="str">
        <f t="shared" si="25"/>
        <v>fredysultra@gmail.com</v>
      </c>
    </row>
    <row r="1618" spans="1:8" ht="15.5" x14ac:dyDescent="0.35">
      <c r="A1618" s="7">
        <v>1617</v>
      </c>
      <c r="B1618" s="12">
        <v>26950</v>
      </c>
      <c r="C1618" s="11" t="s">
        <v>1612</v>
      </c>
      <c r="D1618" s="12" t="s">
        <v>1487</v>
      </c>
      <c r="E1618" s="10">
        <v>2006</v>
      </c>
      <c r="F1618" s="36" t="str" cm="1">
        <f t="array" ref="F1618">_xlfn.XLOOKUP(D1618&amp;C1618, Sheet3!$C$2:$C$1224&amp;Sheet3!$B$2:$B$1224, Sheet3!$D$2:$D$1224, "")</f>
        <v/>
      </c>
      <c r="G1618" s="1" t="str" cm="1">
        <f t="array" ref="G1618">_xlfn.XLOOKUP(D1618&amp;C1618, Sheet2!$A$2:$A$558&amp;Sheet2!$B$2:$B$558, Sheet2!$C$2:$C$558, "")</f>
        <v/>
      </c>
      <c r="H1618" s="40" t="str">
        <f t="shared" si="25"/>
        <v/>
      </c>
    </row>
    <row r="1619" spans="1:8" ht="15.5" x14ac:dyDescent="0.35">
      <c r="A1619" s="7">
        <v>1618</v>
      </c>
      <c r="B1619" s="12">
        <v>26452</v>
      </c>
      <c r="C1619" s="11" t="s">
        <v>1613</v>
      </c>
      <c r="D1619" s="12" t="s">
        <v>1487</v>
      </c>
      <c r="E1619" s="10">
        <v>2006</v>
      </c>
      <c r="F1619" s="36" t="str" cm="1">
        <f t="array" ref="F1619">_xlfn.XLOOKUP(D1619&amp;C1619, Sheet3!$C$2:$C$1224&amp;Sheet3!$B$2:$B$1224, Sheet3!$D$2:$D$1224, "")</f>
        <v>dickyzulkarnain01@gmail.com</v>
      </c>
      <c r="G1619" s="1" t="str" cm="1">
        <f t="array" ref="G1619">_xlfn.XLOOKUP(D1619&amp;C1619, Sheet2!$A$2:$A$558&amp;Sheet2!$B$2:$B$558, Sheet2!$C$2:$C$558, "")</f>
        <v/>
      </c>
      <c r="H1619" s="40" t="str">
        <f t="shared" si="25"/>
        <v>dickyzulkarnain01@gmail.com</v>
      </c>
    </row>
    <row r="1620" spans="1:8" ht="15.5" x14ac:dyDescent="0.35">
      <c r="A1620" s="7">
        <v>1619</v>
      </c>
      <c r="B1620" s="12">
        <v>27401</v>
      </c>
      <c r="C1620" s="11" t="s">
        <v>1614</v>
      </c>
      <c r="D1620" s="12" t="s">
        <v>1488</v>
      </c>
      <c r="E1620" s="10">
        <v>2006</v>
      </c>
      <c r="F1620" s="36" t="str" cm="1">
        <f t="array" ref="F1620">_xlfn.XLOOKUP(D1620&amp;C1620, Sheet3!$C$2:$C$1224&amp;Sheet3!$B$2:$B$1224, Sheet3!$D$2:$D$1224, "")</f>
        <v/>
      </c>
      <c r="G1620" s="1" t="str" cm="1">
        <f t="array" ref="G1620">_xlfn.XLOOKUP(D1620&amp;C1620, Sheet2!$A$2:$A$558&amp;Sheet2!$B$2:$B$558, Sheet2!$C$2:$C$558, "")</f>
        <v/>
      </c>
      <c r="H1620" s="40" t="str">
        <f t="shared" si="25"/>
        <v/>
      </c>
    </row>
    <row r="1621" spans="1:8" ht="15.5" x14ac:dyDescent="0.35">
      <c r="A1621" s="7">
        <v>1620</v>
      </c>
      <c r="B1621" s="12">
        <v>26154</v>
      </c>
      <c r="C1621" s="11" t="s">
        <v>1615</v>
      </c>
      <c r="D1621" s="12" t="s">
        <v>1487</v>
      </c>
      <c r="E1621" s="10">
        <v>2006</v>
      </c>
      <c r="F1621" s="36" t="str" cm="1">
        <f t="array" ref="F1621">_xlfn.XLOOKUP(D1621&amp;C1621, Sheet3!$C$2:$C$1224&amp;Sheet3!$B$2:$B$1224, Sheet3!$D$2:$D$1224, "")</f>
        <v/>
      </c>
      <c r="G1621" s="1" t="str" cm="1">
        <f t="array" ref="G1621">_xlfn.XLOOKUP(D1621&amp;C1621, Sheet2!$A$2:$A$558&amp;Sheet2!$B$2:$B$558, Sheet2!$C$2:$C$558, "")</f>
        <v/>
      </c>
      <c r="H1621" s="40" t="str">
        <f t="shared" si="25"/>
        <v/>
      </c>
    </row>
    <row r="1622" spans="1:8" ht="15.5" x14ac:dyDescent="0.35">
      <c r="A1622" s="7">
        <v>1621</v>
      </c>
      <c r="B1622" s="12">
        <v>26697</v>
      </c>
      <c r="C1622" s="11" t="s">
        <v>1616</v>
      </c>
      <c r="D1622" s="12" t="s">
        <v>1487</v>
      </c>
      <c r="E1622" s="10">
        <v>2006</v>
      </c>
      <c r="F1622" s="36" t="str" cm="1">
        <f t="array" ref="F1622">_xlfn.XLOOKUP(D1622&amp;C1622, Sheet3!$C$2:$C$1224&amp;Sheet3!$B$2:$B$1224, Sheet3!$D$2:$D$1224, "")</f>
        <v/>
      </c>
      <c r="G1622" s="1" t="str" cm="1">
        <f t="array" ref="G1622">_xlfn.XLOOKUP(D1622&amp;C1622, Sheet2!$A$2:$A$558&amp;Sheet2!$B$2:$B$558, Sheet2!$C$2:$C$558, "")</f>
        <v>novianingrums30@gmail.com</v>
      </c>
      <c r="H1622" s="40" t="str">
        <f t="shared" si="25"/>
        <v>novianingrums30@gmail.com</v>
      </c>
    </row>
    <row r="1623" spans="1:8" ht="15.5" x14ac:dyDescent="0.35">
      <c r="A1623" s="7">
        <v>1622</v>
      </c>
      <c r="B1623" s="12">
        <v>26797</v>
      </c>
      <c r="C1623" s="11" t="s">
        <v>1617</v>
      </c>
      <c r="D1623" s="12" t="s">
        <v>1487</v>
      </c>
      <c r="E1623" s="10">
        <v>2006</v>
      </c>
      <c r="F1623" s="36" t="str" cm="1">
        <f t="array" ref="F1623">_xlfn.XLOOKUP(D1623&amp;C1623, Sheet3!$C$2:$C$1224&amp;Sheet3!$B$2:$B$1224, Sheet3!$D$2:$D$1224, "")</f>
        <v/>
      </c>
      <c r="G1623" s="1" t="str" cm="1">
        <f t="array" ref="G1623">_xlfn.XLOOKUP(D1623&amp;C1623, Sheet2!$A$2:$A$558&amp;Sheet2!$B$2:$B$558, Sheet2!$C$2:$C$558, "")</f>
        <v/>
      </c>
      <c r="H1623" s="40" t="str">
        <f t="shared" si="25"/>
        <v/>
      </c>
    </row>
    <row r="1624" spans="1:8" ht="15.5" x14ac:dyDescent="0.35">
      <c r="A1624" s="7">
        <v>1623</v>
      </c>
      <c r="B1624" s="12">
        <v>26736</v>
      </c>
      <c r="C1624" s="11" t="s">
        <v>1618</v>
      </c>
      <c r="D1624" s="12" t="s">
        <v>1487</v>
      </c>
      <c r="E1624" s="10">
        <v>2006</v>
      </c>
      <c r="F1624" s="36" t="str" cm="1">
        <f t="array" ref="F1624">_xlfn.XLOOKUP(D1624&amp;C1624, Sheet3!$C$2:$C$1224&amp;Sheet3!$B$2:$B$1224, Sheet3!$D$2:$D$1224, "")</f>
        <v/>
      </c>
      <c r="G1624" s="1" t="str" cm="1">
        <f t="array" ref="G1624">_xlfn.XLOOKUP(D1624&amp;C1624, Sheet2!$A$2:$A$558&amp;Sheet2!$B$2:$B$558, Sheet2!$C$2:$C$558, "")</f>
        <v>sigit.funtasyisland@gmail.com</v>
      </c>
      <c r="H1624" s="40" t="str">
        <f t="shared" si="25"/>
        <v>sigit.funtasyisland@gmail.com</v>
      </c>
    </row>
    <row r="1625" spans="1:8" ht="15.5" x14ac:dyDescent="0.35">
      <c r="A1625" s="7">
        <v>1624</v>
      </c>
      <c r="B1625" s="12">
        <v>26560</v>
      </c>
      <c r="C1625" s="11" t="s">
        <v>1619</v>
      </c>
      <c r="D1625" s="12" t="s">
        <v>1487</v>
      </c>
      <c r="E1625" s="10">
        <v>2006</v>
      </c>
      <c r="F1625" s="36" t="str" cm="1">
        <f t="array" ref="F1625">_xlfn.XLOOKUP(D1625&amp;C1625, Sheet3!$C$2:$C$1224&amp;Sheet3!$B$2:$B$1224, Sheet3!$D$2:$D$1224, "")</f>
        <v/>
      </c>
      <c r="G1625" s="1" t="str" cm="1">
        <f t="array" ref="G1625">_xlfn.XLOOKUP(D1625&amp;C1625, Sheet2!$A$2:$A$558&amp;Sheet2!$B$2:$B$558, Sheet2!$C$2:$C$558, "")</f>
        <v>bayucakep@gmail.com</v>
      </c>
      <c r="H1625" s="40" t="str">
        <f t="shared" si="25"/>
        <v>bayucakep@gmail.com</v>
      </c>
    </row>
    <row r="1626" spans="1:8" ht="15.5" x14ac:dyDescent="0.35">
      <c r="A1626" s="7">
        <v>1625</v>
      </c>
      <c r="B1626" s="12">
        <v>26251</v>
      </c>
      <c r="C1626" s="11" t="s">
        <v>3958</v>
      </c>
      <c r="D1626" s="12" t="s">
        <v>1487</v>
      </c>
      <c r="E1626" s="10">
        <v>2006</v>
      </c>
      <c r="F1626" s="36" t="str" cm="1">
        <f t="array" ref="F1626">_xlfn.XLOOKUP(D1626&amp;C1626, Sheet3!$C$2:$C$1224&amp;Sheet3!$B$2:$B$1224, Sheet3!$D$2:$D$1224, "")</f>
        <v>Rusdin.rangga00@gmail.com</v>
      </c>
      <c r="G1626" s="1" t="str" cm="1">
        <f t="array" ref="G1626">_xlfn.XLOOKUP(D1626&amp;C1626, Sheet2!$A$2:$A$558&amp;Sheet2!$B$2:$B$558, Sheet2!$C$2:$C$558, "")</f>
        <v/>
      </c>
      <c r="H1626" s="40" t="str">
        <f t="shared" si="25"/>
        <v>Rusdin.rangga00@gmail.com</v>
      </c>
    </row>
    <row r="1627" spans="1:8" ht="15.5" x14ac:dyDescent="0.35">
      <c r="A1627" s="7">
        <v>1626</v>
      </c>
      <c r="B1627" s="12">
        <v>24120</v>
      </c>
      <c r="C1627" s="11" t="s">
        <v>1620</v>
      </c>
      <c r="D1627" s="12" t="s">
        <v>1078</v>
      </c>
      <c r="E1627" s="10">
        <v>2006</v>
      </c>
      <c r="F1627" s="36" t="str" cm="1">
        <f t="array" ref="F1627">_xlfn.XLOOKUP(D1627&amp;C1627, Sheet3!$C$2:$C$1224&amp;Sheet3!$B$2:$B$1224, Sheet3!$D$2:$D$1224, "")</f>
        <v/>
      </c>
      <c r="G1627" s="1" t="str" cm="1">
        <f t="array" ref="G1627">_xlfn.XLOOKUP(D1627&amp;C1627, Sheet2!$A$2:$A$558&amp;Sheet2!$B$2:$B$558, Sheet2!$C$2:$C$558, "")</f>
        <v/>
      </c>
      <c r="H1627" s="40" t="str">
        <f t="shared" si="25"/>
        <v/>
      </c>
    </row>
    <row r="1628" spans="1:8" ht="15.5" x14ac:dyDescent="0.35">
      <c r="A1628" s="7">
        <v>1627</v>
      </c>
      <c r="B1628" s="12">
        <v>26416</v>
      </c>
      <c r="C1628" s="11" t="s">
        <v>1621</v>
      </c>
      <c r="D1628" s="12" t="s">
        <v>1487</v>
      </c>
      <c r="E1628" s="10">
        <v>2006</v>
      </c>
      <c r="F1628" s="36" t="str" cm="1">
        <f t="array" ref="F1628">_xlfn.XLOOKUP(D1628&amp;C1628, Sheet3!$C$2:$C$1224&amp;Sheet3!$B$2:$B$1224, Sheet3!$D$2:$D$1224, "")</f>
        <v>nutrika23@gmail.com</v>
      </c>
      <c r="G1628" s="1" t="str" cm="1">
        <f t="array" ref="G1628">_xlfn.XLOOKUP(D1628&amp;C1628, Sheet2!$A$2:$A$558&amp;Sheet2!$B$2:$B$558, Sheet2!$C$2:$C$558, "")</f>
        <v>tc.utama@gmail.com</v>
      </c>
      <c r="H1628" s="40" t="str">
        <f t="shared" si="25"/>
        <v>nutrika23@gmail.com</v>
      </c>
    </row>
    <row r="1629" spans="1:8" ht="15.5" x14ac:dyDescent="0.35">
      <c r="A1629" s="7">
        <v>1628</v>
      </c>
      <c r="B1629" s="12">
        <v>26542</v>
      </c>
      <c r="C1629" s="11" t="s">
        <v>1622</v>
      </c>
      <c r="D1629" s="12" t="s">
        <v>1487</v>
      </c>
      <c r="E1629" s="10">
        <v>2006</v>
      </c>
      <c r="F1629" s="36" t="str" cm="1">
        <f t="array" ref="F1629">_xlfn.XLOOKUP(D1629&amp;C1629, Sheet3!$C$2:$C$1224&amp;Sheet3!$B$2:$B$1224, Sheet3!$D$2:$D$1224, "")</f>
        <v/>
      </c>
      <c r="G1629" s="1" t="str" cm="1">
        <f t="array" ref="G1629">_xlfn.XLOOKUP(D1629&amp;C1629, Sheet2!$A$2:$A$558&amp;Sheet2!$B$2:$B$558, Sheet2!$C$2:$C$558, "")</f>
        <v/>
      </c>
      <c r="H1629" s="40" t="str">
        <f t="shared" si="25"/>
        <v/>
      </c>
    </row>
    <row r="1630" spans="1:8" ht="15.5" x14ac:dyDescent="0.35">
      <c r="A1630" s="7">
        <v>1629</v>
      </c>
      <c r="B1630" s="12">
        <v>24579</v>
      </c>
      <c r="C1630" s="11" t="s">
        <v>1623</v>
      </c>
      <c r="D1630" s="12" t="s">
        <v>1078</v>
      </c>
      <c r="E1630" s="10">
        <v>2006</v>
      </c>
      <c r="F1630" s="36" t="str" cm="1">
        <f t="array" ref="F1630">_xlfn.XLOOKUP(D1630&amp;C1630, Sheet3!$C$2:$C$1224&amp;Sheet3!$B$2:$B$1224, Sheet3!$D$2:$D$1224, "")</f>
        <v>guronseptoharjo@gmail.com</v>
      </c>
      <c r="G1630" s="1" t="str" cm="1">
        <f t="array" ref="G1630">_xlfn.XLOOKUP(D1630&amp;C1630, Sheet2!$A$2:$A$558&amp;Sheet2!$B$2:$B$558, Sheet2!$C$2:$C$558, "")</f>
        <v/>
      </c>
      <c r="H1630" s="40" t="str">
        <f t="shared" si="25"/>
        <v>guronseptoharjo@gmail.com</v>
      </c>
    </row>
    <row r="1631" spans="1:8" ht="15.5" x14ac:dyDescent="0.35">
      <c r="A1631" s="7">
        <v>1630</v>
      </c>
      <c r="B1631" s="12">
        <v>25297</v>
      </c>
      <c r="C1631" s="11" t="s">
        <v>1624</v>
      </c>
      <c r="D1631" s="12" t="s">
        <v>1486</v>
      </c>
      <c r="E1631" s="10">
        <v>2006</v>
      </c>
      <c r="F1631" s="36" t="str" cm="1">
        <f t="array" ref="F1631">_xlfn.XLOOKUP(D1631&amp;C1631, Sheet3!$C$2:$C$1224&amp;Sheet3!$B$2:$B$1224, Sheet3!$D$2:$D$1224, "")</f>
        <v/>
      </c>
      <c r="G1631" s="1" t="str" cm="1">
        <f t="array" ref="G1631">_xlfn.XLOOKUP(D1631&amp;C1631, Sheet2!$A$2:$A$558&amp;Sheet2!$B$2:$B$558, Sheet2!$C$2:$C$558, "")</f>
        <v/>
      </c>
      <c r="H1631" s="40" t="str">
        <f t="shared" si="25"/>
        <v/>
      </c>
    </row>
    <row r="1632" spans="1:8" ht="15.5" x14ac:dyDescent="0.35">
      <c r="A1632" s="7">
        <v>1631</v>
      </c>
      <c r="B1632" s="12">
        <v>24429</v>
      </c>
      <c r="C1632" s="11" t="s">
        <v>1625</v>
      </c>
      <c r="D1632" s="12" t="s">
        <v>1078</v>
      </c>
      <c r="E1632" s="10">
        <v>2006</v>
      </c>
      <c r="F1632" s="36" t="str" cm="1">
        <f t="array" ref="F1632">_xlfn.XLOOKUP(D1632&amp;C1632, Sheet3!$C$2:$C$1224&amp;Sheet3!$B$2:$B$1224, Sheet3!$D$2:$D$1224, "")</f>
        <v/>
      </c>
      <c r="G1632" s="1" t="str" cm="1">
        <f t="array" ref="G1632">_xlfn.XLOOKUP(D1632&amp;C1632, Sheet2!$A$2:$A$558&amp;Sheet2!$B$2:$B$558, Sheet2!$C$2:$C$558, "")</f>
        <v/>
      </c>
      <c r="H1632" s="40" t="str">
        <f t="shared" si="25"/>
        <v/>
      </c>
    </row>
    <row r="1633" spans="1:8" ht="15.5" x14ac:dyDescent="0.35">
      <c r="A1633" s="7">
        <v>1632</v>
      </c>
      <c r="B1633" s="12">
        <v>25902</v>
      </c>
      <c r="C1633" s="11" t="s">
        <v>1626</v>
      </c>
      <c r="D1633" s="12" t="s">
        <v>1486</v>
      </c>
      <c r="E1633" s="10">
        <v>2006</v>
      </c>
      <c r="F1633" s="36" t="str" cm="1">
        <f t="array" ref="F1633">_xlfn.XLOOKUP(D1633&amp;C1633, Sheet3!$C$2:$C$1224&amp;Sheet3!$B$2:$B$1224, Sheet3!$D$2:$D$1224, "")</f>
        <v>rheindra@gmail.com</v>
      </c>
      <c r="G1633" s="1" t="str" cm="1">
        <f t="array" ref="G1633">_xlfn.XLOOKUP(D1633&amp;C1633, Sheet2!$A$2:$A$558&amp;Sheet2!$B$2:$B$558, Sheet2!$C$2:$C$558, "")</f>
        <v/>
      </c>
      <c r="H1633" s="40" t="str">
        <f t="shared" si="25"/>
        <v>rheindra@gmail.com</v>
      </c>
    </row>
    <row r="1634" spans="1:8" ht="15.5" x14ac:dyDescent="0.35">
      <c r="A1634" s="7">
        <v>1633</v>
      </c>
      <c r="B1634" s="12">
        <v>25220</v>
      </c>
      <c r="C1634" s="11" t="s">
        <v>415</v>
      </c>
      <c r="D1634" s="12" t="s">
        <v>1486</v>
      </c>
      <c r="E1634" s="10">
        <v>2006</v>
      </c>
      <c r="F1634" s="36" t="str" cm="1">
        <f t="array" ref="F1634">_xlfn.XLOOKUP(D1634&amp;C1634, Sheet3!$C$2:$C$1224&amp;Sheet3!$B$2:$B$1224, Sheet3!$D$2:$D$1224, "")</f>
        <v/>
      </c>
      <c r="G1634" s="1" t="str" cm="1">
        <f t="array" ref="G1634">_xlfn.XLOOKUP(D1634&amp;C1634, Sheet2!$A$2:$A$558&amp;Sheet2!$B$2:$B$558, Sheet2!$C$2:$C$558, "")</f>
        <v/>
      </c>
      <c r="H1634" s="40" t="str">
        <f t="shared" si="25"/>
        <v/>
      </c>
    </row>
    <row r="1635" spans="1:8" ht="15.5" x14ac:dyDescent="0.35">
      <c r="A1635" s="7">
        <v>1634</v>
      </c>
      <c r="B1635" s="12">
        <v>21383</v>
      </c>
      <c r="C1635" s="11" t="s">
        <v>1627</v>
      </c>
      <c r="D1635" s="12" t="s">
        <v>1076</v>
      </c>
      <c r="E1635" s="10">
        <v>2006</v>
      </c>
      <c r="F1635" s="36" t="str" cm="1">
        <f t="array" ref="F1635">_xlfn.XLOOKUP(D1635&amp;C1635, Sheet3!$C$2:$C$1224&amp;Sheet3!$B$2:$B$1224, Sheet3!$D$2:$D$1224, "")</f>
        <v>irawanprayoko@gmail.com</v>
      </c>
      <c r="G1635" s="1" t="str" cm="1">
        <f t="array" ref="G1635">_xlfn.XLOOKUP(D1635&amp;C1635, Sheet2!$A$2:$A$558&amp;Sheet2!$B$2:$B$558, Sheet2!$C$2:$C$558, "")</f>
        <v/>
      </c>
      <c r="H1635" s="40" t="str">
        <f t="shared" si="25"/>
        <v>irawanprayoko@gmail.com</v>
      </c>
    </row>
    <row r="1636" spans="1:8" ht="15.5" x14ac:dyDescent="0.35">
      <c r="A1636" s="7">
        <v>1635</v>
      </c>
      <c r="B1636" s="12">
        <v>27140</v>
      </c>
      <c r="C1636" s="11" t="s">
        <v>1628</v>
      </c>
      <c r="D1636" s="12" t="s">
        <v>1488</v>
      </c>
      <c r="E1636" s="10">
        <v>2006</v>
      </c>
      <c r="F1636" s="36" t="str" cm="1">
        <f t="array" ref="F1636">_xlfn.XLOOKUP(D1636&amp;C1636, Sheet3!$C$2:$C$1224&amp;Sheet3!$B$2:$B$1224, Sheet3!$D$2:$D$1224, "")</f>
        <v>adibpriya@gmail.com</v>
      </c>
      <c r="G1636" s="1" t="str" cm="1">
        <f t="array" ref="G1636">_xlfn.XLOOKUP(D1636&amp;C1636, Sheet2!$A$2:$A$558&amp;Sheet2!$B$2:$B$558, Sheet2!$C$2:$C$558, "")</f>
        <v/>
      </c>
      <c r="H1636" s="40" t="str">
        <f t="shared" si="25"/>
        <v>adibpriya@gmail.com</v>
      </c>
    </row>
    <row r="1637" spans="1:8" ht="15.5" x14ac:dyDescent="0.35">
      <c r="A1637" s="7">
        <v>1636</v>
      </c>
      <c r="B1637" s="12">
        <v>22439</v>
      </c>
      <c r="C1637" s="11" t="s">
        <v>1629</v>
      </c>
      <c r="D1637" s="12" t="s">
        <v>1077</v>
      </c>
      <c r="E1637" s="10">
        <v>2006</v>
      </c>
      <c r="F1637" s="36" t="str" cm="1">
        <f t="array" ref="F1637">_xlfn.XLOOKUP(D1637&amp;C1637, Sheet3!$C$2:$C$1224&amp;Sheet3!$B$2:$B$1224, Sheet3!$D$2:$D$1224, "")</f>
        <v>muzzammil.rahapurna@gmail.com</v>
      </c>
      <c r="G1637" s="1" t="str" cm="1">
        <f t="array" ref="G1637">_xlfn.XLOOKUP(D1637&amp;C1637, Sheet2!$A$2:$A$558&amp;Sheet2!$B$2:$B$558, Sheet2!$C$2:$C$558, "")</f>
        <v>muzzammil.rahapurna@gmail.com</v>
      </c>
      <c r="H1637" s="40" t="str">
        <f t="shared" si="25"/>
        <v>muzzammil.rahapurna@gmail.com</v>
      </c>
    </row>
    <row r="1638" spans="1:8" ht="15.5" x14ac:dyDescent="0.35">
      <c r="A1638" s="7">
        <v>1637</v>
      </c>
      <c r="B1638" s="12">
        <v>22351</v>
      </c>
      <c r="C1638" s="11" t="s">
        <v>1630</v>
      </c>
      <c r="D1638" s="12" t="s">
        <v>1077</v>
      </c>
      <c r="E1638" s="10">
        <v>2006</v>
      </c>
      <c r="F1638" s="36" t="str" cm="1">
        <f t="array" ref="F1638">_xlfn.XLOOKUP(D1638&amp;C1638, Sheet3!$C$2:$C$1224&amp;Sheet3!$B$2:$B$1224, Sheet3!$D$2:$D$1224, "")</f>
        <v>ensiprabowo@gmail.com</v>
      </c>
      <c r="G1638" s="1" t="str" cm="1">
        <f t="array" ref="G1638">_xlfn.XLOOKUP(D1638&amp;C1638, Sheet2!$A$2:$A$558&amp;Sheet2!$B$2:$B$558, Sheet2!$C$2:$C$558, "")</f>
        <v>ensiprabowo@gmail.com</v>
      </c>
      <c r="H1638" s="40" t="str">
        <f t="shared" si="25"/>
        <v>ensiprabowo@gmail.com</v>
      </c>
    </row>
    <row r="1639" spans="1:8" ht="15.5" x14ac:dyDescent="0.35">
      <c r="A1639" s="7">
        <v>1638</v>
      </c>
      <c r="B1639" s="12">
        <v>22364</v>
      </c>
      <c r="C1639" s="11" t="s">
        <v>1631</v>
      </c>
      <c r="D1639" s="12" t="s">
        <v>1077</v>
      </c>
      <c r="E1639" s="10">
        <v>2006</v>
      </c>
      <c r="F1639" s="36" t="str" cm="1">
        <f t="array" ref="F1639">_xlfn.XLOOKUP(D1639&amp;C1639, Sheet3!$C$2:$C$1224&amp;Sheet3!$B$2:$B$1224, Sheet3!$D$2:$D$1224, "")</f>
        <v/>
      </c>
      <c r="G1639" s="1" t="str" cm="1">
        <f t="array" ref="G1639">_xlfn.XLOOKUP(D1639&amp;C1639, Sheet2!$A$2:$A$558&amp;Sheet2!$B$2:$B$558, Sheet2!$C$2:$C$558, "")</f>
        <v/>
      </c>
      <c r="H1639" s="40" t="str">
        <f t="shared" si="25"/>
        <v/>
      </c>
    </row>
    <row r="1640" spans="1:8" ht="15.5" x14ac:dyDescent="0.35">
      <c r="A1640" s="7">
        <v>1639</v>
      </c>
      <c r="B1640" s="12">
        <v>22896</v>
      </c>
      <c r="C1640" s="11" t="s">
        <v>1632</v>
      </c>
      <c r="D1640" s="12" t="s">
        <v>1077</v>
      </c>
      <c r="E1640" s="10">
        <v>2006</v>
      </c>
      <c r="F1640" s="36" t="str" cm="1">
        <f t="array" ref="F1640">_xlfn.XLOOKUP(D1640&amp;C1640, Sheet3!$C$2:$C$1224&amp;Sheet3!$B$2:$B$1224, Sheet3!$D$2:$D$1224, "")</f>
        <v/>
      </c>
      <c r="G1640" s="1" t="str" cm="1">
        <f t="array" ref="G1640">_xlfn.XLOOKUP(D1640&amp;C1640, Sheet2!$A$2:$A$558&amp;Sheet2!$B$2:$B$558, Sheet2!$C$2:$C$558, "")</f>
        <v/>
      </c>
      <c r="H1640" s="40" t="str">
        <f t="shared" si="25"/>
        <v/>
      </c>
    </row>
    <row r="1641" spans="1:8" ht="15.5" x14ac:dyDescent="0.35">
      <c r="A1641" s="7">
        <v>1640</v>
      </c>
      <c r="B1641" s="12">
        <v>26166</v>
      </c>
      <c r="C1641" s="11" t="s">
        <v>1633</v>
      </c>
      <c r="D1641" s="12" t="s">
        <v>1487</v>
      </c>
      <c r="E1641" s="10">
        <v>2006</v>
      </c>
      <c r="F1641" s="36" t="str" cm="1">
        <f t="array" ref="F1641">_xlfn.XLOOKUP(D1641&amp;C1641, Sheet3!$C$2:$C$1224&amp;Sheet3!$B$2:$B$1224, Sheet3!$D$2:$D$1224, "")</f>
        <v/>
      </c>
      <c r="G1641" s="1" t="str" cm="1">
        <f t="array" ref="G1641">_xlfn.XLOOKUP(D1641&amp;C1641, Sheet2!$A$2:$A$558&amp;Sheet2!$B$2:$B$558, Sheet2!$C$2:$C$558, "")</f>
        <v/>
      </c>
      <c r="H1641" s="40" t="str">
        <f t="shared" si="25"/>
        <v/>
      </c>
    </row>
    <row r="1642" spans="1:8" ht="15.5" x14ac:dyDescent="0.35">
      <c r="A1642" s="7">
        <v>1641</v>
      </c>
      <c r="B1642" s="12">
        <v>26318</v>
      </c>
      <c r="C1642" s="11" t="s">
        <v>1634</v>
      </c>
      <c r="D1642" s="12" t="s">
        <v>1487</v>
      </c>
      <c r="E1642" s="10">
        <v>2006</v>
      </c>
      <c r="F1642" s="36" t="str" cm="1">
        <f t="array" ref="F1642">_xlfn.XLOOKUP(D1642&amp;C1642, Sheet3!$C$2:$C$1224&amp;Sheet3!$B$2:$B$1224, Sheet3!$D$2:$D$1224, "")</f>
        <v/>
      </c>
      <c r="G1642" s="1" t="str" cm="1">
        <f t="array" ref="G1642">_xlfn.XLOOKUP(D1642&amp;C1642, Sheet2!$A$2:$A$558&amp;Sheet2!$B$2:$B$558, Sheet2!$C$2:$C$558, "")</f>
        <v/>
      </c>
      <c r="H1642" s="40" t="str">
        <f t="shared" si="25"/>
        <v/>
      </c>
    </row>
    <row r="1643" spans="1:8" ht="15.5" x14ac:dyDescent="0.35">
      <c r="A1643" s="7">
        <v>1642</v>
      </c>
      <c r="B1643" s="12">
        <v>26740</v>
      </c>
      <c r="C1643" s="11" t="s">
        <v>1635</v>
      </c>
      <c r="D1643" s="12" t="s">
        <v>1487</v>
      </c>
      <c r="E1643" s="10">
        <v>2006</v>
      </c>
      <c r="F1643" s="36" t="str" cm="1">
        <f t="array" ref="F1643">_xlfn.XLOOKUP(D1643&amp;C1643, Sheet3!$C$2:$C$1224&amp;Sheet3!$B$2:$B$1224, Sheet3!$D$2:$D$1224, "")</f>
        <v>Wibowo.hendry@gmail.com</v>
      </c>
      <c r="G1643" s="1" t="str" cm="1">
        <f t="array" ref="G1643">_xlfn.XLOOKUP(D1643&amp;C1643, Sheet2!$A$2:$A$558&amp;Sheet2!$B$2:$B$558, Sheet2!$C$2:$C$558, "")</f>
        <v>wibowo.hendry@gmail.com</v>
      </c>
      <c r="H1643" s="40" t="str">
        <f t="shared" si="25"/>
        <v>Wibowo.hendry@gmail.com</v>
      </c>
    </row>
    <row r="1644" spans="1:8" ht="15.5" x14ac:dyDescent="0.35">
      <c r="A1644" s="7">
        <v>1643</v>
      </c>
      <c r="B1644" s="12">
        <v>26808</v>
      </c>
      <c r="C1644" s="11" t="s">
        <v>1636</v>
      </c>
      <c r="D1644" s="12" t="s">
        <v>1487</v>
      </c>
      <c r="E1644" s="10">
        <v>2006</v>
      </c>
      <c r="F1644" s="36" t="str" cm="1">
        <f t="array" ref="F1644">_xlfn.XLOOKUP(D1644&amp;C1644, Sheet3!$C$2:$C$1224&amp;Sheet3!$B$2:$B$1224, Sheet3!$D$2:$D$1224, "")</f>
        <v/>
      </c>
      <c r="G1644" s="1" t="str" cm="1">
        <f t="array" ref="G1644">_xlfn.XLOOKUP(D1644&amp;C1644, Sheet2!$A$2:$A$558&amp;Sheet2!$B$2:$B$558, Sheet2!$C$2:$C$558, "")</f>
        <v/>
      </c>
      <c r="H1644" s="40" t="str">
        <f t="shared" si="25"/>
        <v/>
      </c>
    </row>
    <row r="1645" spans="1:8" ht="15.5" x14ac:dyDescent="0.35">
      <c r="A1645" s="7">
        <v>1644</v>
      </c>
      <c r="B1645" s="12">
        <v>27284</v>
      </c>
      <c r="C1645" s="11" t="s">
        <v>1637</v>
      </c>
      <c r="D1645" s="12" t="s">
        <v>1488</v>
      </c>
      <c r="E1645" s="10">
        <v>2006</v>
      </c>
      <c r="F1645" s="36" t="str" cm="1">
        <f t="array" ref="F1645">_xlfn.XLOOKUP(D1645&amp;C1645, Sheet3!$C$2:$C$1224&amp;Sheet3!$B$2:$B$1224, Sheet3!$D$2:$D$1224, "")</f>
        <v/>
      </c>
      <c r="G1645" s="1" t="str" cm="1">
        <f t="array" ref="G1645">_xlfn.XLOOKUP(D1645&amp;C1645, Sheet2!$A$2:$A$558&amp;Sheet2!$B$2:$B$558, Sheet2!$C$2:$C$558, "")</f>
        <v/>
      </c>
      <c r="H1645" s="40" t="str">
        <f t="shared" si="25"/>
        <v/>
      </c>
    </row>
    <row r="1646" spans="1:8" ht="15.5" x14ac:dyDescent="0.35">
      <c r="A1646" s="7">
        <v>1645</v>
      </c>
      <c r="B1646" s="12">
        <v>26682</v>
      </c>
      <c r="C1646" s="11" t="s">
        <v>1638</v>
      </c>
      <c r="D1646" s="12" t="s">
        <v>1487</v>
      </c>
      <c r="E1646" s="10">
        <v>2006</v>
      </c>
      <c r="F1646" s="36" t="str" cm="1">
        <f t="array" ref="F1646">_xlfn.XLOOKUP(D1646&amp;C1646, Sheet3!$C$2:$C$1224&amp;Sheet3!$B$2:$B$1224, Sheet3!$D$2:$D$1224, "")</f>
        <v/>
      </c>
      <c r="G1646" s="1" t="str" cm="1">
        <f t="array" ref="G1646">_xlfn.XLOOKUP(D1646&amp;C1646, Sheet2!$A$2:$A$558&amp;Sheet2!$B$2:$B$558, Sheet2!$C$2:$C$558, "")</f>
        <v/>
      </c>
      <c r="H1646" s="40" t="str">
        <f t="shared" si="25"/>
        <v/>
      </c>
    </row>
    <row r="1647" spans="1:8" ht="15.5" x14ac:dyDescent="0.35">
      <c r="A1647" s="7">
        <v>1646</v>
      </c>
      <c r="B1647" s="12">
        <v>27124</v>
      </c>
      <c r="C1647" s="11" t="s">
        <v>1639</v>
      </c>
      <c r="D1647" s="12" t="s">
        <v>1488</v>
      </c>
      <c r="E1647" s="10">
        <v>2006</v>
      </c>
      <c r="F1647" s="36" t="str" cm="1">
        <f t="array" ref="F1647">_xlfn.XLOOKUP(D1647&amp;C1647, Sheet3!$C$2:$C$1224&amp;Sheet3!$B$2:$B$1224, Sheet3!$D$2:$D$1224, "")</f>
        <v/>
      </c>
      <c r="G1647" s="1" t="str" cm="1">
        <f t="array" ref="G1647">_xlfn.XLOOKUP(D1647&amp;C1647, Sheet2!$A$2:$A$558&amp;Sheet2!$B$2:$B$558, Sheet2!$C$2:$C$558, "")</f>
        <v>arutotravel@gmail.com</v>
      </c>
      <c r="H1647" s="40" t="str">
        <f t="shared" si="25"/>
        <v>arutotravel@gmail.com</v>
      </c>
    </row>
    <row r="1648" spans="1:8" ht="15.5" x14ac:dyDescent="0.35">
      <c r="A1648" s="7">
        <v>1647</v>
      </c>
      <c r="B1648" s="12">
        <v>27150</v>
      </c>
      <c r="C1648" s="11" t="s">
        <v>1640</v>
      </c>
      <c r="D1648" s="12" t="s">
        <v>1488</v>
      </c>
      <c r="E1648" s="10">
        <v>2006</v>
      </c>
      <c r="F1648" s="36" t="str" cm="1">
        <f t="array" ref="F1648">_xlfn.XLOOKUP(D1648&amp;C1648, Sheet3!$C$2:$C$1224&amp;Sheet3!$B$2:$B$1224, Sheet3!$D$2:$D$1224, "")</f>
        <v>endalatersia02@gmail.com</v>
      </c>
      <c r="G1648" s="1" t="str" cm="1">
        <f t="array" ref="G1648">_xlfn.XLOOKUP(D1648&amp;C1648, Sheet2!$A$2:$A$558&amp;Sheet2!$B$2:$B$558, Sheet2!$C$2:$C$558, "")</f>
        <v/>
      </c>
      <c r="H1648" s="40" t="str">
        <f t="shared" si="25"/>
        <v>endalatersia02@gmail.com</v>
      </c>
    </row>
    <row r="1649" spans="1:8" ht="15.5" x14ac:dyDescent="0.35">
      <c r="A1649" s="7">
        <v>1648</v>
      </c>
      <c r="B1649" s="12">
        <v>21420</v>
      </c>
      <c r="C1649" s="11" t="s">
        <v>1641</v>
      </c>
      <c r="D1649" s="12" t="s">
        <v>1076</v>
      </c>
      <c r="E1649" s="10">
        <v>2007</v>
      </c>
      <c r="F1649" s="36" t="str" cm="1">
        <f t="array" ref="F1649">_xlfn.XLOOKUP(D1649&amp;C1649, Sheet3!$C$2:$C$1224&amp;Sheet3!$B$2:$B$1224, Sheet3!$D$2:$D$1224, "")</f>
        <v/>
      </c>
      <c r="G1649" s="1" t="str" cm="1">
        <f t="array" ref="G1649">_xlfn.XLOOKUP(D1649&amp;C1649, Sheet2!$A$2:$A$558&amp;Sheet2!$B$2:$B$558, Sheet2!$C$2:$C$558, "")</f>
        <v/>
      </c>
      <c r="H1649" s="40" t="str">
        <f t="shared" si="25"/>
        <v/>
      </c>
    </row>
    <row r="1650" spans="1:8" ht="15.5" x14ac:dyDescent="0.35">
      <c r="A1650" s="7">
        <v>1649</v>
      </c>
      <c r="B1650" s="12">
        <v>26502</v>
      </c>
      <c r="C1650" s="11" t="s">
        <v>1642</v>
      </c>
      <c r="D1650" s="12" t="s">
        <v>1487</v>
      </c>
      <c r="E1650" s="10">
        <v>2007</v>
      </c>
      <c r="F1650" s="36" t="str" cm="1">
        <f t="array" ref="F1650">_xlfn.XLOOKUP(D1650&amp;C1650, Sheet3!$C$2:$C$1224&amp;Sheet3!$B$2:$B$1224, Sheet3!$D$2:$D$1224, "")</f>
        <v>cipapanda28@gmail.com</v>
      </c>
      <c r="G1650" s="1" t="str" cm="1">
        <f t="array" ref="G1650">_xlfn.XLOOKUP(D1650&amp;C1650, Sheet2!$A$2:$A$558&amp;Sheet2!$B$2:$B$558, Sheet2!$C$2:$C$558, "")</f>
        <v/>
      </c>
      <c r="H1650" s="40" t="str">
        <f t="shared" si="25"/>
        <v>cipapanda28@gmail.com</v>
      </c>
    </row>
    <row r="1651" spans="1:8" ht="15.5" x14ac:dyDescent="0.35">
      <c r="A1651" s="7">
        <v>1650</v>
      </c>
      <c r="B1651" s="12">
        <v>25301</v>
      </c>
      <c r="C1651" s="11" t="s">
        <v>1643</v>
      </c>
      <c r="D1651" s="12" t="s">
        <v>1486</v>
      </c>
      <c r="E1651" s="10">
        <v>2007</v>
      </c>
      <c r="F1651" s="36" t="str" cm="1">
        <f t="array" ref="F1651">_xlfn.XLOOKUP(D1651&amp;C1651, Sheet3!$C$2:$C$1224&amp;Sheet3!$B$2:$B$1224, Sheet3!$D$2:$D$1224, "")</f>
        <v/>
      </c>
      <c r="G1651" s="1" t="str" cm="1">
        <f t="array" ref="G1651">_xlfn.XLOOKUP(D1651&amp;C1651, Sheet2!$A$2:$A$558&amp;Sheet2!$B$2:$B$558, Sheet2!$C$2:$C$558, "")</f>
        <v/>
      </c>
      <c r="H1651" s="40" t="str">
        <f t="shared" si="25"/>
        <v/>
      </c>
    </row>
    <row r="1652" spans="1:8" ht="15.5" x14ac:dyDescent="0.35">
      <c r="A1652" s="7">
        <v>1651</v>
      </c>
      <c r="B1652" s="12">
        <v>26807</v>
      </c>
      <c r="C1652" s="11" t="s">
        <v>1644</v>
      </c>
      <c r="D1652" s="12" t="s">
        <v>1487</v>
      </c>
      <c r="E1652" s="10">
        <v>2007</v>
      </c>
      <c r="F1652" s="36" t="str" cm="1">
        <f t="array" ref="F1652">_xlfn.XLOOKUP(D1652&amp;C1652, Sheet3!$C$2:$C$1224&amp;Sheet3!$B$2:$B$1224, Sheet3!$D$2:$D$1224, "")</f>
        <v/>
      </c>
      <c r="G1652" s="1" t="str" cm="1">
        <f t="array" ref="G1652">_xlfn.XLOOKUP(D1652&amp;C1652, Sheet2!$A$2:$A$558&amp;Sheet2!$B$2:$B$558, Sheet2!$C$2:$C$558, "")</f>
        <v/>
      </c>
      <c r="H1652" s="40" t="str">
        <f t="shared" si="25"/>
        <v/>
      </c>
    </row>
    <row r="1653" spans="1:8" ht="15.5" x14ac:dyDescent="0.35">
      <c r="A1653" s="7">
        <v>1652</v>
      </c>
      <c r="B1653" s="12">
        <v>26704</v>
      </c>
      <c r="C1653" s="11" t="s">
        <v>1645</v>
      </c>
      <c r="D1653" s="12" t="s">
        <v>1487</v>
      </c>
      <c r="E1653" s="10">
        <v>2007</v>
      </c>
      <c r="F1653" s="36" t="str" cm="1">
        <f t="array" ref="F1653">_xlfn.XLOOKUP(D1653&amp;C1653, Sheet3!$C$2:$C$1224&amp;Sheet3!$B$2:$B$1224, Sheet3!$D$2:$D$1224, "")</f>
        <v/>
      </c>
      <c r="G1653" s="1" t="str" cm="1">
        <f t="array" ref="G1653">_xlfn.XLOOKUP(D1653&amp;C1653, Sheet2!$A$2:$A$558&amp;Sheet2!$B$2:$B$558, Sheet2!$C$2:$C$558, "")</f>
        <v>ardhinov@gmail.com</v>
      </c>
      <c r="H1653" s="40" t="str">
        <f t="shared" si="25"/>
        <v>ardhinov@gmail.com</v>
      </c>
    </row>
    <row r="1654" spans="1:8" ht="15.5" x14ac:dyDescent="0.35">
      <c r="A1654" s="7">
        <v>1653</v>
      </c>
      <c r="B1654" s="12">
        <v>26274</v>
      </c>
      <c r="C1654" s="11" t="s">
        <v>1646</v>
      </c>
      <c r="D1654" s="12" t="s">
        <v>1487</v>
      </c>
      <c r="E1654" s="10">
        <v>2007</v>
      </c>
      <c r="F1654" s="36" t="str" cm="1">
        <f t="array" ref="F1654">_xlfn.XLOOKUP(D1654&amp;C1654, Sheet3!$C$2:$C$1224&amp;Sheet3!$B$2:$B$1224, Sheet3!$D$2:$D$1224, "")</f>
        <v/>
      </c>
      <c r="G1654" s="1" t="str" cm="1">
        <f t="array" ref="G1654">_xlfn.XLOOKUP(D1654&amp;C1654, Sheet2!$A$2:$A$558&amp;Sheet2!$B$2:$B$558, Sheet2!$C$2:$C$558, "")</f>
        <v/>
      </c>
      <c r="H1654" s="40" t="str">
        <f t="shared" si="25"/>
        <v/>
      </c>
    </row>
    <row r="1655" spans="1:8" ht="15.5" x14ac:dyDescent="0.35">
      <c r="A1655" s="7">
        <v>1654</v>
      </c>
      <c r="B1655" s="12">
        <v>26824</v>
      </c>
      <c r="C1655" s="11" t="s">
        <v>1647</v>
      </c>
      <c r="D1655" s="12" t="s">
        <v>1487</v>
      </c>
      <c r="E1655" s="10">
        <v>2007</v>
      </c>
      <c r="F1655" s="36" t="str" cm="1">
        <f t="array" ref="F1655">_xlfn.XLOOKUP(D1655&amp;C1655, Sheet3!$C$2:$C$1224&amp;Sheet3!$B$2:$B$1224, Sheet3!$D$2:$D$1224, "")</f>
        <v>ariyanto.suryotejo@gmail.com</v>
      </c>
      <c r="G1655" s="1" t="str" cm="1">
        <f t="array" ref="G1655">_xlfn.XLOOKUP(D1655&amp;C1655, Sheet2!$A$2:$A$558&amp;Sheet2!$B$2:$B$558, Sheet2!$C$2:$C$558, "")</f>
        <v/>
      </c>
      <c r="H1655" s="40" t="str">
        <f t="shared" si="25"/>
        <v>ariyanto.suryotejo@gmail.com</v>
      </c>
    </row>
    <row r="1656" spans="1:8" ht="15.5" x14ac:dyDescent="0.35">
      <c r="A1656" s="7">
        <v>1655</v>
      </c>
      <c r="B1656" s="12">
        <v>26063</v>
      </c>
      <c r="C1656" s="11" t="s">
        <v>1648</v>
      </c>
      <c r="D1656" s="12" t="s">
        <v>1487</v>
      </c>
      <c r="E1656" s="10">
        <v>2007</v>
      </c>
      <c r="F1656" s="36" t="str" cm="1">
        <f t="array" ref="F1656">_xlfn.XLOOKUP(D1656&amp;C1656, Sheet3!$C$2:$C$1224&amp;Sheet3!$B$2:$B$1224, Sheet3!$D$2:$D$1224, "")</f>
        <v/>
      </c>
      <c r="G1656" s="1" t="str" cm="1">
        <f t="array" ref="G1656">_xlfn.XLOOKUP(D1656&amp;C1656, Sheet2!$A$2:$A$558&amp;Sheet2!$B$2:$B$558, Sheet2!$C$2:$C$558, "")</f>
        <v/>
      </c>
      <c r="H1656" s="40" t="str">
        <f t="shared" si="25"/>
        <v/>
      </c>
    </row>
    <row r="1657" spans="1:8" ht="15.5" x14ac:dyDescent="0.35">
      <c r="A1657" s="7">
        <v>1656</v>
      </c>
      <c r="B1657" s="12">
        <v>26185</v>
      </c>
      <c r="C1657" s="11" t="s">
        <v>1649</v>
      </c>
      <c r="D1657" s="12" t="s">
        <v>1487</v>
      </c>
      <c r="E1657" s="10">
        <v>2007</v>
      </c>
      <c r="F1657" s="36" t="str" cm="1">
        <f t="array" ref="F1657">_xlfn.XLOOKUP(D1657&amp;C1657, Sheet3!$C$2:$C$1224&amp;Sheet3!$B$2:$B$1224, Sheet3!$D$2:$D$1224, "")</f>
        <v/>
      </c>
      <c r="G1657" s="1" t="str" cm="1">
        <f t="array" ref="G1657">_xlfn.XLOOKUP(D1657&amp;C1657, Sheet2!$A$2:$A$558&amp;Sheet2!$B$2:$B$558, Sheet2!$C$2:$C$558, "")</f>
        <v/>
      </c>
      <c r="H1657" s="40" t="str">
        <f t="shared" si="25"/>
        <v/>
      </c>
    </row>
    <row r="1658" spans="1:8" ht="15.5" x14ac:dyDescent="0.35">
      <c r="A1658" s="7">
        <v>1657</v>
      </c>
      <c r="B1658" s="12">
        <v>26961</v>
      </c>
      <c r="C1658" s="11" t="s">
        <v>1650</v>
      </c>
      <c r="D1658" s="12" t="s">
        <v>1487</v>
      </c>
      <c r="E1658" s="10">
        <v>2007</v>
      </c>
      <c r="F1658" s="36" t="str" cm="1">
        <f t="array" ref="F1658">_xlfn.XLOOKUP(D1658&amp;C1658, Sheet3!$C$2:$C$1224&amp;Sheet3!$B$2:$B$1224, Sheet3!$D$2:$D$1224, "")</f>
        <v/>
      </c>
      <c r="G1658" s="1" t="str" cm="1">
        <f t="array" ref="G1658">_xlfn.XLOOKUP(D1658&amp;C1658, Sheet2!$A$2:$A$558&amp;Sheet2!$B$2:$B$558, Sheet2!$C$2:$C$558, "")</f>
        <v/>
      </c>
      <c r="H1658" s="40" t="str">
        <f t="shared" si="25"/>
        <v/>
      </c>
    </row>
    <row r="1659" spans="1:8" ht="15.5" x14ac:dyDescent="0.35">
      <c r="A1659" s="7">
        <v>1658</v>
      </c>
      <c r="B1659" s="12">
        <v>26832</v>
      </c>
      <c r="C1659" s="11" t="s">
        <v>1651</v>
      </c>
      <c r="D1659" s="12" t="s">
        <v>1487</v>
      </c>
      <c r="E1659" s="10">
        <v>2007</v>
      </c>
      <c r="F1659" s="36" t="str" cm="1">
        <f t="array" ref="F1659">_xlfn.XLOOKUP(D1659&amp;C1659, Sheet3!$C$2:$C$1224&amp;Sheet3!$B$2:$B$1224, Sheet3!$D$2:$D$1224, "")</f>
        <v/>
      </c>
      <c r="G1659" s="1" t="str" cm="1">
        <f t="array" ref="G1659">_xlfn.XLOOKUP(D1659&amp;C1659, Sheet2!$A$2:$A$558&amp;Sheet2!$B$2:$B$558, Sheet2!$C$2:$C$558, "")</f>
        <v/>
      </c>
      <c r="H1659" s="40" t="str">
        <f t="shared" si="25"/>
        <v/>
      </c>
    </row>
    <row r="1660" spans="1:8" ht="15.5" x14ac:dyDescent="0.35">
      <c r="A1660" s="7">
        <v>1659</v>
      </c>
      <c r="B1660" s="12">
        <v>26752</v>
      </c>
      <c r="C1660" s="11" t="s">
        <v>1652</v>
      </c>
      <c r="D1660" s="12" t="s">
        <v>1487</v>
      </c>
      <c r="E1660" s="10">
        <v>2007</v>
      </c>
      <c r="F1660" s="36" t="str" cm="1">
        <f t="array" ref="F1660">_xlfn.XLOOKUP(D1660&amp;C1660, Sheet3!$C$2:$C$1224&amp;Sheet3!$B$2:$B$1224, Sheet3!$D$2:$D$1224, "")</f>
        <v>Danang_widi@yahoo.com</v>
      </c>
      <c r="G1660" s="1" t="str" cm="1">
        <f t="array" ref="G1660">_xlfn.XLOOKUP(D1660&amp;C1660, Sheet2!$A$2:$A$558&amp;Sheet2!$B$2:$B$558, Sheet2!$C$2:$C$558, "")</f>
        <v>danang_widi@yahoo.com</v>
      </c>
      <c r="H1660" s="40" t="str">
        <f t="shared" si="25"/>
        <v>Danang_widi@yahoo.com</v>
      </c>
    </row>
    <row r="1661" spans="1:8" ht="15.5" x14ac:dyDescent="0.35">
      <c r="A1661" s="7">
        <v>1660</v>
      </c>
      <c r="B1661" s="12">
        <v>26248</v>
      </c>
      <c r="C1661" s="11" t="s">
        <v>1653</v>
      </c>
      <c r="D1661" s="12" t="s">
        <v>1487</v>
      </c>
      <c r="E1661" s="10">
        <v>2007</v>
      </c>
      <c r="F1661" s="36" t="str" cm="1">
        <f t="array" ref="F1661">_xlfn.XLOOKUP(D1661&amp;C1661, Sheet3!$C$2:$C$1224&amp;Sheet3!$B$2:$B$1224, Sheet3!$D$2:$D$1224, "")</f>
        <v>rzk90210@gmail.com</v>
      </c>
      <c r="G1661" s="1" t="str" cm="1">
        <f t="array" ref="G1661">_xlfn.XLOOKUP(D1661&amp;C1661, Sheet2!$A$2:$A$558&amp;Sheet2!$B$2:$B$558, Sheet2!$C$2:$C$558, "")</f>
        <v/>
      </c>
      <c r="H1661" s="40" t="str">
        <f t="shared" si="25"/>
        <v>rzk90210@gmail.com</v>
      </c>
    </row>
    <row r="1662" spans="1:8" ht="15.5" x14ac:dyDescent="0.35">
      <c r="A1662" s="7">
        <v>1661</v>
      </c>
      <c r="B1662" s="12">
        <v>26142</v>
      </c>
      <c r="C1662" s="11" t="s">
        <v>1654</v>
      </c>
      <c r="D1662" s="12" t="s">
        <v>1487</v>
      </c>
      <c r="E1662" s="10">
        <v>2007</v>
      </c>
      <c r="F1662" s="36" t="str" cm="1">
        <f t="array" ref="F1662">_xlfn.XLOOKUP(D1662&amp;C1662, Sheet3!$C$2:$C$1224&amp;Sheet3!$B$2:$B$1224, Sheet3!$D$2:$D$1224, "")</f>
        <v>lesmana.jauharie@gmail.com</v>
      </c>
      <c r="G1662" s="1" t="str" cm="1">
        <f t="array" ref="G1662">_xlfn.XLOOKUP(D1662&amp;C1662, Sheet2!$A$2:$A$558&amp;Sheet2!$B$2:$B$558, Sheet2!$C$2:$C$558, "")</f>
        <v/>
      </c>
      <c r="H1662" s="40" t="str">
        <f t="shared" si="25"/>
        <v>lesmana.jauharie@gmail.com</v>
      </c>
    </row>
    <row r="1663" spans="1:8" ht="15.5" x14ac:dyDescent="0.35">
      <c r="A1663" s="7">
        <v>1662</v>
      </c>
      <c r="B1663" s="12"/>
      <c r="C1663" s="11" t="s">
        <v>1655</v>
      </c>
      <c r="D1663" s="12" t="s">
        <v>1488</v>
      </c>
      <c r="E1663" s="10">
        <v>2007</v>
      </c>
      <c r="F1663" s="36" t="str" cm="1">
        <f t="array" ref="F1663">_xlfn.XLOOKUP(D1663&amp;C1663, Sheet3!$C$2:$C$1224&amp;Sheet3!$B$2:$B$1224, Sheet3!$D$2:$D$1224, "")</f>
        <v>Deddyku25@gmail.com</v>
      </c>
      <c r="G1663" s="1" t="str" cm="1">
        <f t="array" ref="G1663">_xlfn.XLOOKUP(D1663&amp;C1663, Sheet2!$A$2:$A$558&amp;Sheet2!$B$2:$B$558, Sheet2!$C$2:$C$558, "")</f>
        <v/>
      </c>
      <c r="H1663" s="40" t="str">
        <f t="shared" si="25"/>
        <v>Deddyku25@gmail.com</v>
      </c>
    </row>
    <row r="1664" spans="1:8" ht="15.5" x14ac:dyDescent="0.35">
      <c r="A1664" s="7">
        <v>1663</v>
      </c>
      <c r="B1664" s="12">
        <v>27330</v>
      </c>
      <c r="C1664" s="11" t="s">
        <v>1656</v>
      </c>
      <c r="D1664" s="12" t="s">
        <v>1488</v>
      </c>
      <c r="E1664" s="10">
        <v>2007</v>
      </c>
      <c r="F1664" s="36" t="str" cm="1">
        <f t="array" ref="F1664">_xlfn.XLOOKUP(D1664&amp;C1664, Sheet3!$C$2:$C$1224&amp;Sheet3!$B$2:$B$1224, Sheet3!$D$2:$D$1224, "")</f>
        <v>rissarahajeng@gmail.com</v>
      </c>
      <c r="G1664" s="1" t="str" cm="1">
        <f t="array" ref="G1664">_xlfn.XLOOKUP(D1664&amp;C1664, Sheet2!$A$2:$A$558&amp;Sheet2!$B$2:$B$558, Sheet2!$C$2:$C$558, "")</f>
        <v/>
      </c>
      <c r="H1664" s="40" t="str">
        <f t="shared" si="25"/>
        <v>rissarahajeng@gmail.com</v>
      </c>
    </row>
    <row r="1665" spans="1:8" ht="15.5" x14ac:dyDescent="0.35">
      <c r="A1665" s="7">
        <v>1664</v>
      </c>
      <c r="B1665" s="12">
        <v>27503</v>
      </c>
      <c r="C1665" s="11" t="s">
        <v>1657</v>
      </c>
      <c r="D1665" s="12" t="s">
        <v>1488</v>
      </c>
      <c r="E1665" s="10">
        <v>2007</v>
      </c>
      <c r="F1665" s="36" t="str" cm="1">
        <f t="array" ref="F1665">_xlfn.XLOOKUP(D1665&amp;C1665, Sheet3!$C$2:$C$1224&amp;Sheet3!$B$2:$B$1224, Sheet3!$D$2:$D$1224, "")</f>
        <v>reni.mujiandari@gmail.com</v>
      </c>
      <c r="G1665" s="1" t="str" cm="1">
        <f t="array" ref="G1665">_xlfn.XLOOKUP(D1665&amp;C1665, Sheet2!$A$2:$A$558&amp;Sheet2!$B$2:$B$558, Sheet2!$C$2:$C$558, "")</f>
        <v/>
      </c>
      <c r="H1665" s="40" t="str">
        <f t="shared" si="25"/>
        <v>reni.mujiandari@gmail.com</v>
      </c>
    </row>
    <row r="1666" spans="1:8" ht="15.5" x14ac:dyDescent="0.35">
      <c r="A1666" s="7">
        <v>1665</v>
      </c>
      <c r="B1666" s="12">
        <v>27348</v>
      </c>
      <c r="C1666" s="11" t="s">
        <v>3289</v>
      </c>
      <c r="D1666" s="12" t="s">
        <v>1488</v>
      </c>
      <c r="E1666" s="10">
        <v>2007</v>
      </c>
      <c r="F1666" s="36" t="str" cm="1">
        <f t="array" ref="F1666">_xlfn.XLOOKUP(D1666&amp;C1666, Sheet3!$C$2:$C$1224&amp;Sheet3!$B$2:$B$1224, Sheet3!$D$2:$D$1224, "")</f>
        <v>bennyemor@gmail.com</v>
      </c>
      <c r="G1666" s="1" t="str" cm="1">
        <f t="array" ref="G1666">_xlfn.XLOOKUP(D1666&amp;C1666, Sheet2!$A$2:$A$558&amp;Sheet2!$B$2:$B$558, Sheet2!$C$2:$C$558, "")</f>
        <v>bennyemor@gmail.com</v>
      </c>
      <c r="H1666" s="40" t="str">
        <f t="shared" si="25"/>
        <v>bennyemor@gmail.com</v>
      </c>
    </row>
    <row r="1667" spans="1:8" ht="15.5" x14ac:dyDescent="0.35">
      <c r="A1667" s="7">
        <v>1666</v>
      </c>
      <c r="B1667" s="12">
        <v>27561</v>
      </c>
      <c r="C1667" s="11" t="s">
        <v>1658</v>
      </c>
      <c r="D1667" s="12" t="s">
        <v>1488</v>
      </c>
      <c r="E1667" s="10">
        <v>2007</v>
      </c>
      <c r="F1667" s="36" t="str" cm="1">
        <f t="array" ref="F1667">_xlfn.XLOOKUP(D1667&amp;C1667, Sheet3!$C$2:$C$1224&amp;Sheet3!$B$2:$B$1224, Sheet3!$D$2:$D$1224, "")</f>
        <v>puspitaz@gmail.com</v>
      </c>
      <c r="G1667" s="1" t="str" cm="1">
        <f t="array" ref="G1667">_xlfn.XLOOKUP(D1667&amp;C1667, Sheet2!$A$2:$A$558&amp;Sheet2!$B$2:$B$558, Sheet2!$C$2:$C$558, "")</f>
        <v/>
      </c>
      <c r="H1667" s="40" t="str">
        <f t="shared" ref="H1667:H1730" si="26">IF(F1667&lt;&gt;"",F1667,G1667)</f>
        <v>puspitaz@gmail.com</v>
      </c>
    </row>
    <row r="1668" spans="1:8" ht="15.5" x14ac:dyDescent="0.35">
      <c r="A1668" s="7">
        <v>1667</v>
      </c>
      <c r="B1668" s="12">
        <v>27311</v>
      </c>
      <c r="C1668" s="13" t="s">
        <v>1659</v>
      </c>
      <c r="D1668" s="12" t="s">
        <v>1488</v>
      </c>
      <c r="E1668" s="10">
        <v>2007</v>
      </c>
      <c r="F1668" s="36" t="str" cm="1">
        <f t="array" ref="F1668">_xlfn.XLOOKUP(D1668&amp;C1668, Sheet3!$C$2:$C$1224&amp;Sheet3!$B$2:$B$1224, Sheet3!$D$2:$D$1224, "")</f>
        <v>sayasusanto518@gmail.com</v>
      </c>
      <c r="G1668" s="1" t="str" cm="1">
        <f t="array" ref="G1668">_xlfn.XLOOKUP(D1668&amp;C1668, Sheet2!$A$2:$A$558&amp;Sheet2!$B$2:$B$558, Sheet2!$C$2:$C$558, "")</f>
        <v/>
      </c>
      <c r="H1668" s="40" t="str">
        <f t="shared" si="26"/>
        <v>sayasusanto518@gmail.com</v>
      </c>
    </row>
    <row r="1669" spans="1:8" ht="15.5" x14ac:dyDescent="0.35">
      <c r="A1669" s="7">
        <v>1668</v>
      </c>
      <c r="B1669" s="12">
        <v>27153</v>
      </c>
      <c r="C1669" s="11" t="s">
        <v>1660</v>
      </c>
      <c r="D1669" s="12" t="s">
        <v>1488</v>
      </c>
      <c r="E1669" s="10">
        <v>2007</v>
      </c>
      <c r="F1669" s="36" t="str" cm="1">
        <f t="array" ref="F1669">_xlfn.XLOOKUP(D1669&amp;C1669, Sheet3!$C$2:$C$1224&amp;Sheet3!$B$2:$B$1224, Sheet3!$D$2:$D$1224, "")</f>
        <v/>
      </c>
      <c r="G1669" s="1" t="str" cm="1">
        <f t="array" ref="G1669">_xlfn.XLOOKUP(D1669&amp;C1669, Sheet2!$A$2:$A$558&amp;Sheet2!$B$2:$B$558, Sheet2!$C$2:$C$558, "")</f>
        <v/>
      </c>
      <c r="H1669" s="40" t="str">
        <f t="shared" si="26"/>
        <v/>
      </c>
    </row>
    <row r="1670" spans="1:8" ht="15.5" x14ac:dyDescent="0.35">
      <c r="A1670" s="7">
        <v>1669</v>
      </c>
      <c r="B1670" s="12">
        <v>26969</v>
      </c>
      <c r="C1670" s="11" t="s">
        <v>1661</v>
      </c>
      <c r="D1670" s="12" t="s">
        <v>1487</v>
      </c>
      <c r="E1670" s="10">
        <v>2007</v>
      </c>
      <c r="F1670" s="36" t="str" cm="1">
        <f t="array" ref="F1670">_xlfn.XLOOKUP(D1670&amp;C1670, Sheet3!$C$2:$C$1224&amp;Sheet3!$B$2:$B$1224, Sheet3!$D$2:$D$1224, "")</f>
        <v/>
      </c>
      <c r="G1670" s="1" t="str" cm="1">
        <f t="array" ref="G1670">_xlfn.XLOOKUP(D1670&amp;C1670, Sheet2!$A$2:$A$558&amp;Sheet2!$B$2:$B$558, Sheet2!$C$2:$C$558, "")</f>
        <v/>
      </c>
      <c r="H1670" s="40" t="str">
        <f t="shared" si="26"/>
        <v/>
      </c>
    </row>
    <row r="1671" spans="1:8" ht="15.5" x14ac:dyDescent="0.35">
      <c r="A1671" s="7">
        <v>1670</v>
      </c>
      <c r="B1671" s="12">
        <v>27409</v>
      </c>
      <c r="C1671" s="11" t="s">
        <v>1662</v>
      </c>
      <c r="D1671" s="12" t="s">
        <v>1488</v>
      </c>
      <c r="E1671" s="10">
        <v>2007</v>
      </c>
      <c r="F1671" s="36" t="str" cm="1">
        <f t="array" ref="F1671">_xlfn.XLOOKUP(D1671&amp;C1671, Sheet3!$C$2:$C$1224&amp;Sheet3!$B$2:$B$1224, Sheet3!$D$2:$D$1224, "")</f>
        <v/>
      </c>
      <c r="G1671" s="1" t="str" cm="1">
        <f t="array" ref="G1671">_xlfn.XLOOKUP(D1671&amp;C1671, Sheet2!$A$2:$A$558&amp;Sheet2!$B$2:$B$558, Sheet2!$C$2:$C$558, "")</f>
        <v/>
      </c>
      <c r="H1671" s="40" t="str">
        <f t="shared" si="26"/>
        <v/>
      </c>
    </row>
    <row r="1672" spans="1:8" ht="15.5" x14ac:dyDescent="0.35">
      <c r="A1672" s="7">
        <v>1671</v>
      </c>
      <c r="B1672" s="12">
        <v>27070</v>
      </c>
      <c r="C1672" s="11" t="s">
        <v>1663</v>
      </c>
      <c r="D1672" s="12" t="s">
        <v>1488</v>
      </c>
      <c r="E1672" s="10">
        <v>2007</v>
      </c>
      <c r="F1672" s="36" t="str" cm="1">
        <f t="array" ref="F1672">_xlfn.XLOOKUP(D1672&amp;C1672, Sheet3!$C$2:$C$1224&amp;Sheet3!$B$2:$B$1224, Sheet3!$D$2:$D$1224, "")</f>
        <v>impriastina@gmail.com</v>
      </c>
      <c r="G1672" s="1" t="str" cm="1">
        <f t="array" ref="G1672">_xlfn.XLOOKUP(D1672&amp;C1672, Sheet2!$A$2:$A$558&amp;Sheet2!$B$2:$B$558, Sheet2!$C$2:$C$558, "")</f>
        <v>impriastina@gmail.com</v>
      </c>
      <c r="H1672" s="40" t="str">
        <f t="shared" si="26"/>
        <v>impriastina@gmail.com</v>
      </c>
    </row>
    <row r="1673" spans="1:8" ht="15.5" x14ac:dyDescent="0.35">
      <c r="A1673" s="7">
        <v>1672</v>
      </c>
      <c r="B1673" s="12">
        <v>26986</v>
      </c>
      <c r="C1673" s="11" t="s">
        <v>1664</v>
      </c>
      <c r="D1673" s="12" t="s">
        <v>1488</v>
      </c>
      <c r="E1673" s="10">
        <v>2007</v>
      </c>
      <c r="F1673" s="36" t="str" cm="1">
        <f t="array" ref="F1673">_xlfn.XLOOKUP(D1673&amp;C1673, Sheet3!$C$2:$C$1224&amp;Sheet3!$B$2:$B$1224, Sheet3!$D$2:$D$1224, "")</f>
        <v/>
      </c>
      <c r="G1673" s="1" t="str" cm="1">
        <f t="array" ref="G1673">_xlfn.XLOOKUP(D1673&amp;C1673, Sheet2!$A$2:$A$558&amp;Sheet2!$B$2:$B$558, Sheet2!$C$2:$C$558, "")</f>
        <v/>
      </c>
      <c r="H1673" s="40" t="str">
        <f t="shared" si="26"/>
        <v/>
      </c>
    </row>
    <row r="1674" spans="1:8" ht="15.5" x14ac:dyDescent="0.35">
      <c r="A1674" s="7">
        <v>1673</v>
      </c>
      <c r="B1674" s="12">
        <v>27226</v>
      </c>
      <c r="C1674" s="11" t="s">
        <v>1665</v>
      </c>
      <c r="D1674" s="12" t="s">
        <v>1488</v>
      </c>
      <c r="E1674" s="10">
        <v>2007</v>
      </c>
      <c r="F1674" s="36" t="str" cm="1">
        <f t="array" ref="F1674">_xlfn.XLOOKUP(D1674&amp;C1674, Sheet3!$C$2:$C$1224&amp;Sheet3!$B$2:$B$1224, Sheet3!$D$2:$D$1224, "")</f>
        <v/>
      </c>
      <c r="G1674" s="1" t="str" cm="1">
        <f t="array" ref="G1674">_xlfn.XLOOKUP(D1674&amp;C1674, Sheet2!$A$2:$A$558&amp;Sheet2!$B$2:$B$558, Sheet2!$C$2:$C$558, "")</f>
        <v/>
      </c>
      <c r="H1674" s="40" t="str">
        <f t="shared" si="26"/>
        <v/>
      </c>
    </row>
    <row r="1675" spans="1:8" ht="15.5" x14ac:dyDescent="0.35">
      <c r="A1675" s="7">
        <v>1674</v>
      </c>
      <c r="B1675" s="12">
        <v>27449</v>
      </c>
      <c r="C1675" s="11" t="s">
        <v>1666</v>
      </c>
      <c r="D1675" s="12" t="s">
        <v>1488</v>
      </c>
      <c r="E1675" s="10">
        <v>2007</v>
      </c>
      <c r="F1675" s="36" t="str" cm="1">
        <f t="array" ref="F1675">_xlfn.XLOOKUP(D1675&amp;C1675, Sheet3!$C$2:$C$1224&amp;Sheet3!$B$2:$B$1224, Sheet3!$D$2:$D$1224, "")</f>
        <v>wulung.prasetya@gmail.com</v>
      </c>
      <c r="G1675" s="1" t="str" cm="1">
        <f t="array" ref="G1675">_xlfn.XLOOKUP(D1675&amp;C1675, Sheet2!$A$2:$A$558&amp;Sheet2!$B$2:$B$558, Sheet2!$C$2:$C$558, "")</f>
        <v/>
      </c>
      <c r="H1675" s="40" t="str">
        <f t="shared" si="26"/>
        <v>wulung.prasetya@gmail.com</v>
      </c>
    </row>
    <row r="1676" spans="1:8" ht="15.5" x14ac:dyDescent="0.35">
      <c r="A1676" s="7">
        <v>1675</v>
      </c>
      <c r="B1676" s="12">
        <v>25753</v>
      </c>
      <c r="C1676" s="13" t="s">
        <v>1667</v>
      </c>
      <c r="D1676" s="12" t="s">
        <v>1486</v>
      </c>
      <c r="E1676" s="10">
        <v>2007</v>
      </c>
      <c r="F1676" s="36" t="str" cm="1">
        <f t="array" ref="F1676">_xlfn.XLOOKUP(D1676&amp;C1676, Sheet3!$C$2:$C$1224&amp;Sheet3!$B$2:$B$1224, Sheet3!$D$2:$D$1224, "")</f>
        <v/>
      </c>
      <c r="G1676" s="1" t="str" cm="1">
        <f t="array" ref="G1676">_xlfn.XLOOKUP(D1676&amp;C1676, Sheet2!$A$2:$A$558&amp;Sheet2!$B$2:$B$558, Sheet2!$C$2:$C$558, "")</f>
        <v/>
      </c>
      <c r="H1676" s="40" t="str">
        <f t="shared" si="26"/>
        <v/>
      </c>
    </row>
    <row r="1677" spans="1:8" ht="15.5" x14ac:dyDescent="0.35">
      <c r="A1677" s="7">
        <v>1676</v>
      </c>
      <c r="B1677" s="12">
        <v>26304</v>
      </c>
      <c r="C1677" s="13" t="s">
        <v>1668</v>
      </c>
      <c r="D1677" s="12" t="s">
        <v>1487</v>
      </c>
      <c r="E1677" s="10">
        <v>2007</v>
      </c>
      <c r="F1677" s="36" t="str" cm="1">
        <f t="array" ref="F1677">_xlfn.XLOOKUP(D1677&amp;C1677, Sheet3!$C$2:$C$1224&amp;Sheet3!$B$2:$B$1224, Sheet3!$D$2:$D$1224, "")</f>
        <v/>
      </c>
      <c r="G1677" s="1" t="str" cm="1">
        <f t="array" ref="G1677">_xlfn.XLOOKUP(D1677&amp;C1677, Sheet2!$A$2:$A$558&amp;Sheet2!$B$2:$B$558, Sheet2!$C$2:$C$558, "")</f>
        <v>johan.nirmana@gmail.com</v>
      </c>
      <c r="H1677" s="40" t="str">
        <f t="shared" si="26"/>
        <v>johan.nirmana@gmail.com</v>
      </c>
    </row>
    <row r="1678" spans="1:8" ht="15.5" x14ac:dyDescent="0.35">
      <c r="A1678" s="7">
        <v>1677</v>
      </c>
      <c r="B1678" s="12">
        <v>26735</v>
      </c>
      <c r="C1678" s="13" t="s">
        <v>1669</v>
      </c>
      <c r="D1678" s="12" t="s">
        <v>1487</v>
      </c>
      <c r="E1678" s="10">
        <v>2007</v>
      </c>
      <c r="F1678" s="36" t="str" cm="1">
        <f t="array" ref="F1678">_xlfn.XLOOKUP(D1678&amp;C1678, Sheet3!$C$2:$C$1224&amp;Sheet3!$B$2:$B$1224, Sheet3!$D$2:$D$1224, "")</f>
        <v/>
      </c>
      <c r="G1678" s="1" t="str" cm="1">
        <f t="array" ref="G1678">_xlfn.XLOOKUP(D1678&amp;C1678, Sheet2!$A$2:$A$558&amp;Sheet2!$B$2:$B$558, Sheet2!$C$2:$C$558, "")</f>
        <v/>
      </c>
      <c r="H1678" s="40" t="str">
        <f t="shared" si="26"/>
        <v/>
      </c>
    </row>
    <row r="1679" spans="1:8" ht="15.5" x14ac:dyDescent="0.35">
      <c r="A1679" s="7">
        <v>1678</v>
      </c>
      <c r="B1679" s="12">
        <v>26796</v>
      </c>
      <c r="C1679" s="13" t="s">
        <v>1670</v>
      </c>
      <c r="D1679" s="12" t="s">
        <v>1487</v>
      </c>
      <c r="E1679" s="10">
        <v>2007</v>
      </c>
      <c r="F1679" s="36" t="str" cm="1">
        <f t="array" ref="F1679">_xlfn.XLOOKUP(D1679&amp;C1679, Sheet3!$C$2:$C$1224&amp;Sheet3!$B$2:$B$1224, Sheet3!$D$2:$D$1224, "")</f>
        <v>bnurjaka@gmail.com</v>
      </c>
      <c r="G1679" s="1" t="str" cm="1">
        <f t="array" ref="G1679">_xlfn.XLOOKUP(D1679&amp;C1679, Sheet2!$A$2:$A$558&amp;Sheet2!$B$2:$B$558, Sheet2!$C$2:$C$558, "")</f>
        <v/>
      </c>
      <c r="H1679" s="40" t="str">
        <f t="shared" si="26"/>
        <v>bnurjaka@gmail.com</v>
      </c>
    </row>
    <row r="1680" spans="1:8" ht="15.5" x14ac:dyDescent="0.35">
      <c r="A1680" s="7">
        <v>1679</v>
      </c>
      <c r="B1680" s="12">
        <v>26953</v>
      </c>
      <c r="C1680" s="13" t="s">
        <v>1671</v>
      </c>
      <c r="D1680" s="12" t="s">
        <v>1487</v>
      </c>
      <c r="E1680" s="10">
        <v>2007</v>
      </c>
      <c r="F1680" s="36" t="str" cm="1">
        <f t="array" ref="F1680">_xlfn.XLOOKUP(D1680&amp;C1680, Sheet3!$C$2:$C$1224&amp;Sheet3!$B$2:$B$1224, Sheet3!$D$2:$D$1224, "")</f>
        <v>dianartarini1983@gmail.com</v>
      </c>
      <c r="G1680" s="1" t="str" cm="1">
        <f t="array" ref="G1680">_xlfn.XLOOKUP(D1680&amp;C1680, Sheet2!$A$2:$A$558&amp;Sheet2!$B$2:$B$558, Sheet2!$C$2:$C$558, "")</f>
        <v/>
      </c>
      <c r="H1680" s="40" t="str">
        <f t="shared" si="26"/>
        <v>dianartarini1983@gmail.com</v>
      </c>
    </row>
    <row r="1681" spans="1:8" ht="15.5" x14ac:dyDescent="0.35">
      <c r="A1681" s="7">
        <v>1680</v>
      </c>
      <c r="B1681" s="12">
        <v>27102</v>
      </c>
      <c r="C1681" s="13" t="s">
        <v>1672</v>
      </c>
      <c r="D1681" s="12" t="s">
        <v>1488</v>
      </c>
      <c r="E1681" s="10">
        <v>2007</v>
      </c>
      <c r="F1681" s="36" t="str" cm="1">
        <f t="array" ref="F1681">_xlfn.XLOOKUP(D1681&amp;C1681, Sheet3!$C$2:$C$1224&amp;Sheet3!$B$2:$B$1224, Sheet3!$D$2:$D$1224, "")</f>
        <v>Ali.nurmoko@gmail.com</v>
      </c>
      <c r="G1681" s="1" t="str" cm="1">
        <f t="array" ref="G1681">_xlfn.XLOOKUP(D1681&amp;C1681, Sheet2!$A$2:$A$558&amp;Sheet2!$B$2:$B$558, Sheet2!$C$2:$C$558, "")</f>
        <v/>
      </c>
      <c r="H1681" s="40" t="str">
        <f t="shared" si="26"/>
        <v>Ali.nurmoko@gmail.com</v>
      </c>
    </row>
    <row r="1682" spans="1:8" ht="15.5" x14ac:dyDescent="0.35">
      <c r="A1682" s="7">
        <v>1681</v>
      </c>
      <c r="B1682" s="12">
        <v>27327</v>
      </c>
      <c r="C1682" s="13" t="s">
        <v>1673</v>
      </c>
      <c r="D1682" s="12" t="s">
        <v>1488</v>
      </c>
      <c r="E1682" s="10">
        <v>2007</v>
      </c>
      <c r="F1682" s="36" t="str" cm="1">
        <f t="array" ref="F1682">_xlfn.XLOOKUP(D1682&amp;C1682, Sheet3!$C$2:$C$1224&amp;Sheet3!$B$2:$B$1224, Sheet3!$D$2:$D$1224, "")</f>
        <v>marthalina_in@yahoo.com</v>
      </c>
      <c r="G1682" s="1" t="str" cm="1">
        <f t="array" ref="G1682">_xlfn.XLOOKUP(D1682&amp;C1682, Sheet2!$A$2:$A$558&amp;Sheet2!$B$2:$B$558, Sheet2!$C$2:$C$558, "")</f>
        <v/>
      </c>
      <c r="H1682" s="40" t="str">
        <f t="shared" si="26"/>
        <v>marthalina_in@yahoo.com</v>
      </c>
    </row>
    <row r="1683" spans="1:8" ht="15.5" x14ac:dyDescent="0.35">
      <c r="A1683" s="7">
        <v>1682</v>
      </c>
      <c r="B1683" s="12">
        <v>27368</v>
      </c>
      <c r="C1683" s="13" t="s">
        <v>1674</v>
      </c>
      <c r="D1683" s="12" t="s">
        <v>1488</v>
      </c>
      <c r="E1683" s="10">
        <v>2007</v>
      </c>
      <c r="F1683" s="36" t="str" cm="1">
        <f t="array" ref="F1683">_xlfn.XLOOKUP(D1683&amp;C1683, Sheet3!$C$2:$C$1224&amp;Sheet3!$B$2:$B$1224, Sheet3!$D$2:$D$1224, "")</f>
        <v/>
      </c>
      <c r="G1683" s="1" t="str" cm="1">
        <f t="array" ref="G1683">_xlfn.XLOOKUP(D1683&amp;C1683, Sheet2!$A$2:$A$558&amp;Sheet2!$B$2:$B$558, Sheet2!$C$2:$C$558, "")</f>
        <v/>
      </c>
      <c r="H1683" s="40" t="str">
        <f t="shared" si="26"/>
        <v/>
      </c>
    </row>
    <row r="1684" spans="1:8" ht="15.5" x14ac:dyDescent="0.35">
      <c r="A1684" s="7">
        <v>1683</v>
      </c>
      <c r="B1684" s="12">
        <v>22447</v>
      </c>
      <c r="C1684" s="11" t="s">
        <v>1675</v>
      </c>
      <c r="D1684" s="12" t="s">
        <v>1077</v>
      </c>
      <c r="E1684" s="10">
        <v>2007</v>
      </c>
      <c r="F1684" s="36" t="str" cm="1">
        <f t="array" ref="F1684">_xlfn.XLOOKUP(D1684&amp;C1684, Sheet3!$C$2:$C$1224&amp;Sheet3!$B$2:$B$1224, Sheet3!$D$2:$D$1224, "")</f>
        <v/>
      </c>
      <c r="G1684" s="1" t="str" cm="1">
        <f t="array" ref="G1684">_xlfn.XLOOKUP(D1684&amp;C1684, Sheet2!$A$2:$A$558&amp;Sheet2!$B$2:$B$558, Sheet2!$C$2:$C$558, "")</f>
        <v>tyo.esdm@gmail.com</v>
      </c>
      <c r="H1684" s="40" t="str">
        <f t="shared" si="26"/>
        <v>tyo.esdm@gmail.com</v>
      </c>
    </row>
    <row r="1685" spans="1:8" ht="15.5" x14ac:dyDescent="0.35">
      <c r="A1685" s="7">
        <v>1684</v>
      </c>
      <c r="B1685" s="12">
        <v>26073</v>
      </c>
      <c r="C1685" s="11" t="s">
        <v>1676</v>
      </c>
      <c r="D1685" s="12" t="s">
        <v>1487</v>
      </c>
      <c r="E1685" s="10">
        <v>2007</v>
      </c>
      <c r="F1685" s="36" t="str" cm="1">
        <f t="array" ref="F1685">_xlfn.XLOOKUP(D1685&amp;C1685, Sheet3!$C$2:$C$1224&amp;Sheet3!$B$2:$B$1224, Sheet3!$D$2:$D$1224, "")</f>
        <v/>
      </c>
      <c r="G1685" s="1" t="str" cm="1">
        <f t="array" ref="G1685">_xlfn.XLOOKUP(D1685&amp;C1685, Sheet2!$A$2:$A$558&amp;Sheet2!$B$2:$B$558, Sheet2!$C$2:$C$558, "")</f>
        <v>dyera.manik@gmail.com</v>
      </c>
      <c r="H1685" s="40" t="str">
        <f t="shared" si="26"/>
        <v>dyera.manik@gmail.com</v>
      </c>
    </row>
    <row r="1686" spans="1:8" ht="15.5" x14ac:dyDescent="0.35">
      <c r="A1686" s="7">
        <v>1685</v>
      </c>
      <c r="B1686" s="12">
        <v>26104</v>
      </c>
      <c r="C1686" s="11" t="s">
        <v>1677</v>
      </c>
      <c r="D1686" s="12" t="s">
        <v>1487</v>
      </c>
      <c r="E1686" s="10">
        <v>2007</v>
      </c>
      <c r="F1686" s="36" t="str" cm="1">
        <f t="array" ref="F1686">_xlfn.XLOOKUP(D1686&amp;C1686, Sheet3!$C$2:$C$1224&amp;Sheet3!$B$2:$B$1224, Sheet3!$D$2:$D$1224, "")</f>
        <v>endah2001geodesi@gmail.com</v>
      </c>
      <c r="G1686" s="1" t="str" cm="1">
        <f t="array" ref="G1686">_xlfn.XLOOKUP(D1686&amp;C1686, Sheet2!$A$2:$A$558&amp;Sheet2!$B$2:$B$558, Sheet2!$C$2:$C$558, "")</f>
        <v/>
      </c>
      <c r="H1686" s="40" t="str">
        <f t="shared" si="26"/>
        <v>endah2001geodesi@gmail.com</v>
      </c>
    </row>
    <row r="1687" spans="1:8" ht="15.5" x14ac:dyDescent="0.35">
      <c r="A1687" s="7">
        <v>1686</v>
      </c>
      <c r="B1687" s="12">
        <v>26115</v>
      </c>
      <c r="C1687" s="11" t="s">
        <v>1678</v>
      </c>
      <c r="D1687" s="12" t="s">
        <v>1487</v>
      </c>
      <c r="E1687" s="10">
        <v>2007</v>
      </c>
      <c r="F1687" s="36" t="str" cm="1">
        <f t="array" ref="F1687">_xlfn.XLOOKUP(D1687&amp;C1687, Sheet3!$C$2:$C$1224&amp;Sheet3!$B$2:$B$1224, Sheet3!$D$2:$D$1224, "")</f>
        <v/>
      </c>
      <c r="G1687" s="1" t="str" cm="1">
        <f t="array" ref="G1687">_xlfn.XLOOKUP(D1687&amp;C1687, Sheet2!$A$2:$A$558&amp;Sheet2!$B$2:$B$558, Sheet2!$C$2:$C$558, "")</f>
        <v/>
      </c>
      <c r="H1687" s="40" t="str">
        <f t="shared" si="26"/>
        <v/>
      </c>
    </row>
    <row r="1688" spans="1:8" ht="15.5" x14ac:dyDescent="0.35">
      <c r="A1688" s="7">
        <v>1687</v>
      </c>
      <c r="B1688" s="12">
        <v>26151</v>
      </c>
      <c r="C1688" s="11" t="s">
        <v>1679</v>
      </c>
      <c r="D1688" s="12" t="s">
        <v>1487</v>
      </c>
      <c r="E1688" s="10">
        <v>2007</v>
      </c>
      <c r="F1688" s="36" t="str" cm="1">
        <f t="array" ref="F1688">_xlfn.XLOOKUP(D1688&amp;C1688, Sheet3!$C$2:$C$1224&amp;Sheet3!$B$2:$B$1224, Sheet3!$D$2:$D$1224, "")</f>
        <v/>
      </c>
      <c r="G1688" s="1" t="str" cm="1">
        <f t="array" ref="G1688">_xlfn.XLOOKUP(D1688&amp;C1688, Sheet2!$A$2:$A$558&amp;Sheet2!$B$2:$B$558, Sheet2!$C$2:$C$558, "")</f>
        <v/>
      </c>
      <c r="H1688" s="40" t="str">
        <f t="shared" si="26"/>
        <v/>
      </c>
    </row>
    <row r="1689" spans="1:8" ht="15.5" x14ac:dyDescent="0.35">
      <c r="A1689" s="7">
        <v>1688</v>
      </c>
      <c r="B1689" s="12">
        <v>26606</v>
      </c>
      <c r="C1689" s="11" t="s">
        <v>1680</v>
      </c>
      <c r="D1689" s="12" t="s">
        <v>1487</v>
      </c>
      <c r="E1689" s="10">
        <v>2007</v>
      </c>
      <c r="F1689" s="36" t="str" cm="1">
        <f t="array" ref="F1689">_xlfn.XLOOKUP(D1689&amp;C1689, Sheet3!$C$2:$C$1224&amp;Sheet3!$B$2:$B$1224, Sheet3!$D$2:$D$1224, "")</f>
        <v/>
      </c>
      <c r="G1689" s="1" t="str" cm="1">
        <f t="array" ref="G1689">_xlfn.XLOOKUP(D1689&amp;C1689, Sheet2!$A$2:$A$558&amp;Sheet2!$B$2:$B$558, Sheet2!$C$2:$C$558, "")</f>
        <v>puspodwinugroho@gmail.com</v>
      </c>
      <c r="H1689" s="40" t="str">
        <f t="shared" si="26"/>
        <v>puspodwinugroho@gmail.com</v>
      </c>
    </row>
    <row r="1690" spans="1:8" ht="15.5" x14ac:dyDescent="0.35">
      <c r="A1690" s="7">
        <v>1689</v>
      </c>
      <c r="B1690" s="12">
        <v>26634</v>
      </c>
      <c r="C1690" s="11" t="s">
        <v>1681</v>
      </c>
      <c r="D1690" s="12" t="s">
        <v>1487</v>
      </c>
      <c r="E1690" s="10">
        <v>2007</v>
      </c>
      <c r="F1690" s="36" t="str" cm="1">
        <f t="array" ref="F1690">_xlfn.XLOOKUP(D1690&amp;C1690, Sheet3!$C$2:$C$1224&amp;Sheet3!$B$2:$B$1224, Sheet3!$D$2:$D$1224, "")</f>
        <v/>
      </c>
      <c r="G1690" s="1" t="str" cm="1">
        <f t="array" ref="G1690">_xlfn.XLOOKUP(D1690&amp;C1690, Sheet2!$A$2:$A$558&amp;Sheet2!$B$2:$B$558, Sheet2!$C$2:$C$558, "")</f>
        <v/>
      </c>
      <c r="H1690" s="40" t="str">
        <f t="shared" si="26"/>
        <v/>
      </c>
    </row>
    <row r="1691" spans="1:8" ht="15.5" x14ac:dyDescent="0.35">
      <c r="A1691" s="7">
        <v>1690</v>
      </c>
      <c r="B1691" s="12">
        <v>27084</v>
      </c>
      <c r="C1691" s="11" t="s">
        <v>1682</v>
      </c>
      <c r="D1691" s="12" t="s">
        <v>1488</v>
      </c>
      <c r="E1691" s="10">
        <v>2007</v>
      </c>
      <c r="F1691" s="36" t="str" cm="1">
        <f t="array" ref="F1691">_xlfn.XLOOKUP(D1691&amp;C1691, Sheet3!$C$2:$C$1224&amp;Sheet3!$B$2:$B$1224, Sheet3!$D$2:$D$1224, "")</f>
        <v/>
      </c>
      <c r="G1691" s="1" t="str" cm="1">
        <f t="array" ref="G1691">_xlfn.XLOOKUP(D1691&amp;C1691, Sheet2!$A$2:$A$558&amp;Sheet2!$B$2:$B$558, Sheet2!$C$2:$C$558, "")</f>
        <v/>
      </c>
      <c r="H1691" s="40" t="str">
        <f t="shared" si="26"/>
        <v/>
      </c>
    </row>
    <row r="1692" spans="1:8" ht="15.5" x14ac:dyDescent="0.35">
      <c r="A1692" s="7">
        <v>1691</v>
      </c>
      <c r="B1692" s="12">
        <v>27130</v>
      </c>
      <c r="C1692" s="11" t="s">
        <v>1683</v>
      </c>
      <c r="D1692" s="12" t="s">
        <v>1488</v>
      </c>
      <c r="E1692" s="10">
        <v>2007</v>
      </c>
      <c r="F1692" s="36" t="str" cm="1">
        <f t="array" ref="F1692">_xlfn.XLOOKUP(D1692&amp;C1692, Sheet3!$C$2:$C$1224&amp;Sheet3!$B$2:$B$1224, Sheet3!$D$2:$D$1224, "")</f>
        <v>king.abdoel.02@gmail.com</v>
      </c>
      <c r="G1692" s="1" t="str" cm="1">
        <f t="array" ref="G1692">_xlfn.XLOOKUP(D1692&amp;C1692, Sheet2!$A$2:$A$558&amp;Sheet2!$B$2:$B$558, Sheet2!$C$2:$C$558, "")</f>
        <v/>
      </c>
      <c r="H1692" s="40" t="str">
        <f t="shared" si="26"/>
        <v>king.abdoel.02@gmail.com</v>
      </c>
    </row>
    <row r="1693" spans="1:8" ht="15.5" x14ac:dyDescent="0.35">
      <c r="A1693" s="7">
        <v>1692</v>
      </c>
      <c r="B1693" s="12">
        <v>27254</v>
      </c>
      <c r="C1693" s="11" t="s">
        <v>1684</v>
      </c>
      <c r="D1693" s="12" t="s">
        <v>1488</v>
      </c>
      <c r="E1693" s="10">
        <v>2007</v>
      </c>
      <c r="F1693" s="36" t="str" cm="1">
        <f t="array" ref="F1693">_xlfn.XLOOKUP(D1693&amp;C1693, Sheet3!$C$2:$C$1224&amp;Sheet3!$B$2:$B$1224, Sheet3!$D$2:$D$1224, "")</f>
        <v/>
      </c>
      <c r="G1693" s="1" t="str" cm="1">
        <f t="array" ref="G1693">_xlfn.XLOOKUP(D1693&amp;C1693, Sheet2!$A$2:$A$558&amp;Sheet2!$B$2:$B$558, Sheet2!$C$2:$C$558, "")</f>
        <v/>
      </c>
      <c r="H1693" s="40" t="str">
        <f t="shared" si="26"/>
        <v/>
      </c>
    </row>
    <row r="1694" spans="1:8" ht="15.5" x14ac:dyDescent="0.35">
      <c r="A1694" s="7">
        <v>1693</v>
      </c>
      <c r="B1694" s="12">
        <v>27296</v>
      </c>
      <c r="C1694" s="11" t="s">
        <v>1685</v>
      </c>
      <c r="D1694" s="12" t="s">
        <v>1488</v>
      </c>
      <c r="E1694" s="10">
        <v>2007</v>
      </c>
      <c r="F1694" s="36" t="str" cm="1">
        <f t="array" ref="F1694">_xlfn.XLOOKUP(D1694&amp;C1694, Sheet3!$C$2:$C$1224&amp;Sheet3!$B$2:$B$1224, Sheet3!$D$2:$D$1224, "")</f>
        <v>astur.kurniawan@gmail.com</v>
      </c>
      <c r="G1694" s="1" t="str" cm="1">
        <f t="array" ref="G1694">_xlfn.XLOOKUP(D1694&amp;C1694, Sheet2!$A$2:$A$558&amp;Sheet2!$B$2:$B$558, Sheet2!$C$2:$C$558, "")</f>
        <v/>
      </c>
      <c r="H1694" s="40" t="str">
        <f t="shared" si="26"/>
        <v>astur.kurniawan@gmail.com</v>
      </c>
    </row>
    <row r="1695" spans="1:8" ht="15.5" x14ac:dyDescent="0.35">
      <c r="A1695" s="7">
        <v>1694</v>
      </c>
      <c r="B1695" s="12">
        <v>27534</v>
      </c>
      <c r="C1695" s="11" t="s">
        <v>1686</v>
      </c>
      <c r="D1695" s="12" t="s">
        <v>1488</v>
      </c>
      <c r="E1695" s="10">
        <v>2007</v>
      </c>
      <c r="F1695" s="36" t="str" cm="1">
        <f t="array" ref="F1695">_xlfn.XLOOKUP(D1695&amp;C1695, Sheet3!$C$2:$C$1224&amp;Sheet3!$B$2:$B$1224, Sheet3!$D$2:$D$1224, "")</f>
        <v/>
      </c>
      <c r="G1695" s="1" t="str" cm="1">
        <f t="array" ref="G1695">_xlfn.XLOOKUP(D1695&amp;C1695, Sheet2!$A$2:$A$558&amp;Sheet2!$B$2:$B$558, Sheet2!$C$2:$C$558, "")</f>
        <v/>
      </c>
      <c r="H1695" s="40" t="str">
        <f t="shared" si="26"/>
        <v/>
      </c>
    </row>
    <row r="1696" spans="1:8" ht="15.5" x14ac:dyDescent="0.35">
      <c r="A1696" s="7">
        <v>1695</v>
      </c>
      <c r="B1696" s="12">
        <v>27572</v>
      </c>
      <c r="C1696" s="11" t="s">
        <v>1687</v>
      </c>
      <c r="D1696" s="12" t="s">
        <v>1488</v>
      </c>
      <c r="E1696" s="10">
        <v>2007</v>
      </c>
      <c r="F1696" s="36" t="str" cm="1">
        <f t="array" ref="F1696">_xlfn.XLOOKUP(D1696&amp;C1696, Sheet3!$C$2:$C$1224&amp;Sheet3!$B$2:$B$1224, Sheet3!$D$2:$D$1224, "")</f>
        <v/>
      </c>
      <c r="G1696" s="1" t="str" cm="1">
        <f t="array" ref="G1696">_xlfn.XLOOKUP(D1696&amp;C1696, Sheet2!$A$2:$A$558&amp;Sheet2!$B$2:$B$558, Sheet2!$C$2:$C$558, "")</f>
        <v/>
      </c>
      <c r="H1696" s="40" t="str">
        <f t="shared" si="26"/>
        <v/>
      </c>
    </row>
    <row r="1697" spans="1:8" ht="15.5" x14ac:dyDescent="0.35">
      <c r="A1697" s="7">
        <v>1696</v>
      </c>
      <c r="B1697" s="12">
        <v>28484</v>
      </c>
      <c r="C1697" s="11" t="s">
        <v>1688</v>
      </c>
      <c r="D1697" s="12" t="s">
        <v>1489</v>
      </c>
      <c r="E1697" s="10">
        <v>2007</v>
      </c>
      <c r="F1697" s="36" t="str" cm="1">
        <f t="array" ref="F1697">_xlfn.XLOOKUP(D1697&amp;C1697, Sheet3!$C$2:$C$1224&amp;Sheet3!$B$2:$B$1224, Sheet3!$D$2:$D$1224, "")</f>
        <v/>
      </c>
      <c r="G1697" s="1" t="str" cm="1">
        <f t="array" ref="G1697">_xlfn.XLOOKUP(D1697&amp;C1697, Sheet2!$A$2:$A$558&amp;Sheet2!$B$2:$B$558, Sheet2!$C$2:$C$558, "")</f>
        <v/>
      </c>
      <c r="H1697" s="40" t="str">
        <f t="shared" si="26"/>
        <v/>
      </c>
    </row>
    <row r="1698" spans="1:8" ht="15.5" x14ac:dyDescent="0.35">
      <c r="A1698" s="7">
        <v>1697</v>
      </c>
      <c r="B1698" s="12">
        <v>28660</v>
      </c>
      <c r="C1698" s="11" t="s">
        <v>1689</v>
      </c>
      <c r="D1698" s="12" t="s">
        <v>1489</v>
      </c>
      <c r="E1698" s="10">
        <v>2007</v>
      </c>
      <c r="F1698" s="36" t="str" cm="1">
        <f t="array" ref="F1698">_xlfn.XLOOKUP(D1698&amp;C1698, Sheet3!$C$2:$C$1224&amp;Sheet3!$B$2:$B$1224, Sheet3!$D$2:$D$1224, "")</f>
        <v>verbhakov@gmail.com</v>
      </c>
      <c r="G1698" s="1" t="str" cm="1">
        <f t="array" ref="G1698">_xlfn.XLOOKUP(D1698&amp;C1698, Sheet2!$A$2:$A$558&amp;Sheet2!$B$2:$B$558, Sheet2!$C$2:$C$558, "")</f>
        <v>verbhakov@gmail.com</v>
      </c>
      <c r="H1698" s="40" t="str">
        <f t="shared" si="26"/>
        <v>verbhakov@gmail.com</v>
      </c>
    </row>
    <row r="1699" spans="1:8" ht="15.5" x14ac:dyDescent="0.35">
      <c r="A1699" s="7">
        <v>1698</v>
      </c>
      <c r="B1699" s="12">
        <v>29118</v>
      </c>
      <c r="C1699" s="11" t="s">
        <v>3566</v>
      </c>
      <c r="D1699" s="12" t="s">
        <v>1489</v>
      </c>
      <c r="E1699" s="10">
        <v>2007</v>
      </c>
      <c r="F1699" s="36" t="str" cm="1">
        <f t="array" ref="F1699">_xlfn.XLOOKUP(D1699&amp;C1699, Sheet3!$C$2:$C$1224&amp;Sheet3!$B$2:$B$1224, Sheet3!$D$2:$D$1224, "")</f>
        <v>nkesumaputri@gmail.com</v>
      </c>
      <c r="G1699" s="1" t="str" cm="1">
        <f t="array" ref="G1699">_xlfn.XLOOKUP(D1699&amp;C1699, Sheet2!$A$2:$A$558&amp;Sheet2!$B$2:$B$558, Sheet2!$C$2:$C$558, "")</f>
        <v>nkesumaputri@gmail.com</v>
      </c>
      <c r="H1699" s="40" t="str">
        <f t="shared" si="26"/>
        <v>nkesumaputri@gmail.com</v>
      </c>
    </row>
    <row r="1700" spans="1:8" ht="15.5" x14ac:dyDescent="0.35">
      <c r="A1700" s="7">
        <v>1699</v>
      </c>
      <c r="B1700" s="12">
        <v>29194</v>
      </c>
      <c r="C1700" s="11" t="s">
        <v>1690</v>
      </c>
      <c r="D1700" s="12" t="s">
        <v>1489</v>
      </c>
      <c r="E1700" s="10">
        <v>2007</v>
      </c>
      <c r="F1700" s="36" t="str" cm="1">
        <f t="array" ref="F1700">_xlfn.XLOOKUP(D1700&amp;C1700, Sheet3!$C$2:$C$1224&amp;Sheet3!$B$2:$B$1224, Sheet3!$D$2:$D$1224, "")</f>
        <v>reni.swasti@gmail.com</v>
      </c>
      <c r="G1700" s="1" t="str" cm="1">
        <f t="array" ref="G1700">_xlfn.XLOOKUP(D1700&amp;C1700, Sheet2!$A$2:$A$558&amp;Sheet2!$B$2:$B$558, Sheet2!$C$2:$C$558, "")</f>
        <v/>
      </c>
      <c r="H1700" s="40" t="str">
        <f t="shared" si="26"/>
        <v>reni.swasti@gmail.com</v>
      </c>
    </row>
    <row r="1701" spans="1:8" ht="15.5" x14ac:dyDescent="0.35">
      <c r="A1701" s="7">
        <v>1700</v>
      </c>
      <c r="B1701" s="12">
        <v>28066</v>
      </c>
      <c r="C1701" s="11" t="s">
        <v>1691</v>
      </c>
      <c r="D1701" s="12" t="s">
        <v>1489</v>
      </c>
      <c r="E1701" s="10">
        <v>2007</v>
      </c>
      <c r="F1701" s="36" t="str" cm="1">
        <f t="array" ref="F1701">_xlfn.XLOOKUP(D1701&amp;C1701, Sheet3!$C$2:$C$1224&amp;Sheet3!$B$2:$B$1224, Sheet3!$D$2:$D$1224, "")</f>
        <v>Ita.dkisworini@gmail.com</v>
      </c>
      <c r="G1701" s="1" t="str" cm="1">
        <f t="array" ref="G1701">_xlfn.XLOOKUP(D1701&amp;C1701, Sheet2!$A$2:$A$558&amp;Sheet2!$B$2:$B$558, Sheet2!$C$2:$C$558, "")</f>
        <v/>
      </c>
      <c r="H1701" s="40" t="str">
        <f t="shared" si="26"/>
        <v>Ita.dkisworini@gmail.com</v>
      </c>
    </row>
    <row r="1702" spans="1:8" ht="15.5" x14ac:dyDescent="0.35">
      <c r="A1702" s="7">
        <v>1701</v>
      </c>
      <c r="B1702" s="12">
        <v>26629</v>
      </c>
      <c r="C1702" s="11" t="s">
        <v>1692</v>
      </c>
      <c r="D1702" s="12" t="s">
        <v>1487</v>
      </c>
      <c r="E1702" s="10">
        <v>2007</v>
      </c>
      <c r="F1702" s="36" t="str" cm="1">
        <f t="array" ref="F1702">_xlfn.XLOOKUP(D1702&amp;C1702, Sheet3!$C$2:$C$1224&amp;Sheet3!$B$2:$B$1224, Sheet3!$D$2:$D$1224, "")</f>
        <v/>
      </c>
      <c r="G1702" s="1" t="str" cm="1">
        <f t="array" ref="G1702">_xlfn.XLOOKUP(D1702&amp;C1702, Sheet2!$A$2:$A$558&amp;Sheet2!$B$2:$B$558, Sheet2!$C$2:$C$558, "")</f>
        <v/>
      </c>
      <c r="H1702" s="40" t="str">
        <f t="shared" si="26"/>
        <v/>
      </c>
    </row>
    <row r="1703" spans="1:8" ht="15.5" x14ac:dyDescent="0.35">
      <c r="A1703" s="7">
        <v>1702</v>
      </c>
      <c r="B1703" s="12">
        <v>22444</v>
      </c>
      <c r="C1703" s="11" t="s">
        <v>1693</v>
      </c>
      <c r="D1703" s="12" t="s">
        <v>1077</v>
      </c>
      <c r="E1703" s="10">
        <v>2007</v>
      </c>
      <c r="F1703" s="36" t="str" cm="1">
        <f t="array" ref="F1703">_xlfn.XLOOKUP(D1703&amp;C1703, Sheet3!$C$2:$C$1224&amp;Sheet3!$B$2:$B$1224, Sheet3!$D$2:$D$1224, "")</f>
        <v/>
      </c>
      <c r="G1703" s="1" t="str" cm="1">
        <f t="array" ref="G1703">_xlfn.XLOOKUP(D1703&amp;C1703, Sheet2!$A$2:$A$558&amp;Sheet2!$B$2:$B$558, Sheet2!$C$2:$C$558, "")</f>
        <v>john.dpmunthe@bukitmakmur.com</v>
      </c>
      <c r="H1703" s="40" t="str">
        <f t="shared" si="26"/>
        <v>john.dpmunthe@bukitmakmur.com</v>
      </c>
    </row>
    <row r="1704" spans="1:8" ht="15.5" x14ac:dyDescent="0.35">
      <c r="A1704" s="7">
        <v>1703</v>
      </c>
      <c r="B1704" s="12">
        <v>26555</v>
      </c>
      <c r="C1704" s="11" t="s">
        <v>1694</v>
      </c>
      <c r="D1704" s="12" t="s">
        <v>1487</v>
      </c>
      <c r="E1704" s="10">
        <v>2007</v>
      </c>
      <c r="F1704" s="36" t="str" cm="1">
        <f t="array" ref="F1704">_xlfn.XLOOKUP(D1704&amp;C1704, Sheet3!$C$2:$C$1224&amp;Sheet3!$B$2:$B$1224, Sheet3!$D$2:$D$1224, "")</f>
        <v/>
      </c>
      <c r="G1704" s="1" t="str" cm="1">
        <f t="array" ref="G1704">_xlfn.XLOOKUP(D1704&amp;C1704, Sheet2!$A$2:$A$558&amp;Sheet2!$B$2:$B$558, Sheet2!$C$2:$C$558, "")</f>
        <v>anggoro073184@gmail.com</v>
      </c>
      <c r="H1704" s="40" t="str">
        <f t="shared" si="26"/>
        <v>anggoro073184@gmail.com</v>
      </c>
    </row>
    <row r="1705" spans="1:8" ht="15.5" x14ac:dyDescent="0.35">
      <c r="A1705" s="7">
        <v>1704</v>
      </c>
      <c r="B1705" s="12">
        <v>26724</v>
      </c>
      <c r="C1705" s="11" t="s">
        <v>1695</v>
      </c>
      <c r="D1705" s="12" t="s">
        <v>1487</v>
      </c>
      <c r="E1705" s="10">
        <v>2007</v>
      </c>
      <c r="F1705" s="36" t="str" cm="1">
        <f t="array" ref="F1705">_xlfn.XLOOKUP(D1705&amp;C1705, Sheet3!$C$2:$C$1224&amp;Sheet3!$B$2:$B$1224, Sheet3!$D$2:$D$1224, "")</f>
        <v/>
      </c>
      <c r="G1705" s="1" t="str" cm="1">
        <f t="array" ref="G1705">_xlfn.XLOOKUP(D1705&amp;C1705, Sheet2!$A$2:$A$558&amp;Sheet2!$B$2:$B$558, Sheet2!$C$2:$C$558, "")</f>
        <v>ristantoadi@gmail.com</v>
      </c>
      <c r="H1705" s="40" t="str">
        <f t="shared" si="26"/>
        <v>ristantoadi@gmail.com</v>
      </c>
    </row>
    <row r="1706" spans="1:8" ht="15.5" x14ac:dyDescent="0.35">
      <c r="A1706" s="7">
        <v>1705</v>
      </c>
      <c r="B1706" s="12">
        <v>27230</v>
      </c>
      <c r="C1706" s="11" t="s">
        <v>1696</v>
      </c>
      <c r="D1706" s="12" t="s">
        <v>1488</v>
      </c>
      <c r="E1706" s="10">
        <v>2007</v>
      </c>
      <c r="F1706" s="36" t="str" cm="1">
        <f t="array" ref="F1706">_xlfn.XLOOKUP(D1706&amp;C1706, Sheet3!$C$2:$C$1224&amp;Sheet3!$B$2:$B$1224, Sheet3!$D$2:$D$1224, "")</f>
        <v/>
      </c>
      <c r="G1706" s="1" t="str" cm="1">
        <f t="array" ref="G1706">_xlfn.XLOOKUP(D1706&amp;C1706, Sheet2!$A$2:$A$558&amp;Sheet2!$B$2:$B$558, Sheet2!$C$2:$C$558, "")</f>
        <v/>
      </c>
      <c r="H1706" s="40" t="str">
        <f t="shared" si="26"/>
        <v/>
      </c>
    </row>
    <row r="1707" spans="1:8" ht="15.5" x14ac:dyDescent="0.35">
      <c r="A1707" s="7">
        <v>1706</v>
      </c>
      <c r="B1707" s="12">
        <v>27360</v>
      </c>
      <c r="C1707" s="11" t="s">
        <v>1697</v>
      </c>
      <c r="D1707" s="12" t="s">
        <v>1488</v>
      </c>
      <c r="E1707" s="10">
        <v>2007</v>
      </c>
      <c r="F1707" s="36" t="str" cm="1">
        <f t="array" ref="F1707">_xlfn.XLOOKUP(D1707&amp;C1707, Sheet3!$C$2:$C$1224&amp;Sheet3!$B$2:$B$1224, Sheet3!$D$2:$D$1224, "")</f>
        <v>hermawan.tgd02@gmail.com</v>
      </c>
      <c r="G1707" s="1" t="str" cm="1">
        <f t="array" ref="G1707">_xlfn.XLOOKUP(D1707&amp;C1707, Sheet2!$A$2:$A$558&amp;Sheet2!$B$2:$B$558, Sheet2!$C$2:$C$558, "")</f>
        <v/>
      </c>
      <c r="H1707" s="40" t="str">
        <f t="shared" si="26"/>
        <v>hermawan.tgd02@gmail.com</v>
      </c>
    </row>
    <row r="1708" spans="1:8" ht="15.5" x14ac:dyDescent="0.35">
      <c r="A1708" s="7">
        <v>1707</v>
      </c>
      <c r="B1708" s="12">
        <v>27446</v>
      </c>
      <c r="C1708" s="11" t="s">
        <v>1698</v>
      </c>
      <c r="D1708" s="12" t="s">
        <v>1488</v>
      </c>
      <c r="E1708" s="10">
        <v>2007</v>
      </c>
      <c r="F1708" s="36" t="str" cm="1">
        <f t="array" ref="F1708">_xlfn.XLOOKUP(D1708&amp;C1708, Sheet3!$C$2:$C$1224&amp;Sheet3!$B$2:$B$1224, Sheet3!$D$2:$D$1224, "")</f>
        <v>alfandipramandaru@gmail.com</v>
      </c>
      <c r="G1708" s="1" t="str" cm="1">
        <f t="array" ref="G1708">_xlfn.XLOOKUP(D1708&amp;C1708, Sheet2!$A$2:$A$558&amp;Sheet2!$B$2:$B$558, Sheet2!$C$2:$C$558, "")</f>
        <v/>
      </c>
      <c r="H1708" s="40" t="str">
        <f t="shared" si="26"/>
        <v>alfandipramandaru@gmail.com</v>
      </c>
    </row>
    <row r="1709" spans="1:8" ht="15.5" x14ac:dyDescent="0.35">
      <c r="A1709" s="7">
        <v>1708</v>
      </c>
      <c r="B1709" s="12">
        <v>27880</v>
      </c>
      <c r="C1709" s="11" t="s">
        <v>1699</v>
      </c>
      <c r="D1709" s="12" t="s">
        <v>1488</v>
      </c>
      <c r="E1709" s="10">
        <v>2007</v>
      </c>
      <c r="F1709" s="36" t="str" cm="1">
        <f t="array" ref="F1709">_xlfn.XLOOKUP(D1709&amp;C1709, Sheet3!$C$2:$C$1224&amp;Sheet3!$B$2:$B$1224, Sheet3!$D$2:$D$1224, "")</f>
        <v/>
      </c>
      <c r="G1709" s="1" t="str" cm="1">
        <f t="array" ref="G1709">_xlfn.XLOOKUP(D1709&amp;C1709, Sheet2!$A$2:$A$558&amp;Sheet2!$B$2:$B$558, Sheet2!$C$2:$C$558, "")</f>
        <v/>
      </c>
      <c r="H1709" s="40" t="str">
        <f t="shared" si="26"/>
        <v/>
      </c>
    </row>
    <row r="1710" spans="1:8" ht="15.5" x14ac:dyDescent="0.35">
      <c r="A1710" s="7">
        <v>1709</v>
      </c>
      <c r="B1710" s="12">
        <v>27923</v>
      </c>
      <c r="C1710" s="11" t="s">
        <v>1700</v>
      </c>
      <c r="D1710" s="12" t="s">
        <v>1489</v>
      </c>
      <c r="E1710" s="10">
        <v>2007</v>
      </c>
      <c r="F1710" s="36" t="str" cm="1">
        <f t="array" ref="F1710">_xlfn.XLOOKUP(D1710&amp;C1710, Sheet3!$C$2:$C$1224&amp;Sheet3!$B$2:$B$1224, Sheet3!$D$2:$D$1224, "")</f>
        <v/>
      </c>
      <c r="G1710" s="1" t="str" cm="1">
        <f t="array" ref="G1710">_xlfn.XLOOKUP(D1710&amp;C1710, Sheet2!$A$2:$A$558&amp;Sheet2!$B$2:$B$558, Sheet2!$C$2:$C$558, "")</f>
        <v/>
      </c>
      <c r="H1710" s="40" t="str">
        <f t="shared" si="26"/>
        <v/>
      </c>
    </row>
    <row r="1711" spans="1:8" ht="15.5" x14ac:dyDescent="0.35">
      <c r="A1711" s="7">
        <v>1710</v>
      </c>
      <c r="B1711" s="12">
        <v>28068</v>
      </c>
      <c r="C1711" s="11" t="s">
        <v>1701</v>
      </c>
      <c r="D1711" s="12" t="s">
        <v>1489</v>
      </c>
      <c r="E1711" s="10">
        <v>2007</v>
      </c>
      <c r="F1711" s="36" t="str" cm="1">
        <f t="array" ref="F1711">_xlfn.XLOOKUP(D1711&amp;C1711, Sheet3!$C$2:$C$1224&amp;Sheet3!$B$2:$B$1224, Sheet3!$D$2:$D$1224, "")</f>
        <v/>
      </c>
      <c r="G1711" s="1" t="str" cm="1">
        <f t="array" ref="G1711">_xlfn.XLOOKUP(D1711&amp;C1711, Sheet2!$A$2:$A$558&amp;Sheet2!$B$2:$B$558, Sheet2!$C$2:$C$558, "")</f>
        <v/>
      </c>
      <c r="H1711" s="40" t="str">
        <f t="shared" si="26"/>
        <v/>
      </c>
    </row>
    <row r="1712" spans="1:8" ht="15.5" x14ac:dyDescent="0.35">
      <c r="A1712" s="7">
        <v>1711</v>
      </c>
      <c r="B1712" s="12">
        <v>28506</v>
      </c>
      <c r="C1712" s="11" t="s">
        <v>1702</v>
      </c>
      <c r="D1712" s="12" t="s">
        <v>1489</v>
      </c>
      <c r="E1712" s="10">
        <v>2007</v>
      </c>
      <c r="F1712" s="36" t="str" cm="1">
        <f t="array" ref="F1712">_xlfn.XLOOKUP(D1712&amp;C1712, Sheet3!$C$2:$C$1224&amp;Sheet3!$B$2:$B$1224, Sheet3!$D$2:$D$1224, "")</f>
        <v>ndkurniati@gmail.com</v>
      </c>
      <c r="G1712" s="1" t="str" cm="1">
        <f t="array" ref="G1712">_xlfn.XLOOKUP(D1712&amp;C1712, Sheet2!$A$2:$A$558&amp;Sheet2!$B$2:$B$558, Sheet2!$C$2:$C$558, "")</f>
        <v>ndkurniati@gmail.com</v>
      </c>
      <c r="H1712" s="40" t="str">
        <f t="shared" si="26"/>
        <v>ndkurniati@gmail.com</v>
      </c>
    </row>
    <row r="1713" spans="1:8" ht="15.5" x14ac:dyDescent="0.35">
      <c r="A1713" s="7">
        <v>1712</v>
      </c>
      <c r="B1713" s="12">
        <v>28954</v>
      </c>
      <c r="C1713" s="11" t="s">
        <v>1703</v>
      </c>
      <c r="D1713" s="12" t="s">
        <v>1489</v>
      </c>
      <c r="E1713" s="10">
        <v>2007</v>
      </c>
      <c r="F1713" s="36" t="str" cm="1">
        <f t="array" ref="F1713">_xlfn.XLOOKUP(D1713&amp;C1713, Sheet3!$C$2:$C$1224&amp;Sheet3!$B$2:$B$1224, Sheet3!$D$2:$D$1224, "")</f>
        <v/>
      </c>
      <c r="G1713" s="1" t="str" cm="1">
        <f t="array" ref="G1713">_xlfn.XLOOKUP(D1713&amp;C1713, Sheet2!$A$2:$A$558&amp;Sheet2!$B$2:$B$558, Sheet2!$C$2:$C$558, "")</f>
        <v>fitrarochendi@hotmail.com</v>
      </c>
      <c r="H1713" s="40" t="str">
        <f t="shared" si="26"/>
        <v>fitrarochendi@hotmail.com</v>
      </c>
    </row>
    <row r="1714" spans="1:8" ht="15.5" x14ac:dyDescent="0.35">
      <c r="A1714" s="7">
        <v>1713</v>
      </c>
      <c r="B1714" s="12">
        <v>29083</v>
      </c>
      <c r="C1714" s="11" t="s">
        <v>1704</v>
      </c>
      <c r="D1714" s="12" t="s">
        <v>1489</v>
      </c>
      <c r="E1714" s="10">
        <v>2007</v>
      </c>
      <c r="F1714" s="36" t="str" cm="1">
        <f t="array" ref="F1714">_xlfn.XLOOKUP(D1714&amp;C1714, Sheet3!$C$2:$C$1224&amp;Sheet3!$B$2:$B$1224, Sheet3!$D$2:$D$1224, "")</f>
        <v>bambang.geodet@gmail.com</v>
      </c>
      <c r="G1714" s="1" t="str" cm="1">
        <f t="array" ref="G1714">_xlfn.XLOOKUP(D1714&amp;C1714, Sheet2!$A$2:$A$558&amp;Sheet2!$B$2:$B$558, Sheet2!$C$2:$C$558, "")</f>
        <v/>
      </c>
      <c r="H1714" s="40" t="str">
        <f t="shared" si="26"/>
        <v>bambang.geodet@gmail.com</v>
      </c>
    </row>
    <row r="1715" spans="1:8" ht="15.5" x14ac:dyDescent="0.35">
      <c r="A1715" s="7">
        <v>1714</v>
      </c>
      <c r="B1715" s="12">
        <v>23736</v>
      </c>
      <c r="C1715" s="11" t="s">
        <v>1705</v>
      </c>
      <c r="D1715" s="12" t="s">
        <v>1078</v>
      </c>
      <c r="E1715" s="10">
        <v>2007</v>
      </c>
      <c r="F1715" s="36" t="str" cm="1">
        <f t="array" ref="F1715">_xlfn.XLOOKUP(D1715&amp;C1715, Sheet3!$C$2:$C$1224&amp;Sheet3!$B$2:$B$1224, Sheet3!$D$2:$D$1224, "")</f>
        <v/>
      </c>
      <c r="G1715" s="1" t="str" cm="1">
        <f t="array" ref="G1715">_xlfn.XLOOKUP(D1715&amp;C1715, Sheet2!$A$2:$A$558&amp;Sheet2!$B$2:$B$558, Sheet2!$C$2:$C$558, "")</f>
        <v/>
      </c>
      <c r="H1715" s="40" t="str">
        <f t="shared" si="26"/>
        <v/>
      </c>
    </row>
    <row r="1716" spans="1:8" ht="15.5" x14ac:dyDescent="0.35">
      <c r="A1716" s="7">
        <v>1715</v>
      </c>
      <c r="B1716" s="12">
        <v>26955</v>
      </c>
      <c r="C1716" s="11" t="s">
        <v>1706</v>
      </c>
      <c r="D1716" s="12" t="s">
        <v>1487</v>
      </c>
      <c r="E1716" s="10">
        <v>2007</v>
      </c>
      <c r="F1716" s="36" t="str" cm="1">
        <f t="array" ref="F1716">_xlfn.XLOOKUP(D1716&amp;C1716, Sheet3!$C$2:$C$1224&amp;Sheet3!$B$2:$B$1224, Sheet3!$D$2:$D$1224, "")</f>
        <v/>
      </c>
      <c r="G1716" s="1" t="str" cm="1">
        <f t="array" ref="G1716">_xlfn.XLOOKUP(D1716&amp;C1716, Sheet2!$A$2:$A$558&amp;Sheet2!$B$2:$B$558, Sheet2!$C$2:$C$558, "")</f>
        <v/>
      </c>
      <c r="H1716" s="40" t="str">
        <f t="shared" si="26"/>
        <v/>
      </c>
    </row>
    <row r="1717" spans="1:8" ht="15.5" x14ac:dyDescent="0.35">
      <c r="A1717" s="7">
        <v>1716</v>
      </c>
      <c r="B1717" s="12">
        <v>27883</v>
      </c>
      <c r="C1717" s="11" t="s">
        <v>1707</v>
      </c>
      <c r="D1717" s="12" t="s">
        <v>1488</v>
      </c>
      <c r="E1717" s="10">
        <v>2007</v>
      </c>
      <c r="F1717" s="36" t="str" cm="1">
        <f t="array" ref="F1717">_xlfn.XLOOKUP(D1717&amp;C1717, Sheet3!$C$2:$C$1224&amp;Sheet3!$B$2:$B$1224, Sheet3!$D$2:$D$1224, "")</f>
        <v/>
      </c>
      <c r="G1717" s="1" t="str" cm="1">
        <f t="array" ref="G1717">_xlfn.XLOOKUP(D1717&amp;C1717, Sheet2!$A$2:$A$558&amp;Sheet2!$B$2:$B$558, Sheet2!$C$2:$C$558, "")</f>
        <v/>
      </c>
      <c r="H1717" s="40" t="str">
        <f t="shared" si="26"/>
        <v/>
      </c>
    </row>
    <row r="1718" spans="1:8" ht="15.5" x14ac:dyDescent="0.35">
      <c r="A1718" s="7">
        <v>1717</v>
      </c>
      <c r="B1718" s="12">
        <v>28211</v>
      </c>
      <c r="C1718" s="11" t="s">
        <v>1708</v>
      </c>
      <c r="D1718" s="12" t="s">
        <v>1489</v>
      </c>
      <c r="E1718" s="10">
        <v>2007</v>
      </c>
      <c r="F1718" s="36" t="str" cm="1">
        <f t="array" ref="F1718">_xlfn.XLOOKUP(D1718&amp;C1718, Sheet3!$C$2:$C$1224&amp;Sheet3!$B$2:$B$1224, Sheet3!$D$2:$D$1224, "")</f>
        <v>chy_luhur@yahoo.com</v>
      </c>
      <c r="G1718" s="1" t="str" cm="1">
        <f t="array" ref="G1718">_xlfn.XLOOKUP(D1718&amp;C1718, Sheet2!$A$2:$A$558&amp;Sheet2!$B$2:$B$558, Sheet2!$C$2:$C$558, "")</f>
        <v>chy_luhur@yahoo.com</v>
      </c>
      <c r="H1718" s="40" t="str">
        <f t="shared" si="26"/>
        <v>chy_luhur@yahoo.com</v>
      </c>
    </row>
    <row r="1719" spans="1:8" ht="15.5" x14ac:dyDescent="0.35">
      <c r="A1719" s="7">
        <v>1718</v>
      </c>
      <c r="B1719" s="12">
        <v>27392</v>
      </c>
      <c r="C1719" s="11" t="s">
        <v>1709</v>
      </c>
      <c r="D1719" s="12" t="s">
        <v>1488</v>
      </c>
      <c r="E1719" s="10">
        <v>2008</v>
      </c>
      <c r="F1719" s="36" t="str" cm="1">
        <f t="array" ref="F1719">_xlfn.XLOOKUP(D1719&amp;C1719, Sheet3!$C$2:$C$1224&amp;Sheet3!$B$2:$B$1224, Sheet3!$D$2:$D$1224, "")</f>
        <v xml:space="preserve">adnssurv@gmail.com </v>
      </c>
      <c r="G1719" s="1" t="str" cm="1">
        <f t="array" ref="G1719">_xlfn.XLOOKUP(D1719&amp;C1719, Sheet2!$A$2:$A$558&amp;Sheet2!$B$2:$B$558, Sheet2!$C$2:$C$558, "")</f>
        <v>adnssurv@gmail.com</v>
      </c>
      <c r="H1719" s="40" t="str">
        <f t="shared" si="26"/>
        <v xml:space="preserve">adnssurv@gmail.com </v>
      </c>
    </row>
    <row r="1720" spans="1:8" ht="15.5" x14ac:dyDescent="0.35">
      <c r="A1720" s="7">
        <v>1719</v>
      </c>
      <c r="B1720" s="12">
        <v>27453</v>
      </c>
      <c r="C1720" s="11" t="s">
        <v>1710</v>
      </c>
      <c r="D1720" s="12" t="s">
        <v>1488</v>
      </c>
      <c r="E1720" s="10">
        <v>2008</v>
      </c>
      <c r="F1720" s="36" t="str" cm="1">
        <f t="array" ref="F1720">_xlfn.XLOOKUP(D1720&amp;C1720, Sheet3!$C$2:$C$1224&amp;Sheet3!$B$2:$B$1224, Sheet3!$D$2:$D$1224, "")</f>
        <v/>
      </c>
      <c r="G1720" s="1" t="str" cm="1">
        <f t="array" ref="G1720">_xlfn.XLOOKUP(D1720&amp;C1720, Sheet2!$A$2:$A$558&amp;Sheet2!$B$2:$B$558, Sheet2!$C$2:$C$558, "")</f>
        <v/>
      </c>
      <c r="H1720" s="40" t="str">
        <f t="shared" si="26"/>
        <v/>
      </c>
    </row>
    <row r="1721" spans="1:8" ht="15.5" x14ac:dyDescent="0.35">
      <c r="A1721" s="7">
        <v>1720</v>
      </c>
      <c r="B1721" s="12">
        <v>27470</v>
      </c>
      <c r="C1721" s="11" t="s">
        <v>1711</v>
      </c>
      <c r="D1721" s="12" t="s">
        <v>1488</v>
      </c>
      <c r="E1721" s="10">
        <v>2008</v>
      </c>
      <c r="F1721" s="36" t="str" cm="1">
        <f t="array" ref="F1721">_xlfn.XLOOKUP(D1721&amp;C1721, Sheet3!$C$2:$C$1224&amp;Sheet3!$B$2:$B$1224, Sheet3!$D$2:$D$1224, "")</f>
        <v>firmani.iqro@gmail.com</v>
      </c>
      <c r="G1721" s="1" t="str" cm="1">
        <f t="array" ref="G1721">_xlfn.XLOOKUP(D1721&amp;C1721, Sheet2!$A$2:$A$558&amp;Sheet2!$B$2:$B$558, Sheet2!$C$2:$C$558, "")</f>
        <v/>
      </c>
      <c r="H1721" s="40" t="str">
        <f t="shared" si="26"/>
        <v>firmani.iqro@gmail.com</v>
      </c>
    </row>
    <row r="1722" spans="1:8" ht="15.5" x14ac:dyDescent="0.35">
      <c r="A1722" s="7">
        <v>1721</v>
      </c>
      <c r="B1722" s="12">
        <v>27480</v>
      </c>
      <c r="C1722" s="11" t="s">
        <v>1712</v>
      </c>
      <c r="D1722" s="12" t="s">
        <v>1488</v>
      </c>
      <c r="E1722" s="10">
        <v>2008</v>
      </c>
      <c r="F1722" s="36" t="str" cm="1">
        <f t="array" ref="F1722">_xlfn.XLOOKUP(D1722&amp;C1722, Sheet3!$C$2:$C$1224&amp;Sheet3!$B$2:$B$1224, Sheet3!$D$2:$D$1224, "")</f>
        <v>ema.novitaningrum@gmail.com</v>
      </c>
      <c r="G1722" s="1" t="str" cm="1">
        <f t="array" ref="G1722">_xlfn.XLOOKUP(D1722&amp;C1722, Sheet2!$A$2:$A$558&amp;Sheet2!$B$2:$B$558, Sheet2!$C$2:$C$558, "")</f>
        <v/>
      </c>
      <c r="H1722" s="40" t="str">
        <f t="shared" si="26"/>
        <v>ema.novitaningrum@gmail.com</v>
      </c>
    </row>
    <row r="1723" spans="1:8" ht="15.5" x14ac:dyDescent="0.35">
      <c r="A1723" s="7">
        <v>1722</v>
      </c>
      <c r="B1723" s="12">
        <v>27528</v>
      </c>
      <c r="C1723" s="11" t="s">
        <v>1713</v>
      </c>
      <c r="D1723" s="12" t="s">
        <v>1488</v>
      </c>
      <c r="E1723" s="10">
        <v>2008</v>
      </c>
      <c r="F1723" s="36" t="str" cm="1">
        <f t="array" ref="F1723">_xlfn.XLOOKUP(D1723&amp;C1723, Sheet3!$C$2:$C$1224&amp;Sheet3!$B$2:$B$1224, Sheet3!$D$2:$D$1224, "")</f>
        <v/>
      </c>
      <c r="G1723" s="1" t="str" cm="1">
        <f t="array" ref="G1723">_xlfn.XLOOKUP(D1723&amp;C1723, Sheet2!$A$2:$A$558&amp;Sheet2!$B$2:$B$558, Sheet2!$C$2:$C$558, "")</f>
        <v/>
      </c>
      <c r="H1723" s="40" t="str">
        <f t="shared" si="26"/>
        <v/>
      </c>
    </row>
    <row r="1724" spans="1:8" ht="15.5" x14ac:dyDescent="0.35">
      <c r="A1724" s="7">
        <v>1723</v>
      </c>
      <c r="B1724" s="12">
        <v>27562</v>
      </c>
      <c r="C1724" s="11" t="s">
        <v>1714</v>
      </c>
      <c r="D1724" s="12" t="s">
        <v>1488</v>
      </c>
      <c r="E1724" s="10">
        <v>2008</v>
      </c>
      <c r="F1724" s="36" t="str" cm="1">
        <f t="array" ref="F1724">_xlfn.XLOOKUP(D1724&amp;C1724, Sheet3!$C$2:$C$1224&amp;Sheet3!$B$2:$B$1224, Sheet3!$D$2:$D$1224, "")</f>
        <v/>
      </c>
      <c r="G1724" s="1" t="str" cm="1">
        <f t="array" ref="G1724">_xlfn.XLOOKUP(D1724&amp;C1724, Sheet2!$A$2:$A$558&amp;Sheet2!$B$2:$B$558, Sheet2!$C$2:$C$558, "")</f>
        <v/>
      </c>
      <c r="H1724" s="40" t="str">
        <f t="shared" si="26"/>
        <v/>
      </c>
    </row>
    <row r="1725" spans="1:8" ht="15.5" x14ac:dyDescent="0.35">
      <c r="A1725" s="7">
        <v>1724</v>
      </c>
      <c r="B1725" s="12">
        <v>28056</v>
      </c>
      <c r="C1725" s="11" t="s">
        <v>1715</v>
      </c>
      <c r="D1725" s="12" t="s">
        <v>1489</v>
      </c>
      <c r="E1725" s="10">
        <v>2008</v>
      </c>
      <c r="F1725" s="36" t="str" cm="1">
        <f t="array" ref="F1725">_xlfn.XLOOKUP(D1725&amp;C1725, Sheet3!$C$2:$C$1224&amp;Sheet3!$B$2:$B$1224, Sheet3!$D$2:$D$1224, "")</f>
        <v>hamdut.mbul@gmail.com</v>
      </c>
      <c r="G1725" s="1" t="str" cm="1">
        <f t="array" ref="G1725">_xlfn.XLOOKUP(D1725&amp;C1725, Sheet2!$A$2:$A$558&amp;Sheet2!$B$2:$B$558, Sheet2!$C$2:$C$558, "")</f>
        <v/>
      </c>
      <c r="H1725" s="40" t="str">
        <f t="shared" si="26"/>
        <v>hamdut.mbul@gmail.com</v>
      </c>
    </row>
    <row r="1726" spans="1:8" ht="15.5" x14ac:dyDescent="0.35">
      <c r="A1726" s="7">
        <v>1725</v>
      </c>
      <c r="B1726" s="12">
        <v>28062</v>
      </c>
      <c r="C1726" s="11" t="s">
        <v>1716</v>
      </c>
      <c r="D1726" s="12" t="s">
        <v>1489</v>
      </c>
      <c r="E1726" s="10">
        <v>2008</v>
      </c>
      <c r="F1726" s="36" t="str" cm="1">
        <f t="array" ref="F1726">_xlfn.XLOOKUP(D1726&amp;C1726, Sheet3!$C$2:$C$1224&amp;Sheet3!$B$2:$B$1224, Sheet3!$D$2:$D$1224, "")</f>
        <v>dayat.geodet@gmail.com</v>
      </c>
      <c r="G1726" s="1" t="str" cm="1">
        <f t="array" ref="G1726">_xlfn.XLOOKUP(D1726&amp;C1726, Sheet2!$A$2:$A$558&amp;Sheet2!$B$2:$B$558, Sheet2!$C$2:$C$558, "")</f>
        <v/>
      </c>
      <c r="H1726" s="40" t="str">
        <f t="shared" si="26"/>
        <v>dayat.geodet@gmail.com</v>
      </c>
    </row>
    <row r="1727" spans="1:8" ht="15.5" x14ac:dyDescent="0.35">
      <c r="A1727" s="7">
        <v>1726</v>
      </c>
      <c r="B1727" s="12">
        <v>28235</v>
      </c>
      <c r="C1727" s="11" t="s">
        <v>1717</v>
      </c>
      <c r="D1727" s="12" t="s">
        <v>1489</v>
      </c>
      <c r="E1727" s="10">
        <v>2008</v>
      </c>
      <c r="F1727" s="36" t="str" cm="1">
        <f t="array" ref="F1727">_xlfn.XLOOKUP(D1727&amp;C1727, Sheet3!$C$2:$C$1224&amp;Sheet3!$B$2:$B$1224, Sheet3!$D$2:$D$1224, "")</f>
        <v>littledng@gmail.com</v>
      </c>
      <c r="G1727" s="1" t="str" cm="1">
        <f t="array" ref="G1727">_xlfn.XLOOKUP(D1727&amp;C1727, Sheet2!$A$2:$A$558&amp;Sheet2!$B$2:$B$558, Sheet2!$C$2:$C$558, "")</f>
        <v>littledng@gmail.com</v>
      </c>
      <c r="H1727" s="40" t="str">
        <f t="shared" si="26"/>
        <v>littledng@gmail.com</v>
      </c>
    </row>
    <row r="1728" spans="1:8" ht="15.5" x14ac:dyDescent="0.35">
      <c r="A1728" s="7">
        <v>1727</v>
      </c>
      <c r="B1728" s="12">
        <v>28321</v>
      </c>
      <c r="C1728" s="11" t="s">
        <v>3373</v>
      </c>
      <c r="D1728" s="12" t="s">
        <v>1489</v>
      </c>
      <c r="E1728" s="10">
        <v>2008</v>
      </c>
      <c r="F1728" s="36" t="str" cm="1">
        <f t="array" ref="F1728">_xlfn.XLOOKUP(D1728&amp;C1728, Sheet3!$C$2:$C$1224&amp;Sheet3!$B$2:$B$1224, Sheet3!$D$2:$D$1224, "")</f>
        <v>etriansyah@gmail.com</v>
      </c>
      <c r="G1728" s="1" t="str" cm="1">
        <f t="array" ref="G1728">_xlfn.XLOOKUP(D1728&amp;C1728, Sheet2!$A$2:$A$558&amp;Sheet2!$B$2:$B$558, Sheet2!$C$2:$C$558, "")</f>
        <v>etriansyah@gmail.com</v>
      </c>
      <c r="H1728" s="40" t="str">
        <f t="shared" si="26"/>
        <v>etriansyah@gmail.com</v>
      </c>
    </row>
    <row r="1729" spans="1:8" ht="15.5" x14ac:dyDescent="0.35">
      <c r="A1729" s="7">
        <v>1728</v>
      </c>
      <c r="B1729" s="12">
        <v>28335</v>
      </c>
      <c r="C1729" s="11" t="s">
        <v>1718</v>
      </c>
      <c r="D1729" s="12" t="s">
        <v>1489</v>
      </c>
      <c r="E1729" s="10">
        <v>2008</v>
      </c>
      <c r="F1729" s="36" t="str" cm="1">
        <f t="array" ref="F1729">_xlfn.XLOOKUP(D1729&amp;C1729, Sheet3!$C$2:$C$1224&amp;Sheet3!$B$2:$B$1224, Sheet3!$D$2:$D$1224, "")</f>
        <v>nugroho061285@gmail.com</v>
      </c>
      <c r="G1729" s="1" t="str" cm="1">
        <f t="array" ref="G1729">_xlfn.XLOOKUP(D1729&amp;C1729, Sheet2!$A$2:$A$558&amp;Sheet2!$B$2:$B$558, Sheet2!$C$2:$C$558, "")</f>
        <v>nugroho061285@gmail.com</v>
      </c>
      <c r="H1729" s="40" t="str">
        <f t="shared" si="26"/>
        <v>nugroho061285@gmail.com</v>
      </c>
    </row>
    <row r="1730" spans="1:8" ht="15.5" x14ac:dyDescent="0.35">
      <c r="A1730" s="7">
        <v>1729</v>
      </c>
      <c r="B1730" s="12">
        <v>28344</v>
      </c>
      <c r="C1730" s="11" t="s">
        <v>1719</v>
      </c>
      <c r="D1730" s="12" t="s">
        <v>1489</v>
      </c>
      <c r="E1730" s="10">
        <v>2008</v>
      </c>
      <c r="F1730" s="36" t="str" cm="1">
        <f t="array" ref="F1730">_xlfn.XLOOKUP(D1730&amp;C1730, Sheet3!$C$2:$C$1224&amp;Sheet3!$B$2:$B$1224, Sheet3!$D$2:$D$1224, "")</f>
        <v/>
      </c>
      <c r="G1730" s="1" t="str" cm="1">
        <f t="array" ref="G1730">_xlfn.XLOOKUP(D1730&amp;C1730, Sheet2!$A$2:$A$558&amp;Sheet2!$B$2:$B$558, Sheet2!$C$2:$C$558, "")</f>
        <v/>
      </c>
      <c r="H1730" s="40" t="str">
        <f t="shared" si="26"/>
        <v/>
      </c>
    </row>
    <row r="1731" spans="1:8" ht="15.5" x14ac:dyDescent="0.35">
      <c r="A1731" s="7">
        <v>1730</v>
      </c>
      <c r="B1731" s="12">
        <v>28671</v>
      </c>
      <c r="C1731" s="11" t="s">
        <v>1720</v>
      </c>
      <c r="D1731" s="12" t="s">
        <v>1489</v>
      </c>
      <c r="E1731" s="10">
        <v>2008</v>
      </c>
      <c r="F1731" s="36" t="str" cm="1">
        <f t="array" ref="F1731">_xlfn.XLOOKUP(D1731&amp;C1731, Sheet3!$C$2:$C$1224&amp;Sheet3!$B$2:$B$1224, Sheet3!$D$2:$D$1224, "")</f>
        <v>fitri.viqa@gmail.com</v>
      </c>
      <c r="G1731" s="1" t="str" cm="1">
        <f t="array" ref="G1731">_xlfn.XLOOKUP(D1731&amp;C1731, Sheet2!$A$2:$A$558&amp;Sheet2!$B$2:$B$558, Sheet2!$C$2:$C$558, "")</f>
        <v/>
      </c>
      <c r="H1731" s="40" t="str">
        <f t="shared" ref="H1731:H1794" si="27">IF(F1731&lt;&gt;"",F1731,G1731)</f>
        <v>fitri.viqa@gmail.com</v>
      </c>
    </row>
    <row r="1732" spans="1:8" ht="15.5" x14ac:dyDescent="0.35">
      <c r="A1732" s="7">
        <v>1731</v>
      </c>
      <c r="B1732" s="12">
        <v>29112</v>
      </c>
      <c r="C1732" s="11" t="s">
        <v>1721</v>
      </c>
      <c r="D1732" s="12" t="s">
        <v>1489</v>
      </c>
      <c r="E1732" s="10">
        <v>2008</v>
      </c>
      <c r="F1732" s="36" t="str" cm="1">
        <f t="array" ref="F1732">_xlfn.XLOOKUP(D1732&amp;C1732, Sheet3!$C$2:$C$1224&amp;Sheet3!$B$2:$B$1224, Sheet3!$D$2:$D$1224, "")</f>
        <v/>
      </c>
      <c r="G1732" s="1" t="str" cm="1">
        <f t="array" ref="G1732">_xlfn.XLOOKUP(D1732&amp;C1732, Sheet2!$A$2:$A$558&amp;Sheet2!$B$2:$B$558, Sheet2!$C$2:$C$558, "")</f>
        <v/>
      </c>
      <c r="H1732" s="40" t="str">
        <f t="shared" si="27"/>
        <v/>
      </c>
    </row>
    <row r="1733" spans="1:8" ht="15.5" x14ac:dyDescent="0.35">
      <c r="A1733" s="7">
        <v>1732</v>
      </c>
      <c r="B1733" s="12">
        <v>29200</v>
      </c>
      <c r="C1733" s="11" t="s">
        <v>1722</v>
      </c>
      <c r="D1733" s="12" t="s">
        <v>1489</v>
      </c>
      <c r="E1733" s="10">
        <v>2008</v>
      </c>
      <c r="F1733" s="36" t="str" cm="1">
        <f t="array" ref="F1733">_xlfn.XLOOKUP(D1733&amp;C1733, Sheet3!$C$2:$C$1224&amp;Sheet3!$B$2:$B$1224, Sheet3!$D$2:$D$1224, "")</f>
        <v/>
      </c>
      <c r="G1733" s="1" t="str" cm="1">
        <f t="array" ref="G1733">_xlfn.XLOOKUP(D1733&amp;C1733, Sheet2!$A$2:$A$558&amp;Sheet2!$B$2:$B$558, Sheet2!$C$2:$C$558, "")</f>
        <v/>
      </c>
      <c r="H1733" s="40" t="str">
        <f t="shared" si="27"/>
        <v/>
      </c>
    </row>
    <row r="1734" spans="1:8" ht="15.5" x14ac:dyDescent="0.35">
      <c r="A1734" s="7">
        <v>1733</v>
      </c>
      <c r="B1734" s="12">
        <v>23484</v>
      </c>
      <c r="C1734" s="11" t="s">
        <v>1723</v>
      </c>
      <c r="D1734" s="12" t="s">
        <v>1077</v>
      </c>
      <c r="E1734" s="10">
        <v>2008</v>
      </c>
      <c r="F1734" s="36" t="str" cm="1">
        <f t="array" ref="F1734">_xlfn.XLOOKUP(D1734&amp;C1734, Sheet3!$C$2:$C$1224&amp;Sheet3!$B$2:$B$1224, Sheet3!$D$2:$D$1224, "")</f>
        <v>davidsimanungkalit@yahoo.com</v>
      </c>
      <c r="G1734" s="1" t="str" cm="1">
        <f t="array" ref="G1734">_xlfn.XLOOKUP(D1734&amp;C1734, Sheet2!$A$2:$A$558&amp;Sheet2!$B$2:$B$558, Sheet2!$C$2:$C$558, "")</f>
        <v>davidsimanungkalit@yahoo.com</v>
      </c>
      <c r="H1734" s="40" t="str">
        <f t="shared" si="27"/>
        <v>davidsimanungkalit@yahoo.com</v>
      </c>
    </row>
    <row r="1735" spans="1:8" ht="15.5" x14ac:dyDescent="0.35">
      <c r="A1735" s="7">
        <v>1734</v>
      </c>
      <c r="B1735" s="12">
        <v>23682</v>
      </c>
      <c r="C1735" s="11" t="s">
        <v>1724</v>
      </c>
      <c r="D1735" s="12" t="s">
        <v>1078</v>
      </c>
      <c r="E1735" s="10">
        <v>2008</v>
      </c>
      <c r="F1735" s="36" t="str" cm="1">
        <f t="array" ref="F1735">_xlfn.XLOOKUP(D1735&amp;C1735, Sheet3!$C$2:$C$1224&amp;Sheet3!$B$2:$B$1224, Sheet3!$D$2:$D$1224, "")</f>
        <v>Rolinabobihoe@gmail.com</v>
      </c>
      <c r="G1735" s="1" t="str" cm="1">
        <f t="array" ref="G1735">_xlfn.XLOOKUP(D1735&amp;C1735, Sheet2!$A$2:$A$558&amp;Sheet2!$B$2:$B$558, Sheet2!$C$2:$C$558, "")</f>
        <v/>
      </c>
      <c r="H1735" s="40" t="str">
        <f t="shared" si="27"/>
        <v>Rolinabobihoe@gmail.com</v>
      </c>
    </row>
    <row r="1736" spans="1:8" ht="15.5" x14ac:dyDescent="0.35">
      <c r="A1736" s="7">
        <v>1735</v>
      </c>
      <c r="B1736" s="12">
        <v>24930</v>
      </c>
      <c r="C1736" s="11" t="s">
        <v>1725</v>
      </c>
      <c r="D1736" s="12" t="s">
        <v>1486</v>
      </c>
      <c r="E1736" s="10">
        <v>2008</v>
      </c>
      <c r="F1736" s="36" t="str" cm="1">
        <f t="array" ref="F1736">_xlfn.XLOOKUP(D1736&amp;C1736, Sheet3!$C$2:$C$1224&amp;Sheet3!$B$2:$B$1224, Sheet3!$D$2:$D$1224, "")</f>
        <v/>
      </c>
      <c r="G1736" s="1" t="str" cm="1">
        <f t="array" ref="G1736">_xlfn.XLOOKUP(D1736&amp;C1736, Sheet2!$A$2:$A$558&amp;Sheet2!$B$2:$B$558, Sheet2!$C$2:$C$558, "")</f>
        <v>thomasdedi346@gmail.com</v>
      </c>
      <c r="H1736" s="40" t="str">
        <f t="shared" si="27"/>
        <v>thomasdedi346@gmail.com</v>
      </c>
    </row>
    <row r="1737" spans="1:8" ht="15.5" x14ac:dyDescent="0.35">
      <c r="A1737" s="7">
        <v>1736</v>
      </c>
      <c r="B1737" s="12">
        <v>27001</v>
      </c>
      <c r="C1737" s="11" t="s">
        <v>1726</v>
      </c>
      <c r="D1737" s="12" t="s">
        <v>1488</v>
      </c>
      <c r="E1737" s="10">
        <v>2008</v>
      </c>
      <c r="F1737" s="36" t="str" cm="1">
        <f t="array" ref="F1737">_xlfn.XLOOKUP(D1737&amp;C1737, Sheet3!$C$2:$C$1224&amp;Sheet3!$B$2:$B$1224, Sheet3!$D$2:$D$1224, "")</f>
        <v>Afdoni.st@gmail.com</v>
      </c>
      <c r="G1737" s="1" t="str" cm="1">
        <f t="array" ref="G1737">_xlfn.XLOOKUP(D1737&amp;C1737, Sheet2!$A$2:$A$558&amp;Sheet2!$B$2:$B$558, Sheet2!$C$2:$C$558, "")</f>
        <v/>
      </c>
      <c r="H1737" s="40" t="str">
        <f t="shared" si="27"/>
        <v>Afdoni.st@gmail.com</v>
      </c>
    </row>
    <row r="1738" spans="1:8" ht="15.5" x14ac:dyDescent="0.35">
      <c r="A1738" s="7">
        <v>1737</v>
      </c>
      <c r="B1738" s="12">
        <v>27411</v>
      </c>
      <c r="C1738" s="11" t="s">
        <v>1727</v>
      </c>
      <c r="D1738" s="12" t="s">
        <v>1488</v>
      </c>
      <c r="E1738" s="10">
        <v>2008</v>
      </c>
      <c r="F1738" s="36" t="str" cm="1">
        <f t="array" ref="F1738">_xlfn.XLOOKUP(D1738&amp;C1738, Sheet3!$C$2:$C$1224&amp;Sheet3!$B$2:$B$1224, Sheet3!$D$2:$D$1224, "")</f>
        <v/>
      </c>
      <c r="G1738" s="1" t="str" cm="1">
        <f t="array" ref="G1738">_xlfn.XLOOKUP(D1738&amp;C1738, Sheet2!$A$2:$A$558&amp;Sheet2!$B$2:$B$558, Sheet2!$C$2:$C$558, "")</f>
        <v/>
      </c>
      <c r="H1738" s="40" t="str">
        <f t="shared" si="27"/>
        <v/>
      </c>
    </row>
    <row r="1739" spans="1:8" ht="15.5" x14ac:dyDescent="0.35">
      <c r="A1739" s="7">
        <v>1738</v>
      </c>
      <c r="B1739" s="12">
        <v>28007</v>
      </c>
      <c r="C1739" s="11" t="s">
        <v>1728</v>
      </c>
      <c r="D1739" s="12" t="s">
        <v>1489</v>
      </c>
      <c r="E1739" s="10">
        <v>2008</v>
      </c>
      <c r="F1739" s="36" t="str" cm="1">
        <f t="array" ref="F1739">_xlfn.XLOOKUP(D1739&amp;C1739, Sheet3!$C$2:$C$1224&amp;Sheet3!$B$2:$B$1224, Sheet3!$D$2:$D$1224, "")</f>
        <v>Sagita8888@gmail.com</v>
      </c>
      <c r="G1739" s="1" t="str" cm="1">
        <f t="array" ref="G1739">_xlfn.XLOOKUP(D1739&amp;C1739, Sheet2!$A$2:$A$558&amp;Sheet2!$B$2:$B$558, Sheet2!$C$2:$C$558, "")</f>
        <v/>
      </c>
      <c r="H1739" s="40" t="str">
        <f t="shared" si="27"/>
        <v>Sagita8888@gmail.com</v>
      </c>
    </row>
    <row r="1740" spans="1:8" ht="15.5" x14ac:dyDescent="0.35">
      <c r="A1740" s="7">
        <v>1739</v>
      </c>
      <c r="B1740" s="12">
        <v>28231</v>
      </c>
      <c r="C1740" s="11" t="s">
        <v>1729</v>
      </c>
      <c r="D1740" s="12" t="s">
        <v>1489</v>
      </c>
      <c r="E1740" s="10">
        <v>2008</v>
      </c>
      <c r="F1740" s="36" t="str" cm="1">
        <f t="array" ref="F1740">_xlfn.XLOOKUP(D1740&amp;C1740, Sheet3!$C$2:$C$1224&amp;Sheet3!$B$2:$B$1224, Sheet3!$D$2:$D$1224, "")</f>
        <v/>
      </c>
      <c r="G1740" s="1" t="str" cm="1">
        <f t="array" ref="G1740">_xlfn.XLOOKUP(D1740&amp;C1740, Sheet2!$A$2:$A$558&amp;Sheet2!$B$2:$B$558, Sheet2!$C$2:$C$558, "")</f>
        <v/>
      </c>
      <c r="H1740" s="40" t="str">
        <f t="shared" si="27"/>
        <v/>
      </c>
    </row>
    <row r="1741" spans="1:8" ht="15.5" x14ac:dyDescent="0.35">
      <c r="A1741" s="7">
        <v>1740</v>
      </c>
      <c r="B1741" s="12">
        <v>28472</v>
      </c>
      <c r="C1741" s="11" t="s">
        <v>1730</v>
      </c>
      <c r="D1741" s="12" t="s">
        <v>1489</v>
      </c>
      <c r="E1741" s="10">
        <v>2008</v>
      </c>
      <c r="F1741" s="36" t="str" cm="1">
        <f t="array" ref="F1741">_xlfn.XLOOKUP(D1741&amp;C1741, Sheet3!$C$2:$C$1224&amp;Sheet3!$B$2:$B$1224, Sheet3!$D$2:$D$1224, "")</f>
        <v/>
      </c>
      <c r="G1741" s="1" t="str" cm="1">
        <f t="array" ref="G1741">_xlfn.XLOOKUP(D1741&amp;C1741, Sheet2!$A$2:$A$558&amp;Sheet2!$B$2:$B$558, Sheet2!$C$2:$C$558, "")</f>
        <v/>
      </c>
      <c r="H1741" s="40" t="str">
        <f t="shared" si="27"/>
        <v/>
      </c>
    </row>
    <row r="1742" spans="1:8" ht="15.5" x14ac:dyDescent="0.35">
      <c r="A1742" s="7">
        <v>1741</v>
      </c>
      <c r="B1742" s="12">
        <v>28479</v>
      </c>
      <c r="C1742" s="11" t="s">
        <v>1731</v>
      </c>
      <c r="D1742" s="12" t="s">
        <v>1489</v>
      </c>
      <c r="E1742" s="10">
        <v>2008</v>
      </c>
      <c r="F1742" s="36" t="str" cm="1">
        <f t="array" ref="F1742">_xlfn.XLOOKUP(D1742&amp;C1742, Sheet3!$C$2:$C$1224&amp;Sheet3!$B$2:$B$1224, Sheet3!$D$2:$D$1224, "")</f>
        <v/>
      </c>
      <c r="G1742" s="1" t="str" cm="1">
        <f t="array" ref="G1742">_xlfn.XLOOKUP(D1742&amp;C1742, Sheet2!$A$2:$A$558&amp;Sheet2!$B$2:$B$558, Sheet2!$C$2:$C$558, "")</f>
        <v/>
      </c>
      <c r="H1742" s="40" t="str">
        <f t="shared" si="27"/>
        <v/>
      </c>
    </row>
    <row r="1743" spans="1:8" ht="15.5" x14ac:dyDescent="0.35">
      <c r="A1743" s="7">
        <v>1742</v>
      </c>
      <c r="B1743" s="12">
        <v>29165</v>
      </c>
      <c r="C1743" s="11" t="s">
        <v>1732</v>
      </c>
      <c r="D1743" s="12" t="s">
        <v>1489</v>
      </c>
      <c r="E1743" s="10">
        <v>2008</v>
      </c>
      <c r="F1743" s="36" t="str" cm="1">
        <f t="array" ref="F1743">_xlfn.XLOOKUP(D1743&amp;C1743, Sheet3!$C$2:$C$1224&amp;Sheet3!$B$2:$B$1224, Sheet3!$D$2:$D$1224, "")</f>
        <v>nn.triana85@gmail.com</v>
      </c>
      <c r="G1743" s="1" t="str" cm="1">
        <f t="array" ref="G1743">_xlfn.XLOOKUP(D1743&amp;C1743, Sheet2!$A$2:$A$558&amp;Sheet2!$B$2:$B$558, Sheet2!$C$2:$C$558, "")</f>
        <v>nn.triana85@gmail.com</v>
      </c>
      <c r="H1743" s="40" t="str">
        <f t="shared" si="27"/>
        <v>nn.triana85@gmail.com</v>
      </c>
    </row>
    <row r="1744" spans="1:8" ht="15.5" x14ac:dyDescent="0.35">
      <c r="A1744" s="7">
        <v>1743</v>
      </c>
      <c r="B1744" s="12">
        <v>25349</v>
      </c>
      <c r="C1744" s="11" t="s">
        <v>1733</v>
      </c>
      <c r="D1744" s="12" t="s">
        <v>1486</v>
      </c>
      <c r="E1744" s="10">
        <v>2008</v>
      </c>
      <c r="F1744" s="36" t="str" cm="1">
        <f t="array" ref="F1744">_xlfn.XLOOKUP(D1744&amp;C1744, Sheet3!$C$2:$C$1224&amp;Sheet3!$B$2:$B$1224, Sheet3!$D$2:$D$1224, "")</f>
        <v/>
      </c>
      <c r="G1744" s="1" t="str" cm="1">
        <f t="array" ref="G1744">_xlfn.XLOOKUP(D1744&amp;C1744, Sheet2!$A$2:$A$558&amp;Sheet2!$B$2:$B$558, Sheet2!$C$2:$C$558, "")</f>
        <v/>
      </c>
      <c r="H1744" s="40" t="str">
        <f t="shared" si="27"/>
        <v/>
      </c>
    </row>
    <row r="1745" spans="1:8" ht="15.5" x14ac:dyDescent="0.35">
      <c r="A1745" s="7">
        <v>1744</v>
      </c>
      <c r="B1745" s="12">
        <v>25131</v>
      </c>
      <c r="C1745" s="11" t="s">
        <v>1734</v>
      </c>
      <c r="D1745" s="12" t="s">
        <v>1486</v>
      </c>
      <c r="E1745" s="10">
        <v>2008</v>
      </c>
      <c r="F1745" s="36" t="str" cm="1">
        <f t="array" ref="F1745">_xlfn.XLOOKUP(D1745&amp;C1745, Sheet3!$C$2:$C$1224&amp;Sheet3!$B$2:$B$1224, Sheet3!$D$2:$D$1224, "")</f>
        <v/>
      </c>
      <c r="G1745" s="1" t="str" cm="1">
        <f t="array" ref="G1745">_xlfn.XLOOKUP(D1745&amp;C1745, Sheet2!$A$2:$A$558&amp;Sheet2!$B$2:$B$558, Sheet2!$C$2:$C$558, "")</f>
        <v/>
      </c>
      <c r="H1745" s="40" t="str">
        <f t="shared" si="27"/>
        <v/>
      </c>
    </row>
    <row r="1746" spans="1:8" ht="15.5" x14ac:dyDescent="0.35">
      <c r="A1746" s="7">
        <v>1745</v>
      </c>
      <c r="B1746" s="12">
        <v>26430</v>
      </c>
      <c r="C1746" s="11" t="s">
        <v>1735</v>
      </c>
      <c r="D1746" s="12" t="s">
        <v>1487</v>
      </c>
      <c r="E1746" s="10">
        <v>2008</v>
      </c>
      <c r="F1746" s="36" t="str" cm="1">
        <f t="array" ref="F1746">_xlfn.XLOOKUP(D1746&amp;C1746, Sheet3!$C$2:$C$1224&amp;Sheet3!$B$2:$B$1224, Sheet3!$D$2:$D$1224, "")</f>
        <v/>
      </c>
      <c r="G1746" s="1" t="str" cm="1">
        <f t="array" ref="G1746">_xlfn.XLOOKUP(D1746&amp;C1746, Sheet2!$A$2:$A$558&amp;Sheet2!$B$2:$B$558, Sheet2!$C$2:$C$558, "")</f>
        <v/>
      </c>
      <c r="H1746" s="40" t="str">
        <f t="shared" si="27"/>
        <v/>
      </c>
    </row>
    <row r="1747" spans="1:8" ht="15.5" x14ac:dyDescent="0.35">
      <c r="A1747" s="7">
        <v>1746</v>
      </c>
      <c r="B1747" s="12">
        <v>27398</v>
      </c>
      <c r="C1747" s="11" t="s">
        <v>1736</v>
      </c>
      <c r="D1747" s="12" t="s">
        <v>1488</v>
      </c>
      <c r="E1747" s="10">
        <v>2008</v>
      </c>
      <c r="F1747" s="36" t="str" cm="1">
        <f t="array" ref="F1747">_xlfn.XLOOKUP(D1747&amp;C1747, Sheet3!$C$2:$C$1224&amp;Sheet3!$B$2:$B$1224, Sheet3!$D$2:$D$1224, "")</f>
        <v/>
      </c>
      <c r="G1747" s="1" t="str" cm="1">
        <f t="array" ref="G1747">_xlfn.XLOOKUP(D1747&amp;C1747, Sheet2!$A$2:$A$558&amp;Sheet2!$B$2:$B$558, Sheet2!$C$2:$C$558, "")</f>
        <v/>
      </c>
      <c r="H1747" s="40" t="str">
        <f t="shared" si="27"/>
        <v/>
      </c>
    </row>
    <row r="1748" spans="1:8" ht="15.5" x14ac:dyDescent="0.35">
      <c r="A1748" s="7">
        <v>1747</v>
      </c>
      <c r="B1748" s="12">
        <v>27399</v>
      </c>
      <c r="C1748" s="11" t="s">
        <v>1737</v>
      </c>
      <c r="D1748" s="12" t="s">
        <v>1488</v>
      </c>
      <c r="E1748" s="10">
        <v>2008</v>
      </c>
      <c r="F1748" s="36" t="str" cm="1">
        <f t="array" ref="F1748">_xlfn.XLOOKUP(D1748&amp;C1748, Sheet3!$C$2:$C$1224&amp;Sheet3!$B$2:$B$1224, Sheet3!$D$2:$D$1224, "")</f>
        <v>imamsyaifudintgd@gmail.com</v>
      </c>
      <c r="G1748" s="1" t="str" cm="1">
        <f t="array" ref="G1748">_xlfn.XLOOKUP(D1748&amp;C1748, Sheet2!$A$2:$A$558&amp;Sheet2!$B$2:$B$558, Sheet2!$C$2:$C$558, "")</f>
        <v/>
      </c>
      <c r="H1748" s="40" t="str">
        <f t="shared" si="27"/>
        <v>imamsyaifudintgd@gmail.com</v>
      </c>
    </row>
    <row r="1749" spans="1:8" ht="15.5" x14ac:dyDescent="0.35">
      <c r="A1749" s="7">
        <v>1748</v>
      </c>
      <c r="B1749" s="12">
        <v>27506</v>
      </c>
      <c r="C1749" s="11" t="s">
        <v>1738</v>
      </c>
      <c r="D1749" s="12" t="s">
        <v>1488</v>
      </c>
      <c r="E1749" s="10">
        <v>2008</v>
      </c>
      <c r="F1749" s="36" t="str" cm="1">
        <f t="array" ref="F1749">_xlfn.XLOOKUP(D1749&amp;C1749, Sheet3!$C$2:$C$1224&amp;Sheet3!$B$2:$B$1224, Sheet3!$D$2:$D$1224, "")</f>
        <v>Widhiwijayanto@gmail.com</v>
      </c>
      <c r="G1749" s="1" t="str" cm="1">
        <f t="array" ref="G1749">_xlfn.XLOOKUP(D1749&amp;C1749, Sheet2!$A$2:$A$558&amp;Sheet2!$B$2:$B$558, Sheet2!$C$2:$C$558, "")</f>
        <v/>
      </c>
      <c r="H1749" s="40" t="str">
        <f t="shared" si="27"/>
        <v>Widhiwijayanto@gmail.com</v>
      </c>
    </row>
    <row r="1750" spans="1:8" ht="15.5" x14ac:dyDescent="0.35">
      <c r="A1750" s="7">
        <v>1749</v>
      </c>
      <c r="B1750" s="12">
        <v>27569</v>
      </c>
      <c r="C1750" s="11" t="s">
        <v>1739</v>
      </c>
      <c r="D1750" s="12" t="s">
        <v>1488</v>
      </c>
      <c r="E1750" s="10">
        <v>2008</v>
      </c>
      <c r="F1750" s="36" t="str" cm="1">
        <f t="array" ref="F1750">_xlfn.XLOOKUP(D1750&amp;C1750, Sheet3!$C$2:$C$1224&amp;Sheet3!$B$2:$B$1224, Sheet3!$D$2:$D$1224, "")</f>
        <v>nararya.sulistiyono@gmail.com</v>
      </c>
      <c r="G1750" s="1" t="str" cm="1">
        <f t="array" ref="G1750">_xlfn.XLOOKUP(D1750&amp;C1750, Sheet2!$A$2:$A$558&amp;Sheet2!$B$2:$B$558, Sheet2!$C$2:$C$558, "")</f>
        <v/>
      </c>
      <c r="H1750" s="40" t="str">
        <f t="shared" si="27"/>
        <v>nararya.sulistiyono@gmail.com</v>
      </c>
    </row>
    <row r="1751" spans="1:8" ht="15.5" x14ac:dyDescent="0.35">
      <c r="A1751" s="7">
        <v>1750</v>
      </c>
      <c r="B1751" s="12">
        <v>28037</v>
      </c>
      <c r="C1751" s="11" t="s">
        <v>1740</v>
      </c>
      <c r="D1751" s="12" t="s">
        <v>1489</v>
      </c>
      <c r="E1751" s="10">
        <v>2008</v>
      </c>
      <c r="F1751" s="36" t="str" cm="1">
        <f t="array" ref="F1751">_xlfn.XLOOKUP(D1751&amp;C1751, Sheet3!$C$2:$C$1224&amp;Sheet3!$B$2:$B$1224, Sheet3!$D$2:$D$1224, "")</f>
        <v/>
      </c>
      <c r="G1751" s="1" t="str" cm="1">
        <f t="array" ref="G1751">_xlfn.XLOOKUP(D1751&amp;C1751, Sheet2!$A$2:$A$558&amp;Sheet2!$B$2:$B$558, Sheet2!$C$2:$C$558, "")</f>
        <v/>
      </c>
      <c r="H1751" s="40" t="str">
        <f t="shared" si="27"/>
        <v/>
      </c>
    </row>
    <row r="1752" spans="1:8" ht="15.5" x14ac:dyDescent="0.35">
      <c r="A1752" s="7">
        <v>1751</v>
      </c>
      <c r="B1752" s="12">
        <v>28295</v>
      </c>
      <c r="C1752" s="11" t="s">
        <v>1741</v>
      </c>
      <c r="D1752" s="12" t="s">
        <v>1489</v>
      </c>
      <c r="E1752" s="10">
        <v>2008</v>
      </c>
      <c r="F1752" s="36" t="str" cm="1">
        <f t="array" ref="F1752">_xlfn.XLOOKUP(D1752&amp;C1752, Sheet3!$C$2:$C$1224&amp;Sheet3!$B$2:$B$1224, Sheet3!$D$2:$D$1224, "")</f>
        <v xml:space="preserve">Wellyspirits@gmail.com </v>
      </c>
      <c r="G1752" s="1" t="str" cm="1">
        <f t="array" ref="G1752">_xlfn.XLOOKUP(D1752&amp;C1752, Sheet2!$A$2:$A$558&amp;Sheet2!$B$2:$B$558, Sheet2!$C$2:$C$558, "")</f>
        <v/>
      </c>
      <c r="H1752" s="40" t="str">
        <f t="shared" si="27"/>
        <v xml:space="preserve">Wellyspirits@gmail.com </v>
      </c>
    </row>
    <row r="1753" spans="1:8" ht="15.5" x14ac:dyDescent="0.35">
      <c r="A1753" s="7">
        <v>1752</v>
      </c>
      <c r="B1753" s="12">
        <v>28341</v>
      </c>
      <c r="C1753" s="11" t="s">
        <v>1742</v>
      </c>
      <c r="D1753" s="12" t="s">
        <v>1489</v>
      </c>
      <c r="E1753" s="10">
        <v>2008</v>
      </c>
      <c r="F1753" s="36" t="str" cm="1">
        <f t="array" ref="F1753">_xlfn.XLOOKUP(D1753&amp;C1753, Sheet3!$C$2:$C$1224&amp;Sheet3!$B$2:$B$1224, Sheet3!$D$2:$D$1224, "")</f>
        <v>noviliaspbantul@gmail.com</v>
      </c>
      <c r="G1753" s="1" t="str" cm="1">
        <f t="array" ref="G1753">_xlfn.XLOOKUP(D1753&amp;C1753, Sheet2!$A$2:$A$558&amp;Sheet2!$B$2:$B$558, Sheet2!$C$2:$C$558, "")</f>
        <v/>
      </c>
      <c r="H1753" s="40" t="str">
        <f t="shared" si="27"/>
        <v>noviliaspbantul@gmail.com</v>
      </c>
    </row>
    <row r="1754" spans="1:8" ht="15.5" x14ac:dyDescent="0.35">
      <c r="A1754" s="7">
        <v>1753</v>
      </c>
      <c r="B1754" s="12">
        <v>28449</v>
      </c>
      <c r="C1754" s="11" t="s">
        <v>1743</v>
      </c>
      <c r="D1754" s="12" t="s">
        <v>1489</v>
      </c>
      <c r="E1754" s="10">
        <v>2008</v>
      </c>
      <c r="F1754" s="36" t="str" cm="1">
        <f t="array" ref="F1754">_xlfn.XLOOKUP(D1754&amp;C1754, Sheet3!$C$2:$C$1224&amp;Sheet3!$B$2:$B$1224, Sheet3!$D$2:$D$1224, "")</f>
        <v>ediwirawan85@gmail.com</v>
      </c>
      <c r="G1754" s="1" t="str" cm="1">
        <f t="array" ref="G1754">_xlfn.XLOOKUP(D1754&amp;C1754, Sheet2!$A$2:$A$558&amp;Sheet2!$B$2:$B$558, Sheet2!$C$2:$C$558, "")</f>
        <v>ediwirawan85@gmail.com</v>
      </c>
      <c r="H1754" s="40" t="str">
        <f t="shared" si="27"/>
        <v>ediwirawan85@gmail.com</v>
      </c>
    </row>
    <row r="1755" spans="1:8" ht="15.5" x14ac:dyDescent="0.35">
      <c r="A1755" s="7">
        <v>1754</v>
      </c>
      <c r="B1755" s="12">
        <v>28502</v>
      </c>
      <c r="C1755" s="11" t="s">
        <v>1744</v>
      </c>
      <c r="D1755" s="12" t="s">
        <v>1489</v>
      </c>
      <c r="E1755" s="10">
        <v>2008</v>
      </c>
      <c r="F1755" s="36" t="str" cm="1">
        <f t="array" ref="F1755">_xlfn.XLOOKUP(D1755&amp;C1755, Sheet3!$C$2:$C$1224&amp;Sheet3!$B$2:$B$1224, Sheet3!$D$2:$D$1224, "")</f>
        <v>dodiepangaribuan@gmail.com</v>
      </c>
      <c r="G1755" s="1" t="str" cm="1">
        <f t="array" ref="G1755">_xlfn.XLOOKUP(D1755&amp;C1755, Sheet2!$A$2:$A$558&amp;Sheet2!$B$2:$B$558, Sheet2!$C$2:$C$558, "")</f>
        <v>dodiepangaribuan@gmail.com</v>
      </c>
      <c r="H1755" s="40" t="str">
        <f t="shared" si="27"/>
        <v>dodiepangaribuan@gmail.com</v>
      </c>
    </row>
    <row r="1756" spans="1:8" ht="15.5" x14ac:dyDescent="0.35">
      <c r="A1756" s="7">
        <v>1755</v>
      </c>
      <c r="B1756" s="12">
        <v>28515</v>
      </c>
      <c r="C1756" s="11" t="s">
        <v>1745</v>
      </c>
      <c r="D1756" s="12" t="s">
        <v>1489</v>
      </c>
      <c r="E1756" s="10">
        <v>2008</v>
      </c>
      <c r="F1756" s="36" t="str" cm="1">
        <f t="array" ref="F1756">_xlfn.XLOOKUP(D1756&amp;C1756, Sheet3!$C$2:$C$1224&amp;Sheet3!$B$2:$B$1224, Sheet3!$D$2:$D$1224, "")</f>
        <v>baguz.waskito@gmail.com</v>
      </c>
      <c r="G1756" s="1" t="str" cm="1">
        <f t="array" ref="G1756">_xlfn.XLOOKUP(D1756&amp;C1756, Sheet2!$A$2:$A$558&amp;Sheet2!$B$2:$B$558, Sheet2!$C$2:$C$558, "")</f>
        <v>baguz.waskito@gmail.com</v>
      </c>
      <c r="H1756" s="40" t="str">
        <f t="shared" si="27"/>
        <v>baguz.waskito@gmail.com</v>
      </c>
    </row>
    <row r="1757" spans="1:8" ht="15.5" x14ac:dyDescent="0.35">
      <c r="A1757" s="7">
        <v>1756</v>
      </c>
      <c r="B1757" s="12">
        <v>28521</v>
      </c>
      <c r="C1757" s="11" t="s">
        <v>1746</v>
      </c>
      <c r="D1757" s="12" t="s">
        <v>1489</v>
      </c>
      <c r="E1757" s="10">
        <v>2008</v>
      </c>
      <c r="F1757" s="36" t="str" cm="1">
        <f t="array" ref="F1757">_xlfn.XLOOKUP(D1757&amp;C1757, Sheet3!$C$2:$C$1224&amp;Sheet3!$B$2:$B$1224, Sheet3!$D$2:$D$1224, "")</f>
        <v>jungjungan_tobing@yahoo.co.id</v>
      </c>
      <c r="G1757" s="1" t="str" cm="1">
        <f t="array" ref="G1757">_xlfn.XLOOKUP(D1757&amp;C1757, Sheet2!$A$2:$A$558&amp;Sheet2!$B$2:$B$558, Sheet2!$C$2:$C$558, "")</f>
        <v>jungjungantobing7@gmail.com</v>
      </c>
      <c r="H1757" s="40" t="str">
        <f t="shared" si="27"/>
        <v>jungjungan_tobing@yahoo.co.id</v>
      </c>
    </row>
    <row r="1758" spans="1:8" ht="15.5" x14ac:dyDescent="0.35">
      <c r="A1758" s="7">
        <v>1757</v>
      </c>
      <c r="B1758" s="12">
        <v>28780</v>
      </c>
      <c r="C1758" s="11" t="s">
        <v>1747</v>
      </c>
      <c r="D1758" s="12" t="s">
        <v>1489</v>
      </c>
      <c r="E1758" s="10">
        <v>2008</v>
      </c>
      <c r="F1758" s="36" t="str" cm="1">
        <f t="array" ref="F1758">_xlfn.XLOOKUP(D1758&amp;C1758, Sheet3!$C$2:$C$1224&amp;Sheet3!$B$2:$B$1224, Sheet3!$D$2:$D$1224, "")</f>
        <v>mohammad.fatchurochman@gmail.com</v>
      </c>
      <c r="G1758" s="1" t="str" cm="1">
        <f t="array" ref="G1758">_xlfn.XLOOKUP(D1758&amp;C1758, Sheet2!$A$2:$A$558&amp;Sheet2!$B$2:$B$558, Sheet2!$C$2:$C$558, "")</f>
        <v/>
      </c>
      <c r="H1758" s="40" t="str">
        <f t="shared" si="27"/>
        <v>mohammad.fatchurochman@gmail.com</v>
      </c>
    </row>
    <row r="1759" spans="1:8" ht="15.5" x14ac:dyDescent="0.35">
      <c r="A1759" s="7">
        <v>1758</v>
      </c>
      <c r="B1759" s="12">
        <v>29063</v>
      </c>
      <c r="C1759" s="11" t="s">
        <v>5824</v>
      </c>
      <c r="D1759" s="12" t="s">
        <v>1489</v>
      </c>
      <c r="E1759" s="10">
        <v>2008</v>
      </c>
      <c r="F1759" s="36" t="str" cm="1">
        <f t="array" ref="F1759">_xlfn.XLOOKUP(D1759&amp;C1759, Sheet3!$C$2:$C$1224&amp;Sheet3!$B$2:$B$1224, Sheet3!$D$2:$D$1224, "")</f>
        <v>iqbaltaftazani@ugm.ac.id</v>
      </c>
      <c r="G1759" s="1" t="str" cm="1">
        <f t="array" ref="G1759">_xlfn.XLOOKUP(D1759&amp;C1759, Sheet2!$A$2:$A$558&amp;Sheet2!$B$2:$B$558, Sheet2!$C$2:$C$558, "")</f>
        <v>iqbaltaftazani@ugm.ac.id</v>
      </c>
      <c r="H1759" s="40" t="str">
        <f t="shared" si="27"/>
        <v>iqbaltaftazani@ugm.ac.id</v>
      </c>
    </row>
    <row r="1760" spans="1:8" ht="15.5" x14ac:dyDescent="0.35">
      <c r="A1760" s="7">
        <v>1759</v>
      </c>
      <c r="B1760" s="12">
        <v>29293</v>
      </c>
      <c r="C1760" s="11" t="s">
        <v>6135</v>
      </c>
      <c r="D1760" s="12" t="s">
        <v>1490</v>
      </c>
      <c r="E1760" s="10">
        <v>2008</v>
      </c>
      <c r="F1760" s="36" t="str" cm="1">
        <f t="array" ref="F1760">_xlfn.XLOOKUP(D1760&amp;C1760, Sheet3!$C$2:$C$1224&amp;Sheet3!$B$2:$B$1224, Sheet3!$D$2:$D$1224, "")</f>
        <v/>
      </c>
      <c r="G1760" s="1" t="str" cm="1">
        <f t="array" ref="G1760">_xlfn.XLOOKUP(D1760&amp;C1760, Sheet2!$A$2:$A$558&amp;Sheet2!$B$2:$B$558, Sheet2!$C$2:$C$558, "")</f>
        <v>sr.sigit.riyanto@gmail.com</v>
      </c>
      <c r="H1760" s="40" t="str">
        <f t="shared" si="27"/>
        <v>sr.sigit.riyanto@gmail.com</v>
      </c>
    </row>
    <row r="1761" spans="1:8" ht="15.5" x14ac:dyDescent="0.35">
      <c r="A1761" s="7">
        <v>1760</v>
      </c>
      <c r="B1761" s="12">
        <v>29436</v>
      </c>
      <c r="C1761" s="11" t="s">
        <v>1748</v>
      </c>
      <c r="D1761" s="12" t="s">
        <v>1490</v>
      </c>
      <c r="E1761" s="10">
        <v>2008</v>
      </c>
      <c r="F1761" s="36" t="str" cm="1">
        <f t="array" ref="F1761">_xlfn.XLOOKUP(D1761&amp;C1761, Sheet3!$C$2:$C$1224&amp;Sheet3!$B$2:$B$1224, Sheet3!$D$2:$D$1224, "")</f>
        <v/>
      </c>
      <c r="G1761" s="1" t="str" cm="1">
        <f t="array" ref="G1761">_xlfn.XLOOKUP(D1761&amp;C1761, Sheet2!$A$2:$A$558&amp;Sheet2!$B$2:$B$558, Sheet2!$C$2:$C$558, "")</f>
        <v/>
      </c>
      <c r="H1761" s="40" t="str">
        <f t="shared" si="27"/>
        <v/>
      </c>
    </row>
    <row r="1762" spans="1:8" ht="15.5" x14ac:dyDescent="0.35">
      <c r="A1762" s="7">
        <v>1761</v>
      </c>
      <c r="B1762" s="12">
        <v>29446</v>
      </c>
      <c r="C1762" s="11" t="s">
        <v>1749</v>
      </c>
      <c r="D1762" s="12" t="s">
        <v>1490</v>
      </c>
      <c r="E1762" s="10">
        <v>2008</v>
      </c>
      <c r="F1762" s="36" t="str" cm="1">
        <f t="array" ref="F1762">_xlfn.XLOOKUP(D1762&amp;C1762, Sheet3!$C$2:$C$1224&amp;Sheet3!$B$2:$B$1224, Sheet3!$D$2:$D$1224, "")</f>
        <v/>
      </c>
      <c r="G1762" s="1" t="str" cm="1">
        <f t="array" ref="G1762">_xlfn.XLOOKUP(D1762&amp;C1762, Sheet2!$A$2:$A$558&amp;Sheet2!$B$2:$B$558, Sheet2!$C$2:$C$558, "")</f>
        <v/>
      </c>
      <c r="H1762" s="40" t="str">
        <f t="shared" si="27"/>
        <v/>
      </c>
    </row>
    <row r="1763" spans="1:8" ht="15.5" x14ac:dyDescent="0.35">
      <c r="A1763" s="7">
        <v>1762</v>
      </c>
      <c r="B1763" s="12">
        <v>30182</v>
      </c>
      <c r="C1763" s="11" t="s">
        <v>1750</v>
      </c>
      <c r="D1763" s="12" t="s">
        <v>1490</v>
      </c>
      <c r="E1763" s="10">
        <v>2008</v>
      </c>
      <c r="F1763" s="36" t="str" cm="1">
        <f t="array" ref="F1763">_xlfn.XLOOKUP(D1763&amp;C1763, Sheet3!$C$2:$C$1224&amp;Sheet3!$B$2:$B$1224, Sheet3!$D$2:$D$1224, "")</f>
        <v/>
      </c>
      <c r="G1763" s="1" t="str" cm="1">
        <f t="array" ref="G1763">_xlfn.XLOOKUP(D1763&amp;C1763, Sheet2!$A$2:$A$558&amp;Sheet2!$B$2:$B$558, Sheet2!$C$2:$C$558, "")</f>
        <v>alifardy@gmail.com</v>
      </c>
      <c r="H1763" s="40" t="str">
        <f t="shared" si="27"/>
        <v>alifardy@gmail.com</v>
      </c>
    </row>
    <row r="1764" spans="1:8" ht="15.5" x14ac:dyDescent="0.35">
      <c r="A1764" s="7">
        <v>1763</v>
      </c>
      <c r="B1764" s="12">
        <v>28030</v>
      </c>
      <c r="C1764" s="11" t="s">
        <v>1751</v>
      </c>
      <c r="D1764" s="12" t="s">
        <v>1489</v>
      </c>
      <c r="E1764" s="10">
        <v>2008</v>
      </c>
      <c r="F1764" s="36" t="str" cm="1">
        <f t="array" ref="F1764">_xlfn.XLOOKUP(D1764&amp;C1764, Sheet3!$C$2:$C$1224&amp;Sheet3!$B$2:$B$1224, Sheet3!$D$2:$D$1224, "")</f>
        <v>afpinnew@gmail.com</v>
      </c>
      <c r="G1764" s="1" t="str" cm="1">
        <f t="array" ref="G1764">_xlfn.XLOOKUP(D1764&amp;C1764, Sheet2!$A$2:$A$558&amp;Sheet2!$B$2:$B$558, Sheet2!$C$2:$C$558, "")</f>
        <v/>
      </c>
      <c r="H1764" s="40" t="str">
        <f t="shared" si="27"/>
        <v>afpinnew@gmail.com</v>
      </c>
    </row>
    <row r="1765" spans="1:8" ht="15.5" x14ac:dyDescent="0.35">
      <c r="A1765" s="7">
        <v>1764</v>
      </c>
      <c r="B1765" s="12">
        <v>27539</v>
      </c>
      <c r="C1765" s="11" t="s">
        <v>1752</v>
      </c>
      <c r="D1765" s="12" t="s">
        <v>1488</v>
      </c>
      <c r="E1765" s="10">
        <v>2008</v>
      </c>
      <c r="F1765" s="36" t="str" cm="1">
        <f t="array" ref="F1765">_xlfn.XLOOKUP(D1765&amp;C1765, Sheet3!$C$2:$C$1224&amp;Sheet3!$B$2:$B$1224, Sheet3!$D$2:$D$1224, "")</f>
        <v>herimulyantoro@gmail.com</v>
      </c>
      <c r="G1765" s="1" t="str" cm="1">
        <f t="array" ref="G1765">_xlfn.XLOOKUP(D1765&amp;C1765, Sheet2!$A$2:$A$558&amp;Sheet2!$B$2:$B$558, Sheet2!$C$2:$C$558, "")</f>
        <v/>
      </c>
      <c r="H1765" s="40" t="str">
        <f t="shared" si="27"/>
        <v>herimulyantoro@gmail.com</v>
      </c>
    </row>
    <row r="1766" spans="1:8" ht="15.5" x14ac:dyDescent="0.35">
      <c r="A1766" s="7">
        <v>1765</v>
      </c>
      <c r="B1766" s="12">
        <v>28035</v>
      </c>
      <c r="C1766" s="11" t="s">
        <v>1753</v>
      </c>
      <c r="D1766" s="12" t="s">
        <v>1489</v>
      </c>
      <c r="E1766" s="10">
        <v>2008</v>
      </c>
      <c r="F1766" s="36" t="str" cm="1">
        <f t="array" ref="F1766">_xlfn.XLOOKUP(D1766&amp;C1766, Sheet3!$C$2:$C$1224&amp;Sheet3!$B$2:$B$1224, Sheet3!$D$2:$D$1224, "")</f>
        <v/>
      </c>
      <c r="G1766" s="1" t="str" cm="1">
        <f t="array" ref="G1766">_xlfn.XLOOKUP(D1766&amp;C1766, Sheet2!$A$2:$A$558&amp;Sheet2!$B$2:$B$558, Sheet2!$C$2:$C$558, "")</f>
        <v/>
      </c>
      <c r="H1766" s="40" t="str">
        <f t="shared" si="27"/>
        <v/>
      </c>
    </row>
    <row r="1767" spans="1:8" ht="15.5" x14ac:dyDescent="0.35">
      <c r="A1767" s="7">
        <v>1766</v>
      </c>
      <c r="B1767" s="12">
        <v>30141</v>
      </c>
      <c r="C1767" s="11" t="s">
        <v>1754</v>
      </c>
      <c r="D1767" s="12" t="s">
        <v>1490</v>
      </c>
      <c r="E1767" s="10">
        <v>2008</v>
      </c>
      <c r="F1767" s="36" t="str" cm="1">
        <f t="array" ref="F1767">_xlfn.XLOOKUP(D1767&amp;C1767, Sheet3!$C$2:$C$1224&amp;Sheet3!$B$2:$B$1224, Sheet3!$D$2:$D$1224, "")</f>
        <v>listiyofitri@gmail.com</v>
      </c>
      <c r="G1767" s="1" t="str" cm="1">
        <f t="array" ref="G1767">_xlfn.XLOOKUP(D1767&amp;C1767, Sheet2!$A$2:$A$558&amp;Sheet2!$B$2:$B$558, Sheet2!$C$2:$C$558, "")</f>
        <v/>
      </c>
      <c r="H1767" s="40" t="str">
        <f t="shared" si="27"/>
        <v>listiyofitri@gmail.com</v>
      </c>
    </row>
    <row r="1768" spans="1:8" ht="15.5" x14ac:dyDescent="0.35">
      <c r="A1768" s="7">
        <v>1767</v>
      </c>
      <c r="B1768" s="12">
        <v>29726</v>
      </c>
      <c r="C1768" s="11" t="s">
        <v>1755</v>
      </c>
      <c r="D1768" s="12" t="s">
        <v>1490</v>
      </c>
      <c r="E1768" s="10">
        <v>2008</v>
      </c>
      <c r="F1768" s="36" t="str" cm="1">
        <f t="array" ref="F1768">_xlfn.XLOOKUP(D1768&amp;C1768, Sheet3!$C$2:$C$1224&amp;Sheet3!$B$2:$B$1224, Sheet3!$D$2:$D$1224, "")</f>
        <v/>
      </c>
      <c r="G1768" s="1" t="str" cm="1">
        <f t="array" ref="G1768">_xlfn.XLOOKUP(D1768&amp;C1768, Sheet2!$A$2:$A$558&amp;Sheet2!$B$2:$B$558, Sheet2!$C$2:$C$558, "")</f>
        <v/>
      </c>
      <c r="H1768" s="40" t="str">
        <f t="shared" si="27"/>
        <v/>
      </c>
    </row>
    <row r="1769" spans="1:8" ht="15.5" x14ac:dyDescent="0.35">
      <c r="A1769" s="7">
        <v>1768</v>
      </c>
      <c r="B1769" s="12">
        <v>28637</v>
      </c>
      <c r="C1769" s="11" t="s">
        <v>1756</v>
      </c>
      <c r="D1769" s="12" t="s">
        <v>1489</v>
      </c>
      <c r="E1769" s="10">
        <v>2008</v>
      </c>
      <c r="F1769" s="36" t="str" cm="1">
        <f t="array" ref="F1769">_xlfn.XLOOKUP(D1769&amp;C1769, Sheet3!$C$2:$C$1224&amp;Sheet3!$B$2:$B$1224, Sheet3!$D$2:$D$1224, "")</f>
        <v/>
      </c>
      <c r="G1769" s="1" t="str" cm="1">
        <f t="array" ref="G1769">_xlfn.XLOOKUP(D1769&amp;C1769, Sheet2!$A$2:$A$558&amp;Sheet2!$B$2:$B$558, Sheet2!$C$2:$C$558, "")</f>
        <v/>
      </c>
      <c r="H1769" s="40" t="str">
        <f t="shared" si="27"/>
        <v/>
      </c>
    </row>
    <row r="1770" spans="1:8" ht="15.5" x14ac:dyDescent="0.35">
      <c r="A1770" s="7">
        <v>1769</v>
      </c>
      <c r="B1770" s="12">
        <v>28435</v>
      </c>
      <c r="C1770" s="11" t="s">
        <v>1757</v>
      </c>
      <c r="D1770" s="12" t="s">
        <v>1489</v>
      </c>
      <c r="E1770" s="10">
        <v>2008</v>
      </c>
      <c r="F1770" s="36" t="str" cm="1">
        <f t="array" ref="F1770">_xlfn.XLOOKUP(D1770&amp;C1770, Sheet3!$C$2:$C$1224&amp;Sheet3!$B$2:$B$1224, Sheet3!$D$2:$D$1224, "")</f>
        <v>didiknugroho@gmail.com</v>
      </c>
      <c r="G1770" s="1" t="str" cm="1">
        <f t="array" ref="G1770">_xlfn.XLOOKUP(D1770&amp;C1770, Sheet2!$A$2:$A$558&amp;Sheet2!$B$2:$B$558, Sheet2!$C$2:$C$558, "")</f>
        <v>didiknugroho@gmail.com</v>
      </c>
      <c r="H1770" s="40" t="str">
        <f t="shared" si="27"/>
        <v>didiknugroho@gmail.com</v>
      </c>
    </row>
    <row r="1771" spans="1:8" ht="15.5" x14ac:dyDescent="0.35">
      <c r="A1771" s="7">
        <v>1770</v>
      </c>
      <c r="B1771" s="12">
        <v>26165</v>
      </c>
      <c r="C1771" s="11" t="s">
        <v>1758</v>
      </c>
      <c r="D1771" s="12" t="s">
        <v>1487</v>
      </c>
      <c r="E1771" s="10">
        <v>2008</v>
      </c>
      <c r="F1771" s="36" t="str" cm="1">
        <f t="array" ref="F1771">_xlfn.XLOOKUP(D1771&amp;C1771, Sheet3!$C$2:$C$1224&amp;Sheet3!$B$2:$B$1224, Sheet3!$D$2:$D$1224, "")</f>
        <v/>
      </c>
      <c r="G1771" s="1" t="str" cm="1">
        <f t="array" ref="G1771">_xlfn.XLOOKUP(D1771&amp;C1771, Sheet2!$A$2:$A$558&amp;Sheet2!$B$2:$B$558, Sheet2!$C$2:$C$558, "")</f>
        <v/>
      </c>
      <c r="H1771" s="40" t="str">
        <f t="shared" si="27"/>
        <v/>
      </c>
    </row>
    <row r="1772" spans="1:8" ht="15.5" x14ac:dyDescent="0.35">
      <c r="A1772" s="7">
        <v>1771</v>
      </c>
      <c r="B1772" s="12">
        <v>26748</v>
      </c>
      <c r="C1772" s="11" t="s">
        <v>1759</v>
      </c>
      <c r="D1772" s="12" t="s">
        <v>1487</v>
      </c>
      <c r="E1772" s="10">
        <v>2008</v>
      </c>
      <c r="F1772" s="36" t="str" cm="1">
        <f t="array" ref="F1772">_xlfn.XLOOKUP(D1772&amp;C1772, Sheet3!$C$2:$C$1224&amp;Sheet3!$B$2:$B$1224, Sheet3!$D$2:$D$1224, "")</f>
        <v/>
      </c>
      <c r="G1772" s="1" t="str" cm="1">
        <f t="array" ref="G1772">_xlfn.XLOOKUP(D1772&amp;C1772, Sheet2!$A$2:$A$558&amp;Sheet2!$B$2:$B$558, Sheet2!$C$2:$C$558, "")</f>
        <v/>
      </c>
      <c r="H1772" s="40" t="str">
        <f t="shared" si="27"/>
        <v/>
      </c>
    </row>
    <row r="1773" spans="1:8" ht="15.5" x14ac:dyDescent="0.35">
      <c r="A1773" s="7">
        <v>1772</v>
      </c>
      <c r="B1773" s="12">
        <v>30018</v>
      </c>
      <c r="C1773" s="11" t="s">
        <v>1760</v>
      </c>
      <c r="D1773" s="12" t="s">
        <v>1490</v>
      </c>
      <c r="E1773" s="10">
        <v>2009</v>
      </c>
      <c r="F1773" s="36" t="str" cm="1">
        <f t="array" ref="F1773">_xlfn.XLOOKUP(D1773&amp;C1773, Sheet3!$C$2:$C$1224&amp;Sheet3!$B$2:$B$1224, Sheet3!$D$2:$D$1224, "")</f>
        <v/>
      </c>
      <c r="G1773" s="1" t="str" cm="1">
        <f t="array" ref="G1773">_xlfn.XLOOKUP(D1773&amp;C1773, Sheet2!$A$2:$A$558&amp;Sheet2!$B$2:$B$558, Sheet2!$C$2:$C$558, "")</f>
        <v/>
      </c>
      <c r="H1773" s="40" t="str">
        <f t="shared" si="27"/>
        <v/>
      </c>
    </row>
    <row r="1774" spans="1:8" ht="15.5" x14ac:dyDescent="0.35">
      <c r="A1774" s="7">
        <v>1773</v>
      </c>
      <c r="B1774" s="12">
        <v>29843</v>
      </c>
      <c r="C1774" s="11" t="s">
        <v>1761</v>
      </c>
      <c r="D1774" s="12" t="s">
        <v>1490</v>
      </c>
      <c r="E1774" s="10">
        <v>2009</v>
      </c>
      <c r="F1774" s="36" t="str" cm="1">
        <f t="array" ref="F1774">_xlfn.XLOOKUP(D1774&amp;C1774, Sheet3!$C$2:$C$1224&amp;Sheet3!$B$2:$B$1224, Sheet3!$D$2:$D$1224, "")</f>
        <v/>
      </c>
      <c r="G1774" s="1" t="str" cm="1">
        <f t="array" ref="G1774">_xlfn.XLOOKUP(D1774&amp;C1774, Sheet2!$A$2:$A$558&amp;Sheet2!$B$2:$B$558, Sheet2!$C$2:$C$558, "")</f>
        <v/>
      </c>
      <c r="H1774" s="40" t="str">
        <f t="shared" si="27"/>
        <v/>
      </c>
    </row>
    <row r="1775" spans="1:8" ht="15.5" x14ac:dyDescent="0.35">
      <c r="A1775" s="7">
        <v>1774</v>
      </c>
      <c r="B1775" s="12">
        <v>29449</v>
      </c>
      <c r="C1775" s="11" t="s">
        <v>1762</v>
      </c>
      <c r="D1775" s="12" t="s">
        <v>1490</v>
      </c>
      <c r="E1775" s="10">
        <v>2009</v>
      </c>
      <c r="F1775" s="36" t="str" cm="1">
        <f t="array" ref="F1775">_xlfn.XLOOKUP(D1775&amp;C1775, Sheet3!$C$2:$C$1224&amp;Sheet3!$B$2:$B$1224, Sheet3!$D$2:$D$1224, "")</f>
        <v>ihsan.rivano@gmail.com</v>
      </c>
      <c r="G1775" s="1" t="str" cm="1">
        <f t="array" ref="G1775">_xlfn.XLOOKUP(D1775&amp;C1775, Sheet2!$A$2:$A$558&amp;Sheet2!$B$2:$B$558, Sheet2!$C$2:$C$558, "")</f>
        <v>ihsan.rivano@gmail.com</v>
      </c>
      <c r="H1775" s="40" t="str">
        <f t="shared" si="27"/>
        <v>ihsan.rivano@gmail.com</v>
      </c>
    </row>
    <row r="1776" spans="1:8" ht="15.5" x14ac:dyDescent="0.35">
      <c r="A1776" s="7">
        <v>1775</v>
      </c>
      <c r="B1776" s="12">
        <v>27392</v>
      </c>
      <c r="C1776" s="11" t="s">
        <v>1763</v>
      </c>
      <c r="D1776" s="12" t="s">
        <v>1488</v>
      </c>
      <c r="E1776" s="10">
        <v>2009</v>
      </c>
      <c r="F1776" s="36" t="str" cm="1">
        <f t="array" ref="F1776">_xlfn.XLOOKUP(D1776&amp;C1776, Sheet3!$C$2:$C$1224&amp;Sheet3!$B$2:$B$1224, Sheet3!$D$2:$D$1224, "")</f>
        <v>mestika.intan@gmail.com</v>
      </c>
      <c r="G1776" s="1" t="str" cm="1">
        <f t="array" ref="G1776">_xlfn.XLOOKUP(D1776&amp;C1776, Sheet2!$A$2:$A$558&amp;Sheet2!$B$2:$B$558, Sheet2!$C$2:$C$558, "")</f>
        <v/>
      </c>
      <c r="H1776" s="40" t="str">
        <f t="shared" si="27"/>
        <v>mestika.intan@gmail.com</v>
      </c>
    </row>
    <row r="1777" spans="1:8" ht="15.5" x14ac:dyDescent="0.35">
      <c r="A1777" s="7">
        <v>1776</v>
      </c>
      <c r="B1777" s="12">
        <v>28041</v>
      </c>
      <c r="C1777" s="11" t="s">
        <v>1764</v>
      </c>
      <c r="D1777" s="12" t="s">
        <v>1489</v>
      </c>
      <c r="E1777" s="10">
        <v>2009</v>
      </c>
      <c r="F1777" s="36" t="str" cm="1">
        <f t="array" ref="F1777">_xlfn.XLOOKUP(D1777&amp;C1777, Sheet3!$C$2:$C$1224&amp;Sheet3!$B$2:$B$1224, Sheet3!$D$2:$D$1224, "")</f>
        <v/>
      </c>
      <c r="G1777" s="1" t="str" cm="1">
        <f t="array" ref="G1777">_xlfn.XLOOKUP(D1777&amp;C1777, Sheet2!$A$2:$A$558&amp;Sheet2!$B$2:$B$558, Sheet2!$C$2:$C$558, "")</f>
        <v/>
      </c>
      <c r="H1777" s="40" t="str">
        <f t="shared" si="27"/>
        <v/>
      </c>
    </row>
    <row r="1778" spans="1:8" ht="15.5" x14ac:dyDescent="0.35">
      <c r="A1778" s="7">
        <v>1777</v>
      </c>
      <c r="B1778" s="12">
        <v>30060</v>
      </c>
      <c r="C1778" s="11" t="s">
        <v>1765</v>
      </c>
      <c r="D1778" s="12" t="s">
        <v>1490</v>
      </c>
      <c r="E1778" s="10">
        <v>2009</v>
      </c>
      <c r="F1778" s="36" t="str" cm="1">
        <f t="array" ref="F1778">_xlfn.XLOOKUP(D1778&amp;C1778, Sheet3!$C$2:$C$1224&amp;Sheet3!$B$2:$B$1224, Sheet3!$D$2:$D$1224, "")</f>
        <v/>
      </c>
      <c r="G1778" s="1" t="str" cm="1">
        <f t="array" ref="G1778">_xlfn.XLOOKUP(D1778&amp;C1778, Sheet2!$A$2:$A$558&amp;Sheet2!$B$2:$B$558, Sheet2!$C$2:$C$558, "")</f>
        <v/>
      </c>
      <c r="H1778" s="40" t="str">
        <f t="shared" si="27"/>
        <v/>
      </c>
    </row>
    <row r="1779" spans="1:8" ht="15.5" x14ac:dyDescent="0.35">
      <c r="A1779" s="7">
        <v>1778</v>
      </c>
      <c r="B1779" s="12">
        <v>28475</v>
      </c>
      <c r="C1779" s="11" t="s">
        <v>1766</v>
      </c>
      <c r="D1779" s="12" t="s">
        <v>1489</v>
      </c>
      <c r="E1779" s="10">
        <v>2009</v>
      </c>
      <c r="F1779" s="36" t="str" cm="1">
        <f t="array" ref="F1779">_xlfn.XLOOKUP(D1779&amp;C1779, Sheet3!$C$2:$C$1224&amp;Sheet3!$B$2:$B$1224, Sheet3!$D$2:$D$1224, "")</f>
        <v/>
      </c>
      <c r="G1779" s="1" t="str" cm="1">
        <f t="array" ref="G1779">_xlfn.XLOOKUP(D1779&amp;C1779, Sheet2!$A$2:$A$558&amp;Sheet2!$B$2:$B$558, Sheet2!$C$2:$C$558, "")</f>
        <v/>
      </c>
      <c r="H1779" s="40" t="str">
        <f t="shared" si="27"/>
        <v/>
      </c>
    </row>
    <row r="1780" spans="1:8" ht="15.5" x14ac:dyDescent="0.35">
      <c r="A1780" s="7">
        <v>1779</v>
      </c>
      <c r="B1780" s="12">
        <v>28034</v>
      </c>
      <c r="C1780" s="11" t="s">
        <v>3830</v>
      </c>
      <c r="D1780" s="12" t="s">
        <v>1489</v>
      </c>
      <c r="E1780" s="10">
        <v>2009</v>
      </c>
      <c r="F1780" s="36" t="str" cm="1">
        <f t="array" ref="F1780">_xlfn.XLOOKUP(D1780&amp;C1780, Sheet3!$C$2:$C$1224&amp;Sheet3!$B$2:$B$1224, Sheet3!$D$2:$D$1224, "")</f>
        <v>Jeanita.siagian@gmail.com</v>
      </c>
      <c r="G1780" s="1" t="str" cm="1">
        <f t="array" ref="G1780">_xlfn.XLOOKUP(D1780&amp;C1780, Sheet2!$A$2:$A$558&amp;Sheet2!$B$2:$B$558, Sheet2!$C$2:$C$558, "")</f>
        <v/>
      </c>
      <c r="H1780" s="40" t="str">
        <f t="shared" si="27"/>
        <v>Jeanita.siagian@gmail.com</v>
      </c>
    </row>
    <row r="1781" spans="1:8" ht="15.5" x14ac:dyDescent="0.35">
      <c r="A1781" s="7">
        <v>1780</v>
      </c>
      <c r="B1781" s="12">
        <v>28951</v>
      </c>
      <c r="C1781" s="11" t="s">
        <v>1767</v>
      </c>
      <c r="D1781" s="12" t="s">
        <v>1489</v>
      </c>
      <c r="E1781" s="10">
        <v>2009</v>
      </c>
      <c r="F1781" s="36" t="str" cm="1">
        <f t="array" ref="F1781">_xlfn.XLOOKUP(D1781&amp;C1781, Sheet3!$C$2:$C$1224&amp;Sheet3!$B$2:$B$1224, Sheet3!$D$2:$D$1224, "")</f>
        <v/>
      </c>
      <c r="G1781" s="1" t="str" cm="1">
        <f t="array" ref="G1781">_xlfn.XLOOKUP(D1781&amp;C1781, Sheet2!$A$2:$A$558&amp;Sheet2!$B$2:$B$558, Sheet2!$C$2:$C$558, "")</f>
        <v/>
      </c>
      <c r="H1781" s="40" t="str">
        <f t="shared" si="27"/>
        <v/>
      </c>
    </row>
    <row r="1782" spans="1:8" ht="15.5" x14ac:dyDescent="0.35">
      <c r="A1782" s="7">
        <v>1781</v>
      </c>
      <c r="B1782" s="12">
        <v>24028</v>
      </c>
      <c r="C1782" s="11" t="s">
        <v>1768</v>
      </c>
      <c r="D1782" s="12" t="s">
        <v>1078</v>
      </c>
      <c r="E1782" s="10">
        <v>2009</v>
      </c>
      <c r="F1782" s="36" t="str" cm="1">
        <f t="array" ref="F1782">_xlfn.XLOOKUP(D1782&amp;C1782, Sheet3!$C$2:$C$1224&amp;Sheet3!$B$2:$B$1224, Sheet3!$D$2:$D$1224, "")</f>
        <v/>
      </c>
      <c r="G1782" s="1" t="str" cm="1">
        <f t="array" ref="G1782">_xlfn.XLOOKUP(D1782&amp;C1782, Sheet2!$A$2:$A$558&amp;Sheet2!$B$2:$B$558, Sheet2!$C$2:$C$558, "")</f>
        <v/>
      </c>
      <c r="H1782" s="40" t="str">
        <f t="shared" si="27"/>
        <v/>
      </c>
    </row>
    <row r="1783" spans="1:8" ht="15.5" x14ac:dyDescent="0.35">
      <c r="A1783" s="7">
        <v>1782</v>
      </c>
      <c r="B1783" s="12">
        <v>27059</v>
      </c>
      <c r="C1783" s="11" t="s">
        <v>1769</v>
      </c>
      <c r="D1783" s="12" t="s">
        <v>1488</v>
      </c>
      <c r="E1783" s="10">
        <v>2009</v>
      </c>
      <c r="F1783" s="36" t="str" cm="1">
        <f t="array" ref="F1783">_xlfn.XLOOKUP(D1783&amp;C1783, Sheet3!$C$2:$C$1224&amp;Sheet3!$B$2:$B$1224, Sheet3!$D$2:$D$1224, "")</f>
        <v/>
      </c>
      <c r="G1783" s="1" t="str" cm="1">
        <f t="array" ref="G1783">_xlfn.XLOOKUP(D1783&amp;C1783, Sheet2!$A$2:$A$558&amp;Sheet2!$B$2:$B$558, Sheet2!$C$2:$C$558, "")</f>
        <v/>
      </c>
      <c r="H1783" s="40" t="str">
        <f t="shared" si="27"/>
        <v/>
      </c>
    </row>
    <row r="1784" spans="1:8" ht="15.5" x14ac:dyDescent="0.35">
      <c r="A1784" s="7">
        <v>1783</v>
      </c>
      <c r="B1784" s="12">
        <v>28526</v>
      </c>
      <c r="C1784" s="11" t="s">
        <v>1770</v>
      </c>
      <c r="D1784" s="12" t="s">
        <v>1489</v>
      </c>
      <c r="E1784" s="10">
        <v>2009</v>
      </c>
      <c r="F1784" s="36" t="str" cm="1">
        <f t="array" ref="F1784">_xlfn.XLOOKUP(D1784&amp;C1784, Sheet3!$C$2:$C$1224&amp;Sheet3!$B$2:$B$1224, Sheet3!$D$2:$D$1224, "")</f>
        <v>ugm_bernard@yahoo.com.au</v>
      </c>
      <c r="G1784" s="1" t="str" cm="1">
        <f t="array" ref="G1784">_xlfn.XLOOKUP(D1784&amp;C1784, Sheet2!$A$2:$A$558&amp;Sheet2!$B$2:$B$558, Sheet2!$C$2:$C$558, "")</f>
        <v/>
      </c>
      <c r="H1784" s="40" t="str">
        <f t="shared" si="27"/>
        <v>ugm_bernard@yahoo.com.au</v>
      </c>
    </row>
    <row r="1785" spans="1:8" ht="15.5" x14ac:dyDescent="0.35">
      <c r="A1785" s="7">
        <v>1784</v>
      </c>
      <c r="B1785" s="12">
        <v>25490</v>
      </c>
      <c r="C1785" s="11" t="s">
        <v>1771</v>
      </c>
      <c r="D1785" s="12" t="s">
        <v>1486</v>
      </c>
      <c r="E1785" s="10">
        <v>2009</v>
      </c>
      <c r="F1785" s="36" t="str" cm="1">
        <f t="array" ref="F1785">_xlfn.XLOOKUP(D1785&amp;C1785, Sheet3!$C$2:$C$1224&amp;Sheet3!$B$2:$B$1224, Sheet3!$D$2:$D$1224, "")</f>
        <v>wisnu.prabawa@gmail.com</v>
      </c>
      <c r="G1785" s="1" t="str" cm="1">
        <f t="array" ref="G1785">_xlfn.XLOOKUP(D1785&amp;C1785, Sheet2!$A$2:$A$558&amp;Sheet2!$B$2:$B$558, Sheet2!$C$2:$C$558, "")</f>
        <v/>
      </c>
      <c r="H1785" s="40" t="str">
        <f t="shared" si="27"/>
        <v>wisnu.prabawa@gmail.com</v>
      </c>
    </row>
    <row r="1786" spans="1:8" ht="15.5" x14ac:dyDescent="0.35">
      <c r="A1786" s="7">
        <v>1785</v>
      </c>
      <c r="B1786" s="12">
        <v>25882</v>
      </c>
      <c r="C1786" s="11" t="s">
        <v>1772</v>
      </c>
      <c r="D1786" s="12" t="s">
        <v>1486</v>
      </c>
      <c r="E1786" s="10">
        <v>2009</v>
      </c>
      <c r="F1786" s="36" t="str" cm="1">
        <f t="array" ref="F1786">_xlfn.XLOOKUP(D1786&amp;C1786, Sheet3!$C$2:$C$1224&amp;Sheet3!$B$2:$B$1224, Sheet3!$D$2:$D$1224, "")</f>
        <v/>
      </c>
      <c r="G1786" s="1" t="str" cm="1">
        <f t="array" ref="G1786">_xlfn.XLOOKUP(D1786&amp;C1786, Sheet2!$A$2:$A$558&amp;Sheet2!$B$2:$B$558, Sheet2!$C$2:$C$558, "")</f>
        <v/>
      </c>
      <c r="H1786" s="40" t="str">
        <f t="shared" si="27"/>
        <v/>
      </c>
    </row>
    <row r="1787" spans="1:8" ht="15.5" x14ac:dyDescent="0.35">
      <c r="A1787" s="7">
        <v>1786</v>
      </c>
      <c r="B1787" s="12">
        <v>28171</v>
      </c>
      <c r="C1787" s="11" t="s">
        <v>1773</v>
      </c>
      <c r="D1787" s="12" t="s">
        <v>1489</v>
      </c>
      <c r="E1787" s="10">
        <v>2009</v>
      </c>
      <c r="F1787" s="36" t="str" cm="1">
        <f t="array" ref="F1787">_xlfn.XLOOKUP(D1787&amp;C1787, Sheet3!$C$2:$C$1224&amp;Sheet3!$B$2:$B$1224, Sheet3!$D$2:$D$1224, "")</f>
        <v>irfanuddin4384@gmail.com</v>
      </c>
      <c r="G1787" s="1" t="str" cm="1">
        <f t="array" ref="G1787">_xlfn.XLOOKUP(D1787&amp;C1787, Sheet2!$A$2:$A$558&amp;Sheet2!$B$2:$B$558, Sheet2!$C$2:$C$558, "")</f>
        <v/>
      </c>
      <c r="H1787" s="40" t="str">
        <f t="shared" si="27"/>
        <v>irfanuddin4384@gmail.com</v>
      </c>
    </row>
    <row r="1788" spans="1:8" ht="15.5" x14ac:dyDescent="0.35">
      <c r="A1788" s="7">
        <v>1787</v>
      </c>
      <c r="B1788" s="12">
        <v>26569</v>
      </c>
      <c r="C1788" s="11" t="s">
        <v>1774</v>
      </c>
      <c r="D1788" s="12" t="s">
        <v>1487</v>
      </c>
      <c r="E1788" s="10">
        <v>2009</v>
      </c>
      <c r="F1788" s="36" t="str" cm="1">
        <f t="array" ref="F1788">_xlfn.XLOOKUP(D1788&amp;C1788, Sheet3!$C$2:$C$1224&amp;Sheet3!$B$2:$B$1224, Sheet3!$D$2:$D$1224, "")</f>
        <v/>
      </c>
      <c r="G1788" s="1" t="str" cm="1">
        <f t="array" ref="G1788">_xlfn.XLOOKUP(D1788&amp;C1788, Sheet2!$A$2:$A$558&amp;Sheet2!$B$2:$B$558, Sheet2!$C$2:$C$558, "")</f>
        <v/>
      </c>
      <c r="H1788" s="40" t="str">
        <f t="shared" si="27"/>
        <v/>
      </c>
    </row>
    <row r="1789" spans="1:8" ht="15.5" x14ac:dyDescent="0.35">
      <c r="A1789" s="7">
        <v>1788</v>
      </c>
      <c r="B1789" s="12">
        <v>30160</v>
      </c>
      <c r="C1789" s="11" t="s">
        <v>1775</v>
      </c>
      <c r="D1789" s="12" t="s">
        <v>1490</v>
      </c>
      <c r="E1789" s="10">
        <v>2009</v>
      </c>
      <c r="F1789" s="36" t="str" cm="1">
        <f t="array" ref="F1789">_xlfn.XLOOKUP(D1789&amp;C1789, Sheet3!$C$2:$C$1224&amp;Sheet3!$B$2:$B$1224, Sheet3!$D$2:$D$1224, "")</f>
        <v>dimasgeodika@gmail.com</v>
      </c>
      <c r="G1789" s="1" t="str" cm="1">
        <f t="array" ref="G1789">_xlfn.XLOOKUP(D1789&amp;C1789, Sheet2!$A$2:$A$558&amp;Sheet2!$B$2:$B$558, Sheet2!$C$2:$C$558, "")</f>
        <v>dimasgeodika@gmail.com</v>
      </c>
      <c r="H1789" s="40" t="str">
        <f t="shared" si="27"/>
        <v>dimasgeodika@gmail.com</v>
      </c>
    </row>
    <row r="1790" spans="1:8" ht="15.5" x14ac:dyDescent="0.35">
      <c r="A1790" s="7">
        <v>1789</v>
      </c>
      <c r="B1790" s="12">
        <v>29789</v>
      </c>
      <c r="C1790" s="11" t="s">
        <v>1776</v>
      </c>
      <c r="D1790" s="12" t="s">
        <v>1490</v>
      </c>
      <c r="E1790" s="10">
        <v>2009</v>
      </c>
      <c r="F1790" s="36" t="str" cm="1">
        <f t="array" ref="F1790">_xlfn.XLOOKUP(D1790&amp;C1790, Sheet3!$C$2:$C$1224&amp;Sheet3!$B$2:$B$1224, Sheet3!$D$2:$D$1224, "")</f>
        <v>krisnaarimjaya@gmail.com</v>
      </c>
      <c r="G1790" s="1" t="str" cm="1">
        <f t="array" ref="G1790">_xlfn.XLOOKUP(D1790&amp;C1790, Sheet2!$A$2:$A$558&amp;Sheet2!$B$2:$B$558, Sheet2!$C$2:$C$558, "")</f>
        <v/>
      </c>
      <c r="H1790" s="40" t="str">
        <f t="shared" si="27"/>
        <v>krisnaarimjaya@gmail.com</v>
      </c>
    </row>
    <row r="1791" spans="1:8" ht="15.5" x14ac:dyDescent="0.35">
      <c r="A1791" s="7">
        <v>1790</v>
      </c>
      <c r="B1791" s="12">
        <v>30161</v>
      </c>
      <c r="C1791" s="11" t="s">
        <v>1777</v>
      </c>
      <c r="D1791" s="12" t="s">
        <v>1490</v>
      </c>
      <c r="E1791" s="10">
        <v>2009</v>
      </c>
      <c r="F1791" s="36" t="str" cm="1">
        <f t="array" ref="F1791">_xlfn.XLOOKUP(D1791&amp;C1791, Sheet3!$C$2:$C$1224&amp;Sheet3!$B$2:$B$1224, Sheet3!$D$2:$D$1224, "")</f>
        <v/>
      </c>
      <c r="G1791" s="1" t="str" cm="1">
        <f t="array" ref="G1791">_xlfn.XLOOKUP(D1791&amp;C1791, Sheet2!$A$2:$A$558&amp;Sheet2!$B$2:$B$558, Sheet2!$C$2:$C$558, "")</f>
        <v/>
      </c>
      <c r="H1791" s="40" t="str">
        <f t="shared" si="27"/>
        <v/>
      </c>
    </row>
    <row r="1792" spans="1:8" ht="15.5" x14ac:dyDescent="0.35">
      <c r="A1792" s="7">
        <v>1791</v>
      </c>
      <c r="B1792" s="12">
        <v>29619</v>
      </c>
      <c r="C1792" s="11" t="s">
        <v>1778</v>
      </c>
      <c r="D1792" s="12" t="s">
        <v>1490</v>
      </c>
      <c r="E1792" s="10">
        <v>2009</v>
      </c>
      <c r="F1792" s="36" t="str" cm="1">
        <f t="array" ref="F1792">_xlfn.XLOOKUP(D1792&amp;C1792, Sheet3!$C$2:$C$1224&amp;Sheet3!$B$2:$B$1224, Sheet3!$D$2:$D$1224, "")</f>
        <v/>
      </c>
      <c r="G1792" s="1" t="str" cm="1">
        <f t="array" ref="G1792">_xlfn.XLOOKUP(D1792&amp;C1792, Sheet2!$A$2:$A$558&amp;Sheet2!$B$2:$B$558, Sheet2!$C$2:$C$558, "")</f>
        <v>faridyuniar@gmail.com</v>
      </c>
      <c r="H1792" s="40" t="str">
        <f t="shared" si="27"/>
        <v>faridyuniar@gmail.com</v>
      </c>
    </row>
    <row r="1793" spans="1:8" ht="15.5" x14ac:dyDescent="0.35">
      <c r="A1793" s="7">
        <v>1792</v>
      </c>
      <c r="B1793" s="12">
        <v>29873</v>
      </c>
      <c r="C1793" s="11" t="s">
        <v>1779</v>
      </c>
      <c r="D1793" s="12" t="s">
        <v>1490</v>
      </c>
      <c r="E1793" s="10">
        <v>2009</v>
      </c>
      <c r="F1793" s="36" t="str" cm="1">
        <f t="array" ref="F1793">_xlfn.XLOOKUP(D1793&amp;C1793, Sheet3!$C$2:$C$1224&amp;Sheet3!$B$2:$B$1224, Sheet3!$D$2:$D$1224, "")</f>
        <v>anggopuguhnugroho@gmail.com</v>
      </c>
      <c r="G1793" s="1" t="str" cm="1">
        <f t="array" ref="G1793">_xlfn.XLOOKUP(D1793&amp;C1793, Sheet2!$A$2:$A$558&amp;Sheet2!$B$2:$B$558, Sheet2!$C$2:$C$558, "")</f>
        <v/>
      </c>
      <c r="H1793" s="40" t="str">
        <f t="shared" si="27"/>
        <v>anggopuguhnugroho@gmail.com</v>
      </c>
    </row>
    <row r="1794" spans="1:8" ht="15.5" x14ac:dyDescent="0.35">
      <c r="A1794" s="7">
        <v>1793</v>
      </c>
      <c r="B1794" s="12">
        <v>30271</v>
      </c>
      <c r="C1794" s="11" t="s">
        <v>1780</v>
      </c>
      <c r="D1794" s="12" t="s">
        <v>1490</v>
      </c>
      <c r="E1794" s="10">
        <v>2009</v>
      </c>
      <c r="F1794" s="36" t="str" cm="1">
        <f t="array" ref="F1794">_xlfn.XLOOKUP(D1794&amp;C1794, Sheet3!$C$2:$C$1224&amp;Sheet3!$B$2:$B$1224, Sheet3!$D$2:$D$1224, "")</f>
        <v/>
      </c>
      <c r="G1794" s="1" t="str" cm="1">
        <f t="array" ref="G1794">_xlfn.XLOOKUP(D1794&amp;C1794, Sheet2!$A$2:$A$558&amp;Sheet2!$B$2:$B$558, Sheet2!$C$2:$C$558, "")</f>
        <v/>
      </c>
      <c r="H1794" s="40" t="str">
        <f t="shared" si="27"/>
        <v/>
      </c>
    </row>
    <row r="1795" spans="1:8" ht="15.5" x14ac:dyDescent="0.35">
      <c r="A1795" s="7">
        <v>1794</v>
      </c>
      <c r="B1795" s="12">
        <v>29406</v>
      </c>
      <c r="C1795" s="11" t="s">
        <v>1781</v>
      </c>
      <c r="D1795" s="12" t="s">
        <v>1490</v>
      </c>
      <c r="E1795" s="10">
        <v>2009</v>
      </c>
      <c r="F1795" s="36" t="str" cm="1">
        <f t="array" ref="F1795">_xlfn.XLOOKUP(D1795&amp;C1795, Sheet3!$C$2:$C$1224&amp;Sheet3!$B$2:$B$1224, Sheet3!$D$2:$D$1224, "")</f>
        <v/>
      </c>
      <c r="G1795" s="1" t="str" cm="1">
        <f t="array" ref="G1795">_xlfn.XLOOKUP(D1795&amp;C1795, Sheet2!$A$2:$A$558&amp;Sheet2!$B$2:$B$558, Sheet2!$C$2:$C$558, "")</f>
        <v/>
      </c>
      <c r="H1795" s="40" t="str">
        <f t="shared" ref="H1795:H1858" si="28">IF(F1795&lt;&gt;"",F1795,G1795)</f>
        <v/>
      </c>
    </row>
    <row r="1796" spans="1:8" ht="15.5" x14ac:dyDescent="0.35">
      <c r="A1796" s="7">
        <v>1795</v>
      </c>
      <c r="B1796" s="12">
        <v>27930</v>
      </c>
      <c r="C1796" s="11" t="s">
        <v>1782</v>
      </c>
      <c r="D1796" s="12" t="s">
        <v>1489</v>
      </c>
      <c r="E1796" s="10">
        <v>2009</v>
      </c>
      <c r="F1796" s="36" t="str" cm="1">
        <f t="array" ref="F1796">_xlfn.XLOOKUP(D1796&amp;C1796, Sheet3!$C$2:$C$1224&amp;Sheet3!$B$2:$B$1224, Sheet3!$D$2:$D$1224, "")</f>
        <v/>
      </c>
      <c r="G1796" s="1" t="str" cm="1">
        <f t="array" ref="G1796">_xlfn.XLOOKUP(D1796&amp;C1796, Sheet2!$A$2:$A$558&amp;Sheet2!$B$2:$B$558, Sheet2!$C$2:$C$558, "")</f>
        <v/>
      </c>
      <c r="H1796" s="40" t="str">
        <f t="shared" si="28"/>
        <v/>
      </c>
    </row>
    <row r="1797" spans="1:8" ht="15.5" x14ac:dyDescent="0.35">
      <c r="A1797" s="7">
        <v>1796</v>
      </c>
      <c r="B1797" s="12">
        <v>27878</v>
      </c>
      <c r="C1797" s="11" t="s">
        <v>1783</v>
      </c>
      <c r="D1797" s="12" t="s">
        <v>1488</v>
      </c>
      <c r="E1797" s="10">
        <v>2009</v>
      </c>
      <c r="F1797" s="36" t="str" cm="1">
        <f t="array" ref="F1797">_xlfn.XLOOKUP(D1797&amp;C1797, Sheet3!$C$2:$C$1224&amp;Sheet3!$B$2:$B$1224, Sheet3!$D$2:$D$1224, "")</f>
        <v/>
      </c>
      <c r="G1797" s="1" t="str" cm="1">
        <f t="array" ref="G1797">_xlfn.XLOOKUP(D1797&amp;C1797, Sheet2!$A$2:$A$558&amp;Sheet2!$B$2:$B$558, Sheet2!$C$2:$C$558, "")</f>
        <v/>
      </c>
      <c r="H1797" s="40" t="str">
        <f t="shared" si="28"/>
        <v/>
      </c>
    </row>
    <row r="1798" spans="1:8" ht="15.5" x14ac:dyDescent="0.35">
      <c r="A1798" s="7">
        <v>1797</v>
      </c>
      <c r="B1798" s="12">
        <v>27314</v>
      </c>
      <c r="C1798" s="11" t="s">
        <v>1784</v>
      </c>
      <c r="D1798" s="12" t="s">
        <v>1488</v>
      </c>
      <c r="E1798" s="10">
        <v>2009</v>
      </c>
      <c r="F1798" s="36" t="str" cm="1">
        <f t="array" ref="F1798">_xlfn.XLOOKUP(D1798&amp;C1798, Sheet3!$C$2:$C$1224&amp;Sheet3!$B$2:$B$1224, Sheet3!$D$2:$D$1224, "")</f>
        <v>sumadineverdie@gmail.com</v>
      </c>
      <c r="G1798" s="1" t="str" cm="1">
        <f t="array" ref="G1798">_xlfn.XLOOKUP(D1798&amp;C1798, Sheet2!$A$2:$A$558&amp;Sheet2!$B$2:$B$558, Sheet2!$C$2:$C$558, "")</f>
        <v/>
      </c>
      <c r="H1798" s="40" t="str">
        <f t="shared" si="28"/>
        <v>sumadineverdie@gmail.com</v>
      </c>
    </row>
    <row r="1799" spans="1:8" ht="15.5" x14ac:dyDescent="0.35">
      <c r="A1799" s="7">
        <v>1798</v>
      </c>
      <c r="B1799" s="12">
        <v>28305</v>
      </c>
      <c r="C1799" s="11" t="s">
        <v>1785</v>
      </c>
      <c r="D1799" s="12" t="s">
        <v>1489</v>
      </c>
      <c r="E1799" s="10">
        <v>2009</v>
      </c>
      <c r="F1799" s="36" t="str" cm="1">
        <f t="array" ref="F1799">_xlfn.XLOOKUP(D1799&amp;C1799, Sheet3!$C$2:$C$1224&amp;Sheet3!$B$2:$B$1224, Sheet3!$D$2:$D$1224, "")</f>
        <v/>
      </c>
      <c r="G1799" s="1" t="str" cm="1">
        <f t="array" ref="G1799">_xlfn.XLOOKUP(D1799&amp;C1799, Sheet2!$A$2:$A$558&amp;Sheet2!$B$2:$B$558, Sheet2!$C$2:$C$558, "")</f>
        <v/>
      </c>
      <c r="H1799" s="40" t="str">
        <f t="shared" si="28"/>
        <v/>
      </c>
    </row>
    <row r="1800" spans="1:8" ht="15.5" x14ac:dyDescent="0.35">
      <c r="A1800" s="7">
        <v>1799</v>
      </c>
      <c r="B1800" s="12">
        <v>27063</v>
      </c>
      <c r="C1800" s="11" t="s">
        <v>1786</v>
      </c>
      <c r="D1800" s="12" t="s">
        <v>1488</v>
      </c>
      <c r="E1800" s="10">
        <v>2009</v>
      </c>
      <c r="F1800" s="36" t="str" cm="1">
        <f t="array" ref="F1800">_xlfn.XLOOKUP(D1800&amp;C1800, Sheet3!$C$2:$C$1224&amp;Sheet3!$B$2:$B$1224, Sheet3!$D$2:$D$1224, "")</f>
        <v/>
      </c>
      <c r="G1800" s="1" t="str" cm="1">
        <f t="array" ref="G1800">_xlfn.XLOOKUP(D1800&amp;C1800, Sheet2!$A$2:$A$558&amp;Sheet2!$B$2:$B$558, Sheet2!$C$2:$C$558, "")</f>
        <v/>
      </c>
      <c r="H1800" s="40" t="str">
        <f t="shared" si="28"/>
        <v/>
      </c>
    </row>
    <row r="1801" spans="1:8" ht="15.5" x14ac:dyDescent="0.35">
      <c r="A1801" s="7">
        <v>1800</v>
      </c>
      <c r="B1801" s="12">
        <v>28687</v>
      </c>
      <c r="C1801" s="11" t="s">
        <v>1787</v>
      </c>
      <c r="D1801" s="12" t="s">
        <v>1489</v>
      </c>
      <c r="E1801" s="10">
        <v>2009</v>
      </c>
      <c r="F1801" s="36" t="str" cm="1">
        <f t="array" ref="F1801">_xlfn.XLOOKUP(D1801&amp;C1801, Sheet3!$C$2:$C$1224&amp;Sheet3!$B$2:$B$1224, Sheet3!$D$2:$D$1224, "")</f>
        <v/>
      </c>
      <c r="G1801" s="1" t="str" cm="1">
        <f t="array" ref="G1801">_xlfn.XLOOKUP(D1801&amp;C1801, Sheet2!$A$2:$A$558&amp;Sheet2!$B$2:$B$558, Sheet2!$C$2:$C$558, "")</f>
        <v/>
      </c>
      <c r="H1801" s="40" t="str">
        <f t="shared" si="28"/>
        <v/>
      </c>
    </row>
    <row r="1802" spans="1:8" ht="15.5" x14ac:dyDescent="0.35">
      <c r="A1802" s="7">
        <v>1801</v>
      </c>
      <c r="B1802" s="12">
        <v>27402</v>
      </c>
      <c r="C1802" s="11" t="s">
        <v>5836</v>
      </c>
      <c r="D1802" s="12" t="s">
        <v>1488</v>
      </c>
      <c r="E1802" s="10">
        <v>2009</v>
      </c>
      <c r="F1802" s="36" t="str" cm="1">
        <f t="array" ref="F1802">_xlfn.XLOOKUP(D1802&amp;C1802, Sheet3!$C$2:$C$1224&amp;Sheet3!$B$2:$B$1224, Sheet3!$D$2:$D$1224, "")</f>
        <v>jmaipura@gmail.com</v>
      </c>
      <c r="G1802" s="1" t="str" cm="1">
        <f t="array" ref="G1802">_xlfn.XLOOKUP(D1802&amp;C1802, Sheet2!$A$2:$A$558&amp;Sheet2!$B$2:$B$558, Sheet2!$C$2:$C$558, "")</f>
        <v/>
      </c>
      <c r="H1802" s="40" t="str">
        <f t="shared" si="28"/>
        <v>jmaipura@gmail.com</v>
      </c>
    </row>
    <row r="1803" spans="1:8" ht="15.5" x14ac:dyDescent="0.35">
      <c r="A1803" s="7">
        <v>1802</v>
      </c>
      <c r="B1803" s="12">
        <v>29186</v>
      </c>
      <c r="C1803" s="13" t="s">
        <v>1788</v>
      </c>
      <c r="D1803" s="12" t="s">
        <v>1489</v>
      </c>
      <c r="E1803" s="10">
        <v>2009</v>
      </c>
      <c r="F1803" s="36" t="str" cm="1">
        <f t="array" ref="F1803">_xlfn.XLOOKUP(D1803&amp;C1803, Sheet3!$C$2:$C$1224&amp;Sheet3!$B$2:$B$1224, Sheet3!$D$2:$D$1224, "")</f>
        <v/>
      </c>
      <c r="G1803" s="1" t="str" cm="1">
        <f t="array" ref="G1803">_xlfn.XLOOKUP(D1803&amp;C1803, Sheet2!$A$2:$A$558&amp;Sheet2!$B$2:$B$558, Sheet2!$C$2:$C$558, "")</f>
        <v/>
      </c>
      <c r="H1803" s="40" t="str">
        <f t="shared" si="28"/>
        <v/>
      </c>
    </row>
    <row r="1804" spans="1:8" ht="15.5" x14ac:dyDescent="0.35">
      <c r="A1804" s="7">
        <v>1803</v>
      </c>
      <c r="B1804" s="12">
        <v>30374</v>
      </c>
      <c r="C1804" s="11" t="s">
        <v>1789</v>
      </c>
      <c r="D1804" s="12" t="s">
        <v>1491</v>
      </c>
      <c r="E1804" s="10">
        <v>2009</v>
      </c>
      <c r="F1804" s="36" t="str" cm="1">
        <f t="array" ref="F1804">_xlfn.XLOOKUP(D1804&amp;C1804, Sheet3!$C$2:$C$1224&amp;Sheet3!$B$2:$B$1224, Sheet3!$D$2:$D$1224, "")</f>
        <v/>
      </c>
      <c r="G1804" s="1" t="str" cm="1">
        <f t="array" ref="G1804">_xlfn.XLOOKUP(D1804&amp;C1804, Sheet2!$A$2:$A$558&amp;Sheet2!$B$2:$B$558, Sheet2!$C$2:$C$558, "")</f>
        <v/>
      </c>
      <c r="H1804" s="40" t="str">
        <f t="shared" si="28"/>
        <v/>
      </c>
    </row>
    <row r="1805" spans="1:8" ht="15.5" x14ac:dyDescent="0.35">
      <c r="A1805" s="7">
        <v>1804</v>
      </c>
      <c r="B1805" s="12">
        <v>30176</v>
      </c>
      <c r="C1805" s="11" t="s">
        <v>1790</v>
      </c>
      <c r="D1805" s="12" t="s">
        <v>1490</v>
      </c>
      <c r="E1805" s="10">
        <v>2009</v>
      </c>
      <c r="F1805" s="36" t="str" cm="1">
        <f t="array" ref="F1805">_xlfn.XLOOKUP(D1805&amp;C1805, Sheet3!$C$2:$C$1224&amp;Sheet3!$B$2:$B$1224, Sheet3!$D$2:$D$1224, "")</f>
        <v/>
      </c>
      <c r="G1805" s="1" t="str" cm="1">
        <f t="array" ref="G1805">_xlfn.XLOOKUP(D1805&amp;C1805, Sheet2!$A$2:$A$558&amp;Sheet2!$B$2:$B$558, Sheet2!$C$2:$C$558, "")</f>
        <v/>
      </c>
      <c r="H1805" s="40" t="str">
        <f t="shared" si="28"/>
        <v/>
      </c>
    </row>
    <row r="1806" spans="1:8" ht="15.5" x14ac:dyDescent="0.35">
      <c r="A1806" s="7">
        <v>1805</v>
      </c>
      <c r="B1806" s="12">
        <v>30595</v>
      </c>
      <c r="C1806" s="11" t="s">
        <v>1791</v>
      </c>
      <c r="D1806" s="12" t="s">
        <v>1491</v>
      </c>
      <c r="E1806" s="10">
        <v>2009</v>
      </c>
      <c r="F1806" s="36" t="str" cm="1">
        <f t="array" ref="F1806">_xlfn.XLOOKUP(D1806&amp;C1806, Sheet3!$C$2:$C$1224&amp;Sheet3!$B$2:$B$1224, Sheet3!$D$2:$D$1224, "")</f>
        <v>ikakristinanoviyanti@gmail.com</v>
      </c>
      <c r="G1806" s="1" t="str" cm="1">
        <f t="array" ref="G1806">_xlfn.XLOOKUP(D1806&amp;C1806, Sheet2!$A$2:$A$558&amp;Sheet2!$B$2:$B$558, Sheet2!$C$2:$C$558, "")</f>
        <v/>
      </c>
      <c r="H1806" s="40" t="str">
        <f t="shared" si="28"/>
        <v>ikakristinanoviyanti@gmail.com</v>
      </c>
    </row>
    <row r="1807" spans="1:8" ht="15.5" x14ac:dyDescent="0.35">
      <c r="A1807" s="7">
        <v>1806</v>
      </c>
      <c r="B1807" s="12">
        <v>31181</v>
      </c>
      <c r="C1807" s="11" t="s">
        <v>1792</v>
      </c>
      <c r="D1807" s="12" t="s">
        <v>1491</v>
      </c>
      <c r="E1807" s="10">
        <v>2009</v>
      </c>
      <c r="F1807" s="36" t="str" cm="1">
        <f t="array" ref="F1807">_xlfn.XLOOKUP(D1807&amp;C1807, Sheet3!$C$2:$C$1224&amp;Sheet3!$B$2:$B$1224, Sheet3!$D$2:$D$1224, "")</f>
        <v/>
      </c>
      <c r="G1807" s="1" t="str" cm="1">
        <f t="array" ref="G1807">_xlfn.XLOOKUP(D1807&amp;C1807, Sheet2!$A$2:$A$558&amp;Sheet2!$B$2:$B$558, Sheet2!$C$2:$C$558, "")</f>
        <v>susilo@stpn.ac.id</v>
      </c>
      <c r="H1807" s="40" t="str">
        <f t="shared" si="28"/>
        <v>susilo@stpn.ac.id</v>
      </c>
    </row>
    <row r="1808" spans="1:8" ht="15.5" x14ac:dyDescent="0.35">
      <c r="A1808" s="7">
        <v>1807</v>
      </c>
      <c r="B1808" s="12">
        <v>29693</v>
      </c>
      <c r="C1808" s="11" t="s">
        <v>1793</v>
      </c>
      <c r="D1808" s="12" t="s">
        <v>1490</v>
      </c>
      <c r="E1808" s="10">
        <v>2009</v>
      </c>
      <c r="F1808" s="36" t="str" cm="1">
        <f t="array" ref="F1808">_xlfn.XLOOKUP(D1808&amp;C1808, Sheet3!$C$2:$C$1224&amp;Sheet3!$B$2:$B$1224, Sheet3!$D$2:$D$1224, "")</f>
        <v/>
      </c>
      <c r="G1808" s="1" t="str" cm="1">
        <f t="array" ref="G1808">_xlfn.XLOOKUP(D1808&amp;C1808, Sheet2!$A$2:$A$558&amp;Sheet2!$B$2:$B$558, Sheet2!$C$2:$C$558, "")</f>
        <v/>
      </c>
      <c r="H1808" s="40" t="str">
        <f t="shared" si="28"/>
        <v/>
      </c>
    </row>
    <row r="1809" spans="1:8" ht="15.5" x14ac:dyDescent="0.35">
      <c r="A1809" s="7">
        <v>1808</v>
      </c>
      <c r="B1809" s="12">
        <v>29580</v>
      </c>
      <c r="C1809" s="11" t="s">
        <v>1794</v>
      </c>
      <c r="D1809" s="12" t="s">
        <v>1490</v>
      </c>
      <c r="E1809" s="10">
        <v>2009</v>
      </c>
      <c r="F1809" s="36" t="str" cm="1">
        <f t="array" ref="F1809">_xlfn.XLOOKUP(D1809&amp;C1809, Sheet3!$C$2:$C$1224&amp;Sheet3!$B$2:$B$1224, Sheet3!$D$2:$D$1224, "")</f>
        <v>niajengp@gmail.com</v>
      </c>
      <c r="G1809" s="1" t="str" cm="1">
        <f t="array" ref="G1809">_xlfn.XLOOKUP(D1809&amp;C1809, Sheet2!$A$2:$A$558&amp;Sheet2!$B$2:$B$558, Sheet2!$C$2:$C$558, "")</f>
        <v>niajengp@gmail.com</v>
      </c>
      <c r="H1809" s="40" t="str">
        <f t="shared" si="28"/>
        <v>niajengp@gmail.com</v>
      </c>
    </row>
    <row r="1810" spans="1:8" ht="15.5" x14ac:dyDescent="0.35">
      <c r="A1810" s="7">
        <v>1809</v>
      </c>
      <c r="B1810" s="12">
        <v>30724</v>
      </c>
      <c r="C1810" s="11" t="s">
        <v>1795</v>
      </c>
      <c r="D1810" s="12" t="s">
        <v>1491</v>
      </c>
      <c r="E1810" s="10">
        <v>2009</v>
      </c>
      <c r="F1810" s="36" t="str" cm="1">
        <f t="array" ref="F1810">_xlfn.XLOOKUP(D1810&amp;C1810, Sheet3!$C$2:$C$1224&amp;Sheet3!$B$2:$B$1224, Sheet3!$D$2:$D$1224, "")</f>
        <v/>
      </c>
      <c r="G1810" s="1" t="str" cm="1">
        <f t="array" ref="G1810">_xlfn.XLOOKUP(D1810&amp;C1810, Sheet2!$A$2:$A$558&amp;Sheet2!$B$2:$B$558, Sheet2!$C$2:$C$558, "")</f>
        <v/>
      </c>
      <c r="H1810" s="40" t="str">
        <f t="shared" si="28"/>
        <v/>
      </c>
    </row>
    <row r="1811" spans="1:8" ht="15.5" x14ac:dyDescent="0.35">
      <c r="A1811" s="7">
        <v>1810</v>
      </c>
      <c r="B1811" s="12">
        <v>30240</v>
      </c>
      <c r="C1811" s="11" t="s">
        <v>1796</v>
      </c>
      <c r="D1811" s="12" t="s">
        <v>1490</v>
      </c>
      <c r="E1811" s="10">
        <v>2009</v>
      </c>
      <c r="F1811" s="36" t="str" cm="1">
        <f t="array" ref="F1811">_xlfn.XLOOKUP(D1811&amp;C1811, Sheet3!$C$2:$C$1224&amp;Sheet3!$B$2:$B$1224, Sheet3!$D$2:$D$1224, "")</f>
        <v/>
      </c>
      <c r="G1811" s="1" t="str" cm="1">
        <f t="array" ref="G1811">_xlfn.XLOOKUP(D1811&amp;C1811, Sheet2!$A$2:$A$558&amp;Sheet2!$B$2:$B$558, Sheet2!$C$2:$C$558, "")</f>
        <v/>
      </c>
      <c r="H1811" s="40" t="str">
        <f t="shared" si="28"/>
        <v/>
      </c>
    </row>
    <row r="1812" spans="1:8" ht="15.5" x14ac:dyDescent="0.35">
      <c r="A1812" s="7">
        <v>1811</v>
      </c>
      <c r="B1812" s="12">
        <v>30291</v>
      </c>
      <c r="C1812" s="11" t="s">
        <v>1797</v>
      </c>
      <c r="D1812" s="12" t="s">
        <v>1490</v>
      </c>
      <c r="E1812" s="10">
        <v>2009</v>
      </c>
      <c r="F1812" s="36" t="str" cm="1">
        <f t="array" ref="F1812">_xlfn.XLOOKUP(D1812&amp;C1812, Sheet3!$C$2:$C$1224&amp;Sheet3!$B$2:$B$1224, Sheet3!$D$2:$D$1224, "")</f>
        <v/>
      </c>
      <c r="G1812" s="1" t="str" cm="1">
        <f t="array" ref="G1812">_xlfn.XLOOKUP(D1812&amp;C1812, Sheet2!$A$2:$A$558&amp;Sheet2!$B$2:$B$558, Sheet2!$C$2:$C$558, "")</f>
        <v/>
      </c>
      <c r="H1812" s="40" t="str">
        <f t="shared" si="28"/>
        <v/>
      </c>
    </row>
    <row r="1813" spans="1:8" ht="15.5" x14ac:dyDescent="0.35">
      <c r="A1813" s="7">
        <v>1812</v>
      </c>
      <c r="B1813" s="12">
        <v>30655</v>
      </c>
      <c r="C1813" s="11" t="s">
        <v>1798</v>
      </c>
      <c r="D1813" s="12" t="s">
        <v>1491</v>
      </c>
      <c r="E1813" s="10">
        <v>2009</v>
      </c>
      <c r="F1813" s="36" t="str" cm="1">
        <f t="array" ref="F1813">_xlfn.XLOOKUP(D1813&amp;C1813, Sheet3!$C$2:$C$1224&amp;Sheet3!$B$2:$B$1224, Sheet3!$D$2:$D$1224, "")</f>
        <v/>
      </c>
      <c r="G1813" s="1" t="str" cm="1">
        <f t="array" ref="G1813">_xlfn.XLOOKUP(D1813&amp;C1813, Sheet2!$A$2:$A$558&amp;Sheet2!$B$2:$B$558, Sheet2!$C$2:$C$558, "")</f>
        <v/>
      </c>
      <c r="H1813" s="40" t="str">
        <f t="shared" si="28"/>
        <v/>
      </c>
    </row>
    <row r="1814" spans="1:8" ht="15.5" x14ac:dyDescent="0.35">
      <c r="A1814" s="7">
        <v>1813</v>
      </c>
      <c r="B1814" s="12">
        <v>30695</v>
      </c>
      <c r="C1814" s="11" t="s">
        <v>1799</v>
      </c>
      <c r="D1814" s="12" t="s">
        <v>1491</v>
      </c>
      <c r="E1814" s="10">
        <v>2009</v>
      </c>
      <c r="F1814" s="36" t="str" cm="1">
        <f t="array" ref="F1814">_xlfn.XLOOKUP(D1814&amp;C1814, Sheet3!$C$2:$C$1224&amp;Sheet3!$B$2:$B$1224, Sheet3!$D$2:$D$1224, "")</f>
        <v/>
      </c>
      <c r="G1814" s="1" t="str" cm="1">
        <f t="array" ref="G1814">_xlfn.XLOOKUP(D1814&amp;C1814, Sheet2!$A$2:$A$558&amp;Sheet2!$B$2:$B$558, Sheet2!$C$2:$C$558, "")</f>
        <v/>
      </c>
      <c r="H1814" s="40" t="str">
        <f t="shared" si="28"/>
        <v/>
      </c>
    </row>
    <row r="1815" spans="1:8" ht="15.5" x14ac:dyDescent="0.35">
      <c r="A1815" s="7">
        <v>1814</v>
      </c>
      <c r="B1815" s="12">
        <v>29489</v>
      </c>
      <c r="C1815" s="11" t="s">
        <v>1800</v>
      </c>
      <c r="D1815" s="12" t="s">
        <v>1490</v>
      </c>
      <c r="E1815" s="10">
        <v>2009</v>
      </c>
      <c r="F1815" s="36" t="str" cm="1">
        <f t="array" ref="F1815">_xlfn.XLOOKUP(D1815&amp;C1815, Sheet3!$C$2:$C$1224&amp;Sheet3!$B$2:$B$1224, Sheet3!$D$2:$D$1224, "")</f>
        <v>vitomursa@gmail.com</v>
      </c>
      <c r="G1815" s="1" t="str" cm="1">
        <f t="array" ref="G1815">_xlfn.XLOOKUP(D1815&amp;C1815, Sheet2!$A$2:$A$558&amp;Sheet2!$B$2:$B$558, Sheet2!$C$2:$C$558, "")</f>
        <v>vitomursa@gmail.com</v>
      </c>
      <c r="H1815" s="40" t="str">
        <f t="shared" si="28"/>
        <v>vitomursa@gmail.com</v>
      </c>
    </row>
    <row r="1816" spans="1:8" ht="15.5" x14ac:dyDescent="0.35">
      <c r="A1816" s="7">
        <v>1815</v>
      </c>
      <c r="B1816" s="12">
        <v>30602</v>
      </c>
      <c r="C1816" s="11" t="s">
        <v>1801</v>
      </c>
      <c r="D1816" s="12" t="s">
        <v>1491</v>
      </c>
      <c r="E1816" s="10">
        <v>2009</v>
      </c>
      <c r="F1816" s="36" t="str" cm="1">
        <f t="array" ref="F1816">_xlfn.XLOOKUP(D1816&amp;C1816, Sheet3!$C$2:$C$1224&amp;Sheet3!$B$2:$B$1224, Sheet3!$D$2:$D$1224, "")</f>
        <v/>
      </c>
      <c r="G1816" s="1" t="str" cm="1">
        <f t="array" ref="G1816">_xlfn.XLOOKUP(D1816&amp;C1816, Sheet2!$A$2:$A$558&amp;Sheet2!$B$2:$B$558, Sheet2!$C$2:$C$558, "")</f>
        <v/>
      </c>
      <c r="H1816" s="40" t="str">
        <f t="shared" si="28"/>
        <v/>
      </c>
    </row>
    <row r="1817" spans="1:8" ht="15.5" x14ac:dyDescent="0.35">
      <c r="A1817" s="7">
        <v>1816</v>
      </c>
      <c r="B1817" s="12">
        <v>28070</v>
      </c>
      <c r="C1817" s="11" t="s">
        <v>1802</v>
      </c>
      <c r="D1817" s="12" t="s">
        <v>1489</v>
      </c>
      <c r="E1817" s="10">
        <v>2009</v>
      </c>
      <c r="F1817" s="36" t="str" cm="1">
        <f t="array" ref="F1817">_xlfn.XLOOKUP(D1817&amp;C1817, Sheet3!$C$2:$C$1224&amp;Sheet3!$B$2:$B$1224, Sheet3!$D$2:$D$1224, "")</f>
        <v>juliansaputra.mr@gmail.com</v>
      </c>
      <c r="G1817" s="1" t="str" cm="1">
        <f t="array" ref="G1817">_xlfn.XLOOKUP(D1817&amp;C1817, Sheet2!$A$2:$A$558&amp;Sheet2!$B$2:$B$558, Sheet2!$C$2:$C$558, "")</f>
        <v/>
      </c>
      <c r="H1817" s="40" t="str">
        <f t="shared" si="28"/>
        <v>juliansaputra.mr@gmail.com</v>
      </c>
    </row>
    <row r="1818" spans="1:8" ht="15.5" x14ac:dyDescent="0.35">
      <c r="A1818" s="7">
        <v>1817</v>
      </c>
      <c r="B1818" s="12">
        <v>27975</v>
      </c>
      <c r="C1818" s="11" t="s">
        <v>1803</v>
      </c>
      <c r="D1818" s="12" t="s">
        <v>1489</v>
      </c>
      <c r="E1818" s="10">
        <v>2009</v>
      </c>
      <c r="F1818" s="36" t="str" cm="1">
        <f t="array" ref="F1818">_xlfn.XLOOKUP(D1818&amp;C1818, Sheet3!$C$2:$C$1224&amp;Sheet3!$B$2:$B$1224, Sheet3!$D$2:$D$1224, "")</f>
        <v/>
      </c>
      <c r="G1818" s="1" t="str" cm="1">
        <f t="array" ref="G1818">_xlfn.XLOOKUP(D1818&amp;C1818, Sheet2!$A$2:$A$558&amp;Sheet2!$B$2:$B$558, Sheet2!$C$2:$C$558, "")</f>
        <v/>
      </c>
      <c r="H1818" s="40" t="str">
        <f t="shared" si="28"/>
        <v/>
      </c>
    </row>
    <row r="1819" spans="1:8" ht="15.5" x14ac:dyDescent="0.35">
      <c r="A1819" s="7">
        <v>1818</v>
      </c>
      <c r="B1819" s="12">
        <v>29781</v>
      </c>
      <c r="C1819" s="11" t="s">
        <v>1804</v>
      </c>
      <c r="D1819" s="12" t="s">
        <v>1490</v>
      </c>
      <c r="E1819" s="10">
        <v>2009</v>
      </c>
      <c r="F1819" s="36" t="str" cm="1">
        <f t="array" ref="F1819">_xlfn.XLOOKUP(D1819&amp;C1819, Sheet3!$C$2:$C$1224&amp;Sheet3!$B$2:$B$1224, Sheet3!$D$2:$D$1224, "")</f>
        <v/>
      </c>
      <c r="G1819" s="1" t="str" cm="1">
        <f t="array" ref="G1819">_xlfn.XLOOKUP(D1819&amp;C1819, Sheet2!$A$2:$A$558&amp;Sheet2!$B$2:$B$558, Sheet2!$C$2:$C$558, "")</f>
        <v/>
      </c>
      <c r="H1819" s="40" t="str">
        <f t="shared" si="28"/>
        <v/>
      </c>
    </row>
    <row r="1820" spans="1:8" ht="15.5" x14ac:dyDescent="0.35">
      <c r="A1820" s="7">
        <v>1819</v>
      </c>
      <c r="B1820" s="12">
        <v>29366</v>
      </c>
      <c r="C1820" s="11" t="s">
        <v>1805</v>
      </c>
      <c r="D1820" s="12" t="s">
        <v>1490</v>
      </c>
      <c r="E1820" s="10">
        <v>2009</v>
      </c>
      <c r="F1820" s="36" t="str" cm="1">
        <f t="array" ref="F1820">_xlfn.XLOOKUP(D1820&amp;C1820, Sheet3!$C$2:$C$1224&amp;Sheet3!$B$2:$B$1224, Sheet3!$D$2:$D$1224, "")</f>
        <v/>
      </c>
      <c r="G1820" s="1" t="str" cm="1">
        <f t="array" ref="G1820">_xlfn.XLOOKUP(D1820&amp;C1820, Sheet2!$A$2:$A$558&amp;Sheet2!$B$2:$B$558, Sheet2!$C$2:$C$558, "")</f>
        <v/>
      </c>
      <c r="H1820" s="40" t="str">
        <f t="shared" si="28"/>
        <v/>
      </c>
    </row>
    <row r="1821" spans="1:8" ht="15.5" x14ac:dyDescent="0.35">
      <c r="A1821" s="7">
        <v>1820</v>
      </c>
      <c r="B1821" s="12">
        <v>28060</v>
      </c>
      <c r="C1821" s="13" t="s">
        <v>1806</v>
      </c>
      <c r="D1821" s="12" t="s">
        <v>1489</v>
      </c>
      <c r="E1821" s="10">
        <v>2009</v>
      </c>
      <c r="F1821" s="36" t="str" cm="1">
        <f t="array" ref="F1821">_xlfn.XLOOKUP(D1821&amp;C1821, Sheet3!$C$2:$C$1224&amp;Sheet3!$B$2:$B$1224, Sheet3!$D$2:$D$1224, "")</f>
        <v>aldipayjohn@gmail.com</v>
      </c>
      <c r="G1821" s="1" t="str" cm="1">
        <f t="array" ref="G1821">_xlfn.XLOOKUP(D1821&amp;C1821, Sheet2!$A$2:$A$558&amp;Sheet2!$B$2:$B$558, Sheet2!$C$2:$C$558, "")</f>
        <v>aldipayjohn@gmail.com</v>
      </c>
      <c r="H1821" s="40" t="str">
        <f t="shared" si="28"/>
        <v>aldipayjohn@gmail.com</v>
      </c>
    </row>
    <row r="1822" spans="1:8" ht="15.5" x14ac:dyDescent="0.35">
      <c r="A1822" s="7">
        <v>1821</v>
      </c>
      <c r="B1822" s="12">
        <v>25678</v>
      </c>
      <c r="C1822" s="11" t="s">
        <v>1483</v>
      </c>
      <c r="D1822" s="12" t="s">
        <v>1486</v>
      </c>
      <c r="E1822" s="10">
        <v>2009</v>
      </c>
      <c r="F1822" s="36" t="str" cm="1">
        <f t="array" ref="F1822">_xlfn.XLOOKUP(D1822&amp;C1822, Sheet3!$C$2:$C$1224&amp;Sheet3!$B$2:$B$1224, Sheet3!$D$2:$D$1224, "")</f>
        <v>alnakharisma82@gmail.com</v>
      </c>
      <c r="G1822" s="1" t="str" cm="1">
        <f t="array" ref="G1822">_xlfn.XLOOKUP(D1822&amp;C1822, Sheet2!$A$2:$A$558&amp;Sheet2!$B$2:$B$558, Sheet2!$C$2:$C$558, "")</f>
        <v/>
      </c>
      <c r="H1822" s="40" t="str">
        <f t="shared" si="28"/>
        <v>alnakharisma82@gmail.com</v>
      </c>
    </row>
    <row r="1823" spans="1:8" ht="15.5" x14ac:dyDescent="0.35">
      <c r="A1823" s="7">
        <v>1822</v>
      </c>
      <c r="B1823" s="12">
        <v>28796</v>
      </c>
      <c r="C1823" s="11" t="s">
        <v>1807</v>
      </c>
      <c r="D1823" s="12" t="s">
        <v>1489</v>
      </c>
      <c r="E1823" s="10">
        <v>2009</v>
      </c>
      <c r="F1823" s="36" t="str" cm="1">
        <f t="array" ref="F1823">_xlfn.XLOOKUP(D1823&amp;C1823, Sheet3!$C$2:$C$1224&amp;Sheet3!$B$2:$B$1224, Sheet3!$D$2:$D$1224, "")</f>
        <v/>
      </c>
      <c r="G1823" s="1" t="str" cm="1">
        <f t="array" ref="G1823">_xlfn.XLOOKUP(D1823&amp;C1823, Sheet2!$A$2:$A$558&amp;Sheet2!$B$2:$B$558, Sheet2!$C$2:$C$558, "")</f>
        <v/>
      </c>
      <c r="H1823" s="40" t="str">
        <f t="shared" si="28"/>
        <v/>
      </c>
    </row>
    <row r="1824" spans="1:8" ht="15.5" x14ac:dyDescent="0.35">
      <c r="A1824" s="7">
        <v>1823</v>
      </c>
      <c r="B1824" s="12">
        <v>28867</v>
      </c>
      <c r="C1824" s="11" t="s">
        <v>1808</v>
      </c>
      <c r="D1824" s="12" t="s">
        <v>1489</v>
      </c>
      <c r="E1824" s="10">
        <v>2009</v>
      </c>
      <c r="F1824" s="36" t="str" cm="1">
        <f t="array" ref="F1824">_xlfn.XLOOKUP(D1824&amp;C1824, Sheet3!$C$2:$C$1224&amp;Sheet3!$B$2:$B$1224, Sheet3!$D$2:$D$1224, "")</f>
        <v>rizqianadeasy@gmail.com</v>
      </c>
      <c r="G1824" s="1" t="str" cm="1">
        <f t="array" ref="G1824">_xlfn.XLOOKUP(D1824&amp;C1824, Sheet2!$A$2:$A$558&amp;Sheet2!$B$2:$B$558, Sheet2!$C$2:$C$558, "")</f>
        <v>rizqianadeasy@gmail.com</v>
      </c>
      <c r="H1824" s="40" t="str">
        <f t="shared" si="28"/>
        <v>rizqianadeasy@gmail.com</v>
      </c>
    </row>
    <row r="1825" spans="1:8" ht="15.5" x14ac:dyDescent="0.35">
      <c r="A1825" s="7">
        <v>1824</v>
      </c>
      <c r="B1825" s="12">
        <v>31018</v>
      </c>
      <c r="C1825" s="13" t="s">
        <v>1809</v>
      </c>
      <c r="D1825" s="12" t="s">
        <v>1491</v>
      </c>
      <c r="E1825" s="10">
        <v>2009</v>
      </c>
      <c r="F1825" s="36" t="str" cm="1">
        <f t="array" ref="F1825">_xlfn.XLOOKUP(D1825&amp;C1825, Sheet3!$C$2:$C$1224&amp;Sheet3!$B$2:$B$1224, Sheet3!$D$2:$D$1224, "")</f>
        <v/>
      </c>
      <c r="G1825" s="1" t="str" cm="1">
        <f t="array" ref="G1825">_xlfn.XLOOKUP(D1825&amp;C1825, Sheet2!$A$2:$A$558&amp;Sheet2!$B$2:$B$558, Sheet2!$C$2:$C$558, "")</f>
        <v/>
      </c>
      <c r="H1825" s="40" t="str">
        <f t="shared" si="28"/>
        <v/>
      </c>
    </row>
    <row r="1826" spans="1:8" ht="15.5" x14ac:dyDescent="0.35">
      <c r="A1826" s="7">
        <v>1825</v>
      </c>
      <c r="B1826" s="12">
        <v>30568</v>
      </c>
      <c r="C1826" s="11" t="s">
        <v>1810</v>
      </c>
      <c r="D1826" s="12" t="s">
        <v>1491</v>
      </c>
      <c r="E1826" s="10">
        <v>2009</v>
      </c>
      <c r="F1826" s="36" t="str" cm="1">
        <f t="array" ref="F1826">_xlfn.XLOOKUP(D1826&amp;C1826, Sheet3!$C$2:$C$1224&amp;Sheet3!$B$2:$B$1224, Sheet3!$D$2:$D$1224, "")</f>
        <v/>
      </c>
      <c r="G1826" s="1" t="str" cm="1">
        <f t="array" ref="G1826">_xlfn.XLOOKUP(D1826&amp;C1826, Sheet2!$A$2:$A$558&amp;Sheet2!$B$2:$B$558, Sheet2!$C$2:$C$558, "")</f>
        <v/>
      </c>
      <c r="H1826" s="40" t="str">
        <f t="shared" si="28"/>
        <v/>
      </c>
    </row>
    <row r="1827" spans="1:8" ht="15.5" x14ac:dyDescent="0.35">
      <c r="A1827" s="7">
        <v>1826</v>
      </c>
      <c r="B1827" s="12">
        <v>30499</v>
      </c>
      <c r="C1827" s="11" t="s">
        <v>1811</v>
      </c>
      <c r="D1827" s="12" t="s">
        <v>1491</v>
      </c>
      <c r="E1827" s="10">
        <v>2009</v>
      </c>
      <c r="F1827" s="36" t="str" cm="1">
        <f t="array" ref="F1827">_xlfn.XLOOKUP(D1827&amp;C1827, Sheet3!$C$2:$C$1224&amp;Sheet3!$B$2:$B$1224, Sheet3!$D$2:$D$1224, "")</f>
        <v/>
      </c>
      <c r="G1827" s="1" t="str" cm="1">
        <f t="array" ref="G1827">_xlfn.XLOOKUP(D1827&amp;C1827, Sheet2!$A$2:$A$558&amp;Sheet2!$B$2:$B$558, Sheet2!$C$2:$C$558, "")</f>
        <v>wahyu.marta.m@ugm.ac.id</v>
      </c>
      <c r="H1827" s="40" t="str">
        <f t="shared" si="28"/>
        <v>wahyu.marta.m@ugm.ac.id</v>
      </c>
    </row>
    <row r="1828" spans="1:8" ht="15.5" x14ac:dyDescent="0.35">
      <c r="A1828" s="7">
        <v>1827</v>
      </c>
      <c r="B1828" s="12">
        <v>30665</v>
      </c>
      <c r="C1828" s="13" t="s">
        <v>1812</v>
      </c>
      <c r="D1828" s="12" t="s">
        <v>1491</v>
      </c>
      <c r="E1828" s="10">
        <v>2009</v>
      </c>
      <c r="F1828" s="36" t="str" cm="1">
        <f t="array" ref="F1828">_xlfn.XLOOKUP(D1828&amp;C1828, Sheet3!$C$2:$C$1224&amp;Sheet3!$B$2:$B$1224, Sheet3!$D$2:$D$1224, "")</f>
        <v/>
      </c>
      <c r="G1828" s="1" t="str" cm="1">
        <f t="array" ref="G1828">_xlfn.XLOOKUP(D1828&amp;C1828, Sheet2!$A$2:$A$558&amp;Sheet2!$B$2:$B$558, Sheet2!$C$2:$C$558, "")</f>
        <v/>
      </c>
      <c r="H1828" s="40" t="str">
        <f t="shared" si="28"/>
        <v/>
      </c>
    </row>
    <row r="1829" spans="1:8" ht="15.5" x14ac:dyDescent="0.35">
      <c r="A1829" s="7">
        <v>1828</v>
      </c>
      <c r="B1829" s="12">
        <v>30507</v>
      </c>
      <c r="C1829" s="11" t="s">
        <v>1813</v>
      </c>
      <c r="D1829" s="12" t="s">
        <v>1491</v>
      </c>
      <c r="E1829" s="10">
        <v>2009</v>
      </c>
      <c r="F1829" s="36" t="str" cm="1">
        <f t="array" ref="F1829">_xlfn.XLOOKUP(D1829&amp;C1829, Sheet3!$C$2:$C$1224&amp;Sheet3!$B$2:$B$1224, Sheet3!$D$2:$D$1224, "")</f>
        <v/>
      </c>
      <c r="G1829" s="1" t="str" cm="1">
        <f t="array" ref="G1829">_xlfn.XLOOKUP(D1829&amp;C1829, Sheet2!$A$2:$A$558&amp;Sheet2!$B$2:$B$558, Sheet2!$C$2:$C$558, "")</f>
        <v>denni_pascasakti@yahoo.co.id</v>
      </c>
      <c r="H1829" s="40" t="str">
        <f t="shared" si="28"/>
        <v>denni_pascasakti@yahoo.co.id</v>
      </c>
    </row>
    <row r="1830" spans="1:8" ht="15.5" x14ac:dyDescent="0.35">
      <c r="A1830" s="7">
        <v>1829</v>
      </c>
      <c r="B1830" s="12">
        <v>29888</v>
      </c>
      <c r="C1830" s="11" t="s">
        <v>1814</v>
      </c>
      <c r="D1830" s="12" t="s">
        <v>1490</v>
      </c>
      <c r="E1830" s="10">
        <v>2009</v>
      </c>
      <c r="F1830" s="36" t="str" cm="1">
        <f t="array" ref="F1830">_xlfn.XLOOKUP(D1830&amp;C1830, Sheet3!$C$2:$C$1224&amp;Sheet3!$B$2:$B$1224, Sheet3!$D$2:$D$1224, "")</f>
        <v/>
      </c>
      <c r="G1830" s="1" t="str" cm="1">
        <f t="array" ref="G1830">_xlfn.XLOOKUP(D1830&amp;C1830, Sheet2!$A$2:$A$558&amp;Sheet2!$B$2:$B$558, Sheet2!$C$2:$C$558, "")</f>
        <v/>
      </c>
      <c r="H1830" s="40" t="str">
        <f t="shared" si="28"/>
        <v/>
      </c>
    </row>
    <row r="1831" spans="1:8" ht="15.5" x14ac:dyDescent="0.35">
      <c r="A1831" s="7">
        <v>1830</v>
      </c>
      <c r="B1831" s="12">
        <v>30825</v>
      </c>
      <c r="C1831" s="11" t="s">
        <v>1815</v>
      </c>
      <c r="D1831" s="12" t="s">
        <v>1491</v>
      </c>
      <c r="E1831" s="10">
        <v>2009</v>
      </c>
      <c r="F1831" s="36" t="str" cm="1">
        <f t="array" ref="F1831">_xlfn.XLOOKUP(D1831&amp;C1831, Sheet3!$C$2:$C$1224&amp;Sheet3!$B$2:$B$1224, Sheet3!$D$2:$D$1224, "")</f>
        <v/>
      </c>
      <c r="G1831" s="1" t="str" cm="1">
        <f t="array" ref="G1831">_xlfn.XLOOKUP(D1831&amp;C1831, Sheet2!$A$2:$A$558&amp;Sheet2!$B$2:$B$558, Sheet2!$C$2:$C$558, "")</f>
        <v>aisyiyahdestri@gmail.com</v>
      </c>
      <c r="H1831" s="40" t="str">
        <f t="shared" si="28"/>
        <v>aisyiyahdestri@gmail.com</v>
      </c>
    </row>
    <row r="1832" spans="1:8" ht="15.5" x14ac:dyDescent="0.35">
      <c r="A1832" s="7">
        <v>1831</v>
      </c>
      <c r="B1832" s="12">
        <v>30656</v>
      </c>
      <c r="C1832" s="11" t="s">
        <v>1816</v>
      </c>
      <c r="D1832" s="12" t="s">
        <v>1491</v>
      </c>
      <c r="E1832" s="10">
        <v>2009</v>
      </c>
      <c r="F1832" s="36" t="str" cm="1">
        <f t="array" ref="F1832">_xlfn.XLOOKUP(D1832&amp;C1832, Sheet3!$C$2:$C$1224&amp;Sheet3!$B$2:$B$1224, Sheet3!$D$2:$D$1224, "")</f>
        <v/>
      </c>
      <c r="G1832" s="1" t="str" cm="1">
        <f t="array" ref="G1832">_xlfn.XLOOKUP(D1832&amp;C1832, Sheet2!$A$2:$A$558&amp;Sheet2!$B$2:$B$558, Sheet2!$C$2:$C$558, "")</f>
        <v/>
      </c>
      <c r="H1832" s="40" t="str">
        <f t="shared" si="28"/>
        <v/>
      </c>
    </row>
    <row r="1833" spans="1:8" ht="15.5" x14ac:dyDescent="0.35">
      <c r="A1833" s="7">
        <v>1832</v>
      </c>
      <c r="B1833" s="12">
        <v>31194</v>
      </c>
      <c r="C1833" s="11" t="s">
        <v>1817</v>
      </c>
      <c r="D1833" s="12" t="s">
        <v>1491</v>
      </c>
      <c r="E1833" s="10">
        <v>2009</v>
      </c>
      <c r="F1833" s="36" t="str" cm="1">
        <f t="array" ref="F1833">_xlfn.XLOOKUP(D1833&amp;C1833, Sheet3!$C$2:$C$1224&amp;Sheet3!$B$2:$B$1224, Sheet3!$D$2:$D$1224, "")</f>
        <v>eli.juniati@gmail.com</v>
      </c>
      <c r="G1833" s="1" t="str" cm="1">
        <f t="array" ref="G1833">_xlfn.XLOOKUP(D1833&amp;C1833, Sheet2!$A$2:$A$558&amp;Sheet2!$B$2:$B$558, Sheet2!$C$2:$C$558, "")</f>
        <v/>
      </c>
      <c r="H1833" s="40" t="str">
        <f t="shared" si="28"/>
        <v>eli.juniati@gmail.com</v>
      </c>
    </row>
    <row r="1834" spans="1:8" ht="15.5" x14ac:dyDescent="0.35">
      <c r="A1834" s="7">
        <v>1833</v>
      </c>
      <c r="B1834" s="12">
        <v>30227</v>
      </c>
      <c r="C1834" s="11" t="s">
        <v>1818</v>
      </c>
      <c r="D1834" s="12" t="s">
        <v>1490</v>
      </c>
      <c r="E1834" s="10">
        <v>2009</v>
      </c>
      <c r="F1834" s="36" t="str" cm="1">
        <f t="array" ref="F1834">_xlfn.XLOOKUP(D1834&amp;C1834, Sheet3!$C$2:$C$1224&amp;Sheet3!$B$2:$B$1224, Sheet3!$D$2:$D$1224, "")</f>
        <v/>
      </c>
      <c r="G1834" s="1" t="str" cm="1">
        <f t="array" ref="G1834">_xlfn.XLOOKUP(D1834&amp;C1834, Sheet2!$A$2:$A$558&amp;Sheet2!$B$2:$B$558, Sheet2!$C$2:$C$558, "")</f>
        <v/>
      </c>
      <c r="H1834" s="40" t="str">
        <f t="shared" si="28"/>
        <v/>
      </c>
    </row>
    <row r="1835" spans="1:8" ht="15.5" x14ac:dyDescent="0.35">
      <c r="A1835" s="7">
        <v>1834</v>
      </c>
      <c r="B1835" s="12">
        <v>30137</v>
      </c>
      <c r="C1835" s="11" t="s">
        <v>1819</v>
      </c>
      <c r="D1835" s="12" t="s">
        <v>1490</v>
      </c>
      <c r="E1835" s="10">
        <v>2009</v>
      </c>
      <c r="F1835" s="36" t="str" cm="1">
        <f t="array" ref="F1835">_xlfn.XLOOKUP(D1835&amp;C1835, Sheet3!$C$2:$C$1224&amp;Sheet3!$B$2:$B$1224, Sheet3!$D$2:$D$1224, "")</f>
        <v/>
      </c>
      <c r="G1835" s="1" t="str" cm="1">
        <f t="array" ref="G1835">_xlfn.XLOOKUP(D1835&amp;C1835, Sheet2!$A$2:$A$558&amp;Sheet2!$B$2:$B$558, Sheet2!$C$2:$C$558, "")</f>
        <v/>
      </c>
      <c r="H1835" s="40" t="str">
        <f t="shared" si="28"/>
        <v/>
      </c>
    </row>
    <row r="1836" spans="1:8" ht="15.5" x14ac:dyDescent="0.35">
      <c r="A1836" s="7">
        <v>1835</v>
      </c>
      <c r="B1836" s="12">
        <v>30157</v>
      </c>
      <c r="C1836" s="11" t="s">
        <v>1820</v>
      </c>
      <c r="D1836" s="12" t="s">
        <v>1490</v>
      </c>
      <c r="E1836" s="10">
        <v>2009</v>
      </c>
      <c r="F1836" s="36" t="str" cm="1">
        <f t="array" ref="F1836">_xlfn.XLOOKUP(D1836&amp;C1836, Sheet3!$C$2:$C$1224&amp;Sheet3!$B$2:$B$1224, Sheet3!$D$2:$D$1224, "")</f>
        <v/>
      </c>
      <c r="G1836" s="1" t="str" cm="1">
        <f t="array" ref="G1836">_xlfn.XLOOKUP(D1836&amp;C1836, Sheet2!$A$2:$A$558&amp;Sheet2!$B$2:$B$558, Sheet2!$C$2:$C$558, "")</f>
        <v/>
      </c>
      <c r="H1836" s="40" t="str">
        <f t="shared" si="28"/>
        <v/>
      </c>
    </row>
    <row r="1837" spans="1:8" ht="15.5" x14ac:dyDescent="0.35">
      <c r="A1837" s="7">
        <v>1836</v>
      </c>
      <c r="B1837" s="12">
        <v>28523</v>
      </c>
      <c r="C1837" s="11" t="s">
        <v>1821</v>
      </c>
      <c r="D1837" s="12" t="s">
        <v>1489</v>
      </c>
      <c r="E1837" s="10">
        <v>2009</v>
      </c>
      <c r="F1837" s="36" t="str" cm="1">
        <f t="array" ref="F1837">_xlfn.XLOOKUP(D1837&amp;C1837, Sheet3!$C$2:$C$1224&amp;Sheet3!$B$2:$B$1224, Sheet3!$D$2:$D$1224, "")</f>
        <v>bisma.aji@gmail.com</v>
      </c>
      <c r="G1837" s="1" t="str" cm="1">
        <f t="array" ref="G1837">_xlfn.XLOOKUP(D1837&amp;C1837, Sheet2!$A$2:$A$558&amp;Sheet2!$B$2:$B$558, Sheet2!$C$2:$C$558, "")</f>
        <v>bisma.aji@gmail.com</v>
      </c>
      <c r="H1837" s="40" t="str">
        <f t="shared" si="28"/>
        <v>bisma.aji@gmail.com</v>
      </c>
    </row>
    <row r="1838" spans="1:8" ht="15.5" x14ac:dyDescent="0.35">
      <c r="A1838" s="7">
        <v>1837</v>
      </c>
      <c r="B1838" s="12">
        <v>28624</v>
      </c>
      <c r="C1838" s="11" t="s">
        <v>1822</v>
      </c>
      <c r="D1838" s="12" t="s">
        <v>1489</v>
      </c>
      <c r="E1838" s="10">
        <v>2009</v>
      </c>
      <c r="F1838" s="36" t="str" cm="1">
        <f t="array" ref="F1838">_xlfn.XLOOKUP(D1838&amp;C1838, Sheet3!$C$2:$C$1224&amp;Sheet3!$B$2:$B$1224, Sheet3!$D$2:$D$1224, "")</f>
        <v>simuntaha@yahoo.com</v>
      </c>
      <c r="G1838" s="1" t="str" cm="1">
        <f t="array" ref="G1838">_xlfn.XLOOKUP(D1838&amp;C1838, Sheet2!$A$2:$A$558&amp;Sheet2!$B$2:$B$558, Sheet2!$C$2:$C$558, "")</f>
        <v>simuntaha@yahoo.com</v>
      </c>
      <c r="H1838" s="40" t="str">
        <f t="shared" si="28"/>
        <v>simuntaha@yahoo.com</v>
      </c>
    </row>
    <row r="1839" spans="1:8" ht="15.5" x14ac:dyDescent="0.35">
      <c r="A1839" s="7">
        <v>1838</v>
      </c>
      <c r="B1839" s="12">
        <v>26408</v>
      </c>
      <c r="C1839" s="11" t="s">
        <v>1823</v>
      </c>
      <c r="D1839" s="12" t="s">
        <v>1487</v>
      </c>
      <c r="E1839" s="10">
        <v>2009</v>
      </c>
      <c r="F1839" s="36" t="str" cm="1">
        <f t="array" ref="F1839">_xlfn.XLOOKUP(D1839&amp;C1839, Sheet3!$C$2:$C$1224&amp;Sheet3!$B$2:$B$1224, Sheet3!$D$2:$D$1224, "")</f>
        <v/>
      </c>
      <c r="G1839" s="1" t="str" cm="1">
        <f t="array" ref="G1839">_xlfn.XLOOKUP(D1839&amp;C1839, Sheet2!$A$2:$A$558&amp;Sheet2!$B$2:$B$558, Sheet2!$C$2:$C$558, "")</f>
        <v/>
      </c>
      <c r="H1839" s="40" t="str">
        <f t="shared" si="28"/>
        <v/>
      </c>
    </row>
    <row r="1840" spans="1:8" ht="15.5" x14ac:dyDescent="0.35">
      <c r="A1840" s="7">
        <v>1839</v>
      </c>
      <c r="B1840" s="12">
        <v>26845</v>
      </c>
      <c r="C1840" s="11" t="s">
        <v>1824</v>
      </c>
      <c r="D1840" s="12" t="s">
        <v>1487</v>
      </c>
      <c r="E1840" s="10">
        <v>2009</v>
      </c>
      <c r="F1840" s="36" t="str" cm="1">
        <f t="array" ref="F1840">_xlfn.XLOOKUP(D1840&amp;C1840, Sheet3!$C$2:$C$1224&amp;Sheet3!$B$2:$B$1224, Sheet3!$D$2:$D$1224, "")</f>
        <v/>
      </c>
      <c r="G1840" s="1" t="str" cm="1">
        <f t="array" ref="G1840">_xlfn.XLOOKUP(D1840&amp;C1840, Sheet2!$A$2:$A$558&amp;Sheet2!$B$2:$B$558, Sheet2!$C$2:$C$558, "")</f>
        <v/>
      </c>
      <c r="H1840" s="40" t="str">
        <f t="shared" si="28"/>
        <v/>
      </c>
    </row>
    <row r="1841" spans="1:8" ht="15.5" x14ac:dyDescent="0.35">
      <c r="A1841" s="7">
        <v>1840</v>
      </c>
      <c r="B1841" s="12">
        <v>28370</v>
      </c>
      <c r="C1841" s="11" t="s">
        <v>6231</v>
      </c>
      <c r="D1841" s="12" t="s">
        <v>1489</v>
      </c>
      <c r="E1841" s="10">
        <v>2009</v>
      </c>
      <c r="F1841" s="36" t="str" cm="1">
        <f t="array" ref="F1841">_xlfn.XLOOKUP(D1841&amp;C1841, Sheet3!$C$2:$C$1224&amp;Sheet3!$B$2:$B$1224, Sheet3!$D$2:$D$1224, "")</f>
        <v/>
      </c>
      <c r="G1841" s="1" t="str" cm="1">
        <f t="array" ref="G1841">_xlfn.XLOOKUP(D1841&amp;C1841, Sheet2!$A$2:$A$558&amp;Sheet2!$B$2:$B$558, Sheet2!$C$2:$C$558, "")</f>
        <v>bintoro.hw@gmail.com</v>
      </c>
      <c r="H1841" s="40" t="str">
        <f t="shared" si="28"/>
        <v>bintoro.hw@gmail.com</v>
      </c>
    </row>
    <row r="1842" spans="1:8" ht="15.5" x14ac:dyDescent="0.35">
      <c r="A1842" s="7">
        <v>1841</v>
      </c>
      <c r="B1842" s="12">
        <v>28918</v>
      </c>
      <c r="C1842" s="13" t="s">
        <v>1825</v>
      </c>
      <c r="D1842" s="12" t="s">
        <v>1489</v>
      </c>
      <c r="E1842" s="10">
        <v>2009</v>
      </c>
      <c r="F1842" s="36" t="str" cm="1">
        <f t="array" ref="F1842">_xlfn.XLOOKUP(D1842&amp;C1842, Sheet3!$C$2:$C$1224&amp;Sheet3!$B$2:$B$1224, Sheet3!$D$2:$D$1224, "")</f>
        <v/>
      </c>
      <c r="G1842" s="1" t="str" cm="1">
        <f t="array" ref="G1842">_xlfn.XLOOKUP(D1842&amp;C1842, Sheet2!$A$2:$A$558&amp;Sheet2!$B$2:$B$558, Sheet2!$C$2:$C$558, "")</f>
        <v>ihsan.sapoetra@gmail.com</v>
      </c>
      <c r="H1842" s="40" t="str">
        <f t="shared" si="28"/>
        <v>ihsan.sapoetra@gmail.com</v>
      </c>
    </row>
    <row r="1843" spans="1:8" ht="15.5" x14ac:dyDescent="0.35">
      <c r="A1843" s="7">
        <v>1842</v>
      </c>
      <c r="B1843" s="12">
        <v>29655</v>
      </c>
      <c r="C1843" s="13" t="s">
        <v>1826</v>
      </c>
      <c r="D1843" s="12" t="s">
        <v>1490</v>
      </c>
      <c r="E1843" s="10">
        <v>2009</v>
      </c>
      <c r="F1843" s="36" t="str" cm="1">
        <f t="array" ref="F1843">_xlfn.XLOOKUP(D1843&amp;C1843, Sheet3!$C$2:$C$1224&amp;Sheet3!$B$2:$B$1224, Sheet3!$D$2:$D$1224, "")</f>
        <v>rifqi.efiriha@yahoo.com</v>
      </c>
      <c r="G1843" s="1" t="str" cm="1">
        <f t="array" ref="G1843">_xlfn.XLOOKUP(D1843&amp;C1843, Sheet2!$A$2:$A$558&amp;Sheet2!$B$2:$B$558, Sheet2!$C$2:$C$558, "")</f>
        <v>rifqi.efiariha@yahoo.com</v>
      </c>
      <c r="H1843" s="40" t="str">
        <f t="shared" si="28"/>
        <v>rifqi.efiriha@yahoo.com</v>
      </c>
    </row>
    <row r="1844" spans="1:8" ht="15.5" x14ac:dyDescent="0.35">
      <c r="A1844" s="7">
        <v>1843</v>
      </c>
      <c r="B1844" s="12">
        <v>28309</v>
      </c>
      <c r="C1844" s="13" t="s">
        <v>1827</v>
      </c>
      <c r="D1844" s="12" t="s">
        <v>1489</v>
      </c>
      <c r="E1844" s="10">
        <v>2009</v>
      </c>
      <c r="F1844" s="36" t="str" cm="1">
        <f t="array" ref="F1844">_xlfn.XLOOKUP(D1844&amp;C1844, Sheet3!$C$2:$C$1224&amp;Sheet3!$B$2:$B$1224, Sheet3!$D$2:$D$1224, "")</f>
        <v>prilnali.eka@gmail.com</v>
      </c>
      <c r="G1844" s="1" t="str" cm="1">
        <f t="array" ref="G1844">_xlfn.XLOOKUP(D1844&amp;C1844, Sheet2!$A$2:$A$558&amp;Sheet2!$B$2:$B$558, Sheet2!$C$2:$C$558, "")</f>
        <v>prilnali.eka@gmail.com</v>
      </c>
      <c r="H1844" s="40" t="str">
        <f t="shared" si="28"/>
        <v>prilnali.eka@gmail.com</v>
      </c>
    </row>
    <row r="1845" spans="1:8" ht="15.5" x14ac:dyDescent="0.35">
      <c r="A1845" s="7">
        <v>1844</v>
      </c>
      <c r="B1845" s="16">
        <v>27356</v>
      </c>
      <c r="C1845" s="13" t="s">
        <v>1828</v>
      </c>
      <c r="D1845" s="12" t="s">
        <v>1488</v>
      </c>
      <c r="E1845" s="10">
        <v>2010</v>
      </c>
      <c r="F1845" s="36" t="str" cm="1">
        <f t="array" ref="F1845">_xlfn.XLOOKUP(D1845&amp;C1845, Sheet3!$C$2:$C$1224&amp;Sheet3!$B$2:$B$1224, Sheet3!$D$2:$D$1224, "")</f>
        <v>yudhi.rhmdi@gmail.com</v>
      </c>
      <c r="G1845" s="1" t="str" cm="1">
        <f t="array" ref="G1845">_xlfn.XLOOKUP(D1845&amp;C1845, Sheet2!$A$2:$A$558&amp;Sheet2!$B$2:$B$558, Sheet2!$C$2:$C$558, "")</f>
        <v/>
      </c>
      <c r="H1845" s="40" t="str">
        <f t="shared" si="28"/>
        <v>yudhi.rhmdi@gmail.com</v>
      </c>
    </row>
    <row r="1846" spans="1:8" ht="15.5" x14ac:dyDescent="0.35">
      <c r="A1846" s="7">
        <v>1845</v>
      </c>
      <c r="B1846" s="16">
        <v>27510</v>
      </c>
      <c r="C1846" s="13" t="s">
        <v>1829</v>
      </c>
      <c r="D1846" s="12" t="s">
        <v>1488</v>
      </c>
      <c r="E1846" s="10">
        <v>2010</v>
      </c>
      <c r="F1846" s="36" t="str" cm="1">
        <f t="array" ref="F1846">_xlfn.XLOOKUP(D1846&amp;C1846, Sheet3!$C$2:$C$1224&amp;Sheet3!$B$2:$B$1224, Sheet3!$D$2:$D$1224, "")</f>
        <v>noorfaiq@gmail.com</v>
      </c>
      <c r="G1846" s="1" t="str" cm="1">
        <f t="array" ref="G1846">_xlfn.XLOOKUP(D1846&amp;C1846, Sheet2!$A$2:$A$558&amp;Sheet2!$B$2:$B$558, Sheet2!$C$2:$C$558, "")</f>
        <v/>
      </c>
      <c r="H1846" s="40" t="str">
        <f t="shared" si="28"/>
        <v>noorfaiq@gmail.com</v>
      </c>
    </row>
    <row r="1847" spans="1:8" ht="15.5" x14ac:dyDescent="0.35">
      <c r="A1847" s="7">
        <v>1846</v>
      </c>
      <c r="B1847" s="16">
        <v>28052</v>
      </c>
      <c r="C1847" s="13" t="s">
        <v>1830</v>
      </c>
      <c r="D1847" s="12" t="s">
        <v>1489</v>
      </c>
      <c r="E1847" s="10">
        <v>2010</v>
      </c>
      <c r="F1847" s="36" t="str" cm="1">
        <f t="array" ref="F1847">_xlfn.XLOOKUP(D1847&amp;C1847, Sheet3!$C$2:$C$1224&amp;Sheet3!$B$2:$B$1224, Sheet3!$D$2:$D$1224, "")</f>
        <v>arisona.andra35@gmail.com</v>
      </c>
      <c r="G1847" s="1" t="str" cm="1">
        <f t="array" ref="G1847">_xlfn.XLOOKUP(D1847&amp;C1847, Sheet2!$A$2:$A$558&amp;Sheet2!$B$2:$B$558, Sheet2!$C$2:$C$558, "")</f>
        <v/>
      </c>
      <c r="H1847" s="40" t="str">
        <f t="shared" si="28"/>
        <v>arisona.andra35@gmail.com</v>
      </c>
    </row>
    <row r="1848" spans="1:8" ht="15.5" x14ac:dyDescent="0.35">
      <c r="A1848" s="7">
        <v>1847</v>
      </c>
      <c r="B1848" s="16">
        <v>28752</v>
      </c>
      <c r="C1848" s="13" t="s">
        <v>1831</v>
      </c>
      <c r="D1848" s="12" t="s">
        <v>1489</v>
      </c>
      <c r="E1848" s="10">
        <v>2010</v>
      </c>
      <c r="F1848" s="36" t="str" cm="1">
        <f t="array" ref="F1848">_xlfn.XLOOKUP(D1848&amp;C1848, Sheet3!$C$2:$C$1224&amp;Sheet3!$B$2:$B$1224, Sheet3!$D$2:$D$1224, "")</f>
        <v>didi3wibowo@gmail.com</v>
      </c>
      <c r="G1848" s="1" t="str" cm="1">
        <f t="array" ref="G1848">_xlfn.XLOOKUP(D1848&amp;C1848, Sheet2!$A$2:$A$558&amp;Sheet2!$B$2:$B$558, Sheet2!$C$2:$C$558, "")</f>
        <v/>
      </c>
      <c r="H1848" s="40" t="str">
        <f t="shared" si="28"/>
        <v>didi3wibowo@gmail.com</v>
      </c>
    </row>
    <row r="1849" spans="1:8" ht="15.5" x14ac:dyDescent="0.35">
      <c r="A1849" s="7">
        <v>1848</v>
      </c>
      <c r="B1849" s="16">
        <v>28870</v>
      </c>
      <c r="C1849" s="13" t="s">
        <v>1832</v>
      </c>
      <c r="D1849" s="12" t="s">
        <v>1489</v>
      </c>
      <c r="E1849" s="10">
        <v>2010</v>
      </c>
      <c r="F1849" s="36" t="str" cm="1">
        <f t="array" ref="F1849">_xlfn.XLOOKUP(D1849&amp;C1849, Sheet3!$C$2:$C$1224&amp;Sheet3!$B$2:$B$1224, Sheet3!$D$2:$D$1224, "")</f>
        <v/>
      </c>
      <c r="G1849" s="1" t="str" cm="1">
        <f t="array" ref="G1849">_xlfn.XLOOKUP(D1849&amp;C1849, Sheet2!$A$2:$A$558&amp;Sheet2!$B$2:$B$558, Sheet2!$C$2:$C$558, "")</f>
        <v/>
      </c>
      <c r="H1849" s="40" t="str">
        <f t="shared" si="28"/>
        <v/>
      </c>
    </row>
    <row r="1850" spans="1:8" ht="15.5" x14ac:dyDescent="0.35">
      <c r="A1850" s="7">
        <v>1849</v>
      </c>
      <c r="B1850" s="16">
        <v>30621</v>
      </c>
      <c r="C1850" s="13" t="s">
        <v>1833</v>
      </c>
      <c r="D1850" s="12" t="s">
        <v>1491</v>
      </c>
      <c r="E1850" s="10">
        <v>2010</v>
      </c>
      <c r="F1850" s="36" t="str" cm="1">
        <f t="array" ref="F1850">_xlfn.XLOOKUP(D1850&amp;C1850, Sheet3!$C$2:$C$1224&amp;Sheet3!$B$2:$B$1224, Sheet3!$D$2:$D$1224, "")</f>
        <v/>
      </c>
      <c r="G1850" s="1" t="str" cm="1">
        <f t="array" ref="G1850">_xlfn.XLOOKUP(D1850&amp;C1850, Sheet2!$A$2:$A$558&amp;Sheet2!$B$2:$B$558, Sheet2!$C$2:$C$558, "")</f>
        <v/>
      </c>
      <c r="H1850" s="40" t="str">
        <f t="shared" si="28"/>
        <v/>
      </c>
    </row>
    <row r="1851" spans="1:8" ht="15.5" x14ac:dyDescent="0.35">
      <c r="A1851" s="7">
        <v>1850</v>
      </c>
      <c r="B1851" s="16">
        <v>30696</v>
      </c>
      <c r="C1851" s="13" t="s">
        <v>1834</v>
      </c>
      <c r="D1851" s="12" t="s">
        <v>1491</v>
      </c>
      <c r="E1851" s="10">
        <v>2010</v>
      </c>
      <c r="F1851" s="36" t="str" cm="1">
        <f t="array" ref="F1851">_xlfn.XLOOKUP(D1851&amp;C1851, Sheet3!$C$2:$C$1224&amp;Sheet3!$B$2:$B$1224, Sheet3!$D$2:$D$1224, "")</f>
        <v/>
      </c>
      <c r="G1851" s="1" t="str" cm="1">
        <f t="array" ref="G1851">_xlfn.XLOOKUP(D1851&amp;C1851, Sheet2!$A$2:$A$558&amp;Sheet2!$B$2:$B$558, Sheet2!$C$2:$C$558, "")</f>
        <v/>
      </c>
      <c r="H1851" s="40" t="str">
        <f t="shared" si="28"/>
        <v/>
      </c>
    </row>
    <row r="1852" spans="1:8" ht="15.5" x14ac:dyDescent="0.35">
      <c r="A1852" s="7">
        <v>1851</v>
      </c>
      <c r="B1852" s="16">
        <v>30907</v>
      </c>
      <c r="C1852" s="13" t="s">
        <v>1835</v>
      </c>
      <c r="D1852" s="12" t="s">
        <v>1491</v>
      </c>
      <c r="E1852" s="10">
        <v>2010</v>
      </c>
      <c r="F1852" s="36" t="str" cm="1">
        <f t="array" ref="F1852">_xlfn.XLOOKUP(D1852&amp;C1852, Sheet3!$C$2:$C$1224&amp;Sheet3!$B$2:$B$1224, Sheet3!$D$2:$D$1224, "")</f>
        <v/>
      </c>
      <c r="G1852" s="1" t="str" cm="1">
        <f t="array" ref="G1852">_xlfn.XLOOKUP(D1852&amp;C1852, Sheet2!$A$2:$A$558&amp;Sheet2!$B$2:$B$558, Sheet2!$C$2:$C$558, "")</f>
        <v/>
      </c>
      <c r="H1852" s="40" t="str">
        <f t="shared" si="28"/>
        <v/>
      </c>
    </row>
    <row r="1853" spans="1:8" ht="15.5" x14ac:dyDescent="0.35">
      <c r="A1853" s="7">
        <v>1852</v>
      </c>
      <c r="B1853" s="16">
        <v>29095</v>
      </c>
      <c r="C1853" s="13" t="s">
        <v>1836</v>
      </c>
      <c r="D1853" s="12" t="s">
        <v>1489</v>
      </c>
      <c r="E1853" s="10">
        <v>2010</v>
      </c>
      <c r="F1853" s="36" t="str" cm="1">
        <f t="array" ref="F1853">_xlfn.XLOOKUP(D1853&amp;C1853, Sheet3!$C$2:$C$1224&amp;Sheet3!$B$2:$B$1224, Sheet3!$D$2:$D$1224, "")</f>
        <v/>
      </c>
      <c r="G1853" s="1" t="str" cm="1">
        <f t="array" ref="G1853">_xlfn.XLOOKUP(D1853&amp;C1853, Sheet2!$A$2:$A$558&amp;Sheet2!$B$2:$B$558, Sheet2!$C$2:$C$558, "")</f>
        <v/>
      </c>
      <c r="H1853" s="40" t="str">
        <f t="shared" si="28"/>
        <v/>
      </c>
    </row>
    <row r="1854" spans="1:8" ht="15.5" x14ac:dyDescent="0.35">
      <c r="A1854" s="7">
        <v>1853</v>
      </c>
      <c r="B1854" s="16">
        <v>28209</v>
      </c>
      <c r="C1854" s="13" t="s">
        <v>5826</v>
      </c>
      <c r="D1854" s="12" t="s">
        <v>1489</v>
      </c>
      <c r="E1854" s="10">
        <v>2010</v>
      </c>
      <c r="F1854" s="36" t="str" cm="1">
        <f t="array" ref="F1854">_xlfn.XLOOKUP(D1854&amp;C1854, Sheet3!$C$2:$C$1224&amp;Sheet3!$B$2:$B$1224, Sheet3!$D$2:$D$1224, "")</f>
        <v>edi.nainggolan85@gmail.com</v>
      </c>
      <c r="G1854" s="1" t="str" cm="1">
        <f t="array" ref="G1854">_xlfn.XLOOKUP(D1854&amp;C1854, Sheet2!$A$2:$A$558&amp;Sheet2!$B$2:$B$558, Sheet2!$C$2:$C$558, "")</f>
        <v>edi.nainggolan85@gmail.com</v>
      </c>
      <c r="H1854" s="40" t="str">
        <f t="shared" si="28"/>
        <v>edi.nainggolan85@gmail.com</v>
      </c>
    </row>
    <row r="1855" spans="1:8" ht="15.5" x14ac:dyDescent="0.35">
      <c r="A1855" s="7">
        <v>1854</v>
      </c>
      <c r="B1855" s="10">
        <v>28196</v>
      </c>
      <c r="C1855" s="13" t="s">
        <v>1837</v>
      </c>
      <c r="D1855" s="12" t="s">
        <v>1489</v>
      </c>
      <c r="E1855" s="10">
        <v>2010</v>
      </c>
      <c r="F1855" s="36" t="str" cm="1">
        <f t="array" ref="F1855">_xlfn.XLOOKUP(D1855&amp;C1855, Sheet3!$C$2:$C$1224&amp;Sheet3!$B$2:$B$1224, Sheet3!$D$2:$D$1224, "")</f>
        <v/>
      </c>
      <c r="G1855" s="1" t="str" cm="1">
        <f t="array" ref="G1855">_xlfn.XLOOKUP(D1855&amp;C1855, Sheet2!$A$2:$A$558&amp;Sheet2!$B$2:$B$558, Sheet2!$C$2:$C$558, "")</f>
        <v/>
      </c>
      <c r="H1855" s="40" t="str">
        <f t="shared" si="28"/>
        <v/>
      </c>
    </row>
    <row r="1856" spans="1:8" ht="15.5" x14ac:dyDescent="0.35">
      <c r="A1856" s="7">
        <v>1855</v>
      </c>
      <c r="B1856" s="10">
        <v>30596</v>
      </c>
      <c r="C1856" s="13" t="s">
        <v>1838</v>
      </c>
      <c r="D1856" s="12" t="s">
        <v>1491</v>
      </c>
      <c r="E1856" s="10">
        <v>2010</v>
      </c>
      <c r="F1856" s="36" t="str" cm="1">
        <f t="array" ref="F1856">_xlfn.XLOOKUP(D1856&amp;C1856, Sheet3!$C$2:$C$1224&amp;Sheet3!$B$2:$B$1224, Sheet3!$D$2:$D$1224, "")</f>
        <v/>
      </c>
      <c r="G1856" s="1" t="str" cm="1">
        <f t="array" ref="G1856">_xlfn.XLOOKUP(D1856&amp;C1856, Sheet2!$A$2:$A$558&amp;Sheet2!$B$2:$B$558, Sheet2!$C$2:$C$558, "")</f>
        <v/>
      </c>
      <c r="H1856" s="40" t="str">
        <f t="shared" si="28"/>
        <v/>
      </c>
    </row>
    <row r="1857" spans="1:8" ht="15.5" x14ac:dyDescent="0.35">
      <c r="A1857" s="7">
        <v>1856</v>
      </c>
      <c r="B1857" s="10">
        <v>30664</v>
      </c>
      <c r="C1857" s="13" t="s">
        <v>1839</v>
      </c>
      <c r="D1857" s="12" t="s">
        <v>1491</v>
      </c>
      <c r="E1857" s="10">
        <v>2010</v>
      </c>
      <c r="F1857" s="36" t="str" cm="1">
        <f t="array" ref="F1857">_xlfn.XLOOKUP(D1857&amp;C1857, Sheet3!$C$2:$C$1224&amp;Sheet3!$B$2:$B$1224, Sheet3!$D$2:$D$1224, "")</f>
        <v>amalia.sitirohmah@gmail.com</v>
      </c>
      <c r="G1857" s="1" t="str" cm="1">
        <f t="array" ref="G1857">_xlfn.XLOOKUP(D1857&amp;C1857, Sheet2!$A$2:$A$558&amp;Sheet2!$B$2:$B$558, Sheet2!$C$2:$C$558, "")</f>
        <v>amalia.sitirohmah@gmail.com</v>
      </c>
      <c r="H1857" s="40" t="str">
        <f t="shared" si="28"/>
        <v>amalia.sitirohmah@gmail.com</v>
      </c>
    </row>
    <row r="1858" spans="1:8" ht="15.5" x14ac:dyDescent="0.35">
      <c r="A1858" s="7">
        <v>1857</v>
      </c>
      <c r="B1858" s="10">
        <v>30863</v>
      </c>
      <c r="C1858" s="13" t="s">
        <v>1840</v>
      </c>
      <c r="D1858" s="12" t="s">
        <v>1491</v>
      </c>
      <c r="E1858" s="10">
        <v>2010</v>
      </c>
      <c r="F1858" s="36" t="str" cm="1">
        <f t="array" ref="F1858">_xlfn.XLOOKUP(D1858&amp;C1858, Sheet3!$C$2:$C$1224&amp;Sheet3!$B$2:$B$1224, Sheet3!$D$2:$D$1224, "")</f>
        <v/>
      </c>
      <c r="G1858" s="1" t="str" cm="1">
        <f t="array" ref="G1858">_xlfn.XLOOKUP(D1858&amp;C1858, Sheet2!$A$2:$A$558&amp;Sheet2!$B$2:$B$558, Sheet2!$C$2:$C$558, "")</f>
        <v/>
      </c>
      <c r="H1858" s="40" t="str">
        <f t="shared" si="28"/>
        <v/>
      </c>
    </row>
    <row r="1859" spans="1:8" ht="15.5" x14ac:dyDescent="0.35">
      <c r="A1859" s="7">
        <v>1858</v>
      </c>
      <c r="B1859" s="10">
        <v>30911</v>
      </c>
      <c r="C1859" s="13" t="s">
        <v>1841</v>
      </c>
      <c r="D1859" s="12" t="s">
        <v>1491</v>
      </c>
      <c r="E1859" s="10">
        <v>2010</v>
      </c>
      <c r="F1859" s="36" t="str" cm="1">
        <f t="array" ref="F1859">_xlfn.XLOOKUP(D1859&amp;C1859, Sheet3!$C$2:$C$1224&amp;Sheet3!$B$2:$B$1224, Sheet3!$D$2:$D$1224, "")</f>
        <v/>
      </c>
      <c r="G1859" s="1" t="str" cm="1">
        <f t="array" ref="G1859">_xlfn.XLOOKUP(D1859&amp;C1859, Sheet2!$A$2:$A$558&amp;Sheet2!$B$2:$B$558, Sheet2!$C$2:$C$558, "")</f>
        <v/>
      </c>
      <c r="H1859" s="40" t="str">
        <f t="shared" ref="H1859:H1922" si="29">IF(F1859&lt;&gt;"",F1859,G1859)</f>
        <v/>
      </c>
    </row>
    <row r="1860" spans="1:8" ht="15.5" x14ac:dyDescent="0.35">
      <c r="A1860" s="7">
        <v>1859</v>
      </c>
      <c r="B1860" s="10">
        <v>31017</v>
      </c>
      <c r="C1860" s="13" t="s">
        <v>1842</v>
      </c>
      <c r="D1860" s="12" t="s">
        <v>1491</v>
      </c>
      <c r="E1860" s="10">
        <v>2010</v>
      </c>
      <c r="F1860" s="36" t="str" cm="1">
        <f t="array" ref="F1860">_xlfn.XLOOKUP(D1860&amp;C1860, Sheet3!$C$2:$C$1224&amp;Sheet3!$B$2:$B$1224, Sheet3!$D$2:$D$1224, "")</f>
        <v/>
      </c>
      <c r="G1860" s="1" t="str" cm="1">
        <f t="array" ref="G1860">_xlfn.XLOOKUP(D1860&amp;C1860, Sheet2!$A$2:$A$558&amp;Sheet2!$B$2:$B$558, Sheet2!$C$2:$C$558, "")</f>
        <v/>
      </c>
      <c r="H1860" s="40" t="str">
        <f t="shared" si="29"/>
        <v/>
      </c>
    </row>
    <row r="1861" spans="1:8" ht="15.5" x14ac:dyDescent="0.35">
      <c r="A1861" s="7">
        <v>1860</v>
      </c>
      <c r="B1861" s="10">
        <v>31110</v>
      </c>
      <c r="C1861" s="13" t="s">
        <v>1843</v>
      </c>
      <c r="D1861" s="12" t="s">
        <v>1491</v>
      </c>
      <c r="E1861" s="10">
        <v>2010</v>
      </c>
      <c r="F1861" s="36" t="str" cm="1">
        <f t="array" ref="F1861">_xlfn.XLOOKUP(D1861&amp;C1861, Sheet3!$C$2:$C$1224&amp;Sheet3!$B$2:$B$1224, Sheet3!$D$2:$D$1224, "")</f>
        <v/>
      </c>
      <c r="G1861" s="1" t="str" cm="1">
        <f t="array" ref="G1861">_xlfn.XLOOKUP(D1861&amp;C1861, Sheet2!$A$2:$A$558&amp;Sheet2!$B$2:$B$558, Sheet2!$C$2:$C$558, "")</f>
        <v>eka.adhitya@gmail.com</v>
      </c>
      <c r="H1861" s="40" t="str">
        <f t="shared" si="29"/>
        <v>eka.adhitya@gmail.com</v>
      </c>
    </row>
    <row r="1862" spans="1:8" ht="15.5" x14ac:dyDescent="0.35">
      <c r="A1862" s="7">
        <v>1861</v>
      </c>
      <c r="B1862" s="12">
        <v>28325</v>
      </c>
      <c r="C1862" s="11" t="s">
        <v>6230</v>
      </c>
      <c r="D1862" s="12">
        <v>2003</v>
      </c>
      <c r="E1862" s="10">
        <v>2010</v>
      </c>
      <c r="F1862" s="36" t="str" cm="1">
        <f t="array" ref="F1862">_xlfn.XLOOKUP(D1862&amp;C1862, Sheet3!$C$2:$C$1224&amp;Sheet3!$B$2:$B$1224, Sheet3!$D$2:$D$1224, "")</f>
        <v/>
      </c>
      <c r="G1862" s="1" t="str" cm="1">
        <f t="array" ref="G1862">_xlfn.XLOOKUP(D1862&amp;C1862, Sheet2!$A$2:$A$558&amp;Sheet2!$B$2:$B$558, Sheet2!$C$2:$C$558, "")</f>
        <v>adityayanp@gmail.com</v>
      </c>
      <c r="H1862" s="40" t="str">
        <f t="shared" si="29"/>
        <v>adityayanp@gmail.com</v>
      </c>
    </row>
    <row r="1863" spans="1:8" ht="15.5" x14ac:dyDescent="0.35">
      <c r="A1863" s="7">
        <v>1862</v>
      </c>
      <c r="B1863" s="17">
        <v>28563</v>
      </c>
      <c r="C1863" s="13" t="s">
        <v>2858</v>
      </c>
      <c r="D1863" s="17">
        <v>2003</v>
      </c>
      <c r="E1863" s="10">
        <v>2010</v>
      </c>
      <c r="F1863" s="36" t="str" cm="1">
        <f t="array" ref="F1863">_xlfn.XLOOKUP(D1863&amp;C1863, Sheet3!$C$2:$C$1224&amp;Sheet3!$B$2:$B$1224, Sheet3!$D$2:$D$1224, "")</f>
        <v/>
      </c>
      <c r="G1863" s="1" t="str" cm="1">
        <f t="array" ref="G1863">_xlfn.XLOOKUP(D1863&amp;C1863, Sheet2!$A$2:$A$558&amp;Sheet2!$B$2:$B$558, Sheet2!$C$2:$C$558, "")</f>
        <v/>
      </c>
      <c r="H1863" s="40" t="str">
        <f t="shared" si="29"/>
        <v/>
      </c>
    </row>
    <row r="1864" spans="1:8" ht="15.5" x14ac:dyDescent="0.35">
      <c r="A1864" s="7">
        <v>1863</v>
      </c>
      <c r="B1864" s="17">
        <v>30086</v>
      </c>
      <c r="C1864" s="13" t="s">
        <v>2859</v>
      </c>
      <c r="D1864" s="17">
        <v>2004</v>
      </c>
      <c r="E1864" s="10">
        <v>2010</v>
      </c>
      <c r="F1864" s="36" t="str" cm="1">
        <f t="array" ref="F1864">_xlfn.XLOOKUP(D1864&amp;C1864, Sheet3!$C$2:$C$1224&amp;Sheet3!$B$2:$B$1224, Sheet3!$D$2:$D$1224, "")</f>
        <v>rahmat.adityanto@yahoo.com</v>
      </c>
      <c r="G1864" s="1" t="str" cm="1">
        <f t="array" ref="G1864">_xlfn.XLOOKUP(D1864&amp;C1864, Sheet2!$A$2:$A$558&amp;Sheet2!$B$2:$B$558, Sheet2!$C$2:$C$558, "")</f>
        <v>rahmat.adityanto@atrbpn.go.id</v>
      </c>
      <c r="H1864" s="40" t="str">
        <f t="shared" si="29"/>
        <v>rahmat.adityanto@yahoo.com</v>
      </c>
    </row>
    <row r="1865" spans="1:8" ht="15.5" x14ac:dyDescent="0.35">
      <c r="A1865" s="7">
        <v>1864</v>
      </c>
      <c r="B1865" s="17">
        <v>30545</v>
      </c>
      <c r="C1865" s="13" t="s">
        <v>2860</v>
      </c>
      <c r="D1865" s="17">
        <v>2005</v>
      </c>
      <c r="E1865" s="10">
        <v>2010</v>
      </c>
      <c r="F1865" s="36" t="str" cm="1">
        <f t="array" ref="F1865">_xlfn.XLOOKUP(D1865&amp;C1865, Sheet3!$C$2:$C$1224&amp;Sheet3!$B$2:$B$1224, Sheet3!$D$2:$D$1224, "")</f>
        <v/>
      </c>
      <c r="G1865" s="1" t="str" cm="1">
        <f t="array" ref="G1865">_xlfn.XLOOKUP(D1865&amp;C1865, Sheet2!$A$2:$A$558&amp;Sheet2!$B$2:$B$558, Sheet2!$C$2:$C$558, "")</f>
        <v>agustomosuryo@gmail.com</v>
      </c>
      <c r="H1865" s="40" t="str">
        <f t="shared" si="29"/>
        <v>agustomosuryo@gmail.com</v>
      </c>
    </row>
    <row r="1866" spans="1:8" ht="15.5" x14ac:dyDescent="0.35">
      <c r="A1866" s="7">
        <v>1865</v>
      </c>
      <c r="B1866" s="17">
        <v>30693</v>
      </c>
      <c r="C1866" s="13" t="s">
        <v>2861</v>
      </c>
      <c r="D1866" s="17">
        <v>2005</v>
      </c>
      <c r="E1866" s="10">
        <v>2010</v>
      </c>
      <c r="F1866" s="36" t="str" cm="1">
        <f t="array" ref="F1866">_xlfn.XLOOKUP(D1866&amp;C1866, Sheet3!$C$2:$C$1224&amp;Sheet3!$B$2:$B$1224, Sheet3!$D$2:$D$1224, "")</f>
        <v/>
      </c>
      <c r="G1866" s="1" t="str" cm="1">
        <f t="array" ref="G1866">_xlfn.XLOOKUP(D1866&amp;C1866, Sheet2!$A$2:$A$558&amp;Sheet2!$B$2:$B$558, Sheet2!$C$2:$C$558, "")</f>
        <v/>
      </c>
      <c r="H1866" s="40" t="str">
        <f t="shared" si="29"/>
        <v/>
      </c>
    </row>
    <row r="1867" spans="1:8" ht="15.5" x14ac:dyDescent="0.35">
      <c r="A1867" s="7">
        <v>1866</v>
      </c>
      <c r="B1867" s="17">
        <v>30714</v>
      </c>
      <c r="C1867" s="13" t="s">
        <v>2862</v>
      </c>
      <c r="D1867" s="17">
        <v>2005</v>
      </c>
      <c r="E1867" s="10">
        <v>2010</v>
      </c>
      <c r="F1867" s="36" t="str" cm="1">
        <f t="array" ref="F1867">_xlfn.XLOOKUP(D1867&amp;C1867, Sheet3!$C$2:$C$1224&amp;Sheet3!$B$2:$B$1224, Sheet3!$D$2:$D$1224, "")</f>
        <v/>
      </c>
      <c r="G1867" s="1" t="str" cm="1">
        <f t="array" ref="G1867">_xlfn.XLOOKUP(D1867&amp;C1867, Sheet2!$A$2:$A$558&amp;Sheet2!$B$2:$B$558, Sheet2!$C$2:$C$558, "")</f>
        <v/>
      </c>
      <c r="H1867" s="40" t="str">
        <f t="shared" si="29"/>
        <v/>
      </c>
    </row>
    <row r="1868" spans="1:8" ht="15.5" x14ac:dyDescent="0.35">
      <c r="A1868" s="7">
        <v>1867</v>
      </c>
      <c r="B1868" s="17">
        <v>30753</v>
      </c>
      <c r="C1868" s="13" t="s">
        <v>2863</v>
      </c>
      <c r="D1868" s="17">
        <v>2005</v>
      </c>
      <c r="E1868" s="10">
        <v>2010</v>
      </c>
      <c r="F1868" s="36" t="str" cm="1">
        <f t="array" ref="F1868">_xlfn.XLOOKUP(D1868&amp;C1868, Sheet3!$C$2:$C$1224&amp;Sheet3!$B$2:$B$1224, Sheet3!$D$2:$D$1224, "")</f>
        <v/>
      </c>
      <c r="G1868" s="1" t="str" cm="1">
        <f t="array" ref="G1868">_xlfn.XLOOKUP(D1868&amp;C1868, Sheet2!$A$2:$A$558&amp;Sheet2!$B$2:$B$558, Sheet2!$C$2:$C$558, "")</f>
        <v/>
      </c>
      <c r="H1868" s="40" t="str">
        <f t="shared" si="29"/>
        <v/>
      </c>
    </row>
    <row r="1869" spans="1:8" ht="15.5" x14ac:dyDescent="0.35">
      <c r="A1869" s="7">
        <v>1868</v>
      </c>
      <c r="B1869" s="17">
        <v>30822</v>
      </c>
      <c r="C1869" s="13" t="s">
        <v>5854</v>
      </c>
      <c r="D1869" s="17">
        <v>2005</v>
      </c>
      <c r="E1869" s="10">
        <v>2010</v>
      </c>
      <c r="F1869" s="36" t="str" cm="1">
        <f t="array" ref="F1869">_xlfn.XLOOKUP(D1869&amp;C1869, Sheet3!$C$2:$C$1224&amp;Sheet3!$B$2:$B$1224, Sheet3!$D$2:$D$1224, "")</f>
        <v/>
      </c>
      <c r="G1869" s="1" t="str" cm="1">
        <f t="array" ref="G1869">_xlfn.XLOOKUP(D1869&amp;C1869, Sheet2!$A$2:$A$558&amp;Sheet2!$B$2:$B$558, Sheet2!$C$2:$C$558, "")</f>
        <v>achmadbfirman@gmail.com</v>
      </c>
      <c r="H1869" s="40" t="str">
        <f t="shared" si="29"/>
        <v>achmadbfirman@gmail.com</v>
      </c>
    </row>
    <row r="1870" spans="1:8" ht="15.5" x14ac:dyDescent="0.35">
      <c r="A1870" s="7">
        <v>1869</v>
      </c>
      <c r="B1870" s="17">
        <v>30860</v>
      </c>
      <c r="C1870" s="13" t="s">
        <v>2864</v>
      </c>
      <c r="D1870" s="17">
        <v>2005</v>
      </c>
      <c r="E1870" s="10">
        <v>2010</v>
      </c>
      <c r="F1870" s="36" t="str" cm="1">
        <f t="array" ref="F1870">_xlfn.XLOOKUP(D1870&amp;C1870, Sheet3!$C$2:$C$1224&amp;Sheet3!$B$2:$B$1224, Sheet3!$D$2:$D$1224, "")</f>
        <v/>
      </c>
      <c r="G1870" s="1" t="str" cm="1">
        <f t="array" ref="G1870">_xlfn.XLOOKUP(D1870&amp;C1870, Sheet2!$A$2:$A$558&amp;Sheet2!$B$2:$B$558, Sheet2!$C$2:$C$558, "")</f>
        <v>roihan.azhari@gmail.com</v>
      </c>
      <c r="H1870" s="40" t="str">
        <f t="shared" si="29"/>
        <v>roihan.azhari@gmail.com</v>
      </c>
    </row>
    <row r="1871" spans="1:8" ht="15.5" x14ac:dyDescent="0.35">
      <c r="A1871" s="7">
        <v>1870</v>
      </c>
      <c r="B1871" s="17">
        <v>30875</v>
      </c>
      <c r="C1871" s="13" t="s">
        <v>2865</v>
      </c>
      <c r="D1871" s="17">
        <v>2005</v>
      </c>
      <c r="E1871" s="10">
        <v>2010</v>
      </c>
      <c r="F1871" s="36" t="str" cm="1">
        <f t="array" ref="F1871">_xlfn.XLOOKUP(D1871&amp;C1871, Sheet3!$C$2:$C$1224&amp;Sheet3!$B$2:$B$1224, Sheet3!$D$2:$D$1224, "")</f>
        <v/>
      </c>
      <c r="G1871" s="1" t="str" cm="1">
        <f t="array" ref="G1871">_xlfn.XLOOKUP(D1871&amp;C1871, Sheet2!$A$2:$A$558&amp;Sheet2!$B$2:$B$558, Sheet2!$C$2:$C$558, "")</f>
        <v/>
      </c>
      <c r="H1871" s="40" t="str">
        <f t="shared" si="29"/>
        <v/>
      </c>
    </row>
    <row r="1872" spans="1:8" ht="15.5" x14ac:dyDescent="0.35">
      <c r="A1872" s="7">
        <v>1871</v>
      </c>
      <c r="B1872" s="17">
        <v>30890</v>
      </c>
      <c r="C1872" s="13" t="s">
        <v>2866</v>
      </c>
      <c r="D1872" s="17">
        <v>2005</v>
      </c>
      <c r="E1872" s="10">
        <v>2010</v>
      </c>
      <c r="F1872" s="36" t="str" cm="1">
        <f t="array" ref="F1872">_xlfn.XLOOKUP(D1872&amp;C1872, Sheet3!$C$2:$C$1224&amp;Sheet3!$B$2:$B$1224, Sheet3!$D$2:$D$1224, "")</f>
        <v/>
      </c>
      <c r="G1872" s="1" t="str" cm="1">
        <f t="array" ref="G1872">_xlfn.XLOOKUP(D1872&amp;C1872, Sheet2!$A$2:$A$558&amp;Sheet2!$B$2:$B$558, Sheet2!$C$2:$C$558, "")</f>
        <v>gama.hirawan@yahoo.com</v>
      </c>
      <c r="H1872" s="40" t="str">
        <f t="shared" si="29"/>
        <v>gama.hirawan@yahoo.com</v>
      </c>
    </row>
    <row r="1873" spans="1:8" ht="15.5" x14ac:dyDescent="0.35">
      <c r="A1873" s="7">
        <v>1872</v>
      </c>
      <c r="B1873" s="17">
        <v>30910</v>
      </c>
      <c r="C1873" s="13" t="s">
        <v>2867</v>
      </c>
      <c r="D1873" s="17">
        <v>2005</v>
      </c>
      <c r="E1873" s="10">
        <v>2010</v>
      </c>
      <c r="F1873" s="36" t="str" cm="1">
        <f t="array" ref="F1873">_xlfn.XLOOKUP(D1873&amp;C1873, Sheet3!$C$2:$C$1224&amp;Sheet3!$B$2:$B$1224, Sheet3!$D$2:$D$1224, "")</f>
        <v/>
      </c>
      <c r="G1873" s="1" t="str" cm="1">
        <f t="array" ref="G1873">_xlfn.XLOOKUP(D1873&amp;C1873, Sheet2!$A$2:$A$558&amp;Sheet2!$B$2:$B$558, Sheet2!$C$2:$C$558, "")</f>
        <v/>
      </c>
      <c r="H1873" s="40" t="str">
        <f t="shared" si="29"/>
        <v/>
      </c>
    </row>
    <row r="1874" spans="1:8" ht="15.5" x14ac:dyDescent="0.35">
      <c r="A1874" s="7">
        <v>1873</v>
      </c>
      <c r="B1874" s="17">
        <v>30960</v>
      </c>
      <c r="C1874" s="13" t="s">
        <v>2868</v>
      </c>
      <c r="D1874" s="17">
        <v>2005</v>
      </c>
      <c r="E1874" s="10">
        <v>2010</v>
      </c>
      <c r="F1874" s="36" t="str" cm="1">
        <f t="array" ref="F1874">_xlfn.XLOOKUP(D1874&amp;C1874, Sheet3!$C$2:$C$1224&amp;Sheet3!$B$2:$B$1224, Sheet3!$D$2:$D$1224, "")</f>
        <v/>
      </c>
      <c r="G1874" s="1" t="str" cm="1">
        <f t="array" ref="G1874">_xlfn.XLOOKUP(D1874&amp;C1874, Sheet2!$A$2:$A$558&amp;Sheet2!$B$2:$B$558, Sheet2!$C$2:$C$558, "")</f>
        <v/>
      </c>
      <c r="H1874" s="40" t="str">
        <f t="shared" si="29"/>
        <v/>
      </c>
    </row>
    <row r="1875" spans="1:8" ht="15.5" x14ac:dyDescent="0.35">
      <c r="A1875" s="7">
        <v>1874</v>
      </c>
      <c r="B1875" s="17">
        <v>30981</v>
      </c>
      <c r="C1875" s="13" t="s">
        <v>2869</v>
      </c>
      <c r="D1875" s="17">
        <v>2005</v>
      </c>
      <c r="E1875" s="10">
        <v>2010</v>
      </c>
      <c r="F1875" s="36" t="str" cm="1">
        <f t="array" ref="F1875">_xlfn.XLOOKUP(D1875&amp;C1875, Sheet3!$C$2:$C$1224&amp;Sheet3!$B$2:$B$1224, Sheet3!$D$2:$D$1224, "")</f>
        <v/>
      </c>
      <c r="G1875" s="1" t="str" cm="1">
        <f t="array" ref="G1875">_xlfn.XLOOKUP(D1875&amp;C1875, Sheet2!$A$2:$A$558&amp;Sheet2!$B$2:$B$558, Sheet2!$C$2:$C$558, "")</f>
        <v/>
      </c>
      <c r="H1875" s="40" t="str">
        <f t="shared" si="29"/>
        <v/>
      </c>
    </row>
    <row r="1876" spans="1:8" ht="15.5" x14ac:dyDescent="0.35">
      <c r="A1876" s="7">
        <v>1875</v>
      </c>
      <c r="B1876" s="17">
        <v>31010</v>
      </c>
      <c r="C1876" s="13" t="s">
        <v>2870</v>
      </c>
      <c r="D1876" s="17">
        <v>2005</v>
      </c>
      <c r="E1876" s="10">
        <v>2010</v>
      </c>
      <c r="F1876" s="36" t="str" cm="1">
        <f t="array" ref="F1876">_xlfn.XLOOKUP(D1876&amp;C1876, Sheet3!$C$2:$C$1224&amp;Sheet3!$B$2:$B$1224, Sheet3!$D$2:$D$1224, "")</f>
        <v>veronikabpnri@gmail.com</v>
      </c>
      <c r="G1876" s="1" t="str" cm="1">
        <f t="array" ref="G1876">_xlfn.XLOOKUP(D1876&amp;C1876, Sheet2!$A$2:$A$558&amp;Sheet2!$B$2:$B$558, Sheet2!$C$2:$C$558, "")</f>
        <v/>
      </c>
      <c r="H1876" s="40" t="str">
        <f t="shared" si="29"/>
        <v>veronikabpnri@gmail.com</v>
      </c>
    </row>
    <row r="1877" spans="1:8" ht="15.5" x14ac:dyDescent="0.35">
      <c r="A1877" s="7">
        <v>1876</v>
      </c>
      <c r="B1877" s="17">
        <v>31145</v>
      </c>
      <c r="C1877" s="13" t="s">
        <v>2871</v>
      </c>
      <c r="D1877" s="17">
        <v>2005</v>
      </c>
      <c r="E1877" s="10">
        <v>2010</v>
      </c>
      <c r="F1877" s="36" t="str" cm="1">
        <f t="array" ref="F1877">_xlfn.XLOOKUP(D1877&amp;C1877, Sheet3!$C$2:$C$1224&amp;Sheet3!$B$2:$B$1224, Sheet3!$D$2:$D$1224, "")</f>
        <v/>
      </c>
      <c r="G1877" s="1" t="str" cm="1">
        <f t="array" ref="G1877">_xlfn.XLOOKUP(D1877&amp;C1877, Sheet2!$A$2:$A$558&amp;Sheet2!$B$2:$B$558, Sheet2!$C$2:$C$558, "")</f>
        <v/>
      </c>
      <c r="H1877" s="40" t="str">
        <f t="shared" si="29"/>
        <v/>
      </c>
    </row>
    <row r="1878" spans="1:8" ht="15.5" x14ac:dyDescent="0.35">
      <c r="A1878" s="7">
        <v>1877</v>
      </c>
      <c r="B1878" s="17">
        <v>31195</v>
      </c>
      <c r="C1878" s="13" t="s">
        <v>2872</v>
      </c>
      <c r="D1878" s="17">
        <v>2005</v>
      </c>
      <c r="E1878" s="10">
        <v>2010</v>
      </c>
      <c r="F1878" s="36" t="str" cm="1">
        <f t="array" ref="F1878">_xlfn.XLOOKUP(D1878&amp;C1878, Sheet3!$C$2:$C$1224&amp;Sheet3!$B$2:$B$1224, Sheet3!$D$2:$D$1224, "")</f>
        <v/>
      </c>
      <c r="G1878" s="1" t="str" cm="1">
        <f t="array" ref="G1878">_xlfn.XLOOKUP(D1878&amp;C1878, Sheet2!$A$2:$A$558&amp;Sheet2!$B$2:$B$558, Sheet2!$C$2:$C$558, "")</f>
        <v/>
      </c>
      <c r="H1878" s="40" t="str">
        <f t="shared" si="29"/>
        <v/>
      </c>
    </row>
    <row r="1879" spans="1:8" ht="15.5" x14ac:dyDescent="0.35">
      <c r="A1879" s="7">
        <v>1878</v>
      </c>
      <c r="B1879" s="17">
        <v>31235</v>
      </c>
      <c r="C1879" s="13" t="s">
        <v>2873</v>
      </c>
      <c r="D1879" s="17">
        <v>2005</v>
      </c>
      <c r="E1879" s="10">
        <v>2010</v>
      </c>
      <c r="F1879" s="36" t="str" cm="1">
        <f t="array" ref="F1879">_xlfn.XLOOKUP(D1879&amp;C1879, Sheet3!$C$2:$C$1224&amp;Sheet3!$B$2:$B$1224, Sheet3!$D$2:$D$1224, "")</f>
        <v/>
      </c>
      <c r="G1879" s="1" t="str" cm="1">
        <f t="array" ref="G1879">_xlfn.XLOOKUP(D1879&amp;C1879, Sheet2!$A$2:$A$558&amp;Sheet2!$B$2:$B$558, Sheet2!$C$2:$C$558, "")</f>
        <v/>
      </c>
      <c r="H1879" s="40" t="str">
        <f t="shared" si="29"/>
        <v/>
      </c>
    </row>
    <row r="1880" spans="1:8" ht="15.5" x14ac:dyDescent="0.35">
      <c r="A1880" s="7">
        <v>1879</v>
      </c>
      <c r="B1880" s="17">
        <v>31339</v>
      </c>
      <c r="C1880" s="13" t="s">
        <v>2874</v>
      </c>
      <c r="D1880" s="17">
        <v>2006</v>
      </c>
      <c r="E1880" s="10">
        <v>2010</v>
      </c>
      <c r="F1880" s="36" t="str" cm="1">
        <f t="array" ref="F1880">_xlfn.XLOOKUP(D1880&amp;C1880, Sheet3!$C$2:$C$1224&amp;Sheet3!$B$2:$B$1224, Sheet3!$D$2:$D$1224, "")</f>
        <v/>
      </c>
      <c r="G1880" s="1" t="str" cm="1">
        <f t="array" ref="G1880">_xlfn.XLOOKUP(D1880&amp;C1880, Sheet2!$A$2:$A$558&amp;Sheet2!$B$2:$B$558, Sheet2!$C$2:$C$558, "")</f>
        <v/>
      </c>
      <c r="H1880" s="40" t="str">
        <f t="shared" si="29"/>
        <v/>
      </c>
    </row>
    <row r="1881" spans="1:8" ht="15.5" x14ac:dyDescent="0.35">
      <c r="A1881" s="7">
        <v>1880</v>
      </c>
      <c r="B1881" s="17">
        <v>31393</v>
      </c>
      <c r="C1881" s="13" t="s">
        <v>2875</v>
      </c>
      <c r="D1881" s="17">
        <v>2006</v>
      </c>
      <c r="E1881" s="10">
        <v>2010</v>
      </c>
      <c r="F1881" s="36" t="str" cm="1">
        <f t="array" ref="F1881">_xlfn.XLOOKUP(D1881&amp;C1881, Sheet3!$C$2:$C$1224&amp;Sheet3!$B$2:$B$1224, Sheet3!$D$2:$D$1224, "")</f>
        <v>kartikalaras@gmail.com</v>
      </c>
      <c r="G1881" s="1" t="str" cm="1">
        <f t="array" ref="G1881">_xlfn.XLOOKUP(D1881&amp;C1881, Sheet2!$A$2:$A$558&amp;Sheet2!$B$2:$B$558, Sheet2!$C$2:$C$558, "")</f>
        <v/>
      </c>
      <c r="H1881" s="40" t="str">
        <f t="shared" si="29"/>
        <v>kartikalaras@gmail.com</v>
      </c>
    </row>
    <row r="1882" spans="1:8" ht="15.5" x14ac:dyDescent="0.35">
      <c r="A1882" s="7">
        <v>1881</v>
      </c>
      <c r="B1882" s="17">
        <v>31568</v>
      </c>
      <c r="C1882" s="13" t="s">
        <v>2876</v>
      </c>
      <c r="D1882" s="17">
        <v>2006</v>
      </c>
      <c r="E1882" s="10">
        <v>2010</v>
      </c>
      <c r="F1882" s="36" t="str" cm="1">
        <f t="array" ref="F1882">_xlfn.XLOOKUP(D1882&amp;C1882, Sheet3!$C$2:$C$1224&amp;Sheet3!$B$2:$B$1224, Sheet3!$D$2:$D$1224, "")</f>
        <v/>
      </c>
      <c r="G1882" s="1" t="str" cm="1">
        <f t="array" ref="G1882">_xlfn.XLOOKUP(D1882&amp;C1882, Sheet2!$A$2:$A$558&amp;Sheet2!$B$2:$B$558, Sheet2!$C$2:$C$558, "")</f>
        <v>rakhmat.aries@gmail.com</v>
      </c>
      <c r="H1882" s="40" t="str">
        <f t="shared" si="29"/>
        <v>rakhmat.aries@gmail.com</v>
      </c>
    </row>
    <row r="1883" spans="1:8" ht="15.5" x14ac:dyDescent="0.35">
      <c r="A1883" s="7">
        <v>1882</v>
      </c>
      <c r="B1883" s="17">
        <v>31651</v>
      </c>
      <c r="C1883" s="13" t="s">
        <v>2877</v>
      </c>
      <c r="D1883" s="17">
        <v>2006</v>
      </c>
      <c r="E1883" s="10">
        <v>2010</v>
      </c>
      <c r="F1883" s="36" t="str" cm="1">
        <f t="array" ref="F1883">_xlfn.XLOOKUP(D1883&amp;C1883, Sheet3!$C$2:$C$1224&amp;Sheet3!$B$2:$B$1224, Sheet3!$D$2:$D$1224, "")</f>
        <v>hersan18@gmail.com</v>
      </c>
      <c r="G1883" s="1" t="str" cm="1">
        <f t="array" ref="G1883">_xlfn.XLOOKUP(D1883&amp;C1883, Sheet2!$A$2:$A$558&amp;Sheet2!$B$2:$B$558, Sheet2!$C$2:$C$558, "")</f>
        <v/>
      </c>
      <c r="H1883" s="40" t="str">
        <f t="shared" si="29"/>
        <v>hersan18@gmail.com</v>
      </c>
    </row>
    <row r="1884" spans="1:8" ht="15.5" x14ac:dyDescent="0.35">
      <c r="A1884" s="7">
        <v>1883</v>
      </c>
      <c r="B1884" s="17">
        <v>31652</v>
      </c>
      <c r="C1884" s="13" t="s">
        <v>2878</v>
      </c>
      <c r="D1884" s="17">
        <v>2006</v>
      </c>
      <c r="E1884" s="10">
        <v>2010</v>
      </c>
      <c r="F1884" s="36" t="str" cm="1">
        <f t="array" ref="F1884">_xlfn.XLOOKUP(D1884&amp;C1884, Sheet3!$C$2:$C$1224&amp;Sheet3!$B$2:$B$1224, Sheet3!$D$2:$D$1224, "")</f>
        <v>hidayat.panuntun@ugm.ac.id</v>
      </c>
      <c r="G1884" s="1" t="str" cm="1">
        <f t="array" ref="G1884">_xlfn.XLOOKUP(D1884&amp;C1884, Sheet2!$A$2:$A$558&amp;Sheet2!$B$2:$B$558, Sheet2!$C$2:$C$558, "")</f>
        <v>hidayat.panuntun@ugm.ac.id</v>
      </c>
      <c r="H1884" s="40" t="str">
        <f t="shared" si="29"/>
        <v>hidayat.panuntun@ugm.ac.id</v>
      </c>
    </row>
    <row r="1885" spans="1:8" ht="15.5" x14ac:dyDescent="0.35">
      <c r="A1885" s="7">
        <v>1884</v>
      </c>
      <c r="B1885" s="17">
        <v>31776</v>
      </c>
      <c r="C1885" s="13" t="s">
        <v>2879</v>
      </c>
      <c r="D1885" s="17">
        <v>2006</v>
      </c>
      <c r="E1885" s="10">
        <v>2010</v>
      </c>
      <c r="F1885" s="36" t="str" cm="1">
        <f t="array" ref="F1885">_xlfn.XLOOKUP(D1885&amp;C1885, Sheet3!$C$2:$C$1224&amp;Sheet3!$B$2:$B$1224, Sheet3!$D$2:$D$1224, "")</f>
        <v>triandadp@gmail.com</v>
      </c>
      <c r="G1885" s="1" t="str" cm="1">
        <f t="array" ref="G1885">_xlfn.XLOOKUP(D1885&amp;C1885, Sheet2!$A$2:$A$558&amp;Sheet2!$B$2:$B$558, Sheet2!$C$2:$C$558, "")</f>
        <v/>
      </c>
      <c r="H1885" s="40" t="str">
        <f t="shared" si="29"/>
        <v>triandadp@gmail.com</v>
      </c>
    </row>
    <row r="1886" spans="1:8" ht="15.5" x14ac:dyDescent="0.35">
      <c r="A1886" s="7">
        <v>1885</v>
      </c>
      <c r="B1886" s="17">
        <v>31805</v>
      </c>
      <c r="C1886" s="13" t="s">
        <v>2880</v>
      </c>
      <c r="D1886" s="17">
        <v>2006</v>
      </c>
      <c r="E1886" s="10">
        <v>2010</v>
      </c>
      <c r="F1886" s="36" t="str" cm="1">
        <f t="array" ref="F1886">_xlfn.XLOOKUP(D1886&amp;C1886, Sheet3!$C$2:$C$1224&amp;Sheet3!$B$2:$B$1224, Sheet3!$D$2:$D$1224, "")</f>
        <v>hidayat.juniar@gmail.com</v>
      </c>
      <c r="G1886" s="1" t="str" cm="1">
        <f t="array" ref="G1886">_xlfn.XLOOKUP(D1886&amp;C1886, Sheet2!$A$2:$A$558&amp;Sheet2!$B$2:$B$558, Sheet2!$C$2:$C$558, "")</f>
        <v>hidayat.juniar@gmail.com</v>
      </c>
      <c r="H1886" s="40" t="str">
        <f t="shared" si="29"/>
        <v>hidayat.juniar@gmail.com</v>
      </c>
    </row>
    <row r="1887" spans="1:8" ht="15.5" x14ac:dyDescent="0.35">
      <c r="A1887" s="7">
        <v>1886</v>
      </c>
      <c r="B1887" s="17">
        <v>32000</v>
      </c>
      <c r="C1887" s="13" t="s">
        <v>2881</v>
      </c>
      <c r="D1887" s="17">
        <v>2006</v>
      </c>
      <c r="E1887" s="10">
        <v>2010</v>
      </c>
      <c r="F1887" s="36" t="str" cm="1">
        <f t="array" ref="F1887">_xlfn.XLOOKUP(D1887&amp;C1887, Sheet3!$C$2:$C$1224&amp;Sheet3!$B$2:$B$1224, Sheet3!$D$2:$D$1224, "")</f>
        <v/>
      </c>
      <c r="G1887" s="1" t="str" cm="1">
        <f t="array" ref="G1887">_xlfn.XLOOKUP(D1887&amp;C1887, Sheet2!$A$2:$A$558&amp;Sheet2!$B$2:$B$558, Sheet2!$C$2:$C$558, "")</f>
        <v/>
      </c>
      <c r="H1887" s="40" t="str">
        <f t="shared" si="29"/>
        <v/>
      </c>
    </row>
    <row r="1888" spans="1:8" ht="15.5" x14ac:dyDescent="0.35">
      <c r="A1888" s="7">
        <v>1887</v>
      </c>
      <c r="B1888" s="17">
        <v>32061</v>
      </c>
      <c r="C1888" s="13" t="s">
        <v>2882</v>
      </c>
      <c r="D1888" s="17">
        <v>2006</v>
      </c>
      <c r="E1888" s="10">
        <v>2010</v>
      </c>
      <c r="F1888" s="36" t="str" cm="1">
        <f t="array" ref="F1888">_xlfn.XLOOKUP(D1888&amp;C1888, Sheet3!$C$2:$C$1224&amp;Sheet3!$B$2:$B$1224, Sheet3!$D$2:$D$1224, "")</f>
        <v>rizaalfan@gmail.com</v>
      </c>
      <c r="G1888" s="1" t="str" cm="1">
        <f t="array" ref="G1888">_xlfn.XLOOKUP(D1888&amp;C1888, Sheet2!$A$2:$A$558&amp;Sheet2!$B$2:$B$558, Sheet2!$C$2:$C$558, "")</f>
        <v/>
      </c>
      <c r="H1888" s="40" t="str">
        <f t="shared" si="29"/>
        <v>rizaalfan@gmail.com</v>
      </c>
    </row>
    <row r="1889" spans="1:8" ht="15.5" x14ac:dyDescent="0.35">
      <c r="A1889" s="7">
        <v>1888</v>
      </c>
      <c r="B1889" s="12">
        <v>30988</v>
      </c>
      <c r="C1889" s="11" t="s">
        <v>2883</v>
      </c>
      <c r="D1889" s="12">
        <v>2005</v>
      </c>
      <c r="E1889" s="10">
        <v>2010</v>
      </c>
      <c r="F1889" s="36" t="str" cm="1">
        <f t="array" ref="F1889">_xlfn.XLOOKUP(D1889&amp;C1889, Sheet3!$C$2:$C$1224&amp;Sheet3!$B$2:$B$1224, Sheet3!$D$2:$D$1224, "")</f>
        <v/>
      </c>
      <c r="G1889" s="1" t="str" cm="1">
        <f t="array" ref="G1889">_xlfn.XLOOKUP(D1889&amp;C1889, Sheet2!$A$2:$A$558&amp;Sheet2!$B$2:$B$558, Sheet2!$C$2:$C$558, "")</f>
        <v>syska.ratnayushinta@gmail.com</v>
      </c>
      <c r="H1889" s="40" t="str">
        <f t="shared" si="29"/>
        <v>syska.ratnayushinta@gmail.com</v>
      </c>
    </row>
    <row r="1890" spans="1:8" ht="15.5" x14ac:dyDescent="0.35">
      <c r="A1890" s="7">
        <v>1889</v>
      </c>
      <c r="B1890" s="18">
        <v>30013</v>
      </c>
      <c r="C1890" s="13" t="s">
        <v>2884</v>
      </c>
      <c r="D1890" s="18" t="s">
        <v>1490</v>
      </c>
      <c r="E1890" s="10">
        <v>2010</v>
      </c>
      <c r="F1890" s="36" t="str" cm="1">
        <f t="array" ref="F1890">_xlfn.XLOOKUP(D1890&amp;C1890, Sheet3!$C$2:$C$1224&amp;Sheet3!$B$2:$B$1224, Sheet3!$D$2:$D$1224, "")</f>
        <v>fibrianto.bayu@gmail.com</v>
      </c>
      <c r="G1890" s="1" t="str" cm="1">
        <f t="array" ref="G1890">_xlfn.XLOOKUP(D1890&amp;C1890, Sheet2!$A$2:$A$558&amp;Sheet2!$B$2:$B$558, Sheet2!$C$2:$C$558, "")</f>
        <v/>
      </c>
      <c r="H1890" s="40" t="str">
        <f t="shared" si="29"/>
        <v>fibrianto.bayu@gmail.com</v>
      </c>
    </row>
    <row r="1891" spans="1:8" ht="15.5" x14ac:dyDescent="0.35">
      <c r="A1891" s="7">
        <v>1890</v>
      </c>
      <c r="B1891" s="18">
        <v>30886</v>
      </c>
      <c r="C1891" s="13" t="s">
        <v>2885</v>
      </c>
      <c r="D1891" s="18" t="s">
        <v>1491</v>
      </c>
      <c r="E1891" s="10">
        <v>2010</v>
      </c>
      <c r="F1891" s="36" t="str" cm="1">
        <f t="array" ref="F1891">_xlfn.XLOOKUP(D1891&amp;C1891, Sheet3!$C$2:$C$1224&amp;Sheet3!$B$2:$B$1224, Sheet3!$D$2:$D$1224, "")</f>
        <v/>
      </c>
      <c r="G1891" s="1" t="str" cm="1">
        <f t="array" ref="G1891">_xlfn.XLOOKUP(D1891&amp;C1891, Sheet2!$A$2:$A$558&amp;Sheet2!$B$2:$B$558, Sheet2!$C$2:$C$558, "")</f>
        <v/>
      </c>
      <c r="H1891" s="40" t="str">
        <f t="shared" si="29"/>
        <v/>
      </c>
    </row>
    <row r="1892" spans="1:8" ht="15.5" x14ac:dyDescent="0.35">
      <c r="A1892" s="7">
        <v>1891</v>
      </c>
      <c r="B1892" s="18">
        <v>31029</v>
      </c>
      <c r="C1892" s="13" t="s">
        <v>2886</v>
      </c>
      <c r="D1892" s="18" t="s">
        <v>1491</v>
      </c>
      <c r="E1892" s="10">
        <v>2010</v>
      </c>
      <c r="F1892" s="36" t="str" cm="1">
        <f t="array" ref="F1892">_xlfn.XLOOKUP(D1892&amp;C1892, Sheet3!$C$2:$C$1224&amp;Sheet3!$B$2:$B$1224, Sheet3!$D$2:$D$1224, "")</f>
        <v/>
      </c>
      <c r="G1892" s="1" t="str" cm="1">
        <f t="array" ref="G1892">_xlfn.XLOOKUP(D1892&amp;C1892, Sheet2!$A$2:$A$558&amp;Sheet2!$B$2:$B$558, Sheet2!$C$2:$C$558, "")</f>
        <v>adhi.geodesi@gmail.com</v>
      </c>
      <c r="H1892" s="40" t="str">
        <f t="shared" si="29"/>
        <v>adhi.geodesi@gmail.com</v>
      </c>
    </row>
    <row r="1893" spans="1:8" ht="15.5" x14ac:dyDescent="0.35">
      <c r="A1893" s="7">
        <v>1892</v>
      </c>
      <c r="B1893" s="18">
        <v>31273</v>
      </c>
      <c r="C1893" s="13" t="s">
        <v>2887</v>
      </c>
      <c r="D1893" s="18" t="s">
        <v>2842</v>
      </c>
      <c r="E1893" s="10">
        <v>2010</v>
      </c>
      <c r="F1893" s="36" t="str" cm="1">
        <f t="array" ref="F1893">_xlfn.XLOOKUP(D1893&amp;C1893, Sheet3!$C$2:$C$1224&amp;Sheet3!$B$2:$B$1224, Sheet3!$D$2:$D$1224, "")</f>
        <v>surayya.rina@gmail.com</v>
      </c>
      <c r="G1893" s="1" t="str" cm="1">
        <f t="array" ref="G1893">_xlfn.XLOOKUP(D1893&amp;C1893, Sheet2!$A$2:$A$558&amp;Sheet2!$B$2:$B$558, Sheet2!$C$2:$C$558, "")</f>
        <v>surayya.rina@gmail.com</v>
      </c>
      <c r="H1893" s="40" t="str">
        <f t="shared" si="29"/>
        <v>surayya.rina@gmail.com</v>
      </c>
    </row>
    <row r="1894" spans="1:8" ht="15.5" x14ac:dyDescent="0.35">
      <c r="A1894" s="7">
        <v>1893</v>
      </c>
      <c r="B1894" s="18">
        <v>31673</v>
      </c>
      <c r="C1894" s="13" t="s">
        <v>2888</v>
      </c>
      <c r="D1894" s="18" t="s">
        <v>2842</v>
      </c>
      <c r="E1894" s="10">
        <v>2010</v>
      </c>
      <c r="F1894" s="36" t="str" cm="1">
        <f t="array" ref="F1894">_xlfn.XLOOKUP(D1894&amp;C1894, Sheet3!$C$2:$C$1224&amp;Sheet3!$B$2:$B$1224, Sheet3!$D$2:$D$1224, "")</f>
        <v/>
      </c>
      <c r="G1894" s="1" t="str" cm="1">
        <f t="array" ref="G1894">_xlfn.XLOOKUP(D1894&amp;C1894, Sheet2!$A$2:$A$558&amp;Sheet2!$B$2:$B$558, Sheet2!$C$2:$C$558, "")</f>
        <v/>
      </c>
      <c r="H1894" s="40" t="str">
        <f t="shared" si="29"/>
        <v/>
      </c>
    </row>
    <row r="1895" spans="1:8" ht="15.5" x14ac:dyDescent="0.35">
      <c r="A1895" s="7">
        <v>1894</v>
      </c>
      <c r="B1895" s="18">
        <v>31799</v>
      </c>
      <c r="C1895" s="13" t="s">
        <v>2889</v>
      </c>
      <c r="D1895" s="18" t="s">
        <v>2842</v>
      </c>
      <c r="E1895" s="10">
        <v>2010</v>
      </c>
      <c r="F1895" s="36" t="str" cm="1">
        <f t="array" ref="F1895">_xlfn.XLOOKUP(D1895&amp;C1895, Sheet3!$C$2:$C$1224&amp;Sheet3!$B$2:$B$1224, Sheet3!$D$2:$D$1224, "")</f>
        <v>fika.maharani@gmail.com</v>
      </c>
      <c r="G1895" s="1" t="str" cm="1">
        <f t="array" ref="G1895">_xlfn.XLOOKUP(D1895&amp;C1895, Sheet2!$A$2:$A$558&amp;Sheet2!$B$2:$B$558, Sheet2!$C$2:$C$558, "")</f>
        <v/>
      </c>
      <c r="H1895" s="40" t="str">
        <f t="shared" si="29"/>
        <v>fika.maharani@gmail.com</v>
      </c>
    </row>
    <row r="1896" spans="1:8" ht="15.5" x14ac:dyDescent="0.35">
      <c r="A1896" s="7">
        <v>1895</v>
      </c>
      <c r="B1896" s="18">
        <v>31847</v>
      </c>
      <c r="C1896" s="13" t="s">
        <v>2890</v>
      </c>
      <c r="D1896" s="18" t="s">
        <v>2842</v>
      </c>
      <c r="E1896" s="10">
        <v>2010</v>
      </c>
      <c r="F1896" s="36" t="str" cm="1">
        <f t="array" ref="F1896">_xlfn.XLOOKUP(D1896&amp;C1896, Sheet3!$C$2:$C$1224&amp;Sheet3!$B$2:$B$1224, Sheet3!$D$2:$D$1224, "")</f>
        <v>ardiansaputra17@gmail.com</v>
      </c>
      <c r="G1896" s="1" t="str" cm="1">
        <f t="array" ref="G1896">_xlfn.XLOOKUP(D1896&amp;C1896, Sheet2!$A$2:$A$558&amp;Sheet2!$B$2:$B$558, Sheet2!$C$2:$C$558, "")</f>
        <v>ardiansaputra17@gmail.com</v>
      </c>
      <c r="H1896" s="40" t="str">
        <f t="shared" si="29"/>
        <v>ardiansaputra17@gmail.com</v>
      </c>
    </row>
    <row r="1897" spans="1:8" ht="15.5" x14ac:dyDescent="0.35">
      <c r="A1897" s="7">
        <v>1896</v>
      </c>
      <c r="B1897" s="18">
        <v>32286</v>
      </c>
      <c r="C1897" s="13" t="s">
        <v>2891</v>
      </c>
      <c r="D1897" s="18" t="s">
        <v>2842</v>
      </c>
      <c r="E1897" s="10">
        <v>2010</v>
      </c>
      <c r="F1897" s="36" t="str" cm="1">
        <f t="array" ref="F1897">_xlfn.XLOOKUP(D1897&amp;C1897, Sheet3!$C$2:$C$1224&amp;Sheet3!$B$2:$B$1224, Sheet3!$D$2:$D$1224, "")</f>
        <v>subhianto.fajar@gmail.com</v>
      </c>
      <c r="G1897" s="1" t="str" cm="1">
        <f t="array" ref="G1897">_xlfn.XLOOKUP(D1897&amp;C1897, Sheet2!$A$2:$A$558&amp;Sheet2!$B$2:$B$558, Sheet2!$C$2:$C$558, "")</f>
        <v/>
      </c>
      <c r="H1897" s="40" t="str">
        <f t="shared" si="29"/>
        <v>subhianto.fajar@gmail.com</v>
      </c>
    </row>
    <row r="1898" spans="1:8" ht="15.5" x14ac:dyDescent="0.35">
      <c r="A1898" s="7">
        <v>1897</v>
      </c>
      <c r="B1898" s="19">
        <v>31737</v>
      </c>
      <c r="C1898" s="13" t="s">
        <v>2892</v>
      </c>
      <c r="D1898" s="19" t="s">
        <v>2842</v>
      </c>
      <c r="E1898" s="10">
        <v>2011</v>
      </c>
      <c r="F1898" s="36" t="str" cm="1">
        <f t="array" ref="F1898">_xlfn.XLOOKUP(D1898&amp;C1898, Sheet3!$C$2:$C$1224&amp;Sheet3!$B$2:$B$1224, Sheet3!$D$2:$D$1224, "")</f>
        <v>dopitsaputra@gmail.com</v>
      </c>
      <c r="G1898" s="1" t="str" cm="1">
        <f t="array" ref="G1898">_xlfn.XLOOKUP(D1898&amp;C1898, Sheet2!$A$2:$A$558&amp;Sheet2!$B$2:$B$558, Sheet2!$C$2:$C$558, "")</f>
        <v/>
      </c>
      <c r="H1898" s="40" t="str">
        <f t="shared" si="29"/>
        <v>dopitsaputra@gmail.com</v>
      </c>
    </row>
    <row r="1899" spans="1:8" ht="15.5" x14ac:dyDescent="0.35">
      <c r="A1899" s="7">
        <v>1898</v>
      </c>
      <c r="B1899" s="19">
        <v>31879</v>
      </c>
      <c r="C1899" s="13" t="s">
        <v>2893</v>
      </c>
      <c r="D1899" s="19" t="s">
        <v>2842</v>
      </c>
      <c r="E1899" s="10">
        <v>2011</v>
      </c>
      <c r="F1899" s="36" t="str" cm="1">
        <f t="array" ref="F1899">_xlfn.XLOOKUP(D1899&amp;C1899, Sheet3!$C$2:$C$1224&amp;Sheet3!$B$2:$B$1224, Sheet3!$D$2:$D$1224, "")</f>
        <v/>
      </c>
      <c r="G1899" s="1" t="str" cm="1">
        <f t="array" ref="G1899">_xlfn.XLOOKUP(D1899&amp;C1899, Sheet2!$A$2:$A$558&amp;Sheet2!$B$2:$B$558, Sheet2!$C$2:$C$558, "")</f>
        <v/>
      </c>
      <c r="H1899" s="40" t="str">
        <f t="shared" si="29"/>
        <v/>
      </c>
    </row>
    <row r="1900" spans="1:8" ht="15.5" x14ac:dyDescent="0.35">
      <c r="A1900" s="7">
        <v>1899</v>
      </c>
      <c r="B1900" s="19">
        <v>31838</v>
      </c>
      <c r="C1900" s="13" t="s">
        <v>2894</v>
      </c>
      <c r="D1900" s="19" t="s">
        <v>2842</v>
      </c>
      <c r="E1900" s="10">
        <v>2011</v>
      </c>
      <c r="F1900" s="36" t="str" cm="1">
        <f t="array" ref="F1900">_xlfn.XLOOKUP(D1900&amp;C1900, Sheet3!$C$2:$C$1224&amp;Sheet3!$B$2:$B$1224, Sheet3!$D$2:$D$1224, "")</f>
        <v>agrikristal@gmail.com</v>
      </c>
      <c r="G1900" s="1" t="str" cm="1">
        <f t="array" ref="G1900">_xlfn.XLOOKUP(D1900&amp;C1900, Sheet2!$A$2:$A$558&amp;Sheet2!$B$2:$B$558, Sheet2!$C$2:$C$558, "")</f>
        <v>agrikristal@gmail.com</v>
      </c>
      <c r="H1900" s="40" t="str">
        <f t="shared" si="29"/>
        <v>agrikristal@gmail.com</v>
      </c>
    </row>
    <row r="1901" spans="1:8" ht="15.5" x14ac:dyDescent="0.35">
      <c r="A1901" s="7">
        <v>1900</v>
      </c>
      <c r="B1901" s="19">
        <v>31734</v>
      </c>
      <c r="C1901" s="13" t="s">
        <v>2895</v>
      </c>
      <c r="D1901" s="19" t="s">
        <v>2842</v>
      </c>
      <c r="E1901" s="10">
        <v>2011</v>
      </c>
      <c r="F1901" s="36" t="str" cm="1">
        <f t="array" ref="F1901">_xlfn.XLOOKUP(D1901&amp;C1901, Sheet3!$C$2:$C$1224&amp;Sheet3!$B$2:$B$1224, Sheet3!$D$2:$D$1224, "")</f>
        <v/>
      </c>
      <c r="G1901" s="1" t="str" cm="1">
        <f t="array" ref="G1901">_xlfn.XLOOKUP(D1901&amp;C1901, Sheet2!$A$2:$A$558&amp;Sheet2!$B$2:$B$558, Sheet2!$C$2:$C$558, "")</f>
        <v>inggit.gd06@gmail.com</v>
      </c>
      <c r="H1901" s="40" t="str">
        <f t="shared" si="29"/>
        <v>inggit.gd06@gmail.com</v>
      </c>
    </row>
    <row r="1902" spans="1:8" ht="15.5" x14ac:dyDescent="0.35">
      <c r="A1902" s="7">
        <v>1901</v>
      </c>
      <c r="B1902" s="19">
        <v>30751</v>
      </c>
      <c r="C1902" s="13" t="s">
        <v>2896</v>
      </c>
      <c r="D1902" s="19" t="s">
        <v>1491</v>
      </c>
      <c r="E1902" s="10">
        <v>2011</v>
      </c>
      <c r="F1902" s="36" t="str" cm="1">
        <f t="array" ref="F1902">_xlfn.XLOOKUP(D1902&amp;C1902, Sheet3!$C$2:$C$1224&amp;Sheet3!$B$2:$B$1224, Sheet3!$D$2:$D$1224, "")</f>
        <v/>
      </c>
      <c r="G1902" s="1" t="str" cm="1">
        <f t="array" ref="G1902">_xlfn.XLOOKUP(D1902&amp;C1902, Sheet2!$A$2:$A$558&amp;Sheet2!$B$2:$B$558, Sheet2!$C$2:$C$558, "")</f>
        <v/>
      </c>
      <c r="H1902" s="40" t="str">
        <f t="shared" si="29"/>
        <v/>
      </c>
    </row>
    <row r="1903" spans="1:8" ht="15.5" x14ac:dyDescent="0.35">
      <c r="A1903" s="7">
        <v>1902</v>
      </c>
      <c r="B1903" s="19">
        <v>31666</v>
      </c>
      <c r="C1903" s="13" t="s">
        <v>2897</v>
      </c>
      <c r="D1903" s="19" t="s">
        <v>2842</v>
      </c>
      <c r="E1903" s="10">
        <v>2011</v>
      </c>
      <c r="F1903" s="36" t="str" cm="1">
        <f t="array" ref="F1903">_xlfn.XLOOKUP(D1903&amp;C1903, Sheet3!$C$2:$C$1224&amp;Sheet3!$B$2:$B$1224, Sheet3!$D$2:$D$1224, "")</f>
        <v/>
      </c>
      <c r="G1903" s="1" t="str" cm="1">
        <f t="array" ref="G1903">_xlfn.XLOOKUP(D1903&amp;C1903, Sheet2!$A$2:$A$558&amp;Sheet2!$B$2:$B$558, Sheet2!$C$2:$C$558, "")</f>
        <v/>
      </c>
      <c r="H1903" s="40" t="str">
        <f t="shared" si="29"/>
        <v/>
      </c>
    </row>
    <row r="1904" spans="1:8" ht="15.5" x14ac:dyDescent="0.35">
      <c r="A1904" s="7">
        <v>1903</v>
      </c>
      <c r="B1904" s="19">
        <v>30671</v>
      </c>
      <c r="C1904" s="13" t="s">
        <v>2898</v>
      </c>
      <c r="D1904" s="19" t="s">
        <v>1491</v>
      </c>
      <c r="E1904" s="10">
        <v>2011</v>
      </c>
      <c r="F1904" s="36" t="str" cm="1">
        <f t="array" ref="F1904">_xlfn.XLOOKUP(D1904&amp;C1904, Sheet3!$C$2:$C$1224&amp;Sheet3!$B$2:$B$1224, Sheet3!$D$2:$D$1224, "")</f>
        <v/>
      </c>
      <c r="G1904" s="1" t="str" cm="1">
        <f t="array" ref="G1904">_xlfn.XLOOKUP(D1904&amp;C1904, Sheet2!$A$2:$A$558&amp;Sheet2!$B$2:$B$558, Sheet2!$C$2:$C$558, "")</f>
        <v>angger.novi@elnusa.co.id</v>
      </c>
      <c r="H1904" s="40" t="str">
        <f t="shared" si="29"/>
        <v>angger.novi@elnusa.co.id</v>
      </c>
    </row>
    <row r="1905" spans="1:8" ht="15.5" x14ac:dyDescent="0.35">
      <c r="A1905" s="7">
        <v>1904</v>
      </c>
      <c r="B1905" s="19">
        <v>30277</v>
      </c>
      <c r="C1905" s="13" t="s">
        <v>2899</v>
      </c>
      <c r="D1905" s="19" t="s">
        <v>1490</v>
      </c>
      <c r="E1905" s="10">
        <v>2011</v>
      </c>
      <c r="F1905" s="36" t="str" cm="1">
        <f t="array" ref="F1905">_xlfn.XLOOKUP(D1905&amp;C1905, Sheet3!$C$2:$C$1224&amp;Sheet3!$B$2:$B$1224, Sheet3!$D$2:$D$1224, "")</f>
        <v/>
      </c>
      <c r="G1905" s="1" t="str" cm="1">
        <f t="array" ref="G1905">_xlfn.XLOOKUP(D1905&amp;C1905, Sheet2!$A$2:$A$558&amp;Sheet2!$B$2:$B$558, Sheet2!$C$2:$C$558, "")</f>
        <v/>
      </c>
      <c r="H1905" s="40" t="str">
        <f t="shared" si="29"/>
        <v/>
      </c>
    </row>
    <row r="1906" spans="1:8" ht="15.5" x14ac:dyDescent="0.35">
      <c r="A1906" s="7">
        <v>1905</v>
      </c>
      <c r="B1906" s="19">
        <v>30246</v>
      </c>
      <c r="C1906" s="13" t="s">
        <v>2900</v>
      </c>
      <c r="D1906" s="19" t="s">
        <v>1490</v>
      </c>
      <c r="E1906" s="10">
        <v>2011</v>
      </c>
      <c r="F1906" s="36" t="str" cm="1">
        <f t="array" ref="F1906">_xlfn.XLOOKUP(D1906&amp;C1906, Sheet3!$C$2:$C$1224&amp;Sheet3!$B$2:$B$1224, Sheet3!$D$2:$D$1224, "")</f>
        <v/>
      </c>
      <c r="G1906" s="1" t="str" cm="1">
        <f t="array" ref="G1906">_xlfn.XLOOKUP(D1906&amp;C1906, Sheet2!$A$2:$A$558&amp;Sheet2!$B$2:$B$558, Sheet2!$C$2:$C$558, "")</f>
        <v/>
      </c>
      <c r="H1906" s="40" t="str">
        <f t="shared" si="29"/>
        <v/>
      </c>
    </row>
    <row r="1907" spans="1:8" ht="15.5" x14ac:dyDescent="0.35">
      <c r="A1907" s="7">
        <v>1906</v>
      </c>
      <c r="B1907" s="12">
        <v>28817</v>
      </c>
      <c r="C1907" s="11" t="s">
        <v>2901</v>
      </c>
      <c r="D1907" s="12" t="s">
        <v>1489</v>
      </c>
      <c r="E1907" s="10">
        <v>2011</v>
      </c>
      <c r="F1907" s="36" t="str" cm="1">
        <f t="array" ref="F1907">_xlfn.XLOOKUP(D1907&amp;C1907, Sheet3!$C$2:$C$1224&amp;Sheet3!$B$2:$B$1224, Sheet3!$D$2:$D$1224, "")</f>
        <v/>
      </c>
      <c r="G1907" s="1" t="str" cm="1">
        <f t="array" ref="G1907">_xlfn.XLOOKUP(D1907&amp;C1907, Sheet2!$A$2:$A$558&amp;Sheet2!$B$2:$B$558, Sheet2!$C$2:$C$558, "")</f>
        <v/>
      </c>
      <c r="H1907" s="40" t="str">
        <f t="shared" si="29"/>
        <v/>
      </c>
    </row>
    <row r="1908" spans="1:8" ht="15.5" x14ac:dyDescent="0.35">
      <c r="A1908" s="7">
        <v>1907</v>
      </c>
      <c r="B1908" s="20">
        <v>32251</v>
      </c>
      <c r="C1908" s="13" t="s">
        <v>2902</v>
      </c>
      <c r="D1908" s="20" t="s">
        <v>2842</v>
      </c>
      <c r="E1908" s="10">
        <v>2011</v>
      </c>
      <c r="F1908" s="36" t="str" cm="1">
        <f t="array" ref="F1908">_xlfn.XLOOKUP(D1908&amp;C1908, Sheet3!$C$2:$C$1224&amp;Sheet3!$B$2:$B$1224, Sheet3!$D$2:$D$1224, "")</f>
        <v>bharotobayu@gmail.com</v>
      </c>
      <c r="G1908" s="1" t="str" cm="1">
        <f t="array" ref="G1908">_xlfn.XLOOKUP(D1908&amp;C1908, Sheet2!$A$2:$A$558&amp;Sheet2!$B$2:$B$558, Sheet2!$C$2:$C$558, "")</f>
        <v/>
      </c>
      <c r="H1908" s="40" t="str">
        <f t="shared" si="29"/>
        <v>bharotobayu@gmail.com</v>
      </c>
    </row>
    <row r="1909" spans="1:8" ht="15.5" x14ac:dyDescent="0.35">
      <c r="A1909" s="7">
        <v>1908</v>
      </c>
      <c r="B1909" s="20">
        <v>31908</v>
      </c>
      <c r="C1909" s="13" t="s">
        <v>2903</v>
      </c>
      <c r="D1909" s="20" t="s">
        <v>2842</v>
      </c>
      <c r="E1909" s="10">
        <v>2011</v>
      </c>
      <c r="F1909" s="36" t="str" cm="1">
        <f t="array" ref="F1909">_xlfn.XLOOKUP(D1909&amp;C1909, Sheet3!$C$2:$C$1224&amp;Sheet3!$B$2:$B$1224, Sheet3!$D$2:$D$1224, "")</f>
        <v/>
      </c>
      <c r="G1909" s="1" t="str" cm="1">
        <f t="array" ref="G1909">_xlfn.XLOOKUP(D1909&amp;C1909, Sheet2!$A$2:$A$558&amp;Sheet2!$B$2:$B$558, Sheet2!$C$2:$C$558, "")</f>
        <v>hendrawan.dwi06@gmail.com</v>
      </c>
      <c r="H1909" s="40" t="str">
        <f t="shared" si="29"/>
        <v>hendrawan.dwi06@gmail.com</v>
      </c>
    </row>
    <row r="1910" spans="1:8" ht="15.5" x14ac:dyDescent="0.35">
      <c r="A1910" s="7">
        <v>1909</v>
      </c>
      <c r="B1910" s="20">
        <v>32138</v>
      </c>
      <c r="C1910" s="13" t="s">
        <v>2904</v>
      </c>
      <c r="D1910" s="20" t="s">
        <v>2842</v>
      </c>
      <c r="E1910" s="10">
        <v>2011</v>
      </c>
      <c r="F1910" s="36" t="str" cm="1">
        <f t="array" ref="F1910">_xlfn.XLOOKUP(D1910&amp;C1910, Sheet3!$C$2:$C$1224&amp;Sheet3!$B$2:$B$1224, Sheet3!$D$2:$D$1224, "")</f>
        <v>jatigeodesi06@gmail.com</v>
      </c>
      <c r="G1910" s="1" t="str" cm="1">
        <f t="array" ref="G1910">_xlfn.XLOOKUP(D1910&amp;C1910, Sheet2!$A$2:$A$558&amp;Sheet2!$B$2:$B$558, Sheet2!$C$2:$C$558, "")</f>
        <v/>
      </c>
      <c r="H1910" s="40" t="str">
        <f t="shared" si="29"/>
        <v>jatigeodesi06@gmail.com</v>
      </c>
    </row>
    <row r="1911" spans="1:8" ht="15.5" x14ac:dyDescent="0.35">
      <c r="A1911" s="7">
        <v>1910</v>
      </c>
      <c r="B1911" s="20">
        <v>31877</v>
      </c>
      <c r="C1911" s="13" t="s">
        <v>2905</v>
      </c>
      <c r="D1911" s="20" t="s">
        <v>2842</v>
      </c>
      <c r="E1911" s="10">
        <v>2011</v>
      </c>
      <c r="F1911" s="36" t="str" cm="1">
        <f t="array" ref="F1911">_xlfn.XLOOKUP(D1911&amp;C1911, Sheet3!$C$2:$C$1224&amp;Sheet3!$B$2:$B$1224, Sheet3!$D$2:$D$1224, "")</f>
        <v/>
      </c>
      <c r="G1911" s="1" t="str" cm="1">
        <f t="array" ref="G1911">_xlfn.XLOOKUP(D1911&amp;C1911, Sheet2!$A$2:$A$558&amp;Sheet2!$B$2:$B$558, Sheet2!$C$2:$C$558, "")</f>
        <v/>
      </c>
      <c r="H1911" s="40" t="str">
        <f t="shared" si="29"/>
        <v/>
      </c>
    </row>
    <row r="1912" spans="1:8" ht="15.5" x14ac:dyDescent="0.35">
      <c r="A1912" s="7">
        <v>1911</v>
      </c>
      <c r="B1912" s="20">
        <v>31728</v>
      </c>
      <c r="C1912" s="13" t="s">
        <v>2906</v>
      </c>
      <c r="D1912" s="20" t="s">
        <v>2842</v>
      </c>
      <c r="E1912" s="10">
        <v>2011</v>
      </c>
      <c r="F1912" s="36" t="str" cm="1">
        <f t="array" ref="F1912">_xlfn.XLOOKUP(D1912&amp;C1912, Sheet3!$C$2:$C$1224&amp;Sheet3!$B$2:$B$1224, Sheet3!$D$2:$D$1224, "")</f>
        <v>burhansdg@gmail.com</v>
      </c>
      <c r="G1912" s="1" t="str" cm="1">
        <f t="array" ref="G1912">_xlfn.XLOOKUP(D1912&amp;C1912, Sheet2!$A$2:$A$558&amp;Sheet2!$B$2:$B$558, Sheet2!$C$2:$C$558, "")</f>
        <v>burhansdq@gmail.com</v>
      </c>
      <c r="H1912" s="40" t="str">
        <f t="shared" si="29"/>
        <v>burhansdg@gmail.com</v>
      </c>
    </row>
    <row r="1913" spans="1:8" ht="15.5" x14ac:dyDescent="0.35">
      <c r="A1913" s="7">
        <v>1912</v>
      </c>
      <c r="B1913" s="20">
        <v>30946</v>
      </c>
      <c r="C1913" s="13" t="s">
        <v>2907</v>
      </c>
      <c r="D1913" s="20" t="s">
        <v>1491</v>
      </c>
      <c r="E1913" s="10">
        <v>2011</v>
      </c>
      <c r="F1913" s="36" t="str" cm="1">
        <f t="array" ref="F1913">_xlfn.XLOOKUP(D1913&amp;C1913, Sheet3!$C$2:$C$1224&amp;Sheet3!$B$2:$B$1224, Sheet3!$D$2:$D$1224, "")</f>
        <v/>
      </c>
      <c r="G1913" s="1" t="str" cm="1">
        <f t="array" ref="G1913">_xlfn.XLOOKUP(D1913&amp;C1913, Sheet2!$A$2:$A$558&amp;Sheet2!$B$2:$B$558, Sheet2!$C$2:$C$558, "")</f>
        <v/>
      </c>
      <c r="H1913" s="40" t="str">
        <f t="shared" si="29"/>
        <v/>
      </c>
    </row>
    <row r="1914" spans="1:8" ht="15.5" x14ac:dyDescent="0.35">
      <c r="A1914" s="7">
        <v>1913</v>
      </c>
      <c r="B1914" s="20">
        <v>31084</v>
      </c>
      <c r="C1914" s="13" t="s">
        <v>2908</v>
      </c>
      <c r="D1914" s="20" t="s">
        <v>1491</v>
      </c>
      <c r="E1914" s="10">
        <v>2011</v>
      </c>
      <c r="F1914" s="36" t="str" cm="1">
        <f t="array" ref="F1914">_xlfn.XLOOKUP(D1914&amp;C1914, Sheet3!$C$2:$C$1224&amp;Sheet3!$B$2:$B$1224, Sheet3!$D$2:$D$1224, "")</f>
        <v/>
      </c>
      <c r="G1914" s="1" t="str" cm="1">
        <f t="array" ref="G1914">_xlfn.XLOOKUP(D1914&amp;C1914, Sheet2!$A$2:$A$558&amp;Sheet2!$B$2:$B$558, Sheet2!$C$2:$C$558, "")</f>
        <v/>
      </c>
      <c r="H1914" s="40" t="str">
        <f t="shared" si="29"/>
        <v/>
      </c>
    </row>
    <row r="1915" spans="1:8" ht="15.5" x14ac:dyDescent="0.35">
      <c r="A1915" s="7">
        <v>1914</v>
      </c>
      <c r="B1915" s="10">
        <v>28111</v>
      </c>
      <c r="C1915" s="13" t="s">
        <v>2909</v>
      </c>
      <c r="D1915" s="10" t="s">
        <v>1489</v>
      </c>
      <c r="E1915" s="10">
        <v>2011</v>
      </c>
      <c r="F1915" s="36" t="str" cm="1">
        <f t="array" ref="F1915">_xlfn.XLOOKUP(D1915&amp;C1915, Sheet3!$C$2:$C$1224&amp;Sheet3!$B$2:$B$1224, Sheet3!$D$2:$D$1224, "")</f>
        <v/>
      </c>
      <c r="G1915" s="1" t="str" cm="1">
        <f t="array" ref="G1915">_xlfn.XLOOKUP(D1915&amp;C1915, Sheet2!$A$2:$A$558&amp;Sheet2!$B$2:$B$558, Sheet2!$C$2:$C$558, "")</f>
        <v/>
      </c>
      <c r="H1915" s="40" t="str">
        <f t="shared" si="29"/>
        <v/>
      </c>
    </row>
    <row r="1916" spans="1:8" ht="15.5" x14ac:dyDescent="0.35">
      <c r="A1916" s="7">
        <v>1915</v>
      </c>
      <c r="B1916" s="10">
        <v>28582</v>
      </c>
      <c r="C1916" s="13" t="s">
        <v>2910</v>
      </c>
      <c r="D1916" s="10" t="s">
        <v>1489</v>
      </c>
      <c r="E1916" s="10">
        <v>2011</v>
      </c>
      <c r="F1916" s="36" t="str" cm="1">
        <f t="array" ref="F1916">_xlfn.XLOOKUP(D1916&amp;C1916, Sheet3!$C$2:$C$1224&amp;Sheet3!$B$2:$B$1224, Sheet3!$D$2:$D$1224, "")</f>
        <v>agussusiyanto85@gmail.com</v>
      </c>
      <c r="G1916" s="1" t="str" cm="1">
        <f t="array" ref="G1916">_xlfn.XLOOKUP(D1916&amp;C1916, Sheet2!$A$2:$A$558&amp;Sheet2!$B$2:$B$558, Sheet2!$C$2:$C$558, "")</f>
        <v>agussusiyanto85@gmail.com</v>
      </c>
      <c r="H1916" s="40" t="str">
        <f t="shared" si="29"/>
        <v>agussusiyanto85@gmail.com</v>
      </c>
    </row>
    <row r="1917" spans="1:8" ht="15.5" x14ac:dyDescent="0.35">
      <c r="A1917" s="7">
        <v>1916</v>
      </c>
      <c r="B1917" s="10">
        <v>29197</v>
      </c>
      <c r="C1917" s="13" t="s">
        <v>2911</v>
      </c>
      <c r="D1917" s="10" t="s">
        <v>1489</v>
      </c>
      <c r="E1917" s="10">
        <v>2011</v>
      </c>
      <c r="F1917" s="36" t="str" cm="1">
        <f t="array" ref="F1917">_xlfn.XLOOKUP(D1917&amp;C1917, Sheet3!$C$2:$C$1224&amp;Sheet3!$B$2:$B$1224, Sheet3!$D$2:$D$1224, "")</f>
        <v/>
      </c>
      <c r="G1917" s="1" t="str" cm="1">
        <f t="array" ref="G1917">_xlfn.XLOOKUP(D1917&amp;C1917, Sheet2!$A$2:$A$558&amp;Sheet2!$B$2:$B$558, Sheet2!$C$2:$C$558, "")</f>
        <v/>
      </c>
      <c r="H1917" s="40" t="str">
        <f t="shared" si="29"/>
        <v/>
      </c>
    </row>
    <row r="1918" spans="1:8" ht="15.5" x14ac:dyDescent="0.35">
      <c r="A1918" s="7">
        <v>1917</v>
      </c>
      <c r="B1918" s="10">
        <v>29646</v>
      </c>
      <c r="C1918" s="13" t="s">
        <v>2912</v>
      </c>
      <c r="D1918" s="10" t="s">
        <v>1490</v>
      </c>
      <c r="E1918" s="10">
        <v>2011</v>
      </c>
      <c r="F1918" s="36" t="str" cm="1">
        <f t="array" ref="F1918">_xlfn.XLOOKUP(D1918&amp;C1918, Sheet3!$C$2:$C$1224&amp;Sheet3!$B$2:$B$1224, Sheet3!$D$2:$D$1224, "")</f>
        <v/>
      </c>
      <c r="G1918" s="1" t="str" cm="1">
        <f t="array" ref="G1918">_xlfn.XLOOKUP(D1918&amp;C1918, Sheet2!$A$2:$A$558&amp;Sheet2!$B$2:$B$558, Sheet2!$C$2:$C$558, "")</f>
        <v>dimasagunk@gmail.com</v>
      </c>
      <c r="H1918" s="40" t="str">
        <f t="shared" si="29"/>
        <v>dimasagunk@gmail.com</v>
      </c>
    </row>
    <row r="1919" spans="1:8" ht="15.5" x14ac:dyDescent="0.35">
      <c r="A1919" s="7">
        <v>1918</v>
      </c>
      <c r="B1919" s="10">
        <v>29824</v>
      </c>
      <c r="C1919" s="13" t="s">
        <v>2913</v>
      </c>
      <c r="D1919" s="10" t="s">
        <v>1490</v>
      </c>
      <c r="E1919" s="10">
        <v>2011</v>
      </c>
      <c r="F1919" s="36" t="str" cm="1">
        <f t="array" ref="F1919">_xlfn.XLOOKUP(D1919&amp;C1919, Sheet3!$C$2:$C$1224&amp;Sheet3!$B$2:$B$1224, Sheet3!$D$2:$D$1224, "")</f>
        <v/>
      </c>
      <c r="G1919" s="1" t="str" cm="1">
        <f t="array" ref="G1919">_xlfn.XLOOKUP(D1919&amp;C1919, Sheet2!$A$2:$A$558&amp;Sheet2!$B$2:$B$558, Sheet2!$C$2:$C$558, "")</f>
        <v/>
      </c>
      <c r="H1919" s="40" t="str">
        <f t="shared" si="29"/>
        <v/>
      </c>
    </row>
    <row r="1920" spans="1:8" ht="15.5" x14ac:dyDescent="0.35">
      <c r="A1920" s="7">
        <v>1919</v>
      </c>
      <c r="B1920" s="10">
        <v>29937</v>
      </c>
      <c r="C1920" s="13" t="s">
        <v>2914</v>
      </c>
      <c r="D1920" s="10" t="s">
        <v>1490</v>
      </c>
      <c r="E1920" s="10">
        <v>2011</v>
      </c>
      <c r="F1920" s="36" t="str" cm="1">
        <f t="array" ref="F1920">_xlfn.XLOOKUP(D1920&amp;C1920, Sheet3!$C$2:$C$1224&amp;Sheet3!$B$2:$B$1224, Sheet3!$D$2:$D$1224, "")</f>
        <v/>
      </c>
      <c r="G1920" s="1" t="str" cm="1">
        <f t="array" ref="G1920">_xlfn.XLOOKUP(D1920&amp;C1920, Sheet2!$A$2:$A$558&amp;Sheet2!$B$2:$B$558, Sheet2!$C$2:$C$558, "")</f>
        <v/>
      </c>
      <c r="H1920" s="40" t="str">
        <f t="shared" si="29"/>
        <v/>
      </c>
    </row>
    <row r="1921" spans="1:8" ht="15.5" x14ac:dyDescent="0.35">
      <c r="A1921" s="7">
        <v>1920</v>
      </c>
      <c r="B1921" s="10">
        <v>30492</v>
      </c>
      <c r="C1921" s="13" t="s">
        <v>2915</v>
      </c>
      <c r="D1921" s="10" t="s">
        <v>1491</v>
      </c>
      <c r="E1921" s="10">
        <v>2011</v>
      </c>
      <c r="F1921" s="36" t="str" cm="1">
        <f t="array" ref="F1921">_xlfn.XLOOKUP(D1921&amp;C1921, Sheet3!$C$2:$C$1224&amp;Sheet3!$B$2:$B$1224, Sheet3!$D$2:$D$1224, "")</f>
        <v/>
      </c>
      <c r="G1921" s="1" t="str" cm="1">
        <f t="array" ref="G1921">_xlfn.XLOOKUP(D1921&amp;C1921, Sheet2!$A$2:$A$558&amp;Sheet2!$B$2:$B$558, Sheet2!$C$2:$C$558, "")</f>
        <v/>
      </c>
      <c r="H1921" s="40" t="str">
        <f t="shared" si="29"/>
        <v/>
      </c>
    </row>
    <row r="1922" spans="1:8" ht="15.5" x14ac:dyDescent="0.35">
      <c r="A1922" s="7">
        <v>1921</v>
      </c>
      <c r="B1922" s="10">
        <v>30692</v>
      </c>
      <c r="C1922" s="13" t="s">
        <v>2916</v>
      </c>
      <c r="D1922" s="10" t="s">
        <v>1491</v>
      </c>
      <c r="E1922" s="10">
        <v>2011</v>
      </c>
      <c r="F1922" s="36" t="str" cm="1">
        <f t="array" ref="F1922">_xlfn.XLOOKUP(D1922&amp;C1922, Sheet3!$C$2:$C$1224&amp;Sheet3!$B$2:$B$1224, Sheet3!$D$2:$D$1224, "")</f>
        <v/>
      </c>
      <c r="G1922" s="1" t="str" cm="1">
        <f t="array" ref="G1922">_xlfn.XLOOKUP(D1922&amp;C1922, Sheet2!$A$2:$A$558&amp;Sheet2!$B$2:$B$558, Sheet2!$C$2:$C$558, "")</f>
        <v>rohman86nugroho@gmail.com</v>
      </c>
      <c r="H1922" s="40" t="str">
        <f t="shared" si="29"/>
        <v>rohman86nugroho@gmail.com</v>
      </c>
    </row>
    <row r="1923" spans="1:8" ht="15.5" x14ac:dyDescent="0.35">
      <c r="A1923" s="7">
        <v>1922</v>
      </c>
      <c r="B1923" s="10">
        <v>30936</v>
      </c>
      <c r="C1923" s="13" t="s">
        <v>2917</v>
      </c>
      <c r="D1923" s="10" t="s">
        <v>1491</v>
      </c>
      <c r="E1923" s="10">
        <v>2011</v>
      </c>
      <c r="F1923" s="36" t="str" cm="1">
        <f t="array" ref="F1923">_xlfn.XLOOKUP(D1923&amp;C1923, Sheet3!$C$2:$C$1224&amp;Sheet3!$B$2:$B$1224, Sheet3!$D$2:$D$1224, "")</f>
        <v/>
      </c>
      <c r="G1923" s="1" t="str" cm="1">
        <f t="array" ref="G1923">_xlfn.XLOOKUP(D1923&amp;C1923, Sheet2!$A$2:$A$558&amp;Sheet2!$B$2:$B$558, Sheet2!$C$2:$C$558, "")</f>
        <v/>
      </c>
      <c r="H1923" s="40" t="str">
        <f t="shared" ref="H1923:H1986" si="30">IF(F1923&lt;&gt;"",F1923,G1923)</f>
        <v/>
      </c>
    </row>
    <row r="1924" spans="1:8" ht="15.5" x14ac:dyDescent="0.35">
      <c r="A1924" s="7">
        <v>1923</v>
      </c>
      <c r="B1924" s="10">
        <v>31607</v>
      </c>
      <c r="C1924" s="13" t="s">
        <v>2918</v>
      </c>
      <c r="D1924" s="10" t="s">
        <v>2842</v>
      </c>
      <c r="E1924" s="10">
        <v>2011</v>
      </c>
      <c r="F1924" s="36" t="str" cm="1">
        <f t="array" ref="F1924">_xlfn.XLOOKUP(D1924&amp;C1924, Sheet3!$C$2:$C$1224&amp;Sheet3!$B$2:$B$1224, Sheet3!$D$2:$D$1224, "")</f>
        <v/>
      </c>
      <c r="G1924" s="1" t="str" cm="1">
        <f t="array" ref="G1924">_xlfn.XLOOKUP(D1924&amp;C1924, Sheet2!$A$2:$A$558&amp;Sheet2!$B$2:$B$558, Sheet2!$C$2:$C$558, "")</f>
        <v/>
      </c>
      <c r="H1924" s="40" t="str">
        <f t="shared" si="30"/>
        <v/>
      </c>
    </row>
    <row r="1925" spans="1:8" ht="15.5" x14ac:dyDescent="0.35">
      <c r="A1925" s="7">
        <v>1924</v>
      </c>
      <c r="B1925" s="10">
        <v>31644</v>
      </c>
      <c r="C1925" s="13" t="s">
        <v>2919</v>
      </c>
      <c r="D1925" s="10" t="s">
        <v>2842</v>
      </c>
      <c r="E1925" s="10">
        <v>2011</v>
      </c>
      <c r="F1925" s="36" t="str" cm="1">
        <f t="array" ref="F1925">_xlfn.XLOOKUP(D1925&amp;C1925, Sheet3!$C$2:$C$1224&amp;Sheet3!$B$2:$B$1224, Sheet3!$D$2:$D$1224, "")</f>
        <v/>
      </c>
      <c r="G1925" s="1" t="str" cm="1">
        <f t="array" ref="G1925">_xlfn.XLOOKUP(D1925&amp;C1925, Sheet2!$A$2:$A$558&amp;Sheet2!$B$2:$B$558, Sheet2!$C$2:$C$558, "")</f>
        <v/>
      </c>
      <c r="H1925" s="40" t="str">
        <f t="shared" si="30"/>
        <v/>
      </c>
    </row>
    <row r="1926" spans="1:8" ht="15.5" x14ac:dyDescent="0.35">
      <c r="A1926" s="7">
        <v>1925</v>
      </c>
      <c r="B1926" s="10">
        <v>31819</v>
      </c>
      <c r="C1926" s="13" t="s">
        <v>2920</v>
      </c>
      <c r="D1926" s="10" t="s">
        <v>2842</v>
      </c>
      <c r="E1926" s="10">
        <v>2011</v>
      </c>
      <c r="F1926" s="36" t="str" cm="1">
        <f t="array" ref="F1926">_xlfn.XLOOKUP(D1926&amp;C1926, Sheet3!$C$2:$C$1224&amp;Sheet3!$B$2:$B$1224, Sheet3!$D$2:$D$1224, "")</f>
        <v>Aguspwidodo808@gmail.com</v>
      </c>
      <c r="G1926" s="1" t="str" cm="1">
        <f t="array" ref="G1926">_xlfn.XLOOKUP(D1926&amp;C1926, Sheet2!$A$2:$A$558&amp;Sheet2!$B$2:$B$558, Sheet2!$C$2:$C$558, "")</f>
        <v/>
      </c>
      <c r="H1926" s="40" t="str">
        <f t="shared" si="30"/>
        <v>Aguspwidodo808@gmail.com</v>
      </c>
    </row>
    <row r="1927" spans="1:8" ht="15.5" x14ac:dyDescent="0.35">
      <c r="A1927" s="7">
        <v>1926</v>
      </c>
      <c r="B1927" s="10">
        <v>31825</v>
      </c>
      <c r="C1927" s="13" t="s">
        <v>2921</v>
      </c>
      <c r="D1927" s="10" t="s">
        <v>2842</v>
      </c>
      <c r="E1927" s="10">
        <v>2011</v>
      </c>
      <c r="F1927" s="36" t="str" cm="1">
        <f t="array" ref="F1927">_xlfn.XLOOKUP(D1927&amp;C1927, Sheet3!$C$2:$C$1224&amp;Sheet3!$B$2:$B$1224, Sheet3!$D$2:$D$1224, "")</f>
        <v>big.anggriawan@gmail.com</v>
      </c>
      <c r="G1927" s="1" t="str" cm="1">
        <f t="array" ref="G1927">_xlfn.XLOOKUP(D1927&amp;C1927, Sheet2!$A$2:$A$558&amp;Sheet2!$B$2:$B$558, Sheet2!$C$2:$C$558, "")</f>
        <v>big.anggriawan@gmail.com</v>
      </c>
      <c r="H1927" s="40" t="str">
        <f t="shared" si="30"/>
        <v>big.anggriawan@gmail.com</v>
      </c>
    </row>
    <row r="1928" spans="1:8" ht="15.5" x14ac:dyDescent="0.35">
      <c r="A1928" s="7">
        <v>1927</v>
      </c>
      <c r="B1928" s="10">
        <v>32040</v>
      </c>
      <c r="C1928" s="13" t="s">
        <v>2922</v>
      </c>
      <c r="D1928" s="10" t="s">
        <v>2842</v>
      </c>
      <c r="E1928" s="10">
        <v>2011</v>
      </c>
      <c r="F1928" s="36" t="str" cm="1">
        <f t="array" ref="F1928">_xlfn.XLOOKUP(D1928&amp;C1928, Sheet3!$C$2:$C$1224&amp;Sheet3!$B$2:$B$1224, Sheet3!$D$2:$D$1224, "")</f>
        <v>muzayyin.mahbub@gmail.com</v>
      </c>
      <c r="G1928" s="1" t="str" cm="1">
        <f t="array" ref="G1928">_xlfn.XLOOKUP(D1928&amp;C1928, Sheet2!$A$2:$A$558&amp;Sheet2!$B$2:$B$558, Sheet2!$C$2:$C$558, "")</f>
        <v/>
      </c>
      <c r="H1928" s="40" t="str">
        <f t="shared" si="30"/>
        <v>muzayyin.mahbub@gmail.com</v>
      </c>
    </row>
    <row r="1929" spans="1:8" ht="15.5" x14ac:dyDescent="0.35">
      <c r="A1929" s="7">
        <v>1928</v>
      </c>
      <c r="B1929" s="10">
        <v>32078</v>
      </c>
      <c r="C1929" s="13" t="s">
        <v>2923</v>
      </c>
      <c r="D1929" s="10" t="s">
        <v>2842</v>
      </c>
      <c r="E1929" s="10">
        <v>2011</v>
      </c>
      <c r="F1929" s="36" t="str" cm="1">
        <f t="array" ref="F1929">_xlfn.XLOOKUP(D1929&amp;C1929, Sheet3!$C$2:$C$1224&amp;Sheet3!$B$2:$B$1224, Sheet3!$D$2:$D$1224, "")</f>
        <v/>
      </c>
      <c r="G1929" s="1" t="str" cm="1">
        <f t="array" ref="G1929">_xlfn.XLOOKUP(D1929&amp;C1929, Sheet2!$A$2:$A$558&amp;Sheet2!$B$2:$B$558, Sheet2!$C$2:$C$558, "")</f>
        <v/>
      </c>
      <c r="H1929" s="40" t="str">
        <f t="shared" si="30"/>
        <v/>
      </c>
    </row>
    <row r="1930" spans="1:8" ht="15.5" x14ac:dyDescent="0.35">
      <c r="A1930" s="7">
        <v>1929</v>
      </c>
      <c r="B1930" s="10">
        <v>32418</v>
      </c>
      <c r="C1930" s="13" t="s">
        <v>2924</v>
      </c>
      <c r="D1930" s="10" t="s">
        <v>2843</v>
      </c>
      <c r="E1930" s="10">
        <v>2011</v>
      </c>
      <c r="F1930" s="36" t="str" cm="1">
        <f t="array" ref="F1930">_xlfn.XLOOKUP(D1930&amp;C1930, Sheet3!$C$2:$C$1224&amp;Sheet3!$B$2:$B$1224, Sheet3!$D$2:$D$1224, "")</f>
        <v/>
      </c>
      <c r="G1930" s="1" t="str" cm="1">
        <f t="array" ref="G1930">_xlfn.XLOOKUP(D1930&amp;C1930, Sheet2!$A$2:$A$558&amp;Sheet2!$B$2:$B$558, Sheet2!$C$2:$C$558, "")</f>
        <v/>
      </c>
      <c r="H1930" s="40" t="str">
        <f t="shared" si="30"/>
        <v/>
      </c>
    </row>
    <row r="1931" spans="1:8" ht="15.5" x14ac:dyDescent="0.35">
      <c r="A1931" s="7">
        <v>1930</v>
      </c>
      <c r="B1931" s="10">
        <v>32473</v>
      </c>
      <c r="C1931" s="13" t="s">
        <v>2925</v>
      </c>
      <c r="D1931" s="10" t="s">
        <v>2843</v>
      </c>
      <c r="E1931" s="10">
        <v>2011</v>
      </c>
      <c r="F1931" s="36" t="str" cm="1">
        <f t="array" ref="F1931">_xlfn.XLOOKUP(D1931&amp;C1931, Sheet3!$C$2:$C$1224&amp;Sheet3!$B$2:$B$1224, Sheet3!$D$2:$D$1224, "")</f>
        <v/>
      </c>
      <c r="G1931" s="1" t="str" cm="1">
        <f t="array" ref="G1931">_xlfn.XLOOKUP(D1931&amp;C1931, Sheet2!$A$2:$A$558&amp;Sheet2!$B$2:$B$558, Sheet2!$C$2:$C$558, "")</f>
        <v>safirotulhuda@gmail.com</v>
      </c>
      <c r="H1931" s="40" t="str">
        <f t="shared" si="30"/>
        <v>safirotulhuda@gmail.com</v>
      </c>
    </row>
    <row r="1932" spans="1:8" ht="15.5" x14ac:dyDescent="0.35">
      <c r="A1932" s="7">
        <v>1931</v>
      </c>
      <c r="B1932" s="10">
        <v>32659</v>
      </c>
      <c r="C1932" s="13" t="s">
        <v>2926</v>
      </c>
      <c r="D1932" s="10" t="s">
        <v>2843</v>
      </c>
      <c r="E1932" s="10">
        <v>2011</v>
      </c>
      <c r="F1932" s="36" t="str" cm="1">
        <f t="array" ref="F1932">_xlfn.XLOOKUP(D1932&amp;C1932, Sheet3!$C$2:$C$1224&amp;Sheet3!$B$2:$B$1224, Sheet3!$D$2:$D$1224, "")</f>
        <v>rindikurnianti@gmail.com</v>
      </c>
      <c r="G1932" s="1" t="str" cm="1">
        <f t="array" ref="G1932">_xlfn.XLOOKUP(D1932&amp;C1932, Sheet2!$A$2:$A$558&amp;Sheet2!$B$2:$B$558, Sheet2!$C$2:$C$558, "")</f>
        <v/>
      </c>
      <c r="H1932" s="40" t="str">
        <f t="shared" si="30"/>
        <v>rindikurnianti@gmail.com</v>
      </c>
    </row>
    <row r="1933" spans="1:8" ht="15.5" x14ac:dyDescent="0.35">
      <c r="A1933" s="7">
        <v>1932</v>
      </c>
      <c r="B1933" s="10">
        <v>32835</v>
      </c>
      <c r="C1933" s="13" t="s">
        <v>2927</v>
      </c>
      <c r="D1933" s="10" t="s">
        <v>2843</v>
      </c>
      <c r="E1933" s="10">
        <v>2011</v>
      </c>
      <c r="F1933" s="36" t="str" cm="1">
        <f t="array" ref="F1933">_xlfn.XLOOKUP(D1933&amp;C1933, Sheet3!$C$2:$C$1224&amp;Sheet3!$B$2:$B$1224, Sheet3!$D$2:$D$1224, "")</f>
        <v>adistyp26@gmail.com</v>
      </c>
      <c r="G1933" s="1" t="str" cm="1">
        <f t="array" ref="G1933">_xlfn.XLOOKUP(D1933&amp;C1933, Sheet2!$A$2:$A$558&amp;Sheet2!$B$2:$B$558, Sheet2!$C$2:$C$558, "")</f>
        <v/>
      </c>
      <c r="H1933" s="40" t="str">
        <f t="shared" si="30"/>
        <v>adistyp26@gmail.com</v>
      </c>
    </row>
    <row r="1934" spans="1:8" ht="15.5" x14ac:dyDescent="0.35">
      <c r="A1934" s="7">
        <v>1933</v>
      </c>
      <c r="B1934" s="10">
        <v>32893</v>
      </c>
      <c r="C1934" s="13" t="s">
        <v>2928</v>
      </c>
      <c r="D1934" s="10" t="s">
        <v>2843</v>
      </c>
      <c r="E1934" s="10">
        <v>2011</v>
      </c>
      <c r="F1934" s="36" t="str" cm="1">
        <f t="array" ref="F1934">_xlfn.XLOOKUP(D1934&amp;C1934, Sheet3!$C$2:$C$1224&amp;Sheet3!$B$2:$B$1224, Sheet3!$D$2:$D$1224, "")</f>
        <v>hijriana.lili@gmail.com</v>
      </c>
      <c r="G1934" s="1" t="str" cm="1">
        <f t="array" ref="G1934">_xlfn.XLOOKUP(D1934&amp;C1934, Sheet2!$A$2:$A$558&amp;Sheet2!$B$2:$B$558, Sheet2!$C$2:$C$558, "")</f>
        <v/>
      </c>
      <c r="H1934" s="40" t="str">
        <f t="shared" si="30"/>
        <v>hijriana.lili@gmail.com</v>
      </c>
    </row>
    <row r="1935" spans="1:8" ht="15.5" x14ac:dyDescent="0.35">
      <c r="A1935" s="7">
        <v>1934</v>
      </c>
      <c r="B1935" s="10">
        <v>33115</v>
      </c>
      <c r="C1935" s="13" t="s">
        <v>2929</v>
      </c>
      <c r="D1935" s="10" t="s">
        <v>2843</v>
      </c>
      <c r="E1935" s="10">
        <v>2011</v>
      </c>
      <c r="F1935" s="36" t="str" cm="1">
        <f t="array" ref="F1935">_xlfn.XLOOKUP(D1935&amp;C1935, Sheet3!$C$2:$C$1224&amp;Sheet3!$B$2:$B$1224, Sheet3!$D$2:$D$1224, "")</f>
        <v/>
      </c>
      <c r="G1935" s="1" t="str" cm="1">
        <f t="array" ref="G1935">_xlfn.XLOOKUP(D1935&amp;C1935, Sheet2!$A$2:$A$558&amp;Sheet2!$B$2:$B$558, Sheet2!$C$2:$C$558, "")</f>
        <v/>
      </c>
      <c r="H1935" s="40" t="str">
        <f t="shared" si="30"/>
        <v/>
      </c>
    </row>
    <row r="1936" spans="1:8" ht="15.5" x14ac:dyDescent="0.35">
      <c r="A1936" s="7">
        <v>1935</v>
      </c>
      <c r="B1936" s="10">
        <v>33142</v>
      </c>
      <c r="C1936" s="13" t="s">
        <v>2930</v>
      </c>
      <c r="D1936" s="10" t="s">
        <v>2843</v>
      </c>
      <c r="E1936" s="10">
        <v>2011</v>
      </c>
      <c r="F1936" s="36" t="str" cm="1">
        <f t="array" ref="F1936">_xlfn.XLOOKUP(D1936&amp;C1936, Sheet3!$C$2:$C$1224&amp;Sheet3!$B$2:$B$1224, Sheet3!$D$2:$D$1224, "")</f>
        <v/>
      </c>
      <c r="G1936" s="1" t="str" cm="1">
        <f t="array" ref="G1936">_xlfn.XLOOKUP(D1936&amp;C1936, Sheet2!$A$2:$A$558&amp;Sheet2!$B$2:$B$558, Sheet2!$C$2:$C$558, "")</f>
        <v>maratun.sholihah07@gmail.com</v>
      </c>
      <c r="H1936" s="40" t="str">
        <f t="shared" si="30"/>
        <v>maratun.sholihah07@gmail.com</v>
      </c>
    </row>
    <row r="1937" spans="1:8" ht="15.5" x14ac:dyDescent="0.35">
      <c r="A1937" s="7">
        <v>1936</v>
      </c>
      <c r="B1937" s="10">
        <v>33449</v>
      </c>
      <c r="C1937" s="13" t="s">
        <v>2931</v>
      </c>
      <c r="D1937" s="10" t="s">
        <v>2843</v>
      </c>
      <c r="E1937" s="10">
        <v>2011</v>
      </c>
      <c r="F1937" s="36" t="str" cm="1">
        <f t="array" ref="F1937">_xlfn.XLOOKUP(D1937&amp;C1937, Sheet3!$C$2:$C$1224&amp;Sheet3!$B$2:$B$1224, Sheet3!$D$2:$D$1224, "")</f>
        <v/>
      </c>
      <c r="G1937" s="1" t="str" cm="1">
        <f t="array" ref="G1937">_xlfn.XLOOKUP(D1937&amp;C1937, Sheet2!$A$2:$A$558&amp;Sheet2!$B$2:$B$558, Sheet2!$C$2:$C$558, "")</f>
        <v/>
      </c>
      <c r="H1937" s="40" t="str">
        <f t="shared" si="30"/>
        <v/>
      </c>
    </row>
    <row r="1938" spans="1:8" ht="15.5" x14ac:dyDescent="0.35">
      <c r="A1938" s="7">
        <v>1937</v>
      </c>
      <c r="B1938" s="12">
        <v>27099</v>
      </c>
      <c r="C1938" s="11" t="s">
        <v>2932</v>
      </c>
      <c r="D1938" s="12" t="s">
        <v>1488</v>
      </c>
      <c r="E1938" s="10">
        <v>2011</v>
      </c>
      <c r="F1938" s="36" t="str" cm="1">
        <f t="array" ref="F1938">_xlfn.XLOOKUP(D1938&amp;C1938, Sheet3!$C$2:$C$1224&amp;Sheet3!$B$2:$B$1224, Sheet3!$D$2:$D$1224, "")</f>
        <v/>
      </c>
      <c r="G1938" s="1" t="str" cm="1">
        <f t="array" ref="G1938">_xlfn.XLOOKUP(D1938&amp;C1938, Sheet2!$A$2:$A$558&amp;Sheet2!$B$2:$B$558, Sheet2!$C$2:$C$558, "")</f>
        <v/>
      </c>
      <c r="H1938" s="40" t="str">
        <f t="shared" si="30"/>
        <v/>
      </c>
    </row>
    <row r="1939" spans="1:8" ht="15.5" x14ac:dyDescent="0.35">
      <c r="A1939" s="7">
        <v>1938</v>
      </c>
      <c r="B1939" s="12">
        <v>32880</v>
      </c>
      <c r="C1939" s="11" t="s">
        <v>2933</v>
      </c>
      <c r="D1939" s="12" t="s">
        <v>2843</v>
      </c>
      <c r="E1939" s="10">
        <v>2011</v>
      </c>
      <c r="F1939" s="36" t="str" cm="1">
        <f t="array" ref="F1939">_xlfn.XLOOKUP(D1939&amp;C1939, Sheet3!$C$2:$C$1224&amp;Sheet3!$B$2:$B$1224, Sheet3!$D$2:$D$1224, "")</f>
        <v/>
      </c>
      <c r="G1939" s="1" t="str" cm="1">
        <f t="array" ref="G1939">_xlfn.XLOOKUP(D1939&amp;C1939, Sheet2!$A$2:$A$558&amp;Sheet2!$B$2:$B$558, Sheet2!$C$2:$C$558, "")</f>
        <v/>
      </c>
      <c r="H1939" s="40" t="str">
        <f t="shared" si="30"/>
        <v/>
      </c>
    </row>
    <row r="1940" spans="1:8" ht="15.5" x14ac:dyDescent="0.35">
      <c r="A1940" s="7">
        <v>1939</v>
      </c>
      <c r="B1940" s="12">
        <v>33320</v>
      </c>
      <c r="C1940" s="11" t="s">
        <v>2934</v>
      </c>
      <c r="D1940" s="12" t="s">
        <v>2843</v>
      </c>
      <c r="E1940" s="10">
        <v>2011</v>
      </c>
      <c r="F1940" s="36" t="str" cm="1">
        <f t="array" ref="F1940">_xlfn.XLOOKUP(D1940&amp;C1940, Sheet3!$C$2:$C$1224&amp;Sheet3!$B$2:$B$1224, Sheet3!$D$2:$D$1224, "")</f>
        <v/>
      </c>
      <c r="G1940" s="1" t="str" cm="1">
        <f t="array" ref="G1940">_xlfn.XLOOKUP(D1940&amp;C1940, Sheet2!$A$2:$A$558&amp;Sheet2!$B$2:$B$558, Sheet2!$C$2:$C$558, "")</f>
        <v/>
      </c>
      <c r="H1940" s="40" t="str">
        <f t="shared" si="30"/>
        <v/>
      </c>
    </row>
    <row r="1941" spans="1:8" ht="15.5" x14ac:dyDescent="0.35">
      <c r="A1941" s="7">
        <v>1940</v>
      </c>
      <c r="B1941" s="12">
        <v>32851</v>
      </c>
      <c r="C1941" s="11" t="s">
        <v>2935</v>
      </c>
      <c r="D1941" s="12" t="s">
        <v>2843</v>
      </c>
      <c r="E1941" s="10">
        <v>2011</v>
      </c>
      <c r="F1941" s="36" t="str" cm="1">
        <f t="array" ref="F1941">_xlfn.XLOOKUP(D1941&amp;C1941, Sheet3!$C$2:$C$1224&amp;Sheet3!$B$2:$B$1224, Sheet3!$D$2:$D$1224, "")</f>
        <v/>
      </c>
      <c r="G1941" s="1" t="str" cm="1">
        <f t="array" ref="G1941">_xlfn.XLOOKUP(D1941&amp;C1941, Sheet2!$A$2:$A$558&amp;Sheet2!$B$2:$B$558, Sheet2!$C$2:$C$558, "")</f>
        <v/>
      </c>
      <c r="H1941" s="40" t="str">
        <f t="shared" si="30"/>
        <v/>
      </c>
    </row>
    <row r="1942" spans="1:8" ht="15.5" x14ac:dyDescent="0.35">
      <c r="A1942" s="7">
        <v>1941</v>
      </c>
      <c r="B1942" s="12">
        <v>33247</v>
      </c>
      <c r="C1942" s="11" t="s">
        <v>2936</v>
      </c>
      <c r="D1942" s="12" t="s">
        <v>2843</v>
      </c>
      <c r="E1942" s="10">
        <v>2011</v>
      </c>
      <c r="F1942" s="36" t="str" cm="1">
        <f t="array" ref="F1942">_xlfn.XLOOKUP(D1942&amp;C1942, Sheet3!$C$2:$C$1224&amp;Sheet3!$B$2:$B$1224, Sheet3!$D$2:$D$1224, "")</f>
        <v>novitasaridewinda@gmail.com</v>
      </c>
      <c r="G1942" s="1" t="str" cm="1">
        <f t="array" ref="G1942">_xlfn.XLOOKUP(D1942&amp;C1942, Sheet2!$A$2:$A$558&amp;Sheet2!$B$2:$B$558, Sheet2!$C$2:$C$558, "")</f>
        <v/>
      </c>
      <c r="H1942" s="40" t="str">
        <f t="shared" si="30"/>
        <v>novitasaridewinda@gmail.com</v>
      </c>
    </row>
    <row r="1943" spans="1:8" ht="15.5" x14ac:dyDescent="0.35">
      <c r="A1943" s="7">
        <v>1942</v>
      </c>
      <c r="B1943" s="12">
        <v>33229</v>
      </c>
      <c r="C1943" s="11" t="s">
        <v>2937</v>
      </c>
      <c r="D1943" s="12" t="s">
        <v>2843</v>
      </c>
      <c r="E1943" s="10">
        <v>2011</v>
      </c>
      <c r="F1943" s="36" t="str" cm="1">
        <f t="array" ref="F1943">_xlfn.XLOOKUP(D1943&amp;C1943, Sheet3!$C$2:$C$1224&amp;Sheet3!$B$2:$B$1224, Sheet3!$D$2:$D$1224, "")</f>
        <v/>
      </c>
      <c r="G1943" s="1" t="str" cm="1">
        <f t="array" ref="G1943">_xlfn.XLOOKUP(D1943&amp;C1943, Sheet2!$A$2:$A$558&amp;Sheet2!$B$2:$B$558, Sheet2!$C$2:$C$558, "")</f>
        <v/>
      </c>
      <c r="H1943" s="40" t="str">
        <f t="shared" si="30"/>
        <v/>
      </c>
    </row>
    <row r="1944" spans="1:8" ht="15.5" x14ac:dyDescent="0.35">
      <c r="A1944" s="7">
        <v>1943</v>
      </c>
      <c r="B1944" s="12">
        <v>31164</v>
      </c>
      <c r="C1944" s="11" t="s">
        <v>2938</v>
      </c>
      <c r="D1944" s="12" t="s">
        <v>1491</v>
      </c>
      <c r="E1944" s="10">
        <v>2011</v>
      </c>
      <c r="F1944" s="36" t="str" cm="1">
        <f t="array" ref="F1944">_xlfn.XLOOKUP(D1944&amp;C1944, Sheet3!$C$2:$C$1224&amp;Sheet3!$B$2:$B$1224, Sheet3!$D$2:$D$1224, "")</f>
        <v/>
      </c>
      <c r="G1944" s="1" t="str" cm="1">
        <f t="array" ref="G1944">_xlfn.XLOOKUP(D1944&amp;C1944, Sheet2!$A$2:$A$558&amp;Sheet2!$B$2:$B$558, Sheet2!$C$2:$C$558, "")</f>
        <v/>
      </c>
      <c r="H1944" s="40" t="str">
        <f t="shared" si="30"/>
        <v/>
      </c>
    </row>
    <row r="1945" spans="1:8" ht="15.5" x14ac:dyDescent="0.35">
      <c r="A1945" s="7">
        <v>1944</v>
      </c>
      <c r="B1945" s="12">
        <v>31709</v>
      </c>
      <c r="C1945" s="11" t="s">
        <v>2939</v>
      </c>
      <c r="D1945" s="12" t="s">
        <v>2842</v>
      </c>
      <c r="E1945" s="10">
        <v>2011</v>
      </c>
      <c r="F1945" s="36" t="str" cm="1">
        <f t="array" ref="F1945">_xlfn.XLOOKUP(D1945&amp;C1945, Sheet3!$C$2:$C$1224&amp;Sheet3!$B$2:$B$1224, Sheet3!$D$2:$D$1224, "")</f>
        <v/>
      </c>
      <c r="G1945" s="1" t="str" cm="1">
        <f t="array" ref="G1945">_xlfn.XLOOKUP(D1945&amp;C1945, Sheet2!$A$2:$A$558&amp;Sheet2!$B$2:$B$558, Sheet2!$C$2:$C$558, "")</f>
        <v/>
      </c>
      <c r="H1945" s="40" t="str">
        <f t="shared" si="30"/>
        <v/>
      </c>
    </row>
    <row r="1946" spans="1:8" ht="15.5" x14ac:dyDescent="0.35">
      <c r="A1946" s="7">
        <v>1945</v>
      </c>
      <c r="B1946" s="12">
        <v>33353</v>
      </c>
      <c r="C1946" s="11" t="s">
        <v>5940</v>
      </c>
      <c r="D1946" s="12" t="s">
        <v>2843</v>
      </c>
      <c r="E1946" s="10">
        <v>2011</v>
      </c>
      <c r="F1946" s="36" t="str" cm="1">
        <f t="array" ref="F1946">_xlfn.XLOOKUP(D1946&amp;C1946, Sheet3!$C$2:$C$1224&amp;Sheet3!$B$2:$B$1224, Sheet3!$D$2:$D$1224, "")</f>
        <v/>
      </c>
      <c r="G1946" s="1" t="str" cm="1">
        <f t="array" ref="G1946">_xlfn.XLOOKUP(D1946&amp;C1946, Sheet2!$A$2:$A$558&amp;Sheet2!$B$2:$B$558, Sheet2!$C$2:$C$558, "")</f>
        <v>dominikus.rinto@gmail.com</v>
      </c>
      <c r="H1946" s="40" t="str">
        <f t="shared" si="30"/>
        <v>dominikus.rinto@gmail.com</v>
      </c>
    </row>
    <row r="1947" spans="1:8" ht="15.5" x14ac:dyDescent="0.35">
      <c r="A1947" s="7">
        <v>1946</v>
      </c>
      <c r="B1947" s="12">
        <v>33126</v>
      </c>
      <c r="C1947" s="11" t="s">
        <v>2941</v>
      </c>
      <c r="D1947" s="12" t="s">
        <v>2843</v>
      </c>
      <c r="E1947" s="10">
        <v>2011</v>
      </c>
      <c r="F1947" s="36" t="str" cm="1">
        <f t="array" ref="F1947">_xlfn.XLOOKUP(D1947&amp;C1947, Sheet3!$C$2:$C$1224&amp;Sheet3!$B$2:$B$1224, Sheet3!$D$2:$D$1224, "")</f>
        <v/>
      </c>
      <c r="G1947" s="1" t="str" cm="1">
        <f t="array" ref="G1947">_xlfn.XLOOKUP(D1947&amp;C1947, Sheet2!$A$2:$A$558&amp;Sheet2!$B$2:$B$558, Sheet2!$C$2:$C$558, "")</f>
        <v/>
      </c>
      <c r="H1947" s="40" t="str">
        <f t="shared" si="30"/>
        <v/>
      </c>
    </row>
    <row r="1948" spans="1:8" ht="15.5" x14ac:dyDescent="0.35">
      <c r="A1948" s="7">
        <v>1947</v>
      </c>
      <c r="B1948" s="12">
        <v>32724</v>
      </c>
      <c r="C1948" s="11" t="s">
        <v>2942</v>
      </c>
      <c r="D1948" s="12" t="s">
        <v>2843</v>
      </c>
      <c r="E1948" s="10">
        <v>2011</v>
      </c>
      <c r="F1948" s="36" t="str" cm="1">
        <f t="array" ref="F1948">_xlfn.XLOOKUP(D1948&amp;C1948, Sheet3!$C$2:$C$1224&amp;Sheet3!$B$2:$B$1224, Sheet3!$D$2:$D$1224, "")</f>
        <v/>
      </c>
      <c r="G1948" s="1" t="str" cm="1">
        <f t="array" ref="G1948">_xlfn.XLOOKUP(D1948&amp;C1948, Sheet2!$A$2:$A$558&amp;Sheet2!$B$2:$B$558, Sheet2!$C$2:$C$558, "")</f>
        <v/>
      </c>
      <c r="H1948" s="40" t="str">
        <f t="shared" si="30"/>
        <v/>
      </c>
    </row>
    <row r="1949" spans="1:8" ht="15.5" x14ac:dyDescent="0.35">
      <c r="A1949" s="7">
        <v>1948</v>
      </c>
      <c r="B1949" s="12">
        <v>32925</v>
      </c>
      <c r="C1949" s="11" t="s">
        <v>2943</v>
      </c>
      <c r="D1949" s="12" t="s">
        <v>2843</v>
      </c>
      <c r="E1949" s="10">
        <v>2011</v>
      </c>
      <c r="F1949" s="36" t="str" cm="1">
        <f t="array" ref="F1949">_xlfn.XLOOKUP(D1949&amp;C1949, Sheet3!$C$2:$C$1224&amp;Sheet3!$B$2:$B$1224, Sheet3!$D$2:$D$1224, "")</f>
        <v>ssitipurwanti@gmail.com</v>
      </c>
      <c r="G1949" s="1" t="str" cm="1">
        <f t="array" ref="G1949">_xlfn.XLOOKUP(D1949&amp;C1949, Sheet2!$A$2:$A$558&amp;Sheet2!$B$2:$B$558, Sheet2!$C$2:$C$558, "")</f>
        <v/>
      </c>
      <c r="H1949" s="40" t="str">
        <f t="shared" si="30"/>
        <v>ssitipurwanti@gmail.com</v>
      </c>
    </row>
    <row r="1950" spans="1:8" ht="15.5" x14ac:dyDescent="0.35">
      <c r="A1950" s="7">
        <v>1949</v>
      </c>
      <c r="B1950" s="12">
        <v>31735</v>
      </c>
      <c r="C1950" s="11" t="s">
        <v>2944</v>
      </c>
      <c r="D1950" s="12" t="s">
        <v>2842</v>
      </c>
      <c r="E1950" s="10">
        <v>2011</v>
      </c>
      <c r="F1950" s="36" t="str" cm="1">
        <f t="array" ref="F1950">_xlfn.XLOOKUP(D1950&amp;C1950, Sheet3!$C$2:$C$1224&amp;Sheet3!$B$2:$B$1224, Sheet3!$D$2:$D$1224, "")</f>
        <v>anandito.anung@gmail.com</v>
      </c>
      <c r="G1950" s="1" t="str" cm="1">
        <f t="array" ref="G1950">_xlfn.XLOOKUP(D1950&amp;C1950, Sheet2!$A$2:$A$558&amp;Sheet2!$B$2:$B$558, Sheet2!$C$2:$C$558, "")</f>
        <v/>
      </c>
      <c r="H1950" s="40" t="str">
        <f t="shared" si="30"/>
        <v>anandito.anung@gmail.com</v>
      </c>
    </row>
    <row r="1951" spans="1:8" ht="15.5" x14ac:dyDescent="0.35">
      <c r="A1951" s="7">
        <v>1950</v>
      </c>
      <c r="B1951" s="12">
        <v>28903</v>
      </c>
      <c r="C1951" s="11" t="s">
        <v>2945</v>
      </c>
      <c r="D1951" s="12" t="s">
        <v>1489</v>
      </c>
      <c r="E1951" s="10">
        <v>2011</v>
      </c>
      <c r="F1951" s="36" t="str" cm="1">
        <f t="array" ref="F1951">_xlfn.XLOOKUP(D1951&amp;C1951, Sheet3!$C$2:$C$1224&amp;Sheet3!$B$2:$B$1224, Sheet3!$D$2:$D$1224, "")</f>
        <v/>
      </c>
      <c r="G1951" s="1" t="str" cm="1">
        <f t="array" ref="G1951">_xlfn.XLOOKUP(D1951&amp;C1951, Sheet2!$A$2:$A$558&amp;Sheet2!$B$2:$B$558, Sheet2!$C$2:$C$558, "")</f>
        <v/>
      </c>
      <c r="H1951" s="40" t="str">
        <f t="shared" si="30"/>
        <v/>
      </c>
    </row>
    <row r="1952" spans="1:8" ht="15.5" x14ac:dyDescent="0.35">
      <c r="A1952" s="7">
        <v>1951</v>
      </c>
      <c r="B1952" s="12">
        <v>28997</v>
      </c>
      <c r="C1952" s="11" t="s">
        <v>2946</v>
      </c>
      <c r="D1952" s="12" t="s">
        <v>1489</v>
      </c>
      <c r="E1952" s="10">
        <v>2011</v>
      </c>
      <c r="F1952" s="36" t="str" cm="1">
        <f t="array" ref="F1952">_xlfn.XLOOKUP(D1952&amp;C1952, Sheet3!$C$2:$C$1224&amp;Sheet3!$B$2:$B$1224, Sheet3!$D$2:$D$1224, "")</f>
        <v/>
      </c>
      <c r="G1952" s="1" t="str" cm="1">
        <f t="array" ref="G1952">_xlfn.XLOOKUP(D1952&amp;C1952, Sheet2!$A$2:$A$558&amp;Sheet2!$B$2:$B$558, Sheet2!$C$2:$C$558, "")</f>
        <v>burhanovic80@gmail.com</v>
      </c>
      <c r="H1952" s="40" t="str">
        <f t="shared" si="30"/>
        <v>burhanovic80@gmail.com</v>
      </c>
    </row>
    <row r="1953" spans="1:8" ht="15.5" x14ac:dyDescent="0.35">
      <c r="A1953" s="7">
        <v>1952</v>
      </c>
      <c r="B1953" s="12">
        <v>28745</v>
      </c>
      <c r="C1953" s="11" t="s">
        <v>2947</v>
      </c>
      <c r="D1953" s="12" t="s">
        <v>1489</v>
      </c>
      <c r="E1953" s="10">
        <v>2011</v>
      </c>
      <c r="F1953" s="36" t="str" cm="1">
        <f t="array" ref="F1953">_xlfn.XLOOKUP(D1953&amp;C1953, Sheet3!$C$2:$C$1224&amp;Sheet3!$B$2:$B$1224, Sheet3!$D$2:$D$1224, "")</f>
        <v>wahyu.bagus25@gmail.com</v>
      </c>
      <c r="G1953" s="1" t="str" cm="1">
        <f t="array" ref="G1953">_xlfn.XLOOKUP(D1953&amp;C1953, Sheet2!$A$2:$A$558&amp;Sheet2!$B$2:$B$558, Sheet2!$C$2:$C$558, "")</f>
        <v/>
      </c>
      <c r="H1953" s="40" t="str">
        <f t="shared" si="30"/>
        <v>wahyu.bagus25@gmail.com</v>
      </c>
    </row>
    <row r="1954" spans="1:8" ht="15.5" x14ac:dyDescent="0.35">
      <c r="A1954" s="7">
        <v>1953</v>
      </c>
      <c r="B1954" s="21">
        <v>31394</v>
      </c>
      <c r="C1954" s="13" t="s">
        <v>2948</v>
      </c>
      <c r="D1954" s="21" t="s">
        <v>2842</v>
      </c>
      <c r="E1954" s="10">
        <v>2012</v>
      </c>
      <c r="F1954" s="36" t="str" cm="1">
        <f t="array" ref="F1954">_xlfn.XLOOKUP(D1954&amp;C1954, Sheet3!$C$2:$C$1224&amp;Sheet3!$B$2:$B$1224, Sheet3!$D$2:$D$1224, "")</f>
        <v/>
      </c>
      <c r="G1954" s="1" t="str" cm="1">
        <f t="array" ref="G1954">_xlfn.XLOOKUP(D1954&amp;C1954, Sheet2!$A$2:$A$558&amp;Sheet2!$B$2:$B$558, Sheet2!$C$2:$C$558, "")</f>
        <v/>
      </c>
      <c r="H1954" s="40" t="str">
        <f t="shared" si="30"/>
        <v/>
      </c>
    </row>
    <row r="1955" spans="1:8" ht="15.5" x14ac:dyDescent="0.35">
      <c r="A1955" s="7">
        <v>1954</v>
      </c>
      <c r="B1955" s="21">
        <v>31540</v>
      </c>
      <c r="C1955" s="13" t="s">
        <v>2949</v>
      </c>
      <c r="D1955" s="21" t="s">
        <v>2842</v>
      </c>
      <c r="E1955" s="10">
        <v>2012</v>
      </c>
      <c r="F1955" s="36" t="str" cm="1">
        <f t="array" ref="F1955">_xlfn.XLOOKUP(D1955&amp;C1955, Sheet3!$C$2:$C$1224&amp;Sheet3!$B$2:$B$1224, Sheet3!$D$2:$D$1224, "")</f>
        <v>Adyanta.karokaro@gmail.com</v>
      </c>
      <c r="G1955" s="1" t="str" cm="1">
        <f t="array" ref="G1955">_xlfn.XLOOKUP(D1955&amp;C1955, Sheet2!$A$2:$A$558&amp;Sheet2!$B$2:$B$558, Sheet2!$C$2:$C$558, "")</f>
        <v/>
      </c>
      <c r="H1955" s="40" t="str">
        <f t="shared" si="30"/>
        <v>Adyanta.karokaro@gmail.com</v>
      </c>
    </row>
    <row r="1956" spans="1:8" ht="15.5" x14ac:dyDescent="0.35">
      <c r="A1956" s="7">
        <v>1955</v>
      </c>
      <c r="B1956" s="21">
        <v>31616</v>
      </c>
      <c r="C1956" s="13" t="s">
        <v>2950</v>
      </c>
      <c r="D1956" s="21" t="s">
        <v>2842</v>
      </c>
      <c r="E1956" s="10">
        <v>2012</v>
      </c>
      <c r="F1956" s="36" t="str" cm="1">
        <f t="array" ref="F1956">_xlfn.XLOOKUP(D1956&amp;C1956, Sheet3!$C$2:$C$1224&amp;Sheet3!$B$2:$B$1224, Sheet3!$D$2:$D$1224, "")</f>
        <v>dicky_gds@yahoo.co.id</v>
      </c>
      <c r="G1956" s="1" t="str" cm="1">
        <f t="array" ref="G1956">_xlfn.XLOOKUP(D1956&amp;C1956, Sheet2!$A$2:$A$558&amp;Sheet2!$B$2:$B$558, Sheet2!$C$2:$C$558, "")</f>
        <v/>
      </c>
      <c r="H1956" s="40" t="str">
        <f t="shared" si="30"/>
        <v>dicky_gds@yahoo.co.id</v>
      </c>
    </row>
    <row r="1957" spans="1:8" ht="15.5" x14ac:dyDescent="0.35">
      <c r="A1957" s="7">
        <v>1956</v>
      </c>
      <c r="B1957" s="21">
        <v>31638</v>
      </c>
      <c r="C1957" s="13" t="s">
        <v>2951</v>
      </c>
      <c r="D1957" s="21" t="s">
        <v>2842</v>
      </c>
      <c r="E1957" s="10">
        <v>2012</v>
      </c>
      <c r="F1957" s="36" t="str" cm="1">
        <f t="array" ref="F1957">_xlfn.XLOOKUP(D1957&amp;C1957, Sheet3!$C$2:$C$1224&amp;Sheet3!$B$2:$B$1224, Sheet3!$D$2:$D$1224, "")</f>
        <v>Danisinaga89@gmail.com</v>
      </c>
      <c r="G1957" s="1" t="str" cm="1">
        <f t="array" ref="G1957">_xlfn.XLOOKUP(D1957&amp;C1957, Sheet2!$A$2:$A$558&amp;Sheet2!$B$2:$B$558, Sheet2!$C$2:$C$558, "")</f>
        <v/>
      </c>
      <c r="H1957" s="40" t="str">
        <f t="shared" si="30"/>
        <v>Danisinaga89@gmail.com</v>
      </c>
    </row>
    <row r="1958" spans="1:8" ht="15.5" x14ac:dyDescent="0.35">
      <c r="A1958" s="7">
        <v>1957</v>
      </c>
      <c r="B1958" s="21">
        <v>31954</v>
      </c>
      <c r="C1958" s="13" t="s">
        <v>2952</v>
      </c>
      <c r="D1958" s="21" t="s">
        <v>2842</v>
      </c>
      <c r="E1958" s="10">
        <v>2012</v>
      </c>
      <c r="F1958" s="36" t="str" cm="1">
        <f t="array" ref="F1958">_xlfn.XLOOKUP(D1958&amp;C1958, Sheet3!$C$2:$C$1224&amp;Sheet3!$B$2:$B$1224, Sheet3!$D$2:$D$1224, "")</f>
        <v/>
      </c>
      <c r="G1958" s="1" t="str" cm="1">
        <f t="array" ref="G1958">_xlfn.XLOOKUP(D1958&amp;C1958, Sheet2!$A$2:$A$558&amp;Sheet2!$B$2:$B$558, Sheet2!$C$2:$C$558, "")</f>
        <v>d.parwanto@gmail.com</v>
      </c>
      <c r="H1958" s="40" t="str">
        <f t="shared" si="30"/>
        <v>d.parwanto@gmail.com</v>
      </c>
    </row>
    <row r="1959" spans="1:8" ht="15.5" x14ac:dyDescent="0.35">
      <c r="A1959" s="7">
        <v>1958</v>
      </c>
      <c r="B1959" s="21">
        <v>32254</v>
      </c>
      <c r="C1959" s="13" t="s">
        <v>2953</v>
      </c>
      <c r="D1959" s="21" t="s">
        <v>2842</v>
      </c>
      <c r="E1959" s="10">
        <v>2012</v>
      </c>
      <c r="F1959" s="36" t="str" cm="1">
        <f t="array" ref="F1959">_xlfn.XLOOKUP(D1959&amp;C1959, Sheet3!$C$2:$C$1224&amp;Sheet3!$B$2:$B$1224, Sheet3!$D$2:$D$1224, "")</f>
        <v/>
      </c>
      <c r="G1959" s="1" t="str" cm="1">
        <f t="array" ref="G1959">_xlfn.XLOOKUP(D1959&amp;C1959, Sheet2!$A$2:$A$558&amp;Sheet2!$B$2:$B$558, Sheet2!$C$2:$C$558, "")</f>
        <v/>
      </c>
      <c r="H1959" s="40" t="str">
        <f t="shared" si="30"/>
        <v/>
      </c>
    </row>
    <row r="1960" spans="1:8" ht="15.5" x14ac:dyDescent="0.35">
      <c r="A1960" s="7">
        <v>1959</v>
      </c>
      <c r="B1960" s="21">
        <v>32271</v>
      </c>
      <c r="C1960" s="13" t="s">
        <v>2954</v>
      </c>
      <c r="D1960" s="21" t="s">
        <v>2842</v>
      </c>
      <c r="E1960" s="10">
        <v>2012</v>
      </c>
      <c r="F1960" s="36" t="str" cm="1">
        <f t="array" ref="F1960">_xlfn.XLOOKUP(D1960&amp;C1960, Sheet3!$C$2:$C$1224&amp;Sheet3!$B$2:$B$1224, Sheet3!$D$2:$D$1224, "")</f>
        <v>Jefri.180588@gmail.com</v>
      </c>
      <c r="G1960" s="1" t="str" cm="1">
        <f t="array" ref="G1960">_xlfn.XLOOKUP(D1960&amp;C1960, Sheet2!$A$2:$A$558&amp;Sheet2!$B$2:$B$558, Sheet2!$C$2:$C$558, "")</f>
        <v>jefri.180588@gmail.com</v>
      </c>
      <c r="H1960" s="40" t="str">
        <f t="shared" si="30"/>
        <v>Jefri.180588@gmail.com</v>
      </c>
    </row>
    <row r="1961" spans="1:8" ht="15.5" x14ac:dyDescent="0.35">
      <c r="A1961" s="7">
        <v>1960</v>
      </c>
      <c r="B1961" s="21">
        <v>32368</v>
      </c>
      <c r="C1961" s="13" t="s">
        <v>2955</v>
      </c>
      <c r="D1961" s="21" t="s">
        <v>2843</v>
      </c>
      <c r="E1961" s="10">
        <v>2012</v>
      </c>
      <c r="F1961" s="36" t="str" cm="1">
        <f t="array" ref="F1961">_xlfn.XLOOKUP(D1961&amp;C1961, Sheet3!$C$2:$C$1224&amp;Sheet3!$B$2:$B$1224, Sheet3!$D$2:$D$1224, "")</f>
        <v/>
      </c>
      <c r="G1961" s="1" t="str" cm="1">
        <f t="array" ref="G1961">_xlfn.XLOOKUP(D1961&amp;C1961, Sheet2!$A$2:$A$558&amp;Sheet2!$B$2:$B$558, Sheet2!$C$2:$C$558, "")</f>
        <v/>
      </c>
      <c r="H1961" s="40" t="str">
        <f t="shared" si="30"/>
        <v/>
      </c>
    </row>
    <row r="1962" spans="1:8" ht="15.5" x14ac:dyDescent="0.35">
      <c r="A1962" s="7">
        <v>1961</v>
      </c>
      <c r="B1962" s="21">
        <v>32557</v>
      </c>
      <c r="C1962" s="13" t="s">
        <v>2956</v>
      </c>
      <c r="D1962" s="21" t="s">
        <v>2843</v>
      </c>
      <c r="E1962" s="10">
        <v>2012</v>
      </c>
      <c r="F1962" s="36" t="str" cm="1">
        <f t="array" ref="F1962">_xlfn.XLOOKUP(D1962&amp;C1962, Sheet3!$C$2:$C$1224&amp;Sheet3!$B$2:$B$1224, Sheet3!$D$2:$D$1224, "")</f>
        <v/>
      </c>
      <c r="G1962" s="1" t="str" cm="1">
        <f t="array" ref="G1962">_xlfn.XLOOKUP(D1962&amp;C1962, Sheet2!$A$2:$A$558&amp;Sheet2!$B$2:$B$558, Sheet2!$C$2:$C$558, "")</f>
        <v>vannyalfarisy@gmail.com</v>
      </c>
      <c r="H1962" s="40" t="str">
        <f t="shared" si="30"/>
        <v>vannyalfarisy@gmail.com</v>
      </c>
    </row>
    <row r="1963" spans="1:8" ht="15.5" x14ac:dyDescent="0.35">
      <c r="A1963" s="7">
        <v>1962</v>
      </c>
      <c r="B1963" s="21">
        <v>32796</v>
      </c>
      <c r="C1963" s="13" t="s">
        <v>2957</v>
      </c>
      <c r="D1963" s="21" t="s">
        <v>2843</v>
      </c>
      <c r="E1963" s="10">
        <v>2012</v>
      </c>
      <c r="F1963" s="36" t="str" cm="1">
        <f t="array" ref="F1963">_xlfn.XLOOKUP(D1963&amp;C1963, Sheet3!$C$2:$C$1224&amp;Sheet3!$B$2:$B$1224, Sheet3!$D$2:$D$1224, "")</f>
        <v>mardakhoiriafajari@gmail.com</v>
      </c>
      <c r="G1963" s="1" t="str" cm="1">
        <f t="array" ref="G1963">_xlfn.XLOOKUP(D1963&amp;C1963, Sheet2!$A$2:$A$558&amp;Sheet2!$B$2:$B$558, Sheet2!$C$2:$C$558, "")</f>
        <v/>
      </c>
      <c r="H1963" s="40" t="str">
        <f t="shared" si="30"/>
        <v>mardakhoiriafajari@gmail.com</v>
      </c>
    </row>
    <row r="1964" spans="1:8" ht="15.5" x14ac:dyDescent="0.35">
      <c r="A1964" s="7">
        <v>1963</v>
      </c>
      <c r="B1964" s="21">
        <v>32939</v>
      </c>
      <c r="C1964" s="13" t="s">
        <v>2958</v>
      </c>
      <c r="D1964" s="21" t="s">
        <v>2843</v>
      </c>
      <c r="E1964" s="10">
        <v>2012</v>
      </c>
      <c r="F1964" s="36" t="str" cm="1">
        <f t="array" ref="F1964">_xlfn.XLOOKUP(D1964&amp;C1964, Sheet3!$C$2:$C$1224&amp;Sheet3!$B$2:$B$1224, Sheet3!$D$2:$D$1224, "")</f>
        <v>ariefyogapratama@gmail.com</v>
      </c>
      <c r="G1964" s="1" t="str" cm="1">
        <f t="array" ref="G1964">_xlfn.XLOOKUP(D1964&amp;C1964, Sheet2!$A$2:$A$558&amp;Sheet2!$B$2:$B$558, Sheet2!$C$2:$C$558, "")</f>
        <v/>
      </c>
      <c r="H1964" s="40" t="str">
        <f t="shared" si="30"/>
        <v>ariefyogapratama@gmail.com</v>
      </c>
    </row>
    <row r="1965" spans="1:8" ht="15.5" x14ac:dyDescent="0.35">
      <c r="A1965" s="7">
        <v>1964</v>
      </c>
      <c r="B1965" s="21">
        <v>33055</v>
      </c>
      <c r="C1965" s="13" t="s">
        <v>2959</v>
      </c>
      <c r="D1965" s="21" t="s">
        <v>2843</v>
      </c>
      <c r="E1965" s="10">
        <v>2012</v>
      </c>
      <c r="F1965" s="36" t="str" cm="1">
        <f t="array" ref="F1965">_xlfn.XLOOKUP(D1965&amp;C1965, Sheet3!$C$2:$C$1224&amp;Sheet3!$B$2:$B$1224, Sheet3!$D$2:$D$1224, "")</f>
        <v/>
      </c>
      <c r="G1965" s="1" t="str" cm="1">
        <f t="array" ref="G1965">_xlfn.XLOOKUP(D1965&amp;C1965, Sheet2!$A$2:$A$558&amp;Sheet2!$B$2:$B$558, Sheet2!$C$2:$C$558, "")</f>
        <v/>
      </c>
      <c r="H1965" s="40" t="str">
        <f t="shared" si="30"/>
        <v/>
      </c>
    </row>
    <row r="1966" spans="1:8" ht="15.5" x14ac:dyDescent="0.35">
      <c r="A1966" s="7">
        <v>1965</v>
      </c>
      <c r="B1966" s="21">
        <v>33089</v>
      </c>
      <c r="C1966" s="13" t="s">
        <v>2960</v>
      </c>
      <c r="D1966" s="21" t="s">
        <v>2843</v>
      </c>
      <c r="E1966" s="10">
        <v>2012</v>
      </c>
      <c r="F1966" s="36" t="str" cm="1">
        <f t="array" ref="F1966">_xlfn.XLOOKUP(D1966&amp;C1966, Sheet3!$C$2:$C$1224&amp;Sheet3!$B$2:$B$1224, Sheet3!$D$2:$D$1224, "")</f>
        <v>oktadip@gmail.com</v>
      </c>
      <c r="G1966" s="1" t="str" cm="1">
        <f t="array" ref="G1966">_xlfn.XLOOKUP(D1966&amp;C1966, Sheet2!$A$2:$A$558&amp;Sheet2!$B$2:$B$558, Sheet2!$C$2:$C$558, "")</f>
        <v>oktadip@gmail.com</v>
      </c>
      <c r="H1966" s="40" t="str">
        <f t="shared" si="30"/>
        <v>oktadip@gmail.com</v>
      </c>
    </row>
    <row r="1967" spans="1:8" ht="15.5" x14ac:dyDescent="0.35">
      <c r="A1967" s="7">
        <v>1966</v>
      </c>
      <c r="B1967" s="21">
        <v>33110</v>
      </c>
      <c r="C1967" s="13" t="s">
        <v>2961</v>
      </c>
      <c r="D1967" s="21" t="s">
        <v>2843</v>
      </c>
      <c r="E1967" s="10">
        <v>2012</v>
      </c>
      <c r="F1967" s="36" t="str" cm="1">
        <f t="array" ref="F1967">_xlfn.XLOOKUP(D1967&amp;C1967, Sheet3!$C$2:$C$1224&amp;Sheet3!$B$2:$B$1224, Sheet3!$D$2:$D$1224, "")</f>
        <v/>
      </c>
      <c r="G1967" s="1" t="str" cm="1">
        <f t="array" ref="G1967">_xlfn.XLOOKUP(D1967&amp;C1967, Sheet2!$A$2:$A$558&amp;Sheet2!$B$2:$B$558, Sheet2!$C$2:$C$558, "")</f>
        <v>andreypratamamurti@gmail.com</v>
      </c>
      <c r="H1967" s="40" t="str">
        <f t="shared" si="30"/>
        <v>andreypratamamurti@gmail.com</v>
      </c>
    </row>
    <row r="1968" spans="1:8" ht="15.5" x14ac:dyDescent="0.35">
      <c r="A1968" s="7">
        <v>1967</v>
      </c>
      <c r="B1968" s="21">
        <v>33386</v>
      </c>
      <c r="C1968" s="13" t="s">
        <v>2962</v>
      </c>
      <c r="D1968" s="21" t="s">
        <v>2843</v>
      </c>
      <c r="E1968" s="10">
        <v>2012</v>
      </c>
      <c r="F1968" s="36" t="str" cm="1">
        <f t="array" ref="F1968">_xlfn.XLOOKUP(D1968&amp;C1968, Sheet3!$C$2:$C$1224&amp;Sheet3!$B$2:$B$1224, Sheet3!$D$2:$D$1224, "")</f>
        <v>seno.33386@gmail.com</v>
      </c>
      <c r="G1968" s="1" t="str" cm="1">
        <f t="array" ref="G1968">_xlfn.XLOOKUP(D1968&amp;C1968, Sheet2!$A$2:$A$558&amp;Sheet2!$B$2:$B$558, Sheet2!$C$2:$C$558, "")</f>
        <v>seno.33386@gmail.com</v>
      </c>
      <c r="H1968" s="40" t="str">
        <f t="shared" si="30"/>
        <v>seno.33386@gmail.com</v>
      </c>
    </row>
    <row r="1969" spans="1:8" ht="15.5" x14ac:dyDescent="0.35">
      <c r="A1969" s="7">
        <v>1968</v>
      </c>
      <c r="B1969" s="21">
        <v>33480</v>
      </c>
      <c r="C1969" s="13" t="s">
        <v>2963</v>
      </c>
      <c r="D1969" s="21" t="s">
        <v>2843</v>
      </c>
      <c r="E1969" s="10">
        <v>2012</v>
      </c>
      <c r="F1969" s="36" t="str" cm="1">
        <f t="array" ref="F1969">_xlfn.XLOOKUP(D1969&amp;C1969, Sheet3!$C$2:$C$1224&amp;Sheet3!$B$2:$B$1224, Sheet3!$D$2:$D$1224, "")</f>
        <v>adnanaditya@gmail.com</v>
      </c>
      <c r="G1969" s="1" t="str" cm="1">
        <f t="array" ref="G1969">_xlfn.XLOOKUP(D1969&amp;C1969, Sheet2!$A$2:$A$558&amp;Sheet2!$B$2:$B$558, Sheet2!$C$2:$C$558, "")</f>
        <v>adnanaditya@gmail.com</v>
      </c>
      <c r="H1969" s="40" t="str">
        <f t="shared" si="30"/>
        <v>adnanaditya@gmail.com</v>
      </c>
    </row>
    <row r="1970" spans="1:8" ht="15.5" x14ac:dyDescent="0.35">
      <c r="A1970" s="7">
        <v>1969</v>
      </c>
      <c r="B1970" s="21">
        <v>33505</v>
      </c>
      <c r="C1970" s="13" t="s">
        <v>2964</v>
      </c>
      <c r="D1970" s="21" t="s">
        <v>2843</v>
      </c>
      <c r="E1970" s="10">
        <v>2012</v>
      </c>
      <c r="F1970" s="36" t="str" cm="1">
        <f t="array" ref="F1970">_xlfn.XLOOKUP(D1970&amp;C1970, Sheet3!$C$2:$C$1224&amp;Sheet3!$B$2:$B$1224, Sheet3!$D$2:$D$1224, "")</f>
        <v>afdenmahyeda@gmail.com</v>
      </c>
      <c r="G1970" s="1" t="str" cm="1">
        <f t="array" ref="G1970">_xlfn.XLOOKUP(D1970&amp;C1970, Sheet2!$A$2:$A$558&amp;Sheet2!$B$2:$B$558, Sheet2!$C$2:$C$558, "")</f>
        <v>afdenmahyeda@gmail.com</v>
      </c>
      <c r="H1970" s="40" t="str">
        <f t="shared" si="30"/>
        <v>afdenmahyeda@gmail.com</v>
      </c>
    </row>
    <row r="1971" spans="1:8" ht="15.5" x14ac:dyDescent="0.35">
      <c r="A1971" s="7">
        <v>1970</v>
      </c>
      <c r="B1971" s="22">
        <v>30295</v>
      </c>
      <c r="C1971" s="13" t="s">
        <v>2965</v>
      </c>
      <c r="D1971" s="22" t="s">
        <v>1490</v>
      </c>
      <c r="E1971" s="10">
        <v>2012</v>
      </c>
      <c r="F1971" s="36" t="str" cm="1">
        <f t="array" ref="F1971">_xlfn.XLOOKUP(D1971&amp;C1971, Sheet3!$C$2:$C$1224&amp;Sheet3!$B$2:$B$1224, Sheet3!$D$2:$D$1224, "")</f>
        <v/>
      </c>
      <c r="G1971" s="1" t="str" cm="1">
        <f t="array" ref="G1971">_xlfn.XLOOKUP(D1971&amp;C1971, Sheet2!$A$2:$A$558&amp;Sheet2!$B$2:$B$558, Sheet2!$C$2:$C$558, "")</f>
        <v/>
      </c>
      <c r="H1971" s="40" t="str">
        <f t="shared" si="30"/>
        <v/>
      </c>
    </row>
    <row r="1972" spans="1:8" ht="15.5" x14ac:dyDescent="0.35">
      <c r="A1972" s="7">
        <v>1971</v>
      </c>
      <c r="B1972" s="22">
        <v>31765</v>
      </c>
      <c r="C1972" s="13" t="s">
        <v>2966</v>
      </c>
      <c r="D1972" s="22" t="s">
        <v>2842</v>
      </c>
      <c r="E1972" s="10">
        <v>2012</v>
      </c>
      <c r="F1972" s="36" t="str" cm="1">
        <f t="array" ref="F1972">_xlfn.XLOOKUP(D1972&amp;C1972, Sheet3!$C$2:$C$1224&amp;Sheet3!$B$2:$B$1224, Sheet3!$D$2:$D$1224, "")</f>
        <v/>
      </c>
      <c r="G1972" s="1" t="str" cm="1">
        <f t="array" ref="G1972">_xlfn.XLOOKUP(D1972&amp;C1972, Sheet2!$A$2:$A$558&amp;Sheet2!$B$2:$B$558, Sheet2!$C$2:$C$558, "")</f>
        <v/>
      </c>
      <c r="H1972" s="40" t="str">
        <f t="shared" si="30"/>
        <v/>
      </c>
    </row>
    <row r="1973" spans="1:8" ht="15.5" x14ac:dyDescent="0.35">
      <c r="A1973" s="7">
        <v>1972</v>
      </c>
      <c r="B1973" s="22">
        <v>32133</v>
      </c>
      <c r="C1973" s="13" t="s">
        <v>2967</v>
      </c>
      <c r="D1973" s="22" t="s">
        <v>2842</v>
      </c>
      <c r="E1973" s="10">
        <v>2012</v>
      </c>
      <c r="F1973" s="36" t="str" cm="1">
        <f t="array" ref="F1973">_xlfn.XLOOKUP(D1973&amp;C1973, Sheet3!$C$2:$C$1224&amp;Sheet3!$B$2:$B$1224, Sheet3!$D$2:$D$1224, "")</f>
        <v>indinashinta@gmail.com</v>
      </c>
      <c r="G1973" s="1" t="str" cm="1">
        <f t="array" ref="G1973">_xlfn.XLOOKUP(D1973&amp;C1973, Sheet2!$A$2:$A$558&amp;Sheet2!$B$2:$B$558, Sheet2!$C$2:$C$558, "")</f>
        <v/>
      </c>
      <c r="H1973" s="40" t="str">
        <f t="shared" si="30"/>
        <v>indinashinta@gmail.com</v>
      </c>
    </row>
    <row r="1974" spans="1:8" ht="15.5" x14ac:dyDescent="0.35">
      <c r="A1974" s="7">
        <v>1973</v>
      </c>
      <c r="B1974" s="22">
        <v>32756</v>
      </c>
      <c r="C1974" s="13" t="s">
        <v>2968</v>
      </c>
      <c r="D1974" s="22" t="s">
        <v>2843</v>
      </c>
      <c r="E1974" s="10">
        <v>2012</v>
      </c>
      <c r="F1974" s="36" t="str" cm="1">
        <f t="array" ref="F1974">_xlfn.XLOOKUP(D1974&amp;C1974, Sheet3!$C$2:$C$1224&amp;Sheet3!$B$2:$B$1224, Sheet3!$D$2:$D$1224, "")</f>
        <v/>
      </c>
      <c r="G1974" s="1" t="str" cm="1">
        <f t="array" ref="G1974">_xlfn.XLOOKUP(D1974&amp;C1974, Sheet2!$A$2:$A$558&amp;Sheet2!$B$2:$B$558, Sheet2!$C$2:$C$558, "")</f>
        <v/>
      </c>
      <c r="H1974" s="40" t="str">
        <f t="shared" si="30"/>
        <v/>
      </c>
    </row>
    <row r="1975" spans="1:8" ht="15.5" x14ac:dyDescent="0.35">
      <c r="A1975" s="7">
        <v>1974</v>
      </c>
      <c r="B1975" s="22">
        <v>32807</v>
      </c>
      <c r="C1975" s="13" t="s">
        <v>2969</v>
      </c>
      <c r="D1975" s="22" t="s">
        <v>2843</v>
      </c>
      <c r="E1975" s="10">
        <v>2012</v>
      </c>
      <c r="F1975" s="36" t="str" cm="1">
        <f t="array" ref="F1975">_xlfn.XLOOKUP(D1975&amp;C1975, Sheet3!$C$2:$C$1224&amp;Sheet3!$B$2:$B$1224, Sheet3!$D$2:$D$1224, "")</f>
        <v>setiawan.nr@gmail.com</v>
      </c>
      <c r="G1975" s="1" t="str" cm="1">
        <f t="array" ref="G1975">_xlfn.XLOOKUP(D1975&amp;C1975, Sheet2!$A$2:$A$558&amp;Sheet2!$B$2:$B$558, Sheet2!$C$2:$C$558, "")</f>
        <v>setiawan.nr@mail.com</v>
      </c>
      <c r="H1975" s="40" t="str">
        <f t="shared" si="30"/>
        <v>setiawan.nr@gmail.com</v>
      </c>
    </row>
    <row r="1976" spans="1:8" ht="15.5" x14ac:dyDescent="0.35">
      <c r="A1976" s="7">
        <v>1975</v>
      </c>
      <c r="B1976" s="22">
        <v>32816</v>
      </c>
      <c r="C1976" s="13" t="s">
        <v>5837</v>
      </c>
      <c r="D1976" s="22" t="s">
        <v>2843</v>
      </c>
      <c r="E1976" s="10">
        <v>2012</v>
      </c>
      <c r="F1976" s="36" t="str" cm="1">
        <f t="array" ref="F1976">_xlfn.XLOOKUP(D1976&amp;C1976, Sheet3!$C$2:$C$1224&amp;Sheet3!$B$2:$B$1224, Sheet3!$D$2:$D$1224, "")</f>
        <v>Juliustobing21@gmail.com</v>
      </c>
      <c r="G1976" s="1" t="str" cm="1">
        <f t="array" ref="G1976">_xlfn.XLOOKUP(D1976&amp;C1976, Sheet2!$A$2:$A$558&amp;Sheet2!$B$2:$B$558, Sheet2!$C$2:$C$558, "")</f>
        <v/>
      </c>
      <c r="H1976" s="40" t="str">
        <f t="shared" si="30"/>
        <v>Juliustobing21@gmail.com</v>
      </c>
    </row>
    <row r="1977" spans="1:8" ht="15.5" x14ac:dyDescent="0.35">
      <c r="A1977" s="7">
        <v>1976</v>
      </c>
      <c r="B1977" s="22">
        <v>32823</v>
      </c>
      <c r="C1977" s="13" t="s">
        <v>2970</v>
      </c>
      <c r="D1977" s="22" t="s">
        <v>2843</v>
      </c>
      <c r="E1977" s="10">
        <v>2012</v>
      </c>
      <c r="F1977" s="36" t="str" cm="1">
        <f t="array" ref="F1977">_xlfn.XLOOKUP(D1977&amp;C1977, Sheet3!$C$2:$C$1224&amp;Sheet3!$B$2:$B$1224, Sheet3!$D$2:$D$1224, "")</f>
        <v>ferdy_at@ymail.com</v>
      </c>
      <c r="G1977" s="1" t="str" cm="1">
        <f t="array" ref="G1977">_xlfn.XLOOKUP(D1977&amp;C1977, Sheet2!$A$2:$A$558&amp;Sheet2!$B$2:$B$558, Sheet2!$C$2:$C$558, "")</f>
        <v/>
      </c>
      <c r="H1977" s="40" t="str">
        <f t="shared" si="30"/>
        <v>ferdy_at@ymail.com</v>
      </c>
    </row>
    <row r="1978" spans="1:8" ht="15.5" x14ac:dyDescent="0.35">
      <c r="A1978" s="7">
        <v>1977</v>
      </c>
      <c r="B1978" s="22">
        <v>32824</v>
      </c>
      <c r="C1978" s="13" t="s">
        <v>2971</v>
      </c>
      <c r="D1978" s="22" t="s">
        <v>2843</v>
      </c>
      <c r="E1978" s="10">
        <v>2012</v>
      </c>
      <c r="F1978" s="36" t="str" cm="1">
        <f t="array" ref="F1978">_xlfn.XLOOKUP(D1978&amp;C1978, Sheet3!$C$2:$C$1224&amp;Sheet3!$B$2:$B$1224, Sheet3!$D$2:$D$1224, "")</f>
        <v/>
      </c>
      <c r="G1978" s="1" t="str" cm="1">
        <f t="array" ref="G1978">_xlfn.XLOOKUP(D1978&amp;C1978, Sheet2!$A$2:$A$558&amp;Sheet2!$B$2:$B$558, Sheet2!$C$2:$C$558, "")</f>
        <v>jeffry_simamora@yahoo.com</v>
      </c>
      <c r="H1978" s="40" t="str">
        <f t="shared" si="30"/>
        <v>jeffry_simamora@yahoo.com</v>
      </c>
    </row>
    <row r="1979" spans="1:8" ht="15.5" x14ac:dyDescent="0.35">
      <c r="A1979" s="7">
        <v>1978</v>
      </c>
      <c r="B1979" s="22">
        <v>32942</v>
      </c>
      <c r="C1979" s="13" t="s">
        <v>2972</v>
      </c>
      <c r="D1979" s="22" t="s">
        <v>2843</v>
      </c>
      <c r="E1979" s="10">
        <v>2012</v>
      </c>
      <c r="F1979" s="36" t="str" cm="1">
        <f t="array" ref="F1979">_xlfn.XLOOKUP(D1979&amp;C1979, Sheet3!$C$2:$C$1224&amp;Sheet3!$B$2:$B$1224, Sheet3!$D$2:$D$1224, "")</f>
        <v/>
      </c>
      <c r="G1979" s="1" t="str" cm="1">
        <f t="array" ref="G1979">_xlfn.XLOOKUP(D1979&amp;C1979, Sheet2!$A$2:$A$558&amp;Sheet2!$B$2:$B$558, Sheet2!$C$2:$C$558, "")</f>
        <v>ren.putra@gmail.com</v>
      </c>
      <c r="H1979" s="40" t="str">
        <f t="shared" si="30"/>
        <v>ren.putra@gmail.com</v>
      </c>
    </row>
    <row r="1980" spans="1:8" ht="15.5" x14ac:dyDescent="0.35">
      <c r="A1980" s="7">
        <v>1979</v>
      </c>
      <c r="B1980" s="22">
        <v>33145</v>
      </c>
      <c r="C1980" s="13" t="s">
        <v>2973</v>
      </c>
      <c r="D1980" s="22" t="s">
        <v>2843</v>
      </c>
      <c r="E1980" s="10">
        <v>2012</v>
      </c>
      <c r="F1980" s="36" t="str" cm="1">
        <f t="array" ref="F1980">_xlfn.XLOOKUP(D1980&amp;C1980, Sheet3!$C$2:$C$1224&amp;Sheet3!$B$2:$B$1224, Sheet3!$D$2:$D$1224, "")</f>
        <v/>
      </c>
      <c r="G1980" s="1" t="str" cm="1">
        <f t="array" ref="G1980">_xlfn.XLOOKUP(D1980&amp;C1980, Sheet2!$A$2:$A$558&amp;Sheet2!$B$2:$B$558, Sheet2!$C$2:$C$558, "")</f>
        <v/>
      </c>
      <c r="H1980" s="40" t="str">
        <f t="shared" si="30"/>
        <v/>
      </c>
    </row>
    <row r="1981" spans="1:8" ht="15.5" x14ac:dyDescent="0.35">
      <c r="A1981" s="7">
        <v>1980</v>
      </c>
      <c r="B1981" s="22">
        <v>33155</v>
      </c>
      <c r="C1981" s="13" t="s">
        <v>2974</v>
      </c>
      <c r="D1981" s="22" t="s">
        <v>2843</v>
      </c>
      <c r="E1981" s="10">
        <v>2012</v>
      </c>
      <c r="F1981" s="36" t="str" cm="1">
        <f t="array" ref="F1981">_xlfn.XLOOKUP(D1981&amp;C1981, Sheet3!$C$2:$C$1224&amp;Sheet3!$B$2:$B$1224, Sheet3!$D$2:$D$1224, "")</f>
        <v>harnanto.ndik24@gmail.com</v>
      </c>
      <c r="G1981" s="1" t="str" cm="1">
        <f t="array" ref="G1981">_xlfn.XLOOKUP(D1981&amp;C1981, Sheet2!$A$2:$A$558&amp;Sheet2!$B$2:$B$558, Sheet2!$C$2:$C$558, "")</f>
        <v/>
      </c>
      <c r="H1981" s="40" t="str">
        <f t="shared" si="30"/>
        <v>harnanto.ndik24@gmail.com</v>
      </c>
    </row>
    <row r="1982" spans="1:8" ht="15.5" x14ac:dyDescent="0.35">
      <c r="A1982" s="7">
        <v>1981</v>
      </c>
      <c r="B1982" s="22">
        <v>33307</v>
      </c>
      <c r="C1982" s="13" t="s">
        <v>2975</v>
      </c>
      <c r="D1982" s="22" t="s">
        <v>2843</v>
      </c>
      <c r="E1982" s="10">
        <v>2012</v>
      </c>
      <c r="F1982" s="36" t="str" cm="1">
        <f t="array" ref="F1982">_xlfn.XLOOKUP(D1982&amp;C1982, Sheet3!$C$2:$C$1224&amp;Sheet3!$B$2:$B$1224, Sheet3!$D$2:$D$1224, "")</f>
        <v>oktarinapurbawati@gmail.com</v>
      </c>
      <c r="G1982" s="1" t="str" cm="1">
        <f t="array" ref="G1982">_xlfn.XLOOKUP(D1982&amp;C1982, Sheet2!$A$2:$A$558&amp;Sheet2!$B$2:$B$558, Sheet2!$C$2:$C$558, "")</f>
        <v>oktarina.purbawati@pu.go.id</v>
      </c>
      <c r="H1982" s="40" t="str">
        <f t="shared" si="30"/>
        <v>oktarinapurbawati@gmail.com</v>
      </c>
    </row>
    <row r="1983" spans="1:8" ht="15.5" x14ac:dyDescent="0.35">
      <c r="A1983" s="7">
        <v>1982</v>
      </c>
      <c r="B1983" s="22">
        <v>33370</v>
      </c>
      <c r="C1983" s="13" t="s">
        <v>5832</v>
      </c>
      <c r="D1983" s="22" t="s">
        <v>2843</v>
      </c>
      <c r="E1983" s="10">
        <v>2012</v>
      </c>
      <c r="F1983" s="36" t="str" cm="1">
        <f t="array" ref="F1983">_xlfn.XLOOKUP(D1983&amp;C1983, Sheet3!$C$2:$C$1224&amp;Sheet3!$B$2:$B$1224, Sheet3!$D$2:$D$1224, "")</f>
        <v>wadhdhucha.ir@gmail.com</v>
      </c>
      <c r="G1983" s="1" t="str" cm="1">
        <f t="array" ref="G1983">_xlfn.XLOOKUP(D1983&amp;C1983, Sheet2!$A$2:$A$558&amp;Sheet2!$B$2:$B$558, Sheet2!$C$2:$C$558, "")</f>
        <v/>
      </c>
      <c r="H1983" s="40" t="str">
        <f t="shared" si="30"/>
        <v>wadhdhucha.ir@gmail.com</v>
      </c>
    </row>
    <row r="1984" spans="1:8" ht="15.5" x14ac:dyDescent="0.35">
      <c r="A1984" s="7">
        <v>1983</v>
      </c>
      <c r="B1984" s="22">
        <v>33399</v>
      </c>
      <c r="C1984" s="13" t="s">
        <v>2976</v>
      </c>
      <c r="D1984" s="22" t="s">
        <v>2843</v>
      </c>
      <c r="E1984" s="10">
        <v>2012</v>
      </c>
      <c r="F1984" s="36" t="str" cm="1">
        <f t="array" ref="F1984">_xlfn.XLOOKUP(D1984&amp;C1984, Sheet3!$C$2:$C$1224&amp;Sheet3!$B$2:$B$1224, Sheet3!$D$2:$D$1224, "")</f>
        <v>laksonoade@gmail.com</v>
      </c>
      <c r="G1984" s="1" t="str" cm="1">
        <f t="array" ref="G1984">_xlfn.XLOOKUP(D1984&amp;C1984, Sheet2!$A$2:$A$558&amp;Sheet2!$B$2:$B$558, Sheet2!$C$2:$C$558, "")</f>
        <v/>
      </c>
      <c r="H1984" s="40" t="str">
        <f t="shared" si="30"/>
        <v>laksonoade@gmail.com</v>
      </c>
    </row>
    <row r="1985" spans="1:8" ht="15.5" x14ac:dyDescent="0.35">
      <c r="A1985" s="7">
        <v>1984</v>
      </c>
      <c r="B1985" s="22">
        <v>33486</v>
      </c>
      <c r="C1985" s="13" t="s">
        <v>2977</v>
      </c>
      <c r="D1985" s="22" t="s">
        <v>2843</v>
      </c>
      <c r="E1985" s="10">
        <v>2012</v>
      </c>
      <c r="F1985" s="36" t="str" cm="1">
        <f t="array" ref="F1985">_xlfn.XLOOKUP(D1985&amp;C1985, Sheet3!$C$2:$C$1224&amp;Sheet3!$B$2:$B$1224, Sheet3!$D$2:$D$1224, "")</f>
        <v>marthin.johannes@gmail.com</v>
      </c>
      <c r="G1985" s="1" t="str" cm="1">
        <f t="array" ref="G1985">_xlfn.XLOOKUP(D1985&amp;C1985, Sheet2!$A$2:$A$558&amp;Sheet2!$B$2:$B$558, Sheet2!$C$2:$C$558, "")</f>
        <v/>
      </c>
      <c r="H1985" s="40" t="str">
        <f t="shared" si="30"/>
        <v>marthin.johannes@gmail.com</v>
      </c>
    </row>
    <row r="1986" spans="1:8" ht="15.5" x14ac:dyDescent="0.35">
      <c r="A1986" s="7">
        <v>1985</v>
      </c>
      <c r="B1986" s="22">
        <v>33253</v>
      </c>
      <c r="C1986" s="13" t="s">
        <v>2978</v>
      </c>
      <c r="D1986" s="22" t="s">
        <v>2843</v>
      </c>
      <c r="E1986" s="10">
        <v>2012</v>
      </c>
      <c r="F1986" s="36" t="str" cm="1">
        <f t="array" ref="F1986">_xlfn.XLOOKUP(D1986&amp;C1986, Sheet3!$C$2:$C$1224&amp;Sheet3!$B$2:$B$1224, Sheet3!$D$2:$D$1224, "")</f>
        <v>Phisca.pratama@gmail.com</v>
      </c>
      <c r="G1986" s="1" t="str" cm="1">
        <f t="array" ref="G1986">_xlfn.XLOOKUP(D1986&amp;C1986, Sheet2!$A$2:$A$558&amp;Sheet2!$B$2:$B$558, Sheet2!$C$2:$C$558, "")</f>
        <v>phisca.pratama@gmail.com</v>
      </c>
      <c r="H1986" s="40" t="str">
        <f t="shared" si="30"/>
        <v>Phisca.pratama@gmail.com</v>
      </c>
    </row>
    <row r="1987" spans="1:8" ht="15.5" x14ac:dyDescent="0.35">
      <c r="A1987" s="7">
        <v>1986</v>
      </c>
      <c r="B1987" s="22">
        <v>30281</v>
      </c>
      <c r="C1987" s="13" t="s">
        <v>2979</v>
      </c>
      <c r="D1987" s="22" t="s">
        <v>1490</v>
      </c>
      <c r="E1987" s="10">
        <v>2012</v>
      </c>
      <c r="F1987" s="36" t="str" cm="1">
        <f t="array" ref="F1987">_xlfn.XLOOKUP(D1987&amp;C1987, Sheet3!$C$2:$C$1224&amp;Sheet3!$B$2:$B$1224, Sheet3!$D$2:$D$1224, "")</f>
        <v/>
      </c>
      <c r="G1987" s="1" t="str" cm="1">
        <f t="array" ref="G1987">_xlfn.XLOOKUP(D1987&amp;C1987, Sheet2!$A$2:$A$558&amp;Sheet2!$B$2:$B$558, Sheet2!$C$2:$C$558, "")</f>
        <v/>
      </c>
      <c r="H1987" s="40" t="str">
        <f t="shared" ref="H1987:H2050" si="31">IF(F1987&lt;&gt;"",F1987,G1987)</f>
        <v/>
      </c>
    </row>
    <row r="1988" spans="1:8" ht="15.5" x14ac:dyDescent="0.35">
      <c r="A1988" s="7">
        <v>1987</v>
      </c>
      <c r="B1988" s="17">
        <v>30677</v>
      </c>
      <c r="C1988" s="13" t="s">
        <v>2980</v>
      </c>
      <c r="D1988" s="17" t="s">
        <v>1491</v>
      </c>
      <c r="E1988" s="10">
        <v>2012</v>
      </c>
      <c r="F1988" s="36" t="str" cm="1">
        <f t="array" ref="F1988">_xlfn.XLOOKUP(D1988&amp;C1988, Sheet3!$C$2:$C$1224&amp;Sheet3!$B$2:$B$1224, Sheet3!$D$2:$D$1224, "")</f>
        <v/>
      </c>
      <c r="G1988" s="1" t="str" cm="1">
        <f t="array" ref="G1988">_xlfn.XLOOKUP(D1988&amp;C1988, Sheet2!$A$2:$A$558&amp;Sheet2!$B$2:$B$558, Sheet2!$C$2:$C$558, "")</f>
        <v/>
      </c>
      <c r="H1988" s="40" t="str">
        <f t="shared" si="31"/>
        <v/>
      </c>
    </row>
    <row r="1989" spans="1:8" ht="15.5" x14ac:dyDescent="0.35">
      <c r="A1989" s="7">
        <v>1988</v>
      </c>
      <c r="B1989" s="17">
        <v>30603</v>
      </c>
      <c r="C1989" s="13" t="s">
        <v>2981</v>
      </c>
      <c r="D1989" s="17" t="s">
        <v>1491</v>
      </c>
      <c r="E1989" s="10">
        <v>2012</v>
      </c>
      <c r="F1989" s="36" t="str" cm="1">
        <f t="array" ref="F1989">_xlfn.XLOOKUP(D1989&amp;C1989, Sheet3!$C$2:$C$1224&amp;Sheet3!$B$2:$B$1224, Sheet3!$D$2:$D$1224, "")</f>
        <v/>
      </c>
      <c r="G1989" s="1" t="str" cm="1">
        <f t="array" ref="G1989">_xlfn.XLOOKUP(D1989&amp;C1989, Sheet2!$A$2:$A$558&amp;Sheet2!$B$2:$B$558, Sheet2!$C$2:$C$558, "")</f>
        <v>fanikadovi@gmail.com</v>
      </c>
      <c r="H1989" s="40" t="str">
        <f t="shared" si="31"/>
        <v>fanikadovi@gmail.com</v>
      </c>
    </row>
    <row r="1990" spans="1:8" ht="15.5" x14ac:dyDescent="0.35">
      <c r="A1990" s="7">
        <v>1989</v>
      </c>
      <c r="B1990" s="17">
        <v>33043</v>
      </c>
      <c r="C1990" s="13" t="s">
        <v>2982</v>
      </c>
      <c r="D1990" s="17" t="s">
        <v>2843</v>
      </c>
      <c r="E1990" s="10">
        <v>2012</v>
      </c>
      <c r="F1990" s="36" t="str" cm="1">
        <f t="array" ref="F1990">_xlfn.XLOOKUP(D1990&amp;C1990, Sheet3!$C$2:$C$1224&amp;Sheet3!$B$2:$B$1224, Sheet3!$D$2:$D$1224, "")</f>
        <v>anas.geodesi@gmail.com</v>
      </c>
      <c r="G1990" s="1" t="str" cm="1">
        <f t="array" ref="G1990">_xlfn.XLOOKUP(D1990&amp;C1990, Sheet2!$A$2:$A$558&amp;Sheet2!$B$2:$B$558, Sheet2!$C$2:$C$558, "")</f>
        <v/>
      </c>
      <c r="H1990" s="40" t="str">
        <f t="shared" si="31"/>
        <v>anas.geodesi@gmail.com</v>
      </c>
    </row>
    <row r="1991" spans="1:8" ht="15.5" x14ac:dyDescent="0.35">
      <c r="A1991" s="7">
        <v>1990</v>
      </c>
      <c r="B1991" s="17">
        <v>28838</v>
      </c>
      <c r="C1991" s="13" t="s">
        <v>2983</v>
      </c>
      <c r="D1991" s="17" t="s">
        <v>1489</v>
      </c>
      <c r="E1991" s="10">
        <v>2012</v>
      </c>
      <c r="F1991" s="36" t="str" cm="1">
        <f t="array" ref="F1991">_xlfn.XLOOKUP(D1991&amp;C1991, Sheet3!$C$2:$C$1224&amp;Sheet3!$B$2:$B$1224, Sheet3!$D$2:$D$1224, "")</f>
        <v/>
      </c>
      <c r="G1991" s="1" t="str" cm="1">
        <f t="array" ref="G1991">_xlfn.XLOOKUP(D1991&amp;C1991, Sheet2!$A$2:$A$558&amp;Sheet2!$B$2:$B$558, Sheet2!$C$2:$C$558, "")</f>
        <v>khairanizulfah@gmail.com</v>
      </c>
      <c r="H1991" s="40" t="str">
        <f t="shared" si="31"/>
        <v>khairanizulfah@gmail.com</v>
      </c>
    </row>
    <row r="1992" spans="1:8" ht="15.5" x14ac:dyDescent="0.35">
      <c r="A1992" s="7">
        <v>1991</v>
      </c>
      <c r="B1992" s="17">
        <v>30698</v>
      </c>
      <c r="C1992" s="13" t="s">
        <v>2984</v>
      </c>
      <c r="D1992" s="17" t="s">
        <v>1491</v>
      </c>
      <c r="E1992" s="10">
        <v>2012</v>
      </c>
      <c r="F1992" s="36" t="str" cm="1">
        <f t="array" ref="F1992">_xlfn.XLOOKUP(D1992&amp;C1992, Sheet3!$C$2:$C$1224&amp;Sheet3!$B$2:$B$1224, Sheet3!$D$2:$D$1224, "")</f>
        <v/>
      </c>
      <c r="G1992" s="1" t="str" cm="1">
        <f t="array" ref="G1992">_xlfn.XLOOKUP(D1992&amp;C1992, Sheet2!$A$2:$A$558&amp;Sheet2!$B$2:$B$558, Sheet2!$C$2:$C$558, "")</f>
        <v/>
      </c>
      <c r="H1992" s="40" t="str">
        <f t="shared" si="31"/>
        <v/>
      </c>
    </row>
    <row r="1993" spans="1:8" ht="15.5" x14ac:dyDescent="0.35">
      <c r="A1993" s="7">
        <v>1992</v>
      </c>
      <c r="B1993" s="17">
        <v>31940</v>
      </c>
      <c r="C1993" s="13" t="s">
        <v>2985</v>
      </c>
      <c r="D1993" s="17" t="s">
        <v>2842</v>
      </c>
      <c r="E1993" s="10">
        <v>2012</v>
      </c>
      <c r="F1993" s="36" t="str" cm="1">
        <f t="array" ref="F1993">_xlfn.XLOOKUP(D1993&amp;C1993, Sheet3!$C$2:$C$1224&amp;Sheet3!$B$2:$B$1224, Sheet3!$D$2:$D$1224, "")</f>
        <v/>
      </c>
      <c r="G1993" s="1" t="str" cm="1">
        <f t="array" ref="G1993">_xlfn.XLOOKUP(D1993&amp;C1993, Sheet2!$A$2:$A$558&amp;Sheet2!$B$2:$B$558, Sheet2!$C$2:$C$558, "")</f>
        <v/>
      </c>
      <c r="H1993" s="40" t="str">
        <f t="shared" si="31"/>
        <v/>
      </c>
    </row>
    <row r="1994" spans="1:8" ht="15.5" x14ac:dyDescent="0.35">
      <c r="A1994" s="7">
        <v>1993</v>
      </c>
      <c r="B1994" s="17">
        <v>32591</v>
      </c>
      <c r="C1994" s="13" t="s">
        <v>2986</v>
      </c>
      <c r="D1994" s="17" t="s">
        <v>2843</v>
      </c>
      <c r="E1994" s="10">
        <v>2012</v>
      </c>
      <c r="F1994" s="36" t="str" cm="1">
        <f t="array" ref="F1994">_xlfn.XLOOKUP(D1994&amp;C1994, Sheet3!$C$2:$C$1224&amp;Sheet3!$B$2:$B$1224, Sheet3!$D$2:$D$1224, "")</f>
        <v/>
      </c>
      <c r="G1994" s="1" t="str" cm="1">
        <f t="array" ref="G1994">_xlfn.XLOOKUP(D1994&amp;C1994, Sheet2!$A$2:$A$558&amp;Sheet2!$B$2:$B$558, Sheet2!$C$2:$C$558, "")</f>
        <v/>
      </c>
      <c r="H1994" s="40" t="str">
        <f t="shared" si="31"/>
        <v/>
      </c>
    </row>
    <row r="1995" spans="1:8" ht="15.5" x14ac:dyDescent="0.35">
      <c r="A1995" s="7">
        <v>1994</v>
      </c>
      <c r="B1995" s="17">
        <v>32716</v>
      </c>
      <c r="C1995" s="13" t="s">
        <v>2987</v>
      </c>
      <c r="D1995" s="17" t="s">
        <v>2843</v>
      </c>
      <c r="E1995" s="10">
        <v>2012</v>
      </c>
      <c r="F1995" s="36" t="str" cm="1">
        <f t="array" ref="F1995">_xlfn.XLOOKUP(D1995&amp;C1995, Sheet3!$C$2:$C$1224&amp;Sheet3!$B$2:$B$1224, Sheet3!$D$2:$D$1224, "")</f>
        <v/>
      </c>
      <c r="G1995" s="1" t="str" cm="1">
        <f t="array" ref="G1995">_xlfn.XLOOKUP(D1995&amp;C1995, Sheet2!$A$2:$A$558&amp;Sheet2!$B$2:$B$558, Sheet2!$C$2:$C$558, "")</f>
        <v/>
      </c>
      <c r="H1995" s="40" t="str">
        <f t="shared" si="31"/>
        <v/>
      </c>
    </row>
    <row r="1996" spans="1:8" ht="15.5" x14ac:dyDescent="0.35">
      <c r="A1996" s="7">
        <v>1995</v>
      </c>
      <c r="B1996" s="17">
        <v>32819</v>
      </c>
      <c r="C1996" s="13" t="s">
        <v>2988</v>
      </c>
      <c r="D1996" s="17" t="s">
        <v>2843</v>
      </c>
      <c r="E1996" s="10">
        <v>2012</v>
      </c>
      <c r="F1996" s="36" t="str" cm="1">
        <f t="array" ref="F1996">_xlfn.XLOOKUP(D1996&amp;C1996, Sheet3!$C$2:$C$1224&amp;Sheet3!$B$2:$B$1224, Sheet3!$D$2:$D$1224, "")</f>
        <v>frans.aritonang@gmail.com</v>
      </c>
      <c r="G1996" s="1" t="str" cm="1">
        <f t="array" ref="G1996">_xlfn.XLOOKUP(D1996&amp;C1996, Sheet2!$A$2:$A$558&amp;Sheet2!$B$2:$B$558, Sheet2!$C$2:$C$558, "")</f>
        <v>frans.aritonang@gmail.com</v>
      </c>
      <c r="H1996" s="40" t="str">
        <f t="shared" si="31"/>
        <v>frans.aritonang@gmail.com</v>
      </c>
    </row>
    <row r="1997" spans="1:8" ht="15.5" x14ac:dyDescent="0.35">
      <c r="A1997" s="7">
        <v>1996</v>
      </c>
      <c r="B1997" s="17">
        <v>32915</v>
      </c>
      <c r="C1997" s="13" t="s">
        <v>2989</v>
      </c>
      <c r="D1997" s="17" t="s">
        <v>2843</v>
      </c>
      <c r="E1997" s="10">
        <v>2012</v>
      </c>
      <c r="F1997" s="36" t="str" cm="1">
        <f t="array" ref="F1997">_xlfn.XLOOKUP(D1997&amp;C1997, Sheet3!$C$2:$C$1224&amp;Sheet3!$B$2:$B$1224, Sheet3!$D$2:$D$1224, "")</f>
        <v>mastotokprawoto73@gmail.com</v>
      </c>
      <c r="G1997" s="1" t="str" cm="1">
        <f t="array" ref="G1997">_xlfn.XLOOKUP(D1997&amp;C1997, Sheet2!$A$2:$A$558&amp;Sheet2!$B$2:$B$558, Sheet2!$C$2:$C$558, "")</f>
        <v>totokprawoto88@gmail.com</v>
      </c>
      <c r="H1997" s="40" t="str">
        <f t="shared" si="31"/>
        <v>mastotokprawoto73@gmail.com</v>
      </c>
    </row>
    <row r="1998" spans="1:8" ht="15.5" x14ac:dyDescent="0.35">
      <c r="A1998" s="7">
        <v>1997</v>
      </c>
      <c r="B1998" s="17">
        <v>32935</v>
      </c>
      <c r="C1998" s="13" t="s">
        <v>2990</v>
      </c>
      <c r="D1998" s="17" t="s">
        <v>2843</v>
      </c>
      <c r="E1998" s="10">
        <v>2012</v>
      </c>
      <c r="F1998" s="36" t="str" cm="1">
        <f t="array" ref="F1998">_xlfn.XLOOKUP(D1998&amp;C1998, Sheet3!$C$2:$C$1224&amp;Sheet3!$B$2:$B$1224, Sheet3!$D$2:$D$1224, "")</f>
        <v/>
      </c>
      <c r="G1998" s="1" t="str" cm="1">
        <f t="array" ref="G1998">_xlfn.XLOOKUP(D1998&amp;C1998, Sheet2!$A$2:$A$558&amp;Sheet2!$B$2:$B$558, Sheet2!$C$2:$C$558, "")</f>
        <v>rudalsulaiman@gmail.com</v>
      </c>
      <c r="H1998" s="40" t="str">
        <f t="shared" si="31"/>
        <v>rudalsulaiman@gmail.com</v>
      </c>
    </row>
    <row r="1999" spans="1:8" ht="15.5" x14ac:dyDescent="0.35">
      <c r="A1999" s="7">
        <v>1998</v>
      </c>
      <c r="B1999" s="17">
        <v>33007</v>
      </c>
      <c r="C1999" s="13" t="s">
        <v>2991</v>
      </c>
      <c r="D1999" s="17" t="s">
        <v>2843</v>
      </c>
      <c r="E1999" s="10">
        <v>2012</v>
      </c>
      <c r="F1999" s="36" t="str" cm="1">
        <f t="array" ref="F1999">_xlfn.XLOOKUP(D1999&amp;C1999, Sheet3!$C$2:$C$1224&amp;Sheet3!$B$2:$B$1224, Sheet3!$D$2:$D$1224, "")</f>
        <v/>
      </c>
      <c r="G1999" s="1" t="str" cm="1">
        <f t="array" ref="G1999">_xlfn.XLOOKUP(D1999&amp;C1999, Sheet2!$A$2:$A$558&amp;Sheet2!$B$2:$B$558, Sheet2!$C$2:$C$558, "")</f>
        <v/>
      </c>
      <c r="H1999" s="40" t="str">
        <f t="shared" si="31"/>
        <v/>
      </c>
    </row>
    <row r="2000" spans="1:8" ht="15.5" x14ac:dyDescent="0.35">
      <c r="A2000" s="7">
        <v>1999</v>
      </c>
      <c r="B2000" s="17">
        <v>33019</v>
      </c>
      <c r="C2000" s="13" t="s">
        <v>2992</v>
      </c>
      <c r="D2000" s="17" t="s">
        <v>2843</v>
      </c>
      <c r="E2000" s="10">
        <v>2012</v>
      </c>
      <c r="F2000" s="36" t="str" cm="1">
        <f t="array" ref="F2000">_xlfn.XLOOKUP(D2000&amp;C2000, Sheet3!$C$2:$C$1224&amp;Sheet3!$B$2:$B$1224, Sheet3!$D$2:$D$1224, "")</f>
        <v/>
      </c>
      <c r="G2000" s="1" t="str" cm="1">
        <f t="array" ref="G2000">_xlfn.XLOOKUP(D2000&amp;C2000, Sheet2!$A$2:$A$558&amp;Sheet2!$B$2:$B$558, Sheet2!$C$2:$C$558, "")</f>
        <v/>
      </c>
      <c r="H2000" s="40" t="str">
        <f t="shared" si="31"/>
        <v/>
      </c>
    </row>
    <row r="2001" spans="1:8" ht="15.5" x14ac:dyDescent="0.35">
      <c r="A2001" s="7">
        <v>2000</v>
      </c>
      <c r="B2001" s="17">
        <v>33082</v>
      </c>
      <c r="C2001" s="13" t="s">
        <v>2993</v>
      </c>
      <c r="D2001" s="17" t="s">
        <v>2843</v>
      </c>
      <c r="E2001" s="10">
        <v>2012</v>
      </c>
      <c r="F2001" s="36" t="str" cm="1">
        <f t="array" ref="F2001">_xlfn.XLOOKUP(D2001&amp;C2001, Sheet3!$C$2:$C$1224&amp;Sheet3!$B$2:$B$1224, Sheet3!$D$2:$D$1224, "")</f>
        <v/>
      </c>
      <c r="G2001" s="1" t="str" cm="1">
        <f t="array" ref="G2001">_xlfn.XLOOKUP(D2001&amp;C2001, Sheet2!$A$2:$A$558&amp;Sheet2!$B$2:$B$558, Sheet2!$C$2:$C$558, "")</f>
        <v>m.fajarprasetyo88@gmail.com</v>
      </c>
      <c r="H2001" s="40" t="str">
        <f t="shared" si="31"/>
        <v>m.fajarprasetyo88@gmail.com</v>
      </c>
    </row>
    <row r="2002" spans="1:8" ht="15.5" x14ac:dyDescent="0.35">
      <c r="A2002" s="7">
        <v>2001</v>
      </c>
      <c r="B2002" s="17">
        <v>33432</v>
      </c>
      <c r="C2002" s="13" t="s">
        <v>2994</v>
      </c>
      <c r="D2002" s="17" t="s">
        <v>2843</v>
      </c>
      <c r="E2002" s="10">
        <v>2012</v>
      </c>
      <c r="F2002" s="36" t="str" cm="1">
        <f t="array" ref="F2002">_xlfn.XLOOKUP(D2002&amp;C2002, Sheet3!$C$2:$C$1224&amp;Sheet3!$B$2:$B$1224, Sheet3!$D$2:$D$1224, "")</f>
        <v/>
      </c>
      <c r="G2002" s="1" t="str" cm="1">
        <f t="array" ref="G2002">_xlfn.XLOOKUP(D2002&amp;C2002, Sheet2!$A$2:$A$558&amp;Sheet2!$B$2:$B$558, Sheet2!$C$2:$C$558, "")</f>
        <v/>
      </c>
      <c r="H2002" s="40" t="str">
        <f t="shared" si="31"/>
        <v/>
      </c>
    </row>
    <row r="2003" spans="1:8" ht="15.5" x14ac:dyDescent="0.35">
      <c r="A2003" s="7">
        <v>2002</v>
      </c>
      <c r="B2003" s="17">
        <v>33437</v>
      </c>
      <c r="C2003" s="13" t="s">
        <v>2995</v>
      </c>
      <c r="D2003" s="17" t="s">
        <v>2843</v>
      </c>
      <c r="E2003" s="10">
        <v>2012</v>
      </c>
      <c r="F2003" s="36" t="str" cm="1">
        <f t="array" ref="F2003">_xlfn.XLOOKUP(D2003&amp;C2003, Sheet3!$C$2:$C$1224&amp;Sheet3!$B$2:$B$1224, Sheet3!$D$2:$D$1224, "")</f>
        <v>perhiasandunia954@gmail.com</v>
      </c>
      <c r="G2003" s="1" t="str" cm="1">
        <f t="array" ref="G2003">_xlfn.XLOOKUP(D2003&amp;C2003, Sheet2!$A$2:$A$558&amp;Sheet2!$B$2:$B$558, Sheet2!$C$2:$C$558, "")</f>
        <v>perhiasandunia954@gmail.com</v>
      </c>
      <c r="H2003" s="40" t="str">
        <f t="shared" si="31"/>
        <v>perhiasandunia954@gmail.com</v>
      </c>
    </row>
    <row r="2004" spans="1:8" ht="15.5" x14ac:dyDescent="0.35">
      <c r="A2004" s="7">
        <v>2003</v>
      </c>
      <c r="B2004" s="17">
        <v>33851</v>
      </c>
      <c r="C2004" s="13" t="s">
        <v>2996</v>
      </c>
      <c r="D2004" s="17" t="s">
        <v>2844</v>
      </c>
      <c r="E2004" s="10">
        <v>2012</v>
      </c>
      <c r="F2004" s="36" t="str" cm="1">
        <f t="array" ref="F2004">_xlfn.XLOOKUP(D2004&amp;C2004, Sheet3!$C$2:$C$1224&amp;Sheet3!$B$2:$B$1224, Sheet3!$D$2:$D$1224, "")</f>
        <v/>
      </c>
      <c r="G2004" s="1" t="str" cm="1">
        <f t="array" ref="G2004">_xlfn.XLOOKUP(D2004&amp;C2004, Sheet2!$A$2:$A$558&amp;Sheet2!$B$2:$B$558, Sheet2!$C$2:$C$558, "")</f>
        <v/>
      </c>
      <c r="H2004" s="40" t="str">
        <f t="shared" si="31"/>
        <v/>
      </c>
    </row>
    <row r="2005" spans="1:8" ht="15.5" x14ac:dyDescent="0.35">
      <c r="A2005" s="7">
        <v>2004</v>
      </c>
      <c r="B2005" s="17">
        <v>33965</v>
      </c>
      <c r="C2005" s="13" t="s">
        <v>2997</v>
      </c>
      <c r="D2005" s="17" t="s">
        <v>2844</v>
      </c>
      <c r="E2005" s="10">
        <v>2012</v>
      </c>
      <c r="F2005" s="36" t="str" cm="1">
        <f t="array" ref="F2005">_xlfn.XLOOKUP(D2005&amp;C2005, Sheet3!$C$2:$C$1224&amp;Sheet3!$B$2:$B$1224, Sheet3!$D$2:$D$1224, "")</f>
        <v>anggunrahajeng@gmail.com</v>
      </c>
      <c r="G2005" s="1" t="str" cm="1">
        <f t="array" ref="G2005">_xlfn.XLOOKUP(D2005&amp;C2005, Sheet2!$A$2:$A$558&amp;Sheet2!$B$2:$B$558, Sheet2!$C$2:$C$558, "")</f>
        <v/>
      </c>
      <c r="H2005" s="40" t="str">
        <f t="shared" si="31"/>
        <v>anggunrahajeng@gmail.com</v>
      </c>
    </row>
    <row r="2006" spans="1:8" ht="15.5" x14ac:dyDescent="0.35">
      <c r="A2006" s="7">
        <v>2005</v>
      </c>
      <c r="B2006" s="17">
        <v>34161</v>
      </c>
      <c r="C2006" s="13" t="s">
        <v>2998</v>
      </c>
      <c r="D2006" s="17" t="s">
        <v>2844</v>
      </c>
      <c r="E2006" s="10">
        <v>2012</v>
      </c>
      <c r="F2006" s="36" t="str" cm="1">
        <f t="array" ref="F2006">_xlfn.XLOOKUP(D2006&amp;C2006, Sheet3!$C$2:$C$1224&amp;Sheet3!$B$2:$B$1224, Sheet3!$D$2:$D$1224, "")</f>
        <v/>
      </c>
      <c r="G2006" s="1" t="str" cm="1">
        <f t="array" ref="G2006">_xlfn.XLOOKUP(D2006&amp;C2006, Sheet2!$A$2:$A$558&amp;Sheet2!$B$2:$B$558, Sheet2!$C$2:$C$558, "")</f>
        <v/>
      </c>
      <c r="H2006" s="40" t="str">
        <f t="shared" si="31"/>
        <v/>
      </c>
    </row>
    <row r="2007" spans="1:8" ht="15.5" x14ac:dyDescent="0.35">
      <c r="A2007" s="7">
        <v>2006</v>
      </c>
      <c r="B2007" s="17">
        <v>34554</v>
      </c>
      <c r="C2007" s="13" t="s">
        <v>2999</v>
      </c>
      <c r="D2007" s="17" t="s">
        <v>2844</v>
      </c>
      <c r="E2007" s="10">
        <v>2012</v>
      </c>
      <c r="F2007" s="36" t="str" cm="1">
        <f t="array" ref="F2007">_xlfn.XLOOKUP(D2007&amp;C2007, Sheet3!$C$2:$C$1224&amp;Sheet3!$B$2:$B$1224, Sheet3!$D$2:$D$1224, "")</f>
        <v/>
      </c>
      <c r="G2007" s="1" t="str" cm="1">
        <f t="array" ref="G2007">_xlfn.XLOOKUP(D2007&amp;C2007, Sheet2!$A$2:$A$558&amp;Sheet2!$B$2:$B$558, Sheet2!$C$2:$C$558, "")</f>
        <v/>
      </c>
      <c r="H2007" s="40" t="str">
        <f t="shared" si="31"/>
        <v/>
      </c>
    </row>
    <row r="2008" spans="1:8" ht="15.5" x14ac:dyDescent="0.35">
      <c r="A2008" s="7">
        <v>2007</v>
      </c>
      <c r="B2008" s="17">
        <v>30666</v>
      </c>
      <c r="C2008" s="13" t="s">
        <v>3000</v>
      </c>
      <c r="D2008" s="17" t="s">
        <v>1491</v>
      </c>
      <c r="E2008" s="10">
        <v>2012</v>
      </c>
      <c r="F2008" s="36" t="str" cm="1">
        <f t="array" ref="F2008">_xlfn.XLOOKUP(D2008&amp;C2008, Sheet3!$C$2:$C$1224&amp;Sheet3!$B$2:$B$1224, Sheet3!$D$2:$D$1224, "")</f>
        <v/>
      </c>
      <c r="G2008" s="1" t="str" cm="1">
        <f t="array" ref="G2008">_xlfn.XLOOKUP(D2008&amp;C2008, Sheet2!$A$2:$A$558&amp;Sheet2!$B$2:$B$558, Sheet2!$C$2:$C$558, "")</f>
        <v/>
      </c>
      <c r="H2008" s="40" t="str">
        <f t="shared" si="31"/>
        <v/>
      </c>
    </row>
    <row r="2009" spans="1:8" ht="15.5" x14ac:dyDescent="0.35">
      <c r="A2009" s="7">
        <v>2008</v>
      </c>
      <c r="B2009" s="17">
        <v>32671</v>
      </c>
      <c r="C2009" s="13" t="s">
        <v>3001</v>
      </c>
      <c r="D2009" s="17" t="s">
        <v>2843</v>
      </c>
      <c r="E2009" s="10">
        <v>2012</v>
      </c>
      <c r="F2009" s="36" t="str" cm="1">
        <f t="array" ref="F2009">_xlfn.XLOOKUP(D2009&amp;C2009, Sheet3!$C$2:$C$1224&amp;Sheet3!$B$2:$B$1224, Sheet3!$D$2:$D$1224, "")</f>
        <v/>
      </c>
      <c r="G2009" s="1" t="str" cm="1">
        <f t="array" ref="G2009">_xlfn.XLOOKUP(D2009&amp;C2009, Sheet2!$A$2:$A$558&amp;Sheet2!$B$2:$B$558, Sheet2!$C$2:$C$558, "")</f>
        <v/>
      </c>
      <c r="H2009" s="40" t="str">
        <f t="shared" si="31"/>
        <v/>
      </c>
    </row>
    <row r="2010" spans="1:8" ht="15.5" x14ac:dyDescent="0.35">
      <c r="A2010" s="7">
        <v>2009</v>
      </c>
      <c r="B2010" s="17">
        <v>32719</v>
      </c>
      <c r="C2010" s="13" t="s">
        <v>3002</v>
      </c>
      <c r="D2010" s="17" t="s">
        <v>2843</v>
      </c>
      <c r="E2010" s="10">
        <v>2012</v>
      </c>
      <c r="F2010" s="36" t="str" cm="1">
        <f t="array" ref="F2010">_xlfn.XLOOKUP(D2010&amp;C2010, Sheet3!$C$2:$C$1224&amp;Sheet3!$B$2:$B$1224, Sheet3!$D$2:$D$1224, "")</f>
        <v/>
      </c>
      <c r="G2010" s="1" t="str" cm="1">
        <f t="array" ref="G2010">_xlfn.XLOOKUP(D2010&amp;C2010, Sheet2!$A$2:$A$558&amp;Sheet2!$B$2:$B$558, Sheet2!$C$2:$C$558, "")</f>
        <v>yogaprakosa7@gmail.com</v>
      </c>
      <c r="H2010" s="40" t="str">
        <f t="shared" si="31"/>
        <v>yogaprakosa7@gmail.com</v>
      </c>
    </row>
    <row r="2011" spans="1:8" ht="15.5" x14ac:dyDescent="0.35">
      <c r="A2011" s="7">
        <v>2010</v>
      </c>
      <c r="B2011" s="17">
        <v>33083</v>
      </c>
      <c r="C2011" s="13" t="s">
        <v>3003</v>
      </c>
      <c r="D2011" s="17" t="s">
        <v>2843</v>
      </c>
      <c r="E2011" s="10">
        <v>2012</v>
      </c>
      <c r="F2011" s="36" t="str" cm="1">
        <f t="array" ref="F2011">_xlfn.XLOOKUP(D2011&amp;C2011, Sheet3!$C$2:$C$1224&amp;Sheet3!$B$2:$B$1224, Sheet3!$D$2:$D$1224, "")</f>
        <v/>
      </c>
      <c r="G2011" s="1" t="str" cm="1">
        <f t="array" ref="G2011">_xlfn.XLOOKUP(D2011&amp;C2011, Sheet2!$A$2:$A$558&amp;Sheet2!$B$2:$B$558, Sheet2!$C$2:$C$558, "")</f>
        <v>theodorusyanneovanny@gmail.com</v>
      </c>
      <c r="H2011" s="40" t="str">
        <f t="shared" si="31"/>
        <v>theodorusyanneovanny@gmail.com</v>
      </c>
    </row>
    <row r="2012" spans="1:8" ht="15.5" x14ac:dyDescent="0.35">
      <c r="A2012" s="7">
        <v>2011</v>
      </c>
      <c r="B2012" s="17">
        <v>34431</v>
      </c>
      <c r="C2012" s="13" t="s">
        <v>3004</v>
      </c>
      <c r="D2012" s="17" t="s">
        <v>2844</v>
      </c>
      <c r="E2012" s="10">
        <v>2012</v>
      </c>
      <c r="F2012" s="36" t="str" cm="1">
        <f t="array" ref="F2012">_xlfn.XLOOKUP(D2012&amp;C2012, Sheet3!$C$2:$C$1224&amp;Sheet3!$B$2:$B$1224, Sheet3!$D$2:$D$1224, "")</f>
        <v>luthfiahsanam@gmail.com</v>
      </c>
      <c r="G2012" s="1" t="str" cm="1">
        <f t="array" ref="G2012">_xlfn.XLOOKUP(D2012&amp;C2012, Sheet2!$A$2:$A$558&amp;Sheet2!$B$2:$B$558, Sheet2!$C$2:$C$558, "")</f>
        <v/>
      </c>
      <c r="H2012" s="40" t="str">
        <f t="shared" si="31"/>
        <v>luthfiahsanam@gmail.com</v>
      </c>
    </row>
    <row r="2013" spans="1:8" ht="15.5" x14ac:dyDescent="0.35">
      <c r="A2013" s="7">
        <v>2012</v>
      </c>
      <c r="B2013" s="12">
        <v>33286</v>
      </c>
      <c r="C2013" s="11" t="s">
        <v>5841</v>
      </c>
      <c r="D2013" s="12" t="s">
        <v>2843</v>
      </c>
      <c r="E2013" s="10">
        <v>2012</v>
      </c>
      <c r="F2013" s="36" t="str" cm="1">
        <f t="array" ref="F2013">_xlfn.XLOOKUP(D2013&amp;C2013, Sheet3!$C$2:$C$1224&amp;Sheet3!$B$2:$B$1224, Sheet3!$D$2:$D$1224, "")</f>
        <v>detyaprenica@gmail.com</v>
      </c>
      <c r="G2013" s="1" t="str" cm="1">
        <f t="array" ref="G2013">_xlfn.XLOOKUP(D2013&amp;C2013, Sheet2!$A$2:$A$558&amp;Sheet2!$B$2:$B$558, Sheet2!$C$2:$C$558, "")</f>
        <v/>
      </c>
      <c r="H2013" s="40" t="str">
        <f t="shared" si="31"/>
        <v>detyaprenica@gmail.com</v>
      </c>
    </row>
    <row r="2014" spans="1:8" ht="15.5" x14ac:dyDescent="0.35">
      <c r="A2014" s="7">
        <v>2013</v>
      </c>
      <c r="B2014" s="18">
        <v>34285</v>
      </c>
      <c r="C2014" s="13" t="s">
        <v>3005</v>
      </c>
      <c r="D2014" s="18" t="s">
        <v>2844</v>
      </c>
      <c r="E2014" s="10">
        <v>2012</v>
      </c>
      <c r="F2014" s="36" t="str" cm="1">
        <f t="array" ref="F2014">_xlfn.XLOOKUP(D2014&amp;C2014, Sheet3!$C$2:$C$1224&amp;Sheet3!$B$2:$B$1224, Sheet3!$D$2:$D$1224, "")</f>
        <v/>
      </c>
      <c r="G2014" s="1" t="str" cm="1">
        <f t="array" ref="G2014">_xlfn.XLOOKUP(D2014&amp;C2014, Sheet2!$A$2:$A$558&amp;Sheet2!$B$2:$B$558, Sheet2!$C$2:$C$558, "")</f>
        <v/>
      </c>
      <c r="H2014" s="40" t="str">
        <f t="shared" si="31"/>
        <v/>
      </c>
    </row>
    <row r="2015" spans="1:8" ht="15.5" x14ac:dyDescent="0.35">
      <c r="A2015" s="7">
        <v>2014</v>
      </c>
      <c r="B2015" s="18">
        <v>33303</v>
      </c>
      <c r="C2015" s="13" t="s">
        <v>3006</v>
      </c>
      <c r="D2015" s="18" t="s">
        <v>2843</v>
      </c>
      <c r="E2015" s="10">
        <v>2012</v>
      </c>
      <c r="F2015" s="36" t="str" cm="1">
        <f t="array" ref="F2015">_xlfn.XLOOKUP(D2015&amp;C2015, Sheet3!$C$2:$C$1224&amp;Sheet3!$B$2:$B$1224, Sheet3!$D$2:$D$1224, "")</f>
        <v/>
      </c>
      <c r="G2015" s="1" t="str" cm="1">
        <f t="array" ref="G2015">_xlfn.XLOOKUP(D2015&amp;C2015, Sheet2!$A$2:$A$558&amp;Sheet2!$B$2:$B$558, Sheet2!$C$2:$C$558, "")</f>
        <v/>
      </c>
      <c r="H2015" s="40" t="str">
        <f t="shared" si="31"/>
        <v/>
      </c>
    </row>
    <row r="2016" spans="1:8" ht="15.5" x14ac:dyDescent="0.35">
      <c r="A2016" s="7">
        <v>2015</v>
      </c>
      <c r="B2016" s="18">
        <v>32840</v>
      </c>
      <c r="C2016" s="13" t="s">
        <v>3007</v>
      </c>
      <c r="D2016" s="18" t="s">
        <v>2843</v>
      </c>
      <c r="E2016" s="10">
        <v>2012</v>
      </c>
      <c r="F2016" s="36" t="str" cm="1">
        <f t="array" ref="F2016">_xlfn.XLOOKUP(D2016&amp;C2016, Sheet3!$C$2:$C$1224&amp;Sheet3!$B$2:$B$1224, Sheet3!$D$2:$D$1224, "")</f>
        <v/>
      </c>
      <c r="G2016" s="1" t="str" cm="1">
        <f t="array" ref="G2016">_xlfn.XLOOKUP(D2016&amp;C2016, Sheet2!$A$2:$A$558&amp;Sheet2!$B$2:$B$558, Sheet2!$C$2:$C$558, "")</f>
        <v/>
      </c>
      <c r="H2016" s="40" t="str">
        <f t="shared" si="31"/>
        <v/>
      </c>
    </row>
    <row r="2017" spans="1:8" ht="15.5" x14ac:dyDescent="0.35">
      <c r="A2017" s="7">
        <v>2016</v>
      </c>
      <c r="B2017" s="18">
        <v>34567</v>
      </c>
      <c r="C2017" s="13" t="s">
        <v>3008</v>
      </c>
      <c r="D2017" s="18" t="s">
        <v>2844</v>
      </c>
      <c r="E2017" s="10">
        <v>2012</v>
      </c>
      <c r="F2017" s="36" t="str" cm="1">
        <f t="array" ref="F2017">_xlfn.XLOOKUP(D2017&amp;C2017, Sheet3!$C$2:$C$1224&amp;Sheet3!$B$2:$B$1224, Sheet3!$D$2:$D$1224, "")</f>
        <v/>
      </c>
      <c r="G2017" s="1" t="str" cm="1">
        <f t="array" ref="G2017">_xlfn.XLOOKUP(D2017&amp;C2017, Sheet2!$A$2:$A$558&amp;Sheet2!$B$2:$B$558, Sheet2!$C$2:$C$558, "")</f>
        <v/>
      </c>
      <c r="H2017" s="40" t="str">
        <f t="shared" si="31"/>
        <v/>
      </c>
    </row>
    <row r="2018" spans="1:8" ht="15.5" x14ac:dyDescent="0.35">
      <c r="A2018" s="7">
        <v>2017</v>
      </c>
      <c r="B2018" s="18">
        <v>34429</v>
      </c>
      <c r="C2018" s="13" t="s">
        <v>3009</v>
      </c>
      <c r="D2018" s="18" t="s">
        <v>2844</v>
      </c>
      <c r="E2018" s="10">
        <v>2012</v>
      </c>
      <c r="F2018" s="36" t="str" cm="1">
        <f t="array" ref="F2018">_xlfn.XLOOKUP(D2018&amp;C2018, Sheet3!$C$2:$C$1224&amp;Sheet3!$B$2:$B$1224, Sheet3!$D$2:$D$1224, "")</f>
        <v/>
      </c>
      <c r="G2018" s="1" t="str" cm="1">
        <f t="array" ref="G2018">_xlfn.XLOOKUP(D2018&amp;C2018, Sheet2!$A$2:$A$558&amp;Sheet2!$B$2:$B$558, Sheet2!$C$2:$C$558, "")</f>
        <v/>
      </c>
      <c r="H2018" s="40" t="str">
        <f t="shared" si="31"/>
        <v/>
      </c>
    </row>
    <row r="2019" spans="1:8" ht="15.5" x14ac:dyDescent="0.35">
      <c r="A2019" s="7">
        <v>2018</v>
      </c>
      <c r="B2019" s="18">
        <v>33230</v>
      </c>
      <c r="C2019" s="13" t="s">
        <v>3010</v>
      </c>
      <c r="D2019" s="18" t="s">
        <v>2843</v>
      </c>
      <c r="E2019" s="10">
        <v>2012</v>
      </c>
      <c r="F2019" s="36" t="str" cm="1">
        <f t="array" ref="F2019">_xlfn.XLOOKUP(D2019&amp;C2019, Sheet3!$C$2:$C$1224&amp;Sheet3!$B$2:$B$1224, Sheet3!$D$2:$D$1224, "")</f>
        <v/>
      </c>
      <c r="G2019" s="1" t="str" cm="1">
        <f t="array" ref="G2019">_xlfn.XLOOKUP(D2019&amp;C2019, Sheet2!$A$2:$A$558&amp;Sheet2!$B$2:$B$558, Sheet2!$C$2:$C$558, "")</f>
        <v/>
      </c>
      <c r="H2019" s="40" t="str">
        <f t="shared" si="31"/>
        <v/>
      </c>
    </row>
    <row r="2020" spans="1:8" ht="15.5" x14ac:dyDescent="0.35">
      <c r="A2020" s="7">
        <v>2019</v>
      </c>
      <c r="B2020" s="18">
        <v>33500</v>
      </c>
      <c r="C2020" s="13" t="s">
        <v>3011</v>
      </c>
      <c r="D2020" s="18" t="s">
        <v>2843</v>
      </c>
      <c r="E2020" s="10">
        <v>2012</v>
      </c>
      <c r="F2020" s="36" t="str" cm="1">
        <f t="array" ref="F2020">_xlfn.XLOOKUP(D2020&amp;C2020, Sheet3!$C$2:$C$1224&amp;Sheet3!$B$2:$B$1224, Sheet3!$D$2:$D$1224, "")</f>
        <v/>
      </c>
      <c r="G2020" s="1" t="str" cm="1">
        <f t="array" ref="G2020">_xlfn.XLOOKUP(D2020&amp;C2020, Sheet2!$A$2:$A$558&amp;Sheet2!$B$2:$B$558, Sheet2!$C$2:$C$558, "")</f>
        <v/>
      </c>
      <c r="H2020" s="40" t="str">
        <f t="shared" si="31"/>
        <v/>
      </c>
    </row>
    <row r="2021" spans="1:8" ht="15.5" x14ac:dyDescent="0.35">
      <c r="A2021" s="7">
        <v>2020</v>
      </c>
      <c r="B2021" s="10">
        <v>34616</v>
      </c>
      <c r="C2021" s="13" t="s">
        <v>3012</v>
      </c>
      <c r="D2021" s="10" t="s">
        <v>2844</v>
      </c>
      <c r="E2021" s="10">
        <v>2013</v>
      </c>
      <c r="F2021" s="36" t="str" cm="1">
        <f t="array" ref="F2021">_xlfn.XLOOKUP(D2021&amp;C2021, Sheet3!$C$2:$C$1224&amp;Sheet3!$B$2:$B$1224, Sheet3!$D$2:$D$1224, "")</f>
        <v/>
      </c>
      <c r="G2021" s="1" t="str" cm="1">
        <f t="array" ref="G2021">_xlfn.XLOOKUP(D2021&amp;C2021, Sheet2!$A$2:$A$558&amp;Sheet2!$B$2:$B$558, Sheet2!$C$2:$C$558, "")</f>
        <v/>
      </c>
      <c r="H2021" s="40" t="str">
        <f t="shared" si="31"/>
        <v/>
      </c>
    </row>
    <row r="2022" spans="1:8" ht="15.5" x14ac:dyDescent="0.35">
      <c r="A2022" s="7">
        <v>2021</v>
      </c>
      <c r="B2022" s="10">
        <v>34192</v>
      </c>
      <c r="C2022" s="13" t="s">
        <v>3013</v>
      </c>
      <c r="D2022" s="10" t="s">
        <v>2844</v>
      </c>
      <c r="E2022" s="10">
        <v>2013</v>
      </c>
      <c r="F2022" s="36" t="str" cm="1">
        <f t="array" ref="F2022">_xlfn.XLOOKUP(D2022&amp;C2022, Sheet3!$C$2:$C$1224&amp;Sheet3!$B$2:$B$1224, Sheet3!$D$2:$D$1224, "")</f>
        <v/>
      </c>
      <c r="G2022" s="1" t="str" cm="1">
        <f t="array" ref="G2022">_xlfn.XLOOKUP(D2022&amp;C2022, Sheet2!$A$2:$A$558&amp;Sheet2!$B$2:$B$558, Sheet2!$C$2:$C$558, "")</f>
        <v/>
      </c>
      <c r="H2022" s="40" t="str">
        <f t="shared" si="31"/>
        <v/>
      </c>
    </row>
    <row r="2023" spans="1:8" ht="15.5" x14ac:dyDescent="0.35">
      <c r="A2023" s="7">
        <v>2022</v>
      </c>
      <c r="B2023" s="10">
        <v>34223</v>
      </c>
      <c r="C2023" s="13" t="s">
        <v>3014</v>
      </c>
      <c r="D2023" s="10" t="s">
        <v>2844</v>
      </c>
      <c r="E2023" s="10">
        <v>2013</v>
      </c>
      <c r="F2023" s="36" t="str" cm="1">
        <f t="array" ref="F2023">_xlfn.XLOOKUP(D2023&amp;C2023, Sheet3!$C$2:$C$1224&amp;Sheet3!$B$2:$B$1224, Sheet3!$D$2:$D$1224, "")</f>
        <v/>
      </c>
      <c r="G2023" s="1" t="str" cm="1">
        <f t="array" ref="G2023">_xlfn.XLOOKUP(D2023&amp;C2023, Sheet2!$A$2:$A$558&amp;Sheet2!$B$2:$B$558, Sheet2!$C$2:$C$558, "")</f>
        <v/>
      </c>
      <c r="H2023" s="40" t="str">
        <f t="shared" si="31"/>
        <v/>
      </c>
    </row>
    <row r="2024" spans="1:8" ht="15.5" x14ac:dyDescent="0.35">
      <c r="A2024" s="7">
        <v>2023</v>
      </c>
      <c r="B2024" s="17">
        <v>33966</v>
      </c>
      <c r="C2024" s="13" t="s">
        <v>3015</v>
      </c>
      <c r="D2024" s="17" t="s">
        <v>2844</v>
      </c>
      <c r="E2024" s="10">
        <v>2013</v>
      </c>
      <c r="F2024" s="36" t="str" cm="1">
        <f t="array" ref="F2024">_xlfn.XLOOKUP(D2024&amp;C2024, Sheet3!$C$2:$C$1224&amp;Sheet3!$B$2:$B$1224, Sheet3!$D$2:$D$1224, "")</f>
        <v/>
      </c>
      <c r="G2024" s="1" t="str" cm="1">
        <f t="array" ref="G2024">_xlfn.XLOOKUP(D2024&amp;C2024, Sheet2!$A$2:$A$558&amp;Sheet2!$B$2:$B$558, Sheet2!$C$2:$C$558, "")</f>
        <v/>
      </c>
      <c r="H2024" s="40" t="str">
        <f t="shared" si="31"/>
        <v/>
      </c>
    </row>
    <row r="2025" spans="1:8" ht="15.5" x14ac:dyDescent="0.35">
      <c r="A2025" s="7">
        <v>2024</v>
      </c>
      <c r="B2025" s="10">
        <v>34067</v>
      </c>
      <c r="C2025" s="13" t="s">
        <v>3016</v>
      </c>
      <c r="D2025" s="10" t="s">
        <v>2844</v>
      </c>
      <c r="E2025" s="10">
        <v>2013</v>
      </c>
      <c r="F2025" s="36" t="str" cm="1">
        <f t="array" ref="F2025">_xlfn.XLOOKUP(D2025&amp;C2025, Sheet3!$C$2:$C$1224&amp;Sheet3!$B$2:$B$1224, Sheet3!$D$2:$D$1224, "")</f>
        <v/>
      </c>
      <c r="G2025" s="1" t="str" cm="1">
        <f t="array" ref="G2025">_xlfn.XLOOKUP(D2025&amp;C2025, Sheet2!$A$2:$A$558&amp;Sheet2!$B$2:$B$558, Sheet2!$C$2:$C$558, "")</f>
        <v/>
      </c>
      <c r="H2025" s="40" t="str">
        <f t="shared" si="31"/>
        <v/>
      </c>
    </row>
    <row r="2026" spans="1:8" ht="15.5" x14ac:dyDescent="0.35">
      <c r="A2026" s="7">
        <v>2025</v>
      </c>
      <c r="B2026" s="10">
        <v>33992</v>
      </c>
      <c r="C2026" s="13" t="s">
        <v>3017</v>
      </c>
      <c r="D2026" s="10" t="s">
        <v>2844</v>
      </c>
      <c r="E2026" s="10">
        <v>2013</v>
      </c>
      <c r="F2026" s="36" t="str" cm="1">
        <f t="array" ref="F2026">_xlfn.XLOOKUP(D2026&amp;C2026, Sheet3!$C$2:$C$1224&amp;Sheet3!$B$2:$B$1224, Sheet3!$D$2:$D$1224, "")</f>
        <v/>
      </c>
      <c r="G2026" s="1" t="str" cm="1">
        <f t="array" ref="G2026">_xlfn.XLOOKUP(D2026&amp;C2026, Sheet2!$A$2:$A$558&amp;Sheet2!$B$2:$B$558, Sheet2!$C$2:$C$558, "")</f>
        <v>nadya.oktaviani@gmail.com</v>
      </c>
      <c r="H2026" s="40" t="str">
        <f t="shared" si="31"/>
        <v>nadya.oktaviani@gmail.com</v>
      </c>
    </row>
    <row r="2027" spans="1:8" ht="15.5" x14ac:dyDescent="0.35">
      <c r="A2027" s="7">
        <v>2026</v>
      </c>
      <c r="B2027" s="10">
        <v>34571</v>
      </c>
      <c r="C2027" s="13" t="s">
        <v>3018</v>
      </c>
      <c r="D2027" s="10" t="s">
        <v>2844</v>
      </c>
      <c r="E2027" s="10">
        <v>2013</v>
      </c>
      <c r="F2027" s="36" t="str" cm="1">
        <f t="array" ref="F2027">_xlfn.XLOOKUP(D2027&amp;C2027, Sheet3!$C$2:$C$1224&amp;Sheet3!$B$2:$B$1224, Sheet3!$D$2:$D$1224, "")</f>
        <v/>
      </c>
      <c r="G2027" s="1" t="str" cm="1">
        <f t="array" ref="G2027">_xlfn.XLOOKUP(D2027&amp;C2027, Sheet2!$A$2:$A$558&amp;Sheet2!$B$2:$B$558, Sheet2!$C$2:$C$558, "")</f>
        <v/>
      </c>
      <c r="H2027" s="40" t="str">
        <f t="shared" si="31"/>
        <v/>
      </c>
    </row>
    <row r="2028" spans="1:8" ht="15.5" x14ac:dyDescent="0.35">
      <c r="A2028" s="7">
        <v>2027</v>
      </c>
      <c r="B2028" s="10">
        <v>34182</v>
      </c>
      <c r="C2028" s="13" t="s">
        <v>3019</v>
      </c>
      <c r="D2028" s="10" t="s">
        <v>2844</v>
      </c>
      <c r="E2028" s="10">
        <v>2013</v>
      </c>
      <c r="F2028" s="36" t="str" cm="1">
        <f t="array" ref="F2028">_xlfn.XLOOKUP(D2028&amp;C2028, Sheet3!$C$2:$C$1224&amp;Sheet3!$B$2:$B$1224, Sheet3!$D$2:$D$1224, "")</f>
        <v>kuncoro.andrie@gmail.com</v>
      </c>
      <c r="G2028" s="1" t="str" cm="1">
        <f t="array" ref="G2028">_xlfn.XLOOKUP(D2028&amp;C2028, Sheet2!$A$2:$A$558&amp;Sheet2!$B$2:$B$558, Sheet2!$C$2:$C$558, "")</f>
        <v>kuncoro.andrie@gmail.com</v>
      </c>
      <c r="H2028" s="40" t="str">
        <f t="shared" si="31"/>
        <v>kuncoro.andrie@gmail.com</v>
      </c>
    </row>
    <row r="2029" spans="1:8" ht="15.5" x14ac:dyDescent="0.35">
      <c r="A2029" s="7">
        <v>2028</v>
      </c>
      <c r="B2029" s="10">
        <v>34549</v>
      </c>
      <c r="C2029" s="13" t="s">
        <v>3020</v>
      </c>
      <c r="D2029" s="10" t="s">
        <v>2844</v>
      </c>
      <c r="E2029" s="10">
        <v>2013</v>
      </c>
      <c r="F2029" s="36" t="str" cm="1">
        <f t="array" ref="F2029">_xlfn.XLOOKUP(D2029&amp;C2029, Sheet3!$C$2:$C$1224&amp;Sheet3!$B$2:$B$1224, Sheet3!$D$2:$D$1224, "")</f>
        <v/>
      </c>
      <c r="G2029" s="1" t="str" cm="1">
        <f t="array" ref="G2029">_xlfn.XLOOKUP(D2029&amp;C2029, Sheet2!$A$2:$A$558&amp;Sheet2!$B$2:$B$558, Sheet2!$C$2:$C$558, "")</f>
        <v/>
      </c>
      <c r="H2029" s="40" t="str">
        <f t="shared" si="31"/>
        <v/>
      </c>
    </row>
    <row r="2030" spans="1:8" ht="15.5" x14ac:dyDescent="0.35">
      <c r="A2030" s="7">
        <v>2029</v>
      </c>
      <c r="B2030" s="10">
        <v>34353</v>
      </c>
      <c r="C2030" s="13" t="s">
        <v>3021</v>
      </c>
      <c r="D2030" s="10" t="s">
        <v>2844</v>
      </c>
      <c r="E2030" s="10">
        <v>2013</v>
      </c>
      <c r="F2030" s="36" t="str" cm="1">
        <f t="array" ref="F2030">_xlfn.XLOOKUP(D2030&amp;C2030, Sheet3!$C$2:$C$1224&amp;Sheet3!$B$2:$B$1224, Sheet3!$D$2:$D$1224, "")</f>
        <v/>
      </c>
      <c r="G2030" s="1" t="str" cm="1">
        <f t="array" ref="G2030">_xlfn.XLOOKUP(D2030&amp;C2030, Sheet2!$A$2:$A$558&amp;Sheet2!$B$2:$B$558, Sheet2!$C$2:$C$558, "")</f>
        <v/>
      </c>
      <c r="H2030" s="40" t="str">
        <f t="shared" si="31"/>
        <v/>
      </c>
    </row>
    <row r="2031" spans="1:8" ht="15.5" x14ac:dyDescent="0.35">
      <c r="A2031" s="7">
        <v>2030</v>
      </c>
      <c r="B2031" s="10">
        <v>34126</v>
      </c>
      <c r="C2031" s="13" t="s">
        <v>3022</v>
      </c>
      <c r="D2031" s="10" t="s">
        <v>2844</v>
      </c>
      <c r="E2031" s="10">
        <v>2013</v>
      </c>
      <c r="F2031" s="36" t="str" cm="1">
        <f t="array" ref="F2031">_xlfn.XLOOKUP(D2031&amp;C2031, Sheet3!$C$2:$C$1224&amp;Sheet3!$B$2:$B$1224, Sheet3!$D$2:$D$1224, "")</f>
        <v/>
      </c>
      <c r="G2031" s="1" t="str" cm="1">
        <f t="array" ref="G2031">_xlfn.XLOOKUP(D2031&amp;C2031, Sheet2!$A$2:$A$558&amp;Sheet2!$B$2:$B$558, Sheet2!$C$2:$C$558, "")</f>
        <v>musaviaeva@gmail.com</v>
      </c>
      <c r="H2031" s="40" t="str">
        <f t="shared" si="31"/>
        <v>musaviaeva@gmail.com</v>
      </c>
    </row>
    <row r="2032" spans="1:8" ht="15.5" x14ac:dyDescent="0.35">
      <c r="A2032" s="7">
        <v>2031</v>
      </c>
      <c r="B2032" s="10">
        <v>34496</v>
      </c>
      <c r="C2032" s="13" t="s">
        <v>3023</v>
      </c>
      <c r="D2032" s="10" t="s">
        <v>2844</v>
      </c>
      <c r="E2032" s="10">
        <v>2013</v>
      </c>
      <c r="F2032" s="36" t="str" cm="1">
        <f t="array" ref="F2032">_xlfn.XLOOKUP(D2032&amp;C2032, Sheet3!$C$2:$C$1224&amp;Sheet3!$B$2:$B$1224, Sheet3!$D$2:$D$1224, "")</f>
        <v/>
      </c>
      <c r="G2032" s="1" t="str" cm="1">
        <f t="array" ref="G2032">_xlfn.XLOOKUP(D2032&amp;C2032, Sheet2!$A$2:$A$558&amp;Sheet2!$B$2:$B$558, Sheet2!$C$2:$C$558, "")</f>
        <v/>
      </c>
      <c r="H2032" s="40" t="str">
        <f t="shared" si="31"/>
        <v/>
      </c>
    </row>
    <row r="2033" spans="1:8" ht="15.5" x14ac:dyDescent="0.35">
      <c r="A2033" s="7">
        <v>2032</v>
      </c>
      <c r="B2033" s="10">
        <v>34109</v>
      </c>
      <c r="C2033" s="13" t="s">
        <v>3024</v>
      </c>
      <c r="D2033" s="10" t="s">
        <v>2844</v>
      </c>
      <c r="E2033" s="10">
        <v>2013</v>
      </c>
      <c r="F2033" s="36" t="str" cm="1">
        <f t="array" ref="F2033">_xlfn.XLOOKUP(D2033&amp;C2033, Sheet3!$C$2:$C$1224&amp;Sheet3!$B$2:$B$1224, Sheet3!$D$2:$D$1224, "")</f>
        <v/>
      </c>
      <c r="G2033" s="1" t="str" cm="1">
        <f t="array" ref="G2033">_xlfn.XLOOKUP(D2033&amp;C2033, Sheet2!$A$2:$A$558&amp;Sheet2!$B$2:$B$558, Sheet2!$C$2:$C$558, "")</f>
        <v/>
      </c>
      <c r="H2033" s="40" t="str">
        <f t="shared" si="31"/>
        <v/>
      </c>
    </row>
    <row r="2034" spans="1:8" ht="15.5" x14ac:dyDescent="0.35">
      <c r="A2034" s="7">
        <v>2033</v>
      </c>
      <c r="B2034" s="10">
        <v>31679</v>
      </c>
      <c r="C2034" s="13" t="s">
        <v>3025</v>
      </c>
      <c r="D2034" s="10" t="s">
        <v>2842</v>
      </c>
      <c r="E2034" s="10">
        <v>2013</v>
      </c>
      <c r="F2034" s="36" t="str" cm="1">
        <f t="array" ref="F2034">_xlfn.XLOOKUP(D2034&amp;C2034, Sheet3!$C$2:$C$1224&amp;Sheet3!$B$2:$B$1224, Sheet3!$D$2:$D$1224, "")</f>
        <v>ctrardi@gmail.com</v>
      </c>
      <c r="G2034" s="1" t="str" cm="1">
        <f t="array" ref="G2034">_xlfn.XLOOKUP(D2034&amp;C2034, Sheet2!$A$2:$A$558&amp;Sheet2!$B$2:$B$558, Sheet2!$C$2:$C$558, "")</f>
        <v/>
      </c>
      <c r="H2034" s="40" t="str">
        <f t="shared" si="31"/>
        <v>ctrardi@gmail.com</v>
      </c>
    </row>
    <row r="2035" spans="1:8" ht="15.5" x14ac:dyDescent="0.35">
      <c r="A2035" s="7">
        <v>2034</v>
      </c>
      <c r="B2035" s="10">
        <v>32203</v>
      </c>
      <c r="C2035" s="13" t="s">
        <v>3026</v>
      </c>
      <c r="D2035" s="10" t="s">
        <v>2842</v>
      </c>
      <c r="E2035" s="10">
        <v>2013</v>
      </c>
      <c r="F2035" s="36" t="str" cm="1">
        <f t="array" ref="F2035">_xlfn.XLOOKUP(D2035&amp;C2035, Sheet3!$C$2:$C$1224&amp;Sheet3!$B$2:$B$1224, Sheet3!$D$2:$D$1224, "")</f>
        <v>luthvia@gmail.com</v>
      </c>
      <c r="G2035" s="1" t="str" cm="1">
        <f t="array" ref="G2035">_xlfn.XLOOKUP(D2035&amp;C2035, Sheet2!$A$2:$A$558&amp;Sheet2!$B$2:$B$558, Sheet2!$C$2:$C$558, "")</f>
        <v/>
      </c>
      <c r="H2035" s="40" t="str">
        <f t="shared" si="31"/>
        <v>luthvia@gmail.com</v>
      </c>
    </row>
    <row r="2036" spans="1:8" ht="15.5" x14ac:dyDescent="0.35">
      <c r="A2036" s="7">
        <v>2035</v>
      </c>
      <c r="B2036" s="10">
        <v>34427</v>
      </c>
      <c r="C2036" s="13" t="s">
        <v>3027</v>
      </c>
      <c r="D2036" s="10" t="s">
        <v>2844</v>
      </c>
      <c r="E2036" s="10">
        <v>2013</v>
      </c>
      <c r="F2036" s="36" t="str" cm="1">
        <f t="array" ref="F2036">_xlfn.XLOOKUP(D2036&amp;C2036, Sheet3!$C$2:$C$1224&amp;Sheet3!$B$2:$B$1224, Sheet3!$D$2:$D$1224, "")</f>
        <v/>
      </c>
      <c r="G2036" s="1" t="str" cm="1">
        <f t="array" ref="G2036">_xlfn.XLOOKUP(D2036&amp;C2036, Sheet2!$A$2:$A$558&amp;Sheet2!$B$2:$B$558, Sheet2!$C$2:$C$558, "")</f>
        <v>heruningtyasdp@gmail.com</v>
      </c>
      <c r="H2036" s="40" t="str">
        <f t="shared" si="31"/>
        <v>heruningtyasdp@gmail.com</v>
      </c>
    </row>
    <row r="2037" spans="1:8" ht="15.5" x14ac:dyDescent="0.35">
      <c r="A2037" s="7">
        <v>2036</v>
      </c>
      <c r="B2037" s="10">
        <v>34475</v>
      </c>
      <c r="C2037" s="13" t="s">
        <v>3028</v>
      </c>
      <c r="D2037" s="10" t="s">
        <v>2844</v>
      </c>
      <c r="E2037" s="10">
        <v>2013</v>
      </c>
      <c r="F2037" s="36" t="str" cm="1">
        <f t="array" ref="F2037">_xlfn.XLOOKUP(D2037&amp;C2037, Sheet3!$C$2:$C$1224&amp;Sheet3!$B$2:$B$1224, Sheet3!$D$2:$D$1224, "")</f>
        <v/>
      </c>
      <c r="G2037" s="1" t="str" cm="1">
        <f t="array" ref="G2037">_xlfn.XLOOKUP(D2037&amp;C2037, Sheet2!$A$2:$A$558&amp;Sheet2!$B$2:$B$558, Sheet2!$C$2:$C$558, "")</f>
        <v/>
      </c>
      <c r="H2037" s="40" t="str">
        <f t="shared" si="31"/>
        <v/>
      </c>
    </row>
    <row r="2038" spans="1:8" ht="15.5" x14ac:dyDescent="0.35">
      <c r="A2038" s="7">
        <v>2037</v>
      </c>
      <c r="B2038" s="10">
        <v>34486</v>
      </c>
      <c r="C2038" s="13" t="s">
        <v>3029</v>
      </c>
      <c r="D2038" s="10" t="s">
        <v>2844</v>
      </c>
      <c r="E2038" s="10">
        <v>2013</v>
      </c>
      <c r="F2038" s="36" t="str" cm="1">
        <f t="array" ref="F2038">_xlfn.XLOOKUP(D2038&amp;C2038, Sheet3!$C$2:$C$1224&amp;Sheet3!$B$2:$B$1224, Sheet3!$D$2:$D$1224, "")</f>
        <v>arifprih@gmail.com</v>
      </c>
      <c r="G2038" s="1" t="str" cm="1">
        <f t="array" ref="G2038">_xlfn.XLOOKUP(D2038&amp;C2038, Sheet2!$A$2:$A$558&amp;Sheet2!$B$2:$B$558, Sheet2!$C$2:$C$558, "")</f>
        <v/>
      </c>
      <c r="H2038" s="40" t="str">
        <f t="shared" si="31"/>
        <v>arifprih@gmail.com</v>
      </c>
    </row>
    <row r="2039" spans="1:8" ht="15.5" x14ac:dyDescent="0.35">
      <c r="A2039" s="7">
        <v>2038</v>
      </c>
      <c r="B2039" s="10">
        <v>34409</v>
      </c>
      <c r="C2039" s="13" t="s">
        <v>3030</v>
      </c>
      <c r="D2039" s="10" t="s">
        <v>2844</v>
      </c>
      <c r="E2039" s="10">
        <v>2013</v>
      </c>
      <c r="F2039" s="36" t="str" cm="1">
        <f t="array" ref="F2039">_xlfn.XLOOKUP(D2039&amp;C2039, Sheet3!$C$2:$C$1224&amp;Sheet3!$B$2:$B$1224, Sheet3!$D$2:$D$1224, "")</f>
        <v/>
      </c>
      <c r="G2039" s="1" t="str" cm="1">
        <f t="array" ref="G2039">_xlfn.XLOOKUP(D2039&amp;C2039, Sheet2!$A$2:$A$558&amp;Sheet2!$B$2:$B$558, Sheet2!$C$2:$C$558, "")</f>
        <v/>
      </c>
      <c r="H2039" s="40" t="str">
        <f t="shared" si="31"/>
        <v/>
      </c>
    </row>
    <row r="2040" spans="1:8" ht="15.5" x14ac:dyDescent="0.35">
      <c r="A2040" s="7">
        <v>2039</v>
      </c>
      <c r="B2040" s="10">
        <v>32924</v>
      </c>
      <c r="C2040" s="13" t="s">
        <v>3031</v>
      </c>
      <c r="D2040" s="10" t="s">
        <v>2843</v>
      </c>
      <c r="E2040" s="10">
        <v>2013</v>
      </c>
      <c r="F2040" s="36" t="str" cm="1">
        <f t="array" ref="F2040">_xlfn.XLOOKUP(D2040&amp;C2040, Sheet3!$C$2:$C$1224&amp;Sheet3!$B$2:$B$1224, Sheet3!$D$2:$D$1224, "")</f>
        <v/>
      </c>
      <c r="G2040" s="1" t="str" cm="1">
        <f t="array" ref="G2040">_xlfn.XLOOKUP(D2040&amp;C2040, Sheet2!$A$2:$A$558&amp;Sheet2!$B$2:$B$558, Sheet2!$C$2:$C$558, "")</f>
        <v/>
      </c>
      <c r="H2040" s="40" t="str">
        <f t="shared" si="31"/>
        <v/>
      </c>
    </row>
    <row r="2041" spans="1:8" ht="15.5" x14ac:dyDescent="0.35">
      <c r="A2041" s="7">
        <v>2040</v>
      </c>
      <c r="B2041" s="10">
        <v>33318</v>
      </c>
      <c r="C2041" s="13" t="s">
        <v>3032</v>
      </c>
      <c r="D2041" s="10" t="s">
        <v>2843</v>
      </c>
      <c r="E2041" s="10">
        <v>2013</v>
      </c>
      <c r="F2041" s="36" t="str" cm="1">
        <f t="array" ref="F2041">_xlfn.XLOOKUP(D2041&amp;C2041, Sheet3!$C$2:$C$1224&amp;Sheet3!$B$2:$B$1224, Sheet3!$D$2:$D$1224, "")</f>
        <v/>
      </c>
      <c r="G2041" s="1" t="str" cm="1">
        <f t="array" ref="G2041">_xlfn.XLOOKUP(D2041&amp;C2041, Sheet2!$A$2:$A$558&amp;Sheet2!$B$2:$B$558, Sheet2!$C$2:$C$558, "")</f>
        <v/>
      </c>
      <c r="H2041" s="40" t="str">
        <f t="shared" si="31"/>
        <v/>
      </c>
    </row>
    <row r="2042" spans="1:8" ht="15.5" x14ac:dyDescent="0.35">
      <c r="A2042" s="7">
        <v>2041</v>
      </c>
      <c r="B2042" s="10">
        <v>32245</v>
      </c>
      <c r="C2042" s="13" t="s">
        <v>3033</v>
      </c>
      <c r="D2042" s="10" t="s">
        <v>2842</v>
      </c>
      <c r="E2042" s="10">
        <v>2013</v>
      </c>
      <c r="F2042" s="36" t="str" cm="1">
        <f t="array" ref="F2042">_xlfn.XLOOKUP(D2042&amp;C2042, Sheet3!$C$2:$C$1224&amp;Sheet3!$B$2:$B$1224, Sheet3!$D$2:$D$1224, "")</f>
        <v/>
      </c>
      <c r="G2042" s="1" t="str" cm="1">
        <f t="array" ref="G2042">_xlfn.XLOOKUP(D2042&amp;C2042, Sheet2!$A$2:$A$558&amp;Sheet2!$B$2:$B$558, Sheet2!$C$2:$C$558, "")</f>
        <v/>
      </c>
      <c r="H2042" s="40" t="str">
        <f t="shared" si="31"/>
        <v/>
      </c>
    </row>
    <row r="2043" spans="1:8" ht="15.5" x14ac:dyDescent="0.35">
      <c r="A2043" s="7">
        <v>2042</v>
      </c>
      <c r="B2043" s="10">
        <v>33105</v>
      </c>
      <c r="C2043" s="13" t="s">
        <v>3034</v>
      </c>
      <c r="D2043" s="10" t="s">
        <v>2843</v>
      </c>
      <c r="E2043" s="10">
        <v>2013</v>
      </c>
      <c r="F2043" s="36" t="str" cm="1">
        <f t="array" ref="F2043">_xlfn.XLOOKUP(D2043&amp;C2043, Sheet3!$C$2:$C$1224&amp;Sheet3!$B$2:$B$1224, Sheet3!$D$2:$D$1224, "")</f>
        <v>nasbachtiar@gmail.com</v>
      </c>
      <c r="G2043" s="1" t="str" cm="1">
        <f t="array" ref="G2043">_xlfn.XLOOKUP(D2043&amp;C2043, Sheet2!$A$2:$A$558&amp;Sheet2!$B$2:$B$558, Sheet2!$C$2:$C$558, "")</f>
        <v/>
      </c>
      <c r="H2043" s="40" t="str">
        <f t="shared" si="31"/>
        <v>nasbachtiar@gmail.com</v>
      </c>
    </row>
    <row r="2044" spans="1:8" ht="15.5" x14ac:dyDescent="0.35">
      <c r="A2044" s="7">
        <v>2043</v>
      </c>
      <c r="B2044" s="17">
        <v>34445</v>
      </c>
      <c r="C2044" s="13" t="s">
        <v>1846</v>
      </c>
      <c r="D2044" s="17" t="s">
        <v>2844</v>
      </c>
      <c r="E2044" s="10">
        <v>2013</v>
      </c>
      <c r="F2044" s="36" t="str" cm="1">
        <f t="array" ref="F2044">_xlfn.XLOOKUP(D2044&amp;C2044, Sheet3!$C$2:$C$1224&amp;Sheet3!$B$2:$B$1224, Sheet3!$D$2:$D$1224, "")</f>
        <v>Wietamartiane@gmail.com</v>
      </c>
      <c r="G2044" s="1" t="str" cm="1">
        <f t="array" ref="G2044">_xlfn.XLOOKUP(D2044&amp;C2044, Sheet2!$A$2:$A$558&amp;Sheet2!$B$2:$B$558, Sheet2!$C$2:$C$558, "")</f>
        <v/>
      </c>
      <c r="H2044" s="40" t="str">
        <f t="shared" si="31"/>
        <v>Wietamartiane@gmail.com</v>
      </c>
    </row>
    <row r="2045" spans="1:8" ht="15.5" x14ac:dyDescent="0.35">
      <c r="A2045" s="7">
        <v>2044</v>
      </c>
      <c r="B2045" s="17">
        <v>34303</v>
      </c>
      <c r="C2045" s="13" t="s">
        <v>1847</v>
      </c>
      <c r="D2045" s="17" t="s">
        <v>2844</v>
      </c>
      <c r="E2045" s="10">
        <v>2013</v>
      </c>
      <c r="F2045" s="36" t="str" cm="1">
        <f t="array" ref="F2045">_xlfn.XLOOKUP(D2045&amp;C2045, Sheet3!$C$2:$C$1224&amp;Sheet3!$B$2:$B$1224, Sheet3!$D$2:$D$1224, "")</f>
        <v/>
      </c>
      <c r="G2045" s="1" t="str" cm="1">
        <f t="array" ref="G2045">_xlfn.XLOOKUP(D2045&amp;C2045, Sheet2!$A$2:$A$558&amp;Sheet2!$B$2:$B$558, Sheet2!$C$2:$C$558, "")</f>
        <v>anggun.pbr@gmail.com</v>
      </c>
      <c r="H2045" s="40" t="str">
        <f t="shared" si="31"/>
        <v>anggun.pbr@gmail.com</v>
      </c>
    </row>
    <row r="2046" spans="1:8" ht="15.5" x14ac:dyDescent="0.35">
      <c r="A2046" s="7">
        <v>2045</v>
      </c>
      <c r="B2046" s="17">
        <v>34025</v>
      </c>
      <c r="C2046" s="13" t="s">
        <v>1848</v>
      </c>
      <c r="D2046" s="17" t="s">
        <v>2844</v>
      </c>
      <c r="E2046" s="10">
        <v>2013</v>
      </c>
      <c r="F2046" s="36" t="str" cm="1">
        <f t="array" ref="F2046">_xlfn.XLOOKUP(D2046&amp;C2046, Sheet3!$C$2:$C$1224&amp;Sheet3!$B$2:$B$1224, Sheet3!$D$2:$D$1224, "")</f>
        <v/>
      </c>
      <c r="G2046" s="1" t="str" cm="1">
        <f t="array" ref="G2046">_xlfn.XLOOKUP(D2046&amp;C2046, Sheet2!$A$2:$A$558&amp;Sheet2!$B$2:$B$558, Sheet2!$C$2:$C$558, "")</f>
        <v/>
      </c>
      <c r="H2046" s="40" t="str">
        <f t="shared" si="31"/>
        <v/>
      </c>
    </row>
    <row r="2047" spans="1:8" ht="15.5" x14ac:dyDescent="0.35">
      <c r="A2047" s="7">
        <v>2046</v>
      </c>
      <c r="B2047" s="17">
        <v>34395</v>
      </c>
      <c r="C2047" s="13" t="s">
        <v>1849</v>
      </c>
      <c r="D2047" s="17" t="s">
        <v>2844</v>
      </c>
      <c r="E2047" s="10">
        <v>2013</v>
      </c>
      <c r="F2047" s="36" t="str" cm="1">
        <f t="array" ref="F2047">_xlfn.XLOOKUP(D2047&amp;C2047, Sheet3!$C$2:$C$1224&amp;Sheet3!$B$2:$B$1224, Sheet3!$D$2:$D$1224, "")</f>
        <v/>
      </c>
      <c r="G2047" s="1" t="str" cm="1">
        <f t="array" ref="G2047">_xlfn.XLOOKUP(D2047&amp;C2047, Sheet2!$A$2:$A$558&amp;Sheet2!$B$2:$B$558, Sheet2!$C$2:$C$558, "")</f>
        <v>faizkarmani.ltl@gmail.com</v>
      </c>
      <c r="H2047" s="40" t="str">
        <f t="shared" si="31"/>
        <v>faizkarmani.ltl@gmail.com</v>
      </c>
    </row>
    <row r="2048" spans="1:8" ht="15.5" x14ac:dyDescent="0.35">
      <c r="A2048" s="7">
        <v>2047</v>
      </c>
      <c r="B2048" s="17">
        <v>34392</v>
      </c>
      <c r="C2048" s="13" t="s">
        <v>1850</v>
      </c>
      <c r="D2048" s="17" t="s">
        <v>2844</v>
      </c>
      <c r="E2048" s="10">
        <v>2013</v>
      </c>
      <c r="F2048" s="36" t="str" cm="1">
        <f t="array" ref="F2048">_xlfn.XLOOKUP(D2048&amp;C2048, Sheet3!$C$2:$C$1224&amp;Sheet3!$B$2:$B$1224, Sheet3!$D$2:$D$1224, "")</f>
        <v/>
      </c>
      <c r="G2048" s="1" t="str" cm="1">
        <f t="array" ref="G2048">_xlfn.XLOOKUP(D2048&amp;C2048, Sheet2!$A$2:$A$558&amp;Sheet2!$B$2:$B$558, Sheet2!$C$2:$C$558, "")</f>
        <v/>
      </c>
      <c r="H2048" s="40" t="str">
        <f t="shared" si="31"/>
        <v/>
      </c>
    </row>
    <row r="2049" spans="1:8" ht="15.5" x14ac:dyDescent="0.35">
      <c r="A2049" s="7">
        <v>2048</v>
      </c>
      <c r="B2049" s="17">
        <v>32923</v>
      </c>
      <c r="C2049" s="13" t="s">
        <v>1851</v>
      </c>
      <c r="D2049" s="17" t="s">
        <v>2843</v>
      </c>
      <c r="E2049" s="10">
        <v>2013</v>
      </c>
      <c r="F2049" s="36" t="str" cm="1">
        <f t="array" ref="F2049">_xlfn.XLOOKUP(D2049&amp;C2049, Sheet3!$C$2:$C$1224&amp;Sheet3!$B$2:$B$1224, Sheet3!$D$2:$D$1224, "")</f>
        <v/>
      </c>
      <c r="G2049" s="1" t="str" cm="1">
        <f t="array" ref="G2049">_xlfn.XLOOKUP(D2049&amp;C2049, Sheet2!$A$2:$A$558&amp;Sheet2!$B$2:$B$558, Sheet2!$C$2:$C$558, "")</f>
        <v/>
      </c>
      <c r="H2049" s="40" t="str">
        <f t="shared" si="31"/>
        <v/>
      </c>
    </row>
    <row r="2050" spans="1:8" ht="15.5" x14ac:dyDescent="0.35">
      <c r="A2050" s="7">
        <v>2049</v>
      </c>
      <c r="B2050" s="17">
        <v>32720</v>
      </c>
      <c r="C2050" s="13" t="s">
        <v>1852</v>
      </c>
      <c r="D2050" s="17" t="s">
        <v>2843</v>
      </c>
      <c r="E2050" s="10">
        <v>2013</v>
      </c>
      <c r="F2050" s="36" t="str" cm="1">
        <f t="array" ref="F2050">_xlfn.XLOOKUP(D2050&amp;C2050, Sheet3!$C$2:$C$1224&amp;Sheet3!$B$2:$B$1224, Sheet3!$D$2:$D$1224, "")</f>
        <v/>
      </c>
      <c r="G2050" s="1" t="str" cm="1">
        <f t="array" ref="G2050">_xlfn.XLOOKUP(D2050&amp;C2050, Sheet2!$A$2:$A$558&amp;Sheet2!$B$2:$B$558, Sheet2!$C$2:$C$558, "")</f>
        <v/>
      </c>
      <c r="H2050" s="40" t="str">
        <f t="shared" si="31"/>
        <v/>
      </c>
    </row>
    <row r="2051" spans="1:8" ht="15.5" x14ac:dyDescent="0.35">
      <c r="A2051" s="7">
        <v>2050</v>
      </c>
      <c r="B2051" s="17">
        <v>34313</v>
      </c>
      <c r="C2051" s="13" t="s">
        <v>1853</v>
      </c>
      <c r="D2051" s="17" t="s">
        <v>2844</v>
      </c>
      <c r="E2051" s="10">
        <v>2013</v>
      </c>
      <c r="F2051" s="36" t="str" cm="1">
        <f t="array" ref="F2051">_xlfn.XLOOKUP(D2051&amp;C2051, Sheet3!$C$2:$C$1224&amp;Sheet3!$B$2:$B$1224, Sheet3!$D$2:$D$1224, "")</f>
        <v>martein.adigana@gmail.com</v>
      </c>
      <c r="G2051" s="1" t="str" cm="1">
        <f t="array" ref="G2051">_xlfn.XLOOKUP(D2051&amp;C2051, Sheet2!$A$2:$A$558&amp;Sheet2!$B$2:$B$558, Sheet2!$C$2:$C$558, "")</f>
        <v>martein.adigana@gmail.com</v>
      </c>
      <c r="H2051" s="40" t="str">
        <f t="shared" ref="H2051:H2114" si="32">IF(F2051&lt;&gt;"",F2051,G2051)</f>
        <v>martein.adigana@gmail.com</v>
      </c>
    </row>
    <row r="2052" spans="1:8" ht="15.5" x14ac:dyDescent="0.35">
      <c r="A2052" s="7">
        <v>2051</v>
      </c>
      <c r="B2052" s="17">
        <v>33218</v>
      </c>
      <c r="C2052" s="13" t="s">
        <v>1854</v>
      </c>
      <c r="D2052" s="17" t="s">
        <v>2843</v>
      </c>
      <c r="E2052" s="10">
        <v>2013</v>
      </c>
      <c r="F2052" s="36" t="str" cm="1">
        <f t="array" ref="F2052">_xlfn.XLOOKUP(D2052&amp;C2052, Sheet3!$C$2:$C$1224&amp;Sheet3!$B$2:$B$1224, Sheet3!$D$2:$D$1224, "")</f>
        <v/>
      </c>
      <c r="G2052" s="1" t="str" cm="1">
        <f t="array" ref="G2052">_xlfn.XLOOKUP(D2052&amp;C2052, Sheet2!$A$2:$A$558&amp;Sheet2!$B$2:$B$558, Sheet2!$C$2:$C$558, "")</f>
        <v/>
      </c>
      <c r="H2052" s="40" t="str">
        <f t="shared" si="32"/>
        <v/>
      </c>
    </row>
    <row r="2053" spans="1:8" ht="15.5" x14ac:dyDescent="0.35">
      <c r="A2053" s="7">
        <v>2052</v>
      </c>
      <c r="B2053" s="23">
        <v>31727</v>
      </c>
      <c r="C2053" s="24" t="s">
        <v>3035</v>
      </c>
      <c r="D2053" s="23" t="s">
        <v>2842</v>
      </c>
      <c r="E2053" s="10">
        <v>2013</v>
      </c>
      <c r="F2053" s="36" t="str" cm="1">
        <f t="array" ref="F2053">_xlfn.XLOOKUP(D2053&amp;C2053, Sheet3!$C$2:$C$1224&amp;Sheet3!$B$2:$B$1224, Sheet3!$D$2:$D$1224, "")</f>
        <v/>
      </c>
      <c r="G2053" s="1" t="str" cm="1">
        <f t="array" ref="G2053">_xlfn.XLOOKUP(D2053&amp;C2053, Sheet2!$A$2:$A$558&amp;Sheet2!$B$2:$B$558, Sheet2!$C$2:$C$558, "")</f>
        <v/>
      </c>
      <c r="H2053" s="40" t="str">
        <f t="shared" si="32"/>
        <v/>
      </c>
    </row>
    <row r="2054" spans="1:8" ht="15.5" x14ac:dyDescent="0.35">
      <c r="A2054" s="7">
        <v>2053</v>
      </c>
      <c r="B2054" s="23">
        <v>34404</v>
      </c>
      <c r="C2054" s="24" t="s">
        <v>3036</v>
      </c>
      <c r="D2054" s="23" t="s">
        <v>2844</v>
      </c>
      <c r="E2054" s="10">
        <v>2013</v>
      </c>
      <c r="F2054" s="36" t="str" cm="1">
        <f t="array" ref="F2054">_xlfn.XLOOKUP(D2054&amp;C2054, Sheet3!$C$2:$C$1224&amp;Sheet3!$B$2:$B$1224, Sheet3!$D$2:$D$1224, "")</f>
        <v/>
      </c>
      <c r="G2054" s="1" t="str" cm="1">
        <f t="array" ref="G2054">_xlfn.XLOOKUP(D2054&amp;C2054, Sheet2!$A$2:$A$558&amp;Sheet2!$B$2:$B$558, Sheet2!$C$2:$C$558, "")</f>
        <v/>
      </c>
      <c r="H2054" s="40" t="str">
        <f t="shared" si="32"/>
        <v/>
      </c>
    </row>
    <row r="2055" spans="1:8" ht="15.5" x14ac:dyDescent="0.35">
      <c r="A2055" s="7">
        <v>2054</v>
      </c>
      <c r="B2055" s="23">
        <v>35781</v>
      </c>
      <c r="C2055" s="24" t="s">
        <v>3037</v>
      </c>
      <c r="D2055" s="23" t="s">
        <v>2845</v>
      </c>
      <c r="E2055" s="10">
        <v>2013</v>
      </c>
      <c r="F2055" s="36" t="str" cm="1">
        <f t="array" ref="F2055">_xlfn.XLOOKUP(D2055&amp;C2055, Sheet3!$C$2:$C$1224&amp;Sheet3!$B$2:$B$1224, Sheet3!$D$2:$D$1224, "")</f>
        <v>novipristianti@gmail.com</v>
      </c>
      <c r="G2055" s="1" t="str" cm="1">
        <f t="array" ref="G2055">_xlfn.XLOOKUP(D2055&amp;C2055, Sheet2!$A$2:$A$558&amp;Sheet2!$B$2:$B$558, Sheet2!$C$2:$C$558, "")</f>
        <v>novipristianti@gmail.com</v>
      </c>
      <c r="H2055" s="40" t="str">
        <f t="shared" si="32"/>
        <v>novipristianti@gmail.com</v>
      </c>
    </row>
    <row r="2056" spans="1:8" ht="15.5" x14ac:dyDescent="0.35">
      <c r="A2056" s="7">
        <v>2055</v>
      </c>
      <c r="B2056" s="23">
        <v>35513</v>
      </c>
      <c r="C2056" s="24" t="s">
        <v>3038</v>
      </c>
      <c r="D2056" s="23" t="s">
        <v>2845</v>
      </c>
      <c r="E2056" s="10">
        <v>2013</v>
      </c>
      <c r="F2056" s="36" t="str" cm="1">
        <f t="array" ref="F2056">_xlfn.XLOOKUP(D2056&amp;C2056, Sheet3!$C$2:$C$1224&amp;Sheet3!$B$2:$B$1224, Sheet3!$D$2:$D$1224, "")</f>
        <v>muktifatimah@gmail.com</v>
      </c>
      <c r="G2056" s="1" t="str" cm="1">
        <f t="array" ref="G2056">_xlfn.XLOOKUP(D2056&amp;C2056, Sheet2!$A$2:$A$558&amp;Sheet2!$B$2:$B$558, Sheet2!$C$2:$C$558, "")</f>
        <v>muktifatimah@gmail.com</v>
      </c>
      <c r="H2056" s="40" t="str">
        <f t="shared" si="32"/>
        <v>muktifatimah@gmail.com</v>
      </c>
    </row>
    <row r="2057" spans="1:8" ht="15.5" x14ac:dyDescent="0.35">
      <c r="A2057" s="7">
        <v>2056</v>
      </c>
      <c r="B2057" s="23">
        <v>36043</v>
      </c>
      <c r="C2057" s="24" t="s">
        <v>3039</v>
      </c>
      <c r="D2057" s="23" t="s">
        <v>2845</v>
      </c>
      <c r="E2057" s="10">
        <v>2013</v>
      </c>
      <c r="F2057" s="36" t="str" cm="1">
        <f t="array" ref="F2057">_xlfn.XLOOKUP(D2057&amp;C2057, Sheet3!$C$2:$C$1224&amp;Sheet3!$B$2:$B$1224, Sheet3!$D$2:$D$1224, "")</f>
        <v>yulianing09@gmail.com</v>
      </c>
      <c r="G2057" s="1" t="str" cm="1">
        <f t="array" ref="G2057">_xlfn.XLOOKUP(D2057&amp;C2057, Sheet2!$A$2:$A$558&amp;Sheet2!$B$2:$B$558, Sheet2!$C$2:$C$558, "")</f>
        <v>yulianing09@gmail.com</v>
      </c>
      <c r="H2057" s="40" t="str">
        <f t="shared" si="32"/>
        <v>yulianing09@gmail.com</v>
      </c>
    </row>
    <row r="2058" spans="1:8" ht="15.5" x14ac:dyDescent="0.35">
      <c r="A2058" s="7">
        <v>2057</v>
      </c>
      <c r="B2058" s="23">
        <v>34106</v>
      </c>
      <c r="C2058" s="24" t="s">
        <v>3040</v>
      </c>
      <c r="D2058" s="23" t="s">
        <v>2844</v>
      </c>
      <c r="E2058" s="10">
        <v>2013</v>
      </c>
      <c r="F2058" s="36" t="str" cm="1">
        <f t="array" ref="F2058">_xlfn.XLOOKUP(D2058&amp;C2058, Sheet3!$C$2:$C$1224&amp;Sheet3!$B$2:$B$1224, Sheet3!$D$2:$D$1224, "")</f>
        <v>fetriagoagix@gmail.com</v>
      </c>
      <c r="G2058" s="1" t="str" cm="1">
        <f t="array" ref="G2058">_xlfn.XLOOKUP(D2058&amp;C2058, Sheet2!$A$2:$A$558&amp;Sheet2!$B$2:$B$558, Sheet2!$C$2:$C$558, "")</f>
        <v/>
      </c>
      <c r="H2058" s="40" t="str">
        <f t="shared" si="32"/>
        <v>fetriagoagix@gmail.com</v>
      </c>
    </row>
    <row r="2059" spans="1:8" ht="15.5" x14ac:dyDescent="0.35">
      <c r="A2059" s="7">
        <v>2058</v>
      </c>
      <c r="B2059" s="23">
        <v>34459</v>
      </c>
      <c r="C2059" s="24" t="s">
        <v>3041</v>
      </c>
      <c r="D2059" s="23" t="s">
        <v>2844</v>
      </c>
      <c r="E2059" s="10">
        <v>2013</v>
      </c>
      <c r="F2059" s="36" t="str" cm="1">
        <f t="array" ref="F2059">_xlfn.XLOOKUP(D2059&amp;C2059, Sheet3!$C$2:$C$1224&amp;Sheet3!$B$2:$B$1224, Sheet3!$D$2:$D$1224, "")</f>
        <v>Dikyadeh@gmail.com</v>
      </c>
      <c r="G2059" s="1" t="str" cm="1">
        <f t="array" ref="G2059">_xlfn.XLOOKUP(D2059&amp;C2059, Sheet2!$A$2:$A$558&amp;Sheet2!$B$2:$B$558, Sheet2!$C$2:$C$558, "")</f>
        <v/>
      </c>
      <c r="H2059" s="40" t="str">
        <f t="shared" si="32"/>
        <v>Dikyadeh@gmail.com</v>
      </c>
    </row>
    <row r="2060" spans="1:8" ht="15.5" x14ac:dyDescent="0.35">
      <c r="A2060" s="7">
        <v>2059</v>
      </c>
      <c r="B2060" s="23">
        <v>35705</v>
      </c>
      <c r="C2060" s="24" t="s">
        <v>3042</v>
      </c>
      <c r="D2060" s="23" t="s">
        <v>2845</v>
      </c>
      <c r="E2060" s="10">
        <v>2013</v>
      </c>
      <c r="F2060" s="36" t="str" cm="1">
        <f t="array" ref="F2060">_xlfn.XLOOKUP(D2060&amp;C2060, Sheet3!$C$2:$C$1224&amp;Sheet3!$B$2:$B$1224, Sheet3!$D$2:$D$1224, "")</f>
        <v/>
      </c>
      <c r="G2060" s="1" t="str" cm="1">
        <f t="array" ref="G2060">_xlfn.XLOOKUP(D2060&amp;C2060, Sheet2!$A$2:$A$558&amp;Sheet2!$B$2:$B$558, Sheet2!$C$2:$C$558, "")</f>
        <v>reza.ananda1992@gmail.com</v>
      </c>
      <c r="H2060" s="40" t="str">
        <f t="shared" si="32"/>
        <v>reza.ananda1992@gmail.com</v>
      </c>
    </row>
    <row r="2061" spans="1:8" ht="15.5" x14ac:dyDescent="0.35">
      <c r="A2061" s="7">
        <v>2060</v>
      </c>
      <c r="B2061" s="23">
        <v>35898</v>
      </c>
      <c r="C2061" s="24" t="s">
        <v>3043</v>
      </c>
      <c r="D2061" s="23" t="s">
        <v>2845</v>
      </c>
      <c r="E2061" s="10">
        <v>2013</v>
      </c>
      <c r="F2061" s="36" t="str" cm="1">
        <f t="array" ref="F2061">_xlfn.XLOOKUP(D2061&amp;C2061, Sheet3!$C$2:$C$1224&amp;Sheet3!$B$2:$B$1224, Sheet3!$D$2:$D$1224, "")</f>
        <v/>
      </c>
      <c r="G2061" s="1" t="str" cm="1">
        <f t="array" ref="G2061">_xlfn.XLOOKUP(D2061&amp;C2061, Sheet2!$A$2:$A$558&amp;Sheet2!$B$2:$B$558, Sheet2!$C$2:$C$558, "")</f>
        <v/>
      </c>
      <c r="H2061" s="40" t="str">
        <f t="shared" si="32"/>
        <v/>
      </c>
    </row>
    <row r="2062" spans="1:8" ht="15.5" x14ac:dyDescent="0.35">
      <c r="A2062" s="7">
        <v>2061</v>
      </c>
      <c r="B2062" s="23">
        <v>35983</v>
      </c>
      <c r="C2062" s="24" t="s">
        <v>3044</v>
      </c>
      <c r="D2062" s="23" t="s">
        <v>2845</v>
      </c>
      <c r="E2062" s="10">
        <v>2013</v>
      </c>
      <c r="F2062" s="36" t="str" cm="1">
        <f t="array" ref="F2062">_xlfn.XLOOKUP(D2062&amp;C2062, Sheet3!$C$2:$C$1224&amp;Sheet3!$B$2:$B$1224, Sheet3!$D$2:$D$1224, "")</f>
        <v/>
      </c>
      <c r="G2062" s="1" t="str" cm="1">
        <f t="array" ref="G2062">_xlfn.XLOOKUP(D2062&amp;C2062, Sheet2!$A$2:$A$558&amp;Sheet2!$B$2:$B$558, Sheet2!$C$2:$C$558, "")</f>
        <v>yulia.indriastuty@gmail.com</v>
      </c>
      <c r="H2062" s="40" t="str">
        <f t="shared" si="32"/>
        <v>yulia.indriastuty@gmail.com</v>
      </c>
    </row>
    <row r="2063" spans="1:8" ht="15.5" x14ac:dyDescent="0.35">
      <c r="A2063" s="7">
        <v>2062</v>
      </c>
      <c r="B2063" s="23">
        <v>32856</v>
      </c>
      <c r="C2063" s="24" t="s">
        <v>3045</v>
      </c>
      <c r="D2063" s="23" t="s">
        <v>2843</v>
      </c>
      <c r="E2063" s="10">
        <v>2013</v>
      </c>
      <c r="F2063" s="36" t="str" cm="1">
        <f t="array" ref="F2063">_xlfn.XLOOKUP(D2063&amp;C2063, Sheet3!$C$2:$C$1224&amp;Sheet3!$B$2:$B$1224, Sheet3!$D$2:$D$1224, "")</f>
        <v/>
      </c>
      <c r="G2063" s="1" t="str" cm="1">
        <f t="array" ref="G2063">_xlfn.XLOOKUP(D2063&amp;C2063, Sheet2!$A$2:$A$558&amp;Sheet2!$B$2:$B$558, Sheet2!$C$2:$C$558, "")</f>
        <v/>
      </c>
      <c r="H2063" s="40" t="str">
        <f t="shared" si="32"/>
        <v/>
      </c>
    </row>
    <row r="2064" spans="1:8" ht="15.5" x14ac:dyDescent="0.35">
      <c r="A2064" s="7">
        <v>2063</v>
      </c>
      <c r="B2064" s="23">
        <v>34922</v>
      </c>
      <c r="C2064" s="24" t="s">
        <v>3046</v>
      </c>
      <c r="D2064" s="23" t="s">
        <v>2845</v>
      </c>
      <c r="E2064" s="10">
        <v>2013</v>
      </c>
      <c r="F2064" s="36" t="str" cm="1">
        <f t="array" ref="F2064">_xlfn.XLOOKUP(D2064&amp;C2064, Sheet3!$C$2:$C$1224&amp;Sheet3!$B$2:$B$1224, Sheet3!$D$2:$D$1224, "")</f>
        <v>gitadellam@gmail.com</v>
      </c>
      <c r="G2064" s="1" t="str" cm="1">
        <f t="array" ref="G2064">_xlfn.XLOOKUP(D2064&amp;C2064, Sheet2!$A$2:$A$558&amp;Sheet2!$B$2:$B$558, Sheet2!$C$2:$C$558, "")</f>
        <v>Gitadellam@gmail.com</v>
      </c>
      <c r="H2064" s="40" t="str">
        <f t="shared" si="32"/>
        <v>gitadellam@gmail.com</v>
      </c>
    </row>
    <row r="2065" spans="1:8" ht="15.5" x14ac:dyDescent="0.35">
      <c r="A2065" s="7">
        <v>2064</v>
      </c>
      <c r="B2065" s="23">
        <v>36031</v>
      </c>
      <c r="C2065" s="24" t="s">
        <v>3047</v>
      </c>
      <c r="D2065" s="23" t="s">
        <v>2845</v>
      </c>
      <c r="E2065" s="10">
        <v>2013</v>
      </c>
      <c r="F2065" s="36" t="str" cm="1">
        <f t="array" ref="F2065">_xlfn.XLOOKUP(D2065&amp;C2065, Sheet3!$C$2:$C$1224&amp;Sheet3!$B$2:$B$1224, Sheet3!$D$2:$D$1224, "")</f>
        <v/>
      </c>
      <c r="G2065" s="1" t="str" cm="1">
        <f t="array" ref="G2065">_xlfn.XLOOKUP(D2065&amp;C2065, Sheet2!$A$2:$A$558&amp;Sheet2!$B$2:$B$558, Sheet2!$C$2:$C$558, "")</f>
        <v>merlinda.norma@yahoo.com</v>
      </c>
      <c r="H2065" s="40" t="str">
        <f t="shared" si="32"/>
        <v>merlinda.norma@yahoo.com</v>
      </c>
    </row>
    <row r="2066" spans="1:8" ht="15.5" x14ac:dyDescent="0.35">
      <c r="A2066" s="7">
        <v>2065</v>
      </c>
      <c r="B2066" s="23">
        <v>35876</v>
      </c>
      <c r="C2066" s="24" t="s">
        <v>3048</v>
      </c>
      <c r="D2066" s="23" t="s">
        <v>2845</v>
      </c>
      <c r="E2066" s="10">
        <v>2013</v>
      </c>
      <c r="F2066" s="36" t="str" cm="1">
        <f t="array" ref="F2066">_xlfn.XLOOKUP(D2066&amp;C2066, Sheet3!$C$2:$C$1224&amp;Sheet3!$B$2:$B$1224, Sheet3!$D$2:$D$1224, "")</f>
        <v>bagas.tria@gmail.com</v>
      </c>
      <c r="G2066" s="1" t="str" cm="1">
        <f t="array" ref="G2066">_xlfn.XLOOKUP(D2066&amp;C2066, Sheet2!$A$2:$A$558&amp;Sheet2!$B$2:$B$558, Sheet2!$C$2:$C$558, "")</f>
        <v/>
      </c>
      <c r="H2066" s="40" t="str">
        <f t="shared" si="32"/>
        <v>bagas.tria@gmail.com</v>
      </c>
    </row>
    <row r="2067" spans="1:8" ht="15.5" x14ac:dyDescent="0.35">
      <c r="A2067" s="7">
        <v>2066</v>
      </c>
      <c r="B2067" s="23">
        <v>35664</v>
      </c>
      <c r="C2067" s="24" t="s">
        <v>3049</v>
      </c>
      <c r="D2067" s="23" t="s">
        <v>2845</v>
      </c>
      <c r="E2067" s="10">
        <v>2013</v>
      </c>
      <c r="F2067" s="36" t="str" cm="1">
        <f t="array" ref="F2067">_xlfn.XLOOKUP(D2067&amp;C2067, Sheet3!$C$2:$C$1224&amp;Sheet3!$B$2:$B$1224, Sheet3!$D$2:$D$1224, "")</f>
        <v>ernakusumaerna@gmail.com</v>
      </c>
      <c r="G2067" s="1" t="str" cm="1">
        <f t="array" ref="G2067">_xlfn.XLOOKUP(D2067&amp;C2067, Sheet2!$A$2:$A$558&amp;Sheet2!$B$2:$B$558, Sheet2!$C$2:$C$558, "")</f>
        <v>ernakusumaerna@gmail.com</v>
      </c>
      <c r="H2067" s="40" t="str">
        <f t="shared" si="32"/>
        <v>ernakusumaerna@gmail.com</v>
      </c>
    </row>
    <row r="2068" spans="1:8" ht="15.5" x14ac:dyDescent="0.35">
      <c r="A2068" s="7">
        <v>2067</v>
      </c>
      <c r="B2068" s="23">
        <v>35952</v>
      </c>
      <c r="C2068" s="24" t="s">
        <v>3050</v>
      </c>
      <c r="D2068" s="23" t="s">
        <v>2845</v>
      </c>
      <c r="E2068" s="10">
        <v>2013</v>
      </c>
      <c r="F2068" s="36" t="str" cm="1">
        <f t="array" ref="F2068">_xlfn.XLOOKUP(D2068&amp;C2068, Sheet3!$C$2:$C$1224&amp;Sheet3!$B$2:$B$1224, Sheet3!$D$2:$D$1224, "")</f>
        <v/>
      </c>
      <c r="G2068" s="1" t="str" cm="1">
        <f t="array" ref="G2068">_xlfn.XLOOKUP(D2068&amp;C2068, Sheet2!$A$2:$A$558&amp;Sheet2!$B$2:$B$558, Sheet2!$C$2:$C$558, "")</f>
        <v>triutami.handayaningsih@gmail.com</v>
      </c>
      <c r="H2068" s="40" t="str">
        <f t="shared" si="32"/>
        <v>triutami.handayaningsih@gmail.com</v>
      </c>
    </row>
    <row r="2069" spans="1:8" ht="15.5" x14ac:dyDescent="0.35">
      <c r="A2069" s="7">
        <v>2068</v>
      </c>
      <c r="B2069" s="23">
        <v>35613</v>
      </c>
      <c r="C2069" s="24" t="s">
        <v>3051</v>
      </c>
      <c r="D2069" s="23" t="s">
        <v>2845</v>
      </c>
      <c r="E2069" s="10">
        <v>2013</v>
      </c>
      <c r="F2069" s="36" t="str" cm="1">
        <f t="array" ref="F2069">_xlfn.XLOOKUP(D2069&amp;C2069, Sheet3!$C$2:$C$1224&amp;Sheet3!$B$2:$B$1224, Sheet3!$D$2:$D$1224, "")</f>
        <v/>
      </c>
      <c r="G2069" s="1" t="str" cm="1">
        <f t="array" ref="G2069">_xlfn.XLOOKUP(D2069&amp;C2069, Sheet2!$A$2:$A$558&amp;Sheet2!$B$2:$B$558, Sheet2!$C$2:$C$558, "")</f>
        <v/>
      </c>
      <c r="H2069" s="40" t="str">
        <f t="shared" si="32"/>
        <v/>
      </c>
    </row>
    <row r="2070" spans="1:8" ht="15.5" x14ac:dyDescent="0.35">
      <c r="A2070" s="7">
        <v>2069</v>
      </c>
      <c r="B2070" s="23">
        <v>35375</v>
      </c>
      <c r="C2070" s="24" t="s">
        <v>3052</v>
      </c>
      <c r="D2070" s="23" t="s">
        <v>2845</v>
      </c>
      <c r="E2070" s="10">
        <v>2013</v>
      </c>
      <c r="F2070" s="36" t="str" cm="1">
        <f t="array" ref="F2070">_xlfn.XLOOKUP(D2070&amp;C2070, Sheet3!$C$2:$C$1224&amp;Sheet3!$B$2:$B$1224, Sheet3!$D$2:$D$1224, "")</f>
        <v/>
      </c>
      <c r="G2070" s="1" t="str" cm="1">
        <f t="array" ref="G2070">_xlfn.XLOOKUP(D2070&amp;C2070, Sheet2!$A$2:$A$558&amp;Sheet2!$B$2:$B$558, Sheet2!$C$2:$C$558, "")</f>
        <v>maulidafitri.ipit@gmail.com</v>
      </c>
      <c r="H2070" s="40" t="str">
        <f t="shared" si="32"/>
        <v>maulidafitri.ipit@gmail.com</v>
      </c>
    </row>
    <row r="2071" spans="1:8" ht="15.5" x14ac:dyDescent="0.35">
      <c r="A2071" s="7">
        <v>2070</v>
      </c>
      <c r="B2071" s="23">
        <v>34770</v>
      </c>
      <c r="C2071" s="24" t="s">
        <v>3053</v>
      </c>
      <c r="D2071" s="23" t="s">
        <v>2845</v>
      </c>
      <c r="E2071" s="10">
        <v>2013</v>
      </c>
      <c r="F2071" s="36" t="str" cm="1">
        <f t="array" ref="F2071">_xlfn.XLOOKUP(D2071&amp;C2071, Sheet3!$C$2:$C$1224&amp;Sheet3!$B$2:$B$1224, Sheet3!$D$2:$D$1224, "")</f>
        <v/>
      </c>
      <c r="G2071" s="1" t="str" cm="1">
        <f t="array" ref="G2071">_xlfn.XLOOKUP(D2071&amp;C2071, Sheet2!$A$2:$A$558&amp;Sheet2!$B$2:$B$558, Sheet2!$C$2:$C$558, "")</f>
        <v/>
      </c>
      <c r="H2071" s="40" t="str">
        <f t="shared" si="32"/>
        <v/>
      </c>
    </row>
    <row r="2072" spans="1:8" ht="15.5" x14ac:dyDescent="0.35">
      <c r="A2072" s="7">
        <v>2071</v>
      </c>
      <c r="B2072" s="23">
        <v>35904</v>
      </c>
      <c r="C2072" s="24" t="s">
        <v>5643</v>
      </c>
      <c r="D2072" s="23" t="s">
        <v>2845</v>
      </c>
      <c r="E2072" s="10">
        <v>2013</v>
      </c>
      <c r="F2072" s="36" t="str" cm="1">
        <f t="array" ref="F2072">_xlfn.XLOOKUP(D2072&amp;C2072, Sheet3!$C$2:$C$1224&amp;Sheet3!$B$2:$B$1224, Sheet3!$D$2:$D$1224, "")</f>
        <v>isnaini.annuriahm@gmail.com</v>
      </c>
      <c r="G2072" s="1" t="str" cm="1">
        <f t="array" ref="G2072">_xlfn.XLOOKUP(D2072&amp;C2072, Sheet2!$A$2:$A$558&amp;Sheet2!$B$2:$B$558, Sheet2!$C$2:$C$558, "")</f>
        <v>isnaini.annuriahm@gmail.com</v>
      </c>
      <c r="H2072" s="40" t="str">
        <f t="shared" si="32"/>
        <v>isnaini.annuriahm@gmail.com</v>
      </c>
    </row>
    <row r="2073" spans="1:8" ht="15.5" x14ac:dyDescent="0.35">
      <c r="A2073" s="7">
        <v>2072</v>
      </c>
      <c r="B2073" s="23">
        <v>34653</v>
      </c>
      <c r="C2073" s="24" t="s">
        <v>3054</v>
      </c>
      <c r="D2073" s="23" t="s">
        <v>2845</v>
      </c>
      <c r="E2073" s="10">
        <v>2013</v>
      </c>
      <c r="F2073" s="36" t="str" cm="1">
        <f t="array" ref="F2073">_xlfn.XLOOKUP(D2073&amp;C2073, Sheet3!$C$2:$C$1224&amp;Sheet3!$B$2:$B$1224, Sheet3!$D$2:$D$1224, "")</f>
        <v>priyani.anita@gmail.com</v>
      </c>
      <c r="G2073" s="1" t="str" cm="1">
        <f t="array" ref="G2073">_xlfn.XLOOKUP(D2073&amp;C2073, Sheet2!$A$2:$A$558&amp;Sheet2!$B$2:$B$558, Sheet2!$C$2:$C$558, "")</f>
        <v/>
      </c>
      <c r="H2073" s="40" t="str">
        <f t="shared" si="32"/>
        <v>priyani.anita@gmail.com</v>
      </c>
    </row>
    <row r="2074" spans="1:8" ht="15.5" x14ac:dyDescent="0.35">
      <c r="A2074" s="7">
        <v>2073</v>
      </c>
      <c r="B2074" s="23">
        <v>34207</v>
      </c>
      <c r="C2074" s="24" t="s">
        <v>3055</v>
      </c>
      <c r="D2074" s="23" t="s">
        <v>2844</v>
      </c>
      <c r="E2074" s="10">
        <v>2013</v>
      </c>
      <c r="F2074" s="36" t="str" cm="1">
        <f t="array" ref="F2074">_xlfn.XLOOKUP(D2074&amp;C2074, Sheet3!$C$2:$C$1224&amp;Sheet3!$B$2:$B$1224, Sheet3!$D$2:$D$1224, "")</f>
        <v/>
      </c>
      <c r="G2074" s="1" t="str" cm="1">
        <f t="array" ref="G2074">_xlfn.XLOOKUP(D2074&amp;C2074, Sheet2!$A$2:$A$558&amp;Sheet2!$B$2:$B$558, Sheet2!$C$2:$C$558, "")</f>
        <v/>
      </c>
      <c r="H2074" s="40" t="str">
        <f t="shared" si="32"/>
        <v/>
      </c>
    </row>
    <row r="2075" spans="1:8" ht="15.5" x14ac:dyDescent="0.35">
      <c r="A2075" s="7">
        <v>2074</v>
      </c>
      <c r="B2075" s="23">
        <v>35971</v>
      </c>
      <c r="C2075" s="24" t="s">
        <v>3056</v>
      </c>
      <c r="D2075" s="23" t="s">
        <v>2845</v>
      </c>
      <c r="E2075" s="10">
        <v>2013</v>
      </c>
      <c r="F2075" s="36" t="str" cm="1">
        <f t="array" ref="F2075">_xlfn.XLOOKUP(D2075&amp;C2075, Sheet3!$C$2:$C$1224&amp;Sheet3!$B$2:$B$1224, Sheet3!$D$2:$D$1224, "")</f>
        <v>sarikurniawati22@gmail.com</v>
      </c>
      <c r="G2075" s="1" t="str" cm="1">
        <f t="array" ref="G2075">_xlfn.XLOOKUP(D2075&amp;C2075, Sheet2!$A$2:$A$558&amp;Sheet2!$B$2:$B$558, Sheet2!$C$2:$C$558, "")</f>
        <v/>
      </c>
      <c r="H2075" s="40" t="str">
        <f t="shared" si="32"/>
        <v>sarikurniawati22@gmail.com</v>
      </c>
    </row>
    <row r="2076" spans="1:8" ht="15.5" x14ac:dyDescent="0.35">
      <c r="A2076" s="7">
        <v>2075</v>
      </c>
      <c r="B2076" s="23">
        <v>32535</v>
      </c>
      <c r="C2076" s="24" t="s">
        <v>3057</v>
      </c>
      <c r="D2076" s="23" t="s">
        <v>2843</v>
      </c>
      <c r="E2076" s="10">
        <v>2013</v>
      </c>
      <c r="F2076" s="36" t="str" cm="1">
        <f t="array" ref="F2076">_xlfn.XLOOKUP(D2076&amp;C2076, Sheet3!$C$2:$C$1224&amp;Sheet3!$B$2:$B$1224, Sheet3!$D$2:$D$1224, "")</f>
        <v>mulyasina@gmail.com</v>
      </c>
      <c r="G2076" s="1" t="str" cm="1">
        <f t="array" ref="G2076">_xlfn.XLOOKUP(D2076&amp;C2076, Sheet2!$A$2:$A$558&amp;Sheet2!$B$2:$B$558, Sheet2!$C$2:$C$558, "")</f>
        <v>mulyasina@gmail.com</v>
      </c>
      <c r="H2076" s="40" t="str">
        <f t="shared" si="32"/>
        <v>mulyasina@gmail.com</v>
      </c>
    </row>
    <row r="2077" spans="1:8" ht="15.5" x14ac:dyDescent="0.35">
      <c r="A2077" s="7">
        <v>2076</v>
      </c>
      <c r="B2077" s="23">
        <v>35930</v>
      </c>
      <c r="C2077" s="24" t="s">
        <v>3058</v>
      </c>
      <c r="D2077" s="23" t="s">
        <v>2845</v>
      </c>
      <c r="E2077" s="10">
        <v>2013</v>
      </c>
      <c r="F2077" s="36" t="str" cm="1">
        <f t="array" ref="F2077">_xlfn.XLOOKUP(D2077&amp;C2077, Sheet3!$C$2:$C$1224&amp;Sheet3!$B$2:$B$1224, Sheet3!$D$2:$D$1224, "")</f>
        <v>slamet.riswanto@gmail.com</v>
      </c>
      <c r="G2077" s="1" t="str" cm="1">
        <f t="array" ref="G2077">_xlfn.XLOOKUP(D2077&amp;C2077, Sheet2!$A$2:$A$558&amp;Sheet2!$B$2:$B$558, Sheet2!$C$2:$C$558, "")</f>
        <v/>
      </c>
      <c r="H2077" s="40" t="str">
        <f t="shared" si="32"/>
        <v>slamet.riswanto@gmail.com</v>
      </c>
    </row>
    <row r="2078" spans="1:8" ht="15.5" x14ac:dyDescent="0.35">
      <c r="A2078" s="7">
        <v>2077</v>
      </c>
      <c r="B2078" s="23">
        <v>34347</v>
      </c>
      <c r="C2078" s="24" t="s">
        <v>3059</v>
      </c>
      <c r="D2078" s="23" t="s">
        <v>2844</v>
      </c>
      <c r="E2078" s="10">
        <v>2013</v>
      </c>
      <c r="F2078" s="36" t="str" cm="1">
        <f t="array" ref="F2078">_xlfn.XLOOKUP(D2078&amp;C2078, Sheet3!$C$2:$C$1224&amp;Sheet3!$B$2:$B$1224, Sheet3!$D$2:$D$1224, "")</f>
        <v/>
      </c>
      <c r="G2078" s="1" t="str" cm="1">
        <f t="array" ref="G2078">_xlfn.XLOOKUP(D2078&amp;C2078, Sheet2!$A$2:$A$558&amp;Sheet2!$B$2:$B$558, Sheet2!$C$2:$C$558, "")</f>
        <v/>
      </c>
      <c r="H2078" s="40" t="str">
        <f t="shared" si="32"/>
        <v/>
      </c>
    </row>
    <row r="2079" spans="1:8" ht="15.5" x14ac:dyDescent="0.35">
      <c r="A2079" s="7">
        <v>2078</v>
      </c>
      <c r="B2079" s="23">
        <v>35964</v>
      </c>
      <c r="C2079" s="24" t="s">
        <v>3060</v>
      </c>
      <c r="D2079" s="23" t="s">
        <v>2845</v>
      </c>
      <c r="E2079" s="10">
        <v>2013</v>
      </c>
      <c r="F2079" s="36" t="str" cm="1">
        <f t="array" ref="F2079">_xlfn.XLOOKUP(D2079&amp;C2079, Sheet3!$C$2:$C$1224&amp;Sheet3!$B$2:$B$1224, Sheet3!$D$2:$D$1224, "")</f>
        <v/>
      </c>
      <c r="G2079" s="1" t="str" cm="1">
        <f t="array" ref="G2079">_xlfn.XLOOKUP(D2079&amp;C2079, Sheet2!$A$2:$A$558&amp;Sheet2!$B$2:$B$558, Sheet2!$C$2:$C$558, "")</f>
        <v/>
      </c>
      <c r="H2079" s="40" t="str">
        <f t="shared" si="32"/>
        <v/>
      </c>
    </row>
    <row r="2080" spans="1:8" ht="15.5" x14ac:dyDescent="0.35">
      <c r="A2080" s="7">
        <v>2079</v>
      </c>
      <c r="B2080" s="23">
        <v>34478</v>
      </c>
      <c r="C2080" s="24" t="s">
        <v>3061</v>
      </c>
      <c r="D2080" s="23" t="s">
        <v>2844</v>
      </c>
      <c r="E2080" s="10">
        <v>2013</v>
      </c>
      <c r="F2080" s="36" t="str" cm="1">
        <f t="array" ref="F2080">_xlfn.XLOOKUP(D2080&amp;C2080, Sheet3!$C$2:$C$1224&amp;Sheet3!$B$2:$B$1224, Sheet3!$D$2:$D$1224, "")</f>
        <v/>
      </c>
      <c r="G2080" s="1" t="str" cm="1">
        <f t="array" ref="G2080">_xlfn.XLOOKUP(D2080&amp;C2080, Sheet2!$A$2:$A$558&amp;Sheet2!$B$2:$B$558, Sheet2!$C$2:$C$558, "")</f>
        <v/>
      </c>
      <c r="H2080" s="40" t="str">
        <f t="shared" si="32"/>
        <v/>
      </c>
    </row>
    <row r="2081" spans="1:8" ht="15.5" x14ac:dyDescent="0.35">
      <c r="A2081" s="7">
        <v>2080</v>
      </c>
      <c r="B2081" s="23">
        <v>35676</v>
      </c>
      <c r="C2081" s="24" t="s">
        <v>3062</v>
      </c>
      <c r="D2081" s="23" t="s">
        <v>2845</v>
      </c>
      <c r="E2081" s="10">
        <v>2013</v>
      </c>
      <c r="F2081" s="36" t="str" cm="1">
        <f t="array" ref="F2081">_xlfn.XLOOKUP(D2081&amp;C2081, Sheet3!$C$2:$C$1224&amp;Sheet3!$B$2:$B$1224, Sheet3!$D$2:$D$1224, "")</f>
        <v>rastika.widiastuti@gmail.com</v>
      </c>
      <c r="G2081" s="1" t="str" cm="1">
        <f t="array" ref="G2081">_xlfn.XLOOKUP(D2081&amp;C2081, Sheet2!$A$2:$A$558&amp;Sheet2!$B$2:$B$558, Sheet2!$C$2:$C$558, "")</f>
        <v>rastika.widiastuti@gmail.com</v>
      </c>
      <c r="H2081" s="40" t="str">
        <f t="shared" si="32"/>
        <v>rastika.widiastuti@gmail.com</v>
      </c>
    </row>
    <row r="2082" spans="1:8" ht="15.5" x14ac:dyDescent="0.35">
      <c r="A2082" s="7">
        <v>2081</v>
      </c>
      <c r="B2082" s="23">
        <v>35377</v>
      </c>
      <c r="C2082" s="24" t="s">
        <v>3063</v>
      </c>
      <c r="D2082" s="23" t="s">
        <v>2845</v>
      </c>
      <c r="E2082" s="10">
        <v>2013</v>
      </c>
      <c r="F2082" s="36" t="str" cm="1">
        <f t="array" ref="F2082">_xlfn.XLOOKUP(D2082&amp;C2082, Sheet3!$C$2:$C$1224&amp;Sheet3!$B$2:$B$1224, Sheet3!$D$2:$D$1224, "")</f>
        <v/>
      </c>
      <c r="G2082" s="1" t="str" cm="1">
        <f t="array" ref="G2082">_xlfn.XLOOKUP(D2082&amp;C2082, Sheet2!$A$2:$A$558&amp;Sheet2!$B$2:$B$558, Sheet2!$C$2:$C$558, "")</f>
        <v/>
      </c>
      <c r="H2082" s="40" t="str">
        <f t="shared" si="32"/>
        <v/>
      </c>
    </row>
    <row r="2083" spans="1:8" ht="15.5" x14ac:dyDescent="0.35">
      <c r="A2083" s="7">
        <v>2082</v>
      </c>
      <c r="B2083" s="23">
        <v>34437</v>
      </c>
      <c r="C2083" s="24" t="s">
        <v>3064</v>
      </c>
      <c r="D2083" s="23" t="s">
        <v>2844</v>
      </c>
      <c r="E2083" s="10">
        <v>2013</v>
      </c>
      <c r="F2083" s="36" t="str" cm="1">
        <f t="array" ref="F2083">_xlfn.XLOOKUP(D2083&amp;C2083, Sheet3!$C$2:$C$1224&amp;Sheet3!$B$2:$B$1224, Sheet3!$D$2:$D$1224, "")</f>
        <v/>
      </c>
      <c r="G2083" s="1" t="str" cm="1">
        <f t="array" ref="G2083">_xlfn.XLOOKUP(D2083&amp;C2083, Sheet2!$A$2:$A$558&amp;Sheet2!$B$2:$B$558, Sheet2!$C$2:$C$558, "")</f>
        <v/>
      </c>
      <c r="H2083" s="40" t="str">
        <f t="shared" si="32"/>
        <v/>
      </c>
    </row>
    <row r="2084" spans="1:8" ht="15.5" x14ac:dyDescent="0.35">
      <c r="A2084" s="7">
        <v>2083</v>
      </c>
      <c r="B2084" s="22">
        <v>34814</v>
      </c>
      <c r="C2084" s="13" t="s">
        <v>1857</v>
      </c>
      <c r="D2084" s="22" t="s">
        <v>2845</v>
      </c>
      <c r="E2084" s="10">
        <v>2013</v>
      </c>
      <c r="F2084" s="36" t="str" cm="1">
        <f t="array" ref="F2084">_xlfn.XLOOKUP(D2084&amp;C2084, Sheet3!$C$2:$C$1224&amp;Sheet3!$B$2:$B$1224, Sheet3!$D$2:$D$1224, "")</f>
        <v>gedewidana86@yahoo.com</v>
      </c>
      <c r="G2084" s="1" t="str" cm="1">
        <f t="array" ref="G2084">_xlfn.XLOOKUP(D2084&amp;C2084, Sheet2!$A$2:$A$558&amp;Sheet2!$B$2:$B$558, Sheet2!$C$2:$C$558, "")</f>
        <v>gedewidana86@yahoo.com</v>
      </c>
      <c r="H2084" s="40" t="str">
        <f t="shared" si="32"/>
        <v>gedewidana86@yahoo.com</v>
      </c>
    </row>
    <row r="2085" spans="1:8" ht="15.5" x14ac:dyDescent="0.35">
      <c r="A2085" s="7">
        <v>2084</v>
      </c>
      <c r="B2085" s="22">
        <v>35747</v>
      </c>
      <c r="C2085" s="13" t="s">
        <v>1858</v>
      </c>
      <c r="D2085" s="22" t="s">
        <v>2845</v>
      </c>
      <c r="E2085" s="10">
        <v>2013</v>
      </c>
      <c r="F2085" s="36" t="str" cm="1">
        <f t="array" ref="F2085">_xlfn.XLOOKUP(D2085&amp;C2085, Sheet3!$C$2:$C$1224&amp;Sheet3!$B$2:$B$1224, Sheet3!$D$2:$D$1224, "")</f>
        <v/>
      </c>
      <c r="G2085" s="1" t="str" cm="1">
        <f t="array" ref="G2085">_xlfn.XLOOKUP(D2085&amp;C2085, Sheet2!$A$2:$A$558&amp;Sheet2!$B$2:$B$558, Sheet2!$C$2:$C$558, "")</f>
        <v>rr.suspima@gmail.com</v>
      </c>
      <c r="H2085" s="40" t="str">
        <f t="shared" si="32"/>
        <v>rr.suspima@gmail.com</v>
      </c>
    </row>
    <row r="2086" spans="1:8" ht="15.5" x14ac:dyDescent="0.35">
      <c r="A2086" s="7">
        <v>2085</v>
      </c>
      <c r="B2086" s="22">
        <v>35576</v>
      </c>
      <c r="C2086" s="13" t="s">
        <v>1859</v>
      </c>
      <c r="D2086" s="22" t="s">
        <v>2845</v>
      </c>
      <c r="E2086" s="10">
        <v>2013</v>
      </c>
      <c r="F2086" s="36" t="str" cm="1">
        <f t="array" ref="F2086">_xlfn.XLOOKUP(D2086&amp;C2086, Sheet3!$C$2:$C$1224&amp;Sheet3!$B$2:$B$1224, Sheet3!$D$2:$D$1224, "")</f>
        <v>gia.adi.pramanda@gmail.com</v>
      </c>
      <c r="G2086" s="1" t="str" cm="1">
        <f t="array" ref="G2086">_xlfn.XLOOKUP(D2086&amp;C2086, Sheet2!$A$2:$A$558&amp;Sheet2!$B$2:$B$558, Sheet2!$C$2:$C$558, "")</f>
        <v>gia.adi.pramanda@gmail.com</v>
      </c>
      <c r="H2086" s="40" t="str">
        <f t="shared" si="32"/>
        <v>gia.adi.pramanda@gmail.com</v>
      </c>
    </row>
    <row r="2087" spans="1:8" ht="15.5" x14ac:dyDescent="0.35">
      <c r="A2087" s="7">
        <v>2086</v>
      </c>
      <c r="B2087" s="22">
        <v>35956</v>
      </c>
      <c r="C2087" s="13" t="s">
        <v>1860</v>
      </c>
      <c r="D2087" s="22" t="s">
        <v>2845</v>
      </c>
      <c r="E2087" s="10">
        <v>2013</v>
      </c>
      <c r="F2087" s="36" t="str" cm="1">
        <f t="array" ref="F2087">_xlfn.XLOOKUP(D2087&amp;C2087, Sheet3!$C$2:$C$1224&amp;Sheet3!$B$2:$B$1224, Sheet3!$D$2:$D$1224, "")</f>
        <v/>
      </c>
      <c r="G2087" s="1" t="str" cm="1">
        <f t="array" ref="G2087">_xlfn.XLOOKUP(D2087&amp;C2087, Sheet2!$A$2:$A$558&amp;Sheet2!$B$2:$B$558, Sheet2!$C$2:$C$558, "")</f>
        <v>septi.irene@gmail.com</v>
      </c>
      <c r="H2087" s="40" t="str">
        <f t="shared" si="32"/>
        <v>septi.irene@gmail.com</v>
      </c>
    </row>
    <row r="2088" spans="1:8" ht="15.5" x14ac:dyDescent="0.35">
      <c r="A2088" s="7">
        <v>2087</v>
      </c>
      <c r="B2088" s="22">
        <v>35422</v>
      </c>
      <c r="C2088" s="13" t="s">
        <v>1861</v>
      </c>
      <c r="D2088" s="22" t="s">
        <v>2845</v>
      </c>
      <c r="E2088" s="10">
        <v>2013</v>
      </c>
      <c r="F2088" s="36" t="str" cm="1">
        <f t="array" ref="F2088">_xlfn.XLOOKUP(D2088&amp;C2088, Sheet3!$C$2:$C$1224&amp;Sheet3!$B$2:$B$1224, Sheet3!$D$2:$D$1224, "")</f>
        <v>dwi.purnasari@big.go.id</v>
      </c>
      <c r="G2088" s="1" t="str" cm="1">
        <f t="array" ref="G2088">_xlfn.XLOOKUP(D2088&amp;C2088, Sheet2!$A$2:$A$558&amp;Sheet2!$B$2:$B$558, Sheet2!$C$2:$C$558, "")</f>
        <v>dwi.purnasari@big.go.id</v>
      </c>
      <c r="H2088" s="40" t="str">
        <f t="shared" si="32"/>
        <v>dwi.purnasari@big.go.id</v>
      </c>
    </row>
    <row r="2089" spans="1:8" ht="15.5" x14ac:dyDescent="0.35">
      <c r="A2089" s="7">
        <v>2088</v>
      </c>
      <c r="B2089" s="22">
        <v>36050</v>
      </c>
      <c r="C2089" s="13" t="s">
        <v>1862</v>
      </c>
      <c r="D2089" s="22" t="s">
        <v>2845</v>
      </c>
      <c r="E2089" s="10">
        <v>2013</v>
      </c>
      <c r="F2089" s="36" t="str" cm="1">
        <f t="array" ref="F2089">_xlfn.XLOOKUP(D2089&amp;C2089, Sheet3!$C$2:$C$1224&amp;Sheet3!$B$2:$B$1224, Sheet3!$D$2:$D$1224, "")</f>
        <v/>
      </c>
      <c r="G2089" s="1" t="str" cm="1">
        <f t="array" ref="G2089">_xlfn.XLOOKUP(D2089&amp;C2089, Sheet2!$A$2:$A$558&amp;Sheet2!$B$2:$B$558, Sheet2!$C$2:$C$558, "")</f>
        <v>budhiaprianti@gmail.com</v>
      </c>
      <c r="H2089" s="40" t="str">
        <f t="shared" si="32"/>
        <v>budhiaprianti@gmail.com</v>
      </c>
    </row>
    <row r="2090" spans="1:8" ht="15.5" x14ac:dyDescent="0.35">
      <c r="A2090" s="7">
        <v>2089</v>
      </c>
      <c r="B2090" s="22">
        <v>34263</v>
      </c>
      <c r="C2090" s="13" t="s">
        <v>1863</v>
      </c>
      <c r="D2090" s="22" t="s">
        <v>2844</v>
      </c>
      <c r="E2090" s="10">
        <v>2013</v>
      </c>
      <c r="F2090" s="36" t="str" cm="1">
        <f t="array" ref="F2090">_xlfn.XLOOKUP(D2090&amp;C2090, Sheet3!$C$2:$C$1224&amp;Sheet3!$B$2:$B$1224, Sheet3!$D$2:$D$1224, "")</f>
        <v>putrihildaz@gmail.com</v>
      </c>
      <c r="G2090" s="1" t="str" cm="1">
        <f t="array" ref="G2090">_xlfn.XLOOKUP(D2090&amp;C2090, Sheet2!$A$2:$A$558&amp;Sheet2!$B$2:$B$558, Sheet2!$C$2:$C$558, "")</f>
        <v/>
      </c>
      <c r="H2090" s="40" t="str">
        <f t="shared" si="32"/>
        <v>putrihildaz@gmail.com</v>
      </c>
    </row>
    <row r="2091" spans="1:8" ht="15.5" x14ac:dyDescent="0.35">
      <c r="A2091" s="7">
        <v>2090</v>
      </c>
      <c r="B2091" s="22">
        <v>34510</v>
      </c>
      <c r="C2091" s="13" t="s">
        <v>1864</v>
      </c>
      <c r="D2091" s="22" t="s">
        <v>2844</v>
      </c>
      <c r="E2091" s="10">
        <v>2013</v>
      </c>
      <c r="F2091" s="36" t="str" cm="1">
        <f t="array" ref="F2091">_xlfn.XLOOKUP(D2091&amp;C2091, Sheet3!$C$2:$C$1224&amp;Sheet3!$B$2:$B$1224, Sheet3!$D$2:$D$1224, "")</f>
        <v>elisameiyenti@gmail.com</v>
      </c>
      <c r="G2091" s="1" t="str" cm="1">
        <f t="array" ref="G2091">_xlfn.XLOOKUP(D2091&amp;C2091, Sheet2!$A$2:$A$558&amp;Sheet2!$B$2:$B$558, Sheet2!$C$2:$C$558, "")</f>
        <v/>
      </c>
      <c r="H2091" s="40" t="str">
        <f t="shared" si="32"/>
        <v>elisameiyenti@gmail.com</v>
      </c>
    </row>
    <row r="2092" spans="1:8" ht="15.5" x14ac:dyDescent="0.35">
      <c r="A2092" s="7">
        <v>2091</v>
      </c>
      <c r="B2092" s="22">
        <v>35771</v>
      </c>
      <c r="C2092" s="13" t="s">
        <v>1865</v>
      </c>
      <c r="D2092" s="22" t="s">
        <v>2845</v>
      </c>
      <c r="E2092" s="10">
        <v>2013</v>
      </c>
      <c r="F2092" s="36" t="str" cm="1">
        <f t="array" ref="F2092">_xlfn.XLOOKUP(D2092&amp;C2092, Sheet3!$C$2:$C$1224&amp;Sheet3!$B$2:$B$1224, Sheet3!$D$2:$D$1224, "")</f>
        <v/>
      </c>
      <c r="G2092" s="1" t="str" cm="1">
        <f t="array" ref="G2092">_xlfn.XLOOKUP(D2092&amp;C2092, Sheet2!$A$2:$A$558&amp;Sheet2!$B$2:$B$558, Sheet2!$C$2:$C$558, "")</f>
        <v/>
      </c>
      <c r="H2092" s="40" t="str">
        <f t="shared" si="32"/>
        <v/>
      </c>
    </row>
    <row r="2093" spans="1:8" ht="15.5" x14ac:dyDescent="0.35">
      <c r="A2093" s="7">
        <v>2092</v>
      </c>
      <c r="B2093" s="22">
        <v>35908</v>
      </c>
      <c r="C2093" s="13" t="s">
        <v>1866</v>
      </c>
      <c r="D2093" s="22" t="s">
        <v>2845</v>
      </c>
      <c r="E2093" s="10">
        <v>2013</v>
      </c>
      <c r="F2093" s="36" t="str" cm="1">
        <f t="array" ref="F2093">_xlfn.XLOOKUP(D2093&amp;C2093, Sheet3!$C$2:$C$1224&amp;Sheet3!$B$2:$B$1224, Sheet3!$D$2:$D$1224, "")</f>
        <v/>
      </c>
      <c r="G2093" s="1" t="str" cm="1">
        <f t="array" ref="G2093">_xlfn.XLOOKUP(D2093&amp;C2093, Sheet2!$A$2:$A$558&amp;Sheet2!$B$2:$B$558, Sheet2!$C$2:$C$558, "")</f>
        <v/>
      </c>
      <c r="H2093" s="40" t="str">
        <f t="shared" si="32"/>
        <v/>
      </c>
    </row>
    <row r="2094" spans="1:8" ht="15.5" x14ac:dyDescent="0.35">
      <c r="A2094" s="7">
        <v>2093</v>
      </c>
      <c r="B2094" s="17">
        <v>34363</v>
      </c>
      <c r="C2094" s="13" t="s">
        <v>1867</v>
      </c>
      <c r="D2094" s="17" t="s">
        <v>2844</v>
      </c>
      <c r="E2094" s="10">
        <v>2013</v>
      </c>
      <c r="F2094" s="36" t="str" cm="1">
        <f t="array" ref="F2094">_xlfn.XLOOKUP(D2094&amp;C2094, Sheet3!$C$2:$C$1224&amp;Sheet3!$B$2:$B$1224, Sheet3!$D$2:$D$1224, "")</f>
        <v>mzuriabangkit@gmail.com</v>
      </c>
      <c r="G2094" s="1" t="str" cm="1">
        <f t="array" ref="G2094">_xlfn.XLOOKUP(D2094&amp;C2094, Sheet2!$A$2:$A$558&amp;Sheet2!$B$2:$B$558, Sheet2!$C$2:$C$558, "")</f>
        <v>mzuriabangkit@gmail.com</v>
      </c>
      <c r="H2094" s="40" t="str">
        <f t="shared" si="32"/>
        <v>mzuriabangkit@gmail.com</v>
      </c>
    </row>
    <row r="2095" spans="1:8" ht="15.5" x14ac:dyDescent="0.35">
      <c r="A2095" s="7">
        <v>2094</v>
      </c>
      <c r="B2095" s="17">
        <v>35738</v>
      </c>
      <c r="C2095" s="13" t="s">
        <v>1868</v>
      </c>
      <c r="D2095" s="17" t="s">
        <v>2845</v>
      </c>
      <c r="E2095" s="10">
        <v>2013</v>
      </c>
      <c r="F2095" s="36" t="str" cm="1">
        <f t="array" ref="F2095">_xlfn.XLOOKUP(D2095&amp;C2095, Sheet3!$C$2:$C$1224&amp;Sheet3!$B$2:$B$1224, Sheet3!$D$2:$D$1224, "")</f>
        <v>nurfajriah.09@gmail.com</v>
      </c>
      <c r="G2095" s="1" t="str" cm="1">
        <f t="array" ref="G2095">_xlfn.XLOOKUP(D2095&amp;C2095, Sheet2!$A$2:$A$558&amp;Sheet2!$B$2:$B$558, Sheet2!$C$2:$C$558, "")</f>
        <v>nurfajriah.09@gmail.com</v>
      </c>
      <c r="H2095" s="40" t="str">
        <f t="shared" si="32"/>
        <v>nurfajriah.09@gmail.com</v>
      </c>
    </row>
    <row r="2096" spans="1:8" ht="15.5" x14ac:dyDescent="0.35">
      <c r="A2096" s="7">
        <v>2095</v>
      </c>
      <c r="B2096" s="17">
        <v>34288</v>
      </c>
      <c r="C2096" s="13" t="s">
        <v>1869</v>
      </c>
      <c r="D2096" s="17" t="s">
        <v>2844</v>
      </c>
      <c r="E2096" s="10">
        <v>2013</v>
      </c>
      <c r="F2096" s="36" t="str" cm="1">
        <f t="array" ref="F2096">_xlfn.XLOOKUP(D2096&amp;C2096, Sheet3!$C$2:$C$1224&amp;Sheet3!$B$2:$B$1224, Sheet3!$D$2:$D$1224, "")</f>
        <v>juangputra001@gmail.com</v>
      </c>
      <c r="G2096" s="1" t="str" cm="1">
        <f t="array" ref="G2096">_xlfn.XLOOKUP(D2096&amp;C2096, Sheet2!$A$2:$A$558&amp;Sheet2!$B$2:$B$558, Sheet2!$C$2:$C$558, "")</f>
        <v>juangputra001@gmail.con</v>
      </c>
      <c r="H2096" s="40" t="str">
        <f t="shared" si="32"/>
        <v>juangputra001@gmail.com</v>
      </c>
    </row>
    <row r="2097" spans="1:8" ht="15.5" x14ac:dyDescent="0.35">
      <c r="A2097" s="7">
        <v>2096</v>
      </c>
      <c r="B2097" s="17">
        <v>35299</v>
      </c>
      <c r="C2097" s="13" t="s">
        <v>1870</v>
      </c>
      <c r="D2097" s="17" t="s">
        <v>2845</v>
      </c>
      <c r="E2097" s="10">
        <v>2013</v>
      </c>
      <c r="F2097" s="36" t="str" cm="1">
        <f t="array" ref="F2097">_xlfn.XLOOKUP(D2097&amp;C2097, Sheet3!$C$2:$C$1224&amp;Sheet3!$B$2:$B$1224, Sheet3!$D$2:$D$1224, "")</f>
        <v/>
      </c>
      <c r="G2097" s="1" t="str" cm="1">
        <f t="array" ref="G2097">_xlfn.XLOOKUP(D2097&amp;C2097, Sheet2!$A$2:$A$558&amp;Sheet2!$B$2:$B$558, Sheet2!$C$2:$C$558, "")</f>
        <v>fitria.laili.az@gmail.com</v>
      </c>
      <c r="H2097" s="40" t="str">
        <f t="shared" si="32"/>
        <v>fitria.laili.az@gmail.com</v>
      </c>
    </row>
    <row r="2098" spans="1:8" ht="15.5" x14ac:dyDescent="0.35">
      <c r="A2098" s="7">
        <v>2097</v>
      </c>
      <c r="B2098" s="17">
        <v>34226</v>
      </c>
      <c r="C2098" s="13" t="s">
        <v>1871</v>
      </c>
      <c r="D2098" s="17" t="s">
        <v>2844</v>
      </c>
      <c r="E2098" s="10">
        <v>2013</v>
      </c>
      <c r="F2098" s="36" t="str" cm="1">
        <f t="array" ref="F2098">_xlfn.XLOOKUP(D2098&amp;C2098, Sheet3!$C$2:$C$1224&amp;Sheet3!$B$2:$B$1224, Sheet3!$D$2:$D$1224, "")</f>
        <v>wharyow@yahoo.com</v>
      </c>
      <c r="G2098" s="1" t="str" cm="1">
        <f t="array" ref="G2098">_xlfn.XLOOKUP(D2098&amp;C2098, Sheet2!$A$2:$A$558&amp;Sheet2!$B$2:$B$558, Sheet2!$C$2:$C$558, "")</f>
        <v/>
      </c>
      <c r="H2098" s="40" t="str">
        <f t="shared" si="32"/>
        <v>wharyow@yahoo.com</v>
      </c>
    </row>
    <row r="2099" spans="1:8" ht="15.5" x14ac:dyDescent="0.35">
      <c r="A2099" s="7">
        <v>2098</v>
      </c>
      <c r="B2099" s="17">
        <v>35670</v>
      </c>
      <c r="C2099" s="13" t="s">
        <v>1872</v>
      </c>
      <c r="D2099" s="17" t="s">
        <v>2845</v>
      </c>
      <c r="E2099" s="10">
        <v>2013</v>
      </c>
      <c r="F2099" s="36" t="str" cm="1">
        <f t="array" ref="F2099">_xlfn.XLOOKUP(D2099&amp;C2099, Sheet3!$C$2:$C$1224&amp;Sheet3!$B$2:$B$1224, Sheet3!$D$2:$D$1224, "")</f>
        <v/>
      </c>
      <c r="G2099" s="1" t="str" cm="1">
        <f t="array" ref="G2099">_xlfn.XLOOKUP(D2099&amp;C2099, Sheet2!$A$2:$A$558&amp;Sheet2!$B$2:$B$558, Sheet2!$C$2:$C$558, "")</f>
        <v>Khusnul35670@gmail.com</v>
      </c>
      <c r="H2099" s="40" t="str">
        <f t="shared" si="32"/>
        <v>Khusnul35670@gmail.com</v>
      </c>
    </row>
    <row r="2100" spans="1:8" ht="15.5" x14ac:dyDescent="0.35">
      <c r="A2100" s="7">
        <v>2099</v>
      </c>
      <c r="B2100" s="25">
        <v>32261</v>
      </c>
      <c r="C2100" s="13" t="s">
        <v>1873</v>
      </c>
      <c r="D2100" s="25" t="s">
        <v>2842</v>
      </c>
      <c r="E2100" s="10">
        <v>2013</v>
      </c>
      <c r="F2100" s="36" t="str" cm="1">
        <f t="array" ref="F2100">_xlfn.XLOOKUP(D2100&amp;C2100, Sheet3!$C$2:$C$1224&amp;Sheet3!$B$2:$B$1224, Sheet3!$D$2:$D$1224, "")</f>
        <v>aryati2s@gmail.com</v>
      </c>
      <c r="G2100" s="1" t="str" cm="1">
        <f t="array" ref="G2100">_xlfn.XLOOKUP(D2100&amp;C2100, Sheet2!$A$2:$A$558&amp;Sheet2!$B$2:$B$558, Sheet2!$C$2:$C$558, "")</f>
        <v>aryatiw.bpn@gmail.com</v>
      </c>
      <c r="H2100" s="40" t="str">
        <f t="shared" si="32"/>
        <v>aryati2s@gmail.com</v>
      </c>
    </row>
    <row r="2101" spans="1:8" ht="15.5" x14ac:dyDescent="0.35">
      <c r="A2101" s="7">
        <v>2100</v>
      </c>
      <c r="B2101" s="25">
        <v>32109</v>
      </c>
      <c r="C2101" s="13" t="s">
        <v>1514</v>
      </c>
      <c r="D2101" s="25" t="s">
        <v>2842</v>
      </c>
      <c r="E2101" s="10">
        <v>2013</v>
      </c>
      <c r="F2101" s="36" t="str" cm="1">
        <f t="array" ref="F2101">_xlfn.XLOOKUP(D2101&amp;C2101, Sheet3!$C$2:$C$1224&amp;Sheet3!$B$2:$B$1224, Sheet3!$D$2:$D$1224, "")</f>
        <v>agung.geodesi06@gmail.com</v>
      </c>
      <c r="G2101" s="1" t="str" cm="1">
        <f t="array" ref="G2101">_xlfn.XLOOKUP(D2101&amp;C2101, Sheet2!$A$2:$A$558&amp;Sheet2!$B$2:$B$558, Sheet2!$C$2:$C$558, "")</f>
        <v/>
      </c>
      <c r="H2101" s="40" t="str">
        <f t="shared" si="32"/>
        <v>agung.geodesi06@gmail.com</v>
      </c>
    </row>
    <row r="2102" spans="1:8" ht="15.5" x14ac:dyDescent="0.35">
      <c r="A2102" s="7">
        <v>2101</v>
      </c>
      <c r="B2102" s="25">
        <v>34576</v>
      </c>
      <c r="C2102" s="13" t="s">
        <v>1874</v>
      </c>
      <c r="D2102" s="25" t="s">
        <v>2844</v>
      </c>
      <c r="E2102" s="10">
        <v>2013</v>
      </c>
      <c r="F2102" s="36" t="str" cm="1">
        <f t="array" ref="F2102">_xlfn.XLOOKUP(D2102&amp;C2102, Sheet3!$C$2:$C$1224&amp;Sheet3!$B$2:$B$1224, Sheet3!$D$2:$D$1224, "")</f>
        <v>wafagp84@gmail.com</v>
      </c>
      <c r="G2102" s="1" t="str" cm="1">
        <f t="array" ref="G2102">_xlfn.XLOOKUP(D2102&amp;C2102, Sheet2!$A$2:$A$558&amp;Sheet2!$B$2:$B$558, Sheet2!$C$2:$C$558, "")</f>
        <v>wafagp84@gmail.com</v>
      </c>
      <c r="H2102" s="40" t="str">
        <f t="shared" si="32"/>
        <v>wafagp84@gmail.com</v>
      </c>
    </row>
    <row r="2103" spans="1:8" ht="15.5" x14ac:dyDescent="0.35">
      <c r="A2103" s="7">
        <v>2102</v>
      </c>
      <c r="B2103" s="17">
        <v>35689</v>
      </c>
      <c r="C2103" s="13" t="s">
        <v>1875</v>
      </c>
      <c r="D2103" s="17" t="s">
        <v>2845</v>
      </c>
      <c r="E2103" s="10">
        <v>2014</v>
      </c>
      <c r="F2103" s="36" t="str" cm="1">
        <f t="array" ref="F2103">_xlfn.XLOOKUP(D2103&amp;C2103, Sheet3!$C$2:$C$1224&amp;Sheet3!$B$2:$B$1224, Sheet3!$D$2:$D$1224, "")</f>
        <v>ariwicaksono21@gmail.com</v>
      </c>
      <c r="G2103" s="1" t="str" cm="1">
        <f t="array" ref="G2103">_xlfn.XLOOKUP(D2103&amp;C2103, Sheet2!$A$2:$A$558&amp;Sheet2!$B$2:$B$558, Sheet2!$C$2:$C$558, "")</f>
        <v>ariwicaksono214@gmail.com</v>
      </c>
      <c r="H2103" s="40" t="str">
        <f t="shared" si="32"/>
        <v>ariwicaksono21@gmail.com</v>
      </c>
    </row>
    <row r="2104" spans="1:8" ht="15.5" x14ac:dyDescent="0.35">
      <c r="A2104" s="7">
        <v>2103</v>
      </c>
      <c r="B2104" s="17">
        <v>35553</v>
      </c>
      <c r="C2104" s="13" t="s">
        <v>1876</v>
      </c>
      <c r="D2104" s="17" t="s">
        <v>2845</v>
      </c>
      <c r="E2104" s="10">
        <v>2014</v>
      </c>
      <c r="F2104" s="36" t="str" cm="1">
        <f t="array" ref="F2104">_xlfn.XLOOKUP(D2104&amp;C2104, Sheet3!$C$2:$C$1224&amp;Sheet3!$B$2:$B$1224, Sheet3!$D$2:$D$1224, "")</f>
        <v>mrezanto@gmail.com</v>
      </c>
      <c r="G2104" s="1" t="str" cm="1">
        <f t="array" ref="G2104">_xlfn.XLOOKUP(D2104&amp;C2104, Sheet2!$A$2:$A$558&amp;Sheet2!$B$2:$B$558, Sheet2!$C$2:$C$558, "")</f>
        <v/>
      </c>
      <c r="H2104" s="40" t="str">
        <f t="shared" si="32"/>
        <v>mrezanto@gmail.com</v>
      </c>
    </row>
    <row r="2105" spans="1:8" ht="15.5" x14ac:dyDescent="0.35">
      <c r="A2105" s="7">
        <v>2104</v>
      </c>
      <c r="B2105" s="17">
        <v>35916</v>
      </c>
      <c r="C2105" s="13" t="s">
        <v>1877</v>
      </c>
      <c r="D2105" s="17" t="s">
        <v>2845</v>
      </c>
      <c r="E2105" s="10">
        <v>2014</v>
      </c>
      <c r="F2105" s="36" t="str" cm="1">
        <f t="array" ref="F2105">_xlfn.XLOOKUP(D2105&amp;C2105, Sheet3!$C$2:$C$1224&amp;Sheet3!$B$2:$B$1224, Sheet3!$D$2:$D$1224, "")</f>
        <v/>
      </c>
      <c r="G2105" s="1" t="str" cm="1">
        <f t="array" ref="G2105">_xlfn.XLOOKUP(D2105&amp;C2105, Sheet2!$A$2:$A$558&amp;Sheet2!$B$2:$B$558, Sheet2!$C$2:$C$558, "")</f>
        <v/>
      </c>
      <c r="H2105" s="40" t="str">
        <f t="shared" si="32"/>
        <v/>
      </c>
    </row>
    <row r="2106" spans="1:8" ht="15.5" x14ac:dyDescent="0.35">
      <c r="A2106" s="7">
        <v>2105</v>
      </c>
      <c r="B2106" s="17">
        <v>35935</v>
      </c>
      <c r="C2106" s="13" t="s">
        <v>1878</v>
      </c>
      <c r="D2106" s="17" t="s">
        <v>2845</v>
      </c>
      <c r="E2106" s="10">
        <v>2014</v>
      </c>
      <c r="F2106" s="36" t="str" cm="1">
        <f t="array" ref="F2106">_xlfn.XLOOKUP(D2106&amp;C2106, Sheet3!$C$2:$C$1224&amp;Sheet3!$B$2:$B$1224, Sheet3!$D$2:$D$1224, "")</f>
        <v>Resturesturestu@gmail.com</v>
      </c>
      <c r="G2106" s="1" t="str" cm="1">
        <f t="array" ref="G2106">_xlfn.XLOOKUP(D2106&amp;C2106, Sheet2!$A$2:$A$558&amp;Sheet2!$B$2:$B$558, Sheet2!$C$2:$C$558, "")</f>
        <v>restu.khoerul@gmail.com</v>
      </c>
      <c r="H2106" s="40" t="str">
        <f t="shared" si="32"/>
        <v>Resturesturestu@gmail.com</v>
      </c>
    </row>
    <row r="2107" spans="1:8" ht="15.5" x14ac:dyDescent="0.35">
      <c r="A2107" s="7">
        <v>2106</v>
      </c>
      <c r="B2107" s="17">
        <v>32142</v>
      </c>
      <c r="C2107" s="13" t="s">
        <v>1879</v>
      </c>
      <c r="D2107" s="17" t="s">
        <v>2842</v>
      </c>
      <c r="E2107" s="10">
        <v>2014</v>
      </c>
      <c r="F2107" s="36" t="str" cm="1">
        <f t="array" ref="F2107">_xlfn.XLOOKUP(D2107&amp;C2107, Sheet3!$C$2:$C$1224&amp;Sheet3!$B$2:$B$1224, Sheet3!$D$2:$D$1224, "")</f>
        <v/>
      </c>
      <c r="G2107" s="1" t="str" cm="1">
        <f t="array" ref="G2107">_xlfn.XLOOKUP(D2107&amp;C2107, Sheet2!$A$2:$A$558&amp;Sheet2!$B$2:$B$558, Sheet2!$C$2:$C$558, "")</f>
        <v/>
      </c>
      <c r="H2107" s="40" t="str">
        <f t="shared" si="32"/>
        <v/>
      </c>
    </row>
    <row r="2108" spans="1:8" ht="15.5" x14ac:dyDescent="0.35">
      <c r="A2108" s="7">
        <v>2107</v>
      </c>
      <c r="B2108" s="17">
        <v>35977</v>
      </c>
      <c r="C2108" s="13" t="s">
        <v>1880</v>
      </c>
      <c r="D2108" s="17" t="s">
        <v>2845</v>
      </c>
      <c r="E2108" s="10">
        <v>2014</v>
      </c>
      <c r="F2108" s="36" t="str" cm="1">
        <f t="array" ref="F2108">_xlfn.XLOOKUP(D2108&amp;C2108, Sheet3!$C$2:$C$1224&amp;Sheet3!$B$2:$B$1224, Sheet3!$D$2:$D$1224, "")</f>
        <v/>
      </c>
      <c r="G2108" s="1" t="str" cm="1">
        <f t="array" ref="G2108">_xlfn.XLOOKUP(D2108&amp;C2108, Sheet2!$A$2:$A$558&amp;Sheet2!$B$2:$B$558, Sheet2!$C$2:$C$558, "")</f>
        <v/>
      </c>
      <c r="H2108" s="40" t="str">
        <f t="shared" si="32"/>
        <v/>
      </c>
    </row>
    <row r="2109" spans="1:8" ht="15.5" x14ac:dyDescent="0.35">
      <c r="A2109" s="7">
        <v>2108</v>
      </c>
      <c r="B2109" s="17">
        <v>34123</v>
      </c>
      <c r="C2109" s="13" t="s">
        <v>1881</v>
      </c>
      <c r="D2109" s="17" t="s">
        <v>2844</v>
      </c>
      <c r="E2109" s="10">
        <v>2014</v>
      </c>
      <c r="F2109" s="36" t="str" cm="1">
        <f t="array" ref="F2109">_xlfn.XLOOKUP(D2109&amp;C2109, Sheet3!$C$2:$C$1224&amp;Sheet3!$B$2:$B$1224, Sheet3!$D$2:$D$1224, "")</f>
        <v>farchan@arunikacorp.com</v>
      </c>
      <c r="G2109" s="1" t="str" cm="1">
        <f t="array" ref="G2109">_xlfn.XLOOKUP(D2109&amp;C2109, Sheet2!$A$2:$A$558&amp;Sheet2!$B$2:$B$558, Sheet2!$C$2:$C$558, "")</f>
        <v/>
      </c>
      <c r="H2109" s="40" t="str">
        <f t="shared" si="32"/>
        <v>farchan@arunikacorp.com</v>
      </c>
    </row>
    <row r="2110" spans="1:8" ht="15.5" x14ac:dyDescent="0.35">
      <c r="A2110" s="7">
        <v>2109</v>
      </c>
      <c r="B2110" s="17">
        <v>34134</v>
      </c>
      <c r="C2110" s="13" t="s">
        <v>1882</v>
      </c>
      <c r="D2110" s="17" t="s">
        <v>2844</v>
      </c>
      <c r="E2110" s="10">
        <v>2014</v>
      </c>
      <c r="F2110" s="36" t="str" cm="1">
        <f t="array" ref="F2110">_xlfn.XLOOKUP(D2110&amp;C2110, Sheet3!$C$2:$C$1224&amp;Sheet3!$B$2:$B$1224, Sheet3!$D$2:$D$1224, "")</f>
        <v>singgih.ariw@gmail.com</v>
      </c>
      <c r="G2110" s="1" t="str" cm="1">
        <f t="array" ref="G2110">_xlfn.XLOOKUP(D2110&amp;C2110, Sheet2!$A$2:$A$558&amp;Sheet2!$B$2:$B$558, Sheet2!$C$2:$C$558, "")</f>
        <v>singgih.ariw@gmail.com</v>
      </c>
      <c r="H2110" s="40" t="str">
        <f t="shared" si="32"/>
        <v>singgih.ariw@gmail.com</v>
      </c>
    </row>
    <row r="2111" spans="1:8" ht="15.5" x14ac:dyDescent="0.35">
      <c r="A2111" s="7">
        <v>2110</v>
      </c>
      <c r="B2111" s="17">
        <v>34971</v>
      </c>
      <c r="C2111" s="13" t="s">
        <v>1883</v>
      </c>
      <c r="D2111" s="17" t="s">
        <v>2845</v>
      </c>
      <c r="E2111" s="10">
        <v>2014</v>
      </c>
      <c r="F2111" s="36" t="str" cm="1">
        <f t="array" ref="F2111">_xlfn.XLOOKUP(D2111&amp;C2111, Sheet3!$C$2:$C$1224&amp;Sheet3!$B$2:$B$1224, Sheet3!$D$2:$D$1224, "")</f>
        <v/>
      </c>
      <c r="G2111" s="1" t="str" cm="1">
        <f t="array" ref="G2111">_xlfn.XLOOKUP(D2111&amp;C2111, Sheet2!$A$2:$A$558&amp;Sheet2!$B$2:$B$558, Sheet2!$C$2:$C$558, "")</f>
        <v>retnahandayani.1103@gmail.com</v>
      </c>
      <c r="H2111" s="40" t="str">
        <f t="shared" si="32"/>
        <v>retnahandayani.1103@gmail.com</v>
      </c>
    </row>
    <row r="2112" spans="1:8" ht="15.5" x14ac:dyDescent="0.35">
      <c r="A2112" s="7">
        <v>2111</v>
      </c>
      <c r="B2112" s="17">
        <v>32748</v>
      </c>
      <c r="C2112" s="13" t="s">
        <v>1884</v>
      </c>
      <c r="D2112" s="17" t="s">
        <v>2843</v>
      </c>
      <c r="E2112" s="10">
        <v>2014</v>
      </c>
      <c r="F2112" s="36" t="str" cm="1">
        <f t="array" ref="F2112">_xlfn.XLOOKUP(D2112&amp;C2112, Sheet3!$C$2:$C$1224&amp;Sheet3!$B$2:$B$1224, Sheet3!$D$2:$D$1224, "")</f>
        <v/>
      </c>
      <c r="G2112" s="1" t="str" cm="1">
        <f t="array" ref="G2112">_xlfn.XLOOKUP(D2112&amp;C2112, Sheet2!$A$2:$A$558&amp;Sheet2!$B$2:$B$558, Sheet2!$C$2:$C$558, "")</f>
        <v/>
      </c>
      <c r="H2112" s="40" t="str">
        <f t="shared" si="32"/>
        <v/>
      </c>
    </row>
    <row r="2113" spans="1:8" ht="15.5" x14ac:dyDescent="0.35">
      <c r="A2113" s="7">
        <v>2112</v>
      </c>
      <c r="B2113" s="17">
        <v>34787</v>
      </c>
      <c r="C2113" s="13" t="s">
        <v>1885</v>
      </c>
      <c r="D2113" s="17" t="s">
        <v>2845</v>
      </c>
      <c r="E2113" s="10">
        <v>2014</v>
      </c>
      <c r="F2113" s="36" t="str" cm="1">
        <f t="array" ref="F2113">_xlfn.XLOOKUP(D2113&amp;C2113, Sheet3!$C$2:$C$1224&amp;Sheet3!$B$2:$B$1224, Sheet3!$D$2:$D$1224, "")</f>
        <v/>
      </c>
      <c r="G2113" s="1" t="str" cm="1">
        <f t="array" ref="G2113">_xlfn.XLOOKUP(D2113&amp;C2113, Sheet2!$A$2:$A$558&amp;Sheet2!$B$2:$B$558, Sheet2!$C$2:$C$558, "")</f>
        <v>yoga.jayantara@gmail.com</v>
      </c>
      <c r="H2113" s="40" t="str">
        <f t="shared" si="32"/>
        <v>yoga.jayantara@gmail.com</v>
      </c>
    </row>
    <row r="2114" spans="1:8" ht="15.5" x14ac:dyDescent="0.35">
      <c r="A2114" s="7">
        <v>2113</v>
      </c>
      <c r="B2114" s="17">
        <v>34158</v>
      </c>
      <c r="C2114" s="13" t="s">
        <v>1886</v>
      </c>
      <c r="D2114" s="17" t="s">
        <v>2844</v>
      </c>
      <c r="E2114" s="10">
        <v>2014</v>
      </c>
      <c r="F2114" s="36" t="str" cm="1">
        <f t="array" ref="F2114">_xlfn.XLOOKUP(D2114&amp;C2114, Sheet3!$C$2:$C$1224&amp;Sheet3!$B$2:$B$1224, Sheet3!$D$2:$D$1224, "")</f>
        <v/>
      </c>
      <c r="G2114" s="1" t="str" cm="1">
        <f t="array" ref="G2114">_xlfn.XLOOKUP(D2114&amp;C2114, Sheet2!$A$2:$A$558&amp;Sheet2!$B$2:$B$558, Sheet2!$C$2:$C$558, "")</f>
        <v/>
      </c>
      <c r="H2114" s="40" t="str">
        <f t="shared" si="32"/>
        <v/>
      </c>
    </row>
    <row r="2115" spans="1:8" ht="15.5" x14ac:dyDescent="0.35">
      <c r="A2115" s="7">
        <v>2114</v>
      </c>
      <c r="B2115" s="17">
        <v>34293</v>
      </c>
      <c r="C2115" s="13" t="s">
        <v>1887</v>
      </c>
      <c r="D2115" s="17" t="s">
        <v>2844</v>
      </c>
      <c r="E2115" s="10">
        <v>2014</v>
      </c>
      <c r="F2115" s="36" t="str" cm="1">
        <f t="array" ref="F2115">_xlfn.XLOOKUP(D2115&amp;C2115, Sheet3!$C$2:$C$1224&amp;Sheet3!$B$2:$B$1224, Sheet3!$D$2:$D$1224, "")</f>
        <v/>
      </c>
      <c r="G2115" s="1" t="str" cm="1">
        <f t="array" ref="G2115">_xlfn.XLOOKUP(D2115&amp;C2115, Sheet2!$A$2:$A$558&amp;Sheet2!$B$2:$B$558, Sheet2!$C$2:$C$558, "")</f>
        <v/>
      </c>
      <c r="H2115" s="40" t="str">
        <f t="shared" ref="H2115:H2178" si="33">IF(F2115&lt;&gt;"",F2115,G2115)</f>
        <v/>
      </c>
    </row>
    <row r="2116" spans="1:8" ht="15.5" x14ac:dyDescent="0.35">
      <c r="A2116" s="7">
        <v>2115</v>
      </c>
      <c r="B2116" s="17">
        <v>34501</v>
      </c>
      <c r="C2116" s="13" t="s">
        <v>1888</v>
      </c>
      <c r="D2116" s="17" t="s">
        <v>2844</v>
      </c>
      <c r="E2116" s="10">
        <v>2014</v>
      </c>
      <c r="F2116" s="36" t="str" cm="1">
        <f t="array" ref="F2116">_xlfn.XLOOKUP(D2116&amp;C2116, Sheet3!$C$2:$C$1224&amp;Sheet3!$B$2:$B$1224, Sheet3!$D$2:$D$1224, "")</f>
        <v/>
      </c>
      <c r="G2116" s="1" t="str" cm="1">
        <f t="array" ref="G2116">_xlfn.XLOOKUP(D2116&amp;C2116, Sheet2!$A$2:$A$558&amp;Sheet2!$B$2:$B$558, Sheet2!$C$2:$C$558, "")</f>
        <v/>
      </c>
      <c r="H2116" s="40" t="str">
        <f t="shared" si="33"/>
        <v/>
      </c>
    </row>
    <row r="2117" spans="1:8" ht="15.5" x14ac:dyDescent="0.35">
      <c r="A2117" s="7">
        <v>2116</v>
      </c>
      <c r="B2117" s="17">
        <v>33774</v>
      </c>
      <c r="C2117" s="13" t="s">
        <v>1889</v>
      </c>
      <c r="D2117" s="17" t="s">
        <v>2844</v>
      </c>
      <c r="E2117" s="10">
        <v>2014</v>
      </c>
      <c r="F2117" s="36" t="str" cm="1">
        <f t="array" ref="F2117">_xlfn.XLOOKUP(D2117&amp;C2117, Sheet3!$C$2:$C$1224&amp;Sheet3!$B$2:$B$1224, Sheet3!$D$2:$D$1224, "")</f>
        <v>sukmayogiswara08@gmail.com</v>
      </c>
      <c r="G2117" s="1" t="str" cm="1">
        <f t="array" ref="G2117">_xlfn.XLOOKUP(D2117&amp;C2117, Sheet2!$A$2:$A$558&amp;Sheet2!$B$2:$B$558, Sheet2!$C$2:$C$558, "")</f>
        <v/>
      </c>
      <c r="H2117" s="40" t="str">
        <f t="shared" si="33"/>
        <v>sukmayogiswara08@gmail.com</v>
      </c>
    </row>
    <row r="2118" spans="1:8" ht="15.5" x14ac:dyDescent="0.35">
      <c r="A2118" s="7">
        <v>2117</v>
      </c>
      <c r="B2118" s="17">
        <v>34489</v>
      </c>
      <c r="C2118" s="13" t="s">
        <v>1890</v>
      </c>
      <c r="D2118" s="17" t="s">
        <v>2844</v>
      </c>
      <c r="E2118" s="10">
        <v>2014</v>
      </c>
      <c r="F2118" s="36" t="str" cm="1">
        <f t="array" ref="F2118">_xlfn.XLOOKUP(D2118&amp;C2118, Sheet3!$C$2:$C$1224&amp;Sheet3!$B$2:$B$1224, Sheet3!$D$2:$D$1224, "")</f>
        <v/>
      </c>
      <c r="G2118" s="1" t="str" cm="1">
        <f t="array" ref="G2118">_xlfn.XLOOKUP(D2118&amp;C2118, Sheet2!$A$2:$A$558&amp;Sheet2!$B$2:$B$558, Sheet2!$C$2:$C$558, "")</f>
        <v/>
      </c>
      <c r="H2118" s="40" t="str">
        <f t="shared" si="33"/>
        <v/>
      </c>
    </row>
    <row r="2119" spans="1:8" ht="15.5" x14ac:dyDescent="0.35">
      <c r="A2119" s="7">
        <v>2118</v>
      </c>
      <c r="B2119" s="17">
        <v>32745</v>
      </c>
      <c r="C2119" s="13" t="s">
        <v>1891</v>
      </c>
      <c r="D2119" s="17" t="s">
        <v>2843</v>
      </c>
      <c r="E2119" s="10">
        <v>2014</v>
      </c>
      <c r="F2119" s="36" t="str" cm="1">
        <f t="array" ref="F2119">_xlfn.XLOOKUP(D2119&amp;C2119, Sheet3!$C$2:$C$1224&amp;Sheet3!$B$2:$B$1224, Sheet3!$D$2:$D$1224, "")</f>
        <v>Paoloregar@gmail.com</v>
      </c>
      <c r="G2119" s="1" t="str" cm="1">
        <f t="array" ref="G2119">_xlfn.XLOOKUP(D2119&amp;C2119, Sheet2!$A$2:$A$558&amp;Sheet2!$B$2:$B$558, Sheet2!$C$2:$C$558, "")</f>
        <v/>
      </c>
      <c r="H2119" s="40" t="str">
        <f t="shared" si="33"/>
        <v>Paoloregar@gmail.com</v>
      </c>
    </row>
    <row r="2120" spans="1:8" ht="15.5" x14ac:dyDescent="0.35">
      <c r="A2120" s="7">
        <v>2119</v>
      </c>
      <c r="B2120" s="17">
        <v>34378</v>
      </c>
      <c r="C2120" s="13" t="s">
        <v>1892</v>
      </c>
      <c r="D2120" s="17" t="s">
        <v>2844</v>
      </c>
      <c r="E2120" s="10">
        <v>2014</v>
      </c>
      <c r="F2120" s="36" t="str" cm="1">
        <f t="array" ref="F2120">_xlfn.XLOOKUP(D2120&amp;C2120, Sheet3!$C$2:$C$1224&amp;Sheet3!$B$2:$B$1224, Sheet3!$D$2:$D$1224, "")</f>
        <v/>
      </c>
      <c r="G2120" s="1" t="str" cm="1">
        <f t="array" ref="G2120">_xlfn.XLOOKUP(D2120&amp;C2120, Sheet2!$A$2:$A$558&amp;Sheet2!$B$2:$B$558, Sheet2!$C$2:$C$558, "")</f>
        <v/>
      </c>
      <c r="H2120" s="40" t="str">
        <f t="shared" si="33"/>
        <v/>
      </c>
    </row>
    <row r="2121" spans="1:8" ht="15.5" x14ac:dyDescent="0.35">
      <c r="A2121" s="7">
        <v>2120</v>
      </c>
      <c r="B2121" s="17">
        <v>33264</v>
      </c>
      <c r="C2121" s="13" t="s">
        <v>1893</v>
      </c>
      <c r="D2121" s="17" t="s">
        <v>2843</v>
      </c>
      <c r="E2121" s="10">
        <v>2014</v>
      </c>
      <c r="F2121" s="36" t="str" cm="1">
        <f t="array" ref="F2121">_xlfn.XLOOKUP(D2121&amp;C2121, Sheet3!$C$2:$C$1224&amp;Sheet3!$B$2:$B$1224, Sheet3!$D$2:$D$1224, "")</f>
        <v>zulaikasukma89@gmail.com</v>
      </c>
      <c r="G2121" s="1" t="str" cm="1">
        <f t="array" ref="G2121">_xlfn.XLOOKUP(D2121&amp;C2121, Sheet2!$A$2:$A$558&amp;Sheet2!$B$2:$B$558, Sheet2!$C$2:$C$558, "")</f>
        <v>zulaikasukma89@gmail.com</v>
      </c>
      <c r="H2121" s="40" t="str">
        <f t="shared" si="33"/>
        <v>zulaikasukma89@gmail.com</v>
      </c>
    </row>
    <row r="2122" spans="1:8" ht="15.5" x14ac:dyDescent="0.35">
      <c r="A2122" s="7">
        <v>2121</v>
      </c>
      <c r="B2122" s="17">
        <v>34144</v>
      </c>
      <c r="C2122" s="13" t="s">
        <v>1894</v>
      </c>
      <c r="D2122" s="17" t="s">
        <v>2844</v>
      </c>
      <c r="E2122" s="10">
        <v>2014</v>
      </c>
      <c r="F2122" s="36" t="str" cm="1">
        <f t="array" ref="F2122">_xlfn.XLOOKUP(D2122&amp;C2122, Sheet3!$C$2:$C$1224&amp;Sheet3!$B$2:$B$1224, Sheet3!$D$2:$D$1224, "")</f>
        <v/>
      </c>
      <c r="G2122" s="1" t="str" cm="1">
        <f t="array" ref="G2122">_xlfn.XLOOKUP(D2122&amp;C2122, Sheet2!$A$2:$A$558&amp;Sheet2!$B$2:$B$558, Sheet2!$C$2:$C$558, "")</f>
        <v>andriajisekendi@gmail.com</v>
      </c>
      <c r="H2122" s="40" t="str">
        <f t="shared" si="33"/>
        <v>andriajisekendi@gmail.com</v>
      </c>
    </row>
    <row r="2123" spans="1:8" ht="15.5" x14ac:dyDescent="0.35">
      <c r="A2123" s="7">
        <v>2122</v>
      </c>
      <c r="B2123" s="12">
        <v>31711</v>
      </c>
      <c r="C2123" s="13" t="s">
        <v>1895</v>
      </c>
      <c r="D2123" s="12" t="s">
        <v>2842</v>
      </c>
      <c r="E2123" s="10">
        <v>2014</v>
      </c>
      <c r="F2123" s="36" t="str" cm="1">
        <f t="array" ref="F2123">_xlfn.XLOOKUP(D2123&amp;C2123, Sheet3!$C$2:$C$1224&amp;Sheet3!$B$2:$B$1224, Sheet3!$D$2:$D$1224, "")</f>
        <v>adysatya@pu.go.id</v>
      </c>
      <c r="G2123" s="1" t="str" cm="1">
        <f t="array" ref="G2123">_xlfn.XLOOKUP(D2123&amp;C2123, Sheet2!$A$2:$A$558&amp;Sheet2!$B$2:$B$558, Sheet2!$C$2:$C$558, "")</f>
        <v/>
      </c>
      <c r="H2123" s="40" t="str">
        <f t="shared" si="33"/>
        <v>adysatya@pu.go.id</v>
      </c>
    </row>
    <row r="2124" spans="1:8" ht="15.5" x14ac:dyDescent="0.35">
      <c r="A2124" s="7">
        <v>2123</v>
      </c>
      <c r="B2124" s="17">
        <v>34385</v>
      </c>
      <c r="C2124" s="13" t="s">
        <v>1896</v>
      </c>
      <c r="D2124" s="17" t="s">
        <v>2844</v>
      </c>
      <c r="E2124" s="10">
        <v>2014</v>
      </c>
      <c r="F2124" s="36" t="str" cm="1">
        <f t="array" ref="F2124">_xlfn.XLOOKUP(D2124&amp;C2124, Sheet3!$C$2:$C$1224&amp;Sheet3!$B$2:$B$1224, Sheet3!$D$2:$D$1224, "")</f>
        <v>irfaniindra@gmail.com</v>
      </c>
      <c r="G2124" s="1" t="str" cm="1">
        <f t="array" ref="G2124">_xlfn.XLOOKUP(D2124&amp;C2124, Sheet2!$A$2:$A$558&amp;Sheet2!$B$2:$B$558, Sheet2!$C$2:$C$558, "")</f>
        <v/>
      </c>
      <c r="H2124" s="40" t="str">
        <f t="shared" si="33"/>
        <v>irfaniindra@gmail.com</v>
      </c>
    </row>
    <row r="2125" spans="1:8" ht="15.5" x14ac:dyDescent="0.35">
      <c r="A2125" s="7">
        <v>2124</v>
      </c>
      <c r="B2125" s="17">
        <v>34101</v>
      </c>
      <c r="C2125" s="13" t="s">
        <v>1897</v>
      </c>
      <c r="D2125" s="17" t="s">
        <v>2844</v>
      </c>
      <c r="E2125" s="10">
        <v>2014</v>
      </c>
      <c r="F2125" s="36" t="str" cm="1">
        <f t="array" ref="F2125">_xlfn.XLOOKUP(D2125&amp;C2125, Sheet3!$C$2:$C$1224&amp;Sheet3!$B$2:$B$1224, Sheet3!$D$2:$D$1224, "")</f>
        <v/>
      </c>
      <c r="G2125" s="1" t="str" cm="1">
        <f t="array" ref="G2125">_xlfn.XLOOKUP(D2125&amp;C2125, Sheet2!$A$2:$A$558&amp;Sheet2!$B$2:$B$558, Sheet2!$C$2:$C$558, "")</f>
        <v/>
      </c>
      <c r="H2125" s="40" t="str">
        <f t="shared" si="33"/>
        <v/>
      </c>
    </row>
    <row r="2126" spans="1:8" ht="15.5" x14ac:dyDescent="0.35">
      <c r="A2126" s="7">
        <v>2125</v>
      </c>
      <c r="B2126" s="17">
        <v>35795</v>
      </c>
      <c r="C2126" s="13" t="s">
        <v>1898</v>
      </c>
      <c r="D2126" s="17" t="s">
        <v>2845</v>
      </c>
      <c r="E2126" s="10">
        <v>2014</v>
      </c>
      <c r="F2126" s="36" t="str" cm="1">
        <f t="array" ref="F2126">_xlfn.XLOOKUP(D2126&amp;C2126, Sheet3!$C$2:$C$1224&amp;Sheet3!$B$2:$B$1224, Sheet3!$D$2:$D$1224, "")</f>
        <v/>
      </c>
      <c r="G2126" s="1" t="str" cm="1">
        <f t="array" ref="G2126">_xlfn.XLOOKUP(D2126&amp;C2126, Sheet2!$A$2:$A$558&amp;Sheet2!$B$2:$B$558, Sheet2!$C$2:$C$558, "")</f>
        <v/>
      </c>
      <c r="H2126" s="40" t="str">
        <f t="shared" si="33"/>
        <v/>
      </c>
    </row>
    <row r="2127" spans="1:8" ht="15.5" x14ac:dyDescent="0.35">
      <c r="A2127" s="7">
        <v>2126</v>
      </c>
      <c r="B2127" s="17">
        <v>35602</v>
      </c>
      <c r="C2127" s="13" t="s">
        <v>1899</v>
      </c>
      <c r="D2127" s="17" t="s">
        <v>2845</v>
      </c>
      <c r="E2127" s="10">
        <v>2014</v>
      </c>
      <c r="F2127" s="36" t="str" cm="1">
        <f t="array" ref="F2127">_xlfn.XLOOKUP(D2127&amp;C2127, Sheet3!$C$2:$C$1224&amp;Sheet3!$B$2:$B$1224, Sheet3!$D$2:$D$1224, "")</f>
        <v/>
      </c>
      <c r="G2127" s="1" t="str" cm="1">
        <f t="array" ref="G2127">_xlfn.XLOOKUP(D2127&amp;C2127, Sheet2!$A$2:$A$558&amp;Sheet2!$B$2:$B$558, Sheet2!$C$2:$C$558, "")</f>
        <v>zulfa.syathari@gmail.com</v>
      </c>
      <c r="H2127" s="40" t="str">
        <f t="shared" si="33"/>
        <v>zulfa.syathari@gmail.com</v>
      </c>
    </row>
    <row r="2128" spans="1:8" ht="15.5" x14ac:dyDescent="0.35">
      <c r="A2128" s="7">
        <v>2127</v>
      </c>
      <c r="B2128" s="17">
        <v>34523</v>
      </c>
      <c r="C2128" s="13" t="s">
        <v>1900</v>
      </c>
      <c r="D2128" s="17" t="s">
        <v>2844</v>
      </c>
      <c r="E2128" s="10">
        <v>2014</v>
      </c>
      <c r="F2128" s="36" t="str" cm="1">
        <f t="array" ref="F2128">_xlfn.XLOOKUP(D2128&amp;C2128, Sheet3!$C$2:$C$1224&amp;Sheet3!$B$2:$B$1224, Sheet3!$D$2:$D$1224, "")</f>
        <v/>
      </c>
      <c r="G2128" s="1" t="str" cm="1">
        <f t="array" ref="G2128">_xlfn.XLOOKUP(D2128&amp;C2128, Sheet2!$A$2:$A$558&amp;Sheet2!$B$2:$B$558, Sheet2!$C$2:$C$558, "")</f>
        <v/>
      </c>
      <c r="H2128" s="40" t="str">
        <f t="shared" si="33"/>
        <v/>
      </c>
    </row>
    <row r="2129" spans="1:8" ht="15.5" x14ac:dyDescent="0.35">
      <c r="A2129" s="7">
        <v>2128</v>
      </c>
      <c r="B2129" s="17">
        <v>33302</v>
      </c>
      <c r="C2129" s="13" t="s">
        <v>1901</v>
      </c>
      <c r="D2129" s="17" t="s">
        <v>2843</v>
      </c>
      <c r="E2129" s="10">
        <v>2014</v>
      </c>
      <c r="F2129" s="36" t="str" cm="1">
        <f t="array" ref="F2129">_xlfn.XLOOKUP(D2129&amp;C2129, Sheet3!$C$2:$C$1224&amp;Sheet3!$B$2:$B$1224, Sheet3!$D$2:$D$1224, "")</f>
        <v/>
      </c>
      <c r="G2129" s="1" t="str" cm="1">
        <f t="array" ref="G2129">_xlfn.XLOOKUP(D2129&amp;C2129, Sheet2!$A$2:$A$558&amp;Sheet2!$B$2:$B$558, Sheet2!$C$2:$C$558, "")</f>
        <v/>
      </c>
      <c r="H2129" s="40" t="str">
        <f t="shared" si="33"/>
        <v/>
      </c>
    </row>
    <row r="2130" spans="1:8" ht="15.5" x14ac:dyDescent="0.35">
      <c r="A2130" s="7">
        <v>2129</v>
      </c>
      <c r="B2130" s="17">
        <v>34124</v>
      </c>
      <c r="C2130" s="13" t="s">
        <v>1902</v>
      </c>
      <c r="D2130" s="17" t="s">
        <v>2844</v>
      </c>
      <c r="E2130" s="10">
        <v>2014</v>
      </c>
      <c r="F2130" s="36" t="str" cm="1">
        <f t="array" ref="F2130">_xlfn.XLOOKUP(D2130&amp;C2130, Sheet3!$C$2:$C$1224&amp;Sheet3!$B$2:$B$1224, Sheet3!$D$2:$D$1224, "")</f>
        <v/>
      </c>
      <c r="G2130" s="1" t="str" cm="1">
        <f t="array" ref="G2130">_xlfn.XLOOKUP(D2130&amp;C2130, Sheet2!$A$2:$A$558&amp;Sheet2!$B$2:$B$558, Sheet2!$C$2:$C$558, "")</f>
        <v/>
      </c>
      <c r="H2130" s="40" t="str">
        <f t="shared" si="33"/>
        <v/>
      </c>
    </row>
    <row r="2131" spans="1:8" ht="15.5" x14ac:dyDescent="0.35">
      <c r="A2131" s="7">
        <v>2130</v>
      </c>
      <c r="B2131" s="17">
        <v>34275</v>
      </c>
      <c r="C2131" s="13" t="s">
        <v>1903</v>
      </c>
      <c r="D2131" s="17" t="s">
        <v>2844</v>
      </c>
      <c r="E2131" s="10">
        <v>2014</v>
      </c>
      <c r="F2131" s="36" t="str" cm="1">
        <f t="array" ref="F2131">_xlfn.XLOOKUP(D2131&amp;C2131, Sheet3!$C$2:$C$1224&amp;Sheet3!$B$2:$B$1224, Sheet3!$D$2:$D$1224, "")</f>
        <v/>
      </c>
      <c r="G2131" s="1" t="str" cm="1">
        <f t="array" ref="G2131">_xlfn.XLOOKUP(D2131&amp;C2131, Sheet2!$A$2:$A$558&amp;Sheet2!$B$2:$B$558, Sheet2!$C$2:$C$558, "")</f>
        <v/>
      </c>
      <c r="H2131" s="40" t="str">
        <f t="shared" si="33"/>
        <v/>
      </c>
    </row>
    <row r="2132" spans="1:8" ht="15.5" x14ac:dyDescent="0.35">
      <c r="A2132" s="7">
        <v>2131</v>
      </c>
      <c r="B2132" s="17">
        <v>32993</v>
      </c>
      <c r="C2132" s="13" t="s">
        <v>1904</v>
      </c>
      <c r="D2132" s="17" t="s">
        <v>2843</v>
      </c>
      <c r="E2132" s="10">
        <v>2014</v>
      </c>
      <c r="F2132" s="36" t="str" cm="1">
        <f t="array" ref="F2132">_xlfn.XLOOKUP(D2132&amp;C2132, Sheet3!$C$2:$C$1224&amp;Sheet3!$B$2:$B$1224, Sheet3!$D$2:$D$1224, "")</f>
        <v>berlinjanrico@gmail.com</v>
      </c>
      <c r="G2132" s="1" t="str" cm="1">
        <f t="array" ref="G2132">_xlfn.XLOOKUP(D2132&amp;C2132, Sheet2!$A$2:$A$558&amp;Sheet2!$B$2:$B$558, Sheet2!$C$2:$C$558, "")</f>
        <v/>
      </c>
      <c r="H2132" s="40" t="str">
        <f t="shared" si="33"/>
        <v>berlinjanrico@gmail.com</v>
      </c>
    </row>
    <row r="2133" spans="1:8" ht="15.5" x14ac:dyDescent="0.35">
      <c r="A2133" s="7">
        <v>2132</v>
      </c>
      <c r="B2133" s="17">
        <v>35598</v>
      </c>
      <c r="C2133" s="13" t="s">
        <v>1905</v>
      </c>
      <c r="D2133" s="17" t="s">
        <v>2845</v>
      </c>
      <c r="E2133" s="10">
        <v>2014</v>
      </c>
      <c r="F2133" s="36" t="str" cm="1">
        <f t="array" ref="F2133">_xlfn.XLOOKUP(D2133&amp;C2133, Sheet3!$C$2:$C$1224&amp;Sheet3!$B$2:$B$1224, Sheet3!$D$2:$D$1224, "")</f>
        <v>aqildonlot@gmail.com</v>
      </c>
      <c r="G2133" s="1" t="str" cm="1">
        <f t="array" ref="G2133">_xlfn.XLOOKUP(D2133&amp;C2133, Sheet2!$A$2:$A$558&amp;Sheet2!$B$2:$B$558, Sheet2!$C$2:$C$558, "")</f>
        <v/>
      </c>
      <c r="H2133" s="40" t="str">
        <f t="shared" si="33"/>
        <v>aqildonlot@gmail.com</v>
      </c>
    </row>
    <row r="2134" spans="1:8" ht="15.5" x14ac:dyDescent="0.35">
      <c r="A2134" s="7">
        <v>2133</v>
      </c>
      <c r="B2134" s="17">
        <v>34399</v>
      </c>
      <c r="C2134" s="13" t="s">
        <v>1906</v>
      </c>
      <c r="D2134" s="17" t="s">
        <v>2844</v>
      </c>
      <c r="E2134" s="10">
        <v>2014</v>
      </c>
      <c r="F2134" s="36" t="str" cm="1">
        <f t="array" ref="F2134">_xlfn.XLOOKUP(D2134&amp;C2134, Sheet3!$C$2:$C$1224&amp;Sheet3!$B$2:$B$1224, Sheet3!$D$2:$D$1224, "")</f>
        <v/>
      </c>
      <c r="G2134" s="1" t="str" cm="1">
        <f t="array" ref="G2134">_xlfn.XLOOKUP(D2134&amp;C2134, Sheet2!$A$2:$A$558&amp;Sheet2!$B$2:$B$558, Sheet2!$C$2:$C$558, "")</f>
        <v/>
      </c>
      <c r="H2134" s="40" t="str">
        <f t="shared" si="33"/>
        <v/>
      </c>
    </row>
    <row r="2135" spans="1:8" ht="15.5" x14ac:dyDescent="0.35">
      <c r="A2135" s="7">
        <v>2134</v>
      </c>
      <c r="B2135" s="17">
        <v>34349</v>
      </c>
      <c r="C2135" s="13" t="s">
        <v>1907</v>
      </c>
      <c r="D2135" s="17" t="s">
        <v>2844</v>
      </c>
      <c r="E2135" s="10">
        <v>2014</v>
      </c>
      <c r="F2135" s="36" t="str" cm="1">
        <f t="array" ref="F2135">_xlfn.XLOOKUP(D2135&amp;C2135, Sheet3!$C$2:$C$1224&amp;Sheet3!$B$2:$B$1224, Sheet3!$D$2:$D$1224, "")</f>
        <v/>
      </c>
      <c r="G2135" s="1" t="str" cm="1">
        <f t="array" ref="G2135">_xlfn.XLOOKUP(D2135&amp;C2135, Sheet2!$A$2:$A$558&amp;Sheet2!$B$2:$B$558, Sheet2!$C$2:$C$558, "")</f>
        <v/>
      </c>
      <c r="H2135" s="40" t="str">
        <f t="shared" si="33"/>
        <v/>
      </c>
    </row>
    <row r="2136" spans="1:8" ht="15.5" x14ac:dyDescent="0.35">
      <c r="A2136" s="7">
        <v>2135</v>
      </c>
      <c r="B2136" s="17">
        <v>32389</v>
      </c>
      <c r="C2136" s="13" t="s">
        <v>1908</v>
      </c>
      <c r="D2136" s="17" t="s">
        <v>2843</v>
      </c>
      <c r="E2136" s="10">
        <v>2014</v>
      </c>
      <c r="F2136" s="36" t="str" cm="1">
        <f t="array" ref="F2136">_xlfn.XLOOKUP(D2136&amp;C2136, Sheet3!$C$2:$C$1224&amp;Sheet3!$B$2:$B$1224, Sheet3!$D$2:$D$1224, "")</f>
        <v/>
      </c>
      <c r="G2136" s="1" t="str" cm="1">
        <f t="array" ref="G2136">_xlfn.XLOOKUP(D2136&amp;C2136, Sheet2!$A$2:$A$558&amp;Sheet2!$B$2:$B$558, Sheet2!$C$2:$C$558, "")</f>
        <v>Ghurmuzan@gmail.com</v>
      </c>
      <c r="H2136" s="40" t="str">
        <f t="shared" si="33"/>
        <v>Ghurmuzan@gmail.com</v>
      </c>
    </row>
    <row r="2137" spans="1:8" ht="15.5" x14ac:dyDescent="0.35">
      <c r="A2137" s="7">
        <v>2136</v>
      </c>
      <c r="B2137" s="17">
        <v>35678</v>
      </c>
      <c r="C2137" s="13" t="s">
        <v>1909</v>
      </c>
      <c r="D2137" s="17" t="s">
        <v>2845</v>
      </c>
      <c r="E2137" s="10">
        <v>2014</v>
      </c>
      <c r="F2137" s="36" t="str" cm="1">
        <f t="array" ref="F2137">_xlfn.XLOOKUP(D2137&amp;C2137, Sheet3!$C$2:$C$1224&amp;Sheet3!$B$2:$B$1224, Sheet3!$D$2:$D$1224, "")</f>
        <v>rositsetiawan@gmail.com</v>
      </c>
      <c r="G2137" s="1" t="str" cm="1">
        <f t="array" ref="G2137">_xlfn.XLOOKUP(D2137&amp;C2137, Sheet2!$A$2:$A$558&amp;Sheet2!$B$2:$B$558, Sheet2!$C$2:$C$558, "")</f>
        <v>rositsetiawan@gmail.com</v>
      </c>
      <c r="H2137" s="40" t="str">
        <f t="shared" si="33"/>
        <v>rositsetiawan@gmail.com</v>
      </c>
    </row>
    <row r="2138" spans="1:8" ht="15.5" x14ac:dyDescent="0.35">
      <c r="A2138" s="7">
        <v>2137</v>
      </c>
      <c r="B2138" s="17">
        <v>35619</v>
      </c>
      <c r="C2138" s="13" t="s">
        <v>1910</v>
      </c>
      <c r="D2138" s="17" t="s">
        <v>2845</v>
      </c>
      <c r="E2138" s="10">
        <v>2014</v>
      </c>
      <c r="F2138" s="36" t="str" cm="1">
        <f t="array" ref="F2138">_xlfn.XLOOKUP(D2138&amp;C2138, Sheet3!$C$2:$C$1224&amp;Sheet3!$B$2:$B$1224, Sheet3!$D$2:$D$1224, "")</f>
        <v/>
      </c>
      <c r="G2138" s="1" t="str" cm="1">
        <f t="array" ref="G2138">_xlfn.XLOOKUP(D2138&amp;C2138, Sheet2!$A$2:$A$558&amp;Sheet2!$B$2:$B$558, Sheet2!$C$2:$C$558, "")</f>
        <v/>
      </c>
      <c r="H2138" s="40" t="str">
        <f t="shared" si="33"/>
        <v/>
      </c>
    </row>
    <row r="2139" spans="1:8" ht="15.5" x14ac:dyDescent="0.35">
      <c r="A2139" s="7">
        <v>2138</v>
      </c>
      <c r="B2139" s="17">
        <v>33850</v>
      </c>
      <c r="C2139" s="13" t="s">
        <v>1911</v>
      </c>
      <c r="D2139" s="17" t="s">
        <v>2844</v>
      </c>
      <c r="E2139" s="10">
        <v>2014</v>
      </c>
      <c r="F2139" s="36" t="str" cm="1">
        <f t="array" ref="F2139">_xlfn.XLOOKUP(D2139&amp;C2139, Sheet3!$C$2:$C$1224&amp;Sheet3!$B$2:$B$1224, Sheet3!$D$2:$D$1224, "")</f>
        <v>dewantoprasetyoaji@gmail.com</v>
      </c>
      <c r="G2139" s="1" t="str" cm="1">
        <f t="array" ref="G2139">_xlfn.XLOOKUP(D2139&amp;C2139, Sheet2!$A$2:$A$558&amp;Sheet2!$B$2:$B$558, Sheet2!$C$2:$C$558, "")</f>
        <v>dewantoprasetyoaji@gmail.com</v>
      </c>
      <c r="H2139" s="40" t="str">
        <f t="shared" si="33"/>
        <v>dewantoprasetyoaji@gmail.com</v>
      </c>
    </row>
    <row r="2140" spans="1:8" ht="15.5" x14ac:dyDescent="0.35">
      <c r="A2140" s="7">
        <v>2139</v>
      </c>
      <c r="B2140" s="17">
        <v>34372</v>
      </c>
      <c r="C2140" s="13" t="s">
        <v>1912</v>
      </c>
      <c r="D2140" s="17" t="s">
        <v>2844</v>
      </c>
      <c r="E2140" s="10">
        <v>2014</v>
      </c>
      <c r="F2140" s="36" t="str" cm="1">
        <f t="array" ref="F2140">_xlfn.XLOOKUP(D2140&amp;C2140, Sheet3!$C$2:$C$1224&amp;Sheet3!$B$2:$B$1224, Sheet3!$D$2:$D$1224, "")</f>
        <v>febrian.bayu86@gmail.com</v>
      </c>
      <c r="G2140" s="1" t="str" cm="1">
        <f t="array" ref="G2140">_xlfn.XLOOKUP(D2140&amp;C2140, Sheet2!$A$2:$A$558&amp;Sheet2!$B$2:$B$558, Sheet2!$C$2:$C$558, "")</f>
        <v/>
      </c>
      <c r="H2140" s="40" t="str">
        <f t="shared" si="33"/>
        <v>febrian.bayu86@gmail.com</v>
      </c>
    </row>
    <row r="2141" spans="1:8" ht="15.5" x14ac:dyDescent="0.35">
      <c r="A2141" s="7">
        <v>2140</v>
      </c>
      <c r="B2141" s="17">
        <v>34221</v>
      </c>
      <c r="C2141" s="13" t="s">
        <v>1913</v>
      </c>
      <c r="D2141" s="17" t="s">
        <v>2844</v>
      </c>
      <c r="E2141" s="10">
        <v>2014</v>
      </c>
      <c r="F2141" s="36" t="str" cm="1">
        <f t="array" ref="F2141">_xlfn.XLOOKUP(D2141&amp;C2141, Sheet3!$C$2:$C$1224&amp;Sheet3!$B$2:$B$1224, Sheet3!$D$2:$D$1224, "")</f>
        <v/>
      </c>
      <c r="G2141" s="1" t="str" cm="1">
        <f t="array" ref="G2141">_xlfn.XLOOKUP(D2141&amp;C2141, Sheet2!$A$2:$A$558&amp;Sheet2!$B$2:$B$558, Sheet2!$C$2:$C$558, "")</f>
        <v/>
      </c>
      <c r="H2141" s="40" t="str">
        <f t="shared" si="33"/>
        <v/>
      </c>
    </row>
    <row r="2142" spans="1:8" ht="15.5" x14ac:dyDescent="0.35">
      <c r="A2142" s="7">
        <v>2141</v>
      </c>
      <c r="B2142" s="17">
        <v>34329</v>
      </c>
      <c r="C2142" s="13" t="s">
        <v>1914</v>
      </c>
      <c r="D2142" s="17" t="s">
        <v>2844</v>
      </c>
      <c r="E2142" s="10">
        <v>2014</v>
      </c>
      <c r="F2142" s="36" t="str" cm="1">
        <f t="array" ref="F2142">_xlfn.XLOOKUP(D2142&amp;C2142, Sheet3!$C$2:$C$1224&amp;Sheet3!$B$2:$B$1224, Sheet3!$D$2:$D$1224, "")</f>
        <v/>
      </c>
      <c r="G2142" s="1" t="str" cm="1">
        <f t="array" ref="G2142">_xlfn.XLOOKUP(D2142&amp;C2142, Sheet2!$A$2:$A$558&amp;Sheet2!$B$2:$B$558, Sheet2!$C$2:$C$558, "")</f>
        <v/>
      </c>
      <c r="H2142" s="40" t="str">
        <f t="shared" si="33"/>
        <v/>
      </c>
    </row>
    <row r="2143" spans="1:8" ht="15.5" x14ac:dyDescent="0.35">
      <c r="A2143" s="7">
        <v>2142</v>
      </c>
      <c r="B2143" s="17">
        <v>34634</v>
      </c>
      <c r="C2143" s="13" t="s">
        <v>1915</v>
      </c>
      <c r="D2143" s="17" t="s">
        <v>2844</v>
      </c>
      <c r="E2143" s="10">
        <v>2014</v>
      </c>
      <c r="F2143" s="36" t="str" cm="1">
        <f t="array" ref="F2143">_xlfn.XLOOKUP(D2143&amp;C2143, Sheet3!$C$2:$C$1224&amp;Sheet3!$B$2:$B$1224, Sheet3!$D$2:$D$1224, "")</f>
        <v>izzatabdfattah@gmail.com</v>
      </c>
      <c r="G2143" s="1" t="str" cm="1">
        <f t="array" ref="G2143">_xlfn.XLOOKUP(D2143&amp;C2143, Sheet2!$A$2:$A$558&amp;Sheet2!$B$2:$B$558, Sheet2!$C$2:$C$558, "")</f>
        <v/>
      </c>
      <c r="H2143" s="40" t="str">
        <f t="shared" si="33"/>
        <v>izzatabdfattah@gmail.com</v>
      </c>
    </row>
    <row r="2144" spans="1:8" ht="15.5" x14ac:dyDescent="0.35">
      <c r="A2144" s="7">
        <v>2143</v>
      </c>
      <c r="B2144" s="17">
        <v>36510</v>
      </c>
      <c r="C2144" s="13" t="s">
        <v>1916</v>
      </c>
      <c r="D2144" s="17" t="s">
        <v>2846</v>
      </c>
      <c r="E2144" s="10">
        <v>2014</v>
      </c>
      <c r="F2144" s="36" t="str" cm="1">
        <f t="array" ref="F2144">_xlfn.XLOOKUP(D2144&amp;C2144, Sheet3!$C$2:$C$1224&amp;Sheet3!$B$2:$B$1224, Sheet3!$D$2:$D$1224, "")</f>
        <v>daisywin.wina@gmail.com</v>
      </c>
      <c r="G2144" s="1" t="str" cm="1">
        <f t="array" ref="G2144">_xlfn.XLOOKUP(D2144&amp;C2144, Sheet2!$A$2:$A$558&amp;Sheet2!$B$2:$B$558, Sheet2!$C$2:$C$558, "")</f>
        <v/>
      </c>
      <c r="H2144" s="40" t="str">
        <f t="shared" si="33"/>
        <v>daisywin.wina@gmail.com</v>
      </c>
    </row>
    <row r="2145" spans="1:8" ht="15.5" x14ac:dyDescent="0.35">
      <c r="A2145" s="7">
        <v>2144</v>
      </c>
      <c r="B2145" s="17">
        <v>36233</v>
      </c>
      <c r="C2145" s="13" t="s">
        <v>1917</v>
      </c>
      <c r="D2145" s="17" t="s">
        <v>2846</v>
      </c>
      <c r="E2145" s="10">
        <v>2014</v>
      </c>
      <c r="F2145" s="36" t="str" cm="1">
        <f t="array" ref="F2145">_xlfn.XLOOKUP(D2145&amp;C2145, Sheet3!$C$2:$C$1224&amp;Sheet3!$B$2:$B$1224, Sheet3!$D$2:$D$1224, "")</f>
        <v/>
      </c>
      <c r="G2145" s="1" t="str" cm="1">
        <f t="array" ref="G2145">_xlfn.XLOOKUP(D2145&amp;C2145, Sheet2!$A$2:$A$558&amp;Sheet2!$B$2:$B$558, Sheet2!$C$2:$C$558, "")</f>
        <v/>
      </c>
      <c r="H2145" s="40" t="str">
        <f t="shared" si="33"/>
        <v/>
      </c>
    </row>
    <row r="2146" spans="1:8" ht="15.5" x14ac:dyDescent="0.35">
      <c r="A2146" s="7">
        <v>2145</v>
      </c>
      <c r="B2146" s="17">
        <v>36711</v>
      </c>
      <c r="C2146" s="13" t="s">
        <v>1918</v>
      </c>
      <c r="D2146" s="17" t="s">
        <v>2846</v>
      </c>
      <c r="E2146" s="10">
        <v>2014</v>
      </c>
      <c r="F2146" s="36" t="str" cm="1">
        <f t="array" ref="F2146">_xlfn.XLOOKUP(D2146&amp;C2146, Sheet3!$C$2:$C$1224&amp;Sheet3!$B$2:$B$1224, Sheet3!$D$2:$D$1224, "")</f>
        <v/>
      </c>
      <c r="G2146" s="1" t="str" cm="1">
        <f t="array" ref="G2146">_xlfn.XLOOKUP(D2146&amp;C2146, Sheet2!$A$2:$A$558&amp;Sheet2!$B$2:$B$558, Sheet2!$C$2:$C$558, "")</f>
        <v>edo.wijaya92@gmail.com</v>
      </c>
      <c r="H2146" s="40" t="str">
        <f t="shared" si="33"/>
        <v>edo.wijaya92@gmail.com</v>
      </c>
    </row>
    <row r="2147" spans="1:8" ht="15.5" x14ac:dyDescent="0.35">
      <c r="A2147" s="7">
        <v>2146</v>
      </c>
      <c r="B2147" s="17">
        <v>36157</v>
      </c>
      <c r="C2147" s="13" t="s">
        <v>1919</v>
      </c>
      <c r="D2147" s="17" t="s">
        <v>2846</v>
      </c>
      <c r="E2147" s="10">
        <v>2014</v>
      </c>
      <c r="F2147" s="36" t="str" cm="1">
        <f t="array" ref="F2147">_xlfn.XLOOKUP(D2147&amp;C2147, Sheet3!$C$2:$C$1224&amp;Sheet3!$B$2:$B$1224, Sheet3!$D$2:$D$1224, "")</f>
        <v/>
      </c>
      <c r="G2147" s="1" t="str" cm="1">
        <f t="array" ref="G2147">_xlfn.XLOOKUP(D2147&amp;C2147, Sheet2!$A$2:$A$558&amp;Sheet2!$B$2:$B$558, Sheet2!$C$2:$C$558, "")</f>
        <v>dhaniaditya88@gmail.com</v>
      </c>
      <c r="H2147" s="40" t="str">
        <f t="shared" si="33"/>
        <v>dhaniaditya88@gmail.com</v>
      </c>
    </row>
    <row r="2148" spans="1:8" ht="15.5" x14ac:dyDescent="0.35">
      <c r="A2148" s="7">
        <v>2147</v>
      </c>
      <c r="B2148" s="17">
        <v>36884</v>
      </c>
      <c r="C2148" s="13" t="s">
        <v>1920</v>
      </c>
      <c r="D2148" s="17" t="s">
        <v>2846</v>
      </c>
      <c r="E2148" s="10">
        <v>2014</v>
      </c>
      <c r="F2148" s="36" t="str" cm="1">
        <f t="array" ref="F2148">_xlfn.XLOOKUP(D2148&amp;C2148, Sheet3!$C$2:$C$1224&amp;Sheet3!$B$2:$B$1224, Sheet3!$D$2:$D$1224, "")</f>
        <v/>
      </c>
      <c r="G2148" s="1" t="str" cm="1">
        <f t="array" ref="G2148">_xlfn.XLOOKUP(D2148&amp;C2148, Sheet2!$A$2:$A$558&amp;Sheet2!$B$2:$B$558, Sheet2!$C$2:$C$558, "")</f>
        <v/>
      </c>
      <c r="H2148" s="40" t="str">
        <f t="shared" si="33"/>
        <v/>
      </c>
    </row>
    <row r="2149" spans="1:8" ht="15.5" x14ac:dyDescent="0.35">
      <c r="A2149" s="7">
        <v>2148</v>
      </c>
      <c r="B2149" s="17">
        <v>35610</v>
      </c>
      <c r="C2149" s="13" t="s">
        <v>1921</v>
      </c>
      <c r="D2149" s="17" t="s">
        <v>2845</v>
      </c>
      <c r="E2149" s="10">
        <v>2014</v>
      </c>
      <c r="F2149" s="36" t="str" cm="1">
        <f t="array" ref="F2149">_xlfn.XLOOKUP(D2149&amp;C2149, Sheet3!$C$2:$C$1224&amp;Sheet3!$B$2:$B$1224, Sheet3!$D$2:$D$1224, "")</f>
        <v>sangptindragunawan@gmail.com</v>
      </c>
      <c r="G2149" s="1" t="str" cm="1">
        <f t="array" ref="G2149">_xlfn.XLOOKUP(D2149&amp;C2149, Sheet2!$A$2:$A$558&amp;Sheet2!$B$2:$B$558, Sheet2!$C$2:$C$558, "")</f>
        <v>sangptindragunawan@gmail.com</v>
      </c>
      <c r="H2149" s="40" t="str">
        <f t="shared" si="33"/>
        <v>sangptindragunawan@gmail.com</v>
      </c>
    </row>
    <row r="2150" spans="1:8" ht="15.5" x14ac:dyDescent="0.35">
      <c r="A2150" s="7">
        <v>2149</v>
      </c>
      <c r="B2150" s="17">
        <v>36735</v>
      </c>
      <c r="C2150" s="13" t="s">
        <v>1922</v>
      </c>
      <c r="D2150" s="17" t="s">
        <v>2846</v>
      </c>
      <c r="E2150" s="10">
        <v>2014</v>
      </c>
      <c r="F2150" s="36" t="str" cm="1">
        <f t="array" ref="F2150">_xlfn.XLOOKUP(D2150&amp;C2150, Sheet3!$C$2:$C$1224&amp;Sheet3!$B$2:$B$1224, Sheet3!$D$2:$D$1224, "")</f>
        <v/>
      </c>
      <c r="G2150" s="1" t="str" cm="1">
        <f t="array" ref="G2150">_xlfn.XLOOKUP(D2150&amp;C2150, Sheet2!$A$2:$A$558&amp;Sheet2!$B$2:$B$558, Sheet2!$C$2:$C$558, "")</f>
        <v>erlyna.nour@gmail.com</v>
      </c>
      <c r="H2150" s="40" t="str">
        <f t="shared" si="33"/>
        <v>erlyna.nour@gmail.com</v>
      </c>
    </row>
    <row r="2151" spans="1:8" ht="15.5" x14ac:dyDescent="0.35">
      <c r="A2151" s="7">
        <v>2150</v>
      </c>
      <c r="B2151" s="17">
        <v>37306</v>
      </c>
      <c r="C2151" s="13" t="s">
        <v>1923</v>
      </c>
      <c r="D2151" s="17" t="s">
        <v>2846</v>
      </c>
      <c r="E2151" s="10">
        <v>2014</v>
      </c>
      <c r="F2151" s="36" t="str" cm="1">
        <f t="array" ref="F2151">_xlfn.XLOOKUP(D2151&amp;C2151, Sheet3!$C$2:$C$1224&amp;Sheet3!$B$2:$B$1224, Sheet3!$D$2:$D$1224, "")</f>
        <v/>
      </c>
      <c r="G2151" s="1" t="str" cm="1">
        <f t="array" ref="G2151">_xlfn.XLOOKUP(D2151&amp;C2151, Sheet2!$A$2:$A$558&amp;Sheet2!$B$2:$B$558, Sheet2!$C$2:$C$558, "")</f>
        <v/>
      </c>
      <c r="H2151" s="40" t="str">
        <f t="shared" si="33"/>
        <v/>
      </c>
    </row>
    <row r="2152" spans="1:8" ht="15.5" x14ac:dyDescent="0.35">
      <c r="A2152" s="7">
        <v>2151</v>
      </c>
      <c r="B2152" s="17">
        <v>36194</v>
      </c>
      <c r="C2152" s="13" t="s">
        <v>1924</v>
      </c>
      <c r="D2152" s="17" t="s">
        <v>2846</v>
      </c>
      <c r="E2152" s="10">
        <v>2014</v>
      </c>
      <c r="F2152" s="36" t="str" cm="1">
        <f t="array" ref="F2152">_xlfn.XLOOKUP(D2152&amp;C2152, Sheet3!$C$2:$C$1224&amp;Sheet3!$B$2:$B$1224, Sheet3!$D$2:$D$1224, "")</f>
        <v>Rahmat.sidim8@gmail.com</v>
      </c>
      <c r="G2152" s="1" t="str" cm="1">
        <f t="array" ref="G2152">_xlfn.XLOOKUP(D2152&amp;C2152, Sheet2!$A$2:$A$558&amp;Sheet2!$B$2:$B$558, Sheet2!$C$2:$C$558, "")</f>
        <v/>
      </c>
      <c r="H2152" s="40" t="str">
        <f t="shared" si="33"/>
        <v>Rahmat.sidim8@gmail.com</v>
      </c>
    </row>
    <row r="2153" spans="1:8" ht="15.5" x14ac:dyDescent="0.35">
      <c r="A2153" s="7">
        <v>2152</v>
      </c>
      <c r="B2153" s="17">
        <v>37155</v>
      </c>
      <c r="C2153" s="13" t="s">
        <v>1925</v>
      </c>
      <c r="D2153" s="17" t="s">
        <v>2846</v>
      </c>
      <c r="E2153" s="10">
        <v>2014</v>
      </c>
      <c r="F2153" s="36" t="str" cm="1">
        <f t="array" ref="F2153">_xlfn.XLOOKUP(D2153&amp;C2153, Sheet3!$C$2:$C$1224&amp;Sheet3!$B$2:$B$1224, Sheet3!$D$2:$D$1224, "")</f>
        <v/>
      </c>
      <c r="G2153" s="1" t="str" cm="1">
        <f t="array" ref="G2153">_xlfn.XLOOKUP(D2153&amp;C2153, Sheet2!$A$2:$A$558&amp;Sheet2!$B$2:$B$558, Sheet2!$C$2:$C$558, "")</f>
        <v/>
      </c>
      <c r="H2153" s="40" t="str">
        <f t="shared" si="33"/>
        <v/>
      </c>
    </row>
    <row r="2154" spans="1:8" ht="15.5" x14ac:dyDescent="0.35">
      <c r="A2154" s="7">
        <v>2153</v>
      </c>
      <c r="B2154" s="17">
        <v>34408</v>
      </c>
      <c r="C2154" s="13" t="s">
        <v>1926</v>
      </c>
      <c r="D2154" s="17" t="s">
        <v>2844</v>
      </c>
      <c r="E2154" s="10">
        <v>2014</v>
      </c>
      <c r="F2154" s="36" t="str" cm="1">
        <f t="array" ref="F2154">_xlfn.XLOOKUP(D2154&amp;C2154, Sheet3!$C$2:$C$1224&amp;Sheet3!$B$2:$B$1224, Sheet3!$D$2:$D$1224, "")</f>
        <v/>
      </c>
      <c r="G2154" s="1" t="str" cm="1">
        <f t="array" ref="G2154">_xlfn.XLOOKUP(D2154&amp;C2154, Sheet2!$A$2:$A$558&amp;Sheet2!$B$2:$B$558, Sheet2!$C$2:$C$558, "")</f>
        <v/>
      </c>
      <c r="H2154" s="40" t="str">
        <f t="shared" si="33"/>
        <v/>
      </c>
    </row>
    <row r="2155" spans="1:8" ht="15.5" x14ac:dyDescent="0.35">
      <c r="A2155" s="7">
        <v>2154</v>
      </c>
      <c r="B2155" s="17">
        <v>36620</v>
      </c>
      <c r="C2155" s="13" t="s">
        <v>1927</v>
      </c>
      <c r="D2155" s="17" t="s">
        <v>2846</v>
      </c>
      <c r="E2155" s="10">
        <v>2014</v>
      </c>
      <c r="F2155" s="36" t="str" cm="1">
        <f t="array" ref="F2155">_xlfn.XLOOKUP(D2155&amp;C2155, Sheet3!$C$2:$C$1224&amp;Sheet3!$B$2:$B$1224, Sheet3!$D$2:$D$1224, "")</f>
        <v/>
      </c>
      <c r="G2155" s="1" t="str" cm="1">
        <f t="array" ref="G2155">_xlfn.XLOOKUP(D2155&amp;C2155, Sheet2!$A$2:$A$558&amp;Sheet2!$B$2:$B$558, Sheet2!$C$2:$C$558, "")</f>
        <v/>
      </c>
      <c r="H2155" s="40" t="str">
        <f t="shared" si="33"/>
        <v/>
      </c>
    </row>
    <row r="2156" spans="1:8" ht="15.5" x14ac:dyDescent="0.35">
      <c r="A2156" s="7">
        <v>2155</v>
      </c>
      <c r="B2156" s="17">
        <v>36979</v>
      </c>
      <c r="C2156" s="13" t="s">
        <v>1928</v>
      </c>
      <c r="D2156" s="17" t="s">
        <v>2846</v>
      </c>
      <c r="E2156" s="10">
        <v>2014</v>
      </c>
      <c r="F2156" s="36" t="str" cm="1">
        <f t="array" ref="F2156">_xlfn.XLOOKUP(D2156&amp;C2156, Sheet3!$C$2:$C$1224&amp;Sheet3!$B$2:$B$1224, Sheet3!$D$2:$D$1224, "")</f>
        <v/>
      </c>
      <c r="G2156" s="1" t="str" cm="1">
        <f t="array" ref="G2156">_xlfn.XLOOKUP(D2156&amp;C2156, Sheet2!$A$2:$A$558&amp;Sheet2!$B$2:$B$558, Sheet2!$C$2:$C$558, "")</f>
        <v/>
      </c>
      <c r="H2156" s="40" t="str">
        <f t="shared" si="33"/>
        <v/>
      </c>
    </row>
    <row r="2157" spans="1:8" ht="15.5" x14ac:dyDescent="0.35">
      <c r="A2157" s="7">
        <v>2156</v>
      </c>
      <c r="B2157" s="17">
        <v>35491</v>
      </c>
      <c r="C2157" s="13" t="s">
        <v>1929</v>
      </c>
      <c r="D2157" s="17" t="s">
        <v>2845</v>
      </c>
      <c r="E2157" s="10">
        <v>2014</v>
      </c>
      <c r="F2157" s="36" t="str" cm="1">
        <f t="array" ref="F2157">_xlfn.XLOOKUP(D2157&amp;C2157, Sheet3!$C$2:$C$1224&amp;Sheet3!$B$2:$B$1224, Sheet3!$D$2:$D$1224, "")</f>
        <v>yasiragus91@gmail.com</v>
      </c>
      <c r="G2157" s="1" t="str" cm="1">
        <f t="array" ref="G2157">_xlfn.XLOOKUP(D2157&amp;C2157, Sheet2!$A$2:$A$558&amp;Sheet2!$B$2:$B$558, Sheet2!$C$2:$C$558, "")</f>
        <v>yasiragus91@gmail.com</v>
      </c>
      <c r="H2157" s="40" t="str">
        <f t="shared" si="33"/>
        <v>yasiragus91@gmail.com</v>
      </c>
    </row>
    <row r="2158" spans="1:8" ht="15.5" x14ac:dyDescent="0.35">
      <c r="A2158" s="7">
        <v>2157</v>
      </c>
      <c r="B2158" s="17">
        <v>36896</v>
      </c>
      <c r="C2158" s="13" t="s">
        <v>1930</v>
      </c>
      <c r="D2158" s="17" t="s">
        <v>2846</v>
      </c>
      <c r="E2158" s="10">
        <v>2014</v>
      </c>
      <c r="F2158" s="36" t="str" cm="1">
        <f t="array" ref="F2158">_xlfn.XLOOKUP(D2158&amp;C2158, Sheet3!$C$2:$C$1224&amp;Sheet3!$B$2:$B$1224, Sheet3!$D$2:$D$1224, "")</f>
        <v>nillafauzi@gmail.com</v>
      </c>
      <c r="G2158" s="1" t="str" cm="1">
        <f t="array" ref="G2158">_xlfn.XLOOKUP(D2158&amp;C2158, Sheet2!$A$2:$A$558&amp;Sheet2!$B$2:$B$558, Sheet2!$C$2:$C$558, "")</f>
        <v>nillafauzi@gmail.com</v>
      </c>
      <c r="H2158" s="40" t="str">
        <f t="shared" si="33"/>
        <v>nillafauzi@gmail.com</v>
      </c>
    </row>
    <row r="2159" spans="1:8" ht="15.5" x14ac:dyDescent="0.35">
      <c r="A2159" s="7">
        <v>2158</v>
      </c>
      <c r="B2159" s="17">
        <v>35665</v>
      </c>
      <c r="C2159" s="13" t="s">
        <v>1931</v>
      </c>
      <c r="D2159" s="17" t="s">
        <v>2845</v>
      </c>
      <c r="E2159" s="10">
        <v>2014</v>
      </c>
      <c r="F2159" s="36" t="str" cm="1">
        <f t="array" ref="F2159">_xlfn.XLOOKUP(D2159&amp;C2159, Sheet3!$C$2:$C$1224&amp;Sheet3!$B$2:$B$1224, Sheet3!$D$2:$D$1224, "")</f>
        <v/>
      </c>
      <c r="G2159" s="1" t="str" cm="1">
        <f t="array" ref="G2159">_xlfn.XLOOKUP(D2159&amp;C2159, Sheet2!$A$2:$A$558&amp;Sheet2!$B$2:$B$558, Sheet2!$C$2:$C$558, "")</f>
        <v/>
      </c>
      <c r="H2159" s="40" t="str">
        <f t="shared" si="33"/>
        <v/>
      </c>
    </row>
    <row r="2160" spans="1:8" ht="15.5" x14ac:dyDescent="0.35">
      <c r="A2160" s="7">
        <v>2159</v>
      </c>
      <c r="B2160" s="17">
        <v>35643</v>
      </c>
      <c r="C2160" s="13" t="s">
        <v>1932</v>
      </c>
      <c r="D2160" s="17" t="s">
        <v>2845</v>
      </c>
      <c r="E2160" s="10">
        <v>2014</v>
      </c>
      <c r="F2160" s="36" t="str" cm="1">
        <f t="array" ref="F2160">_xlfn.XLOOKUP(D2160&amp;C2160, Sheet3!$C$2:$C$1224&amp;Sheet3!$B$2:$B$1224, Sheet3!$D$2:$D$1224, "")</f>
        <v>b.yolanda28@gmail.com</v>
      </c>
      <c r="G2160" s="1" t="str" cm="1">
        <f t="array" ref="G2160">_xlfn.XLOOKUP(D2160&amp;C2160, Sheet2!$A$2:$A$558&amp;Sheet2!$B$2:$B$558, Sheet2!$C$2:$C$558, "")</f>
        <v>b.yolanda28@gmail.com</v>
      </c>
      <c r="H2160" s="40" t="str">
        <f t="shared" si="33"/>
        <v>b.yolanda28@gmail.com</v>
      </c>
    </row>
    <row r="2161" spans="1:8" ht="15.5" x14ac:dyDescent="0.35">
      <c r="A2161" s="7">
        <v>2160</v>
      </c>
      <c r="B2161" s="17">
        <v>36150</v>
      </c>
      <c r="C2161" s="13" t="s">
        <v>1933</v>
      </c>
      <c r="D2161" s="17" t="s">
        <v>2846</v>
      </c>
      <c r="E2161" s="10">
        <v>2014</v>
      </c>
      <c r="F2161" s="36" t="str" cm="1">
        <f t="array" ref="F2161">_xlfn.XLOOKUP(D2161&amp;C2161, Sheet3!$C$2:$C$1224&amp;Sheet3!$B$2:$B$1224, Sheet3!$D$2:$D$1224, "")</f>
        <v/>
      </c>
      <c r="G2161" s="1" t="str" cm="1">
        <f t="array" ref="G2161">_xlfn.XLOOKUP(D2161&amp;C2161, Sheet2!$A$2:$A$558&amp;Sheet2!$B$2:$B$558, Sheet2!$C$2:$C$558, "")</f>
        <v/>
      </c>
      <c r="H2161" s="40" t="str">
        <f t="shared" si="33"/>
        <v/>
      </c>
    </row>
    <row r="2162" spans="1:8" ht="15.5" x14ac:dyDescent="0.35">
      <c r="A2162" s="7">
        <v>2161</v>
      </c>
      <c r="B2162" s="17">
        <v>33488</v>
      </c>
      <c r="C2162" s="13" t="s">
        <v>1934</v>
      </c>
      <c r="D2162" s="17" t="s">
        <v>2843</v>
      </c>
      <c r="E2162" s="10">
        <v>2014</v>
      </c>
      <c r="F2162" s="36" t="str" cm="1">
        <f t="array" ref="F2162">_xlfn.XLOOKUP(D2162&amp;C2162, Sheet3!$C$2:$C$1224&amp;Sheet3!$B$2:$B$1224, Sheet3!$D$2:$D$1224, "")</f>
        <v/>
      </c>
      <c r="G2162" s="1" t="str" cm="1">
        <f t="array" ref="G2162">_xlfn.XLOOKUP(D2162&amp;C2162, Sheet2!$A$2:$A$558&amp;Sheet2!$B$2:$B$558, Sheet2!$C$2:$C$558, "")</f>
        <v/>
      </c>
      <c r="H2162" s="40" t="str">
        <f t="shared" si="33"/>
        <v/>
      </c>
    </row>
    <row r="2163" spans="1:8" ht="15.5" x14ac:dyDescent="0.35">
      <c r="A2163" s="7">
        <v>2162</v>
      </c>
      <c r="B2163" s="17">
        <v>34300</v>
      </c>
      <c r="C2163" s="13" t="s">
        <v>1935</v>
      </c>
      <c r="D2163" s="17" t="s">
        <v>2844</v>
      </c>
      <c r="E2163" s="10">
        <v>2014</v>
      </c>
      <c r="F2163" s="36" t="str" cm="1">
        <f t="array" ref="F2163">_xlfn.XLOOKUP(D2163&amp;C2163, Sheet3!$C$2:$C$1224&amp;Sheet3!$B$2:$B$1224, Sheet3!$D$2:$D$1224, "")</f>
        <v/>
      </c>
      <c r="G2163" s="1" t="str" cm="1">
        <f t="array" ref="G2163">_xlfn.XLOOKUP(D2163&amp;C2163, Sheet2!$A$2:$A$558&amp;Sheet2!$B$2:$B$558, Sheet2!$C$2:$C$558, "")</f>
        <v/>
      </c>
      <c r="H2163" s="40" t="str">
        <f t="shared" si="33"/>
        <v/>
      </c>
    </row>
    <row r="2164" spans="1:8" ht="15.5" x14ac:dyDescent="0.35">
      <c r="A2164" s="7">
        <v>2163</v>
      </c>
      <c r="B2164" s="17">
        <v>37204</v>
      </c>
      <c r="C2164" s="13" t="s">
        <v>1936</v>
      </c>
      <c r="D2164" s="17" t="s">
        <v>2846</v>
      </c>
      <c r="E2164" s="10">
        <v>2014</v>
      </c>
      <c r="F2164" s="36" t="str" cm="1">
        <f t="array" ref="F2164">_xlfn.XLOOKUP(D2164&amp;C2164, Sheet3!$C$2:$C$1224&amp;Sheet3!$B$2:$B$1224, Sheet3!$D$2:$D$1224, "")</f>
        <v>sitirahmipratiw.rosy@gmail.com</v>
      </c>
      <c r="G2164" s="1" t="str" cm="1">
        <f t="array" ref="G2164">_xlfn.XLOOKUP(D2164&amp;C2164, Sheet2!$A$2:$A$558&amp;Sheet2!$B$2:$B$558, Sheet2!$C$2:$C$558, "")</f>
        <v>sitirahmipratiwi.rosy@gmail.com</v>
      </c>
      <c r="H2164" s="40" t="str">
        <f t="shared" si="33"/>
        <v>sitirahmipratiw.rosy@gmail.com</v>
      </c>
    </row>
    <row r="2165" spans="1:8" ht="15.5" x14ac:dyDescent="0.35">
      <c r="A2165" s="7">
        <v>2164</v>
      </c>
      <c r="B2165" s="17">
        <v>37532</v>
      </c>
      <c r="C2165" s="13" t="s">
        <v>1937</v>
      </c>
      <c r="D2165" s="17" t="s">
        <v>2846</v>
      </c>
      <c r="E2165" s="10">
        <v>2014</v>
      </c>
      <c r="F2165" s="36" t="str" cm="1">
        <f t="array" ref="F2165">_xlfn.XLOOKUP(D2165&amp;C2165, Sheet3!$C$2:$C$1224&amp;Sheet3!$B$2:$B$1224, Sheet3!$D$2:$D$1224, "")</f>
        <v/>
      </c>
      <c r="G2165" s="1" t="str" cm="1">
        <f t="array" ref="G2165">_xlfn.XLOOKUP(D2165&amp;C2165, Sheet2!$A$2:$A$558&amp;Sheet2!$B$2:$B$558, Sheet2!$C$2:$C$558, "")</f>
        <v/>
      </c>
      <c r="H2165" s="40" t="str">
        <f t="shared" si="33"/>
        <v/>
      </c>
    </row>
    <row r="2166" spans="1:8" ht="15.5" x14ac:dyDescent="0.35">
      <c r="A2166" s="7">
        <v>2165</v>
      </c>
      <c r="B2166" s="17">
        <v>32739</v>
      </c>
      <c r="C2166" s="13" t="s">
        <v>1938</v>
      </c>
      <c r="D2166" s="17" t="s">
        <v>2843</v>
      </c>
      <c r="E2166" s="10">
        <v>2014</v>
      </c>
      <c r="F2166" s="36" t="str" cm="1">
        <f t="array" ref="F2166">_xlfn.XLOOKUP(D2166&amp;C2166, Sheet3!$C$2:$C$1224&amp;Sheet3!$B$2:$B$1224, Sheet3!$D$2:$D$1224, "")</f>
        <v/>
      </c>
      <c r="G2166" s="1" t="str" cm="1">
        <f t="array" ref="G2166">_xlfn.XLOOKUP(D2166&amp;C2166, Sheet2!$A$2:$A$558&amp;Sheet2!$B$2:$B$558, Sheet2!$C$2:$C$558, "")</f>
        <v/>
      </c>
      <c r="H2166" s="40" t="str">
        <f t="shared" si="33"/>
        <v/>
      </c>
    </row>
    <row r="2167" spans="1:8" ht="15.5" x14ac:dyDescent="0.35">
      <c r="A2167" s="7">
        <v>2166</v>
      </c>
      <c r="B2167" s="17">
        <v>33217</v>
      </c>
      <c r="C2167" s="13" t="s">
        <v>1939</v>
      </c>
      <c r="D2167" s="17" t="s">
        <v>2843</v>
      </c>
      <c r="E2167" s="10">
        <v>2014</v>
      </c>
      <c r="F2167" s="36" t="str" cm="1">
        <f t="array" ref="F2167">_xlfn.XLOOKUP(D2167&amp;C2167, Sheet3!$C$2:$C$1224&amp;Sheet3!$B$2:$B$1224, Sheet3!$D$2:$D$1224, "")</f>
        <v/>
      </c>
      <c r="G2167" s="1" t="str" cm="1">
        <f t="array" ref="G2167">_xlfn.XLOOKUP(D2167&amp;C2167, Sheet2!$A$2:$A$558&amp;Sheet2!$B$2:$B$558, Sheet2!$C$2:$C$558, "")</f>
        <v/>
      </c>
      <c r="H2167" s="40" t="str">
        <f t="shared" si="33"/>
        <v/>
      </c>
    </row>
    <row r="2168" spans="1:8" ht="15.5" x14ac:dyDescent="0.35">
      <c r="A2168" s="7">
        <v>2167</v>
      </c>
      <c r="B2168" s="17">
        <v>34998</v>
      </c>
      <c r="C2168" s="13" t="s">
        <v>1940</v>
      </c>
      <c r="D2168" s="17" t="s">
        <v>2845</v>
      </c>
      <c r="E2168" s="10">
        <v>2014</v>
      </c>
      <c r="F2168" s="36" t="str" cm="1">
        <f t="array" ref="F2168">_xlfn.XLOOKUP(D2168&amp;C2168, Sheet3!$C$2:$C$1224&amp;Sheet3!$B$2:$B$1224, Sheet3!$D$2:$D$1224, "")</f>
        <v/>
      </c>
      <c r="G2168" s="1" t="str" cm="1">
        <f t="array" ref="G2168">_xlfn.XLOOKUP(D2168&amp;C2168, Sheet2!$A$2:$A$558&amp;Sheet2!$B$2:$B$558, Sheet2!$C$2:$C$558, "")</f>
        <v/>
      </c>
      <c r="H2168" s="40" t="str">
        <f t="shared" si="33"/>
        <v/>
      </c>
    </row>
    <row r="2169" spans="1:8" ht="15.5" x14ac:dyDescent="0.35">
      <c r="A2169" s="7">
        <v>2168</v>
      </c>
      <c r="B2169" s="17">
        <v>35270</v>
      </c>
      <c r="C2169" s="13" t="s">
        <v>1941</v>
      </c>
      <c r="D2169" s="17" t="s">
        <v>2845</v>
      </c>
      <c r="E2169" s="10">
        <v>2014</v>
      </c>
      <c r="F2169" s="36" t="str" cm="1">
        <f t="array" ref="F2169">_xlfn.XLOOKUP(D2169&amp;C2169, Sheet3!$C$2:$C$1224&amp;Sheet3!$B$2:$B$1224, Sheet3!$D$2:$D$1224, "")</f>
        <v/>
      </c>
      <c r="G2169" s="1" t="str" cm="1">
        <f t="array" ref="G2169">_xlfn.XLOOKUP(D2169&amp;C2169, Sheet2!$A$2:$A$558&amp;Sheet2!$B$2:$B$558, Sheet2!$C$2:$C$558, "")</f>
        <v>ginanjarihsan@gmail.com</v>
      </c>
      <c r="H2169" s="40" t="str">
        <f t="shared" si="33"/>
        <v>ginanjarihsan@gmail.com</v>
      </c>
    </row>
    <row r="2170" spans="1:8" ht="15.5" x14ac:dyDescent="0.35">
      <c r="A2170" s="7">
        <v>2169</v>
      </c>
      <c r="B2170" s="17">
        <v>35811</v>
      </c>
      <c r="C2170" s="13" t="s">
        <v>1942</v>
      </c>
      <c r="D2170" s="17" t="s">
        <v>2845</v>
      </c>
      <c r="E2170" s="10">
        <v>2014</v>
      </c>
      <c r="F2170" s="36" t="str" cm="1">
        <f t="array" ref="F2170">_xlfn.XLOOKUP(D2170&amp;C2170, Sheet3!$C$2:$C$1224&amp;Sheet3!$B$2:$B$1224, Sheet3!$D$2:$D$1224, "")</f>
        <v/>
      </c>
      <c r="G2170" s="1" t="str" cm="1">
        <f t="array" ref="G2170">_xlfn.XLOOKUP(D2170&amp;C2170, Sheet2!$A$2:$A$558&amp;Sheet2!$B$2:$B$558, Sheet2!$C$2:$C$558, "")</f>
        <v/>
      </c>
      <c r="H2170" s="40" t="str">
        <f t="shared" si="33"/>
        <v/>
      </c>
    </row>
    <row r="2171" spans="1:8" ht="15.5" x14ac:dyDescent="0.35">
      <c r="A2171" s="7">
        <v>2170</v>
      </c>
      <c r="B2171" s="18">
        <v>36234</v>
      </c>
      <c r="C2171" s="13" t="s">
        <v>1943</v>
      </c>
      <c r="D2171" s="18" t="s">
        <v>2846</v>
      </c>
      <c r="E2171" s="10">
        <v>2014</v>
      </c>
      <c r="F2171" s="36" t="str" cm="1">
        <f t="array" ref="F2171">_xlfn.XLOOKUP(D2171&amp;C2171, Sheet3!$C$2:$C$1224&amp;Sheet3!$B$2:$B$1224, Sheet3!$D$2:$D$1224, "")</f>
        <v/>
      </c>
      <c r="G2171" s="1" t="str" cm="1">
        <f t="array" ref="G2171">_xlfn.XLOOKUP(D2171&amp;C2171, Sheet2!$A$2:$A$558&amp;Sheet2!$B$2:$B$558, Sheet2!$C$2:$C$558, "")</f>
        <v>arum.w.hastuti@gmail.com</v>
      </c>
      <c r="H2171" s="40" t="str">
        <f t="shared" si="33"/>
        <v>arum.w.hastuti@gmail.com</v>
      </c>
    </row>
    <row r="2172" spans="1:8" ht="15.5" x14ac:dyDescent="0.35">
      <c r="A2172" s="7">
        <v>2171</v>
      </c>
      <c r="B2172" s="18">
        <v>35758</v>
      </c>
      <c r="C2172" s="13" t="s">
        <v>1944</v>
      </c>
      <c r="D2172" s="18" t="s">
        <v>2845</v>
      </c>
      <c r="E2172" s="10">
        <v>2014</v>
      </c>
      <c r="F2172" s="36" t="str" cm="1">
        <f t="array" ref="F2172">_xlfn.XLOOKUP(D2172&amp;C2172, Sheet3!$C$2:$C$1224&amp;Sheet3!$B$2:$B$1224, Sheet3!$D$2:$D$1224, "")</f>
        <v>azizulizza1990@gmail.com</v>
      </c>
      <c r="G2172" s="1" t="str" cm="1">
        <f t="array" ref="G2172">_xlfn.XLOOKUP(D2172&amp;C2172, Sheet2!$A$2:$A$558&amp;Sheet2!$B$2:$B$558, Sheet2!$C$2:$C$558, "")</f>
        <v>azizulizza1990@gmail.com</v>
      </c>
      <c r="H2172" s="40" t="str">
        <f t="shared" si="33"/>
        <v>azizulizza1990@gmail.com</v>
      </c>
    </row>
    <row r="2173" spans="1:8" ht="15.5" x14ac:dyDescent="0.35">
      <c r="A2173" s="7">
        <v>2172</v>
      </c>
      <c r="B2173" s="18">
        <v>35677</v>
      </c>
      <c r="C2173" s="13" t="s">
        <v>1945</v>
      </c>
      <c r="D2173" s="18" t="s">
        <v>2845</v>
      </c>
      <c r="E2173" s="10">
        <v>2014</v>
      </c>
      <c r="F2173" s="36" t="str" cm="1">
        <f t="array" ref="F2173">_xlfn.XLOOKUP(D2173&amp;C2173, Sheet3!$C$2:$C$1224&amp;Sheet3!$B$2:$B$1224, Sheet3!$D$2:$D$1224, "")</f>
        <v/>
      </c>
      <c r="G2173" s="1" t="str" cm="1">
        <f t="array" ref="G2173">_xlfn.XLOOKUP(D2173&amp;C2173, Sheet2!$A$2:$A$558&amp;Sheet2!$B$2:$B$558, Sheet2!$C$2:$C$558, "")</f>
        <v/>
      </c>
      <c r="H2173" s="40" t="str">
        <f t="shared" si="33"/>
        <v/>
      </c>
    </row>
    <row r="2174" spans="1:8" ht="15.5" x14ac:dyDescent="0.35">
      <c r="A2174" s="7">
        <v>2173</v>
      </c>
      <c r="B2174" s="18">
        <v>35651</v>
      </c>
      <c r="C2174" s="13" t="s">
        <v>1946</v>
      </c>
      <c r="D2174" s="18" t="s">
        <v>2845</v>
      </c>
      <c r="E2174" s="10">
        <v>2014</v>
      </c>
      <c r="F2174" s="36" t="str" cm="1">
        <f t="array" ref="F2174">_xlfn.XLOOKUP(D2174&amp;C2174, Sheet3!$C$2:$C$1224&amp;Sheet3!$B$2:$B$1224, Sheet3!$D$2:$D$1224, "")</f>
        <v>diahk.nasution@gmail.com</v>
      </c>
      <c r="G2174" s="1" t="str" cm="1">
        <f t="array" ref="G2174">_xlfn.XLOOKUP(D2174&amp;C2174, Sheet2!$A$2:$A$558&amp;Sheet2!$B$2:$B$558, Sheet2!$C$2:$C$558, "")</f>
        <v/>
      </c>
      <c r="H2174" s="40" t="str">
        <f t="shared" si="33"/>
        <v>diahk.nasution@gmail.com</v>
      </c>
    </row>
    <row r="2175" spans="1:8" ht="15.5" x14ac:dyDescent="0.35">
      <c r="A2175" s="7">
        <v>2174</v>
      </c>
      <c r="B2175" s="18">
        <v>36831</v>
      </c>
      <c r="C2175" s="13" t="s">
        <v>1947</v>
      </c>
      <c r="D2175" s="18" t="s">
        <v>2846</v>
      </c>
      <c r="E2175" s="10">
        <v>2014</v>
      </c>
      <c r="F2175" s="36" t="str" cm="1">
        <f t="array" ref="F2175">_xlfn.XLOOKUP(D2175&amp;C2175, Sheet3!$C$2:$C$1224&amp;Sheet3!$B$2:$B$1224, Sheet3!$D$2:$D$1224, "")</f>
        <v>hanifilmawan@gmail.com</v>
      </c>
      <c r="G2175" s="1" t="str" cm="1">
        <f t="array" ref="G2175">_xlfn.XLOOKUP(D2175&amp;C2175, Sheet2!$A$2:$A$558&amp;Sheet2!$B$2:$B$558, Sheet2!$C$2:$C$558, "")</f>
        <v/>
      </c>
      <c r="H2175" s="40" t="str">
        <f t="shared" si="33"/>
        <v>hanifilmawan@gmail.com</v>
      </c>
    </row>
    <row r="2176" spans="1:8" ht="15.5" x14ac:dyDescent="0.35">
      <c r="A2176" s="7">
        <v>2175</v>
      </c>
      <c r="B2176" s="18">
        <v>36652</v>
      </c>
      <c r="C2176" s="13" t="s">
        <v>1948</v>
      </c>
      <c r="D2176" s="18" t="s">
        <v>2846</v>
      </c>
      <c r="E2176" s="10">
        <v>2014</v>
      </c>
      <c r="F2176" s="36" t="str" cm="1">
        <f t="array" ref="F2176">_xlfn.XLOOKUP(D2176&amp;C2176, Sheet3!$C$2:$C$1224&amp;Sheet3!$B$2:$B$1224, Sheet3!$D$2:$D$1224, "")</f>
        <v>Winda.kurniawati92@gmail.com</v>
      </c>
      <c r="G2176" s="1" t="str" cm="1">
        <f t="array" ref="G2176">_xlfn.XLOOKUP(D2176&amp;C2176, Sheet2!$A$2:$A$558&amp;Sheet2!$B$2:$B$558, Sheet2!$C$2:$C$558, "")</f>
        <v/>
      </c>
      <c r="H2176" s="40" t="str">
        <f t="shared" si="33"/>
        <v>Winda.kurniawati92@gmail.com</v>
      </c>
    </row>
    <row r="2177" spans="1:8" ht="15.5" x14ac:dyDescent="0.35">
      <c r="A2177" s="7">
        <v>2176</v>
      </c>
      <c r="B2177" s="18">
        <v>37242</v>
      </c>
      <c r="C2177" s="13" t="s">
        <v>1949</v>
      </c>
      <c r="D2177" s="18" t="s">
        <v>2846</v>
      </c>
      <c r="E2177" s="10">
        <v>2014</v>
      </c>
      <c r="F2177" s="36" t="str" cm="1">
        <f t="array" ref="F2177">_xlfn.XLOOKUP(D2177&amp;C2177, Sheet3!$C$2:$C$1224&amp;Sheet3!$B$2:$B$1224, Sheet3!$D$2:$D$1224, "")</f>
        <v/>
      </c>
      <c r="G2177" s="1" t="str" cm="1">
        <f t="array" ref="G2177">_xlfn.XLOOKUP(D2177&amp;C2177, Sheet2!$A$2:$A$558&amp;Sheet2!$B$2:$B$558, Sheet2!$C$2:$C$558, "")</f>
        <v/>
      </c>
      <c r="H2177" s="40" t="str">
        <f t="shared" si="33"/>
        <v/>
      </c>
    </row>
    <row r="2178" spans="1:8" ht="15.5" x14ac:dyDescent="0.35">
      <c r="A2178" s="7">
        <v>2177</v>
      </c>
      <c r="B2178" s="18">
        <v>36676</v>
      </c>
      <c r="C2178" s="13" t="s">
        <v>1950</v>
      </c>
      <c r="D2178" s="18" t="s">
        <v>2846</v>
      </c>
      <c r="E2178" s="10">
        <v>2014</v>
      </c>
      <c r="F2178" s="36" t="str" cm="1">
        <f t="array" ref="F2178">_xlfn.XLOOKUP(D2178&amp;C2178, Sheet3!$C$2:$C$1224&amp;Sheet3!$B$2:$B$1224, Sheet3!$D$2:$D$1224, "")</f>
        <v>nimas.hayu.m@gmail.com</v>
      </c>
      <c r="G2178" s="1" t="str" cm="1">
        <f t="array" ref="G2178">_xlfn.XLOOKUP(D2178&amp;C2178, Sheet2!$A$2:$A$558&amp;Sheet2!$B$2:$B$558, Sheet2!$C$2:$C$558, "")</f>
        <v>nimas.hayu.m@gmail.com</v>
      </c>
      <c r="H2178" s="40" t="str">
        <f t="shared" si="33"/>
        <v>nimas.hayu.m@gmail.com</v>
      </c>
    </row>
    <row r="2179" spans="1:8" ht="15.5" x14ac:dyDescent="0.35">
      <c r="A2179" s="7">
        <v>2178</v>
      </c>
      <c r="B2179" s="18">
        <v>34229</v>
      </c>
      <c r="C2179" s="13" t="s">
        <v>1951</v>
      </c>
      <c r="D2179" s="18" t="s">
        <v>2844</v>
      </c>
      <c r="E2179" s="10">
        <v>2014</v>
      </c>
      <c r="F2179" s="36" t="str" cm="1">
        <f t="array" ref="F2179">_xlfn.XLOOKUP(D2179&amp;C2179, Sheet3!$C$2:$C$1224&amp;Sheet3!$B$2:$B$1224, Sheet3!$D$2:$D$1224, "")</f>
        <v/>
      </c>
      <c r="G2179" s="1" t="str" cm="1">
        <f t="array" ref="G2179">_xlfn.XLOOKUP(D2179&amp;C2179, Sheet2!$A$2:$A$558&amp;Sheet2!$B$2:$B$558, Sheet2!$C$2:$C$558, "")</f>
        <v/>
      </c>
      <c r="H2179" s="40" t="str">
        <f t="shared" ref="H2179:H2242" si="34">IF(F2179&lt;&gt;"",F2179,G2179)</f>
        <v/>
      </c>
    </row>
    <row r="2180" spans="1:8" ht="15.5" x14ac:dyDescent="0.35">
      <c r="A2180" s="7">
        <v>2179</v>
      </c>
      <c r="B2180" s="18">
        <v>36904</v>
      </c>
      <c r="C2180" s="13" t="s">
        <v>1952</v>
      </c>
      <c r="D2180" s="18" t="s">
        <v>2846</v>
      </c>
      <c r="E2180" s="10">
        <v>2014</v>
      </c>
      <c r="F2180" s="36" t="str" cm="1">
        <f t="array" ref="F2180">_xlfn.XLOOKUP(D2180&amp;C2180, Sheet3!$C$2:$C$1224&amp;Sheet3!$B$2:$B$1224, Sheet3!$D$2:$D$1224, "")</f>
        <v/>
      </c>
      <c r="G2180" s="1" t="str" cm="1">
        <f t="array" ref="G2180">_xlfn.XLOOKUP(D2180&amp;C2180, Sheet2!$A$2:$A$558&amp;Sheet2!$B$2:$B$558, Sheet2!$C$2:$C$558, "")</f>
        <v/>
      </c>
      <c r="H2180" s="40" t="str">
        <f t="shared" si="34"/>
        <v/>
      </c>
    </row>
    <row r="2181" spans="1:8" ht="15.5" x14ac:dyDescent="0.35">
      <c r="A2181" s="7">
        <v>2180</v>
      </c>
      <c r="B2181" s="18">
        <v>35076</v>
      </c>
      <c r="C2181" s="13" t="s">
        <v>5477</v>
      </c>
      <c r="D2181" s="18" t="s">
        <v>2845</v>
      </c>
      <c r="E2181" s="10">
        <v>2014</v>
      </c>
      <c r="F2181" s="36" t="str" cm="1">
        <f t="array" ref="F2181">_xlfn.XLOOKUP(D2181&amp;C2181, Sheet3!$C$2:$C$1224&amp;Sheet3!$B$2:$B$1224, Sheet3!$D$2:$D$1224, "")</f>
        <v>sugandi.nainggolan@gmail.com</v>
      </c>
      <c r="G2181" s="1" t="str" cm="1">
        <f t="array" ref="G2181">_xlfn.XLOOKUP(D2181&amp;C2181, Sheet2!$A$2:$A$558&amp;Sheet2!$B$2:$B$558, Sheet2!$C$2:$C$558, "")</f>
        <v/>
      </c>
      <c r="H2181" s="40" t="str">
        <f t="shared" si="34"/>
        <v>sugandi.nainggolan@gmail.com</v>
      </c>
    </row>
    <row r="2182" spans="1:8" ht="15.5" x14ac:dyDescent="0.35">
      <c r="A2182" s="7">
        <v>2181</v>
      </c>
      <c r="B2182" s="18">
        <v>37495</v>
      </c>
      <c r="C2182" s="13" t="s">
        <v>1953</v>
      </c>
      <c r="D2182" s="18" t="s">
        <v>2846</v>
      </c>
      <c r="E2182" s="10">
        <v>2014</v>
      </c>
      <c r="F2182" s="36" t="str" cm="1">
        <f t="array" ref="F2182">_xlfn.XLOOKUP(D2182&amp;C2182, Sheet3!$C$2:$C$1224&amp;Sheet3!$B$2:$B$1224, Sheet3!$D$2:$D$1224, "")</f>
        <v>safrinabarraslogi@gmail.com</v>
      </c>
      <c r="G2182" s="1" t="str" cm="1">
        <f t="array" ref="G2182">_xlfn.XLOOKUP(D2182&amp;C2182, Sheet2!$A$2:$A$558&amp;Sheet2!$B$2:$B$558, Sheet2!$C$2:$C$558, "")</f>
        <v>nikmasupermap@gmail.com</v>
      </c>
      <c r="H2182" s="40" t="str">
        <f t="shared" si="34"/>
        <v>safrinabarraslogi@gmail.com</v>
      </c>
    </row>
    <row r="2183" spans="1:8" ht="15.5" x14ac:dyDescent="0.35">
      <c r="A2183" s="7">
        <v>2182</v>
      </c>
      <c r="B2183" s="18">
        <v>35690</v>
      </c>
      <c r="C2183" s="13" t="s">
        <v>1954</v>
      </c>
      <c r="D2183" s="18" t="s">
        <v>2845</v>
      </c>
      <c r="E2183" s="10">
        <v>2014</v>
      </c>
      <c r="F2183" s="36" t="str" cm="1">
        <f t="array" ref="F2183">_xlfn.XLOOKUP(D2183&amp;C2183, Sheet3!$C$2:$C$1224&amp;Sheet3!$B$2:$B$1224, Sheet3!$D$2:$D$1224, "")</f>
        <v>anggapermana110691@gmail.com</v>
      </c>
      <c r="G2183" s="1" t="str" cm="1">
        <f t="array" ref="G2183">_xlfn.XLOOKUP(D2183&amp;C2183, Sheet2!$A$2:$A$558&amp;Sheet2!$B$2:$B$558, Sheet2!$C$2:$C$558, "")</f>
        <v>anggapermana110691@gmail.com</v>
      </c>
      <c r="H2183" s="40" t="str">
        <f t="shared" si="34"/>
        <v>anggapermana110691@gmail.com</v>
      </c>
    </row>
    <row r="2184" spans="1:8" ht="15.5" x14ac:dyDescent="0.35">
      <c r="A2184" s="7">
        <v>2183</v>
      </c>
      <c r="B2184" s="18">
        <v>35836</v>
      </c>
      <c r="C2184" s="13" t="s">
        <v>1955</v>
      </c>
      <c r="D2184" s="18" t="s">
        <v>2845</v>
      </c>
      <c r="E2184" s="10">
        <v>2014</v>
      </c>
      <c r="F2184" s="36" t="str" cm="1">
        <f t="array" ref="F2184">_xlfn.XLOOKUP(D2184&amp;C2184, Sheet3!$C$2:$C$1224&amp;Sheet3!$B$2:$B$1224, Sheet3!$D$2:$D$1224, "")</f>
        <v/>
      </c>
      <c r="G2184" s="1" t="str" cm="1">
        <f t="array" ref="G2184">_xlfn.XLOOKUP(D2184&amp;C2184, Sheet2!$A$2:$A$558&amp;Sheet2!$B$2:$B$558, Sheet2!$C$2:$C$558, "")</f>
        <v>pgantangdewantoro@gmail.com</v>
      </c>
      <c r="H2184" s="40" t="str">
        <f t="shared" si="34"/>
        <v>pgantangdewantoro@gmail.com</v>
      </c>
    </row>
    <row r="2185" spans="1:8" ht="15.5" x14ac:dyDescent="0.35">
      <c r="A2185" s="7">
        <v>2184</v>
      </c>
      <c r="B2185" s="18">
        <v>37056</v>
      </c>
      <c r="C2185" s="13" t="s">
        <v>1956</v>
      </c>
      <c r="D2185" s="18" t="s">
        <v>2846</v>
      </c>
      <c r="E2185" s="10">
        <v>2014</v>
      </c>
      <c r="F2185" s="36" t="str" cm="1">
        <f t="array" ref="F2185">_xlfn.XLOOKUP(D2185&amp;C2185, Sheet3!$C$2:$C$1224&amp;Sheet3!$B$2:$B$1224, Sheet3!$D$2:$D$1224, "")</f>
        <v/>
      </c>
      <c r="G2185" s="1" t="str" cm="1">
        <f t="array" ref="G2185">_xlfn.XLOOKUP(D2185&amp;C2185, Sheet2!$A$2:$A$558&amp;Sheet2!$B$2:$B$558, Sheet2!$C$2:$C$558, "")</f>
        <v/>
      </c>
      <c r="H2185" s="40" t="str">
        <f t="shared" si="34"/>
        <v/>
      </c>
    </row>
    <row r="2186" spans="1:8" ht="15.5" x14ac:dyDescent="0.35">
      <c r="A2186" s="7">
        <v>2185</v>
      </c>
      <c r="B2186" s="18">
        <v>36992</v>
      </c>
      <c r="C2186" s="13" t="s">
        <v>1957</v>
      </c>
      <c r="D2186" s="18" t="s">
        <v>2846</v>
      </c>
      <c r="E2186" s="10">
        <v>2014</v>
      </c>
      <c r="F2186" s="36" t="str" cm="1">
        <f t="array" ref="F2186">_xlfn.XLOOKUP(D2186&amp;C2186, Sheet3!$C$2:$C$1224&amp;Sheet3!$B$2:$B$1224, Sheet3!$D$2:$D$1224, "")</f>
        <v/>
      </c>
      <c r="G2186" s="1" t="str" cm="1">
        <f t="array" ref="G2186">_xlfn.XLOOKUP(D2186&amp;C2186, Sheet2!$A$2:$A$558&amp;Sheet2!$B$2:$B$558, Sheet2!$C$2:$C$558, "")</f>
        <v/>
      </c>
      <c r="H2186" s="40" t="str">
        <f t="shared" si="34"/>
        <v/>
      </c>
    </row>
    <row r="2187" spans="1:8" ht="15.5" x14ac:dyDescent="0.35">
      <c r="A2187" s="7">
        <v>2186</v>
      </c>
      <c r="B2187" s="18">
        <v>34271</v>
      </c>
      <c r="C2187" s="13" t="s">
        <v>1958</v>
      </c>
      <c r="D2187" s="18" t="s">
        <v>2844</v>
      </c>
      <c r="E2187" s="10">
        <v>2014</v>
      </c>
      <c r="F2187" s="36" t="str" cm="1">
        <f t="array" ref="F2187">_xlfn.XLOOKUP(D2187&amp;C2187, Sheet3!$C$2:$C$1224&amp;Sheet3!$B$2:$B$1224, Sheet3!$D$2:$D$1224, "")</f>
        <v>dian.sulaksono17@gmail.com</v>
      </c>
      <c r="G2187" s="1" t="str" cm="1">
        <f t="array" ref="G2187">_xlfn.XLOOKUP(D2187&amp;C2187, Sheet2!$A$2:$A$558&amp;Sheet2!$B$2:$B$558, Sheet2!$C$2:$C$558, "")</f>
        <v/>
      </c>
      <c r="H2187" s="40" t="str">
        <f t="shared" si="34"/>
        <v>dian.sulaksono17@gmail.com</v>
      </c>
    </row>
    <row r="2188" spans="1:8" ht="15.5" x14ac:dyDescent="0.35">
      <c r="A2188" s="7">
        <v>2187</v>
      </c>
      <c r="B2188" s="25">
        <v>34916</v>
      </c>
      <c r="C2188" s="13" t="s">
        <v>1959</v>
      </c>
      <c r="D2188" s="25" t="s">
        <v>2845</v>
      </c>
      <c r="E2188" s="10">
        <v>2014</v>
      </c>
      <c r="F2188" s="36" t="str" cm="1">
        <f t="array" ref="F2188">_xlfn.XLOOKUP(D2188&amp;C2188, Sheet3!$C$2:$C$1224&amp;Sheet3!$B$2:$B$1224, Sheet3!$D$2:$D$1224, "")</f>
        <v/>
      </c>
      <c r="G2188" s="1" t="str" cm="1">
        <f t="array" ref="G2188">_xlfn.XLOOKUP(D2188&amp;C2188, Sheet2!$A$2:$A$558&amp;Sheet2!$B$2:$B$558, Sheet2!$C$2:$C$558, "")</f>
        <v>zulfannazal@gmail.com</v>
      </c>
      <c r="H2188" s="40" t="str">
        <f t="shared" si="34"/>
        <v>zulfannazal@gmail.com</v>
      </c>
    </row>
    <row r="2189" spans="1:8" ht="15.5" x14ac:dyDescent="0.35">
      <c r="A2189" s="7">
        <v>2188</v>
      </c>
      <c r="B2189" s="25">
        <v>37370</v>
      </c>
      <c r="C2189" s="13" t="s">
        <v>1960</v>
      </c>
      <c r="D2189" s="25" t="s">
        <v>2846</v>
      </c>
      <c r="E2189" s="10">
        <v>2014</v>
      </c>
      <c r="F2189" s="36" t="str" cm="1">
        <f t="array" ref="F2189">_xlfn.XLOOKUP(D2189&amp;C2189, Sheet3!$C$2:$C$1224&amp;Sheet3!$B$2:$B$1224, Sheet3!$D$2:$D$1224, "")</f>
        <v>anindya.sricandra.p@ugm.ac.id</v>
      </c>
      <c r="G2189" s="1" t="str" cm="1">
        <f t="array" ref="G2189">_xlfn.XLOOKUP(D2189&amp;C2189, Sheet2!$A$2:$A$558&amp;Sheet2!$B$2:$B$558, Sheet2!$C$2:$C$558, "")</f>
        <v/>
      </c>
      <c r="H2189" s="40" t="str">
        <f t="shared" si="34"/>
        <v>anindya.sricandra.p@ugm.ac.id</v>
      </c>
    </row>
    <row r="2190" spans="1:8" ht="15.5" x14ac:dyDescent="0.35">
      <c r="A2190" s="7">
        <v>2189</v>
      </c>
      <c r="B2190" s="25">
        <v>34815</v>
      </c>
      <c r="C2190" s="13" t="s">
        <v>1961</v>
      </c>
      <c r="D2190" s="25" t="s">
        <v>2845</v>
      </c>
      <c r="E2190" s="10">
        <v>2014</v>
      </c>
      <c r="F2190" s="36" t="str" cm="1">
        <f t="array" ref="F2190">_xlfn.XLOOKUP(D2190&amp;C2190, Sheet3!$C$2:$C$1224&amp;Sheet3!$B$2:$B$1224, Sheet3!$D$2:$D$1224, "")</f>
        <v/>
      </c>
      <c r="G2190" s="1" t="str" cm="1">
        <f t="array" ref="G2190">_xlfn.XLOOKUP(D2190&amp;C2190, Sheet2!$A$2:$A$558&amp;Sheet2!$B$2:$B$558, Sheet2!$C$2:$C$558, "")</f>
        <v/>
      </c>
      <c r="H2190" s="40" t="str">
        <f t="shared" si="34"/>
        <v/>
      </c>
    </row>
    <row r="2191" spans="1:8" ht="15.5" x14ac:dyDescent="0.35">
      <c r="A2191" s="7">
        <v>2190</v>
      </c>
      <c r="B2191" s="25">
        <v>37108</v>
      </c>
      <c r="C2191" s="13" t="s">
        <v>1962</v>
      </c>
      <c r="D2191" s="25" t="s">
        <v>2846</v>
      </c>
      <c r="E2191" s="10">
        <v>2014</v>
      </c>
      <c r="F2191" s="36" t="str" cm="1">
        <f t="array" ref="F2191">_xlfn.XLOOKUP(D2191&amp;C2191, Sheet3!$C$2:$C$1224&amp;Sheet3!$B$2:$B$1224, Sheet3!$D$2:$D$1224, "")</f>
        <v/>
      </c>
      <c r="G2191" s="1" t="str" cm="1">
        <f t="array" ref="G2191">_xlfn.XLOOKUP(D2191&amp;C2191, Sheet2!$A$2:$A$558&amp;Sheet2!$B$2:$B$558, Sheet2!$C$2:$C$558, "")</f>
        <v/>
      </c>
      <c r="H2191" s="40" t="str">
        <f t="shared" si="34"/>
        <v/>
      </c>
    </row>
    <row r="2192" spans="1:8" ht="15.5" x14ac:dyDescent="0.35">
      <c r="A2192" s="7">
        <v>2191</v>
      </c>
      <c r="B2192" s="25">
        <v>36858</v>
      </c>
      <c r="C2192" s="13" t="s">
        <v>1963</v>
      </c>
      <c r="D2192" s="25" t="s">
        <v>2846</v>
      </c>
      <c r="E2192" s="10">
        <v>2014</v>
      </c>
      <c r="F2192" s="36" t="str" cm="1">
        <f t="array" ref="F2192">_xlfn.XLOOKUP(D2192&amp;C2192, Sheet3!$C$2:$C$1224&amp;Sheet3!$B$2:$B$1224, Sheet3!$D$2:$D$1224, "")</f>
        <v>achmad.radama@gmail.com</v>
      </c>
      <c r="G2192" s="1" t="str" cm="1">
        <f t="array" ref="G2192">_xlfn.XLOOKUP(D2192&amp;C2192, Sheet2!$A$2:$A$558&amp;Sheet2!$B$2:$B$558, Sheet2!$C$2:$C$558, "")</f>
        <v/>
      </c>
      <c r="H2192" s="40" t="str">
        <f t="shared" si="34"/>
        <v>achmad.radama@gmail.com</v>
      </c>
    </row>
    <row r="2193" spans="1:8" ht="15.5" x14ac:dyDescent="0.35">
      <c r="A2193" s="7">
        <v>2192</v>
      </c>
      <c r="B2193" s="25">
        <v>33255</v>
      </c>
      <c r="C2193" s="13" t="s">
        <v>1964</v>
      </c>
      <c r="D2193" s="25" t="s">
        <v>2843</v>
      </c>
      <c r="E2193" s="10">
        <v>2014</v>
      </c>
      <c r="F2193" s="36" t="str" cm="1">
        <f t="array" ref="F2193">_xlfn.XLOOKUP(D2193&amp;C2193, Sheet3!$C$2:$C$1224&amp;Sheet3!$B$2:$B$1224, Sheet3!$D$2:$D$1224, "")</f>
        <v>mr.barnadib@gmail.com</v>
      </c>
      <c r="G2193" s="1" t="str" cm="1">
        <f t="array" ref="G2193">_xlfn.XLOOKUP(D2193&amp;C2193, Sheet2!$A$2:$A$558&amp;Sheet2!$B$2:$B$558, Sheet2!$C$2:$C$558, "")</f>
        <v>mr.barnadib@gmail.com</v>
      </c>
      <c r="H2193" s="40" t="str">
        <f t="shared" si="34"/>
        <v>mr.barnadib@gmail.com</v>
      </c>
    </row>
    <row r="2194" spans="1:8" ht="15.5" x14ac:dyDescent="0.35">
      <c r="A2194" s="7">
        <v>2193</v>
      </c>
      <c r="B2194" s="25">
        <v>33010</v>
      </c>
      <c r="C2194" s="13" t="s">
        <v>1965</v>
      </c>
      <c r="D2194" s="25" t="s">
        <v>2843</v>
      </c>
      <c r="E2194" s="10">
        <v>2014</v>
      </c>
      <c r="F2194" s="36" t="str" cm="1">
        <f t="array" ref="F2194">_xlfn.XLOOKUP(D2194&amp;C2194, Sheet3!$C$2:$C$1224&amp;Sheet3!$B$2:$B$1224, Sheet3!$D$2:$D$1224, "")</f>
        <v>Imadeindrawirawan@gmail.com</v>
      </c>
      <c r="G2194" s="1" t="str" cm="1">
        <f t="array" ref="G2194">_xlfn.XLOOKUP(D2194&amp;C2194, Sheet2!$A$2:$A$558&amp;Sheet2!$B$2:$B$558, Sheet2!$C$2:$C$558, "")</f>
        <v/>
      </c>
      <c r="H2194" s="40" t="str">
        <f t="shared" si="34"/>
        <v>Imadeindrawirawan@gmail.com</v>
      </c>
    </row>
    <row r="2195" spans="1:8" ht="15.5" x14ac:dyDescent="0.35">
      <c r="A2195" s="7">
        <v>2194</v>
      </c>
      <c r="B2195" s="25">
        <v>32733</v>
      </c>
      <c r="C2195" s="13" t="s">
        <v>1966</v>
      </c>
      <c r="D2195" s="25" t="s">
        <v>2843</v>
      </c>
      <c r="E2195" s="10">
        <v>2015</v>
      </c>
      <c r="F2195" s="36" t="str" cm="1">
        <f t="array" ref="F2195">_xlfn.XLOOKUP(D2195&amp;C2195, Sheet3!$C$2:$C$1224&amp;Sheet3!$B$2:$B$1224, Sheet3!$D$2:$D$1224, "")</f>
        <v/>
      </c>
      <c r="G2195" s="1" t="str" cm="1">
        <f t="array" ref="G2195">_xlfn.XLOOKUP(D2195&amp;C2195, Sheet2!$A$2:$A$558&amp;Sheet2!$B$2:$B$558, Sheet2!$C$2:$C$558, "")</f>
        <v>aamgoin@gmail.com</v>
      </c>
      <c r="H2195" s="40" t="str">
        <f t="shared" si="34"/>
        <v>aamgoin@gmail.com</v>
      </c>
    </row>
    <row r="2196" spans="1:8" ht="15.5" x14ac:dyDescent="0.35">
      <c r="A2196" s="7">
        <v>2195</v>
      </c>
      <c r="B2196" s="25">
        <v>33044</v>
      </c>
      <c r="C2196" s="13" t="s">
        <v>1967</v>
      </c>
      <c r="D2196" s="25" t="s">
        <v>2843</v>
      </c>
      <c r="E2196" s="10">
        <v>2015</v>
      </c>
      <c r="F2196" s="36" t="str" cm="1">
        <f t="array" ref="F2196">_xlfn.XLOOKUP(D2196&amp;C2196, Sheet3!$C$2:$C$1224&amp;Sheet3!$B$2:$B$1224, Sheet3!$D$2:$D$1224, "")</f>
        <v/>
      </c>
      <c r="G2196" s="1" t="str" cm="1">
        <f t="array" ref="G2196">_xlfn.XLOOKUP(D2196&amp;C2196, Sheet2!$A$2:$A$558&amp;Sheet2!$B$2:$B$558, Sheet2!$C$2:$C$558, "")</f>
        <v/>
      </c>
      <c r="H2196" s="40" t="str">
        <f t="shared" si="34"/>
        <v/>
      </c>
    </row>
    <row r="2197" spans="1:8" ht="15.5" x14ac:dyDescent="0.35">
      <c r="A2197" s="7">
        <v>2196</v>
      </c>
      <c r="B2197" s="25">
        <v>33086</v>
      </c>
      <c r="C2197" s="13" t="s">
        <v>1968</v>
      </c>
      <c r="D2197" s="25" t="s">
        <v>2843</v>
      </c>
      <c r="E2197" s="10">
        <v>2015</v>
      </c>
      <c r="F2197" s="36" t="str" cm="1">
        <f t="array" ref="F2197">_xlfn.XLOOKUP(D2197&amp;C2197, Sheet3!$C$2:$C$1224&amp;Sheet3!$B$2:$B$1224, Sheet3!$D$2:$D$1224, "")</f>
        <v/>
      </c>
      <c r="G2197" s="1" t="str" cm="1">
        <f t="array" ref="G2197">_xlfn.XLOOKUP(D2197&amp;C2197, Sheet2!$A$2:$A$558&amp;Sheet2!$B$2:$B$558, Sheet2!$C$2:$C$558, "")</f>
        <v>iskandar1905@gmail.com</v>
      </c>
      <c r="H2197" s="40" t="str">
        <f t="shared" si="34"/>
        <v>iskandar1905@gmail.com</v>
      </c>
    </row>
    <row r="2198" spans="1:8" ht="15.5" x14ac:dyDescent="0.35">
      <c r="A2198" s="7">
        <v>2197</v>
      </c>
      <c r="B2198" s="25">
        <v>33679</v>
      </c>
      <c r="C2198" s="13" t="s">
        <v>1969</v>
      </c>
      <c r="D2198" s="25" t="s">
        <v>2844</v>
      </c>
      <c r="E2198" s="10">
        <v>2015</v>
      </c>
      <c r="F2198" s="36" t="str" cm="1">
        <f t="array" ref="F2198">_xlfn.XLOOKUP(D2198&amp;C2198, Sheet3!$C$2:$C$1224&amp;Sheet3!$B$2:$B$1224, Sheet3!$D$2:$D$1224, "")</f>
        <v/>
      </c>
      <c r="G2198" s="1" t="str" cm="1">
        <f t="array" ref="G2198">_xlfn.XLOOKUP(D2198&amp;C2198, Sheet2!$A$2:$A$558&amp;Sheet2!$B$2:$B$558, Sheet2!$C$2:$C$558, "")</f>
        <v>ajengarimiratnak@gmail.com</v>
      </c>
      <c r="H2198" s="40" t="str">
        <f t="shared" si="34"/>
        <v>ajengarimiratnak@gmail.com</v>
      </c>
    </row>
    <row r="2199" spans="1:8" ht="15.5" x14ac:dyDescent="0.35">
      <c r="A2199" s="7">
        <v>2198</v>
      </c>
      <c r="B2199" s="25">
        <v>33695</v>
      </c>
      <c r="C2199" s="13" t="s">
        <v>1970</v>
      </c>
      <c r="D2199" s="25" t="s">
        <v>2844</v>
      </c>
      <c r="E2199" s="10">
        <v>2015</v>
      </c>
      <c r="F2199" s="36" t="str" cm="1">
        <f t="array" ref="F2199">_xlfn.XLOOKUP(D2199&amp;C2199, Sheet3!$C$2:$C$1224&amp;Sheet3!$B$2:$B$1224, Sheet3!$D$2:$D$1224, "")</f>
        <v/>
      </c>
      <c r="G2199" s="1" t="str" cm="1">
        <f t="array" ref="G2199">_xlfn.XLOOKUP(D2199&amp;C2199, Sheet2!$A$2:$A$558&amp;Sheet2!$B$2:$B$558, Sheet2!$C$2:$C$558, "")</f>
        <v/>
      </c>
      <c r="H2199" s="40" t="str">
        <f t="shared" si="34"/>
        <v/>
      </c>
    </row>
    <row r="2200" spans="1:8" ht="15.5" x14ac:dyDescent="0.35">
      <c r="A2200" s="7">
        <v>2199</v>
      </c>
      <c r="B2200" s="25">
        <v>34099</v>
      </c>
      <c r="C2200" s="13" t="s">
        <v>1971</v>
      </c>
      <c r="D2200" s="25" t="s">
        <v>2844</v>
      </c>
      <c r="E2200" s="10">
        <v>2015</v>
      </c>
      <c r="F2200" s="36" t="str" cm="1">
        <f t="array" ref="F2200">_xlfn.XLOOKUP(D2200&amp;C2200, Sheet3!$C$2:$C$1224&amp;Sheet3!$B$2:$B$1224, Sheet3!$D$2:$D$1224, "")</f>
        <v/>
      </c>
      <c r="G2200" s="1" t="str" cm="1">
        <f t="array" ref="G2200">_xlfn.XLOOKUP(D2200&amp;C2200, Sheet2!$A$2:$A$558&amp;Sheet2!$B$2:$B$558, Sheet2!$C$2:$C$558, "")</f>
        <v/>
      </c>
      <c r="H2200" s="40" t="str">
        <f t="shared" si="34"/>
        <v/>
      </c>
    </row>
    <row r="2201" spans="1:8" ht="15.5" x14ac:dyDescent="0.35">
      <c r="A2201" s="7">
        <v>2200</v>
      </c>
      <c r="B2201" s="25">
        <v>34307</v>
      </c>
      <c r="C2201" s="13" t="s">
        <v>1972</v>
      </c>
      <c r="D2201" s="25" t="s">
        <v>2844</v>
      </c>
      <c r="E2201" s="10">
        <v>2015</v>
      </c>
      <c r="F2201" s="36" t="str" cm="1">
        <f t="array" ref="F2201">_xlfn.XLOOKUP(D2201&amp;C2201, Sheet3!$C$2:$C$1224&amp;Sheet3!$B$2:$B$1224, Sheet3!$D$2:$D$1224, "")</f>
        <v/>
      </c>
      <c r="G2201" s="1" t="str" cm="1">
        <f t="array" ref="G2201">_xlfn.XLOOKUP(D2201&amp;C2201, Sheet2!$A$2:$A$558&amp;Sheet2!$B$2:$B$558, Sheet2!$C$2:$C$558, "")</f>
        <v/>
      </c>
      <c r="H2201" s="40" t="str">
        <f t="shared" si="34"/>
        <v/>
      </c>
    </row>
    <row r="2202" spans="1:8" ht="15.5" x14ac:dyDescent="0.35">
      <c r="A2202" s="7">
        <v>2201</v>
      </c>
      <c r="B2202" s="25">
        <v>35201</v>
      </c>
      <c r="C2202" s="13" t="s">
        <v>1973</v>
      </c>
      <c r="D2202" s="25" t="s">
        <v>2845</v>
      </c>
      <c r="E2202" s="10">
        <v>2015</v>
      </c>
      <c r="F2202" s="36" t="str" cm="1">
        <f t="array" ref="F2202">_xlfn.XLOOKUP(D2202&amp;C2202, Sheet3!$C$2:$C$1224&amp;Sheet3!$B$2:$B$1224, Sheet3!$D$2:$D$1224, "")</f>
        <v/>
      </c>
      <c r="G2202" s="1" t="str" cm="1">
        <f t="array" ref="G2202">_xlfn.XLOOKUP(D2202&amp;C2202, Sheet2!$A$2:$A$558&amp;Sheet2!$B$2:$B$558, Sheet2!$C$2:$C$558, "")</f>
        <v/>
      </c>
      <c r="H2202" s="40" t="str">
        <f t="shared" si="34"/>
        <v/>
      </c>
    </row>
    <row r="2203" spans="1:8" ht="15.5" x14ac:dyDescent="0.35">
      <c r="A2203" s="7">
        <v>2202</v>
      </c>
      <c r="B2203" s="25">
        <v>35759</v>
      </c>
      <c r="C2203" s="13" t="s">
        <v>1974</v>
      </c>
      <c r="D2203" s="25" t="s">
        <v>2845</v>
      </c>
      <c r="E2203" s="10">
        <v>2015</v>
      </c>
      <c r="F2203" s="36" t="str" cm="1">
        <f t="array" ref="F2203">_xlfn.XLOOKUP(D2203&amp;C2203, Sheet3!$C$2:$C$1224&amp;Sheet3!$B$2:$B$1224, Sheet3!$D$2:$D$1224, "")</f>
        <v>Bayu.afdilla@gmail.com</v>
      </c>
      <c r="G2203" s="1" t="str" cm="1">
        <f t="array" ref="G2203">_xlfn.XLOOKUP(D2203&amp;C2203, Sheet2!$A$2:$A$558&amp;Sheet2!$B$2:$B$558, Sheet2!$C$2:$C$558, "")</f>
        <v>bayu.afdilla@gmail.com</v>
      </c>
      <c r="H2203" s="40" t="str">
        <f t="shared" si="34"/>
        <v>Bayu.afdilla@gmail.com</v>
      </c>
    </row>
    <row r="2204" spans="1:8" ht="15.5" x14ac:dyDescent="0.35">
      <c r="A2204" s="7">
        <v>2203</v>
      </c>
      <c r="B2204" s="25">
        <v>36632</v>
      </c>
      <c r="C2204" s="13" t="s">
        <v>1975</v>
      </c>
      <c r="D2204" s="25" t="s">
        <v>2846</v>
      </c>
      <c r="E2204" s="10">
        <v>2015</v>
      </c>
      <c r="F2204" s="36" t="str" cm="1">
        <f t="array" ref="F2204">_xlfn.XLOOKUP(D2204&amp;C2204, Sheet3!$C$2:$C$1224&amp;Sheet3!$B$2:$B$1224, Sheet3!$D$2:$D$1224, "")</f>
        <v/>
      </c>
      <c r="G2204" s="1" t="str" cm="1">
        <f t="array" ref="G2204">_xlfn.XLOOKUP(D2204&amp;C2204, Sheet2!$A$2:$A$558&amp;Sheet2!$B$2:$B$558, Sheet2!$C$2:$C$558, "")</f>
        <v/>
      </c>
      <c r="H2204" s="40" t="str">
        <f t="shared" si="34"/>
        <v/>
      </c>
    </row>
    <row r="2205" spans="1:8" ht="15.5" x14ac:dyDescent="0.35">
      <c r="A2205" s="7">
        <v>2204</v>
      </c>
      <c r="B2205" s="25">
        <v>36801</v>
      </c>
      <c r="C2205" s="13" t="s">
        <v>1976</v>
      </c>
      <c r="D2205" s="25" t="s">
        <v>2846</v>
      </c>
      <c r="E2205" s="10">
        <v>2015</v>
      </c>
      <c r="F2205" s="36" t="str" cm="1">
        <f t="array" ref="F2205">_xlfn.XLOOKUP(D2205&amp;C2205, Sheet3!$C$2:$C$1224&amp;Sheet3!$B$2:$B$1224, Sheet3!$D$2:$D$1224, "")</f>
        <v/>
      </c>
      <c r="G2205" s="1" t="str" cm="1">
        <f t="array" ref="G2205">_xlfn.XLOOKUP(D2205&amp;C2205, Sheet2!$A$2:$A$558&amp;Sheet2!$B$2:$B$558, Sheet2!$C$2:$C$558, "")</f>
        <v/>
      </c>
      <c r="H2205" s="40" t="str">
        <f t="shared" si="34"/>
        <v/>
      </c>
    </row>
    <row r="2206" spans="1:8" ht="15.5" x14ac:dyDescent="0.35">
      <c r="A2206" s="7">
        <v>2205</v>
      </c>
      <c r="B2206" s="25">
        <v>36863</v>
      </c>
      <c r="C2206" s="13" t="s">
        <v>1977</v>
      </c>
      <c r="D2206" s="25" t="s">
        <v>2846</v>
      </c>
      <c r="E2206" s="10">
        <v>2015</v>
      </c>
      <c r="F2206" s="36" t="str" cm="1">
        <f t="array" ref="F2206">_xlfn.XLOOKUP(D2206&amp;C2206, Sheet3!$C$2:$C$1224&amp;Sheet3!$B$2:$B$1224, Sheet3!$D$2:$D$1224, "")</f>
        <v>sitinoorchayati@gmail.com</v>
      </c>
      <c r="G2206" s="1" t="str" cm="1">
        <f t="array" ref="G2206">_xlfn.XLOOKUP(D2206&amp;C2206, Sheet2!$A$2:$A$558&amp;Sheet2!$B$2:$B$558, Sheet2!$C$2:$C$558, "")</f>
        <v/>
      </c>
      <c r="H2206" s="40" t="str">
        <f t="shared" si="34"/>
        <v>sitinoorchayati@gmail.com</v>
      </c>
    </row>
    <row r="2207" spans="1:8" ht="15.5" x14ac:dyDescent="0.35">
      <c r="A2207" s="7">
        <v>2206</v>
      </c>
      <c r="B2207" s="25">
        <v>36961</v>
      </c>
      <c r="C2207" s="13" t="s">
        <v>1978</v>
      </c>
      <c r="D2207" s="25" t="s">
        <v>2846</v>
      </c>
      <c r="E2207" s="10">
        <v>2015</v>
      </c>
      <c r="F2207" s="36" t="str" cm="1">
        <f t="array" ref="F2207">_xlfn.XLOOKUP(D2207&amp;C2207, Sheet3!$C$2:$C$1224&amp;Sheet3!$B$2:$B$1224, Sheet3!$D$2:$D$1224, "")</f>
        <v/>
      </c>
      <c r="G2207" s="1" t="str" cm="1">
        <f t="array" ref="G2207">_xlfn.XLOOKUP(D2207&amp;C2207, Sheet2!$A$2:$A$558&amp;Sheet2!$B$2:$B$558, Sheet2!$C$2:$C$558, "")</f>
        <v>brilyanjati@pu.go.id</v>
      </c>
      <c r="H2207" s="40" t="str">
        <f t="shared" si="34"/>
        <v>brilyanjati@pu.go.id</v>
      </c>
    </row>
    <row r="2208" spans="1:8" ht="15.5" x14ac:dyDescent="0.35">
      <c r="A2208" s="7">
        <v>2207</v>
      </c>
      <c r="B2208" s="25">
        <v>36972</v>
      </c>
      <c r="C2208" s="13" t="s">
        <v>1979</v>
      </c>
      <c r="D2208" s="25" t="s">
        <v>2846</v>
      </c>
      <c r="E2208" s="10">
        <v>2015</v>
      </c>
      <c r="F2208" s="36" t="str" cm="1">
        <f t="array" ref="F2208">_xlfn.XLOOKUP(D2208&amp;C2208, Sheet3!$C$2:$C$1224&amp;Sheet3!$B$2:$B$1224, Sheet3!$D$2:$D$1224, "")</f>
        <v>sekitarkita77@gmail.com</v>
      </c>
      <c r="G2208" s="1" t="str" cm="1">
        <f t="array" ref="G2208">_xlfn.XLOOKUP(D2208&amp;C2208, Sheet2!$A$2:$A$558&amp;Sheet2!$B$2:$B$558, Sheet2!$C$2:$C$558, "")</f>
        <v/>
      </c>
      <c r="H2208" s="40" t="str">
        <f t="shared" si="34"/>
        <v>sekitarkita77@gmail.com</v>
      </c>
    </row>
    <row r="2209" spans="1:8" ht="15.5" x14ac:dyDescent="0.35">
      <c r="A2209" s="7">
        <v>2208</v>
      </c>
      <c r="B2209" s="25">
        <v>36978</v>
      </c>
      <c r="C2209" s="13" t="s">
        <v>1980</v>
      </c>
      <c r="D2209" s="25" t="s">
        <v>2846</v>
      </c>
      <c r="E2209" s="10">
        <v>2015</v>
      </c>
      <c r="F2209" s="36" t="str" cm="1">
        <f t="array" ref="F2209">_xlfn.XLOOKUP(D2209&amp;C2209, Sheet3!$C$2:$C$1224&amp;Sheet3!$B$2:$B$1224, Sheet3!$D$2:$D$1224, "")</f>
        <v>sinulingga.patra@gmail.com</v>
      </c>
      <c r="G2209" s="1" t="str" cm="1">
        <f t="array" ref="G2209">_xlfn.XLOOKUP(D2209&amp;C2209, Sheet2!$A$2:$A$558&amp;Sheet2!$B$2:$B$558, Sheet2!$C$2:$C$558, "")</f>
        <v/>
      </c>
      <c r="H2209" s="40" t="str">
        <f t="shared" si="34"/>
        <v>sinulingga.patra@gmail.com</v>
      </c>
    </row>
    <row r="2210" spans="1:8" ht="15.5" x14ac:dyDescent="0.35">
      <c r="A2210" s="7">
        <v>2209</v>
      </c>
      <c r="B2210" s="25">
        <v>36986</v>
      </c>
      <c r="C2210" s="13" t="s">
        <v>1981</v>
      </c>
      <c r="D2210" s="25" t="s">
        <v>2846</v>
      </c>
      <c r="E2210" s="10">
        <v>2015</v>
      </c>
      <c r="F2210" s="36" t="str" cm="1">
        <f t="array" ref="F2210">_xlfn.XLOOKUP(D2210&amp;C2210, Sheet3!$C$2:$C$1224&amp;Sheet3!$B$2:$B$1224, Sheet3!$D$2:$D$1224, "")</f>
        <v xml:space="preserve">ussisaannisari@yahoo.com </v>
      </c>
      <c r="G2210" s="1" t="str" cm="1">
        <f t="array" ref="G2210">_xlfn.XLOOKUP(D2210&amp;C2210, Sheet2!$A$2:$A$558&amp;Sheet2!$B$2:$B$558, Sheet2!$C$2:$C$558, "")</f>
        <v>ussisaannisari@yahoo.com</v>
      </c>
      <c r="H2210" s="40" t="str">
        <f t="shared" si="34"/>
        <v xml:space="preserve">ussisaannisari@yahoo.com </v>
      </c>
    </row>
    <row r="2211" spans="1:8" ht="15.5" x14ac:dyDescent="0.35">
      <c r="A2211" s="7">
        <v>2210</v>
      </c>
      <c r="B2211" s="25">
        <v>37011</v>
      </c>
      <c r="C2211" s="13" t="s">
        <v>1982</v>
      </c>
      <c r="D2211" s="25" t="s">
        <v>2846</v>
      </c>
      <c r="E2211" s="10">
        <v>2015</v>
      </c>
      <c r="F2211" s="36" t="str" cm="1">
        <f t="array" ref="F2211">_xlfn.XLOOKUP(D2211&amp;C2211, Sheet3!$C$2:$C$1224&amp;Sheet3!$B$2:$B$1224, Sheet3!$D$2:$D$1224, "")</f>
        <v>afradon.aditya@gmail.com</v>
      </c>
      <c r="G2211" s="1" t="str" cm="1">
        <f t="array" ref="G2211">_xlfn.XLOOKUP(D2211&amp;C2211, Sheet2!$A$2:$A$558&amp;Sheet2!$B$2:$B$558, Sheet2!$C$2:$C$558, "")</f>
        <v>afradon.aditya@gmail.com</v>
      </c>
      <c r="H2211" s="40" t="str">
        <f t="shared" si="34"/>
        <v>afradon.aditya@gmail.com</v>
      </c>
    </row>
    <row r="2212" spans="1:8" ht="15.5" x14ac:dyDescent="0.35">
      <c r="A2212" s="7">
        <v>2211</v>
      </c>
      <c r="B2212" s="25">
        <v>37403</v>
      </c>
      <c r="C2212" s="13" t="s">
        <v>1983</v>
      </c>
      <c r="D2212" s="25" t="s">
        <v>2846</v>
      </c>
      <c r="E2212" s="10">
        <v>2015</v>
      </c>
      <c r="F2212" s="36" t="str" cm="1">
        <f t="array" ref="F2212">_xlfn.XLOOKUP(D2212&amp;C2212, Sheet3!$C$2:$C$1224&amp;Sheet3!$B$2:$B$1224, Sheet3!$D$2:$D$1224, "")</f>
        <v>gugefaizal@gmail.com</v>
      </c>
      <c r="G2212" s="1" t="str" cm="1">
        <f t="array" ref="G2212">_xlfn.XLOOKUP(D2212&amp;C2212, Sheet2!$A$2:$A$558&amp;Sheet2!$B$2:$B$558, Sheet2!$C$2:$C$558, "")</f>
        <v/>
      </c>
      <c r="H2212" s="40" t="str">
        <f t="shared" si="34"/>
        <v>gugefaizal@gmail.com</v>
      </c>
    </row>
    <row r="2213" spans="1:8" ht="15.5" x14ac:dyDescent="0.35">
      <c r="A2213" s="7">
        <v>2212</v>
      </c>
      <c r="B2213" s="25">
        <v>37415</v>
      </c>
      <c r="C2213" s="13" t="s">
        <v>1984</v>
      </c>
      <c r="D2213" s="25" t="s">
        <v>2846</v>
      </c>
      <c r="E2213" s="10">
        <v>2015</v>
      </c>
      <c r="F2213" s="36" t="str" cm="1">
        <f t="array" ref="F2213">_xlfn.XLOOKUP(D2213&amp;C2213, Sheet3!$C$2:$C$1224&amp;Sheet3!$B$2:$B$1224, Sheet3!$D$2:$D$1224, "")</f>
        <v>qori1313@gmail.com</v>
      </c>
      <c r="G2213" s="1" t="str" cm="1">
        <f t="array" ref="G2213">_xlfn.XLOOKUP(D2213&amp;C2213, Sheet2!$A$2:$A$558&amp;Sheet2!$B$2:$B$558, Sheet2!$C$2:$C$558, "")</f>
        <v>qori1313@gmail.com</v>
      </c>
      <c r="H2213" s="40" t="str">
        <f t="shared" si="34"/>
        <v>qori1313@gmail.com</v>
      </c>
    </row>
    <row r="2214" spans="1:8" ht="15.5" x14ac:dyDescent="0.35">
      <c r="A2214" s="7">
        <v>2213</v>
      </c>
      <c r="B2214" s="25">
        <v>37542</v>
      </c>
      <c r="C2214" s="13" t="s">
        <v>1985</v>
      </c>
      <c r="D2214" s="25" t="s">
        <v>2846</v>
      </c>
      <c r="E2214" s="10">
        <v>2015</v>
      </c>
      <c r="F2214" s="36" t="str" cm="1">
        <f t="array" ref="F2214">_xlfn.XLOOKUP(D2214&amp;C2214, Sheet3!$C$2:$C$1224&amp;Sheet3!$B$2:$B$1224, Sheet3!$D$2:$D$1224, "")</f>
        <v/>
      </c>
      <c r="G2214" s="1" t="str" cm="1">
        <f t="array" ref="G2214">_xlfn.XLOOKUP(D2214&amp;C2214, Sheet2!$A$2:$A$558&amp;Sheet2!$B$2:$B$558, Sheet2!$C$2:$C$558, "")</f>
        <v/>
      </c>
      <c r="H2214" s="40" t="str">
        <f t="shared" si="34"/>
        <v/>
      </c>
    </row>
    <row r="2215" spans="1:8" ht="15.5" x14ac:dyDescent="0.35">
      <c r="A2215" s="7">
        <v>2214</v>
      </c>
      <c r="B2215" s="25">
        <v>35378</v>
      </c>
      <c r="C2215" s="13" t="s">
        <v>1986</v>
      </c>
      <c r="D2215" s="25" t="s">
        <v>2845</v>
      </c>
      <c r="E2215" s="10">
        <v>2015</v>
      </c>
      <c r="F2215" s="36" t="str" cm="1">
        <f t="array" ref="F2215">_xlfn.XLOOKUP(D2215&amp;C2215, Sheet3!$C$2:$C$1224&amp;Sheet3!$B$2:$B$1224, Sheet3!$D$2:$D$1224, "")</f>
        <v>christantonainggolan@gmail.com</v>
      </c>
      <c r="G2215" s="1" t="str" cm="1">
        <f t="array" ref="G2215">_xlfn.XLOOKUP(D2215&amp;C2215, Sheet2!$A$2:$A$558&amp;Sheet2!$B$2:$B$558, Sheet2!$C$2:$C$558, "")</f>
        <v>christantonainggolan@gmail.con</v>
      </c>
      <c r="H2215" s="40" t="str">
        <f t="shared" si="34"/>
        <v>christantonainggolan@gmail.com</v>
      </c>
    </row>
    <row r="2216" spans="1:8" ht="15.5" x14ac:dyDescent="0.35">
      <c r="A2216" s="7">
        <v>2215</v>
      </c>
      <c r="B2216" s="25">
        <v>37288</v>
      </c>
      <c r="C2216" s="13" t="s">
        <v>1987</v>
      </c>
      <c r="D2216" s="25" t="s">
        <v>2846</v>
      </c>
      <c r="E2216" s="10">
        <v>2015</v>
      </c>
      <c r="F2216" s="36" t="str" cm="1">
        <f t="array" ref="F2216">_xlfn.XLOOKUP(D2216&amp;C2216, Sheet3!$C$2:$C$1224&amp;Sheet3!$B$2:$B$1224, Sheet3!$D$2:$D$1224, "")</f>
        <v/>
      </c>
      <c r="G2216" s="1" t="str" cm="1">
        <f t="array" ref="G2216">_xlfn.XLOOKUP(D2216&amp;C2216, Sheet2!$A$2:$A$558&amp;Sheet2!$B$2:$B$558, Sheet2!$C$2:$C$558, "")</f>
        <v/>
      </c>
      <c r="H2216" s="40" t="str">
        <f t="shared" si="34"/>
        <v/>
      </c>
    </row>
    <row r="2217" spans="1:8" ht="15.5" x14ac:dyDescent="0.35">
      <c r="A2217" s="7">
        <v>2216</v>
      </c>
      <c r="B2217" s="25">
        <v>34398</v>
      </c>
      <c r="C2217" s="13" t="s">
        <v>1988</v>
      </c>
      <c r="D2217" s="25" t="s">
        <v>2844</v>
      </c>
      <c r="E2217" s="10">
        <v>2015</v>
      </c>
      <c r="F2217" s="36" t="str" cm="1">
        <f t="array" ref="F2217">_xlfn.XLOOKUP(D2217&amp;C2217, Sheet3!$C$2:$C$1224&amp;Sheet3!$B$2:$B$1224, Sheet3!$D$2:$D$1224, "")</f>
        <v/>
      </c>
      <c r="G2217" s="1" t="str" cm="1">
        <f t="array" ref="G2217">_xlfn.XLOOKUP(D2217&amp;C2217, Sheet2!$A$2:$A$558&amp;Sheet2!$B$2:$B$558, Sheet2!$C$2:$C$558, "")</f>
        <v/>
      </c>
      <c r="H2217" s="40" t="str">
        <f t="shared" si="34"/>
        <v/>
      </c>
    </row>
    <row r="2218" spans="1:8" ht="15.5" x14ac:dyDescent="0.35">
      <c r="A2218" s="7">
        <v>2217</v>
      </c>
      <c r="B2218" s="25">
        <v>36126</v>
      </c>
      <c r="C2218" s="13" t="s">
        <v>1989</v>
      </c>
      <c r="D2218" s="25" t="s">
        <v>2846</v>
      </c>
      <c r="E2218" s="10">
        <v>2015</v>
      </c>
      <c r="F2218" s="36" t="str" cm="1">
        <f t="array" ref="F2218">_xlfn.XLOOKUP(D2218&amp;C2218, Sheet3!$C$2:$C$1224&amp;Sheet3!$B$2:$B$1224, Sheet3!$D$2:$D$1224, "")</f>
        <v>Surya.adi.c@gmail.com</v>
      </c>
      <c r="G2218" s="1" t="str" cm="1">
        <f t="array" ref="G2218">_xlfn.XLOOKUP(D2218&amp;C2218, Sheet2!$A$2:$A$558&amp;Sheet2!$B$2:$B$558, Sheet2!$C$2:$C$558, "")</f>
        <v>surya.adi.c@gmail.com</v>
      </c>
      <c r="H2218" s="40" t="str">
        <f t="shared" si="34"/>
        <v>Surya.adi.c@gmail.com</v>
      </c>
    </row>
    <row r="2219" spans="1:8" ht="15.5" x14ac:dyDescent="0.35">
      <c r="A2219" s="7">
        <v>2218</v>
      </c>
      <c r="B2219" s="25">
        <v>34232</v>
      </c>
      <c r="C2219" s="13" t="s">
        <v>1990</v>
      </c>
      <c r="D2219" s="25" t="s">
        <v>2844</v>
      </c>
      <c r="E2219" s="10">
        <v>2015</v>
      </c>
      <c r="F2219" s="36" t="str" cm="1">
        <f t="array" ref="F2219">_xlfn.XLOOKUP(D2219&amp;C2219, Sheet3!$C$2:$C$1224&amp;Sheet3!$B$2:$B$1224, Sheet3!$D$2:$D$1224, "")</f>
        <v/>
      </c>
      <c r="G2219" s="1" t="str" cm="1">
        <f t="array" ref="G2219">_xlfn.XLOOKUP(D2219&amp;C2219, Sheet2!$A$2:$A$558&amp;Sheet2!$B$2:$B$558, Sheet2!$C$2:$C$558, "")</f>
        <v/>
      </c>
      <c r="H2219" s="40" t="str">
        <f t="shared" si="34"/>
        <v/>
      </c>
    </row>
    <row r="2220" spans="1:8" ht="15.5" x14ac:dyDescent="0.35">
      <c r="A2220" s="7">
        <v>2219</v>
      </c>
      <c r="B2220" s="25">
        <v>36871</v>
      </c>
      <c r="C2220" s="13" t="s">
        <v>1991</v>
      </c>
      <c r="D2220" s="25" t="s">
        <v>2846</v>
      </c>
      <c r="E2220" s="10">
        <v>2015</v>
      </c>
      <c r="F2220" s="36" t="str" cm="1">
        <f t="array" ref="F2220">_xlfn.XLOOKUP(D2220&amp;C2220, Sheet3!$C$2:$C$1224&amp;Sheet3!$B$2:$B$1224, Sheet3!$D$2:$D$1224, "")</f>
        <v/>
      </c>
      <c r="G2220" s="1" t="str" cm="1">
        <f t="array" ref="G2220">_xlfn.XLOOKUP(D2220&amp;C2220, Sheet2!$A$2:$A$558&amp;Sheet2!$B$2:$B$558, Sheet2!$C$2:$C$558, "")</f>
        <v/>
      </c>
      <c r="H2220" s="40" t="str">
        <f t="shared" si="34"/>
        <v/>
      </c>
    </row>
    <row r="2221" spans="1:8" ht="15.5" x14ac:dyDescent="0.35">
      <c r="A2221" s="7">
        <v>2220</v>
      </c>
      <c r="B2221" s="25">
        <v>34582</v>
      </c>
      <c r="C2221" s="13" t="s">
        <v>1992</v>
      </c>
      <c r="D2221" s="25" t="s">
        <v>2844</v>
      </c>
      <c r="E2221" s="10">
        <v>3015</v>
      </c>
      <c r="F2221" s="36" t="str" cm="1">
        <f t="array" ref="F2221">_xlfn.XLOOKUP(D2221&amp;C2221, Sheet3!$C$2:$C$1224&amp;Sheet3!$B$2:$B$1224, Sheet3!$D$2:$D$1224, "")</f>
        <v/>
      </c>
      <c r="G2221" s="1" t="str" cm="1">
        <f t="array" ref="G2221">_xlfn.XLOOKUP(D2221&amp;C2221, Sheet2!$A$2:$A$558&amp;Sheet2!$B$2:$B$558, Sheet2!$C$2:$C$558, "")</f>
        <v/>
      </c>
      <c r="H2221" s="40" t="str">
        <f t="shared" si="34"/>
        <v/>
      </c>
    </row>
    <row r="2222" spans="1:8" ht="15.5" x14ac:dyDescent="0.35">
      <c r="A2222" s="7">
        <v>2221</v>
      </c>
      <c r="B2222" s="25">
        <v>37338</v>
      </c>
      <c r="C2222" s="13" t="s">
        <v>1993</v>
      </c>
      <c r="D2222" s="25" t="s">
        <v>2846</v>
      </c>
      <c r="E2222" s="10">
        <v>2015</v>
      </c>
      <c r="F2222" s="36" t="str" cm="1">
        <f t="array" ref="F2222">_xlfn.XLOOKUP(D2222&amp;C2222, Sheet3!$C$2:$C$1224&amp;Sheet3!$B$2:$B$1224, Sheet3!$D$2:$D$1224, "")</f>
        <v/>
      </c>
      <c r="G2222" s="1" t="str" cm="1">
        <f t="array" ref="G2222">_xlfn.XLOOKUP(D2222&amp;C2222, Sheet2!$A$2:$A$558&amp;Sheet2!$B$2:$B$558, Sheet2!$C$2:$C$558, "")</f>
        <v/>
      </c>
      <c r="H2222" s="40" t="str">
        <f t="shared" si="34"/>
        <v/>
      </c>
    </row>
    <row r="2223" spans="1:8" ht="15.5" x14ac:dyDescent="0.35">
      <c r="A2223" s="7">
        <v>2222</v>
      </c>
      <c r="B2223" s="25">
        <v>35547</v>
      </c>
      <c r="C2223" s="13" t="s">
        <v>1994</v>
      </c>
      <c r="D2223" s="25" t="s">
        <v>2845</v>
      </c>
      <c r="E2223" s="10">
        <v>2015</v>
      </c>
      <c r="F2223" s="36" t="str" cm="1">
        <f t="array" ref="F2223">_xlfn.XLOOKUP(D2223&amp;C2223, Sheet3!$C$2:$C$1224&amp;Sheet3!$B$2:$B$1224, Sheet3!$D$2:$D$1224, "")</f>
        <v>aliibadurohman91@gmail.com</v>
      </c>
      <c r="G2223" s="1" t="str" cm="1">
        <f t="array" ref="G2223">_xlfn.XLOOKUP(D2223&amp;C2223, Sheet2!$A$2:$A$558&amp;Sheet2!$B$2:$B$558, Sheet2!$C$2:$C$558, "")</f>
        <v/>
      </c>
      <c r="H2223" s="40" t="str">
        <f t="shared" si="34"/>
        <v>aliibadurohman91@gmail.com</v>
      </c>
    </row>
    <row r="2224" spans="1:8" ht="15.5" x14ac:dyDescent="0.35">
      <c r="A2224" s="7">
        <v>2223</v>
      </c>
      <c r="B2224" s="25">
        <v>36832</v>
      </c>
      <c r="C2224" s="13" t="s">
        <v>1995</v>
      </c>
      <c r="D2224" s="25" t="s">
        <v>2846</v>
      </c>
      <c r="E2224" s="10">
        <v>2015</v>
      </c>
      <c r="F2224" s="36" t="str" cm="1">
        <f t="array" ref="F2224">_xlfn.XLOOKUP(D2224&amp;C2224, Sheet3!$C$2:$C$1224&amp;Sheet3!$B$2:$B$1224, Sheet3!$D$2:$D$1224, "")</f>
        <v/>
      </c>
      <c r="G2224" s="1" t="str" cm="1">
        <f t="array" ref="G2224">_xlfn.XLOOKUP(D2224&amp;C2224, Sheet2!$A$2:$A$558&amp;Sheet2!$B$2:$B$558, Sheet2!$C$2:$C$558, "")</f>
        <v/>
      </c>
      <c r="H2224" s="40" t="str">
        <f t="shared" si="34"/>
        <v/>
      </c>
    </row>
    <row r="2225" spans="1:8" ht="15.5" x14ac:dyDescent="0.35">
      <c r="A2225" s="7">
        <v>2224</v>
      </c>
      <c r="B2225" s="26">
        <v>36942</v>
      </c>
      <c r="C2225" s="13" t="s">
        <v>1996</v>
      </c>
      <c r="D2225" s="26" t="s">
        <v>2846</v>
      </c>
      <c r="E2225" s="10">
        <v>2015</v>
      </c>
      <c r="F2225" s="36" t="str" cm="1">
        <f t="array" ref="F2225">_xlfn.XLOOKUP(D2225&amp;C2225, Sheet3!$C$2:$C$1224&amp;Sheet3!$B$2:$B$1224, Sheet3!$D$2:$D$1224, "")</f>
        <v/>
      </c>
      <c r="G2225" s="1" t="str" cm="1">
        <f t="array" ref="G2225">_xlfn.XLOOKUP(D2225&amp;C2225, Sheet2!$A$2:$A$558&amp;Sheet2!$B$2:$B$558, Sheet2!$C$2:$C$558, "")</f>
        <v/>
      </c>
      <c r="H2225" s="40" t="str">
        <f t="shared" si="34"/>
        <v/>
      </c>
    </row>
    <row r="2226" spans="1:8" ht="15.5" x14ac:dyDescent="0.35">
      <c r="A2226" s="7">
        <v>2225</v>
      </c>
      <c r="B2226" s="26">
        <v>38132</v>
      </c>
      <c r="C2226" s="13" t="s">
        <v>1997</v>
      </c>
      <c r="D2226" s="26" t="s">
        <v>2847</v>
      </c>
      <c r="E2226" s="10">
        <v>2015</v>
      </c>
      <c r="F2226" s="36" t="str" cm="1">
        <f t="array" ref="F2226">_xlfn.XLOOKUP(D2226&amp;C2226, Sheet3!$C$2:$C$1224&amp;Sheet3!$B$2:$B$1224, Sheet3!$D$2:$D$1224, "")</f>
        <v/>
      </c>
      <c r="G2226" s="1" t="str" cm="1">
        <f t="array" ref="G2226">_xlfn.XLOOKUP(D2226&amp;C2226, Sheet2!$A$2:$A$558&amp;Sheet2!$B$2:$B$558, Sheet2!$C$2:$C$558, "")</f>
        <v>riki.nursetiyadi@gmail.com</v>
      </c>
      <c r="H2226" s="40" t="str">
        <f t="shared" si="34"/>
        <v>riki.nursetiyadi@gmail.com</v>
      </c>
    </row>
    <row r="2227" spans="1:8" ht="15.5" x14ac:dyDescent="0.35">
      <c r="A2227" s="7">
        <v>2226</v>
      </c>
      <c r="B2227" s="26">
        <v>37243</v>
      </c>
      <c r="C2227" s="13" t="s">
        <v>1998</v>
      </c>
      <c r="D2227" s="26" t="s">
        <v>2846</v>
      </c>
      <c r="E2227" s="10">
        <v>2015</v>
      </c>
      <c r="F2227" s="36" t="str" cm="1">
        <f t="array" ref="F2227">_xlfn.XLOOKUP(D2227&amp;C2227, Sheet3!$C$2:$C$1224&amp;Sheet3!$B$2:$B$1224, Sheet3!$D$2:$D$1224, "")</f>
        <v>adina.ningrum@gmail.com</v>
      </c>
      <c r="G2227" s="1" t="str" cm="1">
        <f t="array" ref="G2227">_xlfn.XLOOKUP(D2227&amp;C2227, Sheet2!$A$2:$A$558&amp;Sheet2!$B$2:$B$558, Sheet2!$C$2:$C$558, "")</f>
        <v/>
      </c>
      <c r="H2227" s="40" t="str">
        <f t="shared" si="34"/>
        <v>adina.ningrum@gmail.com</v>
      </c>
    </row>
    <row r="2228" spans="1:8" ht="15.5" x14ac:dyDescent="0.35">
      <c r="A2228" s="7">
        <v>2227</v>
      </c>
      <c r="B2228" s="26">
        <v>37123</v>
      </c>
      <c r="C2228" s="13" t="s">
        <v>1999</v>
      </c>
      <c r="D2228" s="26" t="s">
        <v>2846</v>
      </c>
      <c r="E2228" s="10">
        <v>2015</v>
      </c>
      <c r="F2228" s="36" t="str" cm="1">
        <f t="array" ref="F2228">_xlfn.XLOOKUP(D2228&amp;C2228, Sheet3!$C$2:$C$1224&amp;Sheet3!$B$2:$B$1224, Sheet3!$D$2:$D$1224, "")</f>
        <v>arif.ptgws@gmail.com</v>
      </c>
      <c r="G2228" s="1" t="str" cm="1">
        <f t="array" ref="G2228">_xlfn.XLOOKUP(D2228&amp;C2228, Sheet2!$A$2:$A$558&amp;Sheet2!$B$2:$B$558, Sheet2!$C$2:$C$558, "")</f>
        <v/>
      </c>
      <c r="H2228" s="40" t="str">
        <f t="shared" si="34"/>
        <v>arif.ptgws@gmail.com</v>
      </c>
    </row>
    <row r="2229" spans="1:8" ht="15.5" x14ac:dyDescent="0.35">
      <c r="A2229" s="7">
        <v>2228</v>
      </c>
      <c r="B2229" s="26">
        <v>38114</v>
      </c>
      <c r="C2229" s="13" t="s">
        <v>2000</v>
      </c>
      <c r="D2229" s="26" t="s">
        <v>2847</v>
      </c>
      <c r="E2229" s="10">
        <v>2015</v>
      </c>
      <c r="F2229" s="36" t="str" cm="1">
        <f t="array" ref="F2229">_xlfn.XLOOKUP(D2229&amp;C2229, Sheet3!$C$2:$C$1224&amp;Sheet3!$B$2:$B$1224, Sheet3!$D$2:$D$1224, "")</f>
        <v/>
      </c>
      <c r="G2229" s="1" t="str" cm="1">
        <f t="array" ref="G2229">_xlfn.XLOOKUP(D2229&amp;C2229, Sheet2!$A$2:$A$558&amp;Sheet2!$B$2:$B$558, Sheet2!$C$2:$C$558, "")</f>
        <v/>
      </c>
      <c r="H2229" s="40" t="str">
        <f t="shared" si="34"/>
        <v/>
      </c>
    </row>
    <row r="2230" spans="1:8" ht="15.5" x14ac:dyDescent="0.35">
      <c r="A2230" s="7">
        <v>2229</v>
      </c>
      <c r="B2230" s="26">
        <v>37851</v>
      </c>
      <c r="C2230" s="13" t="s">
        <v>2001</v>
      </c>
      <c r="D2230" s="26" t="s">
        <v>2847</v>
      </c>
      <c r="E2230" s="10">
        <v>2015</v>
      </c>
      <c r="F2230" s="36" t="str" cm="1">
        <f t="array" ref="F2230">_xlfn.XLOOKUP(D2230&amp;C2230, Sheet3!$C$2:$C$1224&amp;Sheet3!$B$2:$B$1224, Sheet3!$D$2:$D$1224, "")</f>
        <v/>
      </c>
      <c r="G2230" s="1" t="str" cm="1">
        <f t="array" ref="G2230">_xlfn.XLOOKUP(D2230&amp;C2230, Sheet2!$A$2:$A$558&amp;Sheet2!$B$2:$B$558, Sheet2!$C$2:$C$558, "")</f>
        <v/>
      </c>
      <c r="H2230" s="40" t="str">
        <f t="shared" si="34"/>
        <v/>
      </c>
    </row>
    <row r="2231" spans="1:8" ht="15.5" x14ac:dyDescent="0.35">
      <c r="A2231" s="7">
        <v>2230</v>
      </c>
      <c r="B2231" s="26">
        <v>37847</v>
      </c>
      <c r="C2231" s="13" t="s">
        <v>2002</v>
      </c>
      <c r="D2231" s="26" t="s">
        <v>2847</v>
      </c>
      <c r="E2231" s="10">
        <v>2015</v>
      </c>
      <c r="F2231" s="36" t="str" cm="1">
        <f t="array" ref="F2231">_xlfn.XLOOKUP(D2231&amp;C2231, Sheet3!$C$2:$C$1224&amp;Sheet3!$B$2:$B$1224, Sheet3!$D$2:$D$1224, "")</f>
        <v>emailkewildan@gmail.com</v>
      </c>
      <c r="G2231" s="1" t="str" cm="1">
        <f t="array" ref="G2231">_xlfn.XLOOKUP(D2231&amp;C2231, Sheet2!$A$2:$A$558&amp;Sheet2!$B$2:$B$558, Sheet2!$C$2:$C$558, "")</f>
        <v/>
      </c>
      <c r="H2231" s="40" t="str">
        <f t="shared" si="34"/>
        <v>emailkewildan@gmail.com</v>
      </c>
    </row>
    <row r="2232" spans="1:8" ht="15.5" x14ac:dyDescent="0.35">
      <c r="A2232" s="7">
        <v>2231</v>
      </c>
      <c r="B2232" s="26">
        <v>38142</v>
      </c>
      <c r="C2232" s="13" t="s">
        <v>2003</v>
      </c>
      <c r="D2232" s="26" t="s">
        <v>2847</v>
      </c>
      <c r="E2232" s="10">
        <v>2015</v>
      </c>
      <c r="F2232" s="36" t="str" cm="1">
        <f t="array" ref="F2232">_xlfn.XLOOKUP(D2232&amp;C2232, Sheet3!$C$2:$C$1224&amp;Sheet3!$B$2:$B$1224, Sheet3!$D$2:$D$1224, "")</f>
        <v>sy.putra.a@gmail.com</v>
      </c>
      <c r="G2232" s="1" t="str" cm="1">
        <f t="array" ref="G2232">_xlfn.XLOOKUP(D2232&amp;C2232, Sheet2!$A$2:$A$558&amp;Sheet2!$B$2:$B$558, Sheet2!$C$2:$C$558, "")</f>
        <v>sy.putra.a@gmail.com</v>
      </c>
      <c r="H2232" s="40" t="str">
        <f t="shared" si="34"/>
        <v>sy.putra.a@gmail.com</v>
      </c>
    </row>
    <row r="2233" spans="1:8" ht="15.5" x14ac:dyDescent="0.35">
      <c r="A2233" s="7">
        <v>2232</v>
      </c>
      <c r="B2233" s="26">
        <v>38162</v>
      </c>
      <c r="C2233" s="13" t="s">
        <v>2004</v>
      </c>
      <c r="D2233" s="26" t="s">
        <v>2847</v>
      </c>
      <c r="E2233" s="10">
        <v>2015</v>
      </c>
      <c r="F2233" s="36" t="str" cm="1">
        <f t="array" ref="F2233">_xlfn.XLOOKUP(D2233&amp;C2233, Sheet3!$C$2:$C$1224&amp;Sheet3!$B$2:$B$1224, Sheet3!$D$2:$D$1224, "")</f>
        <v>okkyaditianurpratama@gmail com</v>
      </c>
      <c r="G2233" s="1" t="str" cm="1">
        <f t="array" ref="G2233">_xlfn.XLOOKUP(D2233&amp;C2233, Sheet2!$A$2:$A$558&amp;Sheet2!$B$2:$B$558, Sheet2!$C$2:$C$558, "")</f>
        <v/>
      </c>
      <c r="H2233" s="40" t="str">
        <f t="shared" si="34"/>
        <v>okkyaditianurpratama@gmail com</v>
      </c>
    </row>
    <row r="2234" spans="1:8" ht="15.5" x14ac:dyDescent="0.35">
      <c r="A2234" s="7">
        <v>2233</v>
      </c>
      <c r="B2234" s="26">
        <v>38974</v>
      </c>
      <c r="C2234" s="13" t="s">
        <v>2005</v>
      </c>
      <c r="D2234" s="26" t="s">
        <v>2847</v>
      </c>
      <c r="E2234" s="10">
        <v>2015</v>
      </c>
      <c r="F2234" s="36" t="str" cm="1">
        <f t="array" ref="F2234">_xlfn.XLOOKUP(D2234&amp;C2234, Sheet3!$C$2:$C$1224&amp;Sheet3!$B$2:$B$1224, Sheet3!$D$2:$D$1224, "")</f>
        <v>yudhonoprakoso@hotmail.com</v>
      </c>
      <c r="G2234" s="1" t="str" cm="1">
        <f t="array" ref="G2234">_xlfn.XLOOKUP(D2234&amp;C2234, Sheet2!$A$2:$A$558&amp;Sheet2!$B$2:$B$558, Sheet2!$C$2:$C$558, "")</f>
        <v>yudhonoprakoso@hotmail.com</v>
      </c>
      <c r="H2234" s="40" t="str">
        <f t="shared" si="34"/>
        <v>yudhonoprakoso@hotmail.com</v>
      </c>
    </row>
    <row r="2235" spans="1:8" ht="15.5" x14ac:dyDescent="0.35">
      <c r="A2235" s="7">
        <v>2234</v>
      </c>
      <c r="B2235" s="26">
        <v>34227</v>
      </c>
      <c r="C2235" s="13" t="s">
        <v>2006</v>
      </c>
      <c r="D2235" s="26" t="s">
        <v>2844</v>
      </c>
      <c r="E2235" s="10">
        <v>2015</v>
      </c>
      <c r="F2235" s="36" t="str" cm="1">
        <f t="array" ref="F2235">_xlfn.XLOOKUP(D2235&amp;C2235, Sheet3!$C$2:$C$1224&amp;Sheet3!$B$2:$B$1224, Sheet3!$D$2:$D$1224, "")</f>
        <v/>
      </c>
      <c r="G2235" s="1" t="str" cm="1">
        <f t="array" ref="G2235">_xlfn.XLOOKUP(D2235&amp;C2235, Sheet2!$A$2:$A$558&amp;Sheet2!$B$2:$B$558, Sheet2!$C$2:$C$558, "")</f>
        <v/>
      </c>
      <c r="H2235" s="40" t="str">
        <f t="shared" si="34"/>
        <v/>
      </c>
    </row>
    <row r="2236" spans="1:8" ht="15.5" x14ac:dyDescent="0.35">
      <c r="A2236" s="7">
        <v>2235</v>
      </c>
      <c r="B2236" s="26">
        <v>37972</v>
      </c>
      <c r="C2236" s="13" t="s">
        <v>2007</v>
      </c>
      <c r="D2236" s="26" t="s">
        <v>2847</v>
      </c>
      <c r="E2236" s="10">
        <v>2015</v>
      </c>
      <c r="F2236" s="36" t="str" cm="1">
        <f t="array" ref="F2236">_xlfn.XLOOKUP(D2236&amp;C2236, Sheet3!$C$2:$C$1224&amp;Sheet3!$B$2:$B$1224, Sheet3!$D$2:$D$1224, "")</f>
        <v/>
      </c>
      <c r="G2236" s="1" t="str" cm="1">
        <f t="array" ref="G2236">_xlfn.XLOOKUP(D2236&amp;C2236, Sheet2!$A$2:$A$558&amp;Sheet2!$B$2:$B$558, Sheet2!$C$2:$C$558, "")</f>
        <v/>
      </c>
      <c r="H2236" s="40" t="str">
        <f t="shared" si="34"/>
        <v/>
      </c>
    </row>
    <row r="2237" spans="1:8" ht="15.5" x14ac:dyDescent="0.35">
      <c r="A2237" s="7">
        <v>2236</v>
      </c>
      <c r="B2237" s="26">
        <v>37146</v>
      </c>
      <c r="C2237" s="13" t="s">
        <v>2008</v>
      </c>
      <c r="D2237" s="26" t="s">
        <v>2846</v>
      </c>
      <c r="E2237" s="10">
        <v>2015</v>
      </c>
      <c r="F2237" s="36" t="str" cm="1">
        <f t="array" ref="F2237">_xlfn.XLOOKUP(D2237&amp;C2237, Sheet3!$C$2:$C$1224&amp;Sheet3!$B$2:$B$1224, Sheet3!$D$2:$D$1224, "")</f>
        <v/>
      </c>
      <c r="G2237" s="1" t="str" cm="1">
        <f t="array" ref="G2237">_xlfn.XLOOKUP(D2237&amp;C2237, Sheet2!$A$2:$A$558&amp;Sheet2!$B$2:$B$558, Sheet2!$C$2:$C$558, "")</f>
        <v/>
      </c>
      <c r="H2237" s="40" t="str">
        <f t="shared" si="34"/>
        <v/>
      </c>
    </row>
    <row r="2238" spans="1:8" ht="15.5" x14ac:dyDescent="0.35">
      <c r="A2238" s="7">
        <v>2237</v>
      </c>
      <c r="B2238" s="26">
        <v>38228</v>
      </c>
      <c r="C2238" s="13" t="s">
        <v>2009</v>
      </c>
      <c r="D2238" s="26" t="s">
        <v>2847</v>
      </c>
      <c r="E2238" s="10">
        <v>2015</v>
      </c>
      <c r="F2238" s="36" t="str" cm="1">
        <f t="array" ref="F2238">_xlfn.XLOOKUP(D2238&amp;C2238, Sheet3!$C$2:$C$1224&amp;Sheet3!$B$2:$B$1224, Sheet3!$D$2:$D$1224, "")</f>
        <v/>
      </c>
      <c r="G2238" s="1" t="str" cm="1">
        <f t="array" ref="G2238">_xlfn.XLOOKUP(D2238&amp;C2238, Sheet2!$A$2:$A$558&amp;Sheet2!$B$2:$B$558, Sheet2!$C$2:$C$558, "")</f>
        <v/>
      </c>
      <c r="H2238" s="40" t="str">
        <f t="shared" si="34"/>
        <v/>
      </c>
    </row>
    <row r="2239" spans="1:8" ht="15.5" x14ac:dyDescent="0.35">
      <c r="A2239" s="7">
        <v>2238</v>
      </c>
      <c r="B2239" s="26">
        <v>33636</v>
      </c>
      <c r="C2239" s="13" t="s">
        <v>2010</v>
      </c>
      <c r="D2239" s="26" t="s">
        <v>2844</v>
      </c>
      <c r="E2239" s="10">
        <v>2015</v>
      </c>
      <c r="F2239" s="36" t="str" cm="1">
        <f t="array" ref="F2239">_xlfn.XLOOKUP(D2239&amp;C2239, Sheet3!$C$2:$C$1224&amp;Sheet3!$B$2:$B$1224, Sheet3!$D$2:$D$1224, "")</f>
        <v>adeitarafat@gmail.com</v>
      </c>
      <c r="G2239" s="1" t="str" cm="1">
        <f t="array" ref="G2239">_xlfn.XLOOKUP(D2239&amp;C2239, Sheet2!$A$2:$A$558&amp;Sheet2!$B$2:$B$558, Sheet2!$C$2:$C$558, "")</f>
        <v/>
      </c>
      <c r="H2239" s="40" t="str">
        <f t="shared" si="34"/>
        <v>adeitarafat@gmail.com</v>
      </c>
    </row>
    <row r="2240" spans="1:8" ht="15.5" x14ac:dyDescent="0.35">
      <c r="A2240" s="7">
        <v>2239</v>
      </c>
      <c r="B2240" s="26">
        <v>38170</v>
      </c>
      <c r="C2240" s="13" t="s">
        <v>2011</v>
      </c>
      <c r="D2240" s="26" t="s">
        <v>2847</v>
      </c>
      <c r="E2240" s="10">
        <v>2015</v>
      </c>
      <c r="F2240" s="36" t="str" cm="1">
        <f t="array" ref="F2240">_xlfn.XLOOKUP(D2240&amp;C2240, Sheet3!$C$2:$C$1224&amp;Sheet3!$B$2:$B$1224, Sheet3!$D$2:$D$1224, "")</f>
        <v>adibmuhammad.am@gmail.com</v>
      </c>
      <c r="G2240" s="1" t="str" cm="1">
        <f t="array" ref="G2240">_xlfn.XLOOKUP(D2240&amp;C2240, Sheet2!$A$2:$A$558&amp;Sheet2!$B$2:$B$558, Sheet2!$C$2:$C$558, "")</f>
        <v/>
      </c>
      <c r="H2240" s="40" t="str">
        <f t="shared" si="34"/>
        <v>adibmuhammad.am@gmail.com</v>
      </c>
    </row>
    <row r="2241" spans="1:8" ht="15.5" x14ac:dyDescent="0.35">
      <c r="A2241" s="7">
        <v>2240</v>
      </c>
      <c r="B2241" s="26">
        <v>38268</v>
      </c>
      <c r="C2241" s="13" t="s">
        <v>2012</v>
      </c>
      <c r="D2241" s="26" t="s">
        <v>2847</v>
      </c>
      <c r="E2241" s="10">
        <v>2015</v>
      </c>
      <c r="F2241" s="36" t="str" cm="1">
        <f t="array" ref="F2241">_xlfn.XLOOKUP(D2241&amp;C2241, Sheet3!$C$2:$C$1224&amp;Sheet3!$B$2:$B$1224, Sheet3!$D$2:$D$1224, "")</f>
        <v/>
      </c>
      <c r="G2241" s="1" t="str" cm="1">
        <f t="array" ref="G2241">_xlfn.XLOOKUP(D2241&amp;C2241, Sheet2!$A$2:$A$558&amp;Sheet2!$B$2:$B$558, Sheet2!$C$2:$C$558, "")</f>
        <v/>
      </c>
      <c r="H2241" s="40" t="str">
        <f t="shared" si="34"/>
        <v/>
      </c>
    </row>
    <row r="2242" spans="1:8" ht="15.5" x14ac:dyDescent="0.35">
      <c r="A2242" s="7">
        <v>2241</v>
      </c>
      <c r="B2242" s="26">
        <v>37605</v>
      </c>
      <c r="C2242" s="13" t="s">
        <v>2013</v>
      </c>
      <c r="D2242" s="26" t="s">
        <v>2847</v>
      </c>
      <c r="E2242" s="10">
        <v>2015</v>
      </c>
      <c r="F2242" s="36" t="str" cm="1">
        <f t="array" ref="F2242">_xlfn.XLOOKUP(D2242&amp;C2242, Sheet3!$C$2:$C$1224&amp;Sheet3!$B$2:$B$1224, Sheet3!$D$2:$D$1224, "")</f>
        <v>Adeliarahmah1993@gmail.com</v>
      </c>
      <c r="G2242" s="1" t="str" cm="1">
        <f t="array" ref="G2242">_xlfn.XLOOKUP(D2242&amp;C2242, Sheet2!$A$2:$A$558&amp;Sheet2!$B$2:$B$558, Sheet2!$C$2:$C$558, "")</f>
        <v/>
      </c>
      <c r="H2242" s="40" t="str">
        <f t="shared" si="34"/>
        <v>Adeliarahmah1993@gmail.com</v>
      </c>
    </row>
    <row r="2243" spans="1:8" ht="15.5" x14ac:dyDescent="0.35">
      <c r="A2243" s="7">
        <v>2242</v>
      </c>
      <c r="B2243" s="26">
        <v>38373</v>
      </c>
      <c r="C2243" s="13" t="s">
        <v>2014</v>
      </c>
      <c r="D2243" s="26" t="s">
        <v>2847</v>
      </c>
      <c r="E2243" s="10">
        <v>2015</v>
      </c>
      <c r="F2243" s="36" t="str" cm="1">
        <f t="array" ref="F2243">_xlfn.XLOOKUP(D2243&amp;C2243, Sheet3!$C$2:$C$1224&amp;Sheet3!$B$2:$B$1224, Sheet3!$D$2:$D$1224, "")</f>
        <v>hestinsa@gmail.com</v>
      </c>
      <c r="G2243" s="1" t="str" cm="1">
        <f t="array" ref="G2243">_xlfn.XLOOKUP(D2243&amp;C2243, Sheet2!$A$2:$A$558&amp;Sheet2!$B$2:$B$558, Sheet2!$C$2:$C$558, "")</f>
        <v/>
      </c>
      <c r="H2243" s="40" t="str">
        <f t="shared" ref="H2243:H2306" si="35">IF(F2243&lt;&gt;"",F2243,G2243)</f>
        <v>hestinsa@gmail.com</v>
      </c>
    </row>
    <row r="2244" spans="1:8" ht="15.5" x14ac:dyDescent="0.35">
      <c r="A2244" s="7">
        <v>2243</v>
      </c>
      <c r="B2244" s="26">
        <v>38386</v>
      </c>
      <c r="C2244" s="13" t="s">
        <v>2015</v>
      </c>
      <c r="D2244" s="26" t="s">
        <v>2847</v>
      </c>
      <c r="E2244" s="10">
        <v>2015</v>
      </c>
      <c r="F2244" s="36" t="str" cm="1">
        <f t="array" ref="F2244">_xlfn.XLOOKUP(D2244&amp;C2244, Sheet3!$C$2:$C$1224&amp;Sheet3!$B$2:$B$1224, Sheet3!$D$2:$D$1224, "")</f>
        <v>d.wahyuningrum2@gmail.com</v>
      </c>
      <c r="G2244" s="1" t="str" cm="1">
        <f t="array" ref="G2244">_xlfn.XLOOKUP(D2244&amp;C2244, Sheet2!$A$2:$A$558&amp;Sheet2!$B$2:$B$558, Sheet2!$C$2:$C$558, "")</f>
        <v>dwi.wahyuningrum@ymail.com</v>
      </c>
      <c r="H2244" s="40" t="str">
        <f t="shared" si="35"/>
        <v>d.wahyuningrum2@gmail.com</v>
      </c>
    </row>
    <row r="2245" spans="1:8" ht="15.5" x14ac:dyDescent="0.35">
      <c r="A2245" s="7">
        <v>2244</v>
      </c>
      <c r="B2245" s="26">
        <v>38288</v>
      </c>
      <c r="C2245" s="13" t="s">
        <v>2016</v>
      </c>
      <c r="D2245" s="26" t="s">
        <v>2847</v>
      </c>
      <c r="E2245" s="10">
        <v>2015</v>
      </c>
      <c r="F2245" s="36" t="str" cm="1">
        <f t="array" ref="F2245">_xlfn.XLOOKUP(D2245&amp;C2245, Sheet3!$C$2:$C$1224&amp;Sheet3!$B$2:$B$1224, Sheet3!$D$2:$D$1224, "")</f>
        <v>monica.maharani28@gmail.com</v>
      </c>
      <c r="G2245" s="1" t="str" cm="1">
        <f t="array" ref="G2245">_xlfn.XLOOKUP(D2245&amp;C2245, Sheet2!$A$2:$A$558&amp;Sheet2!$B$2:$B$558, Sheet2!$C$2:$C$558, "")</f>
        <v>monica.maharani28@gmail.com</v>
      </c>
      <c r="H2245" s="40" t="str">
        <f t="shared" si="35"/>
        <v>monica.maharani28@gmail.com</v>
      </c>
    </row>
    <row r="2246" spans="1:8" ht="15.5" x14ac:dyDescent="0.35">
      <c r="A2246" s="7">
        <v>2245</v>
      </c>
      <c r="B2246" s="26">
        <v>38065</v>
      </c>
      <c r="C2246" s="13" t="s">
        <v>2017</v>
      </c>
      <c r="D2246" s="26" t="s">
        <v>2847</v>
      </c>
      <c r="E2246" s="10">
        <v>2015</v>
      </c>
      <c r="F2246" s="36" t="str" cm="1">
        <f t="array" ref="F2246">_xlfn.XLOOKUP(D2246&amp;C2246, Sheet3!$C$2:$C$1224&amp;Sheet3!$B$2:$B$1224, Sheet3!$D$2:$D$1224, "")</f>
        <v/>
      </c>
      <c r="G2246" s="1" t="str" cm="1">
        <f t="array" ref="G2246">_xlfn.XLOOKUP(D2246&amp;C2246, Sheet2!$A$2:$A$558&amp;Sheet2!$B$2:$B$558, Sheet2!$C$2:$C$558, "")</f>
        <v/>
      </c>
      <c r="H2246" s="40" t="str">
        <f t="shared" si="35"/>
        <v/>
      </c>
    </row>
    <row r="2247" spans="1:8" ht="15.5" x14ac:dyDescent="0.35">
      <c r="A2247" s="7">
        <v>2246</v>
      </c>
      <c r="B2247" s="26">
        <v>36091</v>
      </c>
      <c r="C2247" s="13" t="s">
        <v>2018</v>
      </c>
      <c r="D2247" s="26" t="s">
        <v>2845</v>
      </c>
      <c r="E2247" s="10">
        <v>2015</v>
      </c>
      <c r="F2247" s="36" t="str" cm="1">
        <f t="array" ref="F2247">_xlfn.XLOOKUP(D2247&amp;C2247, Sheet3!$C$2:$C$1224&amp;Sheet3!$B$2:$B$1224, Sheet3!$D$2:$D$1224, "")</f>
        <v/>
      </c>
      <c r="G2247" s="1" t="str" cm="1">
        <f t="array" ref="G2247">_xlfn.XLOOKUP(D2247&amp;C2247, Sheet2!$A$2:$A$558&amp;Sheet2!$B$2:$B$558, Sheet2!$C$2:$C$558, "")</f>
        <v/>
      </c>
      <c r="H2247" s="40" t="str">
        <f t="shared" si="35"/>
        <v/>
      </c>
    </row>
    <row r="2248" spans="1:8" ht="15.5" x14ac:dyDescent="0.35">
      <c r="A2248" s="7">
        <v>2247</v>
      </c>
      <c r="B2248" s="26">
        <v>38220</v>
      </c>
      <c r="C2248" s="13" t="s">
        <v>2019</v>
      </c>
      <c r="D2248" s="26" t="s">
        <v>2847</v>
      </c>
      <c r="E2248" s="10">
        <v>2015</v>
      </c>
      <c r="F2248" s="36" t="str" cm="1">
        <f t="array" ref="F2248">_xlfn.XLOOKUP(D2248&amp;C2248, Sheet3!$C$2:$C$1224&amp;Sheet3!$B$2:$B$1224, Sheet3!$D$2:$D$1224, "")</f>
        <v>kusumo31@gmail.com</v>
      </c>
      <c r="G2248" s="1" t="str" cm="1">
        <f t="array" ref="G2248">_xlfn.XLOOKUP(D2248&amp;C2248, Sheet2!$A$2:$A$558&amp;Sheet2!$B$2:$B$558, Sheet2!$C$2:$C$558, "")</f>
        <v/>
      </c>
      <c r="H2248" s="40" t="str">
        <f t="shared" si="35"/>
        <v>kusumo31@gmail.com</v>
      </c>
    </row>
    <row r="2249" spans="1:8" ht="15.5" x14ac:dyDescent="0.35">
      <c r="A2249" s="7">
        <v>2248</v>
      </c>
      <c r="B2249" s="26">
        <v>38113</v>
      </c>
      <c r="C2249" s="13" t="s">
        <v>2020</v>
      </c>
      <c r="D2249" s="26" t="s">
        <v>2847</v>
      </c>
      <c r="E2249" s="10">
        <v>2015</v>
      </c>
      <c r="F2249" s="36" t="str" cm="1">
        <f t="array" ref="F2249">_xlfn.XLOOKUP(D2249&amp;C2249, Sheet3!$C$2:$C$1224&amp;Sheet3!$B$2:$B$1224, Sheet3!$D$2:$D$1224, "")</f>
        <v/>
      </c>
      <c r="G2249" s="1" t="str" cm="1">
        <f t="array" ref="G2249">_xlfn.XLOOKUP(D2249&amp;C2249, Sheet2!$A$2:$A$558&amp;Sheet2!$B$2:$B$558, Sheet2!$C$2:$C$558, "")</f>
        <v/>
      </c>
      <c r="H2249" s="40" t="str">
        <f t="shared" si="35"/>
        <v/>
      </c>
    </row>
    <row r="2250" spans="1:8" ht="15.5" x14ac:dyDescent="0.35">
      <c r="A2250" s="7">
        <v>2249</v>
      </c>
      <c r="B2250" s="26">
        <v>37735</v>
      </c>
      <c r="C2250" s="13" t="s">
        <v>2021</v>
      </c>
      <c r="D2250" s="26" t="s">
        <v>2847</v>
      </c>
      <c r="E2250" s="10">
        <v>2015</v>
      </c>
      <c r="F2250" s="36" t="str" cm="1">
        <f t="array" ref="F2250">_xlfn.XLOOKUP(D2250&amp;C2250, Sheet3!$C$2:$C$1224&amp;Sheet3!$B$2:$B$1224, Sheet3!$D$2:$D$1224, "")</f>
        <v/>
      </c>
      <c r="G2250" s="1" t="str" cm="1">
        <f t="array" ref="G2250">_xlfn.XLOOKUP(D2250&amp;C2250, Sheet2!$A$2:$A$558&amp;Sheet2!$B$2:$B$558, Sheet2!$C$2:$C$558, "")</f>
        <v/>
      </c>
      <c r="H2250" s="40" t="str">
        <f t="shared" si="35"/>
        <v/>
      </c>
    </row>
    <row r="2251" spans="1:8" ht="15.5" x14ac:dyDescent="0.35">
      <c r="A2251" s="7">
        <v>2250</v>
      </c>
      <c r="B2251" s="26">
        <v>37987</v>
      </c>
      <c r="C2251" s="13" t="s">
        <v>2022</v>
      </c>
      <c r="D2251" s="26" t="s">
        <v>2847</v>
      </c>
      <c r="E2251" s="10">
        <v>2015</v>
      </c>
      <c r="F2251" s="36" t="str" cm="1">
        <f t="array" ref="F2251">_xlfn.XLOOKUP(D2251&amp;C2251, Sheet3!$C$2:$C$1224&amp;Sheet3!$B$2:$B$1224, Sheet3!$D$2:$D$1224, "")</f>
        <v>diyahnova28@gmail.com</v>
      </c>
      <c r="G2251" s="1" t="str" cm="1">
        <f t="array" ref="G2251">_xlfn.XLOOKUP(D2251&amp;C2251, Sheet2!$A$2:$A$558&amp;Sheet2!$B$2:$B$558, Sheet2!$C$2:$C$558, "")</f>
        <v>diyahnovanurjanah@gmail.com</v>
      </c>
      <c r="H2251" s="40" t="str">
        <f t="shared" si="35"/>
        <v>diyahnova28@gmail.com</v>
      </c>
    </row>
    <row r="2252" spans="1:8" ht="15.5" x14ac:dyDescent="0.35">
      <c r="A2252" s="7">
        <v>2251</v>
      </c>
      <c r="B2252" s="26">
        <v>37716</v>
      </c>
      <c r="C2252" s="13" t="s">
        <v>2023</v>
      </c>
      <c r="D2252" s="26" t="s">
        <v>2847</v>
      </c>
      <c r="E2252" s="10">
        <v>2015</v>
      </c>
      <c r="F2252" s="36" t="str" cm="1">
        <f t="array" ref="F2252">_xlfn.XLOOKUP(D2252&amp;C2252, Sheet3!$C$2:$C$1224&amp;Sheet3!$B$2:$B$1224, Sheet3!$D$2:$D$1224, "")</f>
        <v/>
      </c>
      <c r="G2252" s="1" t="str" cm="1">
        <f t="array" ref="G2252">_xlfn.XLOOKUP(D2252&amp;C2252, Sheet2!$A$2:$A$558&amp;Sheet2!$B$2:$B$558, Sheet2!$C$2:$C$558, "")</f>
        <v>mf.yudistiraa@gmail.com</v>
      </c>
      <c r="H2252" s="40" t="str">
        <f t="shared" si="35"/>
        <v>mf.yudistiraa@gmail.com</v>
      </c>
    </row>
    <row r="2253" spans="1:8" ht="15.5" x14ac:dyDescent="0.35">
      <c r="A2253" s="7">
        <v>2252</v>
      </c>
      <c r="B2253" s="26">
        <v>37977</v>
      </c>
      <c r="C2253" s="13" t="s">
        <v>2024</v>
      </c>
      <c r="D2253" s="26" t="s">
        <v>2847</v>
      </c>
      <c r="E2253" s="10">
        <v>2015</v>
      </c>
      <c r="F2253" s="36" t="str" cm="1">
        <f t="array" ref="F2253">_xlfn.XLOOKUP(D2253&amp;C2253, Sheet3!$C$2:$C$1224&amp;Sheet3!$B$2:$B$1224, Sheet3!$D$2:$D$1224, "")</f>
        <v>lutfi.mdn@gmail.com</v>
      </c>
      <c r="G2253" s="1" t="str" cm="1">
        <f t="array" ref="G2253">_xlfn.XLOOKUP(D2253&amp;C2253, Sheet2!$A$2:$A$558&amp;Sheet2!$B$2:$B$558, Sheet2!$C$2:$C$558, "")</f>
        <v/>
      </c>
      <c r="H2253" s="40" t="str">
        <f t="shared" si="35"/>
        <v>lutfi.mdn@gmail.com</v>
      </c>
    </row>
    <row r="2254" spans="1:8" ht="15.5" x14ac:dyDescent="0.35">
      <c r="A2254" s="7">
        <v>2253</v>
      </c>
      <c r="B2254" s="26">
        <v>38196</v>
      </c>
      <c r="C2254" s="13" t="s">
        <v>2025</v>
      </c>
      <c r="D2254" s="26" t="s">
        <v>2847</v>
      </c>
      <c r="E2254" s="10">
        <v>2015</v>
      </c>
      <c r="F2254" s="36" t="str" cm="1">
        <f t="array" ref="F2254">_xlfn.XLOOKUP(D2254&amp;C2254, Sheet3!$C$2:$C$1224&amp;Sheet3!$B$2:$B$1224, Sheet3!$D$2:$D$1224, "")</f>
        <v>akhlasabila@gmail.com</v>
      </c>
      <c r="G2254" s="1" t="str" cm="1">
        <f t="array" ref="G2254">_xlfn.XLOOKUP(D2254&amp;C2254, Sheet2!$A$2:$A$558&amp;Sheet2!$B$2:$B$558, Sheet2!$C$2:$C$558, "")</f>
        <v>akhlasabila@gmail.com</v>
      </c>
      <c r="H2254" s="40" t="str">
        <f t="shared" si="35"/>
        <v>akhlasabila@gmail.com</v>
      </c>
    </row>
    <row r="2255" spans="1:8" ht="15.5" x14ac:dyDescent="0.35">
      <c r="A2255" s="7">
        <v>2254</v>
      </c>
      <c r="B2255" s="26">
        <v>34322</v>
      </c>
      <c r="C2255" s="13" t="s">
        <v>2026</v>
      </c>
      <c r="D2255" s="26" t="s">
        <v>2844</v>
      </c>
      <c r="E2255" s="10">
        <v>2015</v>
      </c>
      <c r="F2255" s="36" t="str" cm="1">
        <f t="array" ref="F2255">_xlfn.XLOOKUP(D2255&amp;C2255, Sheet3!$C$2:$C$1224&amp;Sheet3!$B$2:$B$1224, Sheet3!$D$2:$D$1224, "")</f>
        <v/>
      </c>
      <c r="G2255" s="1" t="str" cm="1">
        <f t="array" ref="G2255">_xlfn.XLOOKUP(D2255&amp;C2255, Sheet2!$A$2:$A$558&amp;Sheet2!$B$2:$B$558, Sheet2!$C$2:$C$558, "")</f>
        <v/>
      </c>
      <c r="H2255" s="40" t="str">
        <f t="shared" si="35"/>
        <v/>
      </c>
    </row>
    <row r="2256" spans="1:8" ht="15.5" x14ac:dyDescent="0.35">
      <c r="A2256" s="7">
        <v>2255</v>
      </c>
      <c r="B2256" s="26">
        <v>37600</v>
      </c>
      <c r="C2256" s="13" t="s">
        <v>2027</v>
      </c>
      <c r="D2256" s="26" t="s">
        <v>2847</v>
      </c>
      <c r="E2256" s="10">
        <v>2015</v>
      </c>
      <c r="F2256" s="36" t="str" cm="1">
        <f t="array" ref="F2256">_xlfn.XLOOKUP(D2256&amp;C2256, Sheet3!$C$2:$C$1224&amp;Sheet3!$B$2:$B$1224, Sheet3!$D$2:$D$1224, "")</f>
        <v/>
      </c>
      <c r="G2256" s="1" t="str" cm="1">
        <f t="array" ref="G2256">_xlfn.XLOOKUP(D2256&amp;C2256, Sheet2!$A$2:$A$558&amp;Sheet2!$B$2:$B$558, Sheet2!$C$2:$C$558, "")</f>
        <v/>
      </c>
      <c r="H2256" s="40" t="str">
        <f t="shared" si="35"/>
        <v/>
      </c>
    </row>
    <row r="2257" spans="1:8" ht="15.5" x14ac:dyDescent="0.35">
      <c r="A2257" s="7">
        <v>2256</v>
      </c>
      <c r="B2257" s="17">
        <v>38147</v>
      </c>
      <c r="C2257" s="13" t="s">
        <v>2028</v>
      </c>
      <c r="D2257" s="17" t="s">
        <v>2847</v>
      </c>
      <c r="E2257" s="10">
        <v>2015</v>
      </c>
      <c r="F2257" s="36" t="str" cm="1">
        <f t="array" ref="F2257">_xlfn.XLOOKUP(D2257&amp;C2257, Sheet3!$C$2:$C$1224&amp;Sheet3!$B$2:$B$1224, Sheet3!$D$2:$D$1224, "")</f>
        <v>advent.cahya.a@gmail.com</v>
      </c>
      <c r="G2257" s="1" t="str" cm="1">
        <f t="array" ref="G2257">_xlfn.XLOOKUP(D2257&amp;C2257, Sheet2!$A$2:$A$558&amp;Sheet2!$B$2:$B$558, Sheet2!$C$2:$C$558, "")</f>
        <v>advent.cahya.a@gmail.com</v>
      </c>
      <c r="H2257" s="40" t="str">
        <f t="shared" si="35"/>
        <v>advent.cahya.a@gmail.com</v>
      </c>
    </row>
    <row r="2258" spans="1:8" ht="15.5" x14ac:dyDescent="0.35">
      <c r="A2258" s="7">
        <v>2257</v>
      </c>
      <c r="B2258" s="17">
        <v>38249</v>
      </c>
      <c r="C2258" s="13" t="s">
        <v>2029</v>
      </c>
      <c r="D2258" s="17" t="s">
        <v>2847</v>
      </c>
      <c r="E2258" s="10">
        <v>2015</v>
      </c>
      <c r="F2258" s="36" t="str" cm="1">
        <f t="array" ref="F2258">_xlfn.XLOOKUP(D2258&amp;C2258, Sheet3!$C$2:$C$1224&amp;Sheet3!$B$2:$B$1224, Sheet3!$D$2:$D$1224, "")</f>
        <v/>
      </c>
      <c r="G2258" s="1" t="str" cm="1">
        <f t="array" ref="G2258">_xlfn.XLOOKUP(D2258&amp;C2258, Sheet2!$A$2:$A$558&amp;Sheet2!$B$2:$B$558, Sheet2!$C$2:$C$558, "")</f>
        <v/>
      </c>
      <c r="H2258" s="40" t="str">
        <f t="shared" si="35"/>
        <v/>
      </c>
    </row>
    <row r="2259" spans="1:8" ht="15.5" x14ac:dyDescent="0.35">
      <c r="A2259" s="7">
        <v>2258</v>
      </c>
      <c r="B2259" s="17">
        <v>35021</v>
      </c>
      <c r="C2259" s="13" t="s">
        <v>2030</v>
      </c>
      <c r="D2259" s="17" t="s">
        <v>2845</v>
      </c>
      <c r="E2259" s="10">
        <v>2015</v>
      </c>
      <c r="F2259" s="36" t="str" cm="1">
        <f t="array" ref="F2259">_xlfn.XLOOKUP(D2259&amp;C2259, Sheet3!$C$2:$C$1224&amp;Sheet3!$B$2:$B$1224, Sheet3!$D$2:$D$1224, "")</f>
        <v/>
      </c>
      <c r="G2259" s="1" t="str" cm="1">
        <f t="array" ref="G2259">_xlfn.XLOOKUP(D2259&amp;C2259, Sheet2!$A$2:$A$558&amp;Sheet2!$B$2:$B$558, Sheet2!$C$2:$C$558, "")</f>
        <v/>
      </c>
      <c r="H2259" s="40" t="str">
        <f t="shared" si="35"/>
        <v/>
      </c>
    </row>
    <row r="2260" spans="1:8" ht="15.5" x14ac:dyDescent="0.35">
      <c r="A2260" s="7">
        <v>2259</v>
      </c>
      <c r="B2260" s="17">
        <v>38191</v>
      </c>
      <c r="C2260" s="13" t="s">
        <v>2031</v>
      </c>
      <c r="D2260" s="17" t="s">
        <v>2847</v>
      </c>
      <c r="E2260" s="10">
        <v>2015</v>
      </c>
      <c r="F2260" s="36" t="str" cm="1">
        <f t="array" ref="F2260">_xlfn.XLOOKUP(D2260&amp;C2260, Sheet3!$C$2:$C$1224&amp;Sheet3!$B$2:$B$1224, Sheet3!$D$2:$D$1224, "")</f>
        <v>Teguhsulistian17@gmail.com</v>
      </c>
      <c r="G2260" s="1" t="str" cm="1">
        <f t="array" ref="G2260">_xlfn.XLOOKUP(D2260&amp;C2260, Sheet2!$A$2:$A$558&amp;Sheet2!$B$2:$B$558, Sheet2!$C$2:$C$558, "")</f>
        <v>Teguhsulistian17@gmail.com</v>
      </c>
      <c r="H2260" s="40" t="str">
        <f t="shared" si="35"/>
        <v>Teguhsulistian17@gmail.com</v>
      </c>
    </row>
    <row r="2261" spans="1:8" ht="15.5" x14ac:dyDescent="0.35">
      <c r="A2261" s="7">
        <v>2260</v>
      </c>
      <c r="B2261" s="17">
        <v>38222</v>
      </c>
      <c r="C2261" s="13" t="s">
        <v>2032</v>
      </c>
      <c r="D2261" s="17" t="s">
        <v>2847</v>
      </c>
      <c r="E2261" s="10">
        <v>2015</v>
      </c>
      <c r="F2261" s="36" t="str" cm="1">
        <f t="array" ref="F2261">_xlfn.XLOOKUP(D2261&amp;C2261, Sheet3!$C$2:$C$1224&amp;Sheet3!$B$2:$B$1224, Sheet3!$D$2:$D$1224, "")</f>
        <v>wahyudwiyanieko@gmail.com</v>
      </c>
      <c r="G2261" s="1" t="str" cm="1">
        <f t="array" ref="G2261">_xlfn.XLOOKUP(D2261&amp;C2261, Sheet2!$A$2:$A$558&amp;Sheet2!$B$2:$B$558, Sheet2!$C$2:$C$558, "")</f>
        <v>wahyudwiyanieko@gmail.com</v>
      </c>
      <c r="H2261" s="40" t="str">
        <f t="shared" si="35"/>
        <v>wahyudwiyanieko@gmail.com</v>
      </c>
    </row>
    <row r="2262" spans="1:8" ht="15.5" x14ac:dyDescent="0.35">
      <c r="A2262" s="7">
        <v>2261</v>
      </c>
      <c r="B2262" s="17">
        <v>38108</v>
      </c>
      <c r="C2262" s="13" t="s">
        <v>2033</v>
      </c>
      <c r="D2262" s="17" t="s">
        <v>2847</v>
      </c>
      <c r="E2262" s="10">
        <v>2015</v>
      </c>
      <c r="F2262" s="36" t="str" cm="1">
        <f t="array" ref="F2262">_xlfn.XLOOKUP(D2262&amp;C2262, Sheet3!$C$2:$C$1224&amp;Sheet3!$B$2:$B$1224, Sheet3!$D$2:$D$1224, "")</f>
        <v>muhammadauliaadhyawan@gmail.com</v>
      </c>
      <c r="G2262" s="1" t="str" cm="1">
        <f t="array" ref="G2262">_xlfn.XLOOKUP(D2262&amp;C2262, Sheet2!$A$2:$A$558&amp;Sheet2!$B$2:$B$558, Sheet2!$C$2:$C$558, "")</f>
        <v>muhammadauliaadhyawan@gmail.com</v>
      </c>
      <c r="H2262" s="40" t="str">
        <f t="shared" si="35"/>
        <v>muhammadauliaadhyawan@gmail.com</v>
      </c>
    </row>
    <row r="2263" spans="1:8" ht="15.5" x14ac:dyDescent="0.35">
      <c r="A2263" s="7">
        <v>2262</v>
      </c>
      <c r="B2263" s="17">
        <v>37975</v>
      </c>
      <c r="C2263" s="13" t="s">
        <v>2034</v>
      </c>
      <c r="D2263" s="17" t="s">
        <v>2847</v>
      </c>
      <c r="E2263" s="10">
        <v>2015</v>
      </c>
      <c r="F2263" s="36" t="str" cm="1">
        <f t="array" ref="F2263">_xlfn.XLOOKUP(D2263&amp;C2263, Sheet3!$C$2:$C$1224&amp;Sheet3!$B$2:$B$1224, Sheet3!$D$2:$D$1224, "")</f>
        <v>niken.sulistya249@gmail.com</v>
      </c>
      <c r="G2263" s="1" t="str" cm="1">
        <f t="array" ref="G2263">_xlfn.XLOOKUP(D2263&amp;C2263, Sheet2!$A$2:$A$558&amp;Sheet2!$B$2:$B$558, Sheet2!$C$2:$C$558, "")</f>
        <v/>
      </c>
      <c r="H2263" s="40" t="str">
        <f t="shared" si="35"/>
        <v>niken.sulistya249@gmail.com</v>
      </c>
    </row>
    <row r="2264" spans="1:8" ht="15.5" x14ac:dyDescent="0.35">
      <c r="A2264" s="7">
        <v>2263</v>
      </c>
      <c r="B2264" s="17">
        <v>38183</v>
      </c>
      <c r="C2264" s="13" t="s">
        <v>2035</v>
      </c>
      <c r="D2264" s="17" t="s">
        <v>2847</v>
      </c>
      <c r="E2264" s="10">
        <v>2015</v>
      </c>
      <c r="F2264" s="36" t="str" cm="1">
        <f t="array" ref="F2264">_xlfn.XLOOKUP(D2264&amp;C2264, Sheet3!$C$2:$C$1224&amp;Sheet3!$B$2:$B$1224, Sheet3!$D$2:$D$1224, "")</f>
        <v/>
      </c>
      <c r="G2264" s="1" t="str" cm="1">
        <f t="array" ref="G2264">_xlfn.XLOOKUP(D2264&amp;C2264, Sheet2!$A$2:$A$558&amp;Sheet2!$B$2:$B$558, Sheet2!$C$2:$C$558, "")</f>
        <v/>
      </c>
      <c r="H2264" s="40" t="str">
        <f t="shared" si="35"/>
        <v/>
      </c>
    </row>
    <row r="2265" spans="1:8" ht="15.5" x14ac:dyDescent="0.35">
      <c r="A2265" s="7">
        <v>2264</v>
      </c>
      <c r="B2265" s="17">
        <v>37872</v>
      </c>
      <c r="C2265" s="13" t="s">
        <v>2036</v>
      </c>
      <c r="D2265" s="17" t="s">
        <v>2847</v>
      </c>
      <c r="E2265" s="10">
        <v>2015</v>
      </c>
      <c r="F2265" s="36" t="str" cm="1">
        <f t="array" ref="F2265">_xlfn.XLOOKUP(D2265&amp;C2265, Sheet3!$C$2:$C$1224&amp;Sheet3!$B$2:$B$1224, Sheet3!$D$2:$D$1224, "")</f>
        <v>maria.yozantika@gmail.com</v>
      </c>
      <c r="G2265" s="1" t="str" cm="1">
        <f t="array" ref="G2265">_xlfn.XLOOKUP(D2265&amp;C2265, Sheet2!$A$2:$A$558&amp;Sheet2!$B$2:$B$558, Sheet2!$C$2:$C$558, "")</f>
        <v/>
      </c>
      <c r="H2265" s="40" t="str">
        <f t="shared" si="35"/>
        <v>maria.yozantika@gmail.com</v>
      </c>
    </row>
    <row r="2266" spans="1:8" ht="15.5" x14ac:dyDescent="0.35">
      <c r="A2266" s="7">
        <v>2265</v>
      </c>
      <c r="B2266" s="17">
        <v>37558</v>
      </c>
      <c r="C2266" s="13" t="s">
        <v>2037</v>
      </c>
      <c r="D2266" s="17" t="s">
        <v>2847</v>
      </c>
      <c r="E2266" s="10">
        <v>2015</v>
      </c>
      <c r="F2266" s="36" t="str" cm="1">
        <f t="array" ref="F2266">_xlfn.XLOOKUP(D2266&amp;C2266, Sheet3!$C$2:$C$1224&amp;Sheet3!$B$2:$B$1224, Sheet3!$D$2:$D$1224, "")</f>
        <v/>
      </c>
      <c r="G2266" s="1" t="str" cm="1">
        <f t="array" ref="G2266">_xlfn.XLOOKUP(D2266&amp;C2266, Sheet2!$A$2:$A$558&amp;Sheet2!$B$2:$B$558, Sheet2!$C$2:$C$558, "")</f>
        <v/>
      </c>
      <c r="H2266" s="40" t="str">
        <f t="shared" si="35"/>
        <v/>
      </c>
    </row>
    <row r="2267" spans="1:8" ht="15.5" x14ac:dyDescent="0.35">
      <c r="A2267" s="7">
        <v>2266</v>
      </c>
      <c r="B2267" s="17">
        <v>38073</v>
      </c>
      <c r="C2267" s="13" t="s">
        <v>2038</v>
      </c>
      <c r="D2267" s="17" t="s">
        <v>2847</v>
      </c>
      <c r="E2267" s="10">
        <v>2015</v>
      </c>
      <c r="F2267" s="36" t="str" cm="1">
        <f t="array" ref="F2267">_xlfn.XLOOKUP(D2267&amp;C2267, Sheet3!$C$2:$C$1224&amp;Sheet3!$B$2:$B$1224, Sheet3!$D$2:$D$1224, "")</f>
        <v xml:space="preserve">sosmedhalim@gmail.com </v>
      </c>
      <c r="G2267" s="1" t="str" cm="1">
        <f t="array" ref="G2267">_xlfn.XLOOKUP(D2267&amp;C2267, Sheet2!$A$2:$A$558&amp;Sheet2!$B$2:$B$558, Sheet2!$C$2:$C$558, "")</f>
        <v>halim.wiranata@hutamakarya.com</v>
      </c>
      <c r="H2267" s="40" t="str">
        <f t="shared" si="35"/>
        <v xml:space="preserve">sosmedhalim@gmail.com </v>
      </c>
    </row>
    <row r="2268" spans="1:8" ht="15.5" x14ac:dyDescent="0.35">
      <c r="A2268" s="7">
        <v>2267</v>
      </c>
      <c r="B2268" s="17">
        <v>37825</v>
      </c>
      <c r="C2268" s="13" t="s">
        <v>2039</v>
      </c>
      <c r="D2268" s="17" t="s">
        <v>2847</v>
      </c>
      <c r="E2268" s="10">
        <v>2015</v>
      </c>
      <c r="F2268" s="36" t="str" cm="1">
        <f t="array" ref="F2268">_xlfn.XLOOKUP(D2268&amp;C2268, Sheet3!$C$2:$C$1224&amp;Sheet3!$B$2:$B$1224, Sheet3!$D$2:$D$1224, "")</f>
        <v/>
      </c>
      <c r="G2268" s="1" t="str" cm="1">
        <f t="array" ref="G2268">_xlfn.XLOOKUP(D2268&amp;C2268, Sheet2!$A$2:$A$558&amp;Sheet2!$B$2:$B$558, Sheet2!$C$2:$C$558, "")</f>
        <v/>
      </c>
      <c r="H2268" s="40" t="str">
        <f t="shared" si="35"/>
        <v/>
      </c>
    </row>
    <row r="2269" spans="1:8" ht="15.5" x14ac:dyDescent="0.35">
      <c r="A2269" s="7">
        <v>2268</v>
      </c>
      <c r="B2269" s="17">
        <v>38237</v>
      </c>
      <c r="C2269" s="13" t="s">
        <v>2040</v>
      </c>
      <c r="D2269" s="17" t="s">
        <v>2847</v>
      </c>
      <c r="E2269" s="10">
        <v>2015</v>
      </c>
      <c r="F2269" s="36" t="str" cm="1">
        <f t="array" ref="F2269">_xlfn.XLOOKUP(D2269&amp;C2269, Sheet3!$C$2:$C$1224&amp;Sheet3!$B$2:$B$1224, Sheet3!$D$2:$D$1224, "")</f>
        <v/>
      </c>
      <c r="G2269" s="1" t="str" cm="1">
        <f t="array" ref="G2269">_xlfn.XLOOKUP(D2269&amp;C2269, Sheet2!$A$2:$A$558&amp;Sheet2!$B$2:$B$558, Sheet2!$C$2:$C$558, "")</f>
        <v/>
      </c>
      <c r="H2269" s="40" t="str">
        <f t="shared" si="35"/>
        <v/>
      </c>
    </row>
    <row r="2270" spans="1:8" ht="15.5" x14ac:dyDescent="0.35">
      <c r="A2270" s="7">
        <v>2269</v>
      </c>
      <c r="B2270" s="17">
        <v>38161</v>
      </c>
      <c r="C2270" s="13" t="s">
        <v>2041</v>
      </c>
      <c r="D2270" s="17" t="s">
        <v>2847</v>
      </c>
      <c r="E2270" s="10">
        <v>2015</v>
      </c>
      <c r="F2270" s="36" t="str" cm="1">
        <f t="array" ref="F2270">_xlfn.XLOOKUP(D2270&amp;C2270, Sheet3!$C$2:$C$1224&amp;Sheet3!$B$2:$B$1224, Sheet3!$D$2:$D$1224, "")</f>
        <v/>
      </c>
      <c r="G2270" s="1" t="str" cm="1">
        <f t="array" ref="G2270">_xlfn.XLOOKUP(D2270&amp;C2270, Sheet2!$A$2:$A$558&amp;Sheet2!$B$2:$B$558, Sheet2!$C$2:$C$558, "")</f>
        <v/>
      </c>
      <c r="H2270" s="40" t="str">
        <f t="shared" si="35"/>
        <v/>
      </c>
    </row>
    <row r="2271" spans="1:8" ht="15.5" x14ac:dyDescent="0.35">
      <c r="A2271" s="7">
        <v>2270</v>
      </c>
      <c r="B2271" s="17">
        <v>38127</v>
      </c>
      <c r="C2271" s="13" t="s">
        <v>2042</v>
      </c>
      <c r="D2271" s="17" t="s">
        <v>2847</v>
      </c>
      <c r="E2271" s="10">
        <v>2015</v>
      </c>
      <c r="F2271" s="36" t="str" cm="1">
        <f t="array" ref="F2271">_xlfn.XLOOKUP(D2271&amp;C2271, Sheet3!$C$2:$C$1224&amp;Sheet3!$B$2:$B$1224, Sheet3!$D$2:$D$1224, "")</f>
        <v/>
      </c>
      <c r="G2271" s="1" t="str" cm="1">
        <f t="array" ref="G2271">_xlfn.XLOOKUP(D2271&amp;C2271, Sheet2!$A$2:$A$558&amp;Sheet2!$B$2:$B$558, Sheet2!$C$2:$C$558, "")</f>
        <v/>
      </c>
      <c r="H2271" s="40" t="str">
        <f t="shared" si="35"/>
        <v/>
      </c>
    </row>
    <row r="2272" spans="1:8" ht="15.5" x14ac:dyDescent="0.35">
      <c r="A2272" s="7">
        <v>2271</v>
      </c>
      <c r="B2272" s="17">
        <v>38177</v>
      </c>
      <c r="C2272" s="13" t="s">
        <v>2043</v>
      </c>
      <c r="D2272" s="17" t="s">
        <v>2847</v>
      </c>
      <c r="E2272" s="10">
        <v>2015</v>
      </c>
      <c r="F2272" s="36" t="str" cm="1">
        <f t="array" ref="F2272">_xlfn.XLOOKUP(D2272&amp;C2272, Sheet3!$C$2:$C$1224&amp;Sheet3!$B$2:$B$1224, Sheet3!$D$2:$D$1224, "")</f>
        <v/>
      </c>
      <c r="G2272" s="1" t="str" cm="1">
        <f t="array" ref="G2272">_xlfn.XLOOKUP(D2272&amp;C2272, Sheet2!$A$2:$A$558&amp;Sheet2!$B$2:$B$558, Sheet2!$C$2:$C$558, "")</f>
        <v/>
      </c>
      <c r="H2272" s="40" t="str">
        <f t="shared" si="35"/>
        <v/>
      </c>
    </row>
    <row r="2273" spans="1:8" ht="15.5" x14ac:dyDescent="0.35">
      <c r="A2273" s="7">
        <v>2272</v>
      </c>
      <c r="B2273" s="17">
        <v>36095</v>
      </c>
      <c r="C2273" s="13" t="s">
        <v>2044</v>
      </c>
      <c r="D2273" s="17" t="s">
        <v>2845</v>
      </c>
      <c r="E2273" s="10">
        <v>2015</v>
      </c>
      <c r="F2273" s="36" t="str" cm="1">
        <f t="array" ref="F2273">_xlfn.XLOOKUP(D2273&amp;C2273, Sheet3!$C$2:$C$1224&amp;Sheet3!$B$2:$B$1224, Sheet3!$D$2:$D$1224, "")</f>
        <v/>
      </c>
      <c r="G2273" s="1" t="str" cm="1">
        <f t="array" ref="G2273">_xlfn.XLOOKUP(D2273&amp;C2273, Sheet2!$A$2:$A$558&amp;Sheet2!$B$2:$B$558, Sheet2!$C$2:$C$558, "")</f>
        <v/>
      </c>
      <c r="H2273" s="40" t="str">
        <f t="shared" si="35"/>
        <v/>
      </c>
    </row>
    <row r="2274" spans="1:8" ht="15.5" x14ac:dyDescent="0.35">
      <c r="A2274" s="7">
        <v>2273</v>
      </c>
      <c r="B2274" s="17">
        <v>35162</v>
      </c>
      <c r="C2274" s="13" t="s">
        <v>2045</v>
      </c>
      <c r="D2274" s="17" t="s">
        <v>2845</v>
      </c>
      <c r="E2274" s="10">
        <v>2015</v>
      </c>
      <c r="F2274" s="36" t="str" cm="1">
        <f t="array" ref="F2274">_xlfn.XLOOKUP(D2274&amp;C2274, Sheet3!$C$2:$C$1224&amp;Sheet3!$B$2:$B$1224, Sheet3!$D$2:$D$1224, "")</f>
        <v>ivanbusthomi@gmail.com</v>
      </c>
      <c r="G2274" s="1" t="str" cm="1">
        <f t="array" ref="G2274">_xlfn.XLOOKUP(D2274&amp;C2274, Sheet2!$A$2:$A$558&amp;Sheet2!$B$2:$B$558, Sheet2!$C$2:$C$558, "")</f>
        <v>ivanbusthomi@gmail.com</v>
      </c>
      <c r="H2274" s="40" t="str">
        <f t="shared" si="35"/>
        <v>ivanbusthomi@gmail.com</v>
      </c>
    </row>
    <row r="2275" spans="1:8" ht="15.5" x14ac:dyDescent="0.35">
      <c r="A2275" s="7">
        <v>2274</v>
      </c>
      <c r="B2275" s="17">
        <v>37970</v>
      </c>
      <c r="C2275" s="13" t="s">
        <v>2046</v>
      </c>
      <c r="D2275" s="17" t="s">
        <v>2847</v>
      </c>
      <c r="E2275" s="10">
        <v>2015</v>
      </c>
      <c r="F2275" s="36" t="str" cm="1">
        <f t="array" ref="F2275">_xlfn.XLOOKUP(D2275&amp;C2275, Sheet3!$C$2:$C$1224&amp;Sheet3!$B$2:$B$1224, Sheet3!$D$2:$D$1224, "")</f>
        <v/>
      </c>
      <c r="G2275" s="1" t="str" cm="1">
        <f t="array" ref="G2275">_xlfn.XLOOKUP(D2275&amp;C2275, Sheet2!$A$2:$A$558&amp;Sheet2!$B$2:$B$558, Sheet2!$C$2:$C$558, "")</f>
        <v>agung.prastyo.202@gmail.com</v>
      </c>
      <c r="H2275" s="40" t="str">
        <f t="shared" si="35"/>
        <v>agung.prastyo.202@gmail.com</v>
      </c>
    </row>
    <row r="2276" spans="1:8" ht="15.5" x14ac:dyDescent="0.35">
      <c r="A2276" s="7">
        <v>2275</v>
      </c>
      <c r="B2276" s="17">
        <v>38224</v>
      </c>
      <c r="C2276" s="13" t="s">
        <v>2047</v>
      </c>
      <c r="D2276" s="17" t="s">
        <v>2847</v>
      </c>
      <c r="E2276" s="10">
        <v>2015</v>
      </c>
      <c r="F2276" s="36" t="str" cm="1">
        <f t="array" ref="F2276">_xlfn.XLOOKUP(D2276&amp;C2276, Sheet3!$C$2:$C$1224&amp;Sheet3!$B$2:$B$1224, Sheet3!$D$2:$D$1224, "")</f>
        <v/>
      </c>
      <c r="G2276" s="1" t="str" cm="1">
        <f t="array" ref="G2276">_xlfn.XLOOKUP(D2276&amp;C2276, Sheet2!$A$2:$A$558&amp;Sheet2!$B$2:$B$558, Sheet2!$C$2:$C$558, "")</f>
        <v>tanyasyahrial@gmail.com</v>
      </c>
      <c r="H2276" s="40" t="str">
        <f t="shared" si="35"/>
        <v>tanyasyahrial@gmail.com</v>
      </c>
    </row>
    <row r="2277" spans="1:8" ht="15.5" x14ac:dyDescent="0.35">
      <c r="A2277" s="7">
        <v>2276</v>
      </c>
      <c r="B2277" s="17">
        <v>37733</v>
      </c>
      <c r="C2277" s="13" t="s">
        <v>2048</v>
      </c>
      <c r="D2277" s="17" t="s">
        <v>2847</v>
      </c>
      <c r="E2277" s="10">
        <v>2015</v>
      </c>
      <c r="F2277" s="36" t="str" cm="1">
        <f t="array" ref="F2277">_xlfn.XLOOKUP(D2277&amp;C2277, Sheet3!$C$2:$C$1224&amp;Sheet3!$B$2:$B$1224, Sheet3!$D$2:$D$1224, "")</f>
        <v/>
      </c>
      <c r="G2277" s="1" t="str" cm="1">
        <f t="array" ref="G2277">_xlfn.XLOOKUP(D2277&amp;C2277, Sheet2!$A$2:$A$558&amp;Sheet2!$B$2:$B$558, Sheet2!$C$2:$C$558, "")</f>
        <v/>
      </c>
      <c r="H2277" s="40" t="str">
        <f t="shared" si="35"/>
        <v/>
      </c>
    </row>
    <row r="2278" spans="1:8" ht="15.5" x14ac:dyDescent="0.35">
      <c r="A2278" s="7">
        <v>2277</v>
      </c>
      <c r="B2278" s="17">
        <v>36433</v>
      </c>
      <c r="C2278" s="13" t="s">
        <v>2049</v>
      </c>
      <c r="D2278" s="17" t="s">
        <v>2846</v>
      </c>
      <c r="E2278" s="10">
        <v>2016</v>
      </c>
      <c r="F2278" s="36" t="str" cm="1">
        <f t="array" ref="F2278">_xlfn.XLOOKUP(D2278&amp;C2278, Sheet3!$C$2:$C$1224&amp;Sheet3!$B$2:$B$1224, Sheet3!$D$2:$D$1224, "")</f>
        <v/>
      </c>
      <c r="G2278" s="1" t="str" cm="1">
        <f t="array" ref="G2278">_xlfn.XLOOKUP(D2278&amp;C2278, Sheet2!$A$2:$A$558&amp;Sheet2!$B$2:$B$558, Sheet2!$C$2:$C$558, "")</f>
        <v/>
      </c>
      <c r="H2278" s="40" t="str">
        <f t="shared" si="35"/>
        <v/>
      </c>
    </row>
    <row r="2279" spans="1:8" ht="15.5" x14ac:dyDescent="0.35">
      <c r="A2279" s="7">
        <v>2278</v>
      </c>
      <c r="B2279" s="17">
        <v>36527</v>
      </c>
      <c r="C2279" s="13" t="s">
        <v>2050</v>
      </c>
      <c r="D2279" s="17" t="s">
        <v>2846</v>
      </c>
      <c r="E2279" s="10">
        <v>2016</v>
      </c>
      <c r="F2279" s="36" t="str" cm="1">
        <f t="array" ref="F2279">_xlfn.XLOOKUP(D2279&amp;C2279, Sheet3!$C$2:$C$1224&amp;Sheet3!$B$2:$B$1224, Sheet3!$D$2:$D$1224, "")</f>
        <v/>
      </c>
      <c r="G2279" s="1" t="str" cm="1">
        <f t="array" ref="G2279">_xlfn.XLOOKUP(D2279&amp;C2279, Sheet2!$A$2:$A$558&amp;Sheet2!$B$2:$B$558, Sheet2!$C$2:$C$558, "")</f>
        <v>yoga.permana.made@gmail.com</v>
      </c>
      <c r="H2279" s="40" t="str">
        <f t="shared" si="35"/>
        <v>yoga.permana.made@gmail.com</v>
      </c>
    </row>
    <row r="2280" spans="1:8" ht="15.5" x14ac:dyDescent="0.35">
      <c r="A2280" s="7">
        <v>2279</v>
      </c>
      <c r="B2280" s="17">
        <v>37209</v>
      </c>
      <c r="C2280" s="13" t="s">
        <v>2051</v>
      </c>
      <c r="D2280" s="17" t="s">
        <v>2846</v>
      </c>
      <c r="E2280" s="10">
        <v>2016</v>
      </c>
      <c r="F2280" s="36" t="str" cm="1">
        <f t="array" ref="F2280">_xlfn.XLOOKUP(D2280&amp;C2280, Sheet3!$C$2:$C$1224&amp;Sheet3!$B$2:$B$1224, Sheet3!$D$2:$D$1224, "")</f>
        <v/>
      </c>
      <c r="G2280" s="1" t="str" cm="1">
        <f t="array" ref="G2280">_xlfn.XLOOKUP(D2280&amp;C2280, Sheet2!$A$2:$A$558&amp;Sheet2!$B$2:$B$558, Sheet2!$C$2:$C$558, "")</f>
        <v/>
      </c>
      <c r="H2280" s="40" t="str">
        <f t="shared" si="35"/>
        <v/>
      </c>
    </row>
    <row r="2281" spans="1:8" ht="15.5" x14ac:dyDescent="0.35">
      <c r="A2281" s="7">
        <v>2280</v>
      </c>
      <c r="B2281" s="17">
        <v>38336</v>
      </c>
      <c r="C2281" s="13" t="s">
        <v>2052</v>
      </c>
      <c r="D2281" s="17" t="s">
        <v>2847</v>
      </c>
      <c r="E2281" s="10">
        <v>2016</v>
      </c>
      <c r="F2281" s="36" t="str" cm="1">
        <f t="array" ref="F2281">_xlfn.XLOOKUP(D2281&amp;C2281, Sheet3!$C$2:$C$1224&amp;Sheet3!$B$2:$B$1224, Sheet3!$D$2:$D$1224, "")</f>
        <v/>
      </c>
      <c r="G2281" s="1" t="str" cm="1">
        <f t="array" ref="G2281">_xlfn.XLOOKUP(D2281&amp;C2281, Sheet2!$A$2:$A$558&amp;Sheet2!$B$2:$B$558, Sheet2!$C$2:$C$558, "")</f>
        <v/>
      </c>
      <c r="H2281" s="40" t="str">
        <f t="shared" si="35"/>
        <v/>
      </c>
    </row>
    <row r="2282" spans="1:8" ht="15.5" x14ac:dyDescent="0.35">
      <c r="A2282" s="7">
        <v>2281</v>
      </c>
      <c r="B2282" s="17">
        <v>38243</v>
      </c>
      <c r="C2282" s="13" t="s">
        <v>2053</v>
      </c>
      <c r="D2282" s="17" t="s">
        <v>2847</v>
      </c>
      <c r="E2282" s="10">
        <v>2016</v>
      </c>
      <c r="F2282" s="36" t="str" cm="1">
        <f t="array" ref="F2282">_xlfn.XLOOKUP(D2282&amp;C2282, Sheet3!$C$2:$C$1224&amp;Sheet3!$B$2:$B$1224, Sheet3!$D$2:$D$1224, "")</f>
        <v>Afifuddin212@gmail.com</v>
      </c>
      <c r="G2282" s="1" t="str" cm="1">
        <f t="array" ref="G2282">_xlfn.XLOOKUP(D2282&amp;C2282, Sheet2!$A$2:$A$558&amp;Sheet2!$B$2:$B$558, Sheet2!$C$2:$C$558, "")</f>
        <v/>
      </c>
      <c r="H2282" s="40" t="str">
        <f t="shared" si="35"/>
        <v>Afifuddin212@gmail.com</v>
      </c>
    </row>
    <row r="2283" spans="1:8" ht="15.5" x14ac:dyDescent="0.35">
      <c r="A2283" s="7">
        <v>2282</v>
      </c>
      <c r="B2283" s="17">
        <v>38314</v>
      </c>
      <c r="C2283" s="13" t="s">
        <v>2054</v>
      </c>
      <c r="D2283" s="17" t="s">
        <v>2847</v>
      </c>
      <c r="E2283" s="10">
        <v>2016</v>
      </c>
      <c r="F2283" s="36" t="str" cm="1">
        <f t="array" ref="F2283">_xlfn.XLOOKUP(D2283&amp;C2283, Sheet3!$C$2:$C$1224&amp;Sheet3!$B$2:$B$1224, Sheet3!$D$2:$D$1224, "")</f>
        <v/>
      </c>
      <c r="G2283" s="1" t="str" cm="1">
        <f t="array" ref="G2283">_xlfn.XLOOKUP(D2283&amp;C2283, Sheet2!$A$2:$A$558&amp;Sheet2!$B$2:$B$558, Sheet2!$C$2:$C$558, "")</f>
        <v/>
      </c>
      <c r="H2283" s="40" t="str">
        <f t="shared" si="35"/>
        <v/>
      </c>
    </row>
    <row r="2284" spans="1:8" ht="15.5" x14ac:dyDescent="0.35">
      <c r="A2284" s="7">
        <v>2283</v>
      </c>
      <c r="B2284" s="17">
        <v>38259</v>
      </c>
      <c r="C2284" s="13" t="s">
        <v>2055</v>
      </c>
      <c r="D2284" s="17" t="s">
        <v>2847</v>
      </c>
      <c r="E2284" s="10">
        <v>2016</v>
      </c>
      <c r="F2284" s="36" t="str" cm="1">
        <f t="array" ref="F2284">_xlfn.XLOOKUP(D2284&amp;C2284, Sheet3!$C$2:$C$1224&amp;Sheet3!$B$2:$B$1224, Sheet3!$D$2:$D$1224, "")</f>
        <v/>
      </c>
      <c r="G2284" s="1" t="str" cm="1">
        <f t="array" ref="G2284">_xlfn.XLOOKUP(D2284&amp;C2284, Sheet2!$A$2:$A$558&amp;Sheet2!$B$2:$B$558, Sheet2!$C$2:$C$558, "")</f>
        <v/>
      </c>
      <c r="H2284" s="40" t="str">
        <f t="shared" si="35"/>
        <v/>
      </c>
    </row>
    <row r="2285" spans="1:8" ht="15.5" x14ac:dyDescent="0.35">
      <c r="A2285" s="7">
        <v>2284</v>
      </c>
      <c r="B2285" s="17">
        <v>38391</v>
      </c>
      <c r="C2285" s="13" t="s">
        <v>2056</v>
      </c>
      <c r="D2285" s="17" t="s">
        <v>2847</v>
      </c>
      <c r="E2285" s="10">
        <v>2016</v>
      </c>
      <c r="F2285" s="36" t="str" cm="1">
        <f t="array" ref="F2285">_xlfn.XLOOKUP(D2285&amp;C2285, Sheet3!$C$2:$C$1224&amp;Sheet3!$B$2:$B$1224, Sheet3!$D$2:$D$1224, "")</f>
        <v/>
      </c>
      <c r="G2285" s="1" t="str" cm="1">
        <f t="array" ref="G2285">_xlfn.XLOOKUP(D2285&amp;C2285, Sheet2!$A$2:$A$558&amp;Sheet2!$B$2:$B$558, Sheet2!$C$2:$C$558, "")</f>
        <v/>
      </c>
      <c r="H2285" s="40" t="str">
        <f t="shared" si="35"/>
        <v/>
      </c>
    </row>
    <row r="2286" spans="1:8" ht="15.5" x14ac:dyDescent="0.35">
      <c r="A2286" s="7">
        <v>2285</v>
      </c>
      <c r="B2286" s="17">
        <v>36765</v>
      </c>
      <c r="C2286" s="13" t="s">
        <v>2057</v>
      </c>
      <c r="D2286" s="17" t="s">
        <v>2846</v>
      </c>
      <c r="E2286" s="10">
        <v>2016</v>
      </c>
      <c r="F2286" s="36" t="str" cm="1">
        <f t="array" ref="F2286">_xlfn.XLOOKUP(D2286&amp;C2286, Sheet3!$C$2:$C$1224&amp;Sheet3!$B$2:$B$1224, Sheet3!$D$2:$D$1224, "")</f>
        <v/>
      </c>
      <c r="G2286" s="1" t="str" cm="1">
        <f t="array" ref="G2286">_xlfn.XLOOKUP(D2286&amp;C2286, Sheet2!$A$2:$A$558&amp;Sheet2!$B$2:$B$558, Sheet2!$C$2:$C$558, "")</f>
        <v/>
      </c>
      <c r="H2286" s="40" t="str">
        <f t="shared" si="35"/>
        <v/>
      </c>
    </row>
    <row r="2287" spans="1:8" ht="15.5" x14ac:dyDescent="0.35">
      <c r="A2287" s="7">
        <v>2286</v>
      </c>
      <c r="B2287" s="17">
        <v>38263</v>
      </c>
      <c r="C2287" s="13" t="s">
        <v>2058</v>
      </c>
      <c r="D2287" s="17" t="s">
        <v>2847</v>
      </c>
      <c r="E2287" s="10">
        <v>2016</v>
      </c>
      <c r="F2287" s="36" t="str" cm="1">
        <f t="array" ref="F2287">_xlfn.XLOOKUP(D2287&amp;C2287, Sheet3!$C$2:$C$1224&amp;Sheet3!$B$2:$B$1224, Sheet3!$D$2:$D$1224, "")</f>
        <v/>
      </c>
      <c r="G2287" s="1" t="str" cm="1">
        <f t="array" ref="G2287">_xlfn.XLOOKUP(D2287&amp;C2287, Sheet2!$A$2:$A$558&amp;Sheet2!$B$2:$B$558, Sheet2!$C$2:$C$558, "")</f>
        <v/>
      </c>
      <c r="H2287" s="40" t="str">
        <f t="shared" si="35"/>
        <v/>
      </c>
    </row>
    <row r="2288" spans="1:8" ht="15.5" x14ac:dyDescent="0.35">
      <c r="A2288" s="7">
        <v>2287</v>
      </c>
      <c r="B2288" s="17">
        <v>38109</v>
      </c>
      <c r="C2288" s="13" t="s">
        <v>2059</v>
      </c>
      <c r="D2288" s="17" t="s">
        <v>2847</v>
      </c>
      <c r="E2288" s="10">
        <v>2016</v>
      </c>
      <c r="F2288" s="36" t="str" cm="1">
        <f t="array" ref="F2288">_xlfn.XLOOKUP(D2288&amp;C2288, Sheet3!$C$2:$C$1224&amp;Sheet3!$B$2:$B$1224, Sheet3!$D$2:$D$1224, "")</f>
        <v/>
      </c>
      <c r="G2288" s="1" t="str" cm="1">
        <f t="array" ref="G2288">_xlfn.XLOOKUP(D2288&amp;C2288, Sheet2!$A$2:$A$558&amp;Sheet2!$B$2:$B$558, Sheet2!$C$2:$C$558, "")</f>
        <v/>
      </c>
      <c r="H2288" s="40" t="str">
        <f t="shared" si="35"/>
        <v/>
      </c>
    </row>
    <row r="2289" spans="1:8" ht="15.5" x14ac:dyDescent="0.35">
      <c r="A2289" s="7">
        <v>2288</v>
      </c>
      <c r="B2289" s="17">
        <v>38225</v>
      </c>
      <c r="C2289" s="13" t="s">
        <v>2060</v>
      </c>
      <c r="D2289" s="17" t="s">
        <v>2847</v>
      </c>
      <c r="E2289" s="10">
        <v>2016</v>
      </c>
      <c r="F2289" s="36" t="str" cm="1">
        <f t="array" ref="F2289">_xlfn.XLOOKUP(D2289&amp;C2289, Sheet3!$C$2:$C$1224&amp;Sheet3!$B$2:$B$1224, Sheet3!$D$2:$D$1224, "")</f>
        <v/>
      </c>
      <c r="G2289" s="1" t="str" cm="1">
        <f t="array" ref="G2289">_xlfn.XLOOKUP(D2289&amp;C2289, Sheet2!$A$2:$A$558&amp;Sheet2!$B$2:$B$558, Sheet2!$C$2:$C$558, "")</f>
        <v/>
      </c>
      <c r="H2289" s="40" t="str">
        <f t="shared" si="35"/>
        <v/>
      </c>
    </row>
    <row r="2290" spans="1:8" ht="15.5" x14ac:dyDescent="0.35">
      <c r="A2290" s="7">
        <v>2289</v>
      </c>
      <c r="B2290" s="17">
        <v>37988</v>
      </c>
      <c r="C2290" s="13" t="s">
        <v>2061</v>
      </c>
      <c r="D2290" s="17" t="s">
        <v>2847</v>
      </c>
      <c r="E2290" s="10">
        <v>2016</v>
      </c>
      <c r="F2290" s="36" t="str" cm="1">
        <f t="array" ref="F2290">_xlfn.XLOOKUP(D2290&amp;C2290, Sheet3!$C$2:$C$1224&amp;Sheet3!$B$2:$B$1224, Sheet3!$D$2:$D$1224, "")</f>
        <v>Janewardakarima@gmail.com</v>
      </c>
      <c r="G2290" s="1" t="str" cm="1">
        <f t="array" ref="G2290">_xlfn.XLOOKUP(D2290&amp;C2290, Sheet2!$A$2:$A$558&amp;Sheet2!$B$2:$B$558, Sheet2!$C$2:$C$558, "")</f>
        <v/>
      </c>
      <c r="H2290" s="40" t="str">
        <f t="shared" si="35"/>
        <v>Janewardakarima@gmail.com</v>
      </c>
    </row>
    <row r="2291" spans="1:8" ht="15.5" x14ac:dyDescent="0.35">
      <c r="A2291" s="7">
        <v>2290</v>
      </c>
      <c r="B2291" s="17">
        <v>38195</v>
      </c>
      <c r="C2291" s="13" t="s">
        <v>2062</v>
      </c>
      <c r="D2291" s="17" t="s">
        <v>2847</v>
      </c>
      <c r="E2291" s="10">
        <v>2016</v>
      </c>
      <c r="F2291" s="36" t="str" cm="1">
        <f t="array" ref="F2291">_xlfn.XLOOKUP(D2291&amp;C2291, Sheet3!$C$2:$C$1224&amp;Sheet3!$B$2:$B$1224, Sheet3!$D$2:$D$1224, "")</f>
        <v>arumarums1234@gmail.com</v>
      </c>
      <c r="G2291" s="1" t="str" cm="1">
        <f t="array" ref="G2291">_xlfn.XLOOKUP(D2291&amp;C2291, Sheet2!$A$2:$A$558&amp;Sheet2!$B$2:$B$558, Sheet2!$C$2:$C$558, "")</f>
        <v/>
      </c>
      <c r="H2291" s="40" t="str">
        <f t="shared" si="35"/>
        <v>arumarums1234@gmail.com</v>
      </c>
    </row>
    <row r="2292" spans="1:8" ht="15.5" x14ac:dyDescent="0.35">
      <c r="A2292" s="7">
        <v>2291</v>
      </c>
      <c r="B2292" s="17">
        <v>36325</v>
      </c>
      <c r="C2292" s="13" t="s">
        <v>2063</v>
      </c>
      <c r="D2292" s="17" t="s">
        <v>2846</v>
      </c>
      <c r="E2292" s="10">
        <v>2016</v>
      </c>
      <c r="F2292" s="36" t="str" cm="1">
        <f t="array" ref="F2292">_xlfn.XLOOKUP(D2292&amp;C2292, Sheet3!$C$2:$C$1224&amp;Sheet3!$B$2:$B$1224, Sheet3!$D$2:$D$1224, "")</f>
        <v/>
      </c>
      <c r="G2292" s="1" t="str" cm="1">
        <f t="array" ref="G2292">_xlfn.XLOOKUP(D2292&amp;C2292, Sheet2!$A$2:$A$558&amp;Sheet2!$B$2:$B$558, Sheet2!$C$2:$C$558, "")</f>
        <v/>
      </c>
      <c r="H2292" s="40" t="str">
        <f t="shared" si="35"/>
        <v/>
      </c>
    </row>
    <row r="2293" spans="1:8" ht="15.5" x14ac:dyDescent="0.35">
      <c r="A2293" s="7">
        <v>2292</v>
      </c>
      <c r="B2293" s="17">
        <v>38570</v>
      </c>
      <c r="C2293" s="13" t="s">
        <v>2064</v>
      </c>
      <c r="D2293" s="17" t="s">
        <v>2847</v>
      </c>
      <c r="E2293" s="10">
        <v>2016</v>
      </c>
      <c r="F2293" s="36" t="str" cm="1">
        <f t="array" ref="F2293">_xlfn.XLOOKUP(D2293&amp;C2293, Sheet3!$C$2:$C$1224&amp;Sheet3!$B$2:$B$1224, Sheet3!$D$2:$D$1224, "")</f>
        <v>dasita.meygan.p@gmail.com</v>
      </c>
      <c r="G2293" s="1" t="str" cm="1">
        <f t="array" ref="G2293">_xlfn.XLOOKUP(D2293&amp;C2293, Sheet2!$A$2:$A$558&amp;Sheet2!$B$2:$B$558, Sheet2!$C$2:$C$558, "")</f>
        <v/>
      </c>
      <c r="H2293" s="40" t="str">
        <f t="shared" si="35"/>
        <v>dasita.meygan.p@gmail.com</v>
      </c>
    </row>
    <row r="2294" spans="1:8" ht="15.5" x14ac:dyDescent="0.35">
      <c r="A2294" s="7">
        <v>2293</v>
      </c>
      <c r="B2294" s="17">
        <v>36406</v>
      </c>
      <c r="C2294" s="13" t="s">
        <v>2065</v>
      </c>
      <c r="D2294" s="17" t="s">
        <v>2846</v>
      </c>
      <c r="E2294" s="10">
        <v>2016</v>
      </c>
      <c r="F2294" s="36" t="str" cm="1">
        <f t="array" ref="F2294">_xlfn.XLOOKUP(D2294&amp;C2294, Sheet3!$C$2:$C$1224&amp;Sheet3!$B$2:$B$1224, Sheet3!$D$2:$D$1224, "")</f>
        <v>dwiputraananta19@gmail.com</v>
      </c>
      <c r="G2294" s="1" t="str" cm="1">
        <f t="array" ref="G2294">_xlfn.XLOOKUP(D2294&amp;C2294, Sheet2!$A$2:$A$558&amp;Sheet2!$B$2:$B$558, Sheet2!$C$2:$C$558, "")</f>
        <v>dwiputraananta19@gmail.com</v>
      </c>
      <c r="H2294" s="40" t="str">
        <f t="shared" si="35"/>
        <v>dwiputraananta19@gmail.com</v>
      </c>
    </row>
    <row r="2295" spans="1:8" ht="15.5" x14ac:dyDescent="0.35">
      <c r="A2295" s="7">
        <v>2294</v>
      </c>
      <c r="B2295" s="17">
        <v>38552</v>
      </c>
      <c r="C2295" s="13" t="s">
        <v>2066</v>
      </c>
      <c r="D2295" s="17" t="s">
        <v>2847</v>
      </c>
      <c r="E2295" s="10">
        <v>2016</v>
      </c>
      <c r="F2295" s="36" t="str" cm="1">
        <f t="array" ref="F2295">_xlfn.XLOOKUP(D2295&amp;C2295, Sheet3!$C$2:$C$1224&amp;Sheet3!$B$2:$B$1224, Sheet3!$D$2:$D$1224, "")</f>
        <v/>
      </c>
      <c r="G2295" s="1" t="str" cm="1">
        <f t="array" ref="G2295">_xlfn.XLOOKUP(D2295&amp;C2295, Sheet2!$A$2:$A$558&amp;Sheet2!$B$2:$B$558, Sheet2!$C$2:$C$558, "")</f>
        <v/>
      </c>
      <c r="H2295" s="40" t="str">
        <f t="shared" si="35"/>
        <v/>
      </c>
    </row>
    <row r="2296" spans="1:8" ht="15.5" x14ac:dyDescent="0.35">
      <c r="A2296" s="7">
        <v>2295</v>
      </c>
      <c r="B2296" s="17">
        <v>33603</v>
      </c>
      <c r="C2296" s="13" t="s">
        <v>2067</v>
      </c>
      <c r="D2296" s="17" t="s">
        <v>2844</v>
      </c>
      <c r="E2296" s="10">
        <v>2016</v>
      </c>
      <c r="F2296" s="36" t="str" cm="1">
        <f t="array" ref="F2296">_xlfn.XLOOKUP(D2296&amp;C2296, Sheet3!$C$2:$C$1224&amp;Sheet3!$B$2:$B$1224, Sheet3!$D$2:$D$1224, "")</f>
        <v/>
      </c>
      <c r="G2296" s="1" t="str" cm="1">
        <f t="array" ref="G2296">_xlfn.XLOOKUP(D2296&amp;C2296, Sheet2!$A$2:$A$558&amp;Sheet2!$B$2:$B$558, Sheet2!$C$2:$C$558, "")</f>
        <v/>
      </c>
      <c r="H2296" s="40" t="str">
        <f t="shared" si="35"/>
        <v/>
      </c>
    </row>
    <row r="2297" spans="1:8" ht="15.5" x14ac:dyDescent="0.35">
      <c r="A2297" s="7">
        <v>2296</v>
      </c>
      <c r="B2297" s="17">
        <v>38397</v>
      </c>
      <c r="C2297" s="13" t="s">
        <v>2068</v>
      </c>
      <c r="D2297" s="17" t="s">
        <v>2847</v>
      </c>
      <c r="E2297" s="10">
        <v>2016</v>
      </c>
      <c r="F2297" s="36" t="str" cm="1">
        <f t="array" ref="F2297">_xlfn.XLOOKUP(D2297&amp;C2297, Sheet3!$C$2:$C$1224&amp;Sheet3!$B$2:$B$1224, Sheet3!$D$2:$D$1224, "")</f>
        <v/>
      </c>
      <c r="G2297" s="1" t="str" cm="1">
        <f t="array" ref="G2297">_xlfn.XLOOKUP(D2297&amp;C2297, Sheet2!$A$2:$A$558&amp;Sheet2!$B$2:$B$558, Sheet2!$C$2:$C$558, "")</f>
        <v>trias.sugeng.p@gmail.com</v>
      </c>
      <c r="H2297" s="40" t="str">
        <f t="shared" si="35"/>
        <v>trias.sugeng.p@gmail.com</v>
      </c>
    </row>
    <row r="2298" spans="1:8" ht="15.5" x14ac:dyDescent="0.35">
      <c r="A2298" s="7">
        <v>2297</v>
      </c>
      <c r="B2298" s="17">
        <v>38156</v>
      </c>
      <c r="C2298" s="13" t="s">
        <v>2069</v>
      </c>
      <c r="D2298" s="17" t="s">
        <v>2847</v>
      </c>
      <c r="E2298" s="10">
        <v>2016</v>
      </c>
      <c r="F2298" s="36" t="str" cm="1">
        <f t="array" ref="F2298">_xlfn.XLOOKUP(D2298&amp;C2298, Sheet3!$C$2:$C$1224&amp;Sheet3!$B$2:$B$1224, Sheet3!$D$2:$D$1224, "")</f>
        <v/>
      </c>
      <c r="G2298" s="1" t="str" cm="1">
        <f t="array" ref="G2298">_xlfn.XLOOKUP(D2298&amp;C2298, Sheet2!$A$2:$A$558&amp;Sheet2!$B$2:$B$558, Sheet2!$C$2:$C$558, "")</f>
        <v/>
      </c>
      <c r="H2298" s="40" t="str">
        <f t="shared" si="35"/>
        <v/>
      </c>
    </row>
    <row r="2299" spans="1:8" ht="15.5" x14ac:dyDescent="0.35">
      <c r="A2299" s="7">
        <v>2298</v>
      </c>
      <c r="B2299" s="17">
        <v>36331</v>
      </c>
      <c r="C2299" s="13" t="s">
        <v>2070</v>
      </c>
      <c r="D2299" s="17" t="s">
        <v>2846</v>
      </c>
      <c r="E2299" s="10">
        <v>2016</v>
      </c>
      <c r="F2299" s="36" t="str" cm="1">
        <f t="array" ref="F2299">_xlfn.XLOOKUP(D2299&amp;C2299, Sheet3!$C$2:$C$1224&amp;Sheet3!$B$2:$B$1224, Sheet3!$D$2:$D$1224, "")</f>
        <v>Irwandiaprianda@gmail.com</v>
      </c>
      <c r="G2299" s="1" t="str" cm="1">
        <f t="array" ref="G2299">_xlfn.XLOOKUP(D2299&amp;C2299, Sheet2!$A$2:$A$558&amp;Sheet2!$B$2:$B$558, Sheet2!$C$2:$C$558, "")</f>
        <v/>
      </c>
      <c r="H2299" s="40" t="str">
        <f t="shared" si="35"/>
        <v>Irwandiaprianda@gmail.com</v>
      </c>
    </row>
    <row r="2300" spans="1:8" ht="15.5" x14ac:dyDescent="0.35">
      <c r="A2300" s="7">
        <v>2299</v>
      </c>
      <c r="B2300" s="17">
        <v>34670</v>
      </c>
      <c r="C2300" s="13" t="s">
        <v>2071</v>
      </c>
      <c r="D2300" s="17" t="s">
        <v>2845</v>
      </c>
      <c r="E2300" s="10">
        <v>2016</v>
      </c>
      <c r="F2300" s="36" t="str" cm="1">
        <f t="array" ref="F2300">_xlfn.XLOOKUP(D2300&amp;C2300, Sheet3!$C$2:$C$1224&amp;Sheet3!$B$2:$B$1224, Sheet3!$D$2:$D$1224, "")</f>
        <v/>
      </c>
      <c r="G2300" s="1" t="str" cm="1">
        <f t="array" ref="G2300">_xlfn.XLOOKUP(D2300&amp;C2300, Sheet2!$A$2:$A$558&amp;Sheet2!$B$2:$B$558, Sheet2!$C$2:$C$558, "")</f>
        <v/>
      </c>
      <c r="H2300" s="40" t="str">
        <f t="shared" si="35"/>
        <v/>
      </c>
    </row>
    <row r="2301" spans="1:8" ht="15.5" x14ac:dyDescent="0.35">
      <c r="A2301" s="7">
        <v>2300</v>
      </c>
      <c r="B2301" s="17">
        <v>36093</v>
      </c>
      <c r="C2301" s="13" t="s">
        <v>2072</v>
      </c>
      <c r="D2301" s="17" t="s">
        <v>2845</v>
      </c>
      <c r="E2301" s="10">
        <v>2016</v>
      </c>
      <c r="F2301" s="36" t="str" cm="1">
        <f t="array" ref="F2301">_xlfn.XLOOKUP(D2301&amp;C2301, Sheet3!$C$2:$C$1224&amp;Sheet3!$B$2:$B$1224, Sheet3!$D$2:$D$1224, "")</f>
        <v/>
      </c>
      <c r="G2301" s="1" t="str" cm="1">
        <f t="array" ref="G2301">_xlfn.XLOOKUP(D2301&amp;C2301, Sheet2!$A$2:$A$558&amp;Sheet2!$B$2:$B$558, Sheet2!$C$2:$C$558, "")</f>
        <v/>
      </c>
      <c r="H2301" s="40" t="str">
        <f t="shared" si="35"/>
        <v/>
      </c>
    </row>
    <row r="2302" spans="1:8" ht="15.5" x14ac:dyDescent="0.35">
      <c r="A2302" s="7">
        <v>2301</v>
      </c>
      <c r="B2302" s="17">
        <v>38959</v>
      </c>
      <c r="C2302" s="13" t="s">
        <v>2073</v>
      </c>
      <c r="D2302" s="17" t="s">
        <v>2847</v>
      </c>
      <c r="E2302" s="10">
        <v>2016</v>
      </c>
      <c r="F2302" s="36" t="str" cm="1">
        <f t="array" ref="F2302">_xlfn.XLOOKUP(D2302&amp;C2302, Sheet3!$C$2:$C$1224&amp;Sheet3!$B$2:$B$1224, Sheet3!$D$2:$D$1224, "")</f>
        <v/>
      </c>
      <c r="G2302" s="1" t="str" cm="1">
        <f t="array" ref="G2302">_xlfn.XLOOKUP(D2302&amp;C2302, Sheet2!$A$2:$A$558&amp;Sheet2!$B$2:$B$558, Sheet2!$C$2:$C$558, "")</f>
        <v/>
      </c>
      <c r="H2302" s="40" t="str">
        <f t="shared" si="35"/>
        <v/>
      </c>
    </row>
    <row r="2303" spans="1:8" ht="15.5" x14ac:dyDescent="0.35">
      <c r="A2303" s="7">
        <v>2302</v>
      </c>
      <c r="B2303" s="17">
        <v>35909</v>
      </c>
      <c r="C2303" s="13" t="s">
        <v>2074</v>
      </c>
      <c r="D2303" s="17" t="s">
        <v>2845</v>
      </c>
      <c r="E2303" s="10">
        <v>2016</v>
      </c>
      <c r="F2303" s="36" t="str" cm="1">
        <f t="array" ref="F2303">_xlfn.XLOOKUP(D2303&amp;C2303, Sheet3!$C$2:$C$1224&amp;Sheet3!$B$2:$B$1224, Sheet3!$D$2:$D$1224, "")</f>
        <v>windiarto64@gmail.com</v>
      </c>
      <c r="G2303" s="1" t="str" cm="1">
        <f t="array" ref="G2303">_xlfn.XLOOKUP(D2303&amp;C2303, Sheet2!$A$2:$A$558&amp;Sheet2!$B$2:$B$558, Sheet2!$C$2:$C$558, "")</f>
        <v/>
      </c>
      <c r="H2303" s="40" t="str">
        <f t="shared" si="35"/>
        <v>windiarto64@gmail.com</v>
      </c>
    </row>
    <row r="2304" spans="1:8" ht="15.5" x14ac:dyDescent="0.35">
      <c r="A2304" s="7">
        <v>2303</v>
      </c>
      <c r="B2304" s="17">
        <v>36358</v>
      </c>
      <c r="C2304" s="13" t="s">
        <v>2075</v>
      </c>
      <c r="D2304" s="17" t="s">
        <v>2846</v>
      </c>
      <c r="E2304" s="10">
        <v>2016</v>
      </c>
      <c r="F2304" s="36" t="str" cm="1">
        <f t="array" ref="F2304">_xlfn.XLOOKUP(D2304&amp;C2304, Sheet3!$C$2:$C$1224&amp;Sheet3!$B$2:$B$1224, Sheet3!$D$2:$D$1224, "")</f>
        <v/>
      </c>
      <c r="G2304" s="1" t="str" cm="1">
        <f t="array" ref="G2304">_xlfn.XLOOKUP(D2304&amp;C2304, Sheet2!$A$2:$A$558&amp;Sheet2!$B$2:$B$558, Sheet2!$C$2:$C$558, "")</f>
        <v/>
      </c>
      <c r="H2304" s="40" t="str">
        <f t="shared" si="35"/>
        <v/>
      </c>
    </row>
    <row r="2305" spans="1:8" ht="15.5" x14ac:dyDescent="0.35">
      <c r="A2305" s="7">
        <v>2304</v>
      </c>
      <c r="B2305" s="17">
        <v>38953</v>
      </c>
      <c r="C2305" s="13" t="s">
        <v>2076</v>
      </c>
      <c r="D2305" s="17" t="s">
        <v>2847</v>
      </c>
      <c r="E2305" s="10">
        <v>2016</v>
      </c>
      <c r="F2305" s="36" t="str" cm="1">
        <f t="array" ref="F2305">_xlfn.XLOOKUP(D2305&amp;C2305, Sheet3!$C$2:$C$1224&amp;Sheet3!$B$2:$B$1224, Sheet3!$D$2:$D$1224, "")</f>
        <v>endy.prasetyo.33@gmail.com</v>
      </c>
      <c r="G2305" s="1" t="str" cm="1">
        <f t="array" ref="G2305">_xlfn.XLOOKUP(D2305&amp;C2305, Sheet2!$A$2:$A$558&amp;Sheet2!$B$2:$B$558, Sheet2!$C$2:$C$558, "")</f>
        <v>endy.prasetyo.33@gmail.com</v>
      </c>
      <c r="H2305" s="40" t="str">
        <f t="shared" si="35"/>
        <v>endy.prasetyo.33@gmail.com</v>
      </c>
    </row>
    <row r="2306" spans="1:8" ht="15.5" x14ac:dyDescent="0.35">
      <c r="A2306" s="7">
        <v>2305</v>
      </c>
      <c r="B2306" s="17">
        <v>37591</v>
      </c>
      <c r="C2306" s="13" t="s">
        <v>2077</v>
      </c>
      <c r="D2306" s="17" t="s">
        <v>2847</v>
      </c>
      <c r="E2306" s="10">
        <v>2016</v>
      </c>
      <c r="F2306" s="36" t="str" cm="1">
        <f t="array" ref="F2306">_xlfn.XLOOKUP(D2306&amp;C2306, Sheet3!$C$2:$C$1224&amp;Sheet3!$B$2:$B$1224, Sheet3!$D$2:$D$1224, "")</f>
        <v/>
      </c>
      <c r="G2306" s="1" t="str" cm="1">
        <f t="array" ref="G2306">_xlfn.XLOOKUP(D2306&amp;C2306, Sheet2!$A$2:$A$558&amp;Sheet2!$B$2:$B$558, Sheet2!$C$2:$C$558, "")</f>
        <v>irfan.ammar.p@gmail.com</v>
      </c>
      <c r="H2306" s="40" t="str">
        <f t="shared" si="35"/>
        <v>irfan.ammar.p@gmail.com</v>
      </c>
    </row>
    <row r="2307" spans="1:8" ht="15.5" x14ac:dyDescent="0.35">
      <c r="A2307" s="7">
        <v>2306</v>
      </c>
      <c r="B2307" s="17">
        <v>38102</v>
      </c>
      <c r="C2307" s="13" t="s">
        <v>423</v>
      </c>
      <c r="D2307" s="17" t="s">
        <v>2847</v>
      </c>
      <c r="E2307" s="10">
        <v>2016</v>
      </c>
      <c r="F2307" s="36" t="str" cm="1">
        <f t="array" ref="F2307">_xlfn.XLOOKUP(D2307&amp;C2307, Sheet3!$C$2:$C$1224&amp;Sheet3!$B$2:$B$1224, Sheet3!$D$2:$D$1224, "")</f>
        <v/>
      </c>
      <c r="G2307" s="1" t="str" cm="1">
        <f t="array" ref="G2307">_xlfn.XLOOKUP(D2307&amp;C2307, Sheet2!$A$2:$A$558&amp;Sheet2!$B$2:$B$558, Sheet2!$C$2:$C$558, "")</f>
        <v>hdayatwahyu@gmail.com</v>
      </c>
      <c r="H2307" s="40" t="str">
        <f t="shared" ref="H2307:H2370" si="36">IF(F2307&lt;&gt;"",F2307,G2307)</f>
        <v>hdayatwahyu@gmail.com</v>
      </c>
    </row>
    <row r="2308" spans="1:8" ht="15.5" x14ac:dyDescent="0.35">
      <c r="A2308" s="7">
        <v>2307</v>
      </c>
      <c r="B2308" s="17">
        <v>38292</v>
      </c>
      <c r="C2308" s="13" t="s">
        <v>2078</v>
      </c>
      <c r="D2308" s="17" t="s">
        <v>2847</v>
      </c>
      <c r="E2308" s="10">
        <v>2016</v>
      </c>
      <c r="F2308" s="36" t="str" cm="1">
        <f t="array" ref="F2308">_xlfn.XLOOKUP(D2308&amp;C2308, Sheet3!$C$2:$C$1224&amp;Sheet3!$B$2:$B$1224, Sheet3!$D$2:$D$1224, "")</f>
        <v>rioandip2011@gmail.com</v>
      </c>
      <c r="G2308" s="1" t="str" cm="1">
        <f t="array" ref="G2308">_xlfn.XLOOKUP(D2308&amp;C2308, Sheet2!$A$2:$A$558&amp;Sheet2!$B$2:$B$558, Sheet2!$C$2:$C$558, "")</f>
        <v/>
      </c>
      <c r="H2308" s="40" t="str">
        <f t="shared" si="36"/>
        <v>rioandip2011@gmail.com</v>
      </c>
    </row>
    <row r="2309" spans="1:8" ht="15.5" x14ac:dyDescent="0.35">
      <c r="A2309" s="7">
        <v>2308</v>
      </c>
      <c r="B2309" s="17">
        <v>34247</v>
      </c>
      <c r="C2309" s="13" t="s">
        <v>2079</v>
      </c>
      <c r="D2309" s="17" t="s">
        <v>2844</v>
      </c>
      <c r="E2309" s="10">
        <v>2016</v>
      </c>
      <c r="F2309" s="36" t="str" cm="1">
        <f t="array" ref="F2309">_xlfn.XLOOKUP(D2309&amp;C2309, Sheet3!$C$2:$C$1224&amp;Sheet3!$B$2:$B$1224, Sheet3!$D$2:$D$1224, "")</f>
        <v/>
      </c>
      <c r="G2309" s="1" t="str" cm="1">
        <f t="array" ref="G2309">_xlfn.XLOOKUP(D2309&amp;C2309, Sheet2!$A$2:$A$558&amp;Sheet2!$B$2:$B$558, Sheet2!$C$2:$C$558, "")</f>
        <v/>
      </c>
      <c r="H2309" s="40" t="str">
        <f t="shared" si="36"/>
        <v/>
      </c>
    </row>
    <row r="2310" spans="1:8" ht="15.5" x14ac:dyDescent="0.35">
      <c r="A2310" s="7">
        <v>2309</v>
      </c>
      <c r="B2310" s="17">
        <v>36094</v>
      </c>
      <c r="C2310" s="13" t="s">
        <v>2080</v>
      </c>
      <c r="D2310" s="17" t="s">
        <v>2845</v>
      </c>
      <c r="E2310" s="10">
        <v>2016</v>
      </c>
      <c r="F2310" s="36" t="str" cm="1">
        <f t="array" ref="F2310">_xlfn.XLOOKUP(D2310&amp;C2310, Sheet3!$C$2:$C$1224&amp;Sheet3!$B$2:$B$1224, Sheet3!$D$2:$D$1224, "")</f>
        <v/>
      </c>
      <c r="G2310" s="1" t="str" cm="1">
        <f t="array" ref="G2310">_xlfn.XLOOKUP(D2310&amp;C2310, Sheet2!$A$2:$A$558&amp;Sheet2!$B$2:$B$558, Sheet2!$C$2:$C$558, "")</f>
        <v/>
      </c>
      <c r="H2310" s="40" t="str">
        <f t="shared" si="36"/>
        <v/>
      </c>
    </row>
    <row r="2311" spans="1:8" ht="15.5" x14ac:dyDescent="0.35">
      <c r="A2311" s="7">
        <v>2310</v>
      </c>
      <c r="B2311" s="17">
        <v>38359</v>
      </c>
      <c r="C2311" s="13" t="s">
        <v>2081</v>
      </c>
      <c r="D2311" s="17" t="s">
        <v>2847</v>
      </c>
      <c r="E2311" s="10">
        <v>2016</v>
      </c>
      <c r="F2311" s="36" t="str" cm="1">
        <f t="array" ref="F2311">_xlfn.XLOOKUP(D2311&amp;C2311, Sheet3!$C$2:$C$1224&amp;Sheet3!$B$2:$B$1224, Sheet3!$D$2:$D$1224, "")</f>
        <v>fatimahtriayu@gmail.com</v>
      </c>
      <c r="G2311" s="1" t="str" cm="1">
        <f t="array" ref="G2311">_xlfn.XLOOKUP(D2311&amp;C2311, Sheet2!$A$2:$A$558&amp;Sheet2!$B$2:$B$558, Sheet2!$C$2:$C$558, "")</f>
        <v/>
      </c>
      <c r="H2311" s="40" t="str">
        <f t="shared" si="36"/>
        <v>fatimahtriayu@gmail.com</v>
      </c>
    </row>
    <row r="2312" spans="1:8" ht="15.5" x14ac:dyDescent="0.35">
      <c r="A2312" s="7">
        <v>2311</v>
      </c>
      <c r="B2312" s="17">
        <v>38321</v>
      </c>
      <c r="C2312" s="13" t="s">
        <v>2082</v>
      </c>
      <c r="D2312" s="17" t="s">
        <v>2847</v>
      </c>
      <c r="E2312" s="10">
        <v>2016</v>
      </c>
      <c r="F2312" s="36" t="str" cm="1">
        <f t="array" ref="F2312">_xlfn.XLOOKUP(D2312&amp;C2312, Sheet3!$C$2:$C$1224&amp;Sheet3!$B$2:$B$1224, Sheet3!$D$2:$D$1224, "")</f>
        <v/>
      </c>
      <c r="G2312" s="1" t="str" cm="1">
        <f t="array" ref="G2312">_xlfn.XLOOKUP(D2312&amp;C2312, Sheet2!$A$2:$A$558&amp;Sheet2!$B$2:$B$558, Sheet2!$C$2:$C$558, "")</f>
        <v/>
      </c>
      <c r="H2312" s="40" t="str">
        <f t="shared" si="36"/>
        <v/>
      </c>
    </row>
    <row r="2313" spans="1:8" ht="15.5" x14ac:dyDescent="0.35">
      <c r="A2313" s="7">
        <v>2312</v>
      </c>
      <c r="B2313" s="17">
        <v>37299</v>
      </c>
      <c r="C2313" s="13" t="s">
        <v>2083</v>
      </c>
      <c r="D2313" s="17" t="s">
        <v>2846</v>
      </c>
      <c r="E2313" s="10">
        <v>2016</v>
      </c>
      <c r="F2313" s="36" t="str" cm="1">
        <f t="array" ref="F2313">_xlfn.XLOOKUP(D2313&amp;C2313, Sheet3!$C$2:$C$1224&amp;Sheet3!$B$2:$B$1224, Sheet3!$D$2:$D$1224, "")</f>
        <v/>
      </c>
      <c r="G2313" s="1" t="str" cm="1">
        <f t="array" ref="G2313">_xlfn.XLOOKUP(D2313&amp;C2313, Sheet2!$A$2:$A$558&amp;Sheet2!$B$2:$B$558, Sheet2!$C$2:$C$558, "")</f>
        <v/>
      </c>
      <c r="H2313" s="40" t="str">
        <f t="shared" si="36"/>
        <v/>
      </c>
    </row>
    <row r="2314" spans="1:8" ht="15.5" x14ac:dyDescent="0.35">
      <c r="A2314" s="7">
        <v>2313</v>
      </c>
      <c r="B2314" s="17">
        <v>37304</v>
      </c>
      <c r="C2314" s="13" t="s">
        <v>2084</v>
      </c>
      <c r="D2314" s="17" t="s">
        <v>2846</v>
      </c>
      <c r="E2314" s="10">
        <v>2016</v>
      </c>
      <c r="F2314" s="36" t="str" cm="1">
        <f t="array" ref="F2314">_xlfn.XLOOKUP(D2314&amp;C2314, Sheet3!$C$2:$C$1224&amp;Sheet3!$B$2:$B$1224, Sheet3!$D$2:$D$1224, "")</f>
        <v/>
      </c>
      <c r="G2314" s="1" t="str" cm="1">
        <f t="array" ref="G2314">_xlfn.XLOOKUP(D2314&amp;C2314, Sheet2!$A$2:$A$558&amp;Sheet2!$B$2:$B$558, Sheet2!$C$2:$C$558, "")</f>
        <v>diyas.s.rahman@gmail.com</v>
      </c>
      <c r="H2314" s="40" t="str">
        <f t="shared" si="36"/>
        <v>diyas.s.rahman@gmail.com</v>
      </c>
    </row>
    <row r="2315" spans="1:8" ht="15.5" x14ac:dyDescent="0.35">
      <c r="A2315" s="7">
        <v>2314</v>
      </c>
      <c r="B2315" s="17">
        <v>38377</v>
      </c>
      <c r="C2315" s="13" t="s">
        <v>2085</v>
      </c>
      <c r="D2315" s="17" t="s">
        <v>2847</v>
      </c>
      <c r="E2315" s="10">
        <v>2016</v>
      </c>
      <c r="F2315" s="36" t="str" cm="1">
        <f t="array" ref="F2315">_xlfn.XLOOKUP(D2315&amp;C2315, Sheet3!$C$2:$C$1224&amp;Sheet3!$B$2:$B$1224, Sheet3!$D$2:$D$1224, "")</f>
        <v>hamarisikyarto.hs@gmail.com</v>
      </c>
      <c r="G2315" s="1" t="str" cm="1">
        <f t="array" ref="G2315">_xlfn.XLOOKUP(D2315&amp;C2315, Sheet2!$A$2:$A$558&amp;Sheet2!$B$2:$B$558, Sheet2!$C$2:$C$558, "")</f>
        <v/>
      </c>
      <c r="H2315" s="40" t="str">
        <f t="shared" si="36"/>
        <v>hamarisikyarto.hs@gmail.com</v>
      </c>
    </row>
    <row r="2316" spans="1:8" ht="15.5" x14ac:dyDescent="0.35">
      <c r="A2316" s="7">
        <v>2315</v>
      </c>
      <c r="B2316" s="17">
        <v>38258</v>
      </c>
      <c r="C2316" s="13" t="s">
        <v>2086</v>
      </c>
      <c r="D2316" s="17" t="s">
        <v>2847</v>
      </c>
      <c r="E2316" s="10">
        <v>2016</v>
      </c>
      <c r="F2316" s="36" t="str" cm="1">
        <f t="array" ref="F2316">_xlfn.XLOOKUP(D2316&amp;C2316, Sheet3!$C$2:$C$1224&amp;Sheet3!$B$2:$B$1224, Sheet3!$D$2:$D$1224, "")</f>
        <v/>
      </c>
      <c r="G2316" s="1" t="str" cm="1">
        <f t="array" ref="G2316">_xlfn.XLOOKUP(D2316&amp;C2316, Sheet2!$A$2:$A$558&amp;Sheet2!$B$2:$B$558, Sheet2!$C$2:$C$558, "")</f>
        <v/>
      </c>
      <c r="H2316" s="40" t="str">
        <f t="shared" si="36"/>
        <v/>
      </c>
    </row>
    <row r="2317" spans="1:8" ht="15.5" x14ac:dyDescent="0.35">
      <c r="A2317" s="7">
        <v>2316</v>
      </c>
      <c r="B2317" s="17">
        <v>38227</v>
      </c>
      <c r="C2317" s="13" t="s">
        <v>2087</v>
      </c>
      <c r="D2317" s="17" t="s">
        <v>2847</v>
      </c>
      <c r="E2317" s="10">
        <v>2016</v>
      </c>
      <c r="F2317" s="36" t="str" cm="1">
        <f t="array" ref="F2317">_xlfn.XLOOKUP(D2317&amp;C2317, Sheet3!$C$2:$C$1224&amp;Sheet3!$B$2:$B$1224, Sheet3!$D$2:$D$1224, "")</f>
        <v/>
      </c>
      <c r="G2317" s="1" t="str" cm="1">
        <f t="array" ref="G2317">_xlfn.XLOOKUP(D2317&amp;C2317, Sheet2!$A$2:$A$558&amp;Sheet2!$B$2:$B$558, Sheet2!$C$2:$C$558, "")</f>
        <v/>
      </c>
      <c r="H2317" s="40" t="str">
        <f t="shared" si="36"/>
        <v/>
      </c>
    </row>
    <row r="2318" spans="1:8" ht="15.5" x14ac:dyDescent="0.35">
      <c r="A2318" s="7">
        <v>2317</v>
      </c>
      <c r="B2318" s="17">
        <v>38875</v>
      </c>
      <c r="C2318" s="13" t="s">
        <v>2088</v>
      </c>
      <c r="D2318" s="17" t="s">
        <v>2847</v>
      </c>
      <c r="E2318" s="10">
        <v>2016</v>
      </c>
      <c r="F2318" s="36" t="str" cm="1">
        <f t="array" ref="F2318">_xlfn.XLOOKUP(D2318&amp;C2318, Sheet3!$C$2:$C$1224&amp;Sheet3!$B$2:$B$1224, Sheet3!$D$2:$D$1224, "")</f>
        <v>banggodo@fmi.com</v>
      </c>
      <c r="G2318" s="1" t="str" cm="1">
        <f t="array" ref="G2318">_xlfn.XLOOKUP(D2318&amp;C2318, Sheet2!$A$2:$A$558&amp;Sheet2!$B$2:$B$558, Sheet2!$C$2:$C$558, "")</f>
        <v/>
      </c>
      <c r="H2318" s="40" t="str">
        <f t="shared" si="36"/>
        <v>banggodo@fmi.com</v>
      </c>
    </row>
    <row r="2319" spans="1:8" ht="15.5" x14ac:dyDescent="0.35">
      <c r="A2319" s="7">
        <v>2318</v>
      </c>
      <c r="B2319" s="17">
        <v>38128</v>
      </c>
      <c r="C2319" s="13" t="s">
        <v>2089</v>
      </c>
      <c r="D2319" s="17" t="s">
        <v>2847</v>
      </c>
      <c r="E2319" s="10">
        <v>2016</v>
      </c>
      <c r="F2319" s="36" t="str" cm="1">
        <f t="array" ref="F2319">_xlfn.XLOOKUP(D2319&amp;C2319, Sheet3!$C$2:$C$1224&amp;Sheet3!$B$2:$B$1224, Sheet3!$D$2:$D$1224, "")</f>
        <v>fauziantoni@gmail.com</v>
      </c>
      <c r="G2319" s="1" t="str" cm="1">
        <f t="array" ref="G2319">_xlfn.XLOOKUP(D2319&amp;C2319, Sheet2!$A$2:$A$558&amp;Sheet2!$B$2:$B$558, Sheet2!$C$2:$C$558, "")</f>
        <v/>
      </c>
      <c r="H2319" s="40" t="str">
        <f t="shared" si="36"/>
        <v>fauziantoni@gmail.com</v>
      </c>
    </row>
    <row r="2320" spans="1:8" ht="15.5" x14ac:dyDescent="0.35">
      <c r="A2320" s="7">
        <v>2319</v>
      </c>
      <c r="B2320" s="17">
        <v>38168</v>
      </c>
      <c r="C2320" s="13" t="s">
        <v>2090</v>
      </c>
      <c r="D2320" s="17" t="s">
        <v>2847</v>
      </c>
      <c r="E2320" s="10">
        <v>2016</v>
      </c>
      <c r="F2320" s="36" t="str" cm="1">
        <f t="array" ref="F2320">_xlfn.XLOOKUP(D2320&amp;C2320, Sheet3!$C$2:$C$1224&amp;Sheet3!$B$2:$B$1224, Sheet3!$D$2:$D$1224, "")</f>
        <v/>
      </c>
      <c r="G2320" s="1" t="str" cm="1">
        <f t="array" ref="G2320">_xlfn.XLOOKUP(D2320&amp;C2320, Sheet2!$A$2:$A$558&amp;Sheet2!$B$2:$B$558, Sheet2!$C$2:$C$558, "")</f>
        <v/>
      </c>
      <c r="H2320" s="40" t="str">
        <f t="shared" si="36"/>
        <v/>
      </c>
    </row>
    <row r="2321" spans="1:8" ht="15.5" x14ac:dyDescent="0.35">
      <c r="A2321" s="7">
        <v>2320</v>
      </c>
      <c r="B2321" s="17">
        <v>38382</v>
      </c>
      <c r="C2321" s="13" t="s">
        <v>2091</v>
      </c>
      <c r="D2321" s="17" t="s">
        <v>2847</v>
      </c>
      <c r="E2321" s="10">
        <v>2016</v>
      </c>
      <c r="F2321" s="36" t="str" cm="1">
        <f t="array" ref="F2321">_xlfn.XLOOKUP(D2321&amp;C2321, Sheet3!$C$2:$C$1224&amp;Sheet3!$B$2:$B$1224, Sheet3!$D$2:$D$1224, "")</f>
        <v/>
      </c>
      <c r="G2321" s="1" t="str" cm="1">
        <f t="array" ref="G2321">_xlfn.XLOOKUP(D2321&amp;C2321, Sheet2!$A$2:$A$558&amp;Sheet2!$B$2:$B$558, Sheet2!$C$2:$C$558, "")</f>
        <v>thoriqm@rocketmail.com</v>
      </c>
      <c r="H2321" s="40" t="str">
        <f t="shared" si="36"/>
        <v>thoriqm@rocketmail.com</v>
      </c>
    </row>
    <row r="2322" spans="1:8" ht="15.5" x14ac:dyDescent="0.35">
      <c r="A2322" s="7">
        <v>2321</v>
      </c>
      <c r="B2322" s="17">
        <v>38323</v>
      </c>
      <c r="C2322" s="13" t="s">
        <v>2092</v>
      </c>
      <c r="D2322" s="17" t="s">
        <v>2847</v>
      </c>
      <c r="E2322" s="10">
        <v>2016</v>
      </c>
      <c r="F2322" s="36" t="str" cm="1">
        <f t="array" ref="F2322">_xlfn.XLOOKUP(D2322&amp;C2322, Sheet3!$C$2:$C$1224&amp;Sheet3!$B$2:$B$1224, Sheet3!$D$2:$D$1224, "")</f>
        <v/>
      </c>
      <c r="G2322" s="1" t="str" cm="1">
        <f t="array" ref="G2322">_xlfn.XLOOKUP(D2322&amp;C2322, Sheet2!$A$2:$A$558&amp;Sheet2!$B$2:$B$558, Sheet2!$C$2:$C$558, "")</f>
        <v/>
      </c>
      <c r="H2322" s="40" t="str">
        <f t="shared" si="36"/>
        <v/>
      </c>
    </row>
    <row r="2323" spans="1:8" ht="15.5" x14ac:dyDescent="0.35">
      <c r="A2323" s="7">
        <v>2322</v>
      </c>
      <c r="B2323" s="17">
        <v>37531</v>
      </c>
      <c r="C2323" s="13" t="s">
        <v>2093</v>
      </c>
      <c r="D2323" s="17" t="s">
        <v>2846</v>
      </c>
      <c r="E2323" s="10">
        <v>2016</v>
      </c>
      <c r="F2323" s="36" t="str" cm="1">
        <f t="array" ref="F2323">_xlfn.XLOOKUP(D2323&amp;C2323, Sheet3!$C$2:$C$1224&amp;Sheet3!$B$2:$B$1224, Sheet3!$D$2:$D$1224, "")</f>
        <v/>
      </c>
      <c r="G2323" s="1" t="str" cm="1">
        <f t="array" ref="G2323">_xlfn.XLOOKUP(D2323&amp;C2323, Sheet2!$A$2:$A$558&amp;Sheet2!$B$2:$B$558, Sheet2!$C$2:$C$558, "")</f>
        <v/>
      </c>
      <c r="H2323" s="40" t="str">
        <f t="shared" si="36"/>
        <v/>
      </c>
    </row>
    <row r="2324" spans="1:8" ht="15.5" x14ac:dyDescent="0.35">
      <c r="A2324" s="7">
        <v>2323</v>
      </c>
      <c r="B2324" s="17">
        <v>38271</v>
      </c>
      <c r="C2324" s="13" t="s">
        <v>2094</v>
      </c>
      <c r="D2324" s="17" t="s">
        <v>2847</v>
      </c>
      <c r="E2324" s="10">
        <v>2016</v>
      </c>
      <c r="F2324" s="36" t="str" cm="1">
        <f t="array" ref="F2324">_xlfn.XLOOKUP(D2324&amp;C2324, Sheet3!$C$2:$C$1224&amp;Sheet3!$B$2:$B$1224, Sheet3!$D$2:$D$1224, "")</f>
        <v>lidya.antik20@gmail.com</v>
      </c>
      <c r="G2324" s="1" t="str" cm="1">
        <f t="array" ref="G2324">_xlfn.XLOOKUP(D2324&amp;C2324, Sheet2!$A$2:$A$558&amp;Sheet2!$B$2:$B$558, Sheet2!$C$2:$C$558, "")</f>
        <v/>
      </c>
      <c r="H2324" s="40" t="str">
        <f t="shared" si="36"/>
        <v>lidya.antik20@gmail.com</v>
      </c>
    </row>
    <row r="2325" spans="1:8" ht="15.5" x14ac:dyDescent="0.35">
      <c r="A2325" s="7">
        <v>2324</v>
      </c>
      <c r="B2325" s="17">
        <v>38037</v>
      </c>
      <c r="C2325" s="13" t="s">
        <v>2095</v>
      </c>
      <c r="D2325" s="17" t="s">
        <v>2847</v>
      </c>
      <c r="E2325" s="10">
        <v>2016</v>
      </c>
      <c r="F2325" s="36" t="str" cm="1">
        <f t="array" ref="F2325">_xlfn.XLOOKUP(D2325&amp;C2325, Sheet3!$C$2:$C$1224&amp;Sheet3!$B$2:$B$1224, Sheet3!$D$2:$D$1224, "")</f>
        <v/>
      </c>
      <c r="G2325" s="1" t="str" cm="1">
        <f t="array" ref="G2325">_xlfn.XLOOKUP(D2325&amp;C2325, Sheet2!$A$2:$A$558&amp;Sheet2!$B$2:$B$558, Sheet2!$C$2:$C$558, "")</f>
        <v/>
      </c>
      <c r="H2325" s="40" t="str">
        <f t="shared" si="36"/>
        <v/>
      </c>
    </row>
    <row r="2326" spans="1:8" ht="15.5" x14ac:dyDescent="0.35">
      <c r="A2326" s="7">
        <v>2325</v>
      </c>
      <c r="B2326" s="17">
        <v>38385</v>
      </c>
      <c r="C2326" s="13" t="s">
        <v>2096</v>
      </c>
      <c r="D2326" s="17" t="s">
        <v>2847</v>
      </c>
      <c r="E2326" s="10">
        <v>2016</v>
      </c>
      <c r="F2326" s="36" t="str" cm="1">
        <f t="array" ref="F2326">_xlfn.XLOOKUP(D2326&amp;C2326, Sheet3!$C$2:$C$1224&amp;Sheet3!$B$2:$B$1224, Sheet3!$D$2:$D$1224, "")</f>
        <v/>
      </c>
      <c r="G2326" s="1" t="str" cm="1">
        <f t="array" ref="G2326">_xlfn.XLOOKUP(D2326&amp;C2326, Sheet2!$A$2:$A$558&amp;Sheet2!$B$2:$B$558, Sheet2!$C$2:$C$558, "")</f>
        <v/>
      </c>
      <c r="H2326" s="40" t="str">
        <f t="shared" si="36"/>
        <v/>
      </c>
    </row>
    <row r="2327" spans="1:8" ht="15.5" x14ac:dyDescent="0.35">
      <c r="A2327" s="7">
        <v>2326</v>
      </c>
      <c r="B2327" s="17">
        <v>39079</v>
      </c>
      <c r="C2327" s="13" t="s">
        <v>2097</v>
      </c>
      <c r="D2327" s="17" t="s">
        <v>2848</v>
      </c>
      <c r="E2327" s="10">
        <v>2016</v>
      </c>
      <c r="F2327" s="36" t="str" cm="1">
        <f t="array" ref="F2327">_xlfn.XLOOKUP(D2327&amp;C2327, Sheet3!$C$2:$C$1224&amp;Sheet3!$B$2:$B$1224, Sheet3!$D$2:$D$1224, "")</f>
        <v/>
      </c>
      <c r="G2327" s="1" t="str" cm="1">
        <f t="array" ref="G2327">_xlfn.XLOOKUP(D2327&amp;C2327, Sheet2!$A$2:$A$558&amp;Sheet2!$B$2:$B$558, Sheet2!$C$2:$C$558, "")</f>
        <v/>
      </c>
      <c r="H2327" s="40" t="str">
        <f t="shared" si="36"/>
        <v/>
      </c>
    </row>
    <row r="2328" spans="1:8" ht="15.5" x14ac:dyDescent="0.35">
      <c r="A2328" s="7">
        <v>2327</v>
      </c>
      <c r="B2328" s="17">
        <v>39014</v>
      </c>
      <c r="C2328" s="13" t="s">
        <v>2098</v>
      </c>
      <c r="D2328" s="17" t="s">
        <v>2848</v>
      </c>
      <c r="E2328" s="10">
        <v>2016</v>
      </c>
      <c r="F2328" s="36" t="str" cm="1">
        <f t="array" ref="F2328">_xlfn.XLOOKUP(D2328&amp;C2328, Sheet3!$C$2:$C$1224&amp;Sheet3!$B$2:$B$1224, Sheet3!$D$2:$D$1224, "")</f>
        <v/>
      </c>
      <c r="G2328" s="1" t="str" cm="1">
        <f t="array" ref="G2328">_xlfn.XLOOKUP(D2328&amp;C2328, Sheet2!$A$2:$A$558&amp;Sheet2!$B$2:$B$558, Sheet2!$C$2:$C$558, "")</f>
        <v/>
      </c>
      <c r="H2328" s="40" t="str">
        <f t="shared" si="36"/>
        <v/>
      </c>
    </row>
    <row r="2329" spans="1:8" ht="15.5" x14ac:dyDescent="0.35">
      <c r="A2329" s="7">
        <v>2328</v>
      </c>
      <c r="B2329" s="17">
        <v>39454</v>
      </c>
      <c r="C2329" s="13" t="s">
        <v>2099</v>
      </c>
      <c r="D2329" s="17" t="s">
        <v>2848</v>
      </c>
      <c r="E2329" s="10">
        <v>2016</v>
      </c>
      <c r="F2329" s="36" t="str" cm="1">
        <f t="array" ref="F2329">_xlfn.XLOOKUP(D2329&amp;C2329, Sheet3!$C$2:$C$1224&amp;Sheet3!$B$2:$B$1224, Sheet3!$D$2:$D$1224, "")</f>
        <v>rositaandari@gmail.com</v>
      </c>
      <c r="G2329" s="1" t="str" cm="1">
        <f t="array" ref="G2329">_xlfn.XLOOKUP(D2329&amp;C2329, Sheet2!$A$2:$A$558&amp;Sheet2!$B$2:$B$558, Sheet2!$C$2:$C$558, "")</f>
        <v/>
      </c>
      <c r="H2329" s="40" t="str">
        <f t="shared" si="36"/>
        <v>rositaandari@gmail.com</v>
      </c>
    </row>
    <row r="2330" spans="1:8" ht="15.5" x14ac:dyDescent="0.35">
      <c r="A2330" s="7">
        <v>2329</v>
      </c>
      <c r="B2330" s="17">
        <v>40070</v>
      </c>
      <c r="C2330" s="13" t="s">
        <v>2100</v>
      </c>
      <c r="D2330" s="17" t="s">
        <v>2848</v>
      </c>
      <c r="E2330" s="10">
        <v>2016</v>
      </c>
      <c r="F2330" s="36" t="str" cm="1">
        <f t="array" ref="F2330">_xlfn.XLOOKUP(D2330&amp;C2330, Sheet3!$C$2:$C$1224&amp;Sheet3!$B$2:$B$1224, Sheet3!$D$2:$D$1224, "")</f>
        <v>rizki.sari7@gmail.com</v>
      </c>
      <c r="G2330" s="1" t="str" cm="1">
        <f t="array" ref="G2330">_xlfn.XLOOKUP(D2330&amp;C2330, Sheet2!$A$2:$A$558&amp;Sheet2!$B$2:$B$558, Sheet2!$C$2:$C$558, "")</f>
        <v/>
      </c>
      <c r="H2330" s="40" t="str">
        <f t="shared" si="36"/>
        <v>rizki.sari7@gmail.com</v>
      </c>
    </row>
    <row r="2331" spans="1:8" ht="15.5" x14ac:dyDescent="0.35">
      <c r="A2331" s="7">
        <v>2330</v>
      </c>
      <c r="B2331" s="17">
        <v>39429</v>
      </c>
      <c r="C2331" s="13" t="s">
        <v>2101</v>
      </c>
      <c r="D2331" s="17" t="s">
        <v>2848</v>
      </c>
      <c r="E2331" s="10">
        <v>2016</v>
      </c>
      <c r="F2331" s="36" t="str" cm="1">
        <f t="array" ref="F2331">_xlfn.XLOOKUP(D2331&amp;C2331, Sheet3!$C$2:$C$1224&amp;Sheet3!$B$2:$B$1224, Sheet3!$D$2:$D$1224, "")</f>
        <v/>
      </c>
      <c r="G2331" s="1" t="str" cm="1">
        <f t="array" ref="G2331">_xlfn.XLOOKUP(D2331&amp;C2331, Sheet2!$A$2:$A$558&amp;Sheet2!$B$2:$B$558, Sheet2!$C$2:$C$558, "")</f>
        <v/>
      </c>
      <c r="H2331" s="40" t="str">
        <f t="shared" si="36"/>
        <v/>
      </c>
    </row>
    <row r="2332" spans="1:8" ht="15.5" x14ac:dyDescent="0.35">
      <c r="A2332" s="7">
        <v>2331</v>
      </c>
      <c r="B2332" s="17">
        <v>39648</v>
      </c>
      <c r="C2332" s="13" t="s">
        <v>2102</v>
      </c>
      <c r="D2332" s="17" t="s">
        <v>2848</v>
      </c>
      <c r="E2332" s="10">
        <v>2016</v>
      </c>
      <c r="F2332" s="36" t="str" cm="1">
        <f t="array" ref="F2332">_xlfn.XLOOKUP(D2332&amp;C2332, Sheet3!$C$2:$C$1224&amp;Sheet3!$B$2:$B$1224, Sheet3!$D$2:$D$1224, "")</f>
        <v/>
      </c>
      <c r="G2332" s="1" t="str" cm="1">
        <f t="array" ref="G2332">_xlfn.XLOOKUP(D2332&amp;C2332, Sheet2!$A$2:$A$558&amp;Sheet2!$B$2:$B$558, Sheet2!$C$2:$C$558, "")</f>
        <v/>
      </c>
      <c r="H2332" s="40" t="str">
        <f t="shared" si="36"/>
        <v/>
      </c>
    </row>
    <row r="2333" spans="1:8" ht="15.5" x14ac:dyDescent="0.35">
      <c r="A2333" s="7">
        <v>2332</v>
      </c>
      <c r="B2333" s="17">
        <v>39761</v>
      </c>
      <c r="C2333" s="13" t="s">
        <v>2103</v>
      </c>
      <c r="D2333" s="17" t="s">
        <v>2848</v>
      </c>
      <c r="E2333" s="10">
        <v>2016</v>
      </c>
      <c r="F2333" s="36" t="str" cm="1">
        <f t="array" ref="F2333">_xlfn.XLOOKUP(D2333&amp;C2333, Sheet3!$C$2:$C$1224&amp;Sheet3!$B$2:$B$1224, Sheet3!$D$2:$D$1224, "")</f>
        <v/>
      </c>
      <c r="G2333" s="1" t="str" cm="1">
        <f t="array" ref="G2333">_xlfn.XLOOKUP(D2333&amp;C2333, Sheet2!$A$2:$A$558&amp;Sheet2!$B$2:$B$558, Sheet2!$C$2:$C$558, "")</f>
        <v/>
      </c>
      <c r="H2333" s="40" t="str">
        <f t="shared" si="36"/>
        <v/>
      </c>
    </row>
    <row r="2334" spans="1:8" ht="15.5" x14ac:dyDescent="0.35">
      <c r="A2334" s="7">
        <v>2333</v>
      </c>
      <c r="B2334" s="17">
        <v>37708</v>
      </c>
      <c r="C2334" s="13" t="s">
        <v>2104</v>
      </c>
      <c r="D2334" s="17" t="s">
        <v>2847</v>
      </c>
      <c r="E2334" s="10">
        <v>2016</v>
      </c>
      <c r="F2334" s="36" t="str" cm="1">
        <f t="array" ref="F2334">_xlfn.XLOOKUP(D2334&amp;C2334, Sheet3!$C$2:$C$1224&amp;Sheet3!$B$2:$B$1224, Sheet3!$D$2:$D$1224, "")</f>
        <v>ardianjuni93@gmail.com</v>
      </c>
      <c r="G2334" s="1" t="str" cm="1">
        <f t="array" ref="G2334">_xlfn.XLOOKUP(D2334&amp;C2334, Sheet2!$A$2:$A$558&amp;Sheet2!$B$2:$B$558, Sheet2!$C$2:$C$558, "")</f>
        <v/>
      </c>
      <c r="H2334" s="40" t="str">
        <f t="shared" si="36"/>
        <v>ardianjuni93@gmail.com</v>
      </c>
    </row>
    <row r="2335" spans="1:8" ht="15.5" x14ac:dyDescent="0.35">
      <c r="A2335" s="7">
        <v>2334</v>
      </c>
      <c r="B2335" s="17">
        <v>39318</v>
      </c>
      <c r="C2335" s="13" t="s">
        <v>2105</v>
      </c>
      <c r="D2335" s="17" t="s">
        <v>2848</v>
      </c>
      <c r="E2335" s="10">
        <v>2016</v>
      </c>
      <c r="F2335" s="36" t="str" cm="1">
        <f t="array" ref="F2335">_xlfn.XLOOKUP(D2335&amp;C2335, Sheet3!$C$2:$C$1224&amp;Sheet3!$B$2:$B$1224, Sheet3!$D$2:$D$1224, "")</f>
        <v/>
      </c>
      <c r="G2335" s="1" t="str" cm="1">
        <f t="array" ref="G2335">_xlfn.XLOOKUP(D2335&amp;C2335, Sheet2!$A$2:$A$558&amp;Sheet2!$B$2:$B$558, Sheet2!$C$2:$C$558, "")</f>
        <v/>
      </c>
      <c r="H2335" s="40" t="str">
        <f t="shared" si="36"/>
        <v/>
      </c>
    </row>
    <row r="2336" spans="1:8" ht="15.5" x14ac:dyDescent="0.35">
      <c r="A2336" s="7">
        <v>2335</v>
      </c>
      <c r="B2336" s="17">
        <v>39598</v>
      </c>
      <c r="C2336" s="13" t="s">
        <v>2106</v>
      </c>
      <c r="D2336" s="17" t="s">
        <v>2848</v>
      </c>
      <c r="E2336" s="10">
        <v>2016</v>
      </c>
      <c r="F2336" s="36" t="str" cm="1">
        <f t="array" ref="F2336">_xlfn.XLOOKUP(D2336&amp;C2336, Sheet3!$C$2:$C$1224&amp;Sheet3!$B$2:$B$1224, Sheet3!$D$2:$D$1224, "")</f>
        <v>pujinurhidayahh@gmail.com</v>
      </c>
      <c r="G2336" s="1" t="str" cm="1">
        <f t="array" ref="G2336">_xlfn.XLOOKUP(D2336&amp;C2336, Sheet2!$A$2:$A$558&amp;Sheet2!$B$2:$B$558, Sheet2!$C$2:$C$558, "")</f>
        <v/>
      </c>
      <c r="H2336" s="40" t="str">
        <f t="shared" si="36"/>
        <v>pujinurhidayahh@gmail.com</v>
      </c>
    </row>
    <row r="2337" spans="1:8" ht="15.5" x14ac:dyDescent="0.35">
      <c r="A2337" s="7">
        <v>2336</v>
      </c>
      <c r="B2337" s="17">
        <v>39608</v>
      </c>
      <c r="C2337" s="13" t="s">
        <v>2107</v>
      </c>
      <c r="D2337" s="17" t="s">
        <v>2848</v>
      </c>
      <c r="E2337" s="10">
        <v>2016</v>
      </c>
      <c r="F2337" s="36" t="str" cm="1">
        <f t="array" ref="F2337">_xlfn.XLOOKUP(D2337&amp;C2337, Sheet3!$C$2:$C$1224&amp;Sheet3!$B$2:$B$1224, Sheet3!$D$2:$D$1224, "")</f>
        <v/>
      </c>
      <c r="G2337" s="1" t="str" cm="1">
        <f t="array" ref="G2337">_xlfn.XLOOKUP(D2337&amp;C2337, Sheet2!$A$2:$A$558&amp;Sheet2!$B$2:$B$558, Sheet2!$C$2:$C$558, "")</f>
        <v/>
      </c>
      <c r="H2337" s="40" t="str">
        <f t="shared" si="36"/>
        <v/>
      </c>
    </row>
    <row r="2338" spans="1:8" ht="15.5" x14ac:dyDescent="0.35">
      <c r="A2338" s="7">
        <v>2337</v>
      </c>
      <c r="B2338" s="17">
        <v>39862</v>
      </c>
      <c r="C2338" s="13" t="s">
        <v>2108</v>
      </c>
      <c r="D2338" s="17" t="s">
        <v>2848</v>
      </c>
      <c r="E2338" s="10">
        <v>2016</v>
      </c>
      <c r="F2338" s="36" t="str" cm="1">
        <f t="array" ref="F2338">_xlfn.XLOOKUP(D2338&amp;C2338, Sheet3!$C$2:$C$1224&amp;Sheet3!$B$2:$B$1224, Sheet3!$D$2:$D$1224, "")</f>
        <v/>
      </c>
      <c r="G2338" s="1" t="str" cm="1">
        <f t="array" ref="G2338">_xlfn.XLOOKUP(D2338&amp;C2338, Sheet2!$A$2:$A$558&amp;Sheet2!$B$2:$B$558, Sheet2!$C$2:$C$558, "")</f>
        <v/>
      </c>
      <c r="H2338" s="40" t="str">
        <f t="shared" si="36"/>
        <v/>
      </c>
    </row>
    <row r="2339" spans="1:8" ht="15.5" x14ac:dyDescent="0.35">
      <c r="A2339" s="7">
        <v>2338</v>
      </c>
      <c r="B2339" s="17">
        <v>39090</v>
      </c>
      <c r="C2339" s="13" t="s">
        <v>2109</v>
      </c>
      <c r="D2339" s="17" t="s">
        <v>2848</v>
      </c>
      <c r="E2339" s="10">
        <v>2016</v>
      </c>
      <c r="F2339" s="36" t="str" cm="1">
        <f t="array" ref="F2339">_xlfn.XLOOKUP(D2339&amp;C2339, Sheet3!$C$2:$C$1224&amp;Sheet3!$B$2:$B$1224, Sheet3!$D$2:$D$1224, "")</f>
        <v>galihyudhaaws@gmail.com</v>
      </c>
      <c r="G2339" s="1" t="str" cm="1">
        <f t="array" ref="G2339">_xlfn.XLOOKUP(D2339&amp;C2339, Sheet2!$A$2:$A$558&amp;Sheet2!$B$2:$B$558, Sheet2!$C$2:$C$558, "")</f>
        <v/>
      </c>
      <c r="H2339" s="40" t="str">
        <f t="shared" si="36"/>
        <v>galihyudhaaws@gmail.com</v>
      </c>
    </row>
    <row r="2340" spans="1:8" ht="15.5" x14ac:dyDescent="0.35">
      <c r="A2340" s="7">
        <v>2339</v>
      </c>
      <c r="B2340" s="17">
        <v>39883</v>
      </c>
      <c r="C2340" s="13" t="s">
        <v>2110</v>
      </c>
      <c r="D2340" s="17" t="s">
        <v>2848</v>
      </c>
      <c r="E2340" s="10">
        <v>2016</v>
      </c>
      <c r="F2340" s="36" t="str" cm="1">
        <f t="array" ref="F2340">_xlfn.XLOOKUP(D2340&amp;C2340, Sheet3!$C$2:$C$1224&amp;Sheet3!$B$2:$B$1224, Sheet3!$D$2:$D$1224, "")</f>
        <v/>
      </c>
      <c r="G2340" s="1" t="str" cm="1">
        <f t="array" ref="G2340">_xlfn.XLOOKUP(D2340&amp;C2340, Sheet2!$A$2:$A$558&amp;Sheet2!$B$2:$B$558, Sheet2!$C$2:$C$558, "")</f>
        <v/>
      </c>
      <c r="H2340" s="40" t="str">
        <f t="shared" si="36"/>
        <v/>
      </c>
    </row>
    <row r="2341" spans="1:8" ht="15.5" x14ac:dyDescent="0.35">
      <c r="A2341" s="7">
        <v>2340</v>
      </c>
      <c r="B2341" s="17">
        <v>39076</v>
      </c>
      <c r="C2341" s="13" t="s">
        <v>2111</v>
      </c>
      <c r="D2341" s="17" t="s">
        <v>2848</v>
      </c>
      <c r="E2341" s="10">
        <v>2016</v>
      </c>
      <c r="F2341" s="36" t="str" cm="1">
        <f t="array" ref="F2341">_xlfn.XLOOKUP(D2341&amp;C2341, Sheet3!$C$2:$C$1224&amp;Sheet3!$B$2:$B$1224, Sheet3!$D$2:$D$1224, "")</f>
        <v>anindards@gmail.com</v>
      </c>
      <c r="G2341" s="1" t="str" cm="1">
        <f t="array" ref="G2341">_xlfn.XLOOKUP(D2341&amp;C2341, Sheet2!$A$2:$A$558&amp;Sheet2!$B$2:$B$558, Sheet2!$C$2:$C$558, "")</f>
        <v/>
      </c>
      <c r="H2341" s="40" t="str">
        <f t="shared" si="36"/>
        <v>anindards@gmail.com</v>
      </c>
    </row>
    <row r="2342" spans="1:8" ht="15.5" x14ac:dyDescent="0.35">
      <c r="A2342" s="7">
        <v>2341</v>
      </c>
      <c r="B2342" s="17">
        <v>39234</v>
      </c>
      <c r="C2342" s="13" t="s">
        <v>2112</v>
      </c>
      <c r="D2342" s="17" t="s">
        <v>2848</v>
      </c>
      <c r="E2342" s="10">
        <v>2016</v>
      </c>
      <c r="F2342" s="36" t="str" cm="1">
        <f t="array" ref="F2342">_xlfn.XLOOKUP(D2342&amp;C2342, Sheet3!$C$2:$C$1224&amp;Sheet3!$B$2:$B$1224, Sheet3!$D$2:$D$1224, "")</f>
        <v/>
      </c>
      <c r="G2342" s="1" t="str" cm="1">
        <f t="array" ref="G2342">_xlfn.XLOOKUP(D2342&amp;C2342, Sheet2!$A$2:$A$558&amp;Sheet2!$B$2:$B$558, Sheet2!$C$2:$C$558, "")</f>
        <v/>
      </c>
      <c r="H2342" s="40" t="str">
        <f t="shared" si="36"/>
        <v/>
      </c>
    </row>
    <row r="2343" spans="1:8" ht="15.5" x14ac:dyDescent="0.35">
      <c r="A2343" s="7">
        <v>2342</v>
      </c>
      <c r="B2343" s="17">
        <v>39261</v>
      </c>
      <c r="C2343" s="13" t="s">
        <v>2113</v>
      </c>
      <c r="D2343" s="17" t="s">
        <v>2848</v>
      </c>
      <c r="E2343" s="10">
        <v>2016</v>
      </c>
      <c r="F2343" s="36" t="str" cm="1">
        <f t="array" ref="F2343">_xlfn.XLOOKUP(D2343&amp;C2343, Sheet3!$C$2:$C$1224&amp;Sheet3!$B$2:$B$1224, Sheet3!$D$2:$D$1224, "")</f>
        <v/>
      </c>
      <c r="G2343" s="1" t="str" cm="1">
        <f t="array" ref="G2343">_xlfn.XLOOKUP(D2343&amp;C2343, Sheet2!$A$2:$A$558&amp;Sheet2!$B$2:$B$558, Sheet2!$C$2:$C$558, "")</f>
        <v/>
      </c>
      <c r="H2343" s="40" t="str">
        <f t="shared" si="36"/>
        <v/>
      </c>
    </row>
    <row r="2344" spans="1:8" ht="15.5" x14ac:dyDescent="0.35">
      <c r="A2344" s="7">
        <v>2343</v>
      </c>
      <c r="B2344" s="17">
        <v>39272</v>
      </c>
      <c r="C2344" s="13" t="s">
        <v>2114</v>
      </c>
      <c r="D2344" s="17" t="s">
        <v>2848</v>
      </c>
      <c r="E2344" s="10">
        <v>2016</v>
      </c>
      <c r="F2344" s="36" t="str" cm="1">
        <f t="array" ref="F2344">_xlfn.XLOOKUP(D2344&amp;C2344, Sheet3!$C$2:$C$1224&amp;Sheet3!$B$2:$B$1224, Sheet3!$D$2:$D$1224, "")</f>
        <v>saptahadi9@gmail.com</v>
      </c>
      <c r="G2344" s="1" t="str" cm="1">
        <f t="array" ref="G2344">_xlfn.XLOOKUP(D2344&amp;C2344, Sheet2!$A$2:$A$558&amp;Sheet2!$B$2:$B$558, Sheet2!$C$2:$C$558, "")</f>
        <v/>
      </c>
      <c r="H2344" s="40" t="str">
        <f t="shared" si="36"/>
        <v>saptahadi9@gmail.com</v>
      </c>
    </row>
    <row r="2345" spans="1:8" ht="15.5" x14ac:dyDescent="0.35">
      <c r="A2345" s="7">
        <v>2344</v>
      </c>
      <c r="B2345" s="17">
        <v>38253</v>
      </c>
      <c r="C2345" s="13" t="s">
        <v>2115</v>
      </c>
      <c r="D2345" s="17" t="s">
        <v>2847</v>
      </c>
      <c r="E2345" s="10">
        <v>2016</v>
      </c>
      <c r="F2345" s="36" t="str" cm="1">
        <f t="array" ref="F2345">_xlfn.XLOOKUP(D2345&amp;C2345, Sheet3!$C$2:$C$1224&amp;Sheet3!$B$2:$B$1224, Sheet3!$D$2:$D$1224, "")</f>
        <v/>
      </c>
      <c r="G2345" s="1" t="str" cm="1">
        <f t="array" ref="G2345">_xlfn.XLOOKUP(D2345&amp;C2345, Sheet2!$A$2:$A$558&amp;Sheet2!$B$2:$B$558, Sheet2!$C$2:$C$558, "")</f>
        <v/>
      </c>
      <c r="H2345" s="40" t="str">
        <f t="shared" si="36"/>
        <v/>
      </c>
    </row>
    <row r="2346" spans="1:8" ht="15.5" x14ac:dyDescent="0.35">
      <c r="A2346" s="7">
        <v>2345</v>
      </c>
      <c r="B2346" s="17">
        <v>39631</v>
      </c>
      <c r="C2346" s="13" t="s">
        <v>2116</v>
      </c>
      <c r="D2346" s="17" t="s">
        <v>2848</v>
      </c>
      <c r="E2346" s="10">
        <v>2016</v>
      </c>
      <c r="F2346" s="36" t="str" cm="1">
        <f t="array" ref="F2346">_xlfn.XLOOKUP(D2346&amp;C2346, Sheet3!$C$2:$C$1224&amp;Sheet3!$B$2:$B$1224, Sheet3!$D$2:$D$1224, "")</f>
        <v>riapurnamaputri@gmail.com</v>
      </c>
      <c r="G2346" s="1" t="str" cm="1">
        <f t="array" ref="G2346">_xlfn.XLOOKUP(D2346&amp;C2346, Sheet2!$A$2:$A$558&amp;Sheet2!$B$2:$B$558, Sheet2!$C$2:$C$558, "")</f>
        <v/>
      </c>
      <c r="H2346" s="40" t="str">
        <f t="shared" si="36"/>
        <v>riapurnamaputri@gmail.com</v>
      </c>
    </row>
    <row r="2347" spans="1:8" ht="15.5" x14ac:dyDescent="0.35">
      <c r="A2347" s="7">
        <v>2346</v>
      </c>
      <c r="B2347" s="17">
        <v>39140</v>
      </c>
      <c r="C2347" s="13" t="s">
        <v>2117</v>
      </c>
      <c r="D2347" s="17" t="s">
        <v>2848</v>
      </c>
      <c r="E2347" s="10">
        <v>2016</v>
      </c>
      <c r="F2347" s="36" t="str" cm="1">
        <f t="array" ref="F2347">_xlfn.XLOOKUP(D2347&amp;C2347, Sheet3!$C$2:$C$1224&amp;Sheet3!$B$2:$B$1224, Sheet3!$D$2:$D$1224, "")</f>
        <v/>
      </c>
      <c r="G2347" s="1" t="str" cm="1">
        <f t="array" ref="G2347">_xlfn.XLOOKUP(D2347&amp;C2347, Sheet2!$A$2:$A$558&amp;Sheet2!$B$2:$B$558, Sheet2!$C$2:$C$558, "")</f>
        <v/>
      </c>
      <c r="H2347" s="40" t="str">
        <f t="shared" si="36"/>
        <v/>
      </c>
    </row>
    <row r="2348" spans="1:8" ht="15.5" x14ac:dyDescent="0.35">
      <c r="A2348" s="7">
        <v>2347</v>
      </c>
      <c r="B2348" s="17">
        <v>39680</v>
      </c>
      <c r="C2348" s="13" t="s">
        <v>2118</v>
      </c>
      <c r="D2348" s="17" t="s">
        <v>2848</v>
      </c>
      <c r="E2348" s="10">
        <v>2016</v>
      </c>
      <c r="F2348" s="36" t="str" cm="1">
        <f t="array" ref="F2348">_xlfn.XLOOKUP(D2348&amp;C2348, Sheet3!$C$2:$C$1224&amp;Sheet3!$B$2:$B$1224, Sheet3!$D$2:$D$1224, "")</f>
        <v>muhammadghaly@gmail.com</v>
      </c>
      <c r="G2348" s="1" t="str" cm="1">
        <f t="array" ref="G2348">_xlfn.XLOOKUP(D2348&amp;C2348, Sheet2!$A$2:$A$558&amp;Sheet2!$B$2:$B$558, Sheet2!$C$2:$C$558, "")</f>
        <v/>
      </c>
      <c r="H2348" s="40" t="str">
        <f t="shared" si="36"/>
        <v>muhammadghaly@gmail.com</v>
      </c>
    </row>
    <row r="2349" spans="1:8" ht="15.5" x14ac:dyDescent="0.35">
      <c r="A2349" s="7">
        <v>2348</v>
      </c>
      <c r="B2349" s="17">
        <v>39780</v>
      </c>
      <c r="C2349" s="13" t="s">
        <v>2119</v>
      </c>
      <c r="D2349" s="17" t="s">
        <v>2848</v>
      </c>
      <c r="E2349" s="10">
        <v>2016</v>
      </c>
      <c r="F2349" s="36" t="str" cm="1">
        <f t="array" ref="F2349">_xlfn.XLOOKUP(D2349&amp;C2349, Sheet3!$C$2:$C$1224&amp;Sheet3!$B$2:$B$1224, Sheet3!$D$2:$D$1224, "")</f>
        <v>alkindy.ka@gmail.com</v>
      </c>
      <c r="G2349" s="1" t="str" cm="1">
        <f t="array" ref="G2349">_xlfn.XLOOKUP(D2349&amp;C2349, Sheet2!$A$2:$A$558&amp;Sheet2!$B$2:$B$558, Sheet2!$C$2:$C$558, "")</f>
        <v/>
      </c>
      <c r="H2349" s="40" t="str">
        <f t="shared" si="36"/>
        <v>alkindy.ka@gmail.com</v>
      </c>
    </row>
    <row r="2350" spans="1:8" ht="15.5" x14ac:dyDescent="0.35">
      <c r="A2350" s="7">
        <v>2349</v>
      </c>
      <c r="B2350" s="17">
        <v>39310</v>
      </c>
      <c r="C2350" s="13" t="s">
        <v>2120</v>
      </c>
      <c r="D2350" s="17" t="s">
        <v>2848</v>
      </c>
      <c r="E2350" s="10">
        <v>2016</v>
      </c>
      <c r="F2350" s="36" t="str" cm="1">
        <f t="array" ref="F2350">_xlfn.XLOOKUP(D2350&amp;C2350, Sheet3!$C$2:$C$1224&amp;Sheet3!$B$2:$B$1224, Sheet3!$D$2:$D$1224, "")</f>
        <v>isnaoktianarr@gmail.com</v>
      </c>
      <c r="G2350" s="1" t="str" cm="1">
        <f t="array" ref="G2350">_xlfn.XLOOKUP(D2350&amp;C2350, Sheet2!$A$2:$A$558&amp;Sheet2!$B$2:$B$558, Sheet2!$C$2:$C$558, "")</f>
        <v/>
      </c>
      <c r="H2350" s="40" t="str">
        <f t="shared" si="36"/>
        <v>isnaoktianarr@gmail.com</v>
      </c>
    </row>
    <row r="2351" spans="1:8" ht="15.5" x14ac:dyDescent="0.35">
      <c r="A2351" s="7">
        <v>2350</v>
      </c>
      <c r="B2351" s="17">
        <v>38375</v>
      </c>
      <c r="C2351" s="13" t="s">
        <v>2121</v>
      </c>
      <c r="D2351" s="17" t="s">
        <v>2847</v>
      </c>
      <c r="E2351" s="10">
        <v>2016</v>
      </c>
      <c r="F2351" s="36" t="str" cm="1">
        <f t="array" ref="F2351">_xlfn.XLOOKUP(D2351&amp;C2351, Sheet3!$C$2:$C$1224&amp;Sheet3!$B$2:$B$1224, Sheet3!$D$2:$D$1224, "")</f>
        <v/>
      </c>
      <c r="G2351" s="1" t="str" cm="1">
        <f t="array" ref="G2351">_xlfn.XLOOKUP(D2351&amp;C2351, Sheet2!$A$2:$A$558&amp;Sheet2!$B$2:$B$558, Sheet2!$C$2:$C$558, "")</f>
        <v/>
      </c>
      <c r="H2351" s="40" t="str">
        <f t="shared" si="36"/>
        <v/>
      </c>
    </row>
    <row r="2352" spans="1:8" ht="15.5" x14ac:dyDescent="0.35">
      <c r="A2352" s="7">
        <v>2351</v>
      </c>
      <c r="B2352" s="17">
        <v>39392</v>
      </c>
      <c r="C2352" s="13" t="s">
        <v>2122</v>
      </c>
      <c r="D2352" s="17" t="s">
        <v>2848</v>
      </c>
      <c r="E2352" s="10">
        <v>2016</v>
      </c>
      <c r="F2352" s="36" t="str" cm="1">
        <f t="array" ref="F2352">_xlfn.XLOOKUP(D2352&amp;C2352, Sheet3!$C$2:$C$1224&amp;Sheet3!$B$2:$B$1224, Sheet3!$D$2:$D$1224, "")</f>
        <v>mahendraariperdana@gmail.com</v>
      </c>
      <c r="G2352" s="1" t="str" cm="1">
        <f t="array" ref="G2352">_xlfn.XLOOKUP(D2352&amp;C2352, Sheet2!$A$2:$A$558&amp;Sheet2!$B$2:$B$558, Sheet2!$C$2:$C$558, "")</f>
        <v/>
      </c>
      <c r="H2352" s="40" t="str">
        <f t="shared" si="36"/>
        <v>mahendraariperdana@gmail.com</v>
      </c>
    </row>
    <row r="2353" spans="1:8" ht="15.5" x14ac:dyDescent="0.35">
      <c r="A2353" s="7">
        <v>2352</v>
      </c>
      <c r="B2353" s="17">
        <v>39716</v>
      </c>
      <c r="C2353" s="13" t="s">
        <v>2123</v>
      </c>
      <c r="D2353" s="17" t="s">
        <v>2848</v>
      </c>
      <c r="E2353" s="10">
        <v>2016</v>
      </c>
      <c r="F2353" s="36" t="str" cm="1">
        <f t="array" ref="F2353">_xlfn.XLOOKUP(D2353&amp;C2353, Sheet3!$C$2:$C$1224&amp;Sheet3!$B$2:$B$1224, Sheet3!$D$2:$D$1224, "")</f>
        <v>auliafzahro@gmail.com</v>
      </c>
      <c r="G2353" s="1" t="str" cm="1">
        <f t="array" ref="G2353">_xlfn.XLOOKUP(D2353&amp;C2353, Sheet2!$A$2:$A$558&amp;Sheet2!$B$2:$B$558, Sheet2!$C$2:$C$558, "")</f>
        <v/>
      </c>
      <c r="H2353" s="40" t="str">
        <f t="shared" si="36"/>
        <v>auliafzahro@gmail.com</v>
      </c>
    </row>
    <row r="2354" spans="1:8" ht="15.5" x14ac:dyDescent="0.35">
      <c r="A2354" s="7">
        <v>2353</v>
      </c>
      <c r="B2354" s="17">
        <v>39032</v>
      </c>
      <c r="C2354" s="13" t="s">
        <v>2124</v>
      </c>
      <c r="D2354" s="17" t="s">
        <v>2848</v>
      </c>
      <c r="E2354" s="10">
        <v>2016</v>
      </c>
      <c r="F2354" s="36" t="str" cm="1">
        <f t="array" ref="F2354">_xlfn.XLOOKUP(D2354&amp;C2354, Sheet3!$C$2:$C$1224&amp;Sheet3!$B$2:$B$1224, Sheet3!$D$2:$D$1224, "")</f>
        <v>hammamabdurrahman@gmail.com</v>
      </c>
      <c r="G2354" s="1" t="str" cm="1">
        <f t="array" ref="G2354">_xlfn.XLOOKUP(D2354&amp;C2354, Sheet2!$A$2:$A$558&amp;Sheet2!$B$2:$B$558, Sheet2!$C$2:$C$558, "")</f>
        <v/>
      </c>
      <c r="H2354" s="40" t="str">
        <f t="shared" si="36"/>
        <v>hammamabdurrahman@gmail.com</v>
      </c>
    </row>
    <row r="2355" spans="1:8" ht="15.5" x14ac:dyDescent="0.35">
      <c r="A2355" s="7">
        <v>2354</v>
      </c>
      <c r="B2355" s="17">
        <v>39671</v>
      </c>
      <c r="C2355" s="13" t="s">
        <v>2125</v>
      </c>
      <c r="D2355" s="17" t="s">
        <v>2848</v>
      </c>
      <c r="E2355" s="10">
        <v>2016</v>
      </c>
      <c r="F2355" s="36" t="str" cm="1">
        <f t="array" ref="F2355">_xlfn.XLOOKUP(D2355&amp;C2355, Sheet3!$C$2:$C$1224&amp;Sheet3!$B$2:$B$1224, Sheet3!$D$2:$D$1224, "")</f>
        <v/>
      </c>
      <c r="G2355" s="1" t="str" cm="1">
        <f t="array" ref="G2355">_xlfn.XLOOKUP(D2355&amp;C2355, Sheet2!$A$2:$A$558&amp;Sheet2!$B$2:$B$558, Sheet2!$C$2:$C$558, "")</f>
        <v/>
      </c>
      <c r="H2355" s="40" t="str">
        <f t="shared" si="36"/>
        <v/>
      </c>
    </row>
    <row r="2356" spans="1:8" ht="15.5" x14ac:dyDescent="0.35">
      <c r="A2356" s="7">
        <v>2355</v>
      </c>
      <c r="B2356" s="17">
        <v>39424</v>
      </c>
      <c r="C2356" s="13" t="s">
        <v>2126</v>
      </c>
      <c r="D2356" s="17" t="s">
        <v>2848</v>
      </c>
      <c r="E2356" s="10">
        <v>2016</v>
      </c>
      <c r="F2356" s="36" t="str" cm="1">
        <f t="array" ref="F2356">_xlfn.XLOOKUP(D2356&amp;C2356, Sheet3!$C$2:$C$1224&amp;Sheet3!$B$2:$B$1224, Sheet3!$D$2:$D$1224, "")</f>
        <v>sheilaamalia85@gmail.com</v>
      </c>
      <c r="G2356" s="1" t="str" cm="1">
        <f t="array" ref="G2356">_xlfn.XLOOKUP(D2356&amp;C2356, Sheet2!$A$2:$A$558&amp;Sheet2!$B$2:$B$558, Sheet2!$C$2:$C$558, "")</f>
        <v/>
      </c>
      <c r="H2356" s="40" t="str">
        <f t="shared" si="36"/>
        <v>sheilaamalia85@gmail.com</v>
      </c>
    </row>
    <row r="2357" spans="1:8" ht="15.5" x14ac:dyDescent="0.35">
      <c r="A2357" s="7">
        <v>2356</v>
      </c>
      <c r="B2357" s="17">
        <v>39168</v>
      </c>
      <c r="C2357" s="13" t="s">
        <v>2127</v>
      </c>
      <c r="D2357" s="17" t="s">
        <v>2848</v>
      </c>
      <c r="E2357" s="10">
        <v>2016</v>
      </c>
      <c r="F2357" s="36" t="str" cm="1">
        <f t="array" ref="F2357">_xlfn.XLOOKUP(D2357&amp;C2357, Sheet3!$C$2:$C$1224&amp;Sheet3!$B$2:$B$1224, Sheet3!$D$2:$D$1224, "")</f>
        <v>ditha.ary.sanjaya@gmail.com</v>
      </c>
      <c r="G2357" s="1" t="str" cm="1">
        <f t="array" ref="G2357">_xlfn.XLOOKUP(D2357&amp;C2357, Sheet2!$A$2:$A$558&amp;Sheet2!$B$2:$B$558, Sheet2!$C$2:$C$558, "")</f>
        <v/>
      </c>
      <c r="H2357" s="40" t="str">
        <f t="shared" si="36"/>
        <v>ditha.ary.sanjaya@gmail.com</v>
      </c>
    </row>
    <row r="2358" spans="1:8" ht="15.5" x14ac:dyDescent="0.35">
      <c r="A2358" s="7">
        <v>2357</v>
      </c>
      <c r="B2358" s="17">
        <v>38058</v>
      </c>
      <c r="C2358" s="13" t="s">
        <v>2128</v>
      </c>
      <c r="D2358" s="17" t="s">
        <v>2847</v>
      </c>
      <c r="E2358" s="10">
        <v>2016</v>
      </c>
      <c r="F2358" s="36" t="str" cm="1">
        <f t="array" ref="F2358">_xlfn.XLOOKUP(D2358&amp;C2358, Sheet3!$C$2:$C$1224&amp;Sheet3!$B$2:$B$1224, Sheet3!$D$2:$D$1224, "")</f>
        <v>abdisimamora@gmail.com</v>
      </c>
      <c r="G2358" s="1" t="str" cm="1">
        <f t="array" ref="G2358">_xlfn.XLOOKUP(D2358&amp;C2358, Sheet2!$A$2:$A$558&amp;Sheet2!$B$2:$B$558, Sheet2!$C$2:$C$558, "")</f>
        <v/>
      </c>
      <c r="H2358" s="40" t="str">
        <f t="shared" si="36"/>
        <v>abdisimamora@gmail.com</v>
      </c>
    </row>
    <row r="2359" spans="1:8" ht="15.5" x14ac:dyDescent="0.35">
      <c r="A2359" s="7">
        <v>2358</v>
      </c>
      <c r="B2359" s="17">
        <v>39503</v>
      </c>
      <c r="C2359" s="13" t="s">
        <v>2129</v>
      </c>
      <c r="D2359" s="17" t="s">
        <v>2848</v>
      </c>
      <c r="E2359" s="10">
        <v>2016</v>
      </c>
      <c r="F2359" s="36" t="str" cm="1">
        <f t="array" ref="F2359">_xlfn.XLOOKUP(D2359&amp;C2359, Sheet3!$C$2:$C$1224&amp;Sheet3!$B$2:$B$1224, Sheet3!$D$2:$D$1224, "")</f>
        <v>fandi.riwanto@gmail.com</v>
      </c>
      <c r="G2359" s="1" t="str" cm="1">
        <f t="array" ref="G2359">_xlfn.XLOOKUP(D2359&amp;C2359, Sheet2!$A$2:$A$558&amp;Sheet2!$B$2:$B$558, Sheet2!$C$2:$C$558, "")</f>
        <v/>
      </c>
      <c r="H2359" s="40" t="str">
        <f t="shared" si="36"/>
        <v>fandi.riwanto@gmail.com</v>
      </c>
    </row>
    <row r="2360" spans="1:8" ht="15.5" x14ac:dyDescent="0.35">
      <c r="A2360" s="7">
        <v>2359</v>
      </c>
      <c r="B2360" s="17">
        <v>39843</v>
      </c>
      <c r="C2360" s="13" t="s">
        <v>2130</v>
      </c>
      <c r="D2360" s="17" t="s">
        <v>2848</v>
      </c>
      <c r="E2360" s="10">
        <v>2016</v>
      </c>
      <c r="F2360" s="36" t="str" cm="1">
        <f t="array" ref="F2360">_xlfn.XLOOKUP(D2360&amp;C2360, Sheet3!$C$2:$C$1224&amp;Sheet3!$B$2:$B$1224, Sheet3!$D$2:$D$1224, "")</f>
        <v>fannyzafiramukti@gmail.com</v>
      </c>
      <c r="G2360" s="1" t="str" cm="1">
        <f t="array" ref="G2360">_xlfn.XLOOKUP(D2360&amp;C2360, Sheet2!$A$2:$A$558&amp;Sheet2!$B$2:$B$558, Sheet2!$C$2:$C$558, "")</f>
        <v/>
      </c>
      <c r="H2360" s="40" t="str">
        <f t="shared" si="36"/>
        <v>fannyzafiramukti@gmail.com</v>
      </c>
    </row>
    <row r="2361" spans="1:8" ht="15.5" x14ac:dyDescent="0.35">
      <c r="A2361" s="7">
        <v>2360</v>
      </c>
      <c r="B2361" s="17">
        <v>39055</v>
      </c>
      <c r="C2361" s="13" t="s">
        <v>2131</v>
      </c>
      <c r="D2361" s="17" t="s">
        <v>2848</v>
      </c>
      <c r="E2361" s="10">
        <v>2016</v>
      </c>
      <c r="F2361" s="36" t="str" cm="1">
        <f t="array" ref="F2361">_xlfn.XLOOKUP(D2361&amp;C2361, Sheet3!$C$2:$C$1224&amp;Sheet3!$B$2:$B$1224, Sheet3!$D$2:$D$1224, "")</f>
        <v>muhamadmilzammuharam@gmail.com</v>
      </c>
      <c r="G2361" s="1" t="str" cm="1">
        <f t="array" ref="G2361">_xlfn.XLOOKUP(D2361&amp;C2361, Sheet2!$A$2:$A$558&amp;Sheet2!$B$2:$B$558, Sheet2!$C$2:$C$558, "")</f>
        <v/>
      </c>
      <c r="H2361" s="40" t="str">
        <f t="shared" si="36"/>
        <v>muhamadmilzammuharam@gmail.com</v>
      </c>
    </row>
    <row r="2362" spans="1:8" ht="15.5" x14ac:dyDescent="0.35">
      <c r="A2362" s="7">
        <v>2361</v>
      </c>
      <c r="B2362" s="17">
        <v>40011</v>
      </c>
      <c r="C2362" s="13" t="s">
        <v>2132</v>
      </c>
      <c r="D2362" s="17" t="s">
        <v>2848</v>
      </c>
      <c r="E2362" s="10">
        <v>2016</v>
      </c>
      <c r="F2362" s="36" t="str" cm="1">
        <f t="array" ref="F2362">_xlfn.XLOOKUP(D2362&amp;C2362, Sheet3!$C$2:$C$1224&amp;Sheet3!$B$2:$B$1224, Sheet3!$D$2:$D$1224, "")</f>
        <v>rusdiyanto1994@mail.ugm.ac.id</v>
      </c>
      <c r="G2362" s="1" t="str" cm="1">
        <f t="array" ref="G2362">_xlfn.XLOOKUP(D2362&amp;C2362, Sheet2!$A$2:$A$558&amp;Sheet2!$B$2:$B$558, Sheet2!$C$2:$C$558, "")</f>
        <v/>
      </c>
      <c r="H2362" s="40" t="str">
        <f t="shared" si="36"/>
        <v>rusdiyanto1994@mail.ugm.ac.id</v>
      </c>
    </row>
    <row r="2363" spans="1:8" ht="15.5" x14ac:dyDescent="0.35">
      <c r="A2363" s="7">
        <v>2362</v>
      </c>
      <c r="B2363" s="17">
        <v>39635</v>
      </c>
      <c r="C2363" s="13" t="s">
        <v>2133</v>
      </c>
      <c r="D2363" s="17" t="s">
        <v>2848</v>
      </c>
      <c r="E2363" s="10">
        <v>2016</v>
      </c>
      <c r="F2363" s="36" t="str" cm="1">
        <f t="array" ref="F2363">_xlfn.XLOOKUP(D2363&amp;C2363, Sheet3!$C$2:$C$1224&amp;Sheet3!$B$2:$B$1224, Sheet3!$D$2:$D$1224, "")</f>
        <v>agnesryskintia@gmail.com</v>
      </c>
      <c r="G2363" s="1" t="str" cm="1">
        <f t="array" ref="G2363">_xlfn.XLOOKUP(D2363&amp;C2363, Sheet2!$A$2:$A$558&amp;Sheet2!$B$2:$B$558, Sheet2!$C$2:$C$558, "")</f>
        <v/>
      </c>
      <c r="H2363" s="40" t="str">
        <f t="shared" si="36"/>
        <v>agnesryskintia@gmail.com</v>
      </c>
    </row>
    <row r="2364" spans="1:8" ht="15.5" x14ac:dyDescent="0.35">
      <c r="A2364" s="7">
        <v>2363</v>
      </c>
      <c r="B2364" s="17">
        <v>39751</v>
      </c>
      <c r="C2364" s="13" t="s">
        <v>2134</v>
      </c>
      <c r="D2364" s="17" t="s">
        <v>2848</v>
      </c>
      <c r="E2364" s="10">
        <v>2016</v>
      </c>
      <c r="F2364" s="36" t="str" cm="1">
        <f t="array" ref="F2364">_xlfn.XLOOKUP(D2364&amp;C2364, Sheet3!$C$2:$C$1224&amp;Sheet3!$B$2:$B$1224, Sheet3!$D$2:$D$1224, "")</f>
        <v>elpakhriakmal@gmail.com</v>
      </c>
      <c r="G2364" s="1" t="str" cm="1">
        <f t="array" ref="G2364">_xlfn.XLOOKUP(D2364&amp;C2364, Sheet2!$A$2:$A$558&amp;Sheet2!$B$2:$B$558, Sheet2!$C$2:$C$558, "")</f>
        <v/>
      </c>
      <c r="H2364" s="40" t="str">
        <f t="shared" si="36"/>
        <v>elpakhriakmal@gmail.com</v>
      </c>
    </row>
    <row r="2365" spans="1:8" ht="15.5" x14ac:dyDescent="0.35">
      <c r="A2365" s="7">
        <v>2364</v>
      </c>
      <c r="B2365" s="17">
        <v>39923</v>
      </c>
      <c r="C2365" s="13" t="s">
        <v>2135</v>
      </c>
      <c r="D2365" s="17" t="s">
        <v>2848</v>
      </c>
      <c r="E2365" s="10">
        <v>2016</v>
      </c>
      <c r="F2365" s="36" t="str" cm="1">
        <f t="array" ref="F2365">_xlfn.XLOOKUP(D2365&amp;C2365, Sheet3!$C$2:$C$1224&amp;Sheet3!$B$2:$B$1224, Sheet3!$D$2:$D$1224, "")</f>
        <v/>
      </c>
      <c r="G2365" s="1" t="str" cm="1">
        <f t="array" ref="G2365">_xlfn.XLOOKUP(D2365&amp;C2365, Sheet2!$A$2:$A$558&amp;Sheet2!$B$2:$B$558, Sheet2!$C$2:$C$558, "")</f>
        <v/>
      </c>
      <c r="H2365" s="40" t="str">
        <f t="shared" si="36"/>
        <v/>
      </c>
    </row>
    <row r="2366" spans="1:8" ht="15.5" x14ac:dyDescent="0.35">
      <c r="A2366" s="7">
        <v>2365</v>
      </c>
      <c r="B2366" s="17">
        <v>40113</v>
      </c>
      <c r="C2366" s="13" t="s">
        <v>2136</v>
      </c>
      <c r="D2366" s="17" t="s">
        <v>2848</v>
      </c>
      <c r="E2366" s="10">
        <v>2016</v>
      </c>
      <c r="F2366" s="36" t="str" cm="1">
        <f t="array" ref="F2366">_xlfn.XLOOKUP(D2366&amp;C2366, Sheet3!$C$2:$C$1224&amp;Sheet3!$B$2:$B$1224, Sheet3!$D$2:$D$1224, "")</f>
        <v>dendysyahrir@pu.go.id</v>
      </c>
      <c r="G2366" s="1" t="str" cm="1">
        <f t="array" ref="G2366">_xlfn.XLOOKUP(D2366&amp;C2366, Sheet2!$A$2:$A$558&amp;Sheet2!$B$2:$B$558, Sheet2!$C$2:$C$558, "")</f>
        <v/>
      </c>
      <c r="H2366" s="40" t="str">
        <f t="shared" si="36"/>
        <v>dendysyahrir@pu.go.id</v>
      </c>
    </row>
    <row r="2367" spans="1:8" ht="15.5" x14ac:dyDescent="0.35">
      <c r="A2367" s="7">
        <v>2366</v>
      </c>
      <c r="B2367" s="17">
        <v>39755</v>
      </c>
      <c r="C2367" s="13" t="s">
        <v>2137</v>
      </c>
      <c r="D2367" s="17" t="s">
        <v>2848</v>
      </c>
      <c r="E2367" s="10">
        <v>2016</v>
      </c>
      <c r="F2367" s="36" t="str" cm="1">
        <f t="array" ref="F2367">_xlfn.XLOOKUP(D2367&amp;C2367, Sheet3!$C$2:$C$1224&amp;Sheet3!$B$2:$B$1224, Sheet3!$D$2:$D$1224, "")</f>
        <v>amalianurwijayanti97@gmail.com</v>
      </c>
      <c r="G2367" s="1" t="str" cm="1">
        <f t="array" ref="G2367">_xlfn.XLOOKUP(D2367&amp;C2367, Sheet2!$A$2:$A$558&amp;Sheet2!$B$2:$B$558, Sheet2!$C$2:$C$558, "")</f>
        <v/>
      </c>
      <c r="H2367" s="40" t="str">
        <f t="shared" si="36"/>
        <v>amalianurwijayanti97@gmail.com</v>
      </c>
    </row>
    <row r="2368" spans="1:8" ht="15.5" x14ac:dyDescent="0.35">
      <c r="A2368" s="7">
        <v>2367</v>
      </c>
      <c r="B2368" s="17">
        <v>39864</v>
      </c>
      <c r="C2368" s="13" t="s">
        <v>2138</v>
      </c>
      <c r="D2368" s="17" t="s">
        <v>2848</v>
      </c>
      <c r="E2368" s="10">
        <v>2016</v>
      </c>
      <c r="F2368" s="36" t="str" cm="1">
        <f t="array" ref="F2368">_xlfn.XLOOKUP(D2368&amp;C2368, Sheet3!$C$2:$C$1224&amp;Sheet3!$B$2:$B$1224, Sheet3!$D$2:$D$1224, "")</f>
        <v>fuadswastiko@gmail.com</v>
      </c>
      <c r="G2368" s="1" t="str" cm="1">
        <f t="array" ref="G2368">_xlfn.XLOOKUP(D2368&amp;C2368, Sheet2!$A$2:$A$558&amp;Sheet2!$B$2:$B$558, Sheet2!$C$2:$C$558, "")</f>
        <v/>
      </c>
      <c r="H2368" s="40" t="str">
        <f t="shared" si="36"/>
        <v>fuadswastiko@gmail.com</v>
      </c>
    </row>
    <row r="2369" spans="1:8" ht="15.5" x14ac:dyDescent="0.35">
      <c r="A2369" s="7">
        <v>2368</v>
      </c>
      <c r="B2369" s="17">
        <v>39488</v>
      </c>
      <c r="C2369" s="13" t="s">
        <v>2139</v>
      </c>
      <c r="D2369" s="17" t="s">
        <v>2848</v>
      </c>
      <c r="E2369" s="10">
        <v>2016</v>
      </c>
      <c r="F2369" s="36" t="str" cm="1">
        <f t="array" ref="F2369">_xlfn.XLOOKUP(D2369&amp;C2369, Sheet3!$C$2:$C$1224&amp;Sheet3!$B$2:$B$1224, Sheet3!$D$2:$D$1224, "")</f>
        <v>masithapangulu95@gmail.com</v>
      </c>
      <c r="G2369" s="1" t="str" cm="1">
        <f t="array" ref="G2369">_xlfn.XLOOKUP(D2369&amp;C2369, Sheet2!$A$2:$A$558&amp;Sheet2!$B$2:$B$558, Sheet2!$C$2:$C$558, "")</f>
        <v/>
      </c>
      <c r="H2369" s="40" t="str">
        <f t="shared" si="36"/>
        <v>masithapangulu95@gmail.com</v>
      </c>
    </row>
    <row r="2370" spans="1:8" ht="15.5" x14ac:dyDescent="0.35">
      <c r="A2370" s="7">
        <v>2369</v>
      </c>
      <c r="B2370" s="17">
        <v>39413</v>
      </c>
      <c r="C2370" s="13" t="s">
        <v>2140</v>
      </c>
      <c r="D2370" s="17" t="s">
        <v>2848</v>
      </c>
      <c r="E2370" s="10">
        <v>2016</v>
      </c>
      <c r="F2370" s="36" t="str" cm="1">
        <f t="array" ref="F2370">_xlfn.XLOOKUP(D2370&amp;C2370, Sheet3!$C$2:$C$1224&amp;Sheet3!$B$2:$B$1224, Sheet3!$D$2:$D$1224, "")</f>
        <v>luthfi.g.barka@gmail.com</v>
      </c>
      <c r="G2370" s="1" t="str" cm="1">
        <f t="array" ref="G2370">_xlfn.XLOOKUP(D2370&amp;C2370, Sheet2!$A$2:$A$558&amp;Sheet2!$B$2:$B$558, Sheet2!$C$2:$C$558, "")</f>
        <v/>
      </c>
      <c r="H2370" s="40" t="str">
        <f t="shared" si="36"/>
        <v>luthfi.g.barka@gmail.com</v>
      </c>
    </row>
    <row r="2371" spans="1:8" ht="15.5" x14ac:dyDescent="0.35">
      <c r="A2371" s="7">
        <v>2370</v>
      </c>
      <c r="B2371" s="17">
        <v>39692</v>
      </c>
      <c r="C2371" s="13" t="s">
        <v>2141</v>
      </c>
      <c r="D2371" s="17" t="s">
        <v>2848</v>
      </c>
      <c r="E2371" s="10">
        <v>2016</v>
      </c>
      <c r="F2371" s="36" t="str" cm="1">
        <f t="array" ref="F2371">_xlfn.XLOOKUP(D2371&amp;C2371, Sheet3!$C$2:$C$1224&amp;Sheet3!$B$2:$B$1224, Sheet3!$D$2:$D$1224, "")</f>
        <v>pradityamuktiali@gmail.com</v>
      </c>
      <c r="G2371" s="1" t="str" cm="1">
        <f t="array" ref="G2371">_xlfn.XLOOKUP(D2371&amp;C2371, Sheet2!$A$2:$A$558&amp;Sheet2!$B$2:$B$558, Sheet2!$C$2:$C$558, "")</f>
        <v/>
      </c>
      <c r="H2371" s="40" t="str">
        <f t="shared" ref="H2371:H2434" si="37">IF(F2371&lt;&gt;"",F2371,G2371)</f>
        <v>pradityamuktiali@gmail.com</v>
      </c>
    </row>
    <row r="2372" spans="1:8" ht="15.5" x14ac:dyDescent="0.35">
      <c r="A2372" s="7">
        <v>2371</v>
      </c>
      <c r="B2372" s="17">
        <v>40091</v>
      </c>
      <c r="C2372" s="13" t="s">
        <v>2142</v>
      </c>
      <c r="D2372" s="17" t="s">
        <v>2848</v>
      </c>
      <c r="E2372" s="10">
        <v>2016</v>
      </c>
      <c r="F2372" s="36" t="str" cm="1">
        <f t="array" ref="F2372">_xlfn.XLOOKUP(D2372&amp;C2372, Sheet3!$C$2:$C$1224&amp;Sheet3!$B$2:$B$1224, Sheet3!$D$2:$D$1224, "")</f>
        <v/>
      </c>
      <c r="G2372" s="1" t="str" cm="1">
        <f t="array" ref="G2372">_xlfn.XLOOKUP(D2372&amp;C2372, Sheet2!$A$2:$A$558&amp;Sheet2!$B$2:$B$558, Sheet2!$C$2:$C$558, "")</f>
        <v/>
      </c>
      <c r="H2372" s="40" t="str">
        <f t="shared" si="37"/>
        <v/>
      </c>
    </row>
    <row r="2373" spans="1:8" ht="15.5" x14ac:dyDescent="0.35">
      <c r="A2373" s="7">
        <v>2372</v>
      </c>
      <c r="B2373" s="17">
        <v>38151</v>
      </c>
      <c r="C2373" s="13" t="s">
        <v>2143</v>
      </c>
      <c r="D2373" s="17" t="s">
        <v>2847</v>
      </c>
      <c r="E2373" s="10">
        <v>2016</v>
      </c>
      <c r="F2373" s="36" t="str" cm="1">
        <f t="array" ref="F2373">_xlfn.XLOOKUP(D2373&amp;C2373, Sheet3!$C$2:$C$1224&amp;Sheet3!$B$2:$B$1224, Sheet3!$D$2:$D$1224, "")</f>
        <v/>
      </c>
      <c r="G2373" s="1" t="str" cm="1">
        <f t="array" ref="G2373">_xlfn.XLOOKUP(D2373&amp;C2373, Sheet2!$A$2:$A$558&amp;Sheet2!$B$2:$B$558, Sheet2!$C$2:$C$558, "")</f>
        <v/>
      </c>
      <c r="H2373" s="40" t="str">
        <f t="shared" si="37"/>
        <v/>
      </c>
    </row>
    <row r="2374" spans="1:8" ht="15.5" x14ac:dyDescent="0.35">
      <c r="A2374" s="7">
        <v>2373</v>
      </c>
      <c r="B2374" s="25">
        <v>39832</v>
      </c>
      <c r="C2374" s="13" t="s">
        <v>2144</v>
      </c>
      <c r="D2374" s="25" t="s">
        <v>2848</v>
      </c>
      <c r="E2374" s="10">
        <v>2016</v>
      </c>
      <c r="F2374" s="36" t="str" cm="1">
        <f t="array" ref="F2374">_xlfn.XLOOKUP(D2374&amp;C2374, Sheet3!$C$2:$C$1224&amp;Sheet3!$B$2:$B$1224, Sheet3!$D$2:$D$1224, "")</f>
        <v>dtsanjaya@gmail.com</v>
      </c>
      <c r="G2374" s="1" t="str" cm="1">
        <f t="array" ref="G2374">_xlfn.XLOOKUP(D2374&amp;C2374, Sheet2!$A$2:$A$558&amp;Sheet2!$B$2:$B$558, Sheet2!$C$2:$C$558, "")</f>
        <v/>
      </c>
      <c r="H2374" s="40" t="str">
        <f t="shared" si="37"/>
        <v>dtsanjaya@gmail.com</v>
      </c>
    </row>
    <row r="2375" spans="1:8" ht="15.5" x14ac:dyDescent="0.35">
      <c r="A2375" s="7">
        <v>2374</v>
      </c>
      <c r="B2375" s="25">
        <v>40076</v>
      </c>
      <c r="C2375" s="13" t="s">
        <v>2145</v>
      </c>
      <c r="D2375" s="25" t="s">
        <v>2848</v>
      </c>
      <c r="E2375" s="10">
        <v>2016</v>
      </c>
      <c r="F2375" s="36" t="str" cm="1">
        <f t="array" ref="F2375">_xlfn.XLOOKUP(D2375&amp;C2375, Sheet3!$C$2:$C$1224&amp;Sheet3!$B$2:$B$1224, Sheet3!$D$2:$D$1224, "")</f>
        <v>abrianto.05@gmail.com</v>
      </c>
      <c r="G2375" s="1" t="str" cm="1">
        <f t="array" ref="G2375">_xlfn.XLOOKUP(D2375&amp;C2375, Sheet2!$A$2:$A$558&amp;Sheet2!$B$2:$B$558, Sheet2!$C$2:$C$558, "")</f>
        <v/>
      </c>
      <c r="H2375" s="40" t="str">
        <f t="shared" si="37"/>
        <v>abrianto.05@gmail.com</v>
      </c>
    </row>
    <row r="2376" spans="1:8" ht="15.5" x14ac:dyDescent="0.35">
      <c r="A2376" s="7">
        <v>2375</v>
      </c>
      <c r="B2376" s="25">
        <v>40135</v>
      </c>
      <c r="C2376" s="13" t="s">
        <v>2146</v>
      </c>
      <c r="D2376" s="25" t="s">
        <v>2848</v>
      </c>
      <c r="E2376" s="10">
        <v>2016</v>
      </c>
      <c r="F2376" s="36" t="str" cm="1">
        <f t="array" ref="F2376">_xlfn.XLOOKUP(D2376&amp;C2376, Sheet3!$C$2:$C$1224&amp;Sheet3!$B$2:$B$1224, Sheet3!$D$2:$D$1224, "")</f>
        <v/>
      </c>
      <c r="G2376" s="1" t="str" cm="1">
        <f t="array" ref="G2376">_xlfn.XLOOKUP(D2376&amp;C2376, Sheet2!$A$2:$A$558&amp;Sheet2!$B$2:$B$558, Sheet2!$C$2:$C$558, "")</f>
        <v/>
      </c>
      <c r="H2376" s="40" t="str">
        <f t="shared" si="37"/>
        <v/>
      </c>
    </row>
    <row r="2377" spans="1:8" ht="15.5" x14ac:dyDescent="0.35">
      <c r="A2377" s="7">
        <v>2376</v>
      </c>
      <c r="B2377" s="25">
        <v>39854</v>
      </c>
      <c r="C2377" s="13" t="s">
        <v>2147</v>
      </c>
      <c r="D2377" s="25" t="s">
        <v>2848</v>
      </c>
      <c r="E2377" s="10">
        <v>2016</v>
      </c>
      <c r="F2377" s="36" t="str" cm="1">
        <f t="array" ref="F2377">_xlfn.XLOOKUP(D2377&amp;C2377, Sheet3!$C$2:$C$1224&amp;Sheet3!$B$2:$B$1224, Sheet3!$D$2:$D$1224, "")</f>
        <v/>
      </c>
      <c r="G2377" s="1" t="str" cm="1">
        <f t="array" ref="G2377">_xlfn.XLOOKUP(D2377&amp;C2377, Sheet2!$A$2:$A$558&amp;Sheet2!$B$2:$B$558, Sheet2!$C$2:$C$558, "")</f>
        <v/>
      </c>
      <c r="H2377" s="40" t="str">
        <f t="shared" si="37"/>
        <v/>
      </c>
    </row>
    <row r="2378" spans="1:8" ht="15.5" x14ac:dyDescent="0.35">
      <c r="A2378" s="7">
        <v>2377</v>
      </c>
      <c r="B2378" s="25">
        <v>40178</v>
      </c>
      <c r="C2378" s="13" t="s">
        <v>2148</v>
      </c>
      <c r="D2378" s="25" t="s">
        <v>2848</v>
      </c>
      <c r="E2378" s="10">
        <v>2016</v>
      </c>
      <c r="F2378" s="36" t="str" cm="1">
        <f t="array" ref="F2378">_xlfn.XLOOKUP(D2378&amp;C2378, Sheet3!$C$2:$C$1224&amp;Sheet3!$B$2:$B$1224, Sheet3!$D$2:$D$1224, "")</f>
        <v/>
      </c>
      <c r="G2378" s="1" t="str" cm="1">
        <f t="array" ref="G2378">_xlfn.XLOOKUP(D2378&amp;C2378, Sheet2!$A$2:$A$558&amp;Sheet2!$B$2:$B$558, Sheet2!$C$2:$C$558, "")</f>
        <v/>
      </c>
      <c r="H2378" s="40" t="str">
        <f t="shared" si="37"/>
        <v/>
      </c>
    </row>
    <row r="2379" spans="1:8" ht="15.5" x14ac:dyDescent="0.35">
      <c r="A2379" s="7">
        <v>2378</v>
      </c>
      <c r="B2379" s="25">
        <v>39666</v>
      </c>
      <c r="C2379" s="13" t="s">
        <v>2149</v>
      </c>
      <c r="D2379" s="25" t="s">
        <v>2848</v>
      </c>
      <c r="E2379" s="10">
        <v>2016</v>
      </c>
      <c r="F2379" s="36" t="str" cm="1">
        <f t="array" ref="F2379">_xlfn.XLOOKUP(D2379&amp;C2379, Sheet3!$C$2:$C$1224&amp;Sheet3!$B$2:$B$1224, Sheet3!$D$2:$D$1224, "")</f>
        <v/>
      </c>
      <c r="G2379" s="1" t="str" cm="1">
        <f t="array" ref="G2379">_xlfn.XLOOKUP(D2379&amp;C2379, Sheet2!$A$2:$A$558&amp;Sheet2!$B$2:$B$558, Sheet2!$C$2:$C$558, "")</f>
        <v/>
      </c>
      <c r="H2379" s="40" t="str">
        <f t="shared" si="37"/>
        <v/>
      </c>
    </row>
    <row r="2380" spans="1:8" ht="15.5" x14ac:dyDescent="0.35">
      <c r="A2380" s="7">
        <v>2379</v>
      </c>
      <c r="B2380" s="25">
        <v>40182</v>
      </c>
      <c r="C2380" s="13" t="s">
        <v>2150</v>
      </c>
      <c r="D2380" s="25" t="s">
        <v>2848</v>
      </c>
      <c r="E2380" s="10">
        <v>2016</v>
      </c>
      <c r="F2380" s="36" t="str" cm="1">
        <f t="array" ref="F2380">_xlfn.XLOOKUP(D2380&amp;C2380, Sheet3!$C$2:$C$1224&amp;Sheet3!$B$2:$B$1224, Sheet3!$D$2:$D$1224, "")</f>
        <v>iqromatulfadliyah@gmail.com</v>
      </c>
      <c r="G2380" s="1" t="str" cm="1">
        <f t="array" ref="G2380">_xlfn.XLOOKUP(D2380&amp;C2380, Sheet2!$A$2:$A$558&amp;Sheet2!$B$2:$B$558, Sheet2!$C$2:$C$558, "")</f>
        <v/>
      </c>
      <c r="H2380" s="40" t="str">
        <f t="shared" si="37"/>
        <v>iqromatulfadliyah@gmail.com</v>
      </c>
    </row>
    <row r="2381" spans="1:8" ht="15.5" x14ac:dyDescent="0.35">
      <c r="A2381" s="7">
        <v>2380</v>
      </c>
      <c r="B2381" s="25">
        <v>40095</v>
      </c>
      <c r="C2381" s="13" t="s">
        <v>2151</v>
      </c>
      <c r="D2381" s="25" t="s">
        <v>2848</v>
      </c>
      <c r="E2381" s="10">
        <v>2016</v>
      </c>
      <c r="F2381" s="36" t="str" cm="1">
        <f t="array" ref="F2381">_xlfn.XLOOKUP(D2381&amp;C2381, Sheet3!$C$2:$C$1224&amp;Sheet3!$B$2:$B$1224, Sheet3!$D$2:$D$1224, "")</f>
        <v/>
      </c>
      <c r="G2381" s="1" t="str" cm="1">
        <f t="array" ref="G2381">_xlfn.XLOOKUP(D2381&amp;C2381, Sheet2!$A$2:$A$558&amp;Sheet2!$B$2:$B$558, Sheet2!$C$2:$C$558, "")</f>
        <v/>
      </c>
      <c r="H2381" s="40" t="str">
        <f t="shared" si="37"/>
        <v/>
      </c>
    </row>
    <row r="2382" spans="1:8" ht="15.5" x14ac:dyDescent="0.35">
      <c r="A2382" s="7">
        <v>2381</v>
      </c>
      <c r="B2382" s="25">
        <v>40266</v>
      </c>
      <c r="C2382" s="13" t="s">
        <v>2152</v>
      </c>
      <c r="D2382" s="25" t="s">
        <v>2848</v>
      </c>
      <c r="E2382" s="10">
        <v>2016</v>
      </c>
      <c r="F2382" s="36" t="str" cm="1">
        <f t="array" ref="F2382">_xlfn.XLOOKUP(D2382&amp;C2382, Sheet3!$C$2:$C$1224&amp;Sheet3!$B$2:$B$1224, Sheet3!$D$2:$D$1224, "")</f>
        <v/>
      </c>
      <c r="G2382" s="1" t="str" cm="1">
        <f t="array" ref="G2382">_xlfn.XLOOKUP(D2382&amp;C2382, Sheet2!$A$2:$A$558&amp;Sheet2!$B$2:$B$558, Sheet2!$C$2:$C$558, "")</f>
        <v/>
      </c>
      <c r="H2382" s="40" t="str">
        <f t="shared" si="37"/>
        <v/>
      </c>
    </row>
    <row r="2383" spans="1:8" ht="15.5" x14ac:dyDescent="0.35">
      <c r="A2383" s="7">
        <v>2382</v>
      </c>
      <c r="B2383" s="25">
        <v>39768</v>
      </c>
      <c r="C2383" s="13" t="s">
        <v>2153</v>
      </c>
      <c r="D2383" s="25" t="s">
        <v>2848</v>
      </c>
      <c r="E2383" s="10">
        <v>2017</v>
      </c>
      <c r="F2383" s="36" t="str" cm="1">
        <f t="array" ref="F2383">_xlfn.XLOOKUP(D2383&amp;C2383, Sheet3!$C$2:$C$1224&amp;Sheet3!$B$2:$B$1224, Sheet3!$D$2:$D$1224, "")</f>
        <v/>
      </c>
      <c r="G2383" s="1" t="str" cm="1">
        <f t="array" ref="G2383">_xlfn.XLOOKUP(D2383&amp;C2383, Sheet2!$A$2:$A$558&amp;Sheet2!$B$2:$B$558, Sheet2!$C$2:$C$558, "")</f>
        <v/>
      </c>
      <c r="H2383" s="40" t="str">
        <f t="shared" si="37"/>
        <v/>
      </c>
    </row>
    <row r="2384" spans="1:8" ht="15.5" x14ac:dyDescent="0.35">
      <c r="A2384" s="7">
        <v>2383</v>
      </c>
      <c r="B2384" s="25">
        <v>39784</v>
      </c>
      <c r="C2384" s="13" t="s">
        <v>2154</v>
      </c>
      <c r="D2384" s="25" t="s">
        <v>2848</v>
      </c>
      <c r="E2384" s="10">
        <v>2017</v>
      </c>
      <c r="F2384" s="36" t="str" cm="1">
        <f t="array" ref="F2384">_xlfn.XLOOKUP(D2384&amp;C2384, Sheet3!$C$2:$C$1224&amp;Sheet3!$B$2:$B$1224, Sheet3!$D$2:$D$1224, "")</f>
        <v>Yunanzai@gmail.com</v>
      </c>
      <c r="G2384" s="1" t="str" cm="1">
        <f t="array" ref="G2384">_xlfn.XLOOKUP(D2384&amp;C2384, Sheet2!$A$2:$A$558&amp;Sheet2!$B$2:$B$558, Sheet2!$C$2:$C$558, "")</f>
        <v/>
      </c>
      <c r="H2384" s="40" t="str">
        <f t="shared" si="37"/>
        <v>Yunanzai@gmail.com</v>
      </c>
    </row>
    <row r="2385" spans="1:8" ht="15.5" x14ac:dyDescent="0.35">
      <c r="A2385" s="7">
        <v>2384</v>
      </c>
      <c r="B2385" s="25">
        <v>37606</v>
      </c>
      <c r="C2385" s="13" t="s">
        <v>63</v>
      </c>
      <c r="D2385" s="25" t="s">
        <v>2847</v>
      </c>
      <c r="E2385" s="10">
        <v>2017</v>
      </c>
      <c r="F2385" s="36" t="str" cm="1">
        <f t="array" ref="F2385">_xlfn.XLOOKUP(D2385&amp;C2385, Sheet3!$C$2:$C$1224&amp;Sheet3!$B$2:$B$1224, Sheet3!$D$2:$D$1224, "")</f>
        <v>wibigunawans@gmail.com</v>
      </c>
      <c r="G2385" s="1" t="str" cm="1">
        <f t="array" ref="G2385">_xlfn.XLOOKUP(D2385&amp;C2385, Sheet2!$A$2:$A$558&amp;Sheet2!$B$2:$B$558, Sheet2!$C$2:$C$558, "")</f>
        <v/>
      </c>
      <c r="H2385" s="40" t="str">
        <f t="shared" si="37"/>
        <v>wibigunawans@gmail.com</v>
      </c>
    </row>
    <row r="2386" spans="1:8" ht="15.5" x14ac:dyDescent="0.35">
      <c r="A2386" s="7">
        <v>2385</v>
      </c>
      <c r="B2386" s="25">
        <v>36110</v>
      </c>
      <c r="C2386" s="13" t="s">
        <v>2155</v>
      </c>
      <c r="D2386" s="25" t="s">
        <v>2846</v>
      </c>
      <c r="E2386" s="10">
        <v>2017</v>
      </c>
      <c r="F2386" s="36" t="str" cm="1">
        <f t="array" ref="F2386">_xlfn.XLOOKUP(D2386&amp;C2386, Sheet3!$C$2:$C$1224&amp;Sheet3!$B$2:$B$1224, Sheet3!$D$2:$D$1224, "")</f>
        <v>Anugke5@gmail.com</v>
      </c>
      <c r="G2386" s="1" t="str" cm="1">
        <f t="array" ref="G2386">_xlfn.XLOOKUP(D2386&amp;C2386, Sheet2!$A$2:$A$558&amp;Sheet2!$B$2:$B$558, Sheet2!$C$2:$C$558, "")</f>
        <v>anugke5@gmail.com</v>
      </c>
      <c r="H2386" s="40" t="str">
        <f t="shared" si="37"/>
        <v>Anugke5@gmail.com</v>
      </c>
    </row>
    <row r="2387" spans="1:8" ht="15.5" x14ac:dyDescent="0.35">
      <c r="A2387" s="7">
        <v>2386</v>
      </c>
      <c r="B2387" s="25">
        <v>39285</v>
      </c>
      <c r="C2387" s="13" t="s">
        <v>2156</v>
      </c>
      <c r="D2387" s="25" t="s">
        <v>2848</v>
      </c>
      <c r="E2387" s="10">
        <v>2017</v>
      </c>
      <c r="F2387" s="36" t="str" cm="1">
        <f t="array" ref="F2387">_xlfn.XLOOKUP(D2387&amp;C2387, Sheet3!$C$2:$C$1224&amp;Sheet3!$B$2:$B$1224, Sheet3!$D$2:$D$1224, "")</f>
        <v>adisusilo137@gmail.com</v>
      </c>
      <c r="G2387" s="1" t="str" cm="1">
        <f t="array" ref="G2387">_xlfn.XLOOKUP(D2387&amp;C2387, Sheet2!$A$2:$A$558&amp;Sheet2!$B$2:$B$558, Sheet2!$C$2:$C$558, "")</f>
        <v/>
      </c>
      <c r="H2387" s="40" t="str">
        <f t="shared" si="37"/>
        <v>adisusilo137@gmail.com</v>
      </c>
    </row>
    <row r="2388" spans="1:8" ht="15.5" x14ac:dyDescent="0.35">
      <c r="A2388" s="7">
        <v>2387</v>
      </c>
      <c r="B2388" s="25">
        <v>40151</v>
      </c>
      <c r="C2388" s="13" t="s">
        <v>2157</v>
      </c>
      <c r="D2388" s="25" t="s">
        <v>2848</v>
      </c>
      <c r="E2388" s="10">
        <v>2017</v>
      </c>
      <c r="F2388" s="36" t="str" cm="1">
        <f t="array" ref="F2388">_xlfn.XLOOKUP(D2388&amp;C2388, Sheet3!$C$2:$C$1224&amp;Sheet3!$B$2:$B$1224, Sheet3!$D$2:$D$1224, "")</f>
        <v/>
      </c>
      <c r="G2388" s="1" t="str" cm="1">
        <f t="array" ref="G2388">_xlfn.XLOOKUP(D2388&amp;C2388, Sheet2!$A$2:$A$558&amp;Sheet2!$B$2:$B$558, Sheet2!$C$2:$C$558, "")</f>
        <v/>
      </c>
      <c r="H2388" s="40" t="str">
        <f t="shared" si="37"/>
        <v/>
      </c>
    </row>
    <row r="2389" spans="1:8" ht="15.5" x14ac:dyDescent="0.35">
      <c r="A2389" s="7">
        <v>2388</v>
      </c>
      <c r="B2389" s="25">
        <v>40265</v>
      </c>
      <c r="C2389" s="13" t="s">
        <v>2158</v>
      </c>
      <c r="D2389" s="25" t="s">
        <v>2848</v>
      </c>
      <c r="E2389" s="10">
        <v>2017</v>
      </c>
      <c r="F2389" s="36" t="str" cm="1">
        <f t="array" ref="F2389">_xlfn.XLOOKUP(D2389&amp;C2389, Sheet3!$C$2:$C$1224&amp;Sheet3!$B$2:$B$1224, Sheet3!$D$2:$D$1224, "")</f>
        <v>msyuanda15@gmail.com</v>
      </c>
      <c r="G2389" s="1" t="str" cm="1">
        <f t="array" ref="G2389">_xlfn.XLOOKUP(D2389&amp;C2389, Sheet2!$A$2:$A$558&amp;Sheet2!$B$2:$B$558, Sheet2!$C$2:$C$558, "")</f>
        <v/>
      </c>
      <c r="H2389" s="40" t="str">
        <f t="shared" si="37"/>
        <v>msyuanda15@gmail.com</v>
      </c>
    </row>
    <row r="2390" spans="1:8" ht="15.5" x14ac:dyDescent="0.35">
      <c r="A2390" s="7">
        <v>2389</v>
      </c>
      <c r="B2390" s="25">
        <v>39665</v>
      </c>
      <c r="C2390" s="13" t="s">
        <v>2159</v>
      </c>
      <c r="D2390" s="25" t="s">
        <v>2848</v>
      </c>
      <c r="E2390" s="10">
        <v>2017</v>
      </c>
      <c r="F2390" s="36" t="str" cm="1">
        <f t="array" ref="F2390">_xlfn.XLOOKUP(D2390&amp;C2390, Sheet3!$C$2:$C$1224&amp;Sheet3!$B$2:$B$1224, Sheet3!$D$2:$D$1224, "")</f>
        <v>raudahhusna@gmail.com</v>
      </c>
      <c r="G2390" s="1" t="str" cm="1">
        <f t="array" ref="G2390">_xlfn.XLOOKUP(D2390&amp;C2390, Sheet2!$A$2:$A$558&amp;Sheet2!$B$2:$B$558, Sheet2!$C$2:$C$558, "")</f>
        <v/>
      </c>
      <c r="H2390" s="40" t="str">
        <f t="shared" si="37"/>
        <v>raudahhusna@gmail.com</v>
      </c>
    </row>
    <row r="2391" spans="1:8" ht="15.5" x14ac:dyDescent="0.35">
      <c r="A2391" s="7">
        <v>2390</v>
      </c>
      <c r="B2391" s="25">
        <v>39763</v>
      </c>
      <c r="C2391" s="13" t="s">
        <v>2160</v>
      </c>
      <c r="D2391" s="25" t="s">
        <v>2848</v>
      </c>
      <c r="E2391" s="10">
        <v>2017</v>
      </c>
      <c r="F2391" s="36" t="str" cm="1">
        <f t="array" ref="F2391">_xlfn.XLOOKUP(D2391&amp;C2391, Sheet3!$C$2:$C$1224&amp;Sheet3!$B$2:$B$1224, Sheet3!$D$2:$D$1224, "")</f>
        <v>Ikasafitrikurniast@gmail.com</v>
      </c>
      <c r="G2391" s="1" t="str" cm="1">
        <f t="array" ref="G2391">_xlfn.XLOOKUP(D2391&amp;C2391, Sheet2!$A$2:$A$558&amp;Sheet2!$B$2:$B$558, Sheet2!$C$2:$C$558, "")</f>
        <v/>
      </c>
      <c r="H2391" s="40" t="str">
        <f t="shared" si="37"/>
        <v>Ikasafitrikurniast@gmail.com</v>
      </c>
    </row>
    <row r="2392" spans="1:8" ht="15.5" x14ac:dyDescent="0.35">
      <c r="A2392" s="7">
        <v>2391</v>
      </c>
      <c r="B2392" s="25">
        <v>39135</v>
      </c>
      <c r="C2392" s="13" t="s">
        <v>2161</v>
      </c>
      <c r="D2392" s="25" t="s">
        <v>2848</v>
      </c>
      <c r="E2392" s="10">
        <v>2017</v>
      </c>
      <c r="F2392" s="36" t="str" cm="1">
        <f t="array" ref="F2392">_xlfn.XLOOKUP(D2392&amp;C2392, Sheet3!$C$2:$C$1224&amp;Sheet3!$B$2:$B$1224, Sheet3!$D$2:$D$1224, "")</f>
        <v>ajenghtw@gmail.com</v>
      </c>
      <c r="G2392" s="1" t="str" cm="1">
        <f t="array" ref="G2392">_xlfn.XLOOKUP(D2392&amp;C2392, Sheet2!$A$2:$A$558&amp;Sheet2!$B$2:$B$558, Sheet2!$C$2:$C$558, "")</f>
        <v/>
      </c>
      <c r="H2392" s="40" t="str">
        <f t="shared" si="37"/>
        <v>ajenghtw@gmail.com</v>
      </c>
    </row>
    <row r="2393" spans="1:8" ht="15.5" x14ac:dyDescent="0.35">
      <c r="A2393" s="7">
        <v>2392</v>
      </c>
      <c r="B2393" s="25">
        <v>36436</v>
      </c>
      <c r="C2393" s="13" t="s">
        <v>2162</v>
      </c>
      <c r="D2393" s="25" t="s">
        <v>2846</v>
      </c>
      <c r="E2393" s="10">
        <v>2017</v>
      </c>
      <c r="F2393" s="36" t="str" cm="1">
        <f t="array" ref="F2393">_xlfn.XLOOKUP(D2393&amp;C2393, Sheet3!$C$2:$C$1224&amp;Sheet3!$B$2:$B$1224, Sheet3!$D$2:$D$1224, "")</f>
        <v>vebrianka.eksternal@gmail.com</v>
      </c>
      <c r="G2393" s="1" t="str" cm="1">
        <f t="array" ref="G2393">_xlfn.XLOOKUP(D2393&amp;C2393, Sheet2!$A$2:$A$558&amp;Sheet2!$B$2:$B$558, Sheet2!$C$2:$C$558, "")</f>
        <v/>
      </c>
      <c r="H2393" s="40" t="str">
        <f t="shared" si="37"/>
        <v>vebrianka.eksternal@gmail.com</v>
      </c>
    </row>
    <row r="2394" spans="1:8" ht="15.5" x14ac:dyDescent="0.35">
      <c r="A2394" s="7">
        <v>2393</v>
      </c>
      <c r="B2394" s="17">
        <v>35132</v>
      </c>
      <c r="C2394" s="13" t="s">
        <v>2163</v>
      </c>
      <c r="D2394" s="17" t="s">
        <v>2845</v>
      </c>
      <c r="E2394" s="10">
        <v>2017</v>
      </c>
      <c r="F2394" s="36" t="str" cm="1">
        <f t="array" ref="F2394">_xlfn.XLOOKUP(D2394&amp;C2394, Sheet3!$C$2:$C$1224&amp;Sheet3!$B$2:$B$1224, Sheet3!$D$2:$D$1224, "")</f>
        <v/>
      </c>
      <c r="G2394" s="1" t="str" cm="1">
        <f t="array" ref="G2394">_xlfn.XLOOKUP(D2394&amp;C2394, Sheet2!$A$2:$A$558&amp;Sheet2!$B$2:$B$558, Sheet2!$C$2:$C$558, "")</f>
        <v/>
      </c>
      <c r="H2394" s="40" t="str">
        <f t="shared" si="37"/>
        <v/>
      </c>
    </row>
    <row r="2395" spans="1:8" ht="15.5" x14ac:dyDescent="0.35">
      <c r="A2395" s="7">
        <v>2394</v>
      </c>
      <c r="B2395" s="17">
        <v>39397</v>
      </c>
      <c r="C2395" s="13" t="s">
        <v>2164</v>
      </c>
      <c r="D2395" s="17" t="s">
        <v>2848</v>
      </c>
      <c r="E2395" s="10">
        <v>2017</v>
      </c>
      <c r="F2395" s="36" t="str" cm="1">
        <f t="array" ref="F2395">_xlfn.XLOOKUP(D2395&amp;C2395, Sheet3!$C$2:$C$1224&amp;Sheet3!$B$2:$B$1224, Sheet3!$D$2:$D$1224, "")</f>
        <v>evan.b.p.1993@gmail.com</v>
      </c>
      <c r="G2395" s="1" t="str" cm="1">
        <f t="array" ref="G2395">_xlfn.XLOOKUP(D2395&amp;C2395, Sheet2!$A$2:$A$558&amp;Sheet2!$B$2:$B$558, Sheet2!$C$2:$C$558, "")</f>
        <v/>
      </c>
      <c r="H2395" s="40" t="str">
        <f t="shared" si="37"/>
        <v>evan.b.p.1993@gmail.com</v>
      </c>
    </row>
    <row r="2396" spans="1:8" ht="15.5" x14ac:dyDescent="0.35">
      <c r="A2396" s="7">
        <v>2395</v>
      </c>
      <c r="B2396" s="17">
        <v>39357</v>
      </c>
      <c r="C2396" s="13" t="s">
        <v>2165</v>
      </c>
      <c r="D2396" s="17" t="s">
        <v>2848</v>
      </c>
      <c r="E2396" s="10">
        <v>2017</v>
      </c>
      <c r="F2396" s="36" t="str" cm="1">
        <f t="array" ref="F2396">_xlfn.XLOOKUP(D2396&amp;C2396, Sheet3!$C$2:$C$1224&amp;Sheet3!$B$2:$B$1224, Sheet3!$D$2:$D$1224, "")</f>
        <v/>
      </c>
      <c r="G2396" s="1" t="str" cm="1">
        <f t="array" ref="G2396">_xlfn.XLOOKUP(D2396&amp;C2396, Sheet2!$A$2:$A$558&amp;Sheet2!$B$2:$B$558, Sheet2!$C$2:$C$558, "")</f>
        <v/>
      </c>
      <c r="H2396" s="40" t="str">
        <f t="shared" si="37"/>
        <v/>
      </c>
    </row>
    <row r="2397" spans="1:8" ht="15.5" x14ac:dyDescent="0.35">
      <c r="A2397" s="7">
        <v>2396</v>
      </c>
      <c r="B2397" s="17">
        <v>39419</v>
      </c>
      <c r="C2397" s="13" t="s">
        <v>2166</v>
      </c>
      <c r="D2397" s="17" t="s">
        <v>2848</v>
      </c>
      <c r="E2397" s="10">
        <v>2017</v>
      </c>
      <c r="F2397" s="36" t="str" cm="1">
        <f t="array" ref="F2397">_xlfn.XLOOKUP(D2397&amp;C2397, Sheet3!$C$2:$C$1224&amp;Sheet3!$B$2:$B$1224, Sheet3!$D$2:$D$1224, "")</f>
        <v/>
      </c>
      <c r="G2397" s="1" t="str" cm="1">
        <f t="array" ref="G2397">_xlfn.XLOOKUP(D2397&amp;C2397, Sheet2!$A$2:$A$558&amp;Sheet2!$B$2:$B$558, Sheet2!$C$2:$C$558, "")</f>
        <v/>
      </c>
      <c r="H2397" s="40" t="str">
        <f t="shared" si="37"/>
        <v/>
      </c>
    </row>
    <row r="2398" spans="1:8" ht="15.5" x14ac:dyDescent="0.35">
      <c r="A2398" s="7">
        <v>2397</v>
      </c>
      <c r="B2398" s="17">
        <v>36633</v>
      </c>
      <c r="C2398" s="13" t="s">
        <v>2167</v>
      </c>
      <c r="D2398" s="17" t="s">
        <v>2846</v>
      </c>
      <c r="E2398" s="10">
        <v>2017</v>
      </c>
      <c r="F2398" s="36" t="str" cm="1">
        <f t="array" ref="F2398">_xlfn.XLOOKUP(D2398&amp;C2398, Sheet3!$C$2:$C$1224&amp;Sheet3!$B$2:$B$1224, Sheet3!$D$2:$D$1224, "")</f>
        <v/>
      </c>
      <c r="G2398" s="1" t="str" cm="1">
        <f t="array" ref="G2398">_xlfn.XLOOKUP(D2398&amp;C2398, Sheet2!$A$2:$A$558&amp;Sheet2!$B$2:$B$558, Sheet2!$C$2:$C$558, "")</f>
        <v/>
      </c>
      <c r="H2398" s="40" t="str">
        <f t="shared" si="37"/>
        <v/>
      </c>
    </row>
    <row r="2399" spans="1:8" ht="15.5" x14ac:dyDescent="0.35">
      <c r="A2399" s="7">
        <v>2398</v>
      </c>
      <c r="B2399" s="17">
        <v>35794</v>
      </c>
      <c r="C2399" s="13" t="s">
        <v>2168</v>
      </c>
      <c r="D2399" s="17" t="s">
        <v>2845</v>
      </c>
      <c r="E2399" s="10">
        <v>2017</v>
      </c>
      <c r="F2399" s="36" t="str" cm="1">
        <f t="array" ref="F2399">_xlfn.XLOOKUP(D2399&amp;C2399, Sheet3!$C$2:$C$1224&amp;Sheet3!$B$2:$B$1224, Sheet3!$D$2:$D$1224, "")</f>
        <v/>
      </c>
      <c r="G2399" s="1" t="str" cm="1">
        <f t="array" ref="G2399">_xlfn.XLOOKUP(D2399&amp;C2399, Sheet2!$A$2:$A$558&amp;Sheet2!$B$2:$B$558, Sheet2!$C$2:$C$558, "")</f>
        <v/>
      </c>
      <c r="H2399" s="40" t="str">
        <f t="shared" si="37"/>
        <v/>
      </c>
    </row>
    <row r="2400" spans="1:8" ht="15.5" x14ac:dyDescent="0.35">
      <c r="A2400" s="7">
        <v>2399</v>
      </c>
      <c r="B2400" s="17">
        <v>38202</v>
      </c>
      <c r="C2400" s="13" t="s">
        <v>2169</v>
      </c>
      <c r="D2400" s="17" t="s">
        <v>2847</v>
      </c>
      <c r="E2400" s="10">
        <v>2017</v>
      </c>
      <c r="F2400" s="36" t="str" cm="1">
        <f t="array" ref="F2400">_xlfn.XLOOKUP(D2400&amp;C2400, Sheet3!$C$2:$C$1224&amp;Sheet3!$B$2:$B$1224, Sheet3!$D$2:$D$1224, "")</f>
        <v/>
      </c>
      <c r="G2400" s="1" t="str" cm="1">
        <f t="array" ref="G2400">_xlfn.XLOOKUP(D2400&amp;C2400, Sheet2!$A$2:$A$558&amp;Sheet2!$B$2:$B$558, Sheet2!$C$2:$C$558, "")</f>
        <v/>
      </c>
      <c r="H2400" s="40" t="str">
        <f t="shared" si="37"/>
        <v/>
      </c>
    </row>
    <row r="2401" spans="1:8" ht="15.5" x14ac:dyDescent="0.35">
      <c r="A2401" s="7">
        <v>2400</v>
      </c>
      <c r="B2401" s="17">
        <v>37078</v>
      </c>
      <c r="C2401" s="13" t="s">
        <v>2170</v>
      </c>
      <c r="D2401" s="17" t="s">
        <v>2846</v>
      </c>
      <c r="E2401" s="10">
        <v>2017</v>
      </c>
      <c r="F2401" s="36" t="str" cm="1">
        <f t="array" ref="F2401">_xlfn.XLOOKUP(D2401&amp;C2401, Sheet3!$C$2:$C$1224&amp;Sheet3!$B$2:$B$1224, Sheet3!$D$2:$D$1224, "")</f>
        <v/>
      </c>
      <c r="G2401" s="1" t="str" cm="1">
        <f t="array" ref="G2401">_xlfn.XLOOKUP(D2401&amp;C2401, Sheet2!$A$2:$A$558&amp;Sheet2!$B$2:$B$558, Sheet2!$C$2:$C$558, "")</f>
        <v/>
      </c>
      <c r="H2401" s="40" t="str">
        <f t="shared" si="37"/>
        <v/>
      </c>
    </row>
    <row r="2402" spans="1:8" ht="15.5" x14ac:dyDescent="0.35">
      <c r="A2402" s="7">
        <v>2401</v>
      </c>
      <c r="B2402" s="17">
        <v>39459</v>
      </c>
      <c r="C2402" s="13" t="s">
        <v>2171</v>
      </c>
      <c r="D2402" s="17" t="s">
        <v>2848</v>
      </c>
      <c r="E2402" s="10">
        <v>2017</v>
      </c>
      <c r="F2402" s="36" t="str" cm="1">
        <f t="array" ref="F2402">_xlfn.XLOOKUP(D2402&amp;C2402, Sheet3!$C$2:$C$1224&amp;Sheet3!$B$2:$B$1224, Sheet3!$D$2:$D$1224, "")</f>
        <v/>
      </c>
      <c r="G2402" s="1" t="str" cm="1">
        <f t="array" ref="G2402">_xlfn.XLOOKUP(D2402&amp;C2402, Sheet2!$A$2:$A$558&amp;Sheet2!$B$2:$B$558, Sheet2!$C$2:$C$558, "")</f>
        <v/>
      </c>
      <c r="H2402" s="40" t="str">
        <f t="shared" si="37"/>
        <v/>
      </c>
    </row>
    <row r="2403" spans="1:8" ht="15.5" x14ac:dyDescent="0.35">
      <c r="A2403" s="7">
        <v>2402</v>
      </c>
      <c r="B2403" s="17">
        <v>39218</v>
      </c>
      <c r="C2403" s="13" t="s">
        <v>2172</v>
      </c>
      <c r="D2403" s="17" t="s">
        <v>2848</v>
      </c>
      <c r="E2403" s="10">
        <v>2017</v>
      </c>
      <c r="F2403" s="36" t="str" cm="1">
        <f t="array" ref="F2403">_xlfn.XLOOKUP(D2403&amp;C2403, Sheet3!$C$2:$C$1224&amp;Sheet3!$B$2:$B$1224, Sheet3!$D$2:$D$1224, "")</f>
        <v/>
      </c>
      <c r="G2403" s="1" t="str" cm="1">
        <f t="array" ref="G2403">_xlfn.XLOOKUP(D2403&amp;C2403, Sheet2!$A$2:$A$558&amp;Sheet2!$B$2:$B$558, Sheet2!$C$2:$C$558, "")</f>
        <v/>
      </c>
      <c r="H2403" s="40" t="str">
        <f t="shared" si="37"/>
        <v/>
      </c>
    </row>
    <row r="2404" spans="1:8" ht="15.5" x14ac:dyDescent="0.35">
      <c r="A2404" s="7">
        <v>2403</v>
      </c>
      <c r="B2404" s="17">
        <v>38254</v>
      </c>
      <c r="C2404" s="13" t="s">
        <v>2173</v>
      </c>
      <c r="D2404" s="17" t="s">
        <v>2847</v>
      </c>
      <c r="E2404" s="10">
        <v>2017</v>
      </c>
      <c r="F2404" s="36" t="str" cm="1">
        <f t="array" ref="F2404">_xlfn.XLOOKUP(D2404&amp;C2404, Sheet3!$C$2:$C$1224&amp;Sheet3!$B$2:$B$1224, Sheet3!$D$2:$D$1224, "")</f>
        <v/>
      </c>
      <c r="G2404" s="1" t="str" cm="1">
        <f t="array" ref="G2404">_xlfn.XLOOKUP(D2404&amp;C2404, Sheet2!$A$2:$A$558&amp;Sheet2!$B$2:$B$558, Sheet2!$C$2:$C$558, "")</f>
        <v/>
      </c>
      <c r="H2404" s="40" t="str">
        <f t="shared" si="37"/>
        <v/>
      </c>
    </row>
    <row r="2405" spans="1:8" ht="15.5" x14ac:dyDescent="0.35">
      <c r="A2405" s="7">
        <v>2404</v>
      </c>
      <c r="B2405" s="27">
        <v>40996</v>
      </c>
      <c r="C2405" s="13" t="s">
        <v>2174</v>
      </c>
      <c r="D2405" s="27" t="s">
        <v>2849</v>
      </c>
      <c r="E2405" s="10">
        <v>2017</v>
      </c>
      <c r="F2405" s="36" t="str" cm="1">
        <f t="array" ref="F2405">_xlfn.XLOOKUP(D2405&amp;C2405, Sheet3!$C$2:$C$1224&amp;Sheet3!$B$2:$B$1224, Sheet3!$D$2:$D$1224, "")</f>
        <v/>
      </c>
      <c r="G2405" s="1" t="str" cm="1">
        <f t="array" ref="G2405">_xlfn.XLOOKUP(D2405&amp;C2405, Sheet2!$A$2:$A$558&amp;Sheet2!$B$2:$B$558, Sheet2!$C$2:$C$558, "")</f>
        <v/>
      </c>
      <c r="H2405" s="40" t="str">
        <f t="shared" si="37"/>
        <v/>
      </c>
    </row>
    <row r="2406" spans="1:8" ht="15.5" x14ac:dyDescent="0.35">
      <c r="A2406" s="7">
        <v>2405</v>
      </c>
      <c r="B2406" s="27">
        <v>39885</v>
      </c>
      <c r="C2406" s="13" t="s">
        <v>2175</v>
      </c>
      <c r="D2406" s="27" t="s">
        <v>2848</v>
      </c>
      <c r="E2406" s="10">
        <v>2017</v>
      </c>
      <c r="F2406" s="36" t="str" cm="1">
        <f t="array" ref="F2406">_xlfn.XLOOKUP(D2406&amp;C2406, Sheet3!$C$2:$C$1224&amp;Sheet3!$B$2:$B$1224, Sheet3!$D$2:$D$1224, "")</f>
        <v/>
      </c>
      <c r="G2406" s="1" t="str" cm="1">
        <f t="array" ref="G2406">_xlfn.XLOOKUP(D2406&amp;C2406, Sheet2!$A$2:$A$558&amp;Sheet2!$B$2:$B$558, Sheet2!$C$2:$C$558, "")</f>
        <v/>
      </c>
      <c r="H2406" s="40" t="str">
        <f t="shared" si="37"/>
        <v/>
      </c>
    </row>
    <row r="2407" spans="1:8" ht="15.5" x14ac:dyDescent="0.35">
      <c r="A2407" s="7">
        <v>2406</v>
      </c>
      <c r="B2407" s="27">
        <v>37374</v>
      </c>
      <c r="C2407" s="13" t="s">
        <v>3065</v>
      </c>
      <c r="D2407" s="27" t="s">
        <v>2846</v>
      </c>
      <c r="E2407" s="10">
        <v>2017</v>
      </c>
      <c r="F2407" s="36" t="str" cm="1">
        <f t="array" ref="F2407">_xlfn.XLOOKUP(D2407&amp;C2407, Sheet3!$C$2:$C$1224&amp;Sheet3!$B$2:$B$1224, Sheet3!$D$2:$D$1224, "")</f>
        <v>laniahnoor@gmail.com</v>
      </c>
      <c r="G2407" s="1" t="str" cm="1">
        <f t="array" ref="G2407">_xlfn.XLOOKUP(D2407&amp;C2407, Sheet2!$A$2:$A$558&amp;Sheet2!$B$2:$B$558, Sheet2!$C$2:$C$558, "")</f>
        <v/>
      </c>
      <c r="H2407" s="40" t="str">
        <f t="shared" si="37"/>
        <v>laniahnoor@gmail.com</v>
      </c>
    </row>
    <row r="2408" spans="1:8" ht="15.5" x14ac:dyDescent="0.35">
      <c r="A2408" s="7">
        <v>2407</v>
      </c>
      <c r="B2408" s="27">
        <v>40010</v>
      </c>
      <c r="C2408" s="13" t="s">
        <v>3585</v>
      </c>
      <c r="D2408" s="27" t="s">
        <v>2848</v>
      </c>
      <c r="E2408" s="10">
        <v>2017</v>
      </c>
      <c r="F2408" s="36" t="str" cm="1">
        <f t="array" ref="F2408">_xlfn.XLOOKUP(D2408&amp;C2408, Sheet3!$C$2:$C$1224&amp;Sheet3!$B$2:$B$1224, Sheet3!$D$2:$D$1224, "")</f>
        <v>linggarmeisar@gmail.com</v>
      </c>
      <c r="G2408" s="1" t="str" cm="1">
        <f t="array" ref="G2408">_xlfn.XLOOKUP(D2408&amp;C2408, Sheet2!$A$2:$A$558&amp;Sheet2!$B$2:$B$558, Sheet2!$C$2:$C$558, "")</f>
        <v/>
      </c>
      <c r="H2408" s="40" t="str">
        <f t="shared" si="37"/>
        <v>linggarmeisar@gmail.com</v>
      </c>
    </row>
    <row r="2409" spans="1:8" ht="15.5" x14ac:dyDescent="0.35">
      <c r="A2409" s="7">
        <v>2408</v>
      </c>
      <c r="B2409" s="27">
        <v>40512</v>
      </c>
      <c r="C2409" s="13" t="s">
        <v>2176</v>
      </c>
      <c r="D2409" s="27" t="s">
        <v>2849</v>
      </c>
      <c r="E2409" s="10">
        <v>2017</v>
      </c>
      <c r="F2409" s="36" t="str" cm="1">
        <f t="array" ref="F2409">_xlfn.XLOOKUP(D2409&amp;C2409, Sheet3!$C$2:$C$1224&amp;Sheet3!$B$2:$B$1224, Sheet3!$D$2:$D$1224, "")</f>
        <v>putriazizah6795@gmail.com</v>
      </c>
      <c r="G2409" s="1" t="str" cm="1">
        <f t="array" ref="G2409">_xlfn.XLOOKUP(D2409&amp;C2409, Sheet2!$A$2:$A$558&amp;Sheet2!$B$2:$B$558, Sheet2!$C$2:$C$558, "")</f>
        <v/>
      </c>
      <c r="H2409" s="40" t="str">
        <f t="shared" si="37"/>
        <v>putriazizah6795@gmail.com</v>
      </c>
    </row>
    <row r="2410" spans="1:8" ht="15.5" x14ac:dyDescent="0.35">
      <c r="A2410" s="7">
        <v>2409</v>
      </c>
      <c r="B2410" s="27">
        <v>40240</v>
      </c>
      <c r="C2410" s="13" t="s">
        <v>2177</v>
      </c>
      <c r="D2410" s="27" t="s">
        <v>2848</v>
      </c>
      <c r="E2410" s="10">
        <v>2017</v>
      </c>
      <c r="F2410" s="36" t="str" cm="1">
        <f t="array" ref="F2410">_xlfn.XLOOKUP(D2410&amp;C2410, Sheet3!$C$2:$C$1224&amp;Sheet3!$B$2:$B$1224, Sheet3!$D$2:$D$1224, "")</f>
        <v/>
      </c>
      <c r="G2410" s="1" t="str" cm="1">
        <f t="array" ref="G2410">_xlfn.XLOOKUP(D2410&amp;C2410, Sheet2!$A$2:$A$558&amp;Sheet2!$B$2:$B$558, Sheet2!$C$2:$C$558, "")</f>
        <v/>
      </c>
      <c r="H2410" s="40" t="str">
        <f t="shared" si="37"/>
        <v/>
      </c>
    </row>
    <row r="2411" spans="1:8" ht="15.5" x14ac:dyDescent="0.35">
      <c r="A2411" s="7">
        <v>2410</v>
      </c>
      <c r="B2411" s="27">
        <v>41373</v>
      </c>
      <c r="C2411" s="13" t="s">
        <v>2178</v>
      </c>
      <c r="D2411" s="27" t="s">
        <v>2849</v>
      </c>
      <c r="E2411" s="10">
        <v>2017</v>
      </c>
      <c r="F2411" s="36" t="str" cm="1">
        <f t="array" ref="F2411">_xlfn.XLOOKUP(D2411&amp;C2411, Sheet3!$C$2:$C$1224&amp;Sheet3!$B$2:$B$1224, Sheet3!$D$2:$D$1224, "")</f>
        <v/>
      </c>
      <c r="G2411" s="1" t="str" cm="1">
        <f t="array" ref="G2411">_xlfn.XLOOKUP(D2411&amp;C2411, Sheet2!$A$2:$A$558&amp;Sheet2!$B$2:$B$558, Sheet2!$C$2:$C$558, "")</f>
        <v>auditawidya95@gmail.com</v>
      </c>
      <c r="H2411" s="40" t="str">
        <f t="shared" si="37"/>
        <v>auditawidya95@gmail.com</v>
      </c>
    </row>
    <row r="2412" spans="1:8" ht="15.5" x14ac:dyDescent="0.35">
      <c r="A2412" s="7">
        <v>2411</v>
      </c>
      <c r="B2412" s="27">
        <v>40993</v>
      </c>
      <c r="C2412" s="13" t="s">
        <v>2179</v>
      </c>
      <c r="D2412" s="27" t="s">
        <v>2849</v>
      </c>
      <c r="E2412" s="10">
        <v>2017</v>
      </c>
      <c r="F2412" s="36" t="str" cm="1">
        <f t="array" ref="F2412">_xlfn.XLOOKUP(D2412&amp;C2412, Sheet3!$C$2:$C$1224&amp;Sheet3!$B$2:$B$1224, Sheet3!$D$2:$D$1224, "")</f>
        <v>pujisetn@gmail.com</v>
      </c>
      <c r="G2412" s="1" t="str" cm="1">
        <f t="array" ref="G2412">_xlfn.XLOOKUP(D2412&amp;C2412, Sheet2!$A$2:$A$558&amp;Sheet2!$B$2:$B$558, Sheet2!$C$2:$C$558, "")</f>
        <v/>
      </c>
      <c r="H2412" s="40" t="str">
        <f t="shared" si="37"/>
        <v>pujisetn@gmail.com</v>
      </c>
    </row>
    <row r="2413" spans="1:8" ht="15.5" x14ac:dyDescent="0.35">
      <c r="A2413" s="7">
        <v>2412</v>
      </c>
      <c r="B2413" s="27">
        <v>39119</v>
      </c>
      <c r="C2413" s="13" t="s">
        <v>2180</v>
      </c>
      <c r="D2413" s="27" t="s">
        <v>2848</v>
      </c>
      <c r="E2413" s="10">
        <v>2017</v>
      </c>
      <c r="F2413" s="36" t="str" cm="1">
        <f t="array" ref="F2413">_xlfn.XLOOKUP(D2413&amp;C2413, Sheet3!$C$2:$C$1224&amp;Sheet3!$B$2:$B$1224, Sheet3!$D$2:$D$1224, "")</f>
        <v>buana.putra77@gmail.com</v>
      </c>
      <c r="G2413" s="1" t="str" cm="1">
        <f t="array" ref="G2413">_xlfn.XLOOKUP(D2413&amp;C2413, Sheet2!$A$2:$A$558&amp;Sheet2!$B$2:$B$558, Sheet2!$C$2:$C$558, "")</f>
        <v/>
      </c>
      <c r="H2413" s="40" t="str">
        <f t="shared" si="37"/>
        <v>buana.putra77@gmail.com</v>
      </c>
    </row>
    <row r="2414" spans="1:8" ht="15.5" x14ac:dyDescent="0.35">
      <c r="A2414" s="7">
        <v>2413</v>
      </c>
      <c r="B2414" s="27">
        <v>40766</v>
      </c>
      <c r="C2414" s="13" t="s">
        <v>2181</v>
      </c>
      <c r="D2414" s="27" t="s">
        <v>2849</v>
      </c>
      <c r="E2414" s="10">
        <v>2017</v>
      </c>
      <c r="F2414" s="36" t="str" cm="1">
        <f t="array" ref="F2414">_xlfn.XLOOKUP(D2414&amp;C2414, Sheet3!$C$2:$C$1224&amp;Sheet3!$B$2:$B$1224, Sheet3!$D$2:$D$1224, "")</f>
        <v/>
      </c>
      <c r="G2414" s="1" t="str" cm="1">
        <f t="array" ref="G2414">_xlfn.XLOOKUP(D2414&amp;C2414, Sheet2!$A$2:$A$558&amp;Sheet2!$B$2:$B$558, Sheet2!$C$2:$C$558, "")</f>
        <v/>
      </c>
      <c r="H2414" s="40" t="str">
        <f t="shared" si="37"/>
        <v/>
      </c>
    </row>
    <row r="2415" spans="1:8" ht="15.5" x14ac:dyDescent="0.35">
      <c r="A2415" s="7">
        <v>2414</v>
      </c>
      <c r="B2415" s="27">
        <v>40968</v>
      </c>
      <c r="C2415" s="13" t="s">
        <v>2182</v>
      </c>
      <c r="D2415" s="27" t="s">
        <v>2849</v>
      </c>
      <c r="E2415" s="10">
        <v>2017</v>
      </c>
      <c r="F2415" s="36" t="str" cm="1">
        <f t="array" ref="F2415">_xlfn.XLOOKUP(D2415&amp;C2415, Sheet3!$C$2:$C$1224&amp;Sheet3!$B$2:$B$1224, Sheet3!$D$2:$D$1224, "")</f>
        <v/>
      </c>
      <c r="G2415" s="1" t="str" cm="1">
        <f t="array" ref="G2415">_xlfn.XLOOKUP(D2415&amp;C2415, Sheet2!$A$2:$A$558&amp;Sheet2!$B$2:$B$558, Sheet2!$C$2:$C$558, "")</f>
        <v/>
      </c>
      <c r="H2415" s="40" t="str">
        <f t="shared" si="37"/>
        <v/>
      </c>
    </row>
    <row r="2416" spans="1:8" ht="15.5" x14ac:dyDescent="0.35">
      <c r="A2416" s="7">
        <v>2415</v>
      </c>
      <c r="B2416" s="27">
        <v>40741</v>
      </c>
      <c r="C2416" s="13" t="s">
        <v>2183</v>
      </c>
      <c r="D2416" s="27" t="s">
        <v>2849</v>
      </c>
      <c r="E2416" s="10">
        <v>2017</v>
      </c>
      <c r="F2416" s="36" t="str" cm="1">
        <f t="array" ref="F2416">_xlfn.XLOOKUP(D2416&amp;C2416, Sheet3!$C$2:$C$1224&amp;Sheet3!$B$2:$B$1224, Sheet3!$D$2:$D$1224, "")</f>
        <v/>
      </c>
      <c r="G2416" s="1" t="str" cm="1">
        <f t="array" ref="G2416">_xlfn.XLOOKUP(D2416&amp;C2416, Sheet2!$A$2:$A$558&amp;Sheet2!$B$2:$B$558, Sheet2!$C$2:$C$558, "")</f>
        <v/>
      </c>
      <c r="H2416" s="40" t="str">
        <f t="shared" si="37"/>
        <v/>
      </c>
    </row>
    <row r="2417" spans="1:8" ht="15.5" x14ac:dyDescent="0.35">
      <c r="A2417" s="7">
        <v>2416</v>
      </c>
      <c r="B2417" s="27">
        <v>41036</v>
      </c>
      <c r="C2417" s="13" t="s">
        <v>2184</v>
      </c>
      <c r="D2417" s="27" t="s">
        <v>2849</v>
      </c>
      <c r="E2417" s="10">
        <v>2017</v>
      </c>
      <c r="F2417" s="36" t="str" cm="1">
        <f t="array" ref="F2417">_xlfn.XLOOKUP(D2417&amp;C2417, Sheet3!$C$2:$C$1224&amp;Sheet3!$B$2:$B$1224, Sheet3!$D$2:$D$1224, "")</f>
        <v>musmukandar@gmail.com</v>
      </c>
      <c r="G2417" s="1" t="str" cm="1">
        <f t="array" ref="G2417">_xlfn.XLOOKUP(D2417&amp;C2417, Sheet2!$A$2:$A$558&amp;Sheet2!$B$2:$B$558, Sheet2!$C$2:$C$558, "")</f>
        <v/>
      </c>
      <c r="H2417" s="40" t="str">
        <f t="shared" si="37"/>
        <v>musmukandar@gmail.com</v>
      </c>
    </row>
    <row r="2418" spans="1:8" ht="15.5" x14ac:dyDescent="0.35">
      <c r="A2418" s="7">
        <v>2417</v>
      </c>
      <c r="B2418" s="27">
        <v>40726</v>
      </c>
      <c r="C2418" s="13" t="s">
        <v>2185</v>
      </c>
      <c r="D2418" s="27" t="s">
        <v>2849</v>
      </c>
      <c r="E2418" s="10">
        <v>2017</v>
      </c>
      <c r="F2418" s="36" t="str" cm="1">
        <f t="array" ref="F2418">_xlfn.XLOOKUP(D2418&amp;C2418, Sheet3!$C$2:$C$1224&amp;Sheet3!$B$2:$B$1224, Sheet3!$D$2:$D$1224, "")</f>
        <v/>
      </c>
      <c r="G2418" s="1" t="str" cm="1">
        <f t="array" ref="G2418">_xlfn.XLOOKUP(D2418&amp;C2418, Sheet2!$A$2:$A$558&amp;Sheet2!$B$2:$B$558, Sheet2!$C$2:$C$558, "")</f>
        <v/>
      </c>
      <c r="H2418" s="40" t="str">
        <f t="shared" si="37"/>
        <v/>
      </c>
    </row>
    <row r="2419" spans="1:8" ht="15.5" x14ac:dyDescent="0.35">
      <c r="A2419" s="7">
        <v>2418</v>
      </c>
      <c r="B2419" s="27">
        <v>41000</v>
      </c>
      <c r="C2419" s="13" t="s">
        <v>2186</v>
      </c>
      <c r="D2419" s="27" t="s">
        <v>2849</v>
      </c>
      <c r="E2419" s="10">
        <v>2017</v>
      </c>
      <c r="F2419" s="36" t="str" cm="1">
        <f t="array" ref="F2419">_xlfn.XLOOKUP(D2419&amp;C2419, Sheet3!$C$2:$C$1224&amp;Sheet3!$B$2:$B$1224, Sheet3!$D$2:$D$1224, "")</f>
        <v>andri.darmansyah11@gmail.com</v>
      </c>
      <c r="G2419" s="1" t="str" cm="1">
        <f t="array" ref="G2419">_xlfn.XLOOKUP(D2419&amp;C2419, Sheet2!$A$2:$A$558&amp;Sheet2!$B$2:$B$558, Sheet2!$C$2:$C$558, "")</f>
        <v>andri.darmansyah11@gmail.com</v>
      </c>
      <c r="H2419" s="40" t="str">
        <f t="shared" si="37"/>
        <v>andri.darmansyah11@gmail.com</v>
      </c>
    </row>
    <row r="2420" spans="1:8" ht="15.5" x14ac:dyDescent="0.35">
      <c r="A2420" s="7">
        <v>2419</v>
      </c>
      <c r="B2420" s="27">
        <v>40991</v>
      </c>
      <c r="C2420" s="13" t="s">
        <v>2187</v>
      </c>
      <c r="D2420" s="27" t="s">
        <v>2849</v>
      </c>
      <c r="E2420" s="10">
        <v>2017</v>
      </c>
      <c r="F2420" s="36" t="str" cm="1">
        <f t="array" ref="F2420">_xlfn.XLOOKUP(D2420&amp;C2420, Sheet3!$C$2:$C$1224&amp;Sheet3!$B$2:$B$1224, Sheet3!$D$2:$D$1224, "")</f>
        <v/>
      </c>
      <c r="G2420" s="1" t="str" cm="1">
        <f t="array" ref="G2420">_xlfn.XLOOKUP(D2420&amp;C2420, Sheet2!$A$2:$A$558&amp;Sheet2!$B$2:$B$558, Sheet2!$C$2:$C$558, "")</f>
        <v>tegarpualamsyuhada@gmail.com</v>
      </c>
      <c r="H2420" s="40" t="str">
        <f t="shared" si="37"/>
        <v>tegarpualamsyuhada@gmail.com</v>
      </c>
    </row>
    <row r="2421" spans="1:8" ht="15.5" x14ac:dyDescent="0.35">
      <c r="A2421" s="7">
        <v>2420</v>
      </c>
      <c r="B2421" s="27">
        <v>40721</v>
      </c>
      <c r="C2421" s="13" t="s">
        <v>2188</v>
      </c>
      <c r="D2421" s="27" t="s">
        <v>2849</v>
      </c>
      <c r="E2421" s="10">
        <v>2017</v>
      </c>
      <c r="F2421" s="36" t="str" cm="1">
        <f t="array" ref="F2421">_xlfn.XLOOKUP(D2421&amp;C2421, Sheet3!$C$2:$C$1224&amp;Sheet3!$B$2:$B$1224, Sheet3!$D$2:$D$1224, "")</f>
        <v/>
      </c>
      <c r="G2421" s="1" t="str" cm="1">
        <f t="array" ref="G2421">_xlfn.XLOOKUP(D2421&amp;C2421, Sheet2!$A$2:$A$558&amp;Sheet2!$B$2:$B$558, Sheet2!$C$2:$C$558, "")</f>
        <v>rachmat.hidayat13@mail.ugm.ac.id</v>
      </c>
      <c r="H2421" s="40" t="str">
        <f t="shared" si="37"/>
        <v>rachmat.hidayat13@mail.ugm.ac.id</v>
      </c>
    </row>
    <row r="2422" spans="1:8" ht="15.5" x14ac:dyDescent="0.35">
      <c r="A2422" s="7">
        <v>2421</v>
      </c>
      <c r="B2422" s="27">
        <v>40728</v>
      </c>
      <c r="C2422" s="13" t="s">
        <v>2189</v>
      </c>
      <c r="D2422" s="27" t="s">
        <v>2849</v>
      </c>
      <c r="E2422" s="10">
        <v>2017</v>
      </c>
      <c r="F2422" s="36" t="str" cm="1">
        <f t="array" ref="F2422">_xlfn.XLOOKUP(D2422&amp;C2422, Sheet3!$C$2:$C$1224&amp;Sheet3!$B$2:$B$1224, Sheet3!$D$2:$D$1224, "")</f>
        <v>akbardwik@gmail.com</v>
      </c>
      <c r="G2422" s="1" t="str" cm="1">
        <f t="array" ref="G2422">_xlfn.XLOOKUP(D2422&amp;C2422, Sheet2!$A$2:$A$558&amp;Sheet2!$B$2:$B$558, Sheet2!$C$2:$C$558, "")</f>
        <v>akbardwik@gmail.com</v>
      </c>
      <c r="H2422" s="40" t="str">
        <f t="shared" si="37"/>
        <v>akbardwik@gmail.com</v>
      </c>
    </row>
    <row r="2423" spans="1:8" ht="15.5" x14ac:dyDescent="0.35">
      <c r="A2423" s="7">
        <v>2422</v>
      </c>
      <c r="B2423" s="27">
        <v>38295</v>
      </c>
      <c r="C2423" s="13" t="s">
        <v>2190</v>
      </c>
      <c r="D2423" s="27" t="s">
        <v>2847</v>
      </c>
      <c r="E2423" s="10">
        <v>2017</v>
      </c>
      <c r="F2423" s="36" t="str" cm="1">
        <f t="array" ref="F2423">_xlfn.XLOOKUP(D2423&amp;C2423, Sheet3!$C$2:$C$1224&amp;Sheet3!$B$2:$B$1224, Sheet3!$D$2:$D$1224, "")</f>
        <v/>
      </c>
      <c r="G2423" s="1" t="str" cm="1">
        <f t="array" ref="G2423">_xlfn.XLOOKUP(D2423&amp;C2423, Sheet2!$A$2:$A$558&amp;Sheet2!$B$2:$B$558, Sheet2!$C$2:$C$558, "")</f>
        <v/>
      </c>
      <c r="H2423" s="40" t="str">
        <f t="shared" si="37"/>
        <v/>
      </c>
    </row>
    <row r="2424" spans="1:8" ht="15.5" x14ac:dyDescent="0.35">
      <c r="A2424" s="7">
        <v>2423</v>
      </c>
      <c r="B2424" s="27">
        <v>41030</v>
      </c>
      <c r="C2424" s="13" t="s">
        <v>2191</v>
      </c>
      <c r="D2424" s="27" t="s">
        <v>2849</v>
      </c>
      <c r="E2424" s="10">
        <v>2017</v>
      </c>
      <c r="F2424" s="36" t="str" cm="1">
        <f t="array" ref="F2424">_xlfn.XLOOKUP(D2424&amp;C2424, Sheet3!$C$2:$C$1224&amp;Sheet3!$B$2:$B$1224, Sheet3!$D$2:$D$1224, "")</f>
        <v/>
      </c>
      <c r="G2424" s="1" t="str" cm="1">
        <f t="array" ref="G2424">_xlfn.XLOOKUP(D2424&amp;C2424, Sheet2!$A$2:$A$558&amp;Sheet2!$B$2:$B$558, Sheet2!$C$2:$C$558, "")</f>
        <v/>
      </c>
      <c r="H2424" s="40" t="str">
        <f t="shared" si="37"/>
        <v/>
      </c>
    </row>
    <row r="2425" spans="1:8" ht="15.5" x14ac:dyDescent="0.35">
      <c r="A2425" s="7">
        <v>2424</v>
      </c>
      <c r="B2425" s="27">
        <v>40743</v>
      </c>
      <c r="C2425" s="13" t="s">
        <v>2192</v>
      </c>
      <c r="D2425" s="27" t="s">
        <v>2849</v>
      </c>
      <c r="E2425" s="10">
        <v>2017</v>
      </c>
      <c r="F2425" s="36" t="str" cm="1">
        <f t="array" ref="F2425">_xlfn.XLOOKUP(D2425&amp;C2425, Sheet3!$C$2:$C$1224&amp;Sheet3!$B$2:$B$1224, Sheet3!$D$2:$D$1224, "")</f>
        <v>ahmad.fitrian.a@mail.ugm.ac.id</v>
      </c>
      <c r="G2425" s="1" t="str" cm="1">
        <f t="array" ref="G2425">_xlfn.XLOOKUP(D2425&amp;C2425, Sheet2!$A$2:$A$558&amp;Sheet2!$B$2:$B$558, Sheet2!$C$2:$C$558, "")</f>
        <v/>
      </c>
      <c r="H2425" s="40" t="str">
        <f t="shared" si="37"/>
        <v>ahmad.fitrian.a@mail.ugm.ac.id</v>
      </c>
    </row>
    <row r="2426" spans="1:8" ht="15.5" x14ac:dyDescent="0.35">
      <c r="A2426" s="7">
        <v>2425</v>
      </c>
      <c r="B2426" s="27">
        <v>40748</v>
      </c>
      <c r="C2426" s="13" t="s">
        <v>2193</v>
      </c>
      <c r="D2426" s="27" t="s">
        <v>2849</v>
      </c>
      <c r="E2426" s="10">
        <v>2017</v>
      </c>
      <c r="F2426" s="36" t="str" cm="1">
        <f t="array" ref="F2426">_xlfn.XLOOKUP(D2426&amp;C2426, Sheet3!$C$2:$C$1224&amp;Sheet3!$B$2:$B$1224, Sheet3!$D$2:$D$1224, "")</f>
        <v/>
      </c>
      <c r="G2426" s="1" t="str" cm="1">
        <f t="array" ref="G2426">_xlfn.XLOOKUP(D2426&amp;C2426, Sheet2!$A$2:$A$558&amp;Sheet2!$B$2:$B$558, Sheet2!$C$2:$C$558, "")</f>
        <v/>
      </c>
      <c r="H2426" s="40" t="str">
        <f t="shared" si="37"/>
        <v/>
      </c>
    </row>
    <row r="2427" spans="1:8" ht="15.5" x14ac:dyDescent="0.35">
      <c r="A2427" s="7">
        <v>2426</v>
      </c>
      <c r="B2427" s="27">
        <v>41276</v>
      </c>
      <c r="C2427" s="13" t="s">
        <v>2194</v>
      </c>
      <c r="D2427" s="27" t="s">
        <v>2849</v>
      </c>
      <c r="E2427" s="10">
        <v>2017</v>
      </c>
      <c r="F2427" s="36" t="str" cm="1">
        <f t="array" ref="F2427">_xlfn.XLOOKUP(D2427&amp;C2427, Sheet3!$C$2:$C$1224&amp;Sheet3!$B$2:$B$1224, Sheet3!$D$2:$D$1224, "")</f>
        <v>Sardila.sailellah@dc.tohoku.ac.jp</v>
      </c>
      <c r="G2427" s="1" t="str" cm="1">
        <f t="array" ref="G2427">_xlfn.XLOOKUP(D2427&amp;C2427, Sheet2!$A$2:$A$558&amp;Sheet2!$B$2:$B$558, Sheet2!$C$2:$C$558, "")</f>
        <v/>
      </c>
      <c r="H2427" s="40" t="str">
        <f t="shared" si="37"/>
        <v>Sardila.sailellah@dc.tohoku.ac.jp</v>
      </c>
    </row>
    <row r="2428" spans="1:8" ht="15.5" x14ac:dyDescent="0.35">
      <c r="A2428" s="7">
        <v>2427</v>
      </c>
      <c r="B2428" s="27">
        <v>41361</v>
      </c>
      <c r="C2428" s="13" t="s">
        <v>2195</v>
      </c>
      <c r="D2428" s="27" t="s">
        <v>2849</v>
      </c>
      <c r="E2428" s="10">
        <v>2017</v>
      </c>
      <c r="F2428" s="36" t="str" cm="1">
        <f t="array" ref="F2428">_xlfn.XLOOKUP(D2428&amp;C2428, Sheet3!$C$2:$C$1224&amp;Sheet3!$B$2:$B$1224, Sheet3!$D$2:$D$1224, "")</f>
        <v>sherly.emalia@gmail.com</v>
      </c>
      <c r="G2428" s="1" t="str" cm="1">
        <f t="array" ref="G2428">_xlfn.XLOOKUP(D2428&amp;C2428, Sheet2!$A$2:$A$558&amp;Sheet2!$B$2:$B$558, Sheet2!$C$2:$C$558, "")</f>
        <v>sherly.emalia@gmail.com</v>
      </c>
      <c r="H2428" s="40" t="str">
        <f t="shared" si="37"/>
        <v>sherly.emalia@gmail.com</v>
      </c>
    </row>
    <row r="2429" spans="1:8" ht="15.5" x14ac:dyDescent="0.35">
      <c r="A2429" s="7">
        <v>2428</v>
      </c>
      <c r="B2429" s="27">
        <v>41362</v>
      </c>
      <c r="C2429" s="13" t="s">
        <v>2196</v>
      </c>
      <c r="D2429" s="27" t="s">
        <v>2849</v>
      </c>
      <c r="E2429" s="10">
        <v>2017</v>
      </c>
      <c r="F2429" s="36" t="str" cm="1">
        <f t="array" ref="F2429">_xlfn.XLOOKUP(D2429&amp;C2429, Sheet3!$C$2:$C$1224&amp;Sheet3!$B$2:$B$1224, Sheet3!$D$2:$D$1224, "")</f>
        <v/>
      </c>
      <c r="G2429" s="1" t="str" cm="1">
        <f t="array" ref="G2429">_xlfn.XLOOKUP(D2429&amp;C2429, Sheet2!$A$2:$A$558&amp;Sheet2!$B$2:$B$558, Sheet2!$C$2:$C$558, "")</f>
        <v/>
      </c>
      <c r="H2429" s="40" t="str">
        <f t="shared" si="37"/>
        <v/>
      </c>
    </row>
    <row r="2430" spans="1:8" ht="15.5" x14ac:dyDescent="0.35">
      <c r="A2430" s="7">
        <v>2429</v>
      </c>
      <c r="B2430" s="27">
        <v>40718</v>
      </c>
      <c r="C2430" s="13" t="s">
        <v>2197</v>
      </c>
      <c r="D2430" s="27" t="s">
        <v>2849</v>
      </c>
      <c r="E2430" s="10">
        <v>2017</v>
      </c>
      <c r="F2430" s="36" t="str" cm="1">
        <f t="array" ref="F2430">_xlfn.XLOOKUP(D2430&amp;C2430, Sheet3!$C$2:$C$1224&amp;Sheet3!$B$2:$B$1224, Sheet3!$D$2:$D$1224, "")</f>
        <v/>
      </c>
      <c r="G2430" s="1" t="str" cm="1">
        <f t="array" ref="G2430">_xlfn.XLOOKUP(D2430&amp;C2430, Sheet2!$A$2:$A$558&amp;Sheet2!$B$2:$B$558, Sheet2!$C$2:$C$558, "")</f>
        <v>hapsari.rahmahdevi@gmail.com</v>
      </c>
      <c r="H2430" s="40" t="str">
        <f t="shared" si="37"/>
        <v>hapsari.rahmahdevi@gmail.com</v>
      </c>
    </row>
    <row r="2431" spans="1:8" ht="15.5" x14ac:dyDescent="0.35">
      <c r="A2431" s="7">
        <v>2430</v>
      </c>
      <c r="B2431" s="27">
        <v>41311</v>
      </c>
      <c r="C2431" s="13" t="s">
        <v>2198</v>
      </c>
      <c r="D2431" s="27" t="s">
        <v>2849</v>
      </c>
      <c r="E2431" s="10">
        <v>2017</v>
      </c>
      <c r="F2431" s="36" t="str" cm="1">
        <f t="array" ref="F2431">_xlfn.XLOOKUP(D2431&amp;C2431, Sheet3!$C$2:$C$1224&amp;Sheet3!$B$2:$B$1224, Sheet3!$D$2:$D$1224, "")</f>
        <v/>
      </c>
      <c r="G2431" s="1" t="str" cm="1">
        <f t="array" ref="G2431">_xlfn.XLOOKUP(D2431&amp;C2431, Sheet2!$A$2:$A$558&amp;Sheet2!$B$2:$B$558, Sheet2!$C$2:$C$558, "")</f>
        <v>ekaekap13@gmail.com</v>
      </c>
      <c r="H2431" s="40" t="str">
        <f t="shared" si="37"/>
        <v>ekaekap13@gmail.com</v>
      </c>
    </row>
    <row r="2432" spans="1:8" ht="15.5" x14ac:dyDescent="0.35">
      <c r="A2432" s="7">
        <v>2431</v>
      </c>
      <c r="B2432" s="27">
        <v>40742</v>
      </c>
      <c r="C2432" s="13" t="s">
        <v>2199</v>
      </c>
      <c r="D2432" s="27" t="s">
        <v>2849</v>
      </c>
      <c r="E2432" s="10">
        <v>2017</v>
      </c>
      <c r="F2432" s="36" t="str" cm="1">
        <f t="array" ref="F2432">_xlfn.XLOOKUP(D2432&amp;C2432, Sheet3!$C$2:$C$1224&amp;Sheet3!$B$2:$B$1224, Sheet3!$D$2:$D$1224, "")</f>
        <v>rachmadhiya.salsabila@mail.ugm.ac.id</v>
      </c>
      <c r="G2432" s="1" t="str" cm="1">
        <f t="array" ref="G2432">_xlfn.XLOOKUP(D2432&amp;C2432, Sheet2!$A$2:$A$558&amp;Sheet2!$B$2:$B$558, Sheet2!$C$2:$C$558, "")</f>
        <v/>
      </c>
      <c r="H2432" s="40" t="str">
        <f t="shared" si="37"/>
        <v>rachmadhiya.salsabila@mail.ugm.ac.id</v>
      </c>
    </row>
    <row r="2433" spans="1:8" ht="15.5" x14ac:dyDescent="0.35">
      <c r="A2433" s="7">
        <v>2432</v>
      </c>
      <c r="B2433" s="27">
        <v>41004</v>
      </c>
      <c r="C2433" s="13" t="s">
        <v>2200</v>
      </c>
      <c r="D2433" s="27" t="s">
        <v>2849</v>
      </c>
      <c r="E2433" s="10">
        <v>2017</v>
      </c>
      <c r="F2433" s="36" t="str" cm="1">
        <f t="array" ref="F2433">_xlfn.XLOOKUP(D2433&amp;C2433, Sheet3!$C$2:$C$1224&amp;Sheet3!$B$2:$B$1224, Sheet3!$D$2:$D$1224, "")</f>
        <v/>
      </c>
      <c r="G2433" s="1" t="str" cm="1">
        <f t="array" ref="G2433">_xlfn.XLOOKUP(D2433&amp;C2433, Sheet2!$A$2:$A$558&amp;Sheet2!$B$2:$B$558, Sheet2!$C$2:$C$558, "")</f>
        <v>buyung.wahyu@waskita.co.id</v>
      </c>
      <c r="H2433" s="40" t="str">
        <f t="shared" si="37"/>
        <v>buyung.wahyu@waskita.co.id</v>
      </c>
    </row>
    <row r="2434" spans="1:8" ht="15.5" x14ac:dyDescent="0.35">
      <c r="A2434" s="7">
        <v>2433</v>
      </c>
      <c r="B2434" s="27">
        <v>41005</v>
      </c>
      <c r="C2434" s="13" t="s">
        <v>2201</v>
      </c>
      <c r="D2434" s="27" t="s">
        <v>2849</v>
      </c>
      <c r="E2434" s="10">
        <v>2017</v>
      </c>
      <c r="F2434" s="36" t="str" cm="1">
        <f t="array" ref="F2434">_xlfn.XLOOKUP(D2434&amp;C2434, Sheet3!$C$2:$C$1224&amp;Sheet3!$B$2:$B$1224, Sheet3!$D$2:$D$1224, "")</f>
        <v/>
      </c>
      <c r="G2434" s="1" t="str" cm="1">
        <f t="array" ref="G2434">_xlfn.XLOOKUP(D2434&amp;C2434, Sheet2!$A$2:$A$558&amp;Sheet2!$B$2:$B$558, Sheet2!$C$2:$C$558, "")</f>
        <v>ellanovalinda@gmail.com</v>
      </c>
      <c r="H2434" s="40" t="str">
        <f t="shared" si="37"/>
        <v>ellanovalinda@gmail.com</v>
      </c>
    </row>
    <row r="2435" spans="1:8" ht="15.5" x14ac:dyDescent="0.35">
      <c r="A2435" s="7">
        <v>2434</v>
      </c>
      <c r="B2435" s="27">
        <v>40725</v>
      </c>
      <c r="C2435" s="13" t="s">
        <v>2202</v>
      </c>
      <c r="D2435" s="27" t="s">
        <v>2849</v>
      </c>
      <c r="E2435" s="10">
        <v>2017</v>
      </c>
      <c r="F2435" s="36" t="str" cm="1">
        <f t="array" ref="F2435">_xlfn.XLOOKUP(D2435&amp;C2435, Sheet3!$C$2:$C$1224&amp;Sheet3!$B$2:$B$1224, Sheet3!$D$2:$D$1224, "")</f>
        <v/>
      </c>
      <c r="G2435" s="1" t="str" cm="1">
        <f t="array" ref="G2435">_xlfn.XLOOKUP(D2435&amp;C2435, Sheet2!$A$2:$A$558&amp;Sheet2!$B$2:$B$558, Sheet2!$C$2:$C$558, "")</f>
        <v/>
      </c>
      <c r="H2435" s="40" t="str">
        <f t="shared" ref="H2435:H2498" si="38">IF(F2435&lt;&gt;"",F2435,G2435)</f>
        <v/>
      </c>
    </row>
    <row r="2436" spans="1:8" ht="15.5" x14ac:dyDescent="0.35">
      <c r="A2436" s="7">
        <v>2435</v>
      </c>
      <c r="B2436" s="27">
        <v>41375</v>
      </c>
      <c r="C2436" s="13" t="s">
        <v>2203</v>
      </c>
      <c r="D2436" s="27" t="s">
        <v>2849</v>
      </c>
      <c r="E2436" s="10">
        <v>2017</v>
      </c>
      <c r="F2436" s="36" t="str" cm="1">
        <f t="array" ref="F2436">_xlfn.XLOOKUP(D2436&amp;C2436, Sheet3!$C$2:$C$1224&amp;Sheet3!$B$2:$B$1224, Sheet3!$D$2:$D$1224, "")</f>
        <v/>
      </c>
      <c r="G2436" s="1" t="str" cm="1">
        <f t="array" ref="G2436">_xlfn.XLOOKUP(D2436&amp;C2436, Sheet2!$A$2:$A$558&amp;Sheet2!$B$2:$B$558, Sheet2!$C$2:$C$558, "")</f>
        <v>nlarassita95@gmail.com</v>
      </c>
      <c r="H2436" s="40" t="str">
        <f t="shared" si="38"/>
        <v>nlarassita95@gmail.com</v>
      </c>
    </row>
    <row r="2437" spans="1:8" ht="15.5" x14ac:dyDescent="0.35">
      <c r="A2437" s="7">
        <v>2436</v>
      </c>
      <c r="B2437" s="27">
        <v>40744</v>
      </c>
      <c r="C2437" s="13" t="s">
        <v>2204</v>
      </c>
      <c r="D2437" s="27" t="s">
        <v>2849</v>
      </c>
      <c r="E2437" s="10">
        <v>2017</v>
      </c>
      <c r="F2437" s="36" t="str" cm="1">
        <f t="array" ref="F2437">_xlfn.XLOOKUP(D2437&amp;C2437, Sheet3!$C$2:$C$1224&amp;Sheet3!$B$2:$B$1224, Sheet3!$D$2:$D$1224, "")</f>
        <v/>
      </c>
      <c r="G2437" s="1" t="str" cm="1">
        <f t="array" ref="G2437">_xlfn.XLOOKUP(D2437&amp;C2437, Sheet2!$A$2:$A$558&amp;Sheet2!$B$2:$B$558, Sheet2!$C$2:$C$558, "")</f>
        <v/>
      </c>
      <c r="H2437" s="40" t="str">
        <f t="shared" si="38"/>
        <v/>
      </c>
    </row>
    <row r="2438" spans="1:8" ht="15.5" x14ac:dyDescent="0.35">
      <c r="A2438" s="7">
        <v>2437</v>
      </c>
      <c r="B2438" s="27">
        <v>40739</v>
      </c>
      <c r="C2438" s="13" t="s">
        <v>2205</v>
      </c>
      <c r="D2438" s="27" t="s">
        <v>2849</v>
      </c>
      <c r="E2438" s="10">
        <v>2017</v>
      </c>
      <c r="F2438" s="36" t="str" cm="1">
        <f t="array" ref="F2438">_xlfn.XLOOKUP(D2438&amp;C2438, Sheet3!$C$2:$C$1224&amp;Sheet3!$B$2:$B$1224, Sheet3!$D$2:$D$1224, "")</f>
        <v>santiz.irghan@gmail.com</v>
      </c>
      <c r="G2438" s="1" t="str" cm="1">
        <f t="array" ref="G2438">_xlfn.XLOOKUP(D2438&amp;C2438, Sheet2!$A$2:$A$558&amp;Sheet2!$B$2:$B$558, Sheet2!$C$2:$C$558, "")</f>
        <v>santiz.irghan@gmail.com</v>
      </c>
      <c r="H2438" s="40" t="str">
        <f t="shared" si="38"/>
        <v>santiz.irghan@gmail.com</v>
      </c>
    </row>
    <row r="2439" spans="1:8" ht="15.5" x14ac:dyDescent="0.35">
      <c r="A2439" s="7">
        <v>2438</v>
      </c>
      <c r="B2439" s="27">
        <v>41358</v>
      </c>
      <c r="C2439" s="13" t="s">
        <v>2206</v>
      </c>
      <c r="D2439" s="27" t="s">
        <v>2849</v>
      </c>
      <c r="E2439" s="10">
        <v>2017</v>
      </c>
      <c r="F2439" s="36" t="str" cm="1">
        <f t="array" ref="F2439">_xlfn.XLOOKUP(D2439&amp;C2439, Sheet3!$C$2:$C$1224&amp;Sheet3!$B$2:$B$1224, Sheet3!$D$2:$D$1224, "")</f>
        <v>saragiandes@gmail.com</v>
      </c>
      <c r="G2439" s="1" t="str" cm="1">
        <f t="array" ref="G2439">_xlfn.XLOOKUP(D2439&amp;C2439, Sheet2!$A$2:$A$558&amp;Sheet2!$B$2:$B$558, Sheet2!$C$2:$C$558, "")</f>
        <v>saragiandes@gmail.com</v>
      </c>
      <c r="H2439" s="40" t="str">
        <f t="shared" si="38"/>
        <v>saragiandes@gmail.com</v>
      </c>
    </row>
    <row r="2440" spans="1:8" ht="15.5" x14ac:dyDescent="0.35">
      <c r="A2440" s="7">
        <v>2439</v>
      </c>
      <c r="B2440" s="27">
        <v>40722</v>
      </c>
      <c r="C2440" s="13" t="s">
        <v>2207</v>
      </c>
      <c r="D2440" s="27" t="s">
        <v>2849</v>
      </c>
      <c r="E2440" s="10">
        <v>2017</v>
      </c>
      <c r="F2440" s="36" t="str" cm="1">
        <f t="array" ref="F2440">_xlfn.XLOOKUP(D2440&amp;C2440, Sheet3!$C$2:$C$1224&amp;Sheet3!$B$2:$B$1224, Sheet3!$D$2:$D$1224, "")</f>
        <v>febrianfsusanta@gmail.com</v>
      </c>
      <c r="G2440" s="1" t="str" cm="1">
        <f t="array" ref="G2440">_xlfn.XLOOKUP(D2440&amp;C2440, Sheet2!$A$2:$A$558&amp;Sheet2!$B$2:$B$558, Sheet2!$C$2:$C$558, "")</f>
        <v>febrian.fitryanik.s@ugm.ac.id</v>
      </c>
      <c r="H2440" s="40" t="str">
        <f t="shared" si="38"/>
        <v>febrianfsusanta@gmail.com</v>
      </c>
    </row>
    <row r="2441" spans="1:8" ht="15.5" x14ac:dyDescent="0.35">
      <c r="A2441" s="7">
        <v>2440</v>
      </c>
      <c r="B2441" s="27">
        <v>40732</v>
      </c>
      <c r="C2441" s="13" t="s">
        <v>2208</v>
      </c>
      <c r="D2441" s="27" t="s">
        <v>2849</v>
      </c>
      <c r="E2441" s="10">
        <v>2017</v>
      </c>
      <c r="F2441" s="36" t="str" cm="1">
        <f t="array" ref="F2441">_xlfn.XLOOKUP(D2441&amp;C2441, Sheet3!$C$2:$C$1224&amp;Sheet3!$B$2:$B$1224, Sheet3!$D$2:$D$1224, "")</f>
        <v>Kukuhpramana@gmail.com</v>
      </c>
      <c r="G2441" s="1" t="str" cm="1">
        <f t="array" ref="G2441">_xlfn.XLOOKUP(D2441&amp;C2441, Sheet2!$A$2:$A$558&amp;Sheet2!$B$2:$B$558, Sheet2!$C$2:$C$558, "")</f>
        <v/>
      </c>
      <c r="H2441" s="40" t="str">
        <f t="shared" si="38"/>
        <v>Kukuhpramana@gmail.com</v>
      </c>
    </row>
    <row r="2442" spans="1:8" ht="15.5" x14ac:dyDescent="0.35">
      <c r="A2442" s="7">
        <v>2441</v>
      </c>
      <c r="B2442" s="27">
        <v>41023</v>
      </c>
      <c r="C2442" s="13" t="s">
        <v>2209</v>
      </c>
      <c r="D2442" s="27" t="s">
        <v>2849</v>
      </c>
      <c r="E2442" s="10">
        <v>2017</v>
      </c>
      <c r="F2442" s="36" t="str" cm="1">
        <f t="array" ref="F2442">_xlfn.XLOOKUP(D2442&amp;C2442, Sheet3!$C$2:$C$1224&amp;Sheet3!$B$2:$B$1224, Sheet3!$D$2:$D$1224, "")</f>
        <v/>
      </c>
      <c r="G2442" s="1" t="str" cm="1">
        <f t="array" ref="G2442">_xlfn.XLOOKUP(D2442&amp;C2442, Sheet2!$A$2:$A$558&amp;Sheet2!$B$2:$B$558, Sheet2!$C$2:$C$558, "")</f>
        <v/>
      </c>
      <c r="H2442" s="40" t="str">
        <f t="shared" si="38"/>
        <v/>
      </c>
    </row>
    <row r="2443" spans="1:8" ht="15.5" x14ac:dyDescent="0.35">
      <c r="A2443" s="7">
        <v>2442</v>
      </c>
      <c r="B2443" s="27">
        <v>41359</v>
      </c>
      <c r="C2443" s="13" t="s">
        <v>2210</v>
      </c>
      <c r="D2443" s="27" t="s">
        <v>2849</v>
      </c>
      <c r="E2443" s="10">
        <v>2017</v>
      </c>
      <c r="F2443" s="36" t="str" cm="1">
        <f t="array" ref="F2443">_xlfn.XLOOKUP(D2443&amp;C2443, Sheet3!$C$2:$C$1224&amp;Sheet3!$B$2:$B$1224, Sheet3!$D$2:$D$1224, "")</f>
        <v/>
      </c>
      <c r="G2443" s="1" t="str" cm="1">
        <f t="array" ref="G2443">_xlfn.XLOOKUP(D2443&amp;C2443, Sheet2!$A$2:$A$558&amp;Sheet2!$B$2:$B$558, Sheet2!$C$2:$C$558, "")</f>
        <v/>
      </c>
      <c r="H2443" s="40" t="str">
        <f t="shared" si="38"/>
        <v/>
      </c>
    </row>
    <row r="2444" spans="1:8" ht="15.5" x14ac:dyDescent="0.35">
      <c r="A2444" s="7">
        <v>2443</v>
      </c>
      <c r="B2444" s="27">
        <v>40735</v>
      </c>
      <c r="C2444" s="13" t="s">
        <v>2211</v>
      </c>
      <c r="D2444" s="27" t="s">
        <v>2849</v>
      </c>
      <c r="E2444" s="10">
        <v>2017</v>
      </c>
      <c r="F2444" s="36" t="str" cm="1">
        <f t="array" ref="F2444">_xlfn.XLOOKUP(D2444&amp;C2444, Sheet3!$C$2:$C$1224&amp;Sheet3!$B$2:$B$1224, Sheet3!$D$2:$D$1224, "")</f>
        <v/>
      </c>
      <c r="G2444" s="1" t="str" cm="1">
        <f t="array" ref="G2444">_xlfn.XLOOKUP(D2444&amp;C2444, Sheet2!$A$2:$A$558&amp;Sheet2!$B$2:$B$558, Sheet2!$C$2:$C$558, "")</f>
        <v>fanihabibah@gmail.com</v>
      </c>
      <c r="H2444" s="40" t="str">
        <f t="shared" si="38"/>
        <v>fanihabibah@gmail.com</v>
      </c>
    </row>
    <row r="2445" spans="1:8" ht="15.5" x14ac:dyDescent="0.35">
      <c r="A2445" s="7">
        <v>2444</v>
      </c>
      <c r="B2445" s="27">
        <v>40752</v>
      </c>
      <c r="C2445" s="13" t="s">
        <v>2212</v>
      </c>
      <c r="D2445" s="27" t="s">
        <v>2849</v>
      </c>
      <c r="E2445" s="10">
        <v>2017</v>
      </c>
      <c r="F2445" s="36" t="str" cm="1">
        <f t="array" ref="F2445">_xlfn.XLOOKUP(D2445&amp;C2445, Sheet3!$C$2:$C$1224&amp;Sheet3!$B$2:$B$1224, Sheet3!$D$2:$D$1224, "")</f>
        <v>Ramadhani.Syakuro@gmail.com</v>
      </c>
      <c r="G2445" s="1" t="str" cm="1">
        <f t="array" ref="G2445">_xlfn.XLOOKUP(D2445&amp;C2445, Sheet2!$A$2:$A$558&amp;Sheet2!$B$2:$B$558, Sheet2!$C$2:$C$558, "")</f>
        <v>RamadhaniAbdan22@gmail.com</v>
      </c>
      <c r="H2445" s="40" t="str">
        <f t="shared" si="38"/>
        <v>Ramadhani.Syakuro@gmail.com</v>
      </c>
    </row>
    <row r="2446" spans="1:8" ht="15.5" x14ac:dyDescent="0.35">
      <c r="A2446" s="7">
        <v>2445</v>
      </c>
      <c r="B2446" s="27">
        <v>40754</v>
      </c>
      <c r="C2446" s="13" t="s">
        <v>2213</v>
      </c>
      <c r="D2446" s="27" t="s">
        <v>2849</v>
      </c>
      <c r="E2446" s="10">
        <v>2017</v>
      </c>
      <c r="F2446" s="36" t="str" cm="1">
        <f t="array" ref="F2446">_xlfn.XLOOKUP(D2446&amp;C2446, Sheet3!$C$2:$C$1224&amp;Sheet3!$B$2:$B$1224, Sheet3!$D$2:$D$1224, "")</f>
        <v/>
      </c>
      <c r="G2446" s="1" t="str" cm="1">
        <f t="array" ref="G2446">_xlfn.XLOOKUP(D2446&amp;C2446, Sheet2!$A$2:$A$558&amp;Sheet2!$B$2:$B$558, Sheet2!$C$2:$C$558, "")</f>
        <v/>
      </c>
      <c r="H2446" s="40" t="str">
        <f t="shared" si="38"/>
        <v/>
      </c>
    </row>
    <row r="2447" spans="1:8" ht="15.5" x14ac:dyDescent="0.35">
      <c r="A2447" s="7">
        <v>2446</v>
      </c>
      <c r="B2447" s="27">
        <v>39299</v>
      </c>
      <c r="C2447" s="13" t="s">
        <v>2214</v>
      </c>
      <c r="D2447" s="27" t="s">
        <v>2848</v>
      </c>
      <c r="E2447" s="10">
        <v>2017</v>
      </c>
      <c r="F2447" s="36" t="str" cm="1">
        <f t="array" ref="F2447">_xlfn.XLOOKUP(D2447&amp;C2447, Sheet3!$C$2:$C$1224&amp;Sheet3!$B$2:$B$1224, Sheet3!$D$2:$D$1224, "")</f>
        <v>nurikhsan.x@gmail.com</v>
      </c>
      <c r="G2447" s="1" t="str" cm="1">
        <f t="array" ref="G2447">_xlfn.XLOOKUP(D2447&amp;C2447, Sheet2!$A$2:$A$558&amp;Sheet2!$B$2:$B$558, Sheet2!$C$2:$C$558, "")</f>
        <v/>
      </c>
      <c r="H2447" s="40" t="str">
        <f t="shared" si="38"/>
        <v>nurikhsan.x@gmail.com</v>
      </c>
    </row>
    <row r="2448" spans="1:8" ht="15.5" x14ac:dyDescent="0.35">
      <c r="A2448" s="7">
        <v>2447</v>
      </c>
      <c r="B2448" s="27">
        <v>40761</v>
      </c>
      <c r="C2448" s="13" t="s">
        <v>2215</v>
      </c>
      <c r="D2448" s="27" t="s">
        <v>2849</v>
      </c>
      <c r="E2448" s="10">
        <v>2017</v>
      </c>
      <c r="F2448" s="36" t="str" cm="1">
        <f t="array" ref="F2448">_xlfn.XLOOKUP(D2448&amp;C2448, Sheet3!$C$2:$C$1224&amp;Sheet3!$B$2:$B$1224, Sheet3!$D$2:$D$1224, "")</f>
        <v/>
      </c>
      <c r="G2448" s="1" t="str" cm="1">
        <f t="array" ref="G2448">_xlfn.XLOOKUP(D2448&amp;C2448, Sheet2!$A$2:$A$558&amp;Sheet2!$B$2:$B$558, Sheet2!$C$2:$C$558, "")</f>
        <v/>
      </c>
      <c r="H2448" s="40" t="str">
        <f t="shared" si="38"/>
        <v/>
      </c>
    </row>
    <row r="2449" spans="1:8" ht="15.5" x14ac:dyDescent="0.35">
      <c r="A2449" s="7">
        <v>2448</v>
      </c>
      <c r="B2449" s="27">
        <v>41015</v>
      </c>
      <c r="C2449" s="13" t="s">
        <v>2216</v>
      </c>
      <c r="D2449" s="27" t="s">
        <v>2849</v>
      </c>
      <c r="E2449" s="10">
        <v>2017</v>
      </c>
      <c r="F2449" s="36" t="str" cm="1">
        <f t="array" ref="F2449">_xlfn.XLOOKUP(D2449&amp;C2449, Sheet3!$C$2:$C$1224&amp;Sheet3!$B$2:$B$1224, Sheet3!$D$2:$D$1224, "")</f>
        <v/>
      </c>
      <c r="G2449" s="1" t="str" cm="1">
        <f t="array" ref="G2449">_xlfn.XLOOKUP(D2449&amp;C2449, Sheet2!$A$2:$A$558&amp;Sheet2!$B$2:$B$558, Sheet2!$C$2:$C$558, "")</f>
        <v/>
      </c>
      <c r="H2449" s="40" t="str">
        <f t="shared" si="38"/>
        <v/>
      </c>
    </row>
    <row r="2450" spans="1:8" ht="15.5" x14ac:dyDescent="0.35">
      <c r="A2450" s="7">
        <v>2449</v>
      </c>
      <c r="B2450" s="27">
        <v>37264</v>
      </c>
      <c r="C2450" s="13" t="s">
        <v>2217</v>
      </c>
      <c r="D2450" s="27" t="s">
        <v>2846</v>
      </c>
      <c r="E2450" s="10">
        <v>2017</v>
      </c>
      <c r="F2450" s="36" t="str" cm="1">
        <f t="array" ref="F2450">_xlfn.XLOOKUP(D2450&amp;C2450, Sheet3!$C$2:$C$1224&amp;Sheet3!$B$2:$B$1224, Sheet3!$D$2:$D$1224, "")</f>
        <v/>
      </c>
      <c r="G2450" s="1" t="str" cm="1">
        <f t="array" ref="G2450">_xlfn.XLOOKUP(D2450&amp;C2450, Sheet2!$A$2:$A$558&amp;Sheet2!$B$2:$B$558, Sheet2!$C$2:$C$558, "")</f>
        <v/>
      </c>
      <c r="H2450" s="40" t="str">
        <f t="shared" si="38"/>
        <v/>
      </c>
    </row>
    <row r="2451" spans="1:8" ht="15.5" x14ac:dyDescent="0.35">
      <c r="A2451" s="7">
        <v>2450</v>
      </c>
      <c r="B2451" s="27">
        <v>41037</v>
      </c>
      <c r="C2451" s="13" t="s">
        <v>2218</v>
      </c>
      <c r="D2451" s="27" t="s">
        <v>2849</v>
      </c>
      <c r="E2451" s="10">
        <v>2017</v>
      </c>
      <c r="F2451" s="36" t="str" cm="1">
        <f t="array" ref="F2451">_xlfn.XLOOKUP(D2451&amp;C2451, Sheet3!$C$2:$C$1224&amp;Sheet3!$B$2:$B$1224, Sheet3!$D$2:$D$1224, "")</f>
        <v/>
      </c>
      <c r="G2451" s="1" t="str" cm="1">
        <f t="array" ref="G2451">_xlfn.XLOOKUP(D2451&amp;C2451, Sheet2!$A$2:$A$558&amp;Sheet2!$B$2:$B$558, Sheet2!$C$2:$C$558, "")</f>
        <v/>
      </c>
      <c r="H2451" s="40" t="str">
        <f t="shared" si="38"/>
        <v/>
      </c>
    </row>
    <row r="2452" spans="1:8" ht="15.5" x14ac:dyDescent="0.35">
      <c r="A2452" s="7">
        <v>2451</v>
      </c>
      <c r="B2452" s="27">
        <v>40753</v>
      </c>
      <c r="C2452" s="13" t="s">
        <v>2219</v>
      </c>
      <c r="D2452" s="27" t="s">
        <v>2849</v>
      </c>
      <c r="E2452" s="10">
        <v>2017</v>
      </c>
      <c r="F2452" s="36" t="str" cm="1">
        <f t="array" ref="F2452">_xlfn.XLOOKUP(D2452&amp;C2452, Sheet3!$C$2:$C$1224&amp;Sheet3!$B$2:$B$1224, Sheet3!$D$2:$D$1224, "")</f>
        <v/>
      </c>
      <c r="G2452" s="1" t="str" cm="1">
        <f t="array" ref="G2452">_xlfn.XLOOKUP(D2452&amp;C2452, Sheet2!$A$2:$A$558&amp;Sheet2!$B$2:$B$558, Sheet2!$C$2:$C$558, "")</f>
        <v>kholqiazam@gmail.com</v>
      </c>
      <c r="H2452" s="40" t="str">
        <f t="shared" si="38"/>
        <v>kholqiazam@gmail.com</v>
      </c>
    </row>
    <row r="2453" spans="1:8" ht="15.5" x14ac:dyDescent="0.35">
      <c r="A2453" s="7">
        <v>2452</v>
      </c>
      <c r="B2453" s="27">
        <v>40999</v>
      </c>
      <c r="C2453" s="13" t="s">
        <v>2220</v>
      </c>
      <c r="D2453" s="27" t="s">
        <v>2849</v>
      </c>
      <c r="E2453" s="10">
        <v>2017</v>
      </c>
      <c r="F2453" s="36" t="str" cm="1">
        <f t="array" ref="F2453">_xlfn.XLOOKUP(D2453&amp;C2453, Sheet3!$C$2:$C$1224&amp;Sheet3!$B$2:$B$1224, Sheet3!$D$2:$D$1224, "")</f>
        <v>Ghinakusuma7@gmail.com</v>
      </c>
      <c r="G2453" s="1" t="str" cm="1">
        <f t="array" ref="G2453">_xlfn.XLOOKUP(D2453&amp;C2453, Sheet2!$A$2:$A$558&amp;Sheet2!$B$2:$B$558, Sheet2!$C$2:$C$558, "")</f>
        <v>ghinakusuma7@gmail.com</v>
      </c>
      <c r="H2453" s="40" t="str">
        <f t="shared" si="38"/>
        <v>Ghinakusuma7@gmail.com</v>
      </c>
    </row>
    <row r="2454" spans="1:8" ht="15.5" x14ac:dyDescent="0.35">
      <c r="A2454" s="7">
        <v>2453</v>
      </c>
      <c r="B2454" s="27">
        <v>38313</v>
      </c>
      <c r="C2454" s="13" t="s">
        <v>2221</v>
      </c>
      <c r="D2454" s="27" t="s">
        <v>2847</v>
      </c>
      <c r="E2454" s="10">
        <v>2017</v>
      </c>
      <c r="F2454" s="36" t="str" cm="1">
        <f t="array" ref="F2454">_xlfn.XLOOKUP(D2454&amp;C2454, Sheet3!$C$2:$C$1224&amp;Sheet3!$B$2:$B$1224, Sheet3!$D$2:$D$1224, "")</f>
        <v>Ilhamrakhmatullahgds@gmail.com</v>
      </c>
      <c r="G2454" s="1" t="str" cm="1">
        <f t="array" ref="G2454">_xlfn.XLOOKUP(D2454&amp;C2454, Sheet2!$A$2:$A$558&amp;Sheet2!$B$2:$B$558, Sheet2!$C$2:$C$558, "")</f>
        <v/>
      </c>
      <c r="H2454" s="40" t="str">
        <f t="shared" si="38"/>
        <v>Ilhamrakhmatullahgds@gmail.com</v>
      </c>
    </row>
    <row r="2455" spans="1:8" ht="15.5" x14ac:dyDescent="0.35">
      <c r="A2455" s="7">
        <v>2454</v>
      </c>
      <c r="B2455" s="27">
        <v>38936</v>
      </c>
      <c r="C2455" s="13" t="s">
        <v>2222</v>
      </c>
      <c r="D2455" s="27" t="s">
        <v>2847</v>
      </c>
      <c r="E2455" s="10">
        <v>2017</v>
      </c>
      <c r="F2455" s="36" t="str" cm="1">
        <f t="array" ref="F2455">_xlfn.XLOOKUP(D2455&amp;C2455, Sheet3!$C$2:$C$1224&amp;Sheet3!$B$2:$B$1224, Sheet3!$D$2:$D$1224, "")</f>
        <v/>
      </c>
      <c r="G2455" s="1" t="str" cm="1">
        <f t="array" ref="G2455">_xlfn.XLOOKUP(D2455&amp;C2455, Sheet2!$A$2:$A$558&amp;Sheet2!$B$2:$B$558, Sheet2!$C$2:$C$558, "")</f>
        <v/>
      </c>
      <c r="H2455" s="40" t="str">
        <f t="shared" si="38"/>
        <v/>
      </c>
    </row>
    <row r="2456" spans="1:8" ht="15.5" x14ac:dyDescent="0.35">
      <c r="A2456" s="7">
        <v>2455</v>
      </c>
      <c r="B2456" s="27">
        <v>39502</v>
      </c>
      <c r="C2456" s="13" t="s">
        <v>2223</v>
      </c>
      <c r="D2456" s="27" t="s">
        <v>2848</v>
      </c>
      <c r="E2456" s="10">
        <v>2017</v>
      </c>
      <c r="F2456" s="36" t="str" cm="1">
        <f t="array" ref="F2456">_xlfn.XLOOKUP(D2456&amp;C2456, Sheet3!$C$2:$C$1224&amp;Sheet3!$B$2:$B$1224, Sheet3!$D$2:$D$1224, "")</f>
        <v>febrianahidayati@gmail.com</v>
      </c>
      <c r="G2456" s="1" t="str" cm="1">
        <f t="array" ref="G2456">_xlfn.XLOOKUP(D2456&amp;C2456, Sheet2!$A$2:$A$558&amp;Sheet2!$B$2:$B$558, Sheet2!$C$2:$C$558, "")</f>
        <v/>
      </c>
      <c r="H2456" s="40" t="str">
        <f t="shared" si="38"/>
        <v>febrianahidayati@gmail.com</v>
      </c>
    </row>
    <row r="2457" spans="1:8" ht="15.5" x14ac:dyDescent="0.35">
      <c r="A2457" s="7">
        <v>2456</v>
      </c>
      <c r="B2457" s="27">
        <v>40734</v>
      </c>
      <c r="C2457" s="13" t="s">
        <v>2224</v>
      </c>
      <c r="D2457" s="27" t="s">
        <v>2849</v>
      </c>
      <c r="E2457" s="10">
        <v>2017</v>
      </c>
      <c r="F2457" s="36" t="str" cm="1">
        <f t="array" ref="F2457">_xlfn.XLOOKUP(D2457&amp;C2457, Sheet3!$C$2:$C$1224&amp;Sheet3!$B$2:$B$1224, Sheet3!$D$2:$D$1224, "")</f>
        <v>syamnugraha@gmail.com</v>
      </c>
      <c r="G2457" s="1" t="str" cm="1">
        <f t="array" ref="G2457">_xlfn.XLOOKUP(D2457&amp;C2457, Sheet2!$A$2:$A$558&amp;Sheet2!$B$2:$B$558, Sheet2!$C$2:$C$558, "")</f>
        <v/>
      </c>
      <c r="H2457" s="40" t="str">
        <f t="shared" si="38"/>
        <v>syamnugraha@gmail.com</v>
      </c>
    </row>
    <row r="2458" spans="1:8" ht="15.5" x14ac:dyDescent="0.35">
      <c r="A2458" s="7">
        <v>2457</v>
      </c>
      <c r="B2458" s="17">
        <v>35363</v>
      </c>
      <c r="C2458" s="13" t="s">
        <v>2225</v>
      </c>
      <c r="D2458" s="17" t="s">
        <v>2845</v>
      </c>
      <c r="E2458" s="10">
        <v>2017</v>
      </c>
      <c r="F2458" s="36" t="str" cm="1">
        <f t="array" ref="F2458">_xlfn.XLOOKUP(D2458&amp;C2458, Sheet3!$C$2:$C$1224&amp;Sheet3!$B$2:$B$1224, Sheet3!$D$2:$D$1224, "")</f>
        <v/>
      </c>
      <c r="G2458" s="1" t="str" cm="1">
        <f t="array" ref="G2458">_xlfn.XLOOKUP(D2458&amp;C2458, Sheet2!$A$2:$A$558&amp;Sheet2!$B$2:$B$558, Sheet2!$C$2:$C$558, "")</f>
        <v/>
      </c>
      <c r="H2458" s="40" t="str">
        <f t="shared" si="38"/>
        <v/>
      </c>
    </row>
    <row r="2459" spans="1:8" ht="15.5" x14ac:dyDescent="0.35">
      <c r="A2459" s="7">
        <v>2458</v>
      </c>
      <c r="B2459" s="17">
        <v>41013</v>
      </c>
      <c r="C2459" s="13" t="s">
        <v>2226</v>
      </c>
      <c r="D2459" s="17" t="s">
        <v>2849</v>
      </c>
      <c r="E2459" s="10">
        <v>2017</v>
      </c>
      <c r="F2459" s="36" t="str" cm="1">
        <f t="array" ref="F2459">_xlfn.XLOOKUP(D2459&amp;C2459, Sheet3!$C$2:$C$1224&amp;Sheet3!$B$2:$B$1224, Sheet3!$D$2:$D$1224, "")</f>
        <v/>
      </c>
      <c r="G2459" s="1" t="str" cm="1">
        <f t="array" ref="G2459">_xlfn.XLOOKUP(D2459&amp;C2459, Sheet2!$A$2:$A$558&amp;Sheet2!$B$2:$B$558, Sheet2!$C$2:$C$558, "")</f>
        <v/>
      </c>
      <c r="H2459" s="40" t="str">
        <f t="shared" si="38"/>
        <v/>
      </c>
    </row>
    <row r="2460" spans="1:8" ht="15.5" x14ac:dyDescent="0.35">
      <c r="A2460" s="7">
        <v>2459</v>
      </c>
      <c r="B2460" s="17">
        <v>41274</v>
      </c>
      <c r="C2460" s="13" t="s">
        <v>2227</v>
      </c>
      <c r="D2460" s="17" t="s">
        <v>2849</v>
      </c>
      <c r="E2460" s="10">
        <v>2017</v>
      </c>
      <c r="F2460" s="36" t="str" cm="1">
        <f t="array" ref="F2460">_xlfn.XLOOKUP(D2460&amp;C2460, Sheet3!$C$2:$C$1224&amp;Sheet3!$B$2:$B$1224, Sheet3!$D$2:$D$1224, "")</f>
        <v/>
      </c>
      <c r="G2460" s="1" t="str" cm="1">
        <f t="array" ref="G2460">_xlfn.XLOOKUP(D2460&amp;C2460, Sheet2!$A$2:$A$558&amp;Sheet2!$B$2:$B$558, Sheet2!$C$2:$C$558, "")</f>
        <v/>
      </c>
      <c r="H2460" s="40" t="str">
        <f t="shared" si="38"/>
        <v/>
      </c>
    </row>
    <row r="2461" spans="1:8" ht="15.5" x14ac:dyDescent="0.35">
      <c r="A2461" s="7">
        <v>2460</v>
      </c>
      <c r="B2461" s="17">
        <v>40750</v>
      </c>
      <c r="C2461" s="13" t="s">
        <v>2228</v>
      </c>
      <c r="D2461" s="17" t="s">
        <v>2849</v>
      </c>
      <c r="E2461" s="10">
        <v>2017</v>
      </c>
      <c r="F2461" s="36" t="str" cm="1">
        <f t="array" ref="F2461">_xlfn.XLOOKUP(D2461&amp;C2461, Sheet3!$C$2:$C$1224&amp;Sheet3!$B$2:$B$1224, Sheet3!$D$2:$D$1224, "")</f>
        <v/>
      </c>
      <c r="G2461" s="1" t="str" cm="1">
        <f t="array" ref="G2461">_xlfn.XLOOKUP(D2461&amp;C2461, Sheet2!$A$2:$A$558&amp;Sheet2!$B$2:$B$558, Sheet2!$C$2:$C$558, "")</f>
        <v/>
      </c>
      <c r="H2461" s="40" t="str">
        <f t="shared" si="38"/>
        <v/>
      </c>
    </row>
    <row r="2462" spans="1:8" ht="15.5" x14ac:dyDescent="0.35">
      <c r="A2462" s="7">
        <v>2461</v>
      </c>
      <c r="B2462" s="17">
        <v>40737</v>
      </c>
      <c r="C2462" s="13" t="s">
        <v>2229</v>
      </c>
      <c r="D2462" s="17" t="s">
        <v>2849</v>
      </c>
      <c r="E2462" s="10">
        <v>2017</v>
      </c>
      <c r="F2462" s="36" t="str" cm="1">
        <f t="array" ref="F2462">_xlfn.XLOOKUP(D2462&amp;C2462, Sheet3!$C$2:$C$1224&amp;Sheet3!$B$2:$B$1224, Sheet3!$D$2:$D$1224, "")</f>
        <v/>
      </c>
      <c r="G2462" s="1" t="str" cm="1">
        <f t="array" ref="G2462">_xlfn.XLOOKUP(D2462&amp;C2462, Sheet2!$A$2:$A$558&amp;Sheet2!$B$2:$B$558, Sheet2!$C$2:$C$558, "")</f>
        <v>rizckyridho@gmail.com</v>
      </c>
      <c r="H2462" s="40" t="str">
        <f t="shared" si="38"/>
        <v>rizckyridho@gmail.com</v>
      </c>
    </row>
    <row r="2463" spans="1:8" ht="15.5" x14ac:dyDescent="0.35">
      <c r="A2463" s="7">
        <v>2462</v>
      </c>
      <c r="B2463" s="17">
        <v>40751</v>
      </c>
      <c r="C2463" s="13" t="s">
        <v>2230</v>
      </c>
      <c r="D2463" s="17" t="s">
        <v>2849</v>
      </c>
      <c r="E2463" s="10">
        <v>2017</v>
      </c>
      <c r="F2463" s="36" t="str" cm="1">
        <f t="array" ref="F2463">_xlfn.XLOOKUP(D2463&amp;C2463, Sheet3!$C$2:$C$1224&amp;Sheet3!$B$2:$B$1224, Sheet3!$D$2:$D$1224, "")</f>
        <v/>
      </c>
      <c r="G2463" s="1" t="str" cm="1">
        <f t="array" ref="G2463">_xlfn.XLOOKUP(D2463&amp;C2463, Sheet2!$A$2:$A$558&amp;Sheet2!$B$2:$B$558, Sheet2!$C$2:$C$558, "")</f>
        <v/>
      </c>
      <c r="H2463" s="40" t="str">
        <f t="shared" si="38"/>
        <v/>
      </c>
    </row>
    <row r="2464" spans="1:8" ht="15.5" x14ac:dyDescent="0.35">
      <c r="A2464" s="7">
        <v>2463</v>
      </c>
      <c r="B2464" s="17">
        <v>40767</v>
      </c>
      <c r="C2464" s="13" t="s">
        <v>2231</v>
      </c>
      <c r="D2464" s="17" t="s">
        <v>2849</v>
      </c>
      <c r="E2464" s="10">
        <v>2017</v>
      </c>
      <c r="F2464" s="36" t="str" cm="1">
        <f t="array" ref="F2464">_xlfn.XLOOKUP(D2464&amp;C2464, Sheet3!$C$2:$C$1224&amp;Sheet3!$B$2:$B$1224, Sheet3!$D$2:$D$1224, "")</f>
        <v>dita.agharini@mail.atrbpn.go.id</v>
      </c>
      <c r="G2464" s="1" t="str" cm="1">
        <f t="array" ref="G2464">_xlfn.XLOOKUP(D2464&amp;C2464, Sheet2!$A$2:$A$558&amp;Sheet2!$B$2:$B$558, Sheet2!$C$2:$C$558, "")</f>
        <v>ditardyagharini@gmail.com</v>
      </c>
      <c r="H2464" s="40" t="str">
        <f t="shared" si="38"/>
        <v>dita.agharini@mail.atrbpn.go.id</v>
      </c>
    </row>
    <row r="2465" spans="1:8" ht="15.5" x14ac:dyDescent="0.35">
      <c r="A2465" s="7">
        <v>2464</v>
      </c>
      <c r="B2465" s="17">
        <v>37009</v>
      </c>
      <c r="C2465" s="13" t="s">
        <v>2232</v>
      </c>
      <c r="D2465" s="17" t="s">
        <v>2846</v>
      </c>
      <c r="E2465" s="10">
        <v>2017</v>
      </c>
      <c r="F2465" s="36" t="str" cm="1">
        <f t="array" ref="F2465">_xlfn.XLOOKUP(D2465&amp;C2465, Sheet3!$C$2:$C$1224&amp;Sheet3!$B$2:$B$1224, Sheet3!$D$2:$D$1224, "")</f>
        <v/>
      </c>
      <c r="G2465" s="1" t="str" cm="1">
        <f t="array" ref="G2465">_xlfn.XLOOKUP(D2465&amp;C2465, Sheet2!$A$2:$A$558&amp;Sheet2!$B$2:$B$558, Sheet2!$C$2:$C$558, "")</f>
        <v>tambunbarnabas@gmail.com</v>
      </c>
      <c r="H2465" s="40" t="str">
        <f t="shared" si="38"/>
        <v>tambunbarnabas@gmail.com</v>
      </c>
    </row>
    <row r="2466" spans="1:8" ht="15.5" x14ac:dyDescent="0.35">
      <c r="A2466" s="7">
        <v>2465</v>
      </c>
      <c r="B2466" s="17">
        <v>41002</v>
      </c>
      <c r="C2466" s="13" t="s">
        <v>2233</v>
      </c>
      <c r="D2466" s="17" t="s">
        <v>2849</v>
      </c>
      <c r="E2466" s="10">
        <v>2017</v>
      </c>
      <c r="F2466" s="36" t="str" cm="1">
        <f t="array" ref="F2466">_xlfn.XLOOKUP(D2466&amp;C2466, Sheet3!$C$2:$C$1224&amp;Sheet3!$B$2:$B$1224, Sheet3!$D$2:$D$1224, "")</f>
        <v/>
      </c>
      <c r="G2466" s="1" t="str" cm="1">
        <f t="array" ref="G2466">_xlfn.XLOOKUP(D2466&amp;C2466, Sheet2!$A$2:$A$558&amp;Sheet2!$B$2:$B$558, Sheet2!$C$2:$C$558, "")</f>
        <v/>
      </c>
      <c r="H2466" s="40" t="str">
        <f t="shared" si="38"/>
        <v/>
      </c>
    </row>
    <row r="2467" spans="1:8" ht="15.5" x14ac:dyDescent="0.35">
      <c r="A2467" s="7">
        <v>2466</v>
      </c>
      <c r="B2467" s="17">
        <v>41012</v>
      </c>
      <c r="C2467" s="13" t="s">
        <v>2234</v>
      </c>
      <c r="D2467" s="17" t="s">
        <v>2849</v>
      </c>
      <c r="E2467" s="10">
        <v>2017</v>
      </c>
      <c r="F2467" s="36" t="str" cm="1">
        <f t="array" ref="F2467">_xlfn.XLOOKUP(D2467&amp;C2467, Sheet3!$C$2:$C$1224&amp;Sheet3!$B$2:$B$1224, Sheet3!$D$2:$D$1224, "")</f>
        <v/>
      </c>
      <c r="G2467" s="1" t="str" cm="1">
        <f t="array" ref="G2467">_xlfn.XLOOKUP(D2467&amp;C2467, Sheet2!$A$2:$A$558&amp;Sheet2!$B$2:$B$558, Sheet2!$C$2:$C$558, "")</f>
        <v/>
      </c>
      <c r="H2467" s="40" t="str">
        <f t="shared" si="38"/>
        <v/>
      </c>
    </row>
    <row r="2468" spans="1:8" ht="15.5" x14ac:dyDescent="0.35">
      <c r="A2468" s="7">
        <v>2467</v>
      </c>
      <c r="B2468" s="17">
        <v>40036</v>
      </c>
      <c r="C2468" s="13" t="s">
        <v>2235</v>
      </c>
      <c r="D2468" s="17" t="s">
        <v>2848</v>
      </c>
      <c r="E2468" s="10">
        <v>2018</v>
      </c>
      <c r="F2468" s="36" t="str" cm="1">
        <f t="array" ref="F2468">_xlfn.XLOOKUP(D2468&amp;C2468, Sheet3!$C$2:$C$1224&amp;Sheet3!$B$2:$B$1224, Sheet3!$D$2:$D$1224, "")</f>
        <v>Ricos.ltr@gmail.com</v>
      </c>
      <c r="G2468" s="1" t="str" cm="1">
        <f t="array" ref="G2468">_xlfn.XLOOKUP(D2468&amp;C2468, Sheet2!$A$2:$A$558&amp;Sheet2!$B$2:$B$558, Sheet2!$C$2:$C$558, "")</f>
        <v/>
      </c>
      <c r="H2468" s="40" t="str">
        <f t="shared" si="38"/>
        <v>Ricos.ltr@gmail.com</v>
      </c>
    </row>
    <row r="2469" spans="1:8" ht="15.5" x14ac:dyDescent="0.35">
      <c r="A2469" s="7">
        <v>2468</v>
      </c>
      <c r="B2469" s="17">
        <v>39982</v>
      </c>
      <c r="C2469" s="13" t="s">
        <v>2236</v>
      </c>
      <c r="D2469" s="17" t="s">
        <v>2848</v>
      </c>
      <c r="E2469" s="10">
        <v>2018</v>
      </c>
      <c r="F2469" s="36" t="str" cm="1">
        <f t="array" ref="F2469">_xlfn.XLOOKUP(D2469&amp;C2469, Sheet3!$C$2:$C$1224&amp;Sheet3!$B$2:$B$1224, Sheet3!$D$2:$D$1224, "")</f>
        <v>gugunn.mps@gmail.com</v>
      </c>
      <c r="G2469" s="1" t="str" cm="1">
        <f t="array" ref="G2469">_xlfn.XLOOKUP(D2469&amp;C2469, Sheet2!$A$2:$A$558&amp;Sheet2!$B$2:$B$558, Sheet2!$C$2:$C$558, "")</f>
        <v/>
      </c>
      <c r="H2469" s="40" t="str">
        <f t="shared" si="38"/>
        <v>gugunn.mps@gmail.com</v>
      </c>
    </row>
    <row r="2470" spans="1:8" ht="15.5" x14ac:dyDescent="0.35">
      <c r="A2470" s="7">
        <v>2469</v>
      </c>
      <c r="B2470" s="17">
        <v>41371</v>
      </c>
      <c r="C2470" s="13" t="s">
        <v>2237</v>
      </c>
      <c r="D2470" s="17" t="s">
        <v>2849</v>
      </c>
      <c r="E2470" s="10">
        <v>2018</v>
      </c>
      <c r="F2470" s="36" t="str" cm="1">
        <f t="array" ref="F2470">_xlfn.XLOOKUP(D2470&amp;C2470, Sheet3!$C$2:$C$1224&amp;Sheet3!$B$2:$B$1224, Sheet3!$D$2:$D$1224, "")</f>
        <v/>
      </c>
      <c r="G2470" s="1" t="str" cm="1">
        <f t="array" ref="G2470">_xlfn.XLOOKUP(D2470&amp;C2470, Sheet2!$A$2:$A$558&amp;Sheet2!$B$2:$B$558, Sheet2!$C$2:$C$558, "")</f>
        <v/>
      </c>
      <c r="H2470" s="40" t="str">
        <f t="shared" si="38"/>
        <v/>
      </c>
    </row>
    <row r="2471" spans="1:8" ht="15.5" x14ac:dyDescent="0.35">
      <c r="A2471" s="7">
        <v>2470</v>
      </c>
      <c r="B2471" s="17">
        <v>41021</v>
      </c>
      <c r="C2471" s="13" t="s">
        <v>2238</v>
      </c>
      <c r="D2471" s="17" t="s">
        <v>2849</v>
      </c>
      <c r="E2471" s="10">
        <v>2018</v>
      </c>
      <c r="F2471" s="36" t="str" cm="1">
        <f t="array" ref="F2471">_xlfn.XLOOKUP(D2471&amp;C2471, Sheet3!$C$2:$C$1224&amp;Sheet3!$B$2:$B$1224, Sheet3!$D$2:$D$1224, "")</f>
        <v/>
      </c>
      <c r="G2471" s="1" t="str" cm="1">
        <f t="array" ref="G2471">_xlfn.XLOOKUP(D2471&amp;C2471, Sheet2!$A$2:$A$558&amp;Sheet2!$B$2:$B$558, Sheet2!$C$2:$C$558, "")</f>
        <v/>
      </c>
      <c r="H2471" s="40" t="str">
        <f t="shared" si="38"/>
        <v/>
      </c>
    </row>
    <row r="2472" spans="1:8" ht="15.5" x14ac:dyDescent="0.35">
      <c r="A2472" s="7">
        <v>2471</v>
      </c>
      <c r="B2472" s="17">
        <v>40730</v>
      </c>
      <c r="C2472" s="13" t="s">
        <v>2239</v>
      </c>
      <c r="D2472" s="17" t="s">
        <v>2849</v>
      </c>
      <c r="E2472" s="10">
        <v>2018</v>
      </c>
      <c r="F2472" s="36" t="str" cm="1">
        <f t="array" ref="F2472">_xlfn.XLOOKUP(D2472&amp;C2472, Sheet3!$C$2:$C$1224&amp;Sheet3!$B$2:$B$1224, Sheet3!$D$2:$D$1224, "")</f>
        <v>Gilangrr11@gmail.com</v>
      </c>
      <c r="G2472" s="1" t="str" cm="1">
        <f t="array" ref="G2472">_xlfn.XLOOKUP(D2472&amp;C2472, Sheet2!$A$2:$A$558&amp;Sheet2!$B$2:$B$558, Sheet2!$C$2:$C$558, "")</f>
        <v/>
      </c>
      <c r="H2472" s="40" t="str">
        <f t="shared" si="38"/>
        <v>Gilangrr11@gmail.com</v>
      </c>
    </row>
    <row r="2473" spans="1:8" ht="15.5" x14ac:dyDescent="0.35">
      <c r="A2473" s="7">
        <v>2472</v>
      </c>
      <c r="B2473" s="17">
        <v>40270</v>
      </c>
      <c r="C2473" s="13" t="s">
        <v>2240</v>
      </c>
      <c r="D2473" s="17" t="s">
        <v>2848</v>
      </c>
      <c r="E2473" s="10">
        <v>2018</v>
      </c>
      <c r="F2473" s="36" t="str" cm="1">
        <f t="array" ref="F2473">_xlfn.XLOOKUP(D2473&amp;C2473, Sheet3!$C$2:$C$1224&amp;Sheet3!$B$2:$B$1224, Sheet3!$D$2:$D$1224, "")</f>
        <v/>
      </c>
      <c r="G2473" s="1" t="str" cm="1">
        <f t="array" ref="G2473">_xlfn.XLOOKUP(D2473&amp;C2473, Sheet2!$A$2:$A$558&amp;Sheet2!$B$2:$B$558, Sheet2!$C$2:$C$558, "")</f>
        <v/>
      </c>
      <c r="H2473" s="40" t="str">
        <f t="shared" si="38"/>
        <v/>
      </c>
    </row>
    <row r="2474" spans="1:8" ht="15.5" x14ac:dyDescent="0.35">
      <c r="A2474" s="7">
        <v>2473</v>
      </c>
      <c r="B2474" s="17">
        <v>40997</v>
      </c>
      <c r="C2474" s="13" t="s">
        <v>2241</v>
      </c>
      <c r="D2474" s="17" t="s">
        <v>2849</v>
      </c>
      <c r="E2474" s="10">
        <v>2018</v>
      </c>
      <c r="F2474" s="36" t="str" cm="1">
        <f t="array" ref="F2474">_xlfn.XLOOKUP(D2474&amp;C2474, Sheet3!$C$2:$C$1224&amp;Sheet3!$B$2:$B$1224, Sheet3!$D$2:$D$1224, "")</f>
        <v/>
      </c>
      <c r="G2474" s="1" t="str" cm="1">
        <f t="array" ref="G2474">_xlfn.XLOOKUP(D2474&amp;C2474, Sheet2!$A$2:$A$558&amp;Sheet2!$B$2:$B$558, Sheet2!$C$2:$C$558, "")</f>
        <v>raka.andrian@yahoo.co.id</v>
      </c>
      <c r="H2474" s="40" t="str">
        <f t="shared" si="38"/>
        <v>raka.andrian@yahoo.co.id</v>
      </c>
    </row>
    <row r="2475" spans="1:8" ht="15.5" x14ac:dyDescent="0.35">
      <c r="A2475" s="7">
        <v>2474</v>
      </c>
      <c r="B2475" s="17">
        <v>41374</v>
      </c>
      <c r="C2475" s="13" t="s">
        <v>2242</v>
      </c>
      <c r="D2475" s="17" t="s">
        <v>2849</v>
      </c>
      <c r="E2475" s="10">
        <v>2018</v>
      </c>
      <c r="F2475" s="36" t="str" cm="1">
        <f t="array" ref="F2475">_xlfn.XLOOKUP(D2475&amp;C2475, Sheet3!$C$2:$C$1224&amp;Sheet3!$B$2:$B$1224, Sheet3!$D$2:$D$1224, "")</f>
        <v/>
      </c>
      <c r="G2475" s="1" t="str" cm="1">
        <f t="array" ref="G2475">_xlfn.XLOOKUP(D2475&amp;C2475, Sheet2!$A$2:$A$558&amp;Sheet2!$B$2:$B$558, Sheet2!$C$2:$C$558, "")</f>
        <v>ghotfani.kaukabi@gmail.com</v>
      </c>
      <c r="H2475" s="40" t="str">
        <f t="shared" si="38"/>
        <v>ghotfani.kaukabi@gmail.com</v>
      </c>
    </row>
    <row r="2476" spans="1:8" ht="15.5" x14ac:dyDescent="0.35">
      <c r="A2476" s="7">
        <v>2475</v>
      </c>
      <c r="B2476" s="17">
        <v>39104</v>
      </c>
      <c r="C2476" s="13" t="s">
        <v>2243</v>
      </c>
      <c r="D2476" s="17" t="s">
        <v>2848</v>
      </c>
      <c r="E2476" s="10">
        <v>2018</v>
      </c>
      <c r="F2476" s="36" t="str" cm="1">
        <f t="array" ref="F2476">_xlfn.XLOOKUP(D2476&amp;C2476, Sheet3!$C$2:$C$1224&amp;Sheet3!$B$2:$B$1224, Sheet3!$D$2:$D$1224, "")</f>
        <v/>
      </c>
      <c r="G2476" s="1" t="str" cm="1">
        <f t="array" ref="G2476">_xlfn.XLOOKUP(D2476&amp;C2476, Sheet2!$A$2:$A$558&amp;Sheet2!$B$2:$B$558, Sheet2!$C$2:$C$558, "")</f>
        <v/>
      </c>
      <c r="H2476" s="40" t="str">
        <f t="shared" si="38"/>
        <v/>
      </c>
    </row>
    <row r="2477" spans="1:8" ht="15.5" x14ac:dyDescent="0.35">
      <c r="A2477" s="7">
        <v>2476</v>
      </c>
      <c r="B2477" s="17">
        <v>40733</v>
      </c>
      <c r="C2477" s="13" t="s">
        <v>2244</v>
      </c>
      <c r="D2477" s="17" t="s">
        <v>2849</v>
      </c>
      <c r="E2477" s="10">
        <v>2018</v>
      </c>
      <c r="F2477" s="36" t="str" cm="1">
        <f t="array" ref="F2477">_xlfn.XLOOKUP(D2477&amp;C2477, Sheet3!$C$2:$C$1224&amp;Sheet3!$B$2:$B$1224, Sheet3!$D$2:$D$1224, "")</f>
        <v/>
      </c>
      <c r="G2477" s="1" t="str" cm="1">
        <f t="array" ref="G2477">_xlfn.XLOOKUP(D2477&amp;C2477, Sheet2!$A$2:$A$558&amp;Sheet2!$B$2:$B$558, Sheet2!$C$2:$C$558, "")</f>
        <v/>
      </c>
      <c r="H2477" s="40" t="str">
        <f t="shared" si="38"/>
        <v/>
      </c>
    </row>
    <row r="2478" spans="1:8" ht="15.5" x14ac:dyDescent="0.35">
      <c r="A2478" s="7">
        <v>2477</v>
      </c>
      <c r="B2478" s="17">
        <v>40758</v>
      </c>
      <c r="C2478" s="13" t="s">
        <v>2245</v>
      </c>
      <c r="D2478" s="17" t="s">
        <v>2849</v>
      </c>
      <c r="E2478" s="10">
        <v>2018</v>
      </c>
      <c r="F2478" s="36" t="str" cm="1">
        <f t="array" ref="F2478">_xlfn.XLOOKUP(D2478&amp;C2478, Sheet3!$C$2:$C$1224&amp;Sheet3!$B$2:$B$1224, Sheet3!$D$2:$D$1224, "")</f>
        <v/>
      </c>
      <c r="G2478" s="1" t="str" cm="1">
        <f t="array" ref="G2478">_xlfn.XLOOKUP(D2478&amp;C2478, Sheet2!$A$2:$A$558&amp;Sheet2!$B$2:$B$558, Sheet2!$C$2:$C$558, "")</f>
        <v>sahitsadono@gmail.com</v>
      </c>
      <c r="H2478" s="40" t="str">
        <f t="shared" si="38"/>
        <v>sahitsadono@gmail.com</v>
      </c>
    </row>
    <row r="2479" spans="1:8" ht="15.5" x14ac:dyDescent="0.35">
      <c r="A2479" s="7">
        <v>2478</v>
      </c>
      <c r="B2479" s="17">
        <v>41370</v>
      </c>
      <c r="C2479" s="13" t="s">
        <v>2246</v>
      </c>
      <c r="D2479" s="17" t="s">
        <v>2849</v>
      </c>
      <c r="E2479" s="10">
        <v>2018</v>
      </c>
      <c r="F2479" s="36" t="str" cm="1">
        <f t="array" ref="F2479">_xlfn.XLOOKUP(D2479&amp;C2479, Sheet3!$C$2:$C$1224&amp;Sheet3!$B$2:$B$1224, Sheet3!$D$2:$D$1224, "")</f>
        <v/>
      </c>
      <c r="G2479" s="1" t="str" cm="1">
        <f t="array" ref="G2479">_xlfn.XLOOKUP(D2479&amp;C2479, Sheet2!$A$2:$A$558&amp;Sheet2!$B$2:$B$558, Sheet2!$C$2:$C$558, "")</f>
        <v/>
      </c>
      <c r="H2479" s="40" t="str">
        <f t="shared" si="38"/>
        <v/>
      </c>
    </row>
    <row r="2480" spans="1:8" ht="15.5" x14ac:dyDescent="0.35">
      <c r="A2480" s="7">
        <v>2479</v>
      </c>
      <c r="B2480" s="17">
        <v>40749</v>
      </c>
      <c r="C2480" s="13" t="s">
        <v>2247</v>
      </c>
      <c r="D2480" s="17" t="s">
        <v>2849</v>
      </c>
      <c r="E2480" s="10">
        <v>2018</v>
      </c>
      <c r="F2480" s="36" t="str" cm="1">
        <f t="array" ref="F2480">_xlfn.XLOOKUP(D2480&amp;C2480, Sheet3!$C$2:$C$1224&amp;Sheet3!$B$2:$B$1224, Sheet3!$D$2:$D$1224, "")</f>
        <v/>
      </c>
      <c r="G2480" s="1" t="str" cm="1">
        <f t="array" ref="G2480">_xlfn.XLOOKUP(D2480&amp;C2480, Sheet2!$A$2:$A$558&amp;Sheet2!$B$2:$B$558, Sheet2!$C$2:$C$558, "")</f>
        <v/>
      </c>
      <c r="H2480" s="40" t="str">
        <f t="shared" si="38"/>
        <v/>
      </c>
    </row>
    <row r="2481" spans="1:8" ht="15.5" x14ac:dyDescent="0.35">
      <c r="A2481" s="7">
        <v>2480</v>
      </c>
      <c r="B2481" s="17">
        <v>40621</v>
      </c>
      <c r="C2481" s="13" t="s">
        <v>2248</v>
      </c>
      <c r="D2481" s="17" t="s">
        <v>2849</v>
      </c>
      <c r="E2481" s="10">
        <v>2018</v>
      </c>
      <c r="F2481" s="36" t="str" cm="1">
        <f t="array" ref="F2481">_xlfn.XLOOKUP(D2481&amp;C2481, Sheet3!$C$2:$C$1224&amp;Sheet3!$B$2:$B$1224, Sheet3!$D$2:$D$1224, "")</f>
        <v/>
      </c>
      <c r="G2481" s="1" t="str" cm="1">
        <f t="array" ref="G2481">_xlfn.XLOOKUP(D2481&amp;C2481, Sheet2!$A$2:$A$558&amp;Sheet2!$B$2:$B$558, Sheet2!$C$2:$C$558, "")</f>
        <v/>
      </c>
      <c r="H2481" s="40" t="str">
        <f t="shared" si="38"/>
        <v/>
      </c>
    </row>
    <row r="2482" spans="1:8" ht="15.5" x14ac:dyDescent="0.35">
      <c r="A2482" s="7">
        <v>2481</v>
      </c>
      <c r="B2482" s="17">
        <v>40736</v>
      </c>
      <c r="C2482" s="13" t="s">
        <v>6024</v>
      </c>
      <c r="D2482" s="17" t="s">
        <v>2849</v>
      </c>
      <c r="E2482" s="10">
        <v>2018</v>
      </c>
      <c r="F2482" s="36" t="str" cm="1">
        <f t="array" ref="F2482">_xlfn.XLOOKUP(D2482&amp;C2482, Sheet3!$C$2:$C$1224&amp;Sheet3!$B$2:$B$1224, Sheet3!$D$2:$D$1224, "")</f>
        <v/>
      </c>
      <c r="G2482" s="1" t="str" cm="1">
        <f t="array" ref="G2482">_xlfn.XLOOKUP(D2482&amp;C2482, Sheet2!$A$2:$A$558&amp;Sheet2!$B$2:$B$558, Sheet2!$C$2:$C$558, "")</f>
        <v>jovidflorian@gmail.com</v>
      </c>
      <c r="H2482" s="40" t="str">
        <f t="shared" si="38"/>
        <v>jovidflorian@gmail.com</v>
      </c>
    </row>
    <row r="2483" spans="1:8" ht="15.5" x14ac:dyDescent="0.35">
      <c r="A2483" s="7">
        <v>2482</v>
      </c>
      <c r="B2483" s="17">
        <v>41300</v>
      </c>
      <c r="C2483" s="13" t="s">
        <v>2249</v>
      </c>
      <c r="D2483" s="17" t="s">
        <v>2849</v>
      </c>
      <c r="E2483" s="10">
        <v>2018</v>
      </c>
      <c r="F2483" s="36" t="str" cm="1">
        <f t="array" ref="F2483">_xlfn.XLOOKUP(D2483&amp;C2483, Sheet3!$C$2:$C$1224&amp;Sheet3!$B$2:$B$1224, Sheet3!$D$2:$D$1224, "")</f>
        <v/>
      </c>
      <c r="G2483" s="1" t="str" cm="1">
        <f t="array" ref="G2483">_xlfn.XLOOKUP(D2483&amp;C2483, Sheet2!$A$2:$A$558&amp;Sheet2!$B$2:$B$558, Sheet2!$C$2:$C$558, "")</f>
        <v/>
      </c>
      <c r="H2483" s="40" t="str">
        <f t="shared" si="38"/>
        <v/>
      </c>
    </row>
    <row r="2484" spans="1:8" ht="15.5" x14ac:dyDescent="0.35">
      <c r="A2484" s="7">
        <v>2483</v>
      </c>
      <c r="B2484" s="18">
        <v>41877</v>
      </c>
      <c r="C2484" s="13" t="s">
        <v>2250</v>
      </c>
      <c r="D2484" s="18" t="s">
        <v>2850</v>
      </c>
      <c r="E2484" s="10">
        <v>2018</v>
      </c>
      <c r="F2484" s="36" t="str" cm="1">
        <f t="array" ref="F2484">_xlfn.XLOOKUP(D2484&amp;C2484, Sheet3!$C$2:$C$1224&amp;Sheet3!$B$2:$B$1224, Sheet3!$D$2:$D$1224, "")</f>
        <v/>
      </c>
      <c r="G2484" s="1" t="str" cm="1">
        <f t="array" ref="G2484">_xlfn.XLOOKUP(D2484&amp;C2484, Sheet2!$A$2:$A$558&amp;Sheet2!$B$2:$B$558, Sheet2!$C$2:$C$558, "")</f>
        <v/>
      </c>
      <c r="H2484" s="40" t="str">
        <f t="shared" si="38"/>
        <v/>
      </c>
    </row>
    <row r="2485" spans="1:8" ht="15.5" x14ac:dyDescent="0.35">
      <c r="A2485" s="7">
        <v>2484</v>
      </c>
      <c r="B2485" s="28">
        <v>41659</v>
      </c>
      <c r="C2485" s="13" t="s">
        <v>2251</v>
      </c>
      <c r="D2485" s="28" t="s">
        <v>2850</v>
      </c>
      <c r="E2485" s="10">
        <v>2018</v>
      </c>
      <c r="F2485" s="36" t="str" cm="1">
        <f t="array" ref="F2485">_xlfn.XLOOKUP(D2485&amp;C2485, Sheet3!$C$2:$C$1224&amp;Sheet3!$B$2:$B$1224, Sheet3!$D$2:$D$1224, "")</f>
        <v/>
      </c>
      <c r="G2485" s="1" t="str" cm="1">
        <f t="array" ref="G2485">_xlfn.XLOOKUP(D2485&amp;C2485, Sheet2!$A$2:$A$558&amp;Sheet2!$B$2:$B$558, Sheet2!$C$2:$C$558, "")</f>
        <v/>
      </c>
      <c r="H2485" s="40" t="str">
        <f t="shared" si="38"/>
        <v/>
      </c>
    </row>
    <row r="2486" spans="1:8" ht="15.5" x14ac:dyDescent="0.35">
      <c r="A2486" s="7">
        <v>2485</v>
      </c>
      <c r="B2486" s="28">
        <v>40107</v>
      </c>
      <c r="C2486" s="13" t="s">
        <v>2252</v>
      </c>
      <c r="D2486" s="28" t="s">
        <v>2848</v>
      </c>
      <c r="E2486" s="10">
        <v>2018</v>
      </c>
      <c r="F2486" s="36" t="str" cm="1">
        <f t="array" ref="F2486">_xlfn.XLOOKUP(D2486&amp;C2486, Sheet3!$C$2:$C$1224&amp;Sheet3!$B$2:$B$1224, Sheet3!$D$2:$D$1224, "")</f>
        <v/>
      </c>
      <c r="G2486" s="1" t="str" cm="1">
        <f t="array" ref="G2486">_xlfn.XLOOKUP(D2486&amp;C2486, Sheet2!$A$2:$A$558&amp;Sheet2!$B$2:$B$558, Sheet2!$C$2:$C$558, "")</f>
        <v/>
      </c>
      <c r="H2486" s="40" t="str">
        <f t="shared" si="38"/>
        <v/>
      </c>
    </row>
    <row r="2487" spans="1:8" ht="15.5" x14ac:dyDescent="0.35">
      <c r="A2487" s="7">
        <v>2486</v>
      </c>
      <c r="B2487" s="28">
        <v>41872</v>
      </c>
      <c r="C2487" s="13" t="s">
        <v>2253</v>
      </c>
      <c r="D2487" s="28" t="s">
        <v>2850</v>
      </c>
      <c r="E2487" s="10">
        <v>2018</v>
      </c>
      <c r="F2487" s="36" t="str" cm="1">
        <f t="array" ref="F2487">_xlfn.XLOOKUP(D2487&amp;C2487, Sheet3!$C$2:$C$1224&amp;Sheet3!$B$2:$B$1224, Sheet3!$D$2:$D$1224, "")</f>
        <v>Luthfia.rn@gmail.com</v>
      </c>
      <c r="G2487" s="1" t="str" cm="1">
        <f t="array" ref="G2487">_xlfn.XLOOKUP(D2487&amp;C2487, Sheet2!$A$2:$A$558&amp;Sheet2!$B$2:$B$558, Sheet2!$C$2:$C$558, "")</f>
        <v/>
      </c>
      <c r="H2487" s="40" t="str">
        <f t="shared" si="38"/>
        <v>Luthfia.rn@gmail.com</v>
      </c>
    </row>
    <row r="2488" spans="1:8" ht="15.5" x14ac:dyDescent="0.35">
      <c r="A2488" s="7">
        <v>2487</v>
      </c>
      <c r="B2488" s="28">
        <v>42373</v>
      </c>
      <c r="C2488" s="13" t="s">
        <v>2254</v>
      </c>
      <c r="D2488" s="28" t="s">
        <v>2850</v>
      </c>
      <c r="E2488" s="10">
        <v>2018</v>
      </c>
      <c r="F2488" s="36" t="str" cm="1">
        <f t="array" ref="F2488">_xlfn.XLOOKUP(D2488&amp;C2488, Sheet3!$C$2:$C$1224&amp;Sheet3!$B$2:$B$1224, Sheet3!$D$2:$D$1224, "")</f>
        <v/>
      </c>
      <c r="G2488" s="1" t="str" cm="1">
        <f t="array" ref="G2488">_xlfn.XLOOKUP(D2488&amp;C2488, Sheet2!$A$2:$A$558&amp;Sheet2!$B$2:$B$558, Sheet2!$C$2:$C$558, "")</f>
        <v/>
      </c>
      <c r="H2488" s="40" t="str">
        <f t="shared" si="38"/>
        <v/>
      </c>
    </row>
    <row r="2489" spans="1:8" ht="15.5" x14ac:dyDescent="0.35">
      <c r="A2489" s="7">
        <v>2488</v>
      </c>
      <c r="B2489" s="28">
        <v>41782</v>
      </c>
      <c r="C2489" s="13" t="s">
        <v>2255</v>
      </c>
      <c r="D2489" s="28" t="s">
        <v>2850</v>
      </c>
      <c r="E2489" s="10">
        <v>2018</v>
      </c>
      <c r="F2489" s="36" t="str" cm="1">
        <f t="array" ref="F2489">_xlfn.XLOOKUP(D2489&amp;C2489, Sheet3!$C$2:$C$1224&amp;Sheet3!$B$2:$B$1224, Sheet3!$D$2:$D$1224, "")</f>
        <v>Rdhilahi@gmail.com</v>
      </c>
      <c r="G2489" s="1" t="str" cm="1">
        <f t="array" ref="G2489">_xlfn.XLOOKUP(D2489&amp;C2489, Sheet2!$A$2:$A$558&amp;Sheet2!$B$2:$B$558, Sheet2!$C$2:$C$558, "")</f>
        <v/>
      </c>
      <c r="H2489" s="40" t="str">
        <f t="shared" si="38"/>
        <v>Rdhilahi@gmail.com</v>
      </c>
    </row>
    <row r="2490" spans="1:8" ht="15.5" x14ac:dyDescent="0.35">
      <c r="A2490" s="7">
        <v>2489</v>
      </c>
      <c r="B2490" s="28">
        <v>42551</v>
      </c>
      <c r="C2490" s="13" t="s">
        <v>2256</v>
      </c>
      <c r="D2490" s="28" t="s">
        <v>2850</v>
      </c>
      <c r="E2490" s="10">
        <v>2018</v>
      </c>
      <c r="F2490" s="36" t="str" cm="1">
        <f t="array" ref="F2490">_xlfn.XLOOKUP(D2490&amp;C2490, Sheet3!$C$2:$C$1224&amp;Sheet3!$B$2:$B$1224, Sheet3!$D$2:$D$1224, "")</f>
        <v/>
      </c>
      <c r="G2490" s="1" t="str" cm="1">
        <f t="array" ref="G2490">_xlfn.XLOOKUP(D2490&amp;C2490, Sheet2!$A$2:$A$558&amp;Sheet2!$B$2:$B$558, Sheet2!$C$2:$C$558, "")</f>
        <v/>
      </c>
      <c r="H2490" s="40" t="str">
        <f t="shared" si="38"/>
        <v/>
      </c>
    </row>
    <row r="2491" spans="1:8" ht="15.5" x14ac:dyDescent="0.35">
      <c r="A2491" s="7">
        <v>2490</v>
      </c>
      <c r="B2491" s="28">
        <v>42302</v>
      </c>
      <c r="C2491" s="13" t="s">
        <v>2257</v>
      </c>
      <c r="D2491" s="28" t="s">
        <v>2850</v>
      </c>
      <c r="E2491" s="10">
        <v>2018</v>
      </c>
      <c r="F2491" s="36" t="str" cm="1">
        <f t="array" ref="F2491">_xlfn.XLOOKUP(D2491&amp;C2491, Sheet3!$C$2:$C$1224&amp;Sheet3!$B$2:$B$1224, Sheet3!$D$2:$D$1224, "")</f>
        <v/>
      </c>
      <c r="G2491" s="1" t="str" cm="1">
        <f t="array" ref="G2491">_xlfn.XLOOKUP(D2491&amp;C2491, Sheet2!$A$2:$A$558&amp;Sheet2!$B$2:$B$558, Sheet2!$C$2:$C$558, "")</f>
        <v/>
      </c>
      <c r="H2491" s="40" t="str">
        <f t="shared" si="38"/>
        <v/>
      </c>
    </row>
    <row r="2492" spans="1:8" ht="15.5" x14ac:dyDescent="0.35">
      <c r="A2492" s="7">
        <v>2491</v>
      </c>
      <c r="B2492" s="28">
        <v>41847</v>
      </c>
      <c r="C2492" s="13" t="s">
        <v>2258</v>
      </c>
      <c r="D2492" s="28" t="s">
        <v>2850</v>
      </c>
      <c r="E2492" s="10">
        <v>2018</v>
      </c>
      <c r="F2492" s="36" t="str" cm="1">
        <f t="array" ref="F2492">_xlfn.XLOOKUP(D2492&amp;C2492, Sheet3!$C$2:$C$1224&amp;Sheet3!$B$2:$B$1224, Sheet3!$D$2:$D$1224, "")</f>
        <v/>
      </c>
      <c r="G2492" s="1" t="str" cm="1">
        <f t="array" ref="G2492">_xlfn.XLOOKUP(D2492&amp;C2492, Sheet2!$A$2:$A$558&amp;Sheet2!$B$2:$B$558, Sheet2!$C$2:$C$558, "")</f>
        <v/>
      </c>
      <c r="H2492" s="40" t="str">
        <f t="shared" si="38"/>
        <v/>
      </c>
    </row>
    <row r="2493" spans="1:8" ht="15.5" x14ac:dyDescent="0.35">
      <c r="A2493" s="7">
        <v>2492</v>
      </c>
      <c r="B2493" s="28">
        <v>41693</v>
      </c>
      <c r="C2493" s="13" t="s">
        <v>2259</v>
      </c>
      <c r="D2493" s="28" t="s">
        <v>2850</v>
      </c>
      <c r="E2493" s="10">
        <v>2018</v>
      </c>
      <c r="F2493" s="36" t="str" cm="1">
        <f t="array" ref="F2493">_xlfn.XLOOKUP(D2493&amp;C2493, Sheet3!$C$2:$C$1224&amp;Sheet3!$B$2:$B$1224, Sheet3!$D$2:$D$1224, "")</f>
        <v>nevy.ardiantoo@gmail.com</v>
      </c>
      <c r="G2493" s="1" t="str" cm="1">
        <f t="array" ref="G2493">_xlfn.XLOOKUP(D2493&amp;C2493, Sheet2!$A$2:$A$558&amp;Sheet2!$B$2:$B$558, Sheet2!$C$2:$C$558, "")</f>
        <v/>
      </c>
      <c r="H2493" s="40" t="str">
        <f t="shared" si="38"/>
        <v>nevy.ardiantoo@gmail.com</v>
      </c>
    </row>
    <row r="2494" spans="1:8" ht="15.5" x14ac:dyDescent="0.35">
      <c r="A2494" s="7">
        <v>2493</v>
      </c>
      <c r="B2494" s="28">
        <v>41864</v>
      </c>
      <c r="C2494" s="13" t="s">
        <v>2260</v>
      </c>
      <c r="D2494" s="28" t="s">
        <v>2850</v>
      </c>
      <c r="E2494" s="10">
        <v>2018</v>
      </c>
      <c r="F2494" s="36" t="str" cm="1">
        <f t="array" ref="F2494">_xlfn.XLOOKUP(D2494&amp;C2494, Sheet3!$C$2:$C$1224&amp;Sheet3!$B$2:$B$1224, Sheet3!$D$2:$D$1224, "")</f>
        <v/>
      </c>
      <c r="G2494" s="1" t="str" cm="1">
        <f t="array" ref="G2494">_xlfn.XLOOKUP(D2494&amp;C2494, Sheet2!$A$2:$A$558&amp;Sheet2!$B$2:$B$558, Sheet2!$C$2:$C$558, "")</f>
        <v/>
      </c>
      <c r="H2494" s="40" t="str">
        <f t="shared" si="38"/>
        <v/>
      </c>
    </row>
    <row r="2495" spans="1:8" ht="15.5" x14ac:dyDescent="0.35">
      <c r="A2495" s="7">
        <v>2494</v>
      </c>
      <c r="B2495" s="28">
        <v>42298</v>
      </c>
      <c r="C2495" s="13" t="s">
        <v>2261</v>
      </c>
      <c r="D2495" s="28" t="s">
        <v>2850</v>
      </c>
      <c r="E2495" s="10">
        <v>2018</v>
      </c>
      <c r="F2495" s="36" t="str" cm="1">
        <f t="array" ref="F2495">_xlfn.XLOOKUP(D2495&amp;C2495, Sheet3!$C$2:$C$1224&amp;Sheet3!$B$2:$B$1224, Sheet3!$D$2:$D$1224, "")</f>
        <v/>
      </c>
      <c r="G2495" s="1" t="str" cm="1">
        <f t="array" ref="G2495">_xlfn.XLOOKUP(D2495&amp;C2495, Sheet2!$A$2:$A$558&amp;Sheet2!$B$2:$B$558, Sheet2!$C$2:$C$558, "")</f>
        <v/>
      </c>
      <c r="H2495" s="40" t="str">
        <f t="shared" si="38"/>
        <v/>
      </c>
    </row>
    <row r="2496" spans="1:8" ht="15.5" x14ac:dyDescent="0.35">
      <c r="A2496" s="7">
        <v>2495</v>
      </c>
      <c r="B2496" s="28">
        <v>42493</v>
      </c>
      <c r="C2496" s="13" t="s">
        <v>2262</v>
      </c>
      <c r="D2496" s="28" t="s">
        <v>2850</v>
      </c>
      <c r="E2496" s="10">
        <v>2018</v>
      </c>
      <c r="F2496" s="36" t="str" cm="1">
        <f t="array" ref="F2496">_xlfn.XLOOKUP(D2496&amp;C2496, Sheet3!$C$2:$C$1224&amp;Sheet3!$B$2:$B$1224, Sheet3!$D$2:$D$1224, "")</f>
        <v/>
      </c>
      <c r="G2496" s="1" t="str" cm="1">
        <f t="array" ref="G2496">_xlfn.XLOOKUP(D2496&amp;C2496, Sheet2!$A$2:$A$558&amp;Sheet2!$B$2:$B$558, Sheet2!$C$2:$C$558, "")</f>
        <v/>
      </c>
      <c r="H2496" s="40" t="str">
        <f t="shared" si="38"/>
        <v/>
      </c>
    </row>
    <row r="2497" spans="1:8" ht="15.5" x14ac:dyDescent="0.35">
      <c r="A2497" s="7">
        <v>2496</v>
      </c>
      <c r="B2497" s="28">
        <v>41852</v>
      </c>
      <c r="C2497" s="13" t="s">
        <v>2263</v>
      </c>
      <c r="D2497" s="28" t="s">
        <v>2850</v>
      </c>
      <c r="E2497" s="10">
        <v>2018</v>
      </c>
      <c r="F2497" s="36" t="str" cm="1">
        <f t="array" ref="F2497">_xlfn.XLOOKUP(D2497&amp;C2497, Sheet3!$C$2:$C$1224&amp;Sheet3!$B$2:$B$1224, Sheet3!$D$2:$D$1224, "")</f>
        <v/>
      </c>
      <c r="G2497" s="1" t="str" cm="1">
        <f t="array" ref="G2497">_xlfn.XLOOKUP(D2497&amp;C2497, Sheet2!$A$2:$A$558&amp;Sheet2!$B$2:$B$558, Sheet2!$C$2:$C$558, "")</f>
        <v/>
      </c>
      <c r="H2497" s="40" t="str">
        <f t="shared" si="38"/>
        <v/>
      </c>
    </row>
    <row r="2498" spans="1:8" ht="15.5" x14ac:dyDescent="0.35">
      <c r="A2498" s="7">
        <v>2497</v>
      </c>
      <c r="B2498" s="28">
        <v>42331</v>
      </c>
      <c r="C2498" s="13" t="s">
        <v>2264</v>
      </c>
      <c r="D2498" s="28" t="s">
        <v>2850</v>
      </c>
      <c r="E2498" s="10">
        <v>2018</v>
      </c>
      <c r="F2498" s="36" t="str" cm="1">
        <f t="array" ref="F2498">_xlfn.XLOOKUP(D2498&amp;C2498, Sheet3!$C$2:$C$1224&amp;Sheet3!$B$2:$B$1224, Sheet3!$D$2:$D$1224, "")</f>
        <v>afridonipradipta46@gmail.com</v>
      </c>
      <c r="G2498" s="1" t="str" cm="1">
        <f t="array" ref="G2498">_xlfn.XLOOKUP(D2498&amp;C2498, Sheet2!$A$2:$A$558&amp;Sheet2!$B$2:$B$558, Sheet2!$C$2:$C$558, "")</f>
        <v/>
      </c>
      <c r="H2498" s="40" t="str">
        <f t="shared" si="38"/>
        <v>afridonipradipta46@gmail.com</v>
      </c>
    </row>
    <row r="2499" spans="1:8" ht="15.5" x14ac:dyDescent="0.35">
      <c r="A2499" s="7">
        <v>2498</v>
      </c>
      <c r="B2499" s="28">
        <v>41849</v>
      </c>
      <c r="C2499" s="13" t="s">
        <v>2265</v>
      </c>
      <c r="D2499" s="28" t="s">
        <v>2850</v>
      </c>
      <c r="E2499" s="10">
        <v>2018</v>
      </c>
      <c r="F2499" s="36" t="str" cm="1">
        <f t="array" ref="F2499">_xlfn.XLOOKUP(D2499&amp;C2499, Sheet3!$C$2:$C$1224&amp;Sheet3!$B$2:$B$1224, Sheet3!$D$2:$D$1224, "")</f>
        <v/>
      </c>
      <c r="G2499" s="1" t="str" cm="1">
        <f t="array" ref="G2499">_xlfn.XLOOKUP(D2499&amp;C2499, Sheet2!$A$2:$A$558&amp;Sheet2!$B$2:$B$558, Sheet2!$C$2:$C$558, "")</f>
        <v/>
      </c>
      <c r="H2499" s="40" t="str">
        <f t="shared" ref="H2499:H2562" si="39">IF(F2499&lt;&gt;"",F2499,G2499)</f>
        <v/>
      </c>
    </row>
    <row r="2500" spans="1:8" ht="15.5" x14ac:dyDescent="0.35">
      <c r="A2500" s="7">
        <v>2499</v>
      </c>
      <c r="B2500" s="28">
        <v>41862</v>
      </c>
      <c r="C2500" s="13" t="s">
        <v>2266</v>
      </c>
      <c r="D2500" s="28" t="s">
        <v>2850</v>
      </c>
      <c r="E2500" s="10">
        <v>2018</v>
      </c>
      <c r="F2500" s="36" t="str" cm="1">
        <f t="array" ref="F2500">_xlfn.XLOOKUP(D2500&amp;C2500, Sheet3!$C$2:$C$1224&amp;Sheet3!$B$2:$B$1224, Sheet3!$D$2:$D$1224, "")</f>
        <v>kholis0715@gmail.com</v>
      </c>
      <c r="G2500" s="1" t="str" cm="1">
        <f t="array" ref="G2500">_xlfn.XLOOKUP(D2500&amp;C2500, Sheet2!$A$2:$A$558&amp;Sheet2!$B$2:$B$558, Sheet2!$C$2:$C$558, "")</f>
        <v/>
      </c>
      <c r="H2500" s="40" t="str">
        <f t="shared" si="39"/>
        <v>kholis0715@gmail.com</v>
      </c>
    </row>
    <row r="2501" spans="1:8" ht="15.5" x14ac:dyDescent="0.35">
      <c r="A2501" s="7">
        <v>2500</v>
      </c>
      <c r="B2501" s="28">
        <v>41605</v>
      </c>
      <c r="C2501" s="13" t="s">
        <v>2267</v>
      </c>
      <c r="D2501" s="28" t="s">
        <v>2850</v>
      </c>
      <c r="E2501" s="10">
        <v>2018</v>
      </c>
      <c r="F2501" s="36" t="str" cm="1">
        <f t="array" ref="F2501">_xlfn.XLOOKUP(D2501&amp;C2501, Sheet3!$C$2:$C$1224&amp;Sheet3!$B$2:$B$1224, Sheet3!$D$2:$D$1224, "")</f>
        <v>rachmatnitriansyah@gmail.com</v>
      </c>
      <c r="G2501" s="1" t="str" cm="1">
        <f t="array" ref="G2501">_xlfn.XLOOKUP(D2501&amp;C2501, Sheet2!$A$2:$A$558&amp;Sheet2!$B$2:$B$558, Sheet2!$C$2:$C$558, "")</f>
        <v/>
      </c>
      <c r="H2501" s="40" t="str">
        <f t="shared" si="39"/>
        <v>rachmatnitriansyah@gmail.com</v>
      </c>
    </row>
    <row r="2502" spans="1:8" ht="15.5" x14ac:dyDescent="0.35">
      <c r="A2502" s="7">
        <v>2501</v>
      </c>
      <c r="B2502" s="28">
        <v>42390</v>
      </c>
      <c r="C2502" s="13" t="s">
        <v>2268</v>
      </c>
      <c r="D2502" s="28" t="s">
        <v>2850</v>
      </c>
      <c r="E2502" s="10">
        <v>2018</v>
      </c>
      <c r="F2502" s="36" t="str" cm="1">
        <f t="array" ref="F2502">_xlfn.XLOOKUP(D2502&amp;C2502, Sheet3!$C$2:$C$1224&amp;Sheet3!$B$2:$B$1224, Sheet3!$D$2:$D$1224, "")</f>
        <v>nurabriansyah@gmail.com</v>
      </c>
      <c r="G2502" s="1" t="str" cm="1">
        <f t="array" ref="G2502">_xlfn.XLOOKUP(D2502&amp;C2502, Sheet2!$A$2:$A$558&amp;Sheet2!$B$2:$B$558, Sheet2!$C$2:$C$558, "")</f>
        <v/>
      </c>
      <c r="H2502" s="40" t="str">
        <f t="shared" si="39"/>
        <v>nurabriansyah@gmail.com</v>
      </c>
    </row>
    <row r="2503" spans="1:8" ht="15.5" x14ac:dyDescent="0.35">
      <c r="A2503" s="7">
        <v>2502</v>
      </c>
      <c r="B2503" s="28">
        <v>41878</v>
      </c>
      <c r="C2503" s="13" t="s">
        <v>2269</v>
      </c>
      <c r="D2503" s="28" t="s">
        <v>2850</v>
      </c>
      <c r="E2503" s="10">
        <v>2018</v>
      </c>
      <c r="F2503" s="36" t="str" cm="1">
        <f t="array" ref="F2503">_xlfn.XLOOKUP(D2503&amp;C2503, Sheet3!$C$2:$C$1224&amp;Sheet3!$B$2:$B$1224, Sheet3!$D$2:$D$1224, "")</f>
        <v/>
      </c>
      <c r="G2503" s="1" t="str" cm="1">
        <f t="array" ref="G2503">_xlfn.XLOOKUP(D2503&amp;C2503, Sheet2!$A$2:$A$558&amp;Sheet2!$B$2:$B$558, Sheet2!$C$2:$C$558, "")</f>
        <v/>
      </c>
      <c r="H2503" s="40" t="str">
        <f t="shared" si="39"/>
        <v/>
      </c>
    </row>
    <row r="2504" spans="1:8" ht="15.5" x14ac:dyDescent="0.35">
      <c r="A2504" s="7">
        <v>2503</v>
      </c>
      <c r="B2504" s="28">
        <v>41800</v>
      </c>
      <c r="C2504" s="13" t="s">
        <v>2270</v>
      </c>
      <c r="D2504" s="28" t="s">
        <v>2850</v>
      </c>
      <c r="E2504" s="10">
        <v>2018</v>
      </c>
      <c r="F2504" s="36" t="str" cm="1">
        <f t="array" ref="F2504">_xlfn.XLOOKUP(D2504&amp;C2504, Sheet3!$C$2:$C$1224&amp;Sheet3!$B$2:$B$1224, Sheet3!$D$2:$D$1224, "")</f>
        <v>mohamad.bagas.s@mail.ugm.ac.id</v>
      </c>
      <c r="G2504" s="1" t="str" cm="1">
        <f t="array" ref="G2504">_xlfn.XLOOKUP(D2504&amp;C2504, Sheet2!$A$2:$A$558&amp;Sheet2!$B$2:$B$558, Sheet2!$C$2:$C$558, "")</f>
        <v/>
      </c>
      <c r="H2504" s="40" t="str">
        <f t="shared" si="39"/>
        <v>mohamad.bagas.s@mail.ugm.ac.id</v>
      </c>
    </row>
    <row r="2505" spans="1:8" ht="15.5" x14ac:dyDescent="0.35">
      <c r="A2505" s="7">
        <v>2504</v>
      </c>
      <c r="B2505" s="28">
        <v>42382</v>
      </c>
      <c r="C2505" s="13" t="s">
        <v>2271</v>
      </c>
      <c r="D2505" s="28" t="s">
        <v>2850</v>
      </c>
      <c r="E2505" s="10">
        <v>2018</v>
      </c>
      <c r="F2505" s="36" t="str" cm="1">
        <f t="array" ref="F2505">_xlfn.XLOOKUP(D2505&amp;C2505, Sheet3!$C$2:$C$1224&amp;Sheet3!$B$2:$B$1224, Sheet3!$D$2:$D$1224, "")</f>
        <v/>
      </c>
      <c r="G2505" s="1" t="str" cm="1">
        <f t="array" ref="G2505">_xlfn.XLOOKUP(D2505&amp;C2505, Sheet2!$A$2:$A$558&amp;Sheet2!$B$2:$B$558, Sheet2!$C$2:$C$558, "")</f>
        <v/>
      </c>
      <c r="H2505" s="40" t="str">
        <f t="shared" si="39"/>
        <v/>
      </c>
    </row>
    <row r="2506" spans="1:8" ht="15.5" x14ac:dyDescent="0.35">
      <c r="A2506" s="7">
        <v>2505</v>
      </c>
      <c r="B2506" s="28">
        <v>38991</v>
      </c>
      <c r="C2506" s="13" t="s">
        <v>2272</v>
      </c>
      <c r="D2506" s="28" t="s">
        <v>2847</v>
      </c>
      <c r="E2506" s="10">
        <v>2018</v>
      </c>
      <c r="F2506" s="36" t="str" cm="1">
        <f t="array" ref="F2506">_xlfn.XLOOKUP(D2506&amp;C2506, Sheet3!$C$2:$C$1224&amp;Sheet3!$B$2:$B$1224, Sheet3!$D$2:$D$1224, "")</f>
        <v/>
      </c>
      <c r="G2506" s="1" t="str" cm="1">
        <f t="array" ref="G2506">_xlfn.XLOOKUP(D2506&amp;C2506, Sheet2!$A$2:$A$558&amp;Sheet2!$B$2:$B$558, Sheet2!$C$2:$C$558, "")</f>
        <v/>
      </c>
      <c r="H2506" s="40" t="str">
        <f t="shared" si="39"/>
        <v/>
      </c>
    </row>
    <row r="2507" spans="1:8" ht="15.5" x14ac:dyDescent="0.35">
      <c r="A2507" s="7">
        <v>2506</v>
      </c>
      <c r="B2507" s="28">
        <v>42296</v>
      </c>
      <c r="C2507" s="13" t="s">
        <v>2273</v>
      </c>
      <c r="D2507" s="28" t="s">
        <v>2850</v>
      </c>
      <c r="E2507" s="10">
        <v>2018</v>
      </c>
      <c r="F2507" s="36" t="str" cm="1">
        <f t="array" ref="F2507">_xlfn.XLOOKUP(D2507&amp;C2507, Sheet3!$C$2:$C$1224&amp;Sheet3!$B$2:$B$1224, Sheet3!$D$2:$D$1224, "")</f>
        <v>jongkosatrio@gmail.com</v>
      </c>
      <c r="G2507" s="1" t="str" cm="1">
        <f t="array" ref="G2507">_xlfn.XLOOKUP(D2507&amp;C2507, Sheet2!$A$2:$A$558&amp;Sheet2!$B$2:$B$558, Sheet2!$C$2:$C$558, "")</f>
        <v/>
      </c>
      <c r="H2507" s="40" t="str">
        <f t="shared" si="39"/>
        <v>jongkosatrio@gmail.com</v>
      </c>
    </row>
    <row r="2508" spans="1:8" ht="15.5" x14ac:dyDescent="0.35">
      <c r="A2508" s="7">
        <v>2507</v>
      </c>
      <c r="B2508" s="28">
        <v>42356</v>
      </c>
      <c r="C2508" s="13" t="s">
        <v>2274</v>
      </c>
      <c r="D2508" s="28" t="s">
        <v>2850</v>
      </c>
      <c r="E2508" s="10">
        <v>2018</v>
      </c>
      <c r="F2508" s="36" t="str" cm="1">
        <f t="array" ref="F2508">_xlfn.XLOOKUP(D2508&amp;C2508, Sheet3!$C$2:$C$1224&amp;Sheet3!$B$2:$B$1224, Sheet3!$D$2:$D$1224, "")</f>
        <v>noviadinipangestu@gmail.com</v>
      </c>
      <c r="G2508" s="1" t="str" cm="1">
        <f t="array" ref="G2508">_xlfn.XLOOKUP(D2508&amp;C2508, Sheet2!$A$2:$A$558&amp;Sheet2!$B$2:$B$558, Sheet2!$C$2:$C$558, "")</f>
        <v/>
      </c>
      <c r="H2508" s="40" t="str">
        <f t="shared" si="39"/>
        <v>noviadinipangestu@gmail.com</v>
      </c>
    </row>
    <row r="2509" spans="1:8" ht="15.5" x14ac:dyDescent="0.35">
      <c r="A2509" s="7">
        <v>2508</v>
      </c>
      <c r="B2509" s="28">
        <v>42301</v>
      </c>
      <c r="C2509" s="13" t="s">
        <v>2275</v>
      </c>
      <c r="D2509" s="28" t="s">
        <v>2850</v>
      </c>
      <c r="E2509" s="10">
        <v>2018</v>
      </c>
      <c r="F2509" s="36" t="str" cm="1">
        <f t="array" ref="F2509">_xlfn.XLOOKUP(D2509&amp;C2509, Sheet3!$C$2:$C$1224&amp;Sheet3!$B$2:$B$1224, Sheet3!$D$2:$D$1224, "")</f>
        <v/>
      </c>
      <c r="G2509" s="1" t="str" cm="1">
        <f t="array" ref="G2509">_xlfn.XLOOKUP(D2509&amp;C2509, Sheet2!$A$2:$A$558&amp;Sheet2!$B$2:$B$558, Sheet2!$C$2:$C$558, "")</f>
        <v/>
      </c>
      <c r="H2509" s="40" t="str">
        <f t="shared" si="39"/>
        <v/>
      </c>
    </row>
    <row r="2510" spans="1:8" ht="15.5" x14ac:dyDescent="0.35">
      <c r="A2510" s="7">
        <v>2509</v>
      </c>
      <c r="B2510" s="28">
        <v>41860</v>
      </c>
      <c r="C2510" s="13" t="s">
        <v>2276</v>
      </c>
      <c r="D2510" s="28" t="s">
        <v>2850</v>
      </c>
      <c r="E2510" s="10">
        <v>2018</v>
      </c>
      <c r="F2510" s="36" t="str" cm="1">
        <f t="array" ref="F2510">_xlfn.XLOOKUP(D2510&amp;C2510, Sheet3!$C$2:$C$1224&amp;Sheet3!$B$2:$B$1224, Sheet3!$D$2:$D$1224, "")</f>
        <v>fajarandis777@gmail.com</v>
      </c>
      <c r="G2510" s="1" t="str" cm="1">
        <f t="array" ref="G2510">_xlfn.XLOOKUP(D2510&amp;C2510, Sheet2!$A$2:$A$558&amp;Sheet2!$B$2:$B$558, Sheet2!$C$2:$C$558, "")</f>
        <v/>
      </c>
      <c r="H2510" s="40" t="str">
        <f t="shared" si="39"/>
        <v>fajarandis777@gmail.com</v>
      </c>
    </row>
    <row r="2511" spans="1:8" ht="15.5" x14ac:dyDescent="0.35">
      <c r="A2511" s="7">
        <v>2510</v>
      </c>
      <c r="B2511" s="28">
        <v>41871</v>
      </c>
      <c r="C2511" s="13" t="s">
        <v>2277</v>
      </c>
      <c r="D2511" s="28" t="s">
        <v>2850</v>
      </c>
      <c r="E2511" s="10">
        <v>2018</v>
      </c>
      <c r="F2511" s="36" t="str" cm="1">
        <f t="array" ref="F2511">_xlfn.XLOOKUP(D2511&amp;C2511, Sheet3!$C$2:$C$1224&amp;Sheet3!$B$2:$B$1224, Sheet3!$D$2:$D$1224, "")</f>
        <v/>
      </c>
      <c r="G2511" s="1" t="str" cm="1">
        <f t="array" ref="G2511">_xlfn.XLOOKUP(D2511&amp;C2511, Sheet2!$A$2:$A$558&amp;Sheet2!$B$2:$B$558, Sheet2!$C$2:$C$558, "")</f>
        <v/>
      </c>
      <c r="H2511" s="40" t="str">
        <f t="shared" si="39"/>
        <v/>
      </c>
    </row>
    <row r="2512" spans="1:8" ht="15.5" x14ac:dyDescent="0.35">
      <c r="A2512" s="7">
        <v>2511</v>
      </c>
      <c r="B2512" s="28">
        <v>41839</v>
      </c>
      <c r="C2512" s="13" t="s">
        <v>3066</v>
      </c>
      <c r="D2512" s="28" t="s">
        <v>2850</v>
      </c>
      <c r="E2512" s="10">
        <v>2018</v>
      </c>
      <c r="F2512" s="36" t="str" cm="1">
        <f t="array" ref="F2512">_xlfn.XLOOKUP(D2512&amp;C2512, Sheet3!$C$2:$C$1224&amp;Sheet3!$B$2:$B$1224, Sheet3!$D$2:$D$1224, "")</f>
        <v/>
      </c>
      <c r="G2512" s="1" t="str" cm="1">
        <f t="array" ref="G2512">_xlfn.XLOOKUP(D2512&amp;C2512, Sheet2!$A$2:$A$558&amp;Sheet2!$B$2:$B$558, Sheet2!$C$2:$C$558, "")</f>
        <v/>
      </c>
      <c r="H2512" s="40" t="str">
        <f t="shared" si="39"/>
        <v/>
      </c>
    </row>
    <row r="2513" spans="1:8" ht="15.5" x14ac:dyDescent="0.35">
      <c r="A2513" s="7">
        <v>2512</v>
      </c>
      <c r="B2513" s="28">
        <v>41875</v>
      </c>
      <c r="C2513" s="13" t="s">
        <v>2278</v>
      </c>
      <c r="D2513" s="28" t="s">
        <v>2850</v>
      </c>
      <c r="E2513" s="10">
        <v>2018</v>
      </c>
      <c r="F2513" s="36" t="str" cm="1">
        <f t="array" ref="F2513">_xlfn.XLOOKUP(D2513&amp;C2513, Sheet3!$C$2:$C$1224&amp;Sheet3!$B$2:$B$1224, Sheet3!$D$2:$D$1224, "")</f>
        <v>anggradarmata@gmail.com</v>
      </c>
      <c r="G2513" s="1" t="str" cm="1">
        <f t="array" ref="G2513">_xlfn.XLOOKUP(D2513&amp;C2513, Sheet2!$A$2:$A$558&amp;Sheet2!$B$2:$B$558, Sheet2!$C$2:$C$558, "")</f>
        <v/>
      </c>
      <c r="H2513" s="40" t="str">
        <f t="shared" si="39"/>
        <v>anggradarmata@gmail.com</v>
      </c>
    </row>
    <row r="2514" spans="1:8" ht="15.5" x14ac:dyDescent="0.35">
      <c r="A2514" s="7">
        <v>2513</v>
      </c>
      <c r="B2514" s="28">
        <v>40237</v>
      </c>
      <c r="C2514" s="13" t="s">
        <v>2279</v>
      </c>
      <c r="D2514" s="28" t="s">
        <v>2848</v>
      </c>
      <c r="E2514" s="10">
        <v>2018</v>
      </c>
      <c r="F2514" s="36" t="str" cm="1">
        <f t="array" ref="F2514">_xlfn.XLOOKUP(D2514&amp;C2514, Sheet3!$C$2:$C$1224&amp;Sheet3!$B$2:$B$1224, Sheet3!$D$2:$D$1224, "")</f>
        <v>riomuhammadfadhli@gmail.com</v>
      </c>
      <c r="G2514" s="1" t="str" cm="1">
        <f t="array" ref="G2514">_xlfn.XLOOKUP(D2514&amp;C2514, Sheet2!$A$2:$A$558&amp;Sheet2!$B$2:$B$558, Sheet2!$C$2:$C$558, "")</f>
        <v/>
      </c>
      <c r="H2514" s="40" t="str">
        <f t="shared" si="39"/>
        <v>riomuhammadfadhli@gmail.com</v>
      </c>
    </row>
    <row r="2515" spans="1:8" ht="15.5" x14ac:dyDescent="0.35">
      <c r="A2515" s="7">
        <v>2514</v>
      </c>
      <c r="B2515" s="28">
        <v>41850</v>
      </c>
      <c r="C2515" s="13" t="s">
        <v>2280</v>
      </c>
      <c r="D2515" s="28" t="s">
        <v>2850</v>
      </c>
      <c r="E2515" s="10">
        <v>2018</v>
      </c>
      <c r="F2515" s="36" t="str" cm="1">
        <f t="array" ref="F2515">_xlfn.XLOOKUP(D2515&amp;C2515, Sheet3!$C$2:$C$1224&amp;Sheet3!$B$2:$B$1224, Sheet3!$D$2:$D$1224, "")</f>
        <v/>
      </c>
      <c r="G2515" s="1" t="str" cm="1">
        <f t="array" ref="G2515">_xlfn.XLOOKUP(D2515&amp;C2515, Sheet2!$A$2:$A$558&amp;Sheet2!$B$2:$B$558, Sheet2!$C$2:$C$558, "")</f>
        <v/>
      </c>
      <c r="H2515" s="40" t="str">
        <f t="shared" si="39"/>
        <v/>
      </c>
    </row>
    <row r="2516" spans="1:8" ht="15.5" x14ac:dyDescent="0.35">
      <c r="A2516" s="7">
        <v>2515</v>
      </c>
      <c r="B2516" s="28">
        <v>41831</v>
      </c>
      <c r="C2516" s="13" t="s">
        <v>2281</v>
      </c>
      <c r="D2516" s="28" t="s">
        <v>2850</v>
      </c>
      <c r="E2516" s="10">
        <v>2018</v>
      </c>
      <c r="F2516" s="36" t="str" cm="1">
        <f t="array" ref="F2516">_xlfn.XLOOKUP(D2516&amp;C2516, Sheet3!$C$2:$C$1224&amp;Sheet3!$B$2:$B$1224, Sheet3!$D$2:$D$1224, "")</f>
        <v>muhammad.nuha@gt.itera.ac.id</v>
      </c>
      <c r="G2516" s="1" t="str" cm="1">
        <f t="array" ref="G2516">_xlfn.XLOOKUP(D2516&amp;C2516, Sheet2!$A$2:$A$558&amp;Sheet2!$B$2:$B$558, Sheet2!$C$2:$C$558, "")</f>
        <v/>
      </c>
      <c r="H2516" s="40" t="str">
        <f t="shared" si="39"/>
        <v>muhammad.nuha@gt.itera.ac.id</v>
      </c>
    </row>
    <row r="2517" spans="1:8" ht="15.5" x14ac:dyDescent="0.35">
      <c r="A2517" s="7">
        <v>2516</v>
      </c>
      <c r="B2517" s="28">
        <v>39428</v>
      </c>
      <c r="C2517" s="13" t="s">
        <v>2282</v>
      </c>
      <c r="D2517" s="28" t="s">
        <v>2848</v>
      </c>
      <c r="E2517" s="10">
        <v>2018</v>
      </c>
      <c r="F2517" s="36" t="str" cm="1">
        <f t="array" ref="F2517">_xlfn.XLOOKUP(D2517&amp;C2517, Sheet3!$C$2:$C$1224&amp;Sheet3!$B$2:$B$1224, Sheet3!$D$2:$D$1224, "")</f>
        <v/>
      </c>
      <c r="G2517" s="1" t="str" cm="1">
        <f t="array" ref="G2517">_xlfn.XLOOKUP(D2517&amp;C2517, Sheet2!$A$2:$A$558&amp;Sheet2!$B$2:$B$558, Sheet2!$C$2:$C$558, "")</f>
        <v/>
      </c>
      <c r="H2517" s="40" t="str">
        <f t="shared" si="39"/>
        <v/>
      </c>
    </row>
    <row r="2518" spans="1:8" ht="15.5" x14ac:dyDescent="0.35">
      <c r="A2518" s="7">
        <v>2517</v>
      </c>
      <c r="B2518" s="28">
        <v>38190</v>
      </c>
      <c r="C2518" s="13" t="s">
        <v>2283</v>
      </c>
      <c r="D2518" s="28" t="s">
        <v>2847</v>
      </c>
      <c r="E2518" s="10">
        <v>2018</v>
      </c>
      <c r="F2518" s="36" t="str" cm="1">
        <f t="array" ref="F2518">_xlfn.XLOOKUP(D2518&amp;C2518, Sheet3!$C$2:$C$1224&amp;Sheet3!$B$2:$B$1224, Sheet3!$D$2:$D$1224, "")</f>
        <v/>
      </c>
      <c r="G2518" s="1" t="str" cm="1">
        <f t="array" ref="G2518">_xlfn.XLOOKUP(D2518&amp;C2518, Sheet2!$A$2:$A$558&amp;Sheet2!$B$2:$B$558, Sheet2!$C$2:$C$558, "")</f>
        <v/>
      </c>
      <c r="H2518" s="40" t="str">
        <f t="shared" si="39"/>
        <v/>
      </c>
    </row>
    <row r="2519" spans="1:8" ht="15.5" x14ac:dyDescent="0.35">
      <c r="A2519" s="7">
        <v>2518</v>
      </c>
      <c r="B2519" s="28">
        <v>41848</v>
      </c>
      <c r="C2519" s="13" t="s">
        <v>2284</v>
      </c>
      <c r="D2519" s="28" t="s">
        <v>2850</v>
      </c>
      <c r="E2519" s="10">
        <v>2018</v>
      </c>
      <c r="F2519" s="36" t="str" cm="1">
        <f t="array" ref="F2519">_xlfn.XLOOKUP(D2519&amp;C2519, Sheet3!$C$2:$C$1224&amp;Sheet3!$B$2:$B$1224, Sheet3!$D$2:$D$1224, "")</f>
        <v>Arinda.pinasti@mail.ugm.ac.id</v>
      </c>
      <c r="G2519" s="1" t="str" cm="1">
        <f t="array" ref="G2519">_xlfn.XLOOKUP(D2519&amp;C2519, Sheet2!$A$2:$A$558&amp;Sheet2!$B$2:$B$558, Sheet2!$C$2:$C$558, "")</f>
        <v/>
      </c>
      <c r="H2519" s="40" t="str">
        <f t="shared" si="39"/>
        <v>Arinda.pinasti@mail.ugm.ac.id</v>
      </c>
    </row>
    <row r="2520" spans="1:8" ht="15.5" x14ac:dyDescent="0.35">
      <c r="A2520" s="7">
        <v>2519</v>
      </c>
      <c r="B2520" s="28">
        <v>41833</v>
      </c>
      <c r="C2520" s="13" t="s">
        <v>2285</v>
      </c>
      <c r="D2520" s="28" t="s">
        <v>2850</v>
      </c>
      <c r="E2520" s="10">
        <v>2018</v>
      </c>
      <c r="F2520" s="36" t="str" cm="1">
        <f t="array" ref="F2520">_xlfn.XLOOKUP(D2520&amp;C2520, Sheet3!$C$2:$C$1224&amp;Sheet3!$B$2:$B$1224, Sheet3!$D$2:$D$1224, "")</f>
        <v/>
      </c>
      <c r="G2520" s="1" t="str" cm="1">
        <f t="array" ref="G2520">_xlfn.XLOOKUP(D2520&amp;C2520, Sheet2!$A$2:$A$558&amp;Sheet2!$B$2:$B$558, Sheet2!$C$2:$C$558, "")</f>
        <v/>
      </c>
      <c r="H2520" s="40" t="str">
        <f t="shared" si="39"/>
        <v/>
      </c>
    </row>
    <row r="2521" spans="1:8" ht="15.5" x14ac:dyDescent="0.35">
      <c r="A2521" s="7">
        <v>2520</v>
      </c>
      <c r="B2521" s="28">
        <v>41844</v>
      </c>
      <c r="C2521" s="13" t="s">
        <v>2286</v>
      </c>
      <c r="D2521" s="28" t="s">
        <v>2850</v>
      </c>
      <c r="E2521" s="10">
        <v>2018</v>
      </c>
      <c r="F2521" s="36" t="str" cm="1">
        <f t="array" ref="F2521">_xlfn.XLOOKUP(D2521&amp;C2521, Sheet3!$C$2:$C$1224&amp;Sheet3!$B$2:$B$1224, Sheet3!$D$2:$D$1224, "")</f>
        <v/>
      </c>
      <c r="G2521" s="1" t="str" cm="1">
        <f t="array" ref="G2521">_xlfn.XLOOKUP(D2521&amp;C2521, Sheet2!$A$2:$A$558&amp;Sheet2!$B$2:$B$558, Sheet2!$C$2:$C$558, "")</f>
        <v/>
      </c>
      <c r="H2521" s="40" t="str">
        <f t="shared" si="39"/>
        <v/>
      </c>
    </row>
    <row r="2522" spans="1:8" ht="15.5" x14ac:dyDescent="0.35">
      <c r="A2522" s="7">
        <v>2521</v>
      </c>
      <c r="B2522" s="28">
        <v>41846</v>
      </c>
      <c r="C2522" s="13" t="s">
        <v>2287</v>
      </c>
      <c r="D2522" s="28" t="s">
        <v>2850</v>
      </c>
      <c r="E2522" s="10">
        <v>2018</v>
      </c>
      <c r="F2522" s="36" t="str" cm="1">
        <f t="array" ref="F2522">_xlfn.XLOOKUP(D2522&amp;C2522, Sheet3!$C$2:$C$1224&amp;Sheet3!$B$2:$B$1224, Sheet3!$D$2:$D$1224, "")</f>
        <v/>
      </c>
      <c r="G2522" s="1" t="str" cm="1">
        <f t="array" ref="G2522">_xlfn.XLOOKUP(D2522&amp;C2522, Sheet2!$A$2:$A$558&amp;Sheet2!$B$2:$B$558, Sheet2!$C$2:$C$558, "")</f>
        <v/>
      </c>
      <c r="H2522" s="40" t="str">
        <f t="shared" si="39"/>
        <v/>
      </c>
    </row>
    <row r="2523" spans="1:8" ht="15.5" x14ac:dyDescent="0.35">
      <c r="A2523" s="7">
        <v>2522</v>
      </c>
      <c r="B2523" s="18">
        <v>42310</v>
      </c>
      <c r="C2523" s="13" t="s">
        <v>2288</v>
      </c>
      <c r="D2523" s="18" t="s">
        <v>2850</v>
      </c>
      <c r="E2523" s="10">
        <v>2018</v>
      </c>
      <c r="F2523" s="36" t="str" cm="1">
        <f t="array" ref="F2523">_xlfn.XLOOKUP(D2523&amp;C2523, Sheet3!$C$2:$C$1224&amp;Sheet3!$B$2:$B$1224, Sheet3!$D$2:$D$1224, "")</f>
        <v/>
      </c>
      <c r="G2523" s="1" t="str" cm="1">
        <f t="array" ref="G2523">_xlfn.XLOOKUP(D2523&amp;C2523, Sheet2!$A$2:$A$558&amp;Sheet2!$B$2:$B$558, Sheet2!$C$2:$C$558, "")</f>
        <v/>
      </c>
      <c r="H2523" s="40" t="str">
        <f t="shared" si="39"/>
        <v/>
      </c>
    </row>
    <row r="2524" spans="1:8" ht="15.5" x14ac:dyDescent="0.35">
      <c r="A2524" s="7">
        <v>2523</v>
      </c>
      <c r="B2524" s="18">
        <v>42569</v>
      </c>
      <c r="C2524" s="13" t="s">
        <v>2289</v>
      </c>
      <c r="D2524" s="18" t="s">
        <v>2850</v>
      </c>
      <c r="E2524" s="10">
        <v>2018</v>
      </c>
      <c r="F2524" s="36" t="str" cm="1">
        <f t="array" ref="F2524">_xlfn.XLOOKUP(D2524&amp;C2524, Sheet3!$C$2:$C$1224&amp;Sheet3!$B$2:$B$1224, Sheet3!$D$2:$D$1224, "")</f>
        <v/>
      </c>
      <c r="G2524" s="1" t="str" cm="1">
        <f t="array" ref="G2524">_xlfn.XLOOKUP(D2524&amp;C2524, Sheet2!$A$2:$A$558&amp;Sheet2!$B$2:$B$558, Sheet2!$C$2:$C$558, "")</f>
        <v/>
      </c>
      <c r="H2524" s="40" t="str">
        <f t="shared" si="39"/>
        <v/>
      </c>
    </row>
    <row r="2525" spans="1:8" ht="15.5" x14ac:dyDescent="0.35">
      <c r="A2525" s="7">
        <v>2524</v>
      </c>
      <c r="B2525" s="18">
        <v>41851</v>
      </c>
      <c r="C2525" s="13" t="s">
        <v>2290</v>
      </c>
      <c r="D2525" s="18" t="s">
        <v>2850</v>
      </c>
      <c r="E2525" s="10">
        <v>2018</v>
      </c>
      <c r="F2525" s="36" t="str" cm="1">
        <f t="array" ref="F2525">_xlfn.XLOOKUP(D2525&amp;C2525, Sheet3!$C$2:$C$1224&amp;Sheet3!$B$2:$B$1224, Sheet3!$D$2:$D$1224, "")</f>
        <v>Satriabudiyono@gmail.com</v>
      </c>
      <c r="G2525" s="1" t="str" cm="1">
        <f t="array" ref="G2525">_xlfn.XLOOKUP(D2525&amp;C2525, Sheet2!$A$2:$A$558&amp;Sheet2!$B$2:$B$558, Sheet2!$C$2:$C$558, "")</f>
        <v/>
      </c>
      <c r="H2525" s="40" t="str">
        <f t="shared" si="39"/>
        <v>Satriabudiyono@gmail.com</v>
      </c>
    </row>
    <row r="2526" spans="1:8" ht="15.5" x14ac:dyDescent="0.35">
      <c r="A2526" s="7">
        <v>2525</v>
      </c>
      <c r="B2526" s="18">
        <v>41770</v>
      </c>
      <c r="C2526" s="13" t="s">
        <v>2291</v>
      </c>
      <c r="D2526" s="18" t="s">
        <v>2850</v>
      </c>
      <c r="E2526" s="10">
        <v>2018</v>
      </c>
      <c r="F2526" s="36" t="str" cm="1">
        <f t="array" ref="F2526">_xlfn.XLOOKUP(D2526&amp;C2526, Sheet3!$C$2:$C$1224&amp;Sheet3!$B$2:$B$1224, Sheet3!$D$2:$D$1224, "")</f>
        <v/>
      </c>
      <c r="G2526" s="1" t="str" cm="1">
        <f t="array" ref="G2526">_xlfn.XLOOKUP(D2526&amp;C2526, Sheet2!$A$2:$A$558&amp;Sheet2!$B$2:$B$558, Sheet2!$C$2:$C$558, "")</f>
        <v/>
      </c>
      <c r="H2526" s="40" t="str">
        <f t="shared" si="39"/>
        <v/>
      </c>
    </row>
    <row r="2527" spans="1:8" ht="15.5" x14ac:dyDescent="0.35">
      <c r="A2527" s="7">
        <v>2526</v>
      </c>
      <c r="B2527" s="18">
        <v>42365</v>
      </c>
      <c r="C2527" s="13" t="s">
        <v>2292</v>
      </c>
      <c r="D2527" s="18" t="s">
        <v>2850</v>
      </c>
      <c r="E2527" s="10">
        <v>2018</v>
      </c>
      <c r="F2527" s="36" t="str" cm="1">
        <f t="array" ref="F2527">_xlfn.XLOOKUP(D2527&amp;C2527, Sheet3!$C$2:$C$1224&amp;Sheet3!$B$2:$B$1224, Sheet3!$D$2:$D$1224, "")</f>
        <v/>
      </c>
      <c r="G2527" s="1" t="str" cm="1">
        <f t="array" ref="G2527">_xlfn.XLOOKUP(D2527&amp;C2527, Sheet2!$A$2:$A$558&amp;Sheet2!$B$2:$B$558, Sheet2!$C$2:$C$558, "")</f>
        <v/>
      </c>
      <c r="H2527" s="40" t="str">
        <f t="shared" si="39"/>
        <v/>
      </c>
    </row>
    <row r="2528" spans="1:8" ht="15.5" x14ac:dyDescent="0.35">
      <c r="A2528" s="7">
        <v>2527</v>
      </c>
      <c r="B2528" s="18">
        <v>40713</v>
      </c>
      <c r="C2528" s="13" t="s">
        <v>2293</v>
      </c>
      <c r="D2528" s="18" t="s">
        <v>2849</v>
      </c>
      <c r="E2528" s="10">
        <v>2018</v>
      </c>
      <c r="F2528" s="36" t="str" cm="1">
        <f t="array" ref="F2528">_xlfn.XLOOKUP(D2528&amp;C2528, Sheet3!$C$2:$C$1224&amp;Sheet3!$B$2:$B$1224, Sheet3!$D$2:$D$1224, "")</f>
        <v>roeslely.wandasari@gmail.com</v>
      </c>
      <c r="G2528" s="1" t="str" cm="1">
        <f t="array" ref="G2528">_xlfn.XLOOKUP(D2528&amp;C2528, Sheet2!$A$2:$A$558&amp;Sheet2!$B$2:$B$558, Sheet2!$C$2:$C$558, "")</f>
        <v/>
      </c>
      <c r="H2528" s="40" t="str">
        <f t="shared" si="39"/>
        <v>roeslely.wandasari@gmail.com</v>
      </c>
    </row>
    <row r="2529" spans="1:8" ht="15.5" x14ac:dyDescent="0.35">
      <c r="A2529" s="7">
        <v>2528</v>
      </c>
      <c r="B2529" s="18">
        <v>38635</v>
      </c>
      <c r="C2529" s="13" t="s">
        <v>2294</v>
      </c>
      <c r="D2529" s="18" t="s">
        <v>2847</v>
      </c>
      <c r="E2529" s="10">
        <v>2018</v>
      </c>
      <c r="F2529" s="36" t="str" cm="1">
        <f t="array" ref="F2529">_xlfn.XLOOKUP(D2529&amp;C2529, Sheet3!$C$2:$C$1224&amp;Sheet3!$B$2:$B$1224, Sheet3!$D$2:$D$1224, "")</f>
        <v/>
      </c>
      <c r="G2529" s="1" t="str" cm="1">
        <f t="array" ref="G2529">_xlfn.XLOOKUP(D2529&amp;C2529, Sheet2!$A$2:$A$558&amp;Sheet2!$B$2:$B$558, Sheet2!$C$2:$C$558, "")</f>
        <v/>
      </c>
      <c r="H2529" s="40" t="str">
        <f t="shared" si="39"/>
        <v/>
      </c>
    </row>
    <row r="2530" spans="1:8" ht="15.5" x14ac:dyDescent="0.35">
      <c r="A2530" s="7">
        <v>2529</v>
      </c>
      <c r="B2530" s="18">
        <v>42117</v>
      </c>
      <c r="C2530" s="13" t="s">
        <v>2295</v>
      </c>
      <c r="D2530" s="18" t="s">
        <v>2850</v>
      </c>
      <c r="E2530" s="10">
        <v>2018</v>
      </c>
      <c r="F2530" s="36" t="str" cm="1">
        <f t="array" ref="F2530">_xlfn.XLOOKUP(D2530&amp;C2530, Sheet3!$C$2:$C$1224&amp;Sheet3!$B$2:$B$1224, Sheet3!$D$2:$D$1224, "")</f>
        <v/>
      </c>
      <c r="G2530" s="1" t="str" cm="1">
        <f t="array" ref="G2530">_xlfn.XLOOKUP(D2530&amp;C2530, Sheet2!$A$2:$A$558&amp;Sheet2!$B$2:$B$558, Sheet2!$C$2:$C$558, "")</f>
        <v/>
      </c>
      <c r="H2530" s="40" t="str">
        <f t="shared" si="39"/>
        <v/>
      </c>
    </row>
    <row r="2531" spans="1:8" ht="15.5" x14ac:dyDescent="0.35">
      <c r="A2531" s="7">
        <v>2530</v>
      </c>
      <c r="B2531" s="28">
        <v>40738</v>
      </c>
      <c r="C2531" s="13" t="s">
        <v>2296</v>
      </c>
      <c r="D2531" s="28" t="s">
        <v>2849</v>
      </c>
      <c r="E2531" s="10">
        <v>2018</v>
      </c>
      <c r="F2531" s="36" t="str" cm="1">
        <f t="array" ref="F2531">_xlfn.XLOOKUP(D2531&amp;C2531, Sheet3!$C$2:$C$1224&amp;Sheet3!$B$2:$B$1224, Sheet3!$D$2:$D$1224, "")</f>
        <v/>
      </c>
      <c r="G2531" s="1" t="str" cm="1">
        <f t="array" ref="G2531">_xlfn.XLOOKUP(D2531&amp;C2531, Sheet2!$A$2:$A$558&amp;Sheet2!$B$2:$B$558, Sheet2!$C$2:$C$558, "")</f>
        <v/>
      </c>
      <c r="H2531" s="40" t="str">
        <f t="shared" si="39"/>
        <v/>
      </c>
    </row>
    <row r="2532" spans="1:8" ht="15.5" x14ac:dyDescent="0.35">
      <c r="A2532" s="7">
        <v>2531</v>
      </c>
      <c r="B2532" s="28">
        <v>42334</v>
      </c>
      <c r="C2532" s="13" t="s">
        <v>2297</v>
      </c>
      <c r="D2532" s="28" t="s">
        <v>2850</v>
      </c>
      <c r="E2532" s="10">
        <v>2018</v>
      </c>
      <c r="F2532" s="36" t="str" cm="1">
        <f t="array" ref="F2532">_xlfn.XLOOKUP(D2532&amp;C2532, Sheet3!$C$2:$C$1224&amp;Sheet3!$B$2:$B$1224, Sheet3!$D$2:$D$1224, "")</f>
        <v>hamasfaqih@gmail.com</v>
      </c>
      <c r="G2532" s="1" t="str" cm="1">
        <f t="array" ref="G2532">_xlfn.XLOOKUP(D2532&amp;C2532, Sheet2!$A$2:$A$558&amp;Sheet2!$B$2:$B$558, Sheet2!$C$2:$C$558, "")</f>
        <v/>
      </c>
      <c r="H2532" s="40" t="str">
        <f t="shared" si="39"/>
        <v>hamasfaqih@gmail.com</v>
      </c>
    </row>
    <row r="2533" spans="1:8" ht="15.5" x14ac:dyDescent="0.35">
      <c r="A2533" s="7">
        <v>2532</v>
      </c>
      <c r="B2533" s="28">
        <v>41369</v>
      </c>
      <c r="C2533" s="13" t="s">
        <v>2298</v>
      </c>
      <c r="D2533" s="28" t="s">
        <v>2849</v>
      </c>
      <c r="E2533" s="10">
        <v>2018</v>
      </c>
      <c r="F2533" s="36" t="str" cm="1">
        <f t="array" ref="F2533">_xlfn.XLOOKUP(D2533&amp;C2533, Sheet3!$C$2:$C$1224&amp;Sheet3!$B$2:$B$1224, Sheet3!$D$2:$D$1224, "")</f>
        <v>kurniawan.tulus95@gmail.com</v>
      </c>
      <c r="G2533" s="1" t="str" cm="1">
        <f t="array" ref="G2533">_xlfn.XLOOKUP(D2533&amp;C2533, Sheet2!$A$2:$A$558&amp;Sheet2!$B$2:$B$558, Sheet2!$C$2:$C$558, "")</f>
        <v/>
      </c>
      <c r="H2533" s="40" t="str">
        <f t="shared" si="39"/>
        <v>kurniawan.tulus95@gmail.com</v>
      </c>
    </row>
    <row r="2534" spans="1:8" ht="15.5" x14ac:dyDescent="0.35">
      <c r="A2534" s="7">
        <v>2533</v>
      </c>
      <c r="B2534" s="28">
        <v>42300</v>
      </c>
      <c r="C2534" s="13" t="s">
        <v>2299</v>
      </c>
      <c r="D2534" s="28" t="s">
        <v>2850</v>
      </c>
      <c r="E2534" s="10">
        <v>2018</v>
      </c>
      <c r="F2534" s="36" t="str" cm="1">
        <f t="array" ref="F2534">_xlfn.XLOOKUP(D2534&amp;C2534, Sheet3!$C$2:$C$1224&amp;Sheet3!$B$2:$B$1224, Sheet3!$D$2:$D$1224, "")</f>
        <v/>
      </c>
      <c r="G2534" s="1" t="str" cm="1">
        <f t="array" ref="G2534">_xlfn.XLOOKUP(D2534&amp;C2534, Sheet2!$A$2:$A$558&amp;Sheet2!$B$2:$B$558, Sheet2!$C$2:$C$558, "")</f>
        <v/>
      </c>
      <c r="H2534" s="40" t="str">
        <f t="shared" si="39"/>
        <v/>
      </c>
    </row>
    <row r="2535" spans="1:8" ht="15.5" x14ac:dyDescent="0.35">
      <c r="A2535" s="7">
        <v>2534</v>
      </c>
      <c r="B2535" s="28">
        <v>42666</v>
      </c>
      <c r="C2535" s="13" t="s">
        <v>2300</v>
      </c>
      <c r="D2535" s="28" t="s">
        <v>2850</v>
      </c>
      <c r="E2535" s="10">
        <v>2018</v>
      </c>
      <c r="F2535" s="36" t="str" cm="1">
        <f t="array" ref="F2535">_xlfn.XLOOKUP(D2535&amp;C2535, Sheet3!$C$2:$C$1224&amp;Sheet3!$B$2:$B$1224, Sheet3!$D$2:$D$1224, "")</f>
        <v>fauzieaditya1996@gmail.com</v>
      </c>
      <c r="G2535" s="1" t="str" cm="1">
        <f t="array" ref="G2535">_xlfn.XLOOKUP(D2535&amp;C2535, Sheet2!$A$2:$A$558&amp;Sheet2!$B$2:$B$558, Sheet2!$C$2:$C$558, "")</f>
        <v/>
      </c>
      <c r="H2535" s="40" t="str">
        <f t="shared" si="39"/>
        <v>fauzieaditya1996@gmail.com</v>
      </c>
    </row>
    <row r="2536" spans="1:8" ht="15.5" x14ac:dyDescent="0.35">
      <c r="A2536" s="7">
        <v>2535</v>
      </c>
      <c r="B2536" s="28">
        <v>42657</v>
      </c>
      <c r="C2536" s="13" t="s">
        <v>2301</v>
      </c>
      <c r="D2536" s="28" t="s">
        <v>2850</v>
      </c>
      <c r="E2536" s="10">
        <v>2018</v>
      </c>
      <c r="F2536" s="36" t="str" cm="1">
        <f t="array" ref="F2536">_xlfn.XLOOKUP(D2536&amp;C2536, Sheet3!$C$2:$C$1224&amp;Sheet3!$B$2:$B$1224, Sheet3!$D$2:$D$1224, "")</f>
        <v/>
      </c>
      <c r="G2536" s="1" t="str" cm="1">
        <f t="array" ref="G2536">_xlfn.XLOOKUP(D2536&amp;C2536, Sheet2!$A$2:$A$558&amp;Sheet2!$B$2:$B$558, Sheet2!$C$2:$C$558, "")</f>
        <v/>
      </c>
      <c r="H2536" s="40" t="str">
        <f t="shared" si="39"/>
        <v/>
      </c>
    </row>
    <row r="2537" spans="1:8" ht="15.5" x14ac:dyDescent="0.35">
      <c r="A2537" s="7">
        <v>2536</v>
      </c>
      <c r="B2537" s="28">
        <v>41863</v>
      </c>
      <c r="C2537" s="13" t="s">
        <v>2302</v>
      </c>
      <c r="D2537" s="28" t="s">
        <v>2850</v>
      </c>
      <c r="E2537" s="10">
        <v>2018</v>
      </c>
      <c r="F2537" s="36" t="str" cm="1">
        <f t="array" ref="F2537">_xlfn.XLOOKUP(D2537&amp;C2537, Sheet3!$C$2:$C$1224&amp;Sheet3!$B$2:$B$1224, Sheet3!$D$2:$D$1224, "")</f>
        <v>satria27kusuma@gmail.com</v>
      </c>
      <c r="G2537" s="1" t="str" cm="1">
        <f t="array" ref="G2537">_xlfn.XLOOKUP(D2537&amp;C2537, Sheet2!$A$2:$A$558&amp;Sheet2!$B$2:$B$558, Sheet2!$C$2:$C$558, "")</f>
        <v/>
      </c>
      <c r="H2537" s="40" t="str">
        <f t="shared" si="39"/>
        <v>satria27kusuma@gmail.com</v>
      </c>
    </row>
    <row r="2538" spans="1:8" ht="15.5" x14ac:dyDescent="0.35">
      <c r="A2538" s="7">
        <v>2537</v>
      </c>
      <c r="B2538" s="28">
        <v>38017</v>
      </c>
      <c r="C2538" s="13" t="s">
        <v>2303</v>
      </c>
      <c r="D2538" s="28" t="s">
        <v>2847</v>
      </c>
      <c r="E2538" s="10">
        <v>2018</v>
      </c>
      <c r="F2538" s="36" t="str" cm="1">
        <f t="array" ref="F2538">_xlfn.XLOOKUP(D2538&amp;C2538, Sheet3!$C$2:$C$1224&amp;Sheet3!$B$2:$B$1224, Sheet3!$D$2:$D$1224, "")</f>
        <v/>
      </c>
      <c r="G2538" s="1" t="str" cm="1">
        <f t="array" ref="G2538">_xlfn.XLOOKUP(D2538&amp;C2538, Sheet2!$A$2:$A$558&amp;Sheet2!$B$2:$B$558, Sheet2!$C$2:$C$558, "")</f>
        <v/>
      </c>
      <c r="H2538" s="40" t="str">
        <f t="shared" si="39"/>
        <v/>
      </c>
    </row>
    <row r="2539" spans="1:8" ht="15.5" x14ac:dyDescent="0.35">
      <c r="A2539" s="7">
        <v>2538</v>
      </c>
      <c r="B2539" s="28">
        <v>40763</v>
      </c>
      <c r="C2539" s="13" t="s">
        <v>2304</v>
      </c>
      <c r="D2539" s="28" t="s">
        <v>2849</v>
      </c>
      <c r="E2539" s="10">
        <v>2018</v>
      </c>
      <c r="F2539" s="36" t="str" cm="1">
        <f t="array" ref="F2539">_xlfn.XLOOKUP(D2539&amp;C2539, Sheet3!$C$2:$C$1224&amp;Sheet3!$B$2:$B$1224, Sheet3!$D$2:$D$1224, "")</f>
        <v/>
      </c>
      <c r="G2539" s="1" t="str" cm="1">
        <f t="array" ref="G2539">_xlfn.XLOOKUP(D2539&amp;C2539, Sheet2!$A$2:$A$558&amp;Sheet2!$B$2:$B$558, Sheet2!$C$2:$C$558, "")</f>
        <v/>
      </c>
      <c r="H2539" s="40" t="str">
        <f t="shared" si="39"/>
        <v/>
      </c>
    </row>
    <row r="2540" spans="1:8" ht="15.5" x14ac:dyDescent="0.35">
      <c r="A2540" s="7">
        <v>2539</v>
      </c>
      <c r="B2540" s="28">
        <v>41379</v>
      </c>
      <c r="C2540" s="13" t="s">
        <v>2305</v>
      </c>
      <c r="D2540" s="28" t="s">
        <v>2850</v>
      </c>
      <c r="E2540" s="10">
        <v>2018</v>
      </c>
      <c r="F2540" s="36" t="str" cm="1">
        <f t="array" ref="F2540">_xlfn.XLOOKUP(D2540&amp;C2540, Sheet3!$C$2:$C$1224&amp;Sheet3!$B$2:$B$1224, Sheet3!$D$2:$D$1224, "")</f>
        <v>Yoga.tama38@gmail.com</v>
      </c>
      <c r="G2540" s="1" t="str" cm="1">
        <f t="array" ref="G2540">_xlfn.XLOOKUP(D2540&amp;C2540, Sheet2!$A$2:$A$558&amp;Sheet2!$B$2:$B$558, Sheet2!$C$2:$C$558, "")</f>
        <v/>
      </c>
      <c r="H2540" s="40" t="str">
        <f t="shared" si="39"/>
        <v>Yoga.tama38@gmail.com</v>
      </c>
    </row>
    <row r="2541" spans="1:8" ht="15.5" x14ac:dyDescent="0.35">
      <c r="A2541" s="7">
        <v>2540</v>
      </c>
      <c r="B2541" s="28">
        <v>42337</v>
      </c>
      <c r="C2541" s="13" t="s">
        <v>2306</v>
      </c>
      <c r="D2541" s="28" t="s">
        <v>2850</v>
      </c>
      <c r="E2541" s="10">
        <v>2018</v>
      </c>
      <c r="F2541" s="36" t="str" cm="1">
        <f t="array" ref="F2541">_xlfn.XLOOKUP(D2541&amp;C2541, Sheet3!$C$2:$C$1224&amp;Sheet3!$B$2:$B$1224, Sheet3!$D$2:$D$1224, "")</f>
        <v>daniel.ekapn@gmail.com</v>
      </c>
      <c r="G2541" s="1" t="str" cm="1">
        <f t="array" ref="G2541">_xlfn.XLOOKUP(D2541&amp;C2541, Sheet2!$A$2:$A$558&amp;Sheet2!$B$2:$B$558, Sheet2!$C$2:$C$558, "")</f>
        <v/>
      </c>
      <c r="H2541" s="40" t="str">
        <f t="shared" si="39"/>
        <v>daniel.ekapn@gmail.com</v>
      </c>
    </row>
    <row r="2542" spans="1:8" ht="15.5" x14ac:dyDescent="0.35">
      <c r="A2542" s="7">
        <v>2541</v>
      </c>
      <c r="B2542" s="28">
        <v>41879</v>
      </c>
      <c r="C2542" s="13" t="s">
        <v>2307</v>
      </c>
      <c r="D2542" s="28" t="s">
        <v>2850</v>
      </c>
      <c r="E2542" s="10">
        <v>2018</v>
      </c>
      <c r="F2542" s="36" t="str" cm="1">
        <f t="array" ref="F2542">_xlfn.XLOOKUP(D2542&amp;C2542, Sheet3!$C$2:$C$1224&amp;Sheet3!$B$2:$B$1224, Sheet3!$D$2:$D$1224, "")</f>
        <v/>
      </c>
      <c r="G2542" s="1" t="str" cm="1">
        <f t="array" ref="G2542">_xlfn.XLOOKUP(D2542&amp;C2542, Sheet2!$A$2:$A$558&amp;Sheet2!$B$2:$B$558, Sheet2!$C$2:$C$558, "")</f>
        <v/>
      </c>
      <c r="H2542" s="40" t="str">
        <f t="shared" si="39"/>
        <v/>
      </c>
    </row>
    <row r="2543" spans="1:8" ht="15.5" x14ac:dyDescent="0.35">
      <c r="A2543" s="7">
        <v>2542</v>
      </c>
      <c r="B2543" s="28">
        <v>42490</v>
      </c>
      <c r="C2543" s="13" t="s">
        <v>2308</v>
      </c>
      <c r="D2543" s="28" t="s">
        <v>2850</v>
      </c>
      <c r="E2543" s="10">
        <v>2018</v>
      </c>
      <c r="F2543" s="36" t="str" cm="1">
        <f t="array" ref="F2543">_xlfn.XLOOKUP(D2543&amp;C2543, Sheet3!$C$2:$C$1224&amp;Sheet3!$B$2:$B$1224, Sheet3!$D$2:$D$1224, "")</f>
        <v/>
      </c>
      <c r="G2543" s="1" t="str" cm="1">
        <f t="array" ref="G2543">_xlfn.XLOOKUP(D2543&amp;C2543, Sheet2!$A$2:$A$558&amp;Sheet2!$B$2:$B$558, Sheet2!$C$2:$C$558, "")</f>
        <v/>
      </c>
      <c r="H2543" s="40" t="str">
        <f t="shared" si="39"/>
        <v/>
      </c>
    </row>
    <row r="2544" spans="1:8" ht="15.5" x14ac:dyDescent="0.35">
      <c r="A2544" s="7">
        <v>2543</v>
      </c>
      <c r="B2544" s="28">
        <v>42668</v>
      </c>
      <c r="C2544" s="13" t="s">
        <v>2309</v>
      </c>
      <c r="D2544" s="28" t="s">
        <v>2850</v>
      </c>
      <c r="E2544" s="10">
        <v>2018</v>
      </c>
      <c r="F2544" s="36" t="str" cm="1">
        <f t="array" ref="F2544">_xlfn.XLOOKUP(D2544&amp;C2544, Sheet3!$C$2:$C$1224&amp;Sheet3!$B$2:$B$1224, Sheet3!$D$2:$D$1224, "")</f>
        <v/>
      </c>
      <c r="G2544" s="1" t="str" cm="1">
        <f t="array" ref="G2544">_xlfn.XLOOKUP(D2544&amp;C2544, Sheet2!$A$2:$A$558&amp;Sheet2!$B$2:$B$558, Sheet2!$C$2:$C$558, "")</f>
        <v/>
      </c>
      <c r="H2544" s="40" t="str">
        <f t="shared" si="39"/>
        <v/>
      </c>
    </row>
    <row r="2545" spans="1:8" ht="15.5" x14ac:dyDescent="0.35">
      <c r="A2545" s="7">
        <v>2544</v>
      </c>
      <c r="B2545" s="22">
        <v>40759</v>
      </c>
      <c r="C2545" s="13" t="s">
        <v>2310</v>
      </c>
      <c r="D2545" s="22" t="s">
        <v>2849</v>
      </c>
      <c r="E2545" s="10">
        <v>2018</v>
      </c>
      <c r="F2545" s="36" t="str" cm="1">
        <f t="array" ref="F2545">_xlfn.XLOOKUP(D2545&amp;C2545, Sheet3!$C$2:$C$1224&amp;Sheet3!$B$2:$B$1224, Sheet3!$D$2:$D$1224, "")</f>
        <v>herrysupriyanto000@gmail.com</v>
      </c>
      <c r="G2545" s="1" t="str" cm="1">
        <f t="array" ref="G2545">_xlfn.XLOOKUP(D2545&amp;C2545, Sheet2!$A$2:$A$558&amp;Sheet2!$B$2:$B$558, Sheet2!$C$2:$C$558, "")</f>
        <v>herry.supriyanto@mail.ugm.ac.id</v>
      </c>
      <c r="H2545" s="40" t="str">
        <f t="shared" si="39"/>
        <v>herrysupriyanto000@gmail.com</v>
      </c>
    </row>
    <row r="2546" spans="1:8" ht="15.5" x14ac:dyDescent="0.35">
      <c r="A2546" s="7">
        <v>2545</v>
      </c>
      <c r="B2546" s="22">
        <v>41380</v>
      </c>
      <c r="C2546" s="13" t="s">
        <v>2311</v>
      </c>
      <c r="D2546" s="22" t="s">
        <v>2850</v>
      </c>
      <c r="E2546" s="10">
        <v>2018</v>
      </c>
      <c r="F2546" s="36" t="str" cm="1">
        <f t="array" ref="F2546">_xlfn.XLOOKUP(D2546&amp;C2546, Sheet3!$C$2:$C$1224&amp;Sheet3!$B$2:$B$1224, Sheet3!$D$2:$D$1224, "")</f>
        <v/>
      </c>
      <c r="G2546" s="1" t="str" cm="1">
        <f t="array" ref="G2546">_xlfn.XLOOKUP(D2546&amp;C2546, Sheet2!$A$2:$A$558&amp;Sheet2!$B$2:$B$558, Sheet2!$C$2:$C$558, "")</f>
        <v/>
      </c>
      <c r="H2546" s="40" t="str">
        <f t="shared" si="39"/>
        <v/>
      </c>
    </row>
    <row r="2547" spans="1:8" ht="15.5" x14ac:dyDescent="0.35">
      <c r="A2547" s="7">
        <v>2546</v>
      </c>
      <c r="B2547" s="22">
        <v>42113</v>
      </c>
      <c r="C2547" s="13" t="s">
        <v>2312</v>
      </c>
      <c r="D2547" s="22" t="s">
        <v>2850</v>
      </c>
      <c r="E2547" s="10">
        <v>2018</v>
      </c>
      <c r="F2547" s="36" t="str" cm="1">
        <f t="array" ref="F2547">_xlfn.XLOOKUP(D2547&amp;C2547, Sheet3!$C$2:$C$1224&amp;Sheet3!$B$2:$B$1224, Sheet3!$D$2:$D$1224, "")</f>
        <v>Imam.ahmad.k@mail.ugm.ac.id</v>
      </c>
      <c r="G2547" s="1" t="str" cm="1">
        <f t="array" ref="G2547">_xlfn.XLOOKUP(D2547&amp;C2547, Sheet2!$A$2:$A$558&amp;Sheet2!$B$2:$B$558, Sheet2!$C$2:$C$558, "")</f>
        <v/>
      </c>
      <c r="H2547" s="40" t="str">
        <f t="shared" si="39"/>
        <v>Imam.ahmad.k@mail.ugm.ac.id</v>
      </c>
    </row>
    <row r="2548" spans="1:8" ht="15.5" x14ac:dyDescent="0.35">
      <c r="A2548" s="7">
        <v>2547</v>
      </c>
      <c r="B2548" s="17">
        <v>41873</v>
      </c>
      <c r="C2548" s="13" t="s">
        <v>2313</v>
      </c>
      <c r="D2548" s="17" t="s">
        <v>2850</v>
      </c>
      <c r="E2548" s="10">
        <v>2019</v>
      </c>
      <c r="F2548" s="36" t="str" cm="1">
        <f t="array" ref="F2548">_xlfn.XLOOKUP(D2548&amp;C2548, Sheet3!$C$2:$C$1224&amp;Sheet3!$B$2:$B$1224, Sheet3!$D$2:$D$1224, "")</f>
        <v>sutantyobudi1@gmail.com</v>
      </c>
      <c r="G2548" s="1" t="str" cm="1">
        <f t="array" ref="G2548">_xlfn.XLOOKUP(D2548&amp;C2548, Sheet2!$A$2:$A$558&amp;Sheet2!$B$2:$B$558, Sheet2!$C$2:$C$558, "")</f>
        <v/>
      </c>
      <c r="H2548" s="40" t="str">
        <f t="shared" si="39"/>
        <v>sutantyobudi1@gmail.com</v>
      </c>
    </row>
    <row r="2549" spans="1:8" ht="15.5" x14ac:dyDescent="0.35">
      <c r="A2549" s="7">
        <v>2548</v>
      </c>
      <c r="B2549" s="17">
        <v>42347</v>
      </c>
      <c r="C2549" s="13" t="s">
        <v>2314</v>
      </c>
      <c r="D2549" s="17" t="s">
        <v>2850</v>
      </c>
      <c r="E2549" s="10">
        <v>2019</v>
      </c>
      <c r="F2549" s="36" t="str" cm="1">
        <f t="array" ref="F2549">_xlfn.XLOOKUP(D2549&amp;C2549, Sheet3!$C$2:$C$1224&amp;Sheet3!$B$2:$B$1224, Sheet3!$D$2:$D$1224, "")</f>
        <v>muchammadrezanugraha@gmail.com</v>
      </c>
      <c r="G2549" s="1" t="str" cm="1">
        <f t="array" ref="G2549">_xlfn.XLOOKUP(D2549&amp;C2549, Sheet2!$A$2:$A$558&amp;Sheet2!$B$2:$B$558, Sheet2!$C$2:$C$558, "")</f>
        <v/>
      </c>
      <c r="H2549" s="40" t="str">
        <f t="shared" si="39"/>
        <v>muchammadrezanugraha@gmail.com</v>
      </c>
    </row>
    <row r="2550" spans="1:8" ht="15.5" x14ac:dyDescent="0.35">
      <c r="A2550" s="7">
        <v>2549</v>
      </c>
      <c r="B2550" s="17">
        <v>41786</v>
      </c>
      <c r="C2550" s="13" t="s">
        <v>2315</v>
      </c>
      <c r="D2550" s="17" t="s">
        <v>2850</v>
      </c>
      <c r="E2550" s="10">
        <v>2019</v>
      </c>
      <c r="F2550" s="36" t="str" cm="1">
        <f t="array" ref="F2550">_xlfn.XLOOKUP(D2550&amp;C2550, Sheet3!$C$2:$C$1224&amp;Sheet3!$B$2:$B$1224, Sheet3!$D$2:$D$1224, "")</f>
        <v>zafira1907@gmail.com</v>
      </c>
      <c r="G2550" s="1" t="str" cm="1">
        <f t="array" ref="G2550">_xlfn.XLOOKUP(D2550&amp;C2550, Sheet2!$A$2:$A$558&amp;Sheet2!$B$2:$B$558, Sheet2!$C$2:$C$558, "")</f>
        <v/>
      </c>
      <c r="H2550" s="40" t="str">
        <f t="shared" si="39"/>
        <v>zafira1907@gmail.com</v>
      </c>
    </row>
    <row r="2551" spans="1:8" ht="15.5" x14ac:dyDescent="0.35">
      <c r="A2551" s="7">
        <v>2550</v>
      </c>
      <c r="B2551" s="17">
        <v>42295</v>
      </c>
      <c r="C2551" s="13" t="s">
        <v>2316</v>
      </c>
      <c r="D2551" s="17" t="s">
        <v>2850</v>
      </c>
      <c r="E2551" s="10">
        <v>2019</v>
      </c>
      <c r="F2551" s="36" t="str" cm="1">
        <f t="array" ref="F2551">_xlfn.XLOOKUP(D2551&amp;C2551, Sheet3!$C$2:$C$1224&amp;Sheet3!$B$2:$B$1224, Sheet3!$D$2:$D$1224, "")</f>
        <v/>
      </c>
      <c r="G2551" s="1" t="str" cm="1">
        <f t="array" ref="G2551">_xlfn.XLOOKUP(D2551&amp;C2551, Sheet2!$A$2:$A$558&amp;Sheet2!$B$2:$B$558, Sheet2!$C$2:$C$558, "")</f>
        <v/>
      </c>
      <c r="H2551" s="40" t="str">
        <f t="shared" si="39"/>
        <v/>
      </c>
    </row>
    <row r="2552" spans="1:8" ht="15.5" x14ac:dyDescent="0.35">
      <c r="A2552" s="7">
        <v>2551</v>
      </c>
      <c r="B2552" s="17">
        <v>41544</v>
      </c>
      <c r="C2552" s="13" t="s">
        <v>2317</v>
      </c>
      <c r="D2552" s="17" t="s">
        <v>2850</v>
      </c>
      <c r="E2552" s="10">
        <v>2019</v>
      </c>
      <c r="F2552" s="36" t="str" cm="1">
        <f t="array" ref="F2552">_xlfn.XLOOKUP(D2552&amp;C2552, Sheet3!$C$2:$C$1224&amp;Sheet3!$B$2:$B$1224, Sheet3!$D$2:$D$1224, "")</f>
        <v/>
      </c>
      <c r="G2552" s="1" t="str" cm="1">
        <f t="array" ref="G2552">_xlfn.XLOOKUP(D2552&amp;C2552, Sheet2!$A$2:$A$558&amp;Sheet2!$B$2:$B$558, Sheet2!$C$2:$C$558, "")</f>
        <v/>
      </c>
      <c r="H2552" s="40" t="str">
        <f t="shared" si="39"/>
        <v/>
      </c>
    </row>
    <row r="2553" spans="1:8" ht="15.5" x14ac:dyDescent="0.35">
      <c r="A2553" s="7">
        <v>2552</v>
      </c>
      <c r="B2553" s="17">
        <v>41906</v>
      </c>
      <c r="C2553" s="13" t="s">
        <v>2318</v>
      </c>
      <c r="D2553" s="17" t="s">
        <v>2850</v>
      </c>
      <c r="E2553" s="10">
        <v>2019</v>
      </c>
      <c r="F2553" s="36" t="str" cm="1">
        <f t="array" ref="F2553">_xlfn.XLOOKUP(D2553&amp;C2553, Sheet3!$C$2:$C$1224&amp;Sheet3!$B$2:$B$1224, Sheet3!$D$2:$D$1224, "")</f>
        <v>wnmrrr@gmail.com</v>
      </c>
      <c r="G2553" s="1" t="str" cm="1">
        <f t="array" ref="G2553">_xlfn.XLOOKUP(D2553&amp;C2553, Sheet2!$A$2:$A$558&amp;Sheet2!$B$2:$B$558, Sheet2!$C$2:$C$558, "")</f>
        <v/>
      </c>
      <c r="H2553" s="40" t="str">
        <f t="shared" si="39"/>
        <v>wnmrrr@gmail.com</v>
      </c>
    </row>
    <row r="2554" spans="1:8" ht="15.5" x14ac:dyDescent="0.35">
      <c r="A2554" s="7">
        <v>2553</v>
      </c>
      <c r="B2554" s="17">
        <v>41948</v>
      </c>
      <c r="C2554" s="13" t="s">
        <v>2319</v>
      </c>
      <c r="D2554" s="17" t="s">
        <v>2850</v>
      </c>
      <c r="E2554" s="10">
        <v>2019</v>
      </c>
      <c r="F2554" s="36" t="str" cm="1">
        <f t="array" ref="F2554">_xlfn.XLOOKUP(D2554&amp;C2554, Sheet3!$C$2:$C$1224&amp;Sheet3!$B$2:$B$1224, Sheet3!$D$2:$D$1224, "")</f>
        <v>ais.amini96@gmail.com</v>
      </c>
      <c r="G2554" s="1" t="str" cm="1">
        <f t="array" ref="G2554">_xlfn.XLOOKUP(D2554&amp;C2554, Sheet2!$A$2:$A$558&amp;Sheet2!$B$2:$B$558, Sheet2!$C$2:$C$558, "")</f>
        <v/>
      </c>
      <c r="H2554" s="40" t="str">
        <f t="shared" si="39"/>
        <v>ais.amini96@gmail.com</v>
      </c>
    </row>
    <row r="2555" spans="1:8" ht="15.5" x14ac:dyDescent="0.35">
      <c r="A2555" s="7">
        <v>2554</v>
      </c>
      <c r="B2555" s="17">
        <v>41838</v>
      </c>
      <c r="C2555" s="13" t="s">
        <v>2320</v>
      </c>
      <c r="D2555" s="17" t="s">
        <v>2850</v>
      </c>
      <c r="E2555" s="10">
        <v>2019</v>
      </c>
      <c r="F2555" s="36" t="str" cm="1">
        <f t="array" ref="F2555">_xlfn.XLOOKUP(D2555&amp;C2555, Sheet3!$C$2:$C$1224&amp;Sheet3!$B$2:$B$1224, Sheet3!$D$2:$D$1224, "")</f>
        <v/>
      </c>
      <c r="G2555" s="1" t="str" cm="1">
        <f t="array" ref="G2555">_xlfn.XLOOKUP(D2555&amp;C2555, Sheet2!$A$2:$A$558&amp;Sheet2!$B$2:$B$558, Sheet2!$C$2:$C$558, "")</f>
        <v/>
      </c>
      <c r="H2555" s="40" t="str">
        <f t="shared" si="39"/>
        <v/>
      </c>
    </row>
    <row r="2556" spans="1:8" ht="15.5" x14ac:dyDescent="0.35">
      <c r="A2556" s="7">
        <v>2555</v>
      </c>
      <c r="B2556" s="17">
        <v>40745</v>
      </c>
      <c r="C2556" s="13" t="s">
        <v>2321</v>
      </c>
      <c r="D2556" s="17" t="s">
        <v>2849</v>
      </c>
      <c r="E2556" s="10">
        <v>2019</v>
      </c>
      <c r="F2556" s="36" t="str" cm="1">
        <f t="array" ref="F2556">_xlfn.XLOOKUP(D2556&amp;C2556, Sheet3!$C$2:$C$1224&amp;Sheet3!$B$2:$B$1224, Sheet3!$D$2:$D$1224, "")</f>
        <v/>
      </c>
      <c r="G2556" s="1" t="str" cm="1">
        <f t="array" ref="G2556">_xlfn.XLOOKUP(D2556&amp;C2556, Sheet2!$A$2:$A$558&amp;Sheet2!$B$2:$B$558, Sheet2!$C$2:$C$558, "")</f>
        <v/>
      </c>
      <c r="H2556" s="40" t="str">
        <f t="shared" si="39"/>
        <v/>
      </c>
    </row>
    <row r="2557" spans="1:8" ht="15.5" x14ac:dyDescent="0.35">
      <c r="A2557" s="7">
        <v>2556</v>
      </c>
      <c r="B2557" s="17">
        <v>41820</v>
      </c>
      <c r="C2557" s="13" t="s">
        <v>2322</v>
      </c>
      <c r="D2557" s="17" t="s">
        <v>2850</v>
      </c>
      <c r="E2557" s="10">
        <v>2019</v>
      </c>
      <c r="F2557" s="36" t="str" cm="1">
        <f t="array" ref="F2557">_xlfn.XLOOKUP(D2557&amp;C2557, Sheet3!$C$2:$C$1224&amp;Sheet3!$B$2:$B$1224, Sheet3!$D$2:$D$1224, "")</f>
        <v>arezapahlevi.12@gmail.com</v>
      </c>
      <c r="G2557" s="1" t="str" cm="1">
        <f t="array" ref="G2557">_xlfn.XLOOKUP(D2557&amp;C2557, Sheet2!$A$2:$A$558&amp;Sheet2!$B$2:$B$558, Sheet2!$C$2:$C$558, "")</f>
        <v/>
      </c>
      <c r="H2557" s="40" t="str">
        <f t="shared" si="39"/>
        <v>arezapahlevi.12@gmail.com</v>
      </c>
    </row>
    <row r="2558" spans="1:8" ht="15.5" x14ac:dyDescent="0.35">
      <c r="A2558" s="7">
        <v>2557</v>
      </c>
      <c r="B2558" s="17">
        <v>40756</v>
      </c>
      <c r="C2558" s="13" t="s">
        <v>2323</v>
      </c>
      <c r="D2558" s="17" t="s">
        <v>2849</v>
      </c>
      <c r="E2558" s="10">
        <v>2019</v>
      </c>
      <c r="F2558" s="36" t="str" cm="1">
        <f t="array" ref="F2558">_xlfn.XLOOKUP(D2558&amp;C2558, Sheet3!$C$2:$C$1224&amp;Sheet3!$B$2:$B$1224, Sheet3!$D$2:$D$1224, "")</f>
        <v/>
      </c>
      <c r="G2558" s="1" t="str" cm="1">
        <f t="array" ref="G2558">_xlfn.XLOOKUP(D2558&amp;C2558, Sheet2!$A$2:$A$558&amp;Sheet2!$B$2:$B$558, Sheet2!$C$2:$C$558, "")</f>
        <v>khanzaalifta@gmail.com</v>
      </c>
      <c r="H2558" s="40" t="str">
        <f t="shared" si="39"/>
        <v>khanzaalifta@gmail.com</v>
      </c>
    </row>
    <row r="2559" spans="1:8" ht="15.5" x14ac:dyDescent="0.35">
      <c r="A2559" s="7">
        <v>2558</v>
      </c>
      <c r="B2559" s="17">
        <v>42839</v>
      </c>
      <c r="C2559" s="13" t="s">
        <v>2324</v>
      </c>
      <c r="D2559" s="17" t="s">
        <v>2851</v>
      </c>
      <c r="E2559" s="10">
        <v>2019</v>
      </c>
      <c r="F2559" s="36" t="str" cm="1">
        <f t="array" ref="F2559">_xlfn.XLOOKUP(D2559&amp;C2559, Sheet3!$C$2:$C$1224&amp;Sheet3!$B$2:$B$1224, Sheet3!$D$2:$D$1224, "")</f>
        <v/>
      </c>
      <c r="G2559" s="1" t="str" cm="1">
        <f t="array" ref="G2559">_xlfn.XLOOKUP(D2559&amp;C2559, Sheet2!$A$2:$A$558&amp;Sheet2!$B$2:$B$558, Sheet2!$C$2:$C$558, "")</f>
        <v/>
      </c>
      <c r="H2559" s="40" t="str">
        <f t="shared" si="39"/>
        <v/>
      </c>
    </row>
    <row r="2560" spans="1:8" ht="15.5" x14ac:dyDescent="0.35">
      <c r="A2560" s="7">
        <v>2559</v>
      </c>
      <c r="B2560" s="17">
        <v>41880</v>
      </c>
      <c r="C2560" s="13" t="s">
        <v>2325</v>
      </c>
      <c r="D2560" s="17" t="s">
        <v>2850</v>
      </c>
      <c r="E2560" s="10">
        <v>2019</v>
      </c>
      <c r="F2560" s="36" t="str" cm="1">
        <f t="array" ref="F2560">_xlfn.XLOOKUP(D2560&amp;C2560, Sheet3!$C$2:$C$1224&amp;Sheet3!$B$2:$B$1224, Sheet3!$D$2:$D$1224, "")</f>
        <v/>
      </c>
      <c r="G2560" s="1" t="str" cm="1">
        <f t="array" ref="G2560">_xlfn.XLOOKUP(D2560&amp;C2560, Sheet2!$A$2:$A$558&amp;Sheet2!$B$2:$B$558, Sheet2!$C$2:$C$558, "")</f>
        <v/>
      </c>
      <c r="H2560" s="40" t="str">
        <f t="shared" si="39"/>
        <v/>
      </c>
    </row>
    <row r="2561" spans="1:8" ht="15.5" x14ac:dyDescent="0.35">
      <c r="A2561" s="7">
        <v>2560</v>
      </c>
      <c r="B2561" s="17">
        <v>41766</v>
      </c>
      <c r="C2561" s="13" t="s">
        <v>2326</v>
      </c>
      <c r="D2561" s="17" t="s">
        <v>2850</v>
      </c>
      <c r="E2561" s="10">
        <v>2019</v>
      </c>
      <c r="F2561" s="36" t="str" cm="1">
        <f t="array" ref="F2561">_xlfn.XLOOKUP(D2561&amp;C2561, Sheet3!$C$2:$C$1224&amp;Sheet3!$B$2:$B$1224, Sheet3!$D$2:$D$1224, "")</f>
        <v>frohmatulloh@gmail.com</v>
      </c>
      <c r="G2561" s="1" t="str" cm="1">
        <f t="array" ref="G2561">_xlfn.XLOOKUP(D2561&amp;C2561, Sheet2!$A$2:$A$558&amp;Sheet2!$B$2:$B$558, Sheet2!$C$2:$C$558, "")</f>
        <v/>
      </c>
      <c r="H2561" s="40" t="str">
        <f t="shared" si="39"/>
        <v>frohmatulloh@gmail.com</v>
      </c>
    </row>
    <row r="2562" spans="1:8" ht="15.5" x14ac:dyDescent="0.35">
      <c r="A2562" s="7">
        <v>2561</v>
      </c>
      <c r="B2562" s="17">
        <v>41783</v>
      </c>
      <c r="C2562" s="13" t="s">
        <v>2327</v>
      </c>
      <c r="D2562" s="17" t="s">
        <v>2850</v>
      </c>
      <c r="E2562" s="10">
        <v>2019</v>
      </c>
      <c r="F2562" s="36" t="str" cm="1">
        <f t="array" ref="F2562">_xlfn.XLOOKUP(D2562&amp;C2562, Sheet3!$C$2:$C$1224&amp;Sheet3!$B$2:$B$1224, Sheet3!$D$2:$D$1224, "")</f>
        <v>Mdarizfauzan@gmail.com</v>
      </c>
      <c r="G2562" s="1" t="str" cm="1">
        <f t="array" ref="G2562">_xlfn.XLOOKUP(D2562&amp;C2562, Sheet2!$A$2:$A$558&amp;Sheet2!$B$2:$B$558, Sheet2!$C$2:$C$558, "")</f>
        <v/>
      </c>
      <c r="H2562" s="40" t="str">
        <f t="shared" si="39"/>
        <v>Mdarizfauzan@gmail.com</v>
      </c>
    </row>
    <row r="2563" spans="1:8" ht="15.5" x14ac:dyDescent="0.35">
      <c r="A2563" s="7">
        <v>2562</v>
      </c>
      <c r="B2563" s="17">
        <v>43193</v>
      </c>
      <c r="C2563" s="13" t="s">
        <v>2328</v>
      </c>
      <c r="D2563" s="17" t="s">
        <v>2851</v>
      </c>
      <c r="E2563" s="10">
        <v>2019</v>
      </c>
      <c r="F2563" s="36" t="str" cm="1">
        <f t="array" ref="F2563">_xlfn.XLOOKUP(D2563&amp;C2563, Sheet3!$C$2:$C$1224&amp;Sheet3!$B$2:$B$1224, Sheet3!$D$2:$D$1224, "")</f>
        <v>businessbaju@gmail.com</v>
      </c>
      <c r="G2563" s="1" t="str" cm="1">
        <f t="array" ref="G2563">_xlfn.XLOOKUP(D2563&amp;C2563, Sheet2!$A$2:$A$558&amp;Sheet2!$B$2:$B$558, Sheet2!$C$2:$C$558, "")</f>
        <v/>
      </c>
      <c r="H2563" s="40" t="str">
        <f t="shared" ref="H2563:H2626" si="40">IF(F2563&lt;&gt;"",F2563,G2563)</f>
        <v>businessbaju@gmail.com</v>
      </c>
    </row>
    <row r="2564" spans="1:8" ht="15.5" x14ac:dyDescent="0.35">
      <c r="A2564" s="7">
        <v>2563</v>
      </c>
      <c r="B2564" s="17">
        <v>42848</v>
      </c>
      <c r="C2564" s="13" t="s">
        <v>2329</v>
      </c>
      <c r="D2564" s="17" t="s">
        <v>2851</v>
      </c>
      <c r="E2564" s="10">
        <v>2019</v>
      </c>
      <c r="F2564" s="36" t="str" cm="1">
        <f t="array" ref="F2564">_xlfn.XLOOKUP(D2564&amp;C2564, Sheet3!$C$2:$C$1224&amp;Sheet3!$B$2:$B$1224, Sheet3!$D$2:$D$1224, "")</f>
        <v>bwahyu12@gmail.com</v>
      </c>
      <c r="G2564" s="1" t="str" cm="1">
        <f t="array" ref="G2564">_xlfn.XLOOKUP(D2564&amp;C2564, Sheet2!$A$2:$A$558&amp;Sheet2!$B$2:$B$558, Sheet2!$C$2:$C$558, "")</f>
        <v/>
      </c>
      <c r="H2564" s="40" t="str">
        <f t="shared" si="40"/>
        <v>bwahyu12@gmail.com</v>
      </c>
    </row>
    <row r="2565" spans="1:8" ht="15.5" x14ac:dyDescent="0.35">
      <c r="A2565" s="7">
        <v>2564</v>
      </c>
      <c r="B2565" s="17">
        <v>42603</v>
      </c>
      <c r="C2565" s="13" t="s">
        <v>2330</v>
      </c>
      <c r="D2565" s="17" t="s">
        <v>2850</v>
      </c>
      <c r="E2565" s="10">
        <v>2019</v>
      </c>
      <c r="F2565" s="36" t="str" cm="1">
        <f t="array" ref="F2565">_xlfn.XLOOKUP(D2565&amp;C2565, Sheet3!$C$2:$C$1224&amp;Sheet3!$B$2:$B$1224, Sheet3!$D$2:$D$1224, "")</f>
        <v>radohaloho30@gmail.com</v>
      </c>
      <c r="G2565" s="1" t="str" cm="1">
        <f t="array" ref="G2565">_xlfn.XLOOKUP(D2565&amp;C2565, Sheet2!$A$2:$A$558&amp;Sheet2!$B$2:$B$558, Sheet2!$C$2:$C$558, "")</f>
        <v/>
      </c>
      <c r="H2565" s="40" t="str">
        <f t="shared" si="40"/>
        <v>radohaloho30@gmail.com</v>
      </c>
    </row>
    <row r="2566" spans="1:8" ht="15.5" x14ac:dyDescent="0.35">
      <c r="A2566" s="7">
        <v>2565</v>
      </c>
      <c r="B2566" s="17">
        <v>43367</v>
      </c>
      <c r="C2566" s="13" t="s">
        <v>2331</v>
      </c>
      <c r="D2566" s="17" t="s">
        <v>2851</v>
      </c>
      <c r="E2566" s="10">
        <v>2019</v>
      </c>
      <c r="F2566" s="36" t="str" cm="1">
        <f t="array" ref="F2566">_xlfn.XLOOKUP(D2566&amp;C2566, Sheet3!$C$2:$C$1224&amp;Sheet3!$B$2:$B$1224, Sheet3!$D$2:$D$1224, "")</f>
        <v/>
      </c>
      <c r="G2566" s="1" t="str" cm="1">
        <f t="array" ref="G2566">_xlfn.XLOOKUP(D2566&amp;C2566, Sheet2!$A$2:$A$558&amp;Sheet2!$B$2:$B$558, Sheet2!$C$2:$C$558, "")</f>
        <v>fuadbw97@gmail.com</v>
      </c>
      <c r="H2566" s="40" t="str">
        <f t="shared" si="40"/>
        <v>fuadbw97@gmail.com</v>
      </c>
    </row>
    <row r="2567" spans="1:8" ht="15.5" x14ac:dyDescent="0.35">
      <c r="A2567" s="7">
        <v>2566</v>
      </c>
      <c r="B2567" s="17">
        <v>42832</v>
      </c>
      <c r="C2567" s="13" t="s">
        <v>2332</v>
      </c>
      <c r="D2567" s="17" t="s">
        <v>2851</v>
      </c>
      <c r="E2567" s="10">
        <v>2019</v>
      </c>
      <c r="F2567" s="36" t="str" cm="1">
        <f t="array" ref="F2567">_xlfn.XLOOKUP(D2567&amp;C2567, Sheet3!$C$2:$C$1224&amp;Sheet3!$B$2:$B$1224, Sheet3!$D$2:$D$1224, "")</f>
        <v>krishnafitranto@gmail.com</v>
      </c>
      <c r="G2567" s="1" t="str" cm="1">
        <f t="array" ref="G2567">_xlfn.XLOOKUP(D2567&amp;C2567, Sheet2!$A$2:$A$558&amp;Sheet2!$B$2:$B$558, Sheet2!$C$2:$C$558, "")</f>
        <v/>
      </c>
      <c r="H2567" s="40" t="str">
        <f t="shared" si="40"/>
        <v>krishnafitranto@gmail.com</v>
      </c>
    </row>
    <row r="2568" spans="1:8" ht="15.5" x14ac:dyDescent="0.35">
      <c r="A2568" s="7">
        <v>2567</v>
      </c>
      <c r="B2568" s="17">
        <v>43645</v>
      </c>
      <c r="C2568" s="13" t="s">
        <v>2333</v>
      </c>
      <c r="D2568" s="17" t="s">
        <v>2851</v>
      </c>
      <c r="E2568" s="10">
        <v>2019</v>
      </c>
      <c r="F2568" s="36" t="str" cm="1">
        <f t="array" ref="F2568">_xlfn.XLOOKUP(D2568&amp;C2568, Sheet3!$C$2:$C$1224&amp;Sheet3!$B$2:$B$1224, Sheet3!$D$2:$D$1224, "")</f>
        <v/>
      </c>
      <c r="G2568" s="1" t="str" cm="1">
        <f t="array" ref="G2568">_xlfn.XLOOKUP(D2568&amp;C2568, Sheet2!$A$2:$A$558&amp;Sheet2!$B$2:$B$558, Sheet2!$C$2:$C$558, "")</f>
        <v/>
      </c>
      <c r="H2568" s="40" t="str">
        <f t="shared" si="40"/>
        <v/>
      </c>
    </row>
    <row r="2569" spans="1:8" ht="15.5" x14ac:dyDescent="0.35">
      <c r="A2569" s="7">
        <v>2568</v>
      </c>
      <c r="B2569" s="17">
        <v>43366</v>
      </c>
      <c r="C2569" s="13" t="s">
        <v>2334</v>
      </c>
      <c r="D2569" s="17" t="s">
        <v>2851</v>
      </c>
      <c r="E2569" s="10">
        <v>2019</v>
      </c>
      <c r="F2569" s="36" t="str" cm="1">
        <f t="array" ref="F2569">_xlfn.XLOOKUP(D2569&amp;C2569, Sheet3!$C$2:$C$1224&amp;Sheet3!$B$2:$B$1224, Sheet3!$D$2:$D$1224, "")</f>
        <v>eric.kurniawan.ugm@gmail.com</v>
      </c>
      <c r="G2569" s="1" t="str" cm="1">
        <f t="array" ref="G2569">_xlfn.XLOOKUP(D2569&amp;C2569, Sheet2!$A$2:$A$558&amp;Sheet2!$B$2:$B$558, Sheet2!$C$2:$C$558, "")</f>
        <v>eric.kurniawan.ugm@gmail.com</v>
      </c>
      <c r="H2569" s="40" t="str">
        <f t="shared" si="40"/>
        <v>eric.kurniawan.ugm@gmail.com</v>
      </c>
    </row>
    <row r="2570" spans="1:8" ht="15.5" x14ac:dyDescent="0.35">
      <c r="A2570" s="7">
        <v>2569</v>
      </c>
      <c r="B2570" s="17">
        <v>42836</v>
      </c>
      <c r="C2570" s="13" t="s">
        <v>2335</v>
      </c>
      <c r="D2570" s="17" t="s">
        <v>2851</v>
      </c>
      <c r="E2570" s="10">
        <v>2019</v>
      </c>
      <c r="F2570" s="36" t="str" cm="1">
        <f t="array" ref="F2570">_xlfn.XLOOKUP(D2570&amp;C2570, Sheet3!$C$2:$C$1224&amp;Sheet3!$B$2:$B$1224, Sheet3!$D$2:$D$1224, "")</f>
        <v/>
      </c>
      <c r="G2570" s="1" t="str" cm="1">
        <f t="array" ref="G2570">_xlfn.XLOOKUP(D2570&amp;C2570, Sheet2!$A$2:$A$558&amp;Sheet2!$B$2:$B$558, Sheet2!$C$2:$C$558, "")</f>
        <v/>
      </c>
      <c r="H2570" s="40" t="str">
        <f t="shared" si="40"/>
        <v/>
      </c>
    </row>
    <row r="2571" spans="1:8" ht="15.5" x14ac:dyDescent="0.35">
      <c r="A2571" s="7">
        <v>2570</v>
      </c>
      <c r="B2571" s="17">
        <v>42837</v>
      </c>
      <c r="C2571" s="13" t="s">
        <v>2336</v>
      </c>
      <c r="D2571" s="17" t="s">
        <v>2851</v>
      </c>
      <c r="E2571" s="10">
        <v>2019</v>
      </c>
      <c r="F2571" s="36" t="str" cm="1">
        <f t="array" ref="F2571">_xlfn.XLOOKUP(D2571&amp;C2571, Sheet3!$C$2:$C$1224&amp;Sheet3!$B$2:$B$1224, Sheet3!$D$2:$D$1224, "")</f>
        <v>nadyahaniffam@gmail.com</v>
      </c>
      <c r="G2571" s="1" t="str" cm="1">
        <f t="array" ref="G2571">_xlfn.XLOOKUP(D2571&amp;C2571, Sheet2!$A$2:$A$558&amp;Sheet2!$B$2:$B$558, Sheet2!$C$2:$C$558, "")</f>
        <v/>
      </c>
      <c r="H2571" s="40" t="str">
        <f t="shared" si="40"/>
        <v>nadyahaniffam@gmail.com</v>
      </c>
    </row>
    <row r="2572" spans="1:8" ht="15.5" x14ac:dyDescent="0.35">
      <c r="A2572" s="7">
        <v>2571</v>
      </c>
      <c r="B2572" s="17">
        <v>41861</v>
      </c>
      <c r="C2572" s="13" t="s">
        <v>2337</v>
      </c>
      <c r="D2572" s="17" t="s">
        <v>2850</v>
      </c>
      <c r="E2572" s="10">
        <v>2019</v>
      </c>
      <c r="F2572" s="36" t="str" cm="1">
        <f t="array" ref="F2572">_xlfn.XLOOKUP(D2572&amp;C2572, Sheet3!$C$2:$C$1224&amp;Sheet3!$B$2:$B$1224, Sheet3!$D$2:$D$1224, "")</f>
        <v/>
      </c>
      <c r="G2572" s="1" t="str" cm="1">
        <f t="array" ref="G2572">_xlfn.XLOOKUP(D2572&amp;C2572, Sheet2!$A$2:$A$558&amp;Sheet2!$B$2:$B$558, Sheet2!$C$2:$C$558, "")</f>
        <v/>
      </c>
      <c r="H2572" s="40" t="str">
        <f t="shared" si="40"/>
        <v/>
      </c>
    </row>
    <row r="2573" spans="1:8" ht="15.5" x14ac:dyDescent="0.35">
      <c r="A2573" s="7">
        <v>2572</v>
      </c>
      <c r="B2573" s="17">
        <v>43185</v>
      </c>
      <c r="C2573" s="13" t="s">
        <v>2338</v>
      </c>
      <c r="D2573" s="17" t="s">
        <v>2851</v>
      </c>
      <c r="E2573" s="10">
        <v>2019</v>
      </c>
      <c r="F2573" s="36" t="str" cm="1">
        <f t="array" ref="F2573">_xlfn.XLOOKUP(D2573&amp;C2573, Sheet3!$C$2:$C$1224&amp;Sheet3!$B$2:$B$1224, Sheet3!$D$2:$D$1224, "")</f>
        <v>prijadifarahmitha@gmail.com</v>
      </c>
      <c r="G2573" s="1" t="str" cm="1">
        <f t="array" ref="G2573">_xlfn.XLOOKUP(D2573&amp;C2573, Sheet2!$A$2:$A$558&amp;Sheet2!$B$2:$B$558, Sheet2!$C$2:$C$558, "")</f>
        <v>prijadifarahmitha@gmail.com</v>
      </c>
      <c r="H2573" s="40" t="str">
        <f t="shared" si="40"/>
        <v>prijadifarahmitha@gmail.com</v>
      </c>
    </row>
    <row r="2574" spans="1:8" ht="15.5" x14ac:dyDescent="0.35">
      <c r="A2574" s="7">
        <v>2573</v>
      </c>
      <c r="B2574" s="17">
        <v>41360</v>
      </c>
      <c r="C2574" s="13" t="s">
        <v>2339</v>
      </c>
      <c r="D2574" s="17" t="s">
        <v>2849</v>
      </c>
      <c r="E2574" s="10">
        <v>2019</v>
      </c>
      <c r="F2574" s="36" t="str" cm="1">
        <f t="array" ref="F2574">_xlfn.XLOOKUP(D2574&amp;C2574, Sheet3!$C$2:$C$1224&amp;Sheet3!$B$2:$B$1224, Sheet3!$D$2:$D$1224, "")</f>
        <v/>
      </c>
      <c r="G2574" s="1" t="str" cm="1">
        <f t="array" ref="G2574">_xlfn.XLOOKUP(D2574&amp;C2574, Sheet2!$A$2:$A$558&amp;Sheet2!$B$2:$B$558, Sheet2!$C$2:$C$558, "")</f>
        <v>syamsudinalamin95@gmail.com</v>
      </c>
      <c r="H2574" s="40" t="str">
        <f t="shared" si="40"/>
        <v>syamsudinalamin95@gmail.com</v>
      </c>
    </row>
    <row r="2575" spans="1:8" ht="15.5" x14ac:dyDescent="0.35">
      <c r="A2575" s="7">
        <v>2574</v>
      </c>
      <c r="B2575" s="17">
        <v>42818</v>
      </c>
      <c r="C2575" s="13" t="s">
        <v>2340</v>
      </c>
      <c r="D2575" s="17" t="s">
        <v>2851</v>
      </c>
      <c r="E2575" s="10">
        <v>2019</v>
      </c>
      <c r="F2575" s="36" t="str" cm="1">
        <f t="array" ref="F2575">_xlfn.XLOOKUP(D2575&amp;C2575, Sheet3!$C$2:$C$1224&amp;Sheet3!$B$2:$B$1224, Sheet3!$D$2:$D$1224, "")</f>
        <v>akmalwahyuf@gmail.com</v>
      </c>
      <c r="G2575" s="1" t="str" cm="1">
        <f t="array" ref="G2575">_xlfn.XLOOKUP(D2575&amp;C2575, Sheet2!$A$2:$A$558&amp;Sheet2!$B$2:$B$558, Sheet2!$C$2:$C$558, "")</f>
        <v>akmalwahyuf@gmail.com</v>
      </c>
      <c r="H2575" s="40" t="str">
        <f t="shared" si="40"/>
        <v>akmalwahyuf@gmail.com</v>
      </c>
    </row>
    <row r="2576" spans="1:8" ht="15.5" x14ac:dyDescent="0.35">
      <c r="A2576" s="7">
        <v>2575</v>
      </c>
      <c r="B2576" s="17">
        <v>43649</v>
      </c>
      <c r="C2576" s="13" t="s">
        <v>2341</v>
      </c>
      <c r="D2576" s="17" t="s">
        <v>2851</v>
      </c>
      <c r="E2576" s="10">
        <v>2019</v>
      </c>
      <c r="F2576" s="36" t="str" cm="1">
        <f t="array" ref="F2576">_xlfn.XLOOKUP(D2576&amp;C2576, Sheet3!$C$2:$C$1224&amp;Sheet3!$B$2:$B$1224, Sheet3!$D$2:$D$1224, "")</f>
        <v/>
      </c>
      <c r="G2576" s="1" t="str" cm="1">
        <f t="array" ref="G2576">_xlfn.XLOOKUP(D2576&amp;C2576, Sheet2!$A$2:$A$558&amp;Sheet2!$B$2:$B$558, Sheet2!$C$2:$C$558, "")</f>
        <v/>
      </c>
      <c r="H2576" s="40" t="str">
        <f t="shared" si="40"/>
        <v/>
      </c>
    </row>
    <row r="2577" spans="1:8" ht="15.5" x14ac:dyDescent="0.35">
      <c r="A2577" s="7">
        <v>2576</v>
      </c>
      <c r="B2577" s="17">
        <v>43668</v>
      </c>
      <c r="C2577" s="13" t="s">
        <v>2342</v>
      </c>
      <c r="D2577" s="17" t="s">
        <v>2851</v>
      </c>
      <c r="E2577" s="10">
        <v>2019</v>
      </c>
      <c r="F2577" s="36" t="str" cm="1">
        <f t="array" ref="F2577">_xlfn.XLOOKUP(D2577&amp;C2577, Sheet3!$C$2:$C$1224&amp;Sheet3!$B$2:$B$1224, Sheet3!$D$2:$D$1224, "")</f>
        <v/>
      </c>
      <c r="G2577" s="1" t="str" cm="1">
        <f t="array" ref="G2577">_xlfn.XLOOKUP(D2577&amp;C2577, Sheet2!$A$2:$A$558&amp;Sheet2!$B$2:$B$558, Sheet2!$C$2:$C$558, "")</f>
        <v/>
      </c>
      <c r="H2577" s="40" t="str">
        <f t="shared" si="40"/>
        <v/>
      </c>
    </row>
    <row r="2578" spans="1:8" ht="15.5" x14ac:dyDescent="0.35">
      <c r="A2578" s="7">
        <v>2577</v>
      </c>
      <c r="B2578" s="17">
        <v>42817</v>
      </c>
      <c r="C2578" s="13" t="s">
        <v>2343</v>
      </c>
      <c r="D2578" s="17" t="s">
        <v>2851</v>
      </c>
      <c r="E2578" s="10">
        <v>2019</v>
      </c>
      <c r="F2578" s="36" t="str" cm="1">
        <f t="array" ref="F2578">_xlfn.XLOOKUP(D2578&amp;C2578, Sheet3!$C$2:$C$1224&amp;Sheet3!$B$2:$B$1224, Sheet3!$D$2:$D$1224, "")</f>
        <v>akhlisherinpp@gmail.com</v>
      </c>
      <c r="G2578" s="1" t="str" cm="1">
        <f t="array" ref="G2578">_xlfn.XLOOKUP(D2578&amp;C2578, Sheet2!$A$2:$A$558&amp;Sheet2!$B$2:$B$558, Sheet2!$C$2:$C$558, "")</f>
        <v/>
      </c>
      <c r="H2578" s="40" t="str">
        <f t="shared" si="40"/>
        <v>akhlisherinpp@gmail.com</v>
      </c>
    </row>
    <row r="2579" spans="1:8" ht="15.5" x14ac:dyDescent="0.35">
      <c r="A2579" s="7">
        <v>2578</v>
      </c>
      <c r="B2579" s="17">
        <v>42833</v>
      </c>
      <c r="C2579" s="13" t="s">
        <v>2344</v>
      </c>
      <c r="D2579" s="17" t="s">
        <v>2851</v>
      </c>
      <c r="E2579" s="10">
        <v>2019</v>
      </c>
      <c r="F2579" s="36" t="str" cm="1">
        <f t="array" ref="F2579">_xlfn.XLOOKUP(D2579&amp;C2579, Sheet3!$C$2:$C$1224&amp;Sheet3!$B$2:$B$1224, Sheet3!$D$2:$D$1224, "")</f>
        <v/>
      </c>
      <c r="G2579" s="1" t="str" cm="1">
        <f t="array" ref="G2579">_xlfn.XLOOKUP(D2579&amp;C2579, Sheet2!$A$2:$A$558&amp;Sheet2!$B$2:$B$558, Sheet2!$C$2:$C$558, "")</f>
        <v/>
      </c>
      <c r="H2579" s="40" t="str">
        <f t="shared" si="40"/>
        <v/>
      </c>
    </row>
    <row r="2580" spans="1:8" ht="15.5" x14ac:dyDescent="0.35">
      <c r="A2580" s="7">
        <v>2579</v>
      </c>
      <c r="B2580" s="17">
        <v>43192</v>
      </c>
      <c r="C2580" s="13" t="s">
        <v>2345</v>
      </c>
      <c r="D2580" s="17" t="s">
        <v>2851</v>
      </c>
      <c r="E2580" s="10">
        <v>2019</v>
      </c>
      <c r="F2580" s="36" t="str" cm="1">
        <f t="array" ref="F2580">_xlfn.XLOOKUP(D2580&amp;C2580, Sheet3!$C$2:$C$1224&amp;Sheet3!$B$2:$B$1224, Sheet3!$D$2:$D$1224, "")</f>
        <v/>
      </c>
      <c r="G2580" s="1" t="str" cm="1">
        <f t="array" ref="G2580">_xlfn.XLOOKUP(D2580&amp;C2580, Sheet2!$A$2:$A$558&amp;Sheet2!$B$2:$B$558, Sheet2!$C$2:$C$558, "")</f>
        <v/>
      </c>
      <c r="H2580" s="40" t="str">
        <f t="shared" si="40"/>
        <v/>
      </c>
    </row>
    <row r="2581" spans="1:8" ht="15.5" x14ac:dyDescent="0.35">
      <c r="A2581" s="7">
        <v>2580</v>
      </c>
      <c r="B2581" s="17">
        <v>42297</v>
      </c>
      <c r="C2581" s="13" t="s">
        <v>2346</v>
      </c>
      <c r="D2581" s="17" t="s">
        <v>2850</v>
      </c>
      <c r="E2581" s="10">
        <v>2019</v>
      </c>
      <c r="F2581" s="36" t="str" cm="1">
        <f t="array" ref="F2581">_xlfn.XLOOKUP(D2581&amp;C2581, Sheet3!$C$2:$C$1224&amp;Sheet3!$B$2:$B$1224, Sheet3!$D$2:$D$1224, "")</f>
        <v>mf.ruffendi@gmail.com</v>
      </c>
      <c r="G2581" s="1" t="str" cm="1">
        <f t="array" ref="G2581">_xlfn.XLOOKUP(D2581&amp;C2581, Sheet2!$A$2:$A$558&amp;Sheet2!$B$2:$B$558, Sheet2!$C$2:$C$558, "")</f>
        <v/>
      </c>
      <c r="H2581" s="40" t="str">
        <f t="shared" si="40"/>
        <v>mf.ruffendi@gmail.com</v>
      </c>
    </row>
    <row r="2582" spans="1:8" ht="15.5" x14ac:dyDescent="0.35">
      <c r="A2582" s="7">
        <v>2581</v>
      </c>
      <c r="B2582" s="17">
        <v>42844</v>
      </c>
      <c r="C2582" s="13" t="s">
        <v>2347</v>
      </c>
      <c r="D2582" s="17" t="s">
        <v>2851</v>
      </c>
      <c r="E2582" s="10">
        <v>2019</v>
      </c>
      <c r="F2582" s="36" t="str" cm="1">
        <f t="array" ref="F2582">_xlfn.XLOOKUP(D2582&amp;C2582, Sheet3!$C$2:$C$1224&amp;Sheet3!$B$2:$B$1224, Sheet3!$D$2:$D$1224, "")</f>
        <v/>
      </c>
      <c r="G2582" s="1" t="str" cm="1">
        <f t="array" ref="G2582">_xlfn.XLOOKUP(D2582&amp;C2582, Sheet2!$A$2:$A$558&amp;Sheet2!$B$2:$B$558, Sheet2!$C$2:$C$558, "")</f>
        <v/>
      </c>
      <c r="H2582" s="40" t="str">
        <f t="shared" si="40"/>
        <v/>
      </c>
    </row>
    <row r="2583" spans="1:8" ht="15.5" x14ac:dyDescent="0.35">
      <c r="A2583" s="7">
        <v>2582</v>
      </c>
      <c r="B2583" s="17">
        <v>42849</v>
      </c>
      <c r="C2583" s="13" t="s">
        <v>2348</v>
      </c>
      <c r="D2583" s="17" t="s">
        <v>2851</v>
      </c>
      <c r="E2583" s="10">
        <v>2019</v>
      </c>
      <c r="F2583" s="36" t="str" cm="1">
        <f t="array" ref="F2583">_xlfn.XLOOKUP(D2583&amp;C2583, Sheet3!$C$2:$C$1224&amp;Sheet3!$B$2:$B$1224, Sheet3!$D$2:$D$1224, "")</f>
        <v>wahyuni.ww9@gmail.com</v>
      </c>
      <c r="G2583" s="1" t="str" cm="1">
        <f t="array" ref="G2583">_xlfn.XLOOKUP(D2583&amp;C2583, Sheet2!$A$2:$A$558&amp;Sheet2!$B$2:$B$558, Sheet2!$C$2:$C$558, "")</f>
        <v/>
      </c>
      <c r="H2583" s="40" t="str">
        <f t="shared" si="40"/>
        <v>wahyuni.ww9@gmail.com</v>
      </c>
    </row>
    <row r="2584" spans="1:8" ht="15.5" x14ac:dyDescent="0.35">
      <c r="A2584" s="7">
        <v>2583</v>
      </c>
      <c r="B2584" s="17">
        <v>43675</v>
      </c>
      <c r="C2584" s="13" t="s">
        <v>2349</v>
      </c>
      <c r="D2584" s="17" t="s">
        <v>2851</v>
      </c>
      <c r="E2584" s="10">
        <v>2019</v>
      </c>
      <c r="F2584" s="36" t="str" cm="1">
        <f t="array" ref="F2584">_xlfn.XLOOKUP(D2584&amp;C2584, Sheet3!$C$2:$C$1224&amp;Sheet3!$B$2:$B$1224, Sheet3!$D$2:$D$1224, "")</f>
        <v/>
      </c>
      <c r="G2584" s="1" t="str" cm="1">
        <f t="array" ref="G2584">_xlfn.XLOOKUP(D2584&amp;C2584, Sheet2!$A$2:$A$558&amp;Sheet2!$B$2:$B$558, Sheet2!$C$2:$C$558, "")</f>
        <v/>
      </c>
      <c r="H2584" s="40" t="str">
        <f t="shared" si="40"/>
        <v/>
      </c>
    </row>
    <row r="2585" spans="1:8" ht="15.5" x14ac:dyDescent="0.35">
      <c r="A2585" s="7">
        <v>2584</v>
      </c>
      <c r="B2585" s="17">
        <v>43631</v>
      </c>
      <c r="C2585" s="13" t="s">
        <v>2350</v>
      </c>
      <c r="D2585" s="17" t="s">
        <v>2851</v>
      </c>
      <c r="E2585" s="10">
        <v>2019</v>
      </c>
      <c r="F2585" s="36" t="str" cm="1">
        <f t="array" ref="F2585">_xlfn.XLOOKUP(D2585&amp;C2585, Sheet3!$C$2:$C$1224&amp;Sheet3!$B$2:$B$1224, Sheet3!$D$2:$D$1224, "")</f>
        <v/>
      </c>
      <c r="G2585" s="1" t="str" cm="1">
        <f t="array" ref="G2585">_xlfn.XLOOKUP(D2585&amp;C2585, Sheet2!$A$2:$A$558&amp;Sheet2!$B$2:$B$558, Sheet2!$C$2:$C$558, "")</f>
        <v/>
      </c>
      <c r="H2585" s="40" t="str">
        <f t="shared" si="40"/>
        <v/>
      </c>
    </row>
    <row r="2586" spans="1:8" ht="15.5" x14ac:dyDescent="0.35">
      <c r="A2586" s="7">
        <v>2585</v>
      </c>
      <c r="B2586" s="17">
        <v>42840</v>
      </c>
      <c r="C2586" s="13" t="s">
        <v>2351</v>
      </c>
      <c r="D2586" s="17" t="s">
        <v>2851</v>
      </c>
      <c r="E2586" s="10">
        <v>2019</v>
      </c>
      <c r="F2586" s="36" t="str" cm="1">
        <f t="array" ref="F2586">_xlfn.XLOOKUP(D2586&amp;C2586, Sheet3!$C$2:$C$1224&amp;Sheet3!$B$2:$B$1224, Sheet3!$D$2:$D$1224, "")</f>
        <v/>
      </c>
      <c r="G2586" s="1" t="str" cm="1">
        <f t="array" ref="G2586">_xlfn.XLOOKUP(D2586&amp;C2586, Sheet2!$A$2:$A$558&amp;Sheet2!$B$2:$B$558, Sheet2!$C$2:$C$558, "")</f>
        <v/>
      </c>
      <c r="H2586" s="40" t="str">
        <f t="shared" si="40"/>
        <v/>
      </c>
    </row>
    <row r="2587" spans="1:8" ht="15.5" x14ac:dyDescent="0.35">
      <c r="A2587" s="7">
        <v>2586</v>
      </c>
      <c r="B2587" s="17">
        <v>42845</v>
      </c>
      <c r="C2587" s="13" t="s">
        <v>2352</v>
      </c>
      <c r="D2587" s="17" t="s">
        <v>2851</v>
      </c>
      <c r="E2587" s="10">
        <v>2019</v>
      </c>
      <c r="F2587" s="36" t="str" cm="1">
        <f t="array" ref="F2587">_xlfn.XLOOKUP(D2587&amp;C2587, Sheet3!$C$2:$C$1224&amp;Sheet3!$B$2:$B$1224, Sheet3!$D$2:$D$1224, "")</f>
        <v>tasyavuji2811@gmail.com</v>
      </c>
      <c r="G2587" s="1" t="str" cm="1">
        <f t="array" ref="G2587">_xlfn.XLOOKUP(D2587&amp;C2587, Sheet2!$A$2:$A$558&amp;Sheet2!$B$2:$B$558, Sheet2!$C$2:$C$558, "")</f>
        <v>tasyavuji2811@gmail.com</v>
      </c>
      <c r="H2587" s="40" t="str">
        <f t="shared" si="40"/>
        <v>tasyavuji2811@gmail.com</v>
      </c>
    </row>
    <row r="2588" spans="1:8" ht="15.5" x14ac:dyDescent="0.35">
      <c r="A2588" s="7">
        <v>2587</v>
      </c>
      <c r="B2588" s="17">
        <v>43650</v>
      </c>
      <c r="C2588" s="13" t="s">
        <v>2353</v>
      </c>
      <c r="D2588" s="17" t="s">
        <v>2851</v>
      </c>
      <c r="E2588" s="10">
        <v>2019</v>
      </c>
      <c r="F2588" s="36" t="str" cm="1">
        <f t="array" ref="F2588">_xlfn.XLOOKUP(D2588&amp;C2588, Sheet3!$C$2:$C$1224&amp;Sheet3!$B$2:$B$1224, Sheet3!$D$2:$D$1224, "")</f>
        <v/>
      </c>
      <c r="G2588" s="1" t="str" cm="1">
        <f t="array" ref="G2588">_xlfn.XLOOKUP(D2588&amp;C2588, Sheet2!$A$2:$A$558&amp;Sheet2!$B$2:$B$558, Sheet2!$C$2:$C$558, "")</f>
        <v/>
      </c>
      <c r="H2588" s="40" t="str">
        <f t="shared" si="40"/>
        <v/>
      </c>
    </row>
    <row r="2589" spans="1:8" ht="15.5" x14ac:dyDescent="0.35">
      <c r="A2589" s="7">
        <v>2588</v>
      </c>
      <c r="B2589" s="17">
        <v>44099</v>
      </c>
      <c r="C2589" s="13" t="s">
        <v>2354</v>
      </c>
      <c r="D2589" s="17" t="s">
        <v>2851</v>
      </c>
      <c r="E2589" s="10">
        <v>2019</v>
      </c>
      <c r="F2589" s="36" t="str" cm="1">
        <f t="array" ref="F2589">_xlfn.XLOOKUP(D2589&amp;C2589, Sheet3!$C$2:$C$1224&amp;Sheet3!$B$2:$B$1224, Sheet3!$D$2:$D$1224, "")</f>
        <v/>
      </c>
      <c r="G2589" s="1" t="str" cm="1">
        <f t="array" ref="G2589">_xlfn.XLOOKUP(D2589&amp;C2589, Sheet2!$A$2:$A$558&amp;Sheet2!$B$2:$B$558, Sheet2!$C$2:$C$558, "")</f>
        <v/>
      </c>
      <c r="H2589" s="40" t="str">
        <f t="shared" si="40"/>
        <v/>
      </c>
    </row>
    <row r="2590" spans="1:8" ht="15.5" x14ac:dyDescent="0.35">
      <c r="A2590" s="7">
        <v>2589</v>
      </c>
      <c r="B2590" s="17">
        <v>43643</v>
      </c>
      <c r="C2590" s="13" t="s">
        <v>2355</v>
      </c>
      <c r="D2590" s="17" t="s">
        <v>2851</v>
      </c>
      <c r="E2590" s="10">
        <v>2019</v>
      </c>
      <c r="F2590" s="36" t="str" cm="1">
        <f t="array" ref="F2590">_xlfn.XLOOKUP(D2590&amp;C2590, Sheet3!$C$2:$C$1224&amp;Sheet3!$B$2:$B$1224, Sheet3!$D$2:$D$1224, "")</f>
        <v/>
      </c>
      <c r="G2590" s="1" t="str" cm="1">
        <f t="array" ref="G2590">_xlfn.XLOOKUP(D2590&amp;C2590, Sheet2!$A$2:$A$558&amp;Sheet2!$B$2:$B$558, Sheet2!$C$2:$C$558, "")</f>
        <v/>
      </c>
      <c r="H2590" s="40" t="str">
        <f t="shared" si="40"/>
        <v/>
      </c>
    </row>
    <row r="2591" spans="1:8" ht="15.5" x14ac:dyDescent="0.35">
      <c r="A2591" s="7">
        <v>2590</v>
      </c>
      <c r="B2591" s="17">
        <v>42842</v>
      </c>
      <c r="C2591" s="13" t="s">
        <v>2356</v>
      </c>
      <c r="D2591" s="17" t="s">
        <v>2851</v>
      </c>
      <c r="E2591" s="10">
        <v>2019</v>
      </c>
      <c r="F2591" s="36" t="str" cm="1">
        <f t="array" ref="F2591">_xlfn.XLOOKUP(D2591&amp;C2591, Sheet3!$C$2:$C$1224&amp;Sheet3!$B$2:$B$1224, Sheet3!$D$2:$D$1224, "")</f>
        <v>rindhy.antikagustin@gmail.com</v>
      </c>
      <c r="G2591" s="1" t="str" cm="1">
        <f t="array" ref="G2591">_xlfn.XLOOKUP(D2591&amp;C2591, Sheet2!$A$2:$A$558&amp;Sheet2!$B$2:$B$558, Sheet2!$C$2:$C$558, "")</f>
        <v/>
      </c>
      <c r="H2591" s="40" t="str">
        <f t="shared" si="40"/>
        <v>rindhy.antikagustin@gmail.com</v>
      </c>
    </row>
    <row r="2592" spans="1:8" ht="15.5" x14ac:dyDescent="0.35">
      <c r="A2592" s="7">
        <v>2591</v>
      </c>
      <c r="B2592" s="17">
        <v>43184</v>
      </c>
      <c r="C2592" s="13" t="s">
        <v>2357</v>
      </c>
      <c r="D2592" s="17" t="s">
        <v>2851</v>
      </c>
      <c r="E2592" s="10">
        <v>2019</v>
      </c>
      <c r="F2592" s="36" t="str" cm="1">
        <f t="array" ref="F2592">_xlfn.XLOOKUP(D2592&amp;C2592, Sheet3!$C$2:$C$1224&amp;Sheet3!$B$2:$B$1224, Sheet3!$D$2:$D$1224, "")</f>
        <v>anfhry@gmail.com</v>
      </c>
      <c r="G2592" s="1" t="str" cm="1">
        <f t="array" ref="G2592">_xlfn.XLOOKUP(D2592&amp;C2592, Sheet2!$A$2:$A$558&amp;Sheet2!$B$2:$B$558, Sheet2!$C$2:$C$558, "")</f>
        <v/>
      </c>
      <c r="H2592" s="40" t="str">
        <f t="shared" si="40"/>
        <v>anfhry@gmail.com</v>
      </c>
    </row>
    <row r="2593" spans="1:8" ht="15.5" x14ac:dyDescent="0.35">
      <c r="A2593" s="7">
        <v>2592</v>
      </c>
      <c r="B2593" s="17">
        <v>43670</v>
      </c>
      <c r="C2593" s="13" t="s">
        <v>2358</v>
      </c>
      <c r="D2593" s="17" t="s">
        <v>2851</v>
      </c>
      <c r="E2593" s="10">
        <v>2019</v>
      </c>
      <c r="F2593" s="36" t="str" cm="1">
        <f t="array" ref="F2593">_xlfn.XLOOKUP(D2593&amp;C2593, Sheet3!$C$2:$C$1224&amp;Sheet3!$B$2:$B$1224, Sheet3!$D$2:$D$1224, "")</f>
        <v/>
      </c>
      <c r="G2593" s="1" t="str" cm="1">
        <f t="array" ref="G2593">_xlfn.XLOOKUP(D2593&amp;C2593, Sheet2!$A$2:$A$558&amp;Sheet2!$B$2:$B$558, Sheet2!$C$2:$C$558, "")</f>
        <v/>
      </c>
      <c r="H2593" s="40" t="str">
        <f t="shared" si="40"/>
        <v/>
      </c>
    </row>
    <row r="2594" spans="1:8" ht="15.5" x14ac:dyDescent="0.35">
      <c r="A2594" s="7">
        <v>2593</v>
      </c>
      <c r="B2594" s="17">
        <v>42813</v>
      </c>
      <c r="C2594" s="13" t="s">
        <v>2359</v>
      </c>
      <c r="D2594" s="17" t="s">
        <v>2851</v>
      </c>
      <c r="E2594" s="10">
        <v>2019</v>
      </c>
      <c r="F2594" s="36" t="str" cm="1">
        <f t="array" ref="F2594">_xlfn.XLOOKUP(D2594&amp;C2594, Sheet3!$C$2:$C$1224&amp;Sheet3!$B$2:$B$1224, Sheet3!$D$2:$D$1224, "")</f>
        <v/>
      </c>
      <c r="G2594" s="1" t="str" cm="1">
        <f t="array" ref="G2594">_xlfn.XLOOKUP(D2594&amp;C2594, Sheet2!$A$2:$A$558&amp;Sheet2!$B$2:$B$558, Sheet2!$C$2:$C$558, "")</f>
        <v/>
      </c>
      <c r="H2594" s="40" t="str">
        <f t="shared" si="40"/>
        <v/>
      </c>
    </row>
    <row r="2595" spans="1:8" ht="15.5" x14ac:dyDescent="0.35">
      <c r="A2595" s="7">
        <v>2594</v>
      </c>
      <c r="B2595" s="17">
        <v>42823</v>
      </c>
      <c r="C2595" s="13" t="s">
        <v>2360</v>
      </c>
      <c r="D2595" s="17" t="s">
        <v>2851</v>
      </c>
      <c r="E2595" s="10">
        <v>2019</v>
      </c>
      <c r="F2595" s="36" t="str" cm="1">
        <f t="array" ref="F2595">_xlfn.XLOOKUP(D2595&amp;C2595, Sheet3!$C$2:$C$1224&amp;Sheet3!$B$2:$B$1224, Sheet3!$D$2:$D$1224, "")</f>
        <v/>
      </c>
      <c r="G2595" s="1" t="str" cm="1">
        <f t="array" ref="G2595">_xlfn.XLOOKUP(D2595&amp;C2595, Sheet2!$A$2:$A$558&amp;Sheet2!$B$2:$B$558, Sheet2!$C$2:$C$558, "")</f>
        <v/>
      </c>
      <c r="H2595" s="40" t="str">
        <f t="shared" si="40"/>
        <v/>
      </c>
    </row>
    <row r="2596" spans="1:8" ht="15.5" x14ac:dyDescent="0.35">
      <c r="A2596" s="7">
        <v>2595</v>
      </c>
      <c r="B2596" s="17">
        <v>43672</v>
      </c>
      <c r="C2596" s="13" t="s">
        <v>2361</v>
      </c>
      <c r="D2596" s="17" t="s">
        <v>2851</v>
      </c>
      <c r="E2596" s="10">
        <v>2019</v>
      </c>
      <c r="F2596" s="36" t="str" cm="1">
        <f t="array" ref="F2596">_xlfn.XLOOKUP(D2596&amp;C2596, Sheet3!$C$2:$C$1224&amp;Sheet3!$B$2:$B$1224, Sheet3!$D$2:$D$1224, "")</f>
        <v>Michael.tanoto@gmail.com</v>
      </c>
      <c r="G2596" s="1" t="str" cm="1">
        <f t="array" ref="G2596">_xlfn.XLOOKUP(D2596&amp;C2596, Sheet2!$A$2:$A$558&amp;Sheet2!$B$2:$B$558, Sheet2!$C$2:$C$558, "")</f>
        <v/>
      </c>
      <c r="H2596" s="40" t="str">
        <f t="shared" si="40"/>
        <v>Michael.tanoto@gmail.com</v>
      </c>
    </row>
    <row r="2597" spans="1:8" ht="15.5" x14ac:dyDescent="0.35">
      <c r="A2597" s="7">
        <v>2596</v>
      </c>
      <c r="B2597" s="17">
        <v>42830</v>
      </c>
      <c r="C2597" s="13" t="s">
        <v>2362</v>
      </c>
      <c r="D2597" s="17" t="s">
        <v>2851</v>
      </c>
      <c r="E2597" s="10">
        <v>2019</v>
      </c>
      <c r="F2597" s="36" t="str" cm="1">
        <f t="array" ref="F2597">_xlfn.XLOOKUP(D2597&amp;C2597, Sheet3!$C$2:$C$1224&amp;Sheet3!$B$2:$B$1224, Sheet3!$D$2:$D$1224, "")</f>
        <v/>
      </c>
      <c r="G2597" s="1" t="str" cm="1">
        <f t="array" ref="G2597">_xlfn.XLOOKUP(D2597&amp;C2597, Sheet2!$A$2:$A$558&amp;Sheet2!$B$2:$B$558, Sheet2!$C$2:$C$558, "")</f>
        <v/>
      </c>
      <c r="H2597" s="40" t="str">
        <f t="shared" si="40"/>
        <v/>
      </c>
    </row>
    <row r="2598" spans="1:8" ht="15.5" x14ac:dyDescent="0.35">
      <c r="A2598" s="7">
        <v>2597</v>
      </c>
      <c r="B2598" s="17">
        <v>42822</v>
      </c>
      <c r="C2598" s="13" t="s">
        <v>2363</v>
      </c>
      <c r="D2598" s="17" t="s">
        <v>2851</v>
      </c>
      <c r="E2598" s="10">
        <v>2019</v>
      </c>
      <c r="F2598" s="36" t="str" cm="1">
        <f t="array" ref="F2598">_xlfn.XLOOKUP(D2598&amp;C2598, Sheet3!$C$2:$C$1224&amp;Sheet3!$B$2:$B$1224, Sheet3!$D$2:$D$1224, "")</f>
        <v>citraamalia1998@gmail.com</v>
      </c>
      <c r="G2598" s="1" t="str" cm="1">
        <f t="array" ref="G2598">_xlfn.XLOOKUP(D2598&amp;C2598, Sheet2!$A$2:$A$558&amp;Sheet2!$B$2:$B$558, Sheet2!$C$2:$C$558, "")</f>
        <v/>
      </c>
      <c r="H2598" s="40" t="str">
        <f t="shared" si="40"/>
        <v>citraamalia1998@gmail.com</v>
      </c>
    </row>
    <row r="2599" spans="1:8" ht="15.5" x14ac:dyDescent="0.35">
      <c r="A2599" s="7">
        <v>2598</v>
      </c>
      <c r="B2599" s="17">
        <v>43412</v>
      </c>
      <c r="C2599" s="13" t="s">
        <v>2364</v>
      </c>
      <c r="D2599" s="17" t="s">
        <v>2851</v>
      </c>
      <c r="E2599" s="10">
        <v>2019</v>
      </c>
      <c r="F2599" s="36" t="str" cm="1">
        <f t="array" ref="F2599">_xlfn.XLOOKUP(D2599&amp;C2599, Sheet3!$C$2:$C$1224&amp;Sheet3!$B$2:$B$1224, Sheet3!$D$2:$D$1224, "")</f>
        <v/>
      </c>
      <c r="G2599" s="1" t="str" cm="1">
        <f t="array" ref="G2599">_xlfn.XLOOKUP(D2599&amp;C2599, Sheet2!$A$2:$A$558&amp;Sheet2!$B$2:$B$558, Sheet2!$C$2:$C$558, "")</f>
        <v/>
      </c>
      <c r="H2599" s="40" t="str">
        <f t="shared" si="40"/>
        <v/>
      </c>
    </row>
    <row r="2600" spans="1:8" ht="15.5" x14ac:dyDescent="0.35">
      <c r="A2600" s="7">
        <v>2599</v>
      </c>
      <c r="B2600" s="17">
        <v>43637</v>
      </c>
      <c r="C2600" s="13" t="s">
        <v>2365</v>
      </c>
      <c r="D2600" s="17" t="s">
        <v>2851</v>
      </c>
      <c r="E2600" s="10">
        <v>2019</v>
      </c>
      <c r="F2600" s="36" t="str" cm="1">
        <f t="array" ref="F2600">_xlfn.XLOOKUP(D2600&amp;C2600, Sheet3!$C$2:$C$1224&amp;Sheet3!$B$2:$B$1224, Sheet3!$D$2:$D$1224, "")</f>
        <v/>
      </c>
      <c r="G2600" s="1" t="str" cm="1">
        <f t="array" ref="G2600">_xlfn.XLOOKUP(D2600&amp;C2600, Sheet2!$A$2:$A$558&amp;Sheet2!$B$2:$B$558, Sheet2!$C$2:$C$558, "")</f>
        <v/>
      </c>
      <c r="H2600" s="40" t="str">
        <f t="shared" si="40"/>
        <v/>
      </c>
    </row>
    <row r="2601" spans="1:8" ht="15.5" x14ac:dyDescent="0.35">
      <c r="A2601" s="7">
        <v>2600</v>
      </c>
      <c r="B2601" s="17">
        <v>42826</v>
      </c>
      <c r="C2601" s="13" t="s">
        <v>2366</v>
      </c>
      <c r="D2601" s="17" t="s">
        <v>2851</v>
      </c>
      <c r="E2601" s="10">
        <v>2019</v>
      </c>
      <c r="F2601" s="36" t="str" cm="1">
        <f t="array" ref="F2601">_xlfn.XLOOKUP(D2601&amp;C2601, Sheet3!$C$2:$C$1224&amp;Sheet3!$B$2:$B$1224, Sheet3!$D$2:$D$1224, "")</f>
        <v>f.aristalindra@gmail.com</v>
      </c>
      <c r="G2601" s="1" t="str" cm="1">
        <f t="array" ref="G2601">_xlfn.XLOOKUP(D2601&amp;C2601, Sheet2!$A$2:$A$558&amp;Sheet2!$B$2:$B$558, Sheet2!$C$2:$C$558, "")</f>
        <v/>
      </c>
      <c r="H2601" s="40" t="str">
        <f t="shared" si="40"/>
        <v>f.aristalindra@gmail.com</v>
      </c>
    </row>
    <row r="2602" spans="1:8" ht="15.5" x14ac:dyDescent="0.35">
      <c r="A2602" s="7">
        <v>2601</v>
      </c>
      <c r="B2602" s="17">
        <v>43188</v>
      </c>
      <c r="C2602" s="13" t="s">
        <v>2367</v>
      </c>
      <c r="D2602" s="17" t="s">
        <v>2851</v>
      </c>
      <c r="E2602" s="10">
        <v>2019</v>
      </c>
      <c r="F2602" s="36" t="str" cm="1">
        <f t="array" ref="F2602">_xlfn.XLOOKUP(D2602&amp;C2602, Sheet3!$C$2:$C$1224&amp;Sheet3!$B$2:$B$1224, Sheet3!$D$2:$D$1224, "")</f>
        <v>herningivan@gmail.com</v>
      </c>
      <c r="G2602" s="1" t="str" cm="1">
        <f t="array" ref="G2602">_xlfn.XLOOKUP(D2602&amp;C2602, Sheet2!$A$2:$A$558&amp;Sheet2!$B$2:$B$558, Sheet2!$C$2:$C$558, "")</f>
        <v/>
      </c>
      <c r="H2602" s="40" t="str">
        <f t="shared" si="40"/>
        <v>herningivan@gmail.com</v>
      </c>
    </row>
    <row r="2603" spans="1:8" ht="15.5" x14ac:dyDescent="0.35">
      <c r="A2603" s="7">
        <v>2602</v>
      </c>
      <c r="B2603" s="17">
        <v>43679</v>
      </c>
      <c r="C2603" s="13" t="s">
        <v>2368</v>
      </c>
      <c r="D2603" s="17" t="s">
        <v>2851</v>
      </c>
      <c r="E2603" s="10">
        <v>2019</v>
      </c>
      <c r="F2603" s="36" t="str" cm="1">
        <f t="array" ref="F2603">_xlfn.XLOOKUP(D2603&amp;C2603, Sheet3!$C$2:$C$1224&amp;Sheet3!$B$2:$B$1224, Sheet3!$D$2:$D$1224, "")</f>
        <v/>
      </c>
      <c r="G2603" s="1" t="str" cm="1">
        <f t="array" ref="G2603">_xlfn.XLOOKUP(D2603&amp;C2603, Sheet2!$A$2:$A$558&amp;Sheet2!$B$2:$B$558, Sheet2!$C$2:$C$558, "")</f>
        <v/>
      </c>
      <c r="H2603" s="40" t="str">
        <f t="shared" si="40"/>
        <v/>
      </c>
    </row>
    <row r="2604" spans="1:8" ht="15.5" x14ac:dyDescent="0.35">
      <c r="A2604" s="7">
        <v>2603</v>
      </c>
      <c r="B2604" s="17">
        <v>43653</v>
      </c>
      <c r="C2604" s="13" t="s">
        <v>2369</v>
      </c>
      <c r="D2604" s="17" t="s">
        <v>2851</v>
      </c>
      <c r="E2604" s="10">
        <v>2019</v>
      </c>
      <c r="F2604" s="36" t="str" cm="1">
        <f t="array" ref="F2604">_xlfn.XLOOKUP(D2604&amp;C2604, Sheet3!$C$2:$C$1224&amp;Sheet3!$B$2:$B$1224, Sheet3!$D$2:$D$1224, "")</f>
        <v/>
      </c>
      <c r="G2604" s="1" t="str" cm="1">
        <f t="array" ref="G2604">_xlfn.XLOOKUP(D2604&amp;C2604, Sheet2!$A$2:$A$558&amp;Sheet2!$B$2:$B$558, Sheet2!$C$2:$C$558, "")</f>
        <v/>
      </c>
      <c r="H2604" s="40" t="str">
        <f t="shared" si="40"/>
        <v/>
      </c>
    </row>
    <row r="2605" spans="1:8" ht="15.5" x14ac:dyDescent="0.35">
      <c r="A2605" s="7">
        <v>2604</v>
      </c>
      <c r="B2605" s="17">
        <v>43638</v>
      </c>
      <c r="C2605" s="13" t="s">
        <v>2370</v>
      </c>
      <c r="D2605" s="17" t="s">
        <v>2851</v>
      </c>
      <c r="E2605" s="10">
        <v>2019</v>
      </c>
      <c r="F2605" s="36" t="str" cm="1">
        <f t="array" ref="F2605">_xlfn.XLOOKUP(D2605&amp;C2605, Sheet3!$C$2:$C$1224&amp;Sheet3!$B$2:$B$1224, Sheet3!$D$2:$D$1224, "")</f>
        <v/>
      </c>
      <c r="G2605" s="1" t="str" cm="1">
        <f t="array" ref="G2605">_xlfn.XLOOKUP(D2605&amp;C2605, Sheet2!$A$2:$A$558&amp;Sheet2!$B$2:$B$558, Sheet2!$C$2:$C$558, "")</f>
        <v>ilhamanjar123@gmail.com</v>
      </c>
      <c r="H2605" s="40" t="str">
        <f t="shared" si="40"/>
        <v>ilhamanjar123@gmail.com</v>
      </c>
    </row>
    <row r="2606" spans="1:8" ht="15.5" x14ac:dyDescent="0.35">
      <c r="A2606" s="7">
        <v>2605</v>
      </c>
      <c r="B2606" s="17">
        <v>43636</v>
      </c>
      <c r="C2606" s="13" t="s">
        <v>2371</v>
      </c>
      <c r="D2606" s="17" t="s">
        <v>2851</v>
      </c>
      <c r="E2606" s="10">
        <v>2019</v>
      </c>
      <c r="F2606" s="36" t="str" cm="1">
        <f t="array" ref="F2606">_xlfn.XLOOKUP(D2606&amp;C2606, Sheet3!$C$2:$C$1224&amp;Sheet3!$B$2:$B$1224, Sheet3!$D$2:$D$1224, "")</f>
        <v/>
      </c>
      <c r="G2606" s="1" t="str" cm="1">
        <f t="array" ref="G2606">_xlfn.XLOOKUP(D2606&amp;C2606, Sheet2!$A$2:$A$558&amp;Sheet2!$B$2:$B$558, Sheet2!$C$2:$C$558, "")</f>
        <v/>
      </c>
      <c r="H2606" s="40" t="str">
        <f t="shared" si="40"/>
        <v/>
      </c>
    </row>
    <row r="2607" spans="1:8" ht="15.5" x14ac:dyDescent="0.35">
      <c r="A2607" s="7">
        <v>2606</v>
      </c>
      <c r="B2607" s="17">
        <v>43186</v>
      </c>
      <c r="C2607" s="13" t="s">
        <v>2372</v>
      </c>
      <c r="D2607" s="17" t="s">
        <v>2851</v>
      </c>
      <c r="E2607" s="10">
        <v>2019</v>
      </c>
      <c r="F2607" s="36" t="str" cm="1">
        <f t="array" ref="F2607">_xlfn.XLOOKUP(D2607&amp;C2607, Sheet3!$C$2:$C$1224&amp;Sheet3!$B$2:$B$1224, Sheet3!$D$2:$D$1224, "")</f>
        <v/>
      </c>
      <c r="G2607" s="1" t="str" cm="1">
        <f t="array" ref="G2607">_xlfn.XLOOKUP(D2607&amp;C2607, Sheet2!$A$2:$A$558&amp;Sheet2!$B$2:$B$558, Sheet2!$C$2:$C$558, "")</f>
        <v/>
      </c>
      <c r="H2607" s="40" t="str">
        <f t="shared" si="40"/>
        <v/>
      </c>
    </row>
    <row r="2608" spans="1:8" ht="15.5" x14ac:dyDescent="0.35">
      <c r="A2608" s="7">
        <v>2607</v>
      </c>
      <c r="B2608" s="17">
        <v>42843</v>
      </c>
      <c r="C2608" s="13" t="s">
        <v>2373</v>
      </c>
      <c r="D2608" s="17" t="s">
        <v>2851</v>
      </c>
      <c r="E2608" s="10">
        <v>2019</v>
      </c>
      <c r="F2608" s="36" t="str" cm="1">
        <f t="array" ref="F2608">_xlfn.XLOOKUP(D2608&amp;C2608, Sheet3!$C$2:$C$1224&amp;Sheet3!$B$2:$B$1224, Sheet3!$D$2:$D$1224, "")</f>
        <v/>
      </c>
      <c r="G2608" s="1" t="str" cm="1">
        <f t="array" ref="G2608">_xlfn.XLOOKUP(D2608&amp;C2608, Sheet2!$A$2:$A$558&amp;Sheet2!$B$2:$B$558, Sheet2!$C$2:$C$558, "")</f>
        <v/>
      </c>
      <c r="H2608" s="40" t="str">
        <f t="shared" si="40"/>
        <v/>
      </c>
    </row>
    <row r="2609" spans="1:8" ht="15.5" x14ac:dyDescent="0.35">
      <c r="A2609" s="7">
        <v>2608</v>
      </c>
      <c r="B2609" s="17">
        <v>43665</v>
      </c>
      <c r="C2609" s="13" t="s">
        <v>2374</v>
      </c>
      <c r="D2609" s="17" t="s">
        <v>2851</v>
      </c>
      <c r="E2609" s="10">
        <v>2019</v>
      </c>
      <c r="F2609" s="36" t="str" cm="1">
        <f t="array" ref="F2609">_xlfn.XLOOKUP(D2609&amp;C2609, Sheet3!$C$2:$C$1224&amp;Sheet3!$B$2:$B$1224, Sheet3!$D$2:$D$1224, "")</f>
        <v>ifadati.iffati@gmail.com</v>
      </c>
      <c r="G2609" s="1" t="str" cm="1">
        <f t="array" ref="G2609">_xlfn.XLOOKUP(D2609&amp;C2609, Sheet2!$A$2:$A$558&amp;Sheet2!$B$2:$B$558, Sheet2!$C$2:$C$558, "")</f>
        <v>ifadati.iffati@gmail.com</v>
      </c>
      <c r="H2609" s="40" t="str">
        <f t="shared" si="40"/>
        <v>ifadati.iffati@gmail.com</v>
      </c>
    </row>
    <row r="2610" spans="1:8" ht="15.5" x14ac:dyDescent="0.35">
      <c r="A2610" s="7">
        <v>2609</v>
      </c>
      <c r="B2610" s="17">
        <v>43657</v>
      </c>
      <c r="C2610" s="13" t="s">
        <v>2375</v>
      </c>
      <c r="D2610" s="17" t="s">
        <v>2851</v>
      </c>
      <c r="E2610" s="10">
        <v>2019</v>
      </c>
      <c r="F2610" s="36" t="str" cm="1">
        <f t="array" ref="F2610">_xlfn.XLOOKUP(D2610&amp;C2610, Sheet3!$C$2:$C$1224&amp;Sheet3!$B$2:$B$1224, Sheet3!$D$2:$D$1224, "")</f>
        <v/>
      </c>
      <c r="G2610" s="1" t="str" cm="1">
        <f t="array" ref="G2610">_xlfn.XLOOKUP(D2610&amp;C2610, Sheet2!$A$2:$A$558&amp;Sheet2!$B$2:$B$558, Sheet2!$C$2:$C$558, "")</f>
        <v/>
      </c>
      <c r="H2610" s="40" t="str">
        <f t="shared" si="40"/>
        <v/>
      </c>
    </row>
    <row r="2611" spans="1:8" ht="15.5" x14ac:dyDescent="0.35">
      <c r="A2611" s="7">
        <v>2610</v>
      </c>
      <c r="B2611" s="17">
        <v>43369</v>
      </c>
      <c r="C2611" s="13" t="s">
        <v>2376</v>
      </c>
      <c r="D2611" s="17" t="s">
        <v>2851</v>
      </c>
      <c r="E2611" s="10">
        <v>2019</v>
      </c>
      <c r="F2611" s="36" t="str" cm="1">
        <f t="array" ref="F2611">_xlfn.XLOOKUP(D2611&amp;C2611, Sheet3!$C$2:$C$1224&amp;Sheet3!$B$2:$B$1224, Sheet3!$D$2:$D$1224, "")</f>
        <v/>
      </c>
      <c r="G2611" s="1" t="str" cm="1">
        <f t="array" ref="G2611">_xlfn.XLOOKUP(D2611&amp;C2611, Sheet2!$A$2:$A$558&amp;Sheet2!$B$2:$B$558, Sheet2!$C$2:$C$558, "")</f>
        <v/>
      </c>
      <c r="H2611" s="40" t="str">
        <f t="shared" si="40"/>
        <v/>
      </c>
    </row>
    <row r="2612" spans="1:8" ht="15.5" x14ac:dyDescent="0.35">
      <c r="A2612" s="7">
        <v>2611</v>
      </c>
      <c r="B2612" s="17">
        <v>42425</v>
      </c>
      <c r="C2612" s="13" t="s">
        <v>2377</v>
      </c>
      <c r="D2612" s="17" t="s">
        <v>2850</v>
      </c>
      <c r="E2612" s="10">
        <v>2019</v>
      </c>
      <c r="F2612" s="36" t="str" cm="1">
        <f t="array" ref="F2612">_xlfn.XLOOKUP(D2612&amp;C2612, Sheet3!$C$2:$C$1224&amp;Sheet3!$B$2:$B$1224, Sheet3!$D$2:$D$1224, "")</f>
        <v/>
      </c>
      <c r="G2612" s="1" t="str" cm="1">
        <f t="array" ref="G2612">_xlfn.XLOOKUP(D2612&amp;C2612, Sheet2!$A$2:$A$558&amp;Sheet2!$B$2:$B$558, Sheet2!$C$2:$C$558, "")</f>
        <v/>
      </c>
      <c r="H2612" s="40" t="str">
        <f t="shared" si="40"/>
        <v/>
      </c>
    </row>
    <row r="2613" spans="1:8" ht="15.5" x14ac:dyDescent="0.35">
      <c r="A2613" s="7">
        <v>2612</v>
      </c>
      <c r="B2613" s="17">
        <v>43677</v>
      </c>
      <c r="C2613" s="13" t="s">
        <v>2378</v>
      </c>
      <c r="D2613" s="17" t="s">
        <v>2851</v>
      </c>
      <c r="E2613" s="10">
        <v>2019</v>
      </c>
      <c r="F2613" s="36" t="str" cm="1">
        <f t="array" ref="F2613">_xlfn.XLOOKUP(D2613&amp;C2613, Sheet3!$C$2:$C$1224&amp;Sheet3!$B$2:$B$1224, Sheet3!$D$2:$D$1224, "")</f>
        <v>niluhkompyangsariani@gmail.com</v>
      </c>
      <c r="G2613" s="1" t="str" cm="1">
        <f t="array" ref="G2613">_xlfn.XLOOKUP(D2613&amp;C2613, Sheet2!$A$2:$A$558&amp;Sheet2!$B$2:$B$558, Sheet2!$C$2:$C$558, "")</f>
        <v/>
      </c>
      <c r="H2613" s="40" t="str">
        <f t="shared" si="40"/>
        <v>niluhkompyangsariani@gmail.com</v>
      </c>
    </row>
    <row r="2614" spans="1:8" ht="15.5" x14ac:dyDescent="0.35">
      <c r="A2614" s="7">
        <v>2613</v>
      </c>
      <c r="B2614" s="17">
        <v>38443</v>
      </c>
      <c r="C2614" s="13" t="s">
        <v>2379</v>
      </c>
      <c r="D2614" s="17" t="s">
        <v>2847</v>
      </c>
      <c r="E2614" s="10">
        <v>2019</v>
      </c>
      <c r="F2614" s="36" t="str" cm="1">
        <f t="array" ref="F2614">_xlfn.XLOOKUP(D2614&amp;C2614, Sheet3!$C$2:$C$1224&amp;Sheet3!$B$2:$B$1224, Sheet3!$D$2:$D$1224, "")</f>
        <v>alfikhazanahva@gmail.com</v>
      </c>
      <c r="G2614" s="1" t="str" cm="1">
        <f t="array" ref="G2614">_xlfn.XLOOKUP(D2614&amp;C2614, Sheet2!$A$2:$A$558&amp;Sheet2!$B$2:$B$558, Sheet2!$C$2:$C$558, "")</f>
        <v/>
      </c>
      <c r="H2614" s="40" t="str">
        <f t="shared" si="40"/>
        <v>alfikhazanahva@gmail.com</v>
      </c>
    </row>
    <row r="2615" spans="1:8" ht="15.5" x14ac:dyDescent="0.35">
      <c r="A2615" s="7">
        <v>2614</v>
      </c>
      <c r="B2615" s="17">
        <v>43671</v>
      </c>
      <c r="C2615" s="13" t="s">
        <v>2380</v>
      </c>
      <c r="D2615" s="17" t="s">
        <v>2851</v>
      </c>
      <c r="E2615" s="10">
        <v>2019</v>
      </c>
      <c r="F2615" s="36" t="str" cm="1">
        <f t="array" ref="F2615">_xlfn.XLOOKUP(D2615&amp;C2615, Sheet3!$C$2:$C$1224&amp;Sheet3!$B$2:$B$1224, Sheet3!$D$2:$D$1224, "")</f>
        <v/>
      </c>
      <c r="G2615" s="1" t="str" cm="1">
        <f t="array" ref="G2615">_xlfn.XLOOKUP(D2615&amp;C2615, Sheet2!$A$2:$A$558&amp;Sheet2!$B$2:$B$558, Sheet2!$C$2:$C$558, "")</f>
        <v/>
      </c>
      <c r="H2615" s="40" t="str">
        <f t="shared" si="40"/>
        <v/>
      </c>
    </row>
    <row r="2616" spans="1:8" ht="15.5" x14ac:dyDescent="0.35">
      <c r="A2616" s="7">
        <v>2615</v>
      </c>
      <c r="B2616" s="17">
        <v>43686</v>
      </c>
      <c r="C2616" s="13" t="s">
        <v>2381</v>
      </c>
      <c r="D2616" s="17" t="s">
        <v>2851</v>
      </c>
      <c r="E2616" s="10">
        <v>2019</v>
      </c>
      <c r="F2616" s="36" t="str" cm="1">
        <f t="array" ref="F2616">_xlfn.XLOOKUP(D2616&amp;C2616, Sheet3!$C$2:$C$1224&amp;Sheet3!$B$2:$B$1224, Sheet3!$D$2:$D$1224, "")</f>
        <v/>
      </c>
      <c r="G2616" s="1" t="str" cm="1">
        <f t="array" ref="G2616">_xlfn.XLOOKUP(D2616&amp;C2616, Sheet2!$A$2:$A$558&amp;Sheet2!$B$2:$B$558, Sheet2!$C$2:$C$558, "")</f>
        <v/>
      </c>
      <c r="H2616" s="40" t="str">
        <f t="shared" si="40"/>
        <v/>
      </c>
    </row>
    <row r="2617" spans="1:8" ht="15.5" x14ac:dyDescent="0.35">
      <c r="A2617" s="7">
        <v>2616</v>
      </c>
      <c r="B2617" s="10">
        <v>43646</v>
      </c>
      <c r="C2617" s="13" t="s">
        <v>3067</v>
      </c>
      <c r="D2617" s="10" t="s">
        <v>2851</v>
      </c>
      <c r="E2617" s="10">
        <v>2019</v>
      </c>
      <c r="F2617" s="36" t="str" cm="1">
        <f t="array" ref="F2617">_xlfn.XLOOKUP(D2617&amp;C2617, Sheet3!$C$2:$C$1224&amp;Sheet3!$B$2:$B$1224, Sheet3!$D$2:$D$1224, "")</f>
        <v/>
      </c>
      <c r="G2617" s="1" t="str" cm="1">
        <f t="array" ref="G2617">_xlfn.XLOOKUP(D2617&amp;C2617, Sheet2!$A$2:$A$558&amp;Sheet2!$B$2:$B$558, Sheet2!$C$2:$C$558, "")</f>
        <v/>
      </c>
      <c r="H2617" s="40" t="str">
        <f t="shared" si="40"/>
        <v/>
      </c>
    </row>
    <row r="2618" spans="1:8" ht="15.5" x14ac:dyDescent="0.35">
      <c r="A2618" s="7">
        <v>2617</v>
      </c>
      <c r="B2618" s="10">
        <v>43659</v>
      </c>
      <c r="C2618" s="13" t="s">
        <v>3068</v>
      </c>
      <c r="D2618" s="10" t="s">
        <v>2851</v>
      </c>
      <c r="E2618" s="10">
        <v>2019</v>
      </c>
      <c r="F2618" s="36" t="str" cm="1">
        <f t="array" ref="F2618">_xlfn.XLOOKUP(D2618&amp;C2618, Sheet3!$C$2:$C$1224&amp;Sheet3!$B$2:$B$1224, Sheet3!$D$2:$D$1224, "")</f>
        <v/>
      </c>
      <c r="G2618" s="1" t="str" cm="1">
        <f t="array" ref="G2618">_xlfn.XLOOKUP(D2618&amp;C2618, Sheet2!$A$2:$A$558&amp;Sheet2!$B$2:$B$558, Sheet2!$C$2:$C$558, "")</f>
        <v/>
      </c>
      <c r="H2618" s="40" t="str">
        <f t="shared" si="40"/>
        <v/>
      </c>
    </row>
    <row r="2619" spans="1:8" ht="15.5" x14ac:dyDescent="0.35">
      <c r="A2619" s="7">
        <v>2618</v>
      </c>
      <c r="B2619" s="10">
        <v>43647</v>
      </c>
      <c r="C2619" s="13" t="s">
        <v>3069</v>
      </c>
      <c r="D2619" s="10" t="s">
        <v>2851</v>
      </c>
      <c r="E2619" s="10">
        <v>2019</v>
      </c>
      <c r="F2619" s="36" t="str" cm="1">
        <f t="array" ref="F2619">_xlfn.XLOOKUP(D2619&amp;C2619, Sheet3!$C$2:$C$1224&amp;Sheet3!$B$2:$B$1224, Sheet3!$D$2:$D$1224, "")</f>
        <v/>
      </c>
      <c r="G2619" s="1" t="str" cm="1">
        <f t="array" ref="G2619">_xlfn.XLOOKUP(D2619&amp;C2619, Sheet2!$A$2:$A$558&amp;Sheet2!$B$2:$B$558, Sheet2!$C$2:$C$558, "")</f>
        <v/>
      </c>
      <c r="H2619" s="40" t="str">
        <f t="shared" si="40"/>
        <v/>
      </c>
    </row>
    <row r="2620" spans="1:8" ht="15.5" x14ac:dyDescent="0.35">
      <c r="A2620" s="7">
        <v>2619</v>
      </c>
      <c r="B2620" s="10">
        <v>43656</v>
      </c>
      <c r="C2620" s="13" t="s">
        <v>3070</v>
      </c>
      <c r="D2620" s="10" t="s">
        <v>2851</v>
      </c>
      <c r="E2620" s="10">
        <v>2019</v>
      </c>
      <c r="F2620" s="36" t="str" cm="1">
        <f t="array" ref="F2620">_xlfn.XLOOKUP(D2620&amp;C2620, Sheet3!$C$2:$C$1224&amp;Sheet3!$B$2:$B$1224, Sheet3!$D$2:$D$1224, "")</f>
        <v/>
      </c>
      <c r="G2620" s="1" t="str" cm="1">
        <f t="array" ref="G2620">_xlfn.XLOOKUP(D2620&amp;C2620, Sheet2!$A$2:$A$558&amp;Sheet2!$B$2:$B$558, Sheet2!$C$2:$C$558, "")</f>
        <v/>
      </c>
      <c r="H2620" s="40" t="str">
        <f t="shared" si="40"/>
        <v/>
      </c>
    </row>
    <row r="2621" spans="1:8" ht="15.5" x14ac:dyDescent="0.35">
      <c r="A2621" s="7">
        <v>2620</v>
      </c>
      <c r="B2621" s="10">
        <v>42827</v>
      </c>
      <c r="C2621" s="13" t="s">
        <v>3071</v>
      </c>
      <c r="D2621" s="10" t="s">
        <v>2851</v>
      </c>
      <c r="E2621" s="10">
        <v>2019</v>
      </c>
      <c r="F2621" s="36" t="str" cm="1">
        <f t="array" ref="F2621">_xlfn.XLOOKUP(D2621&amp;C2621, Sheet3!$C$2:$C$1224&amp;Sheet3!$B$2:$B$1224, Sheet3!$D$2:$D$1224, "")</f>
        <v/>
      </c>
      <c r="G2621" s="1" t="str" cm="1">
        <f t="array" ref="G2621">_xlfn.XLOOKUP(D2621&amp;C2621, Sheet2!$A$2:$A$558&amp;Sheet2!$B$2:$B$558, Sheet2!$C$2:$C$558, "")</f>
        <v/>
      </c>
      <c r="H2621" s="40" t="str">
        <f t="shared" si="40"/>
        <v/>
      </c>
    </row>
    <row r="2622" spans="1:8" ht="15.5" x14ac:dyDescent="0.35">
      <c r="A2622" s="7">
        <v>2621</v>
      </c>
      <c r="B2622" s="10">
        <v>43633</v>
      </c>
      <c r="C2622" s="13" t="s">
        <v>3072</v>
      </c>
      <c r="D2622" s="10" t="s">
        <v>2851</v>
      </c>
      <c r="E2622" s="10">
        <v>2019</v>
      </c>
      <c r="F2622" s="36" t="str" cm="1">
        <f t="array" ref="F2622">_xlfn.XLOOKUP(D2622&amp;C2622, Sheet3!$C$2:$C$1224&amp;Sheet3!$B$2:$B$1224, Sheet3!$D$2:$D$1224, "")</f>
        <v/>
      </c>
      <c r="G2622" s="1" t="str" cm="1">
        <f t="array" ref="G2622">_xlfn.XLOOKUP(D2622&amp;C2622, Sheet2!$A$2:$A$558&amp;Sheet2!$B$2:$B$558, Sheet2!$C$2:$C$558, "")</f>
        <v/>
      </c>
      <c r="H2622" s="40" t="str">
        <f t="shared" si="40"/>
        <v/>
      </c>
    </row>
    <row r="2623" spans="1:8" ht="15.5" x14ac:dyDescent="0.35">
      <c r="A2623" s="7">
        <v>2622</v>
      </c>
      <c r="B2623" s="10">
        <v>43685</v>
      </c>
      <c r="C2623" s="13" t="s">
        <v>3073</v>
      </c>
      <c r="D2623" s="10" t="s">
        <v>2851</v>
      </c>
      <c r="E2623" s="10">
        <v>2019</v>
      </c>
      <c r="F2623" s="36" t="str" cm="1">
        <f t="array" ref="F2623">_xlfn.XLOOKUP(D2623&amp;C2623, Sheet3!$C$2:$C$1224&amp;Sheet3!$B$2:$B$1224, Sheet3!$D$2:$D$1224, "")</f>
        <v/>
      </c>
      <c r="G2623" s="1" t="str" cm="1">
        <f t="array" ref="G2623">_xlfn.XLOOKUP(D2623&amp;C2623, Sheet2!$A$2:$A$558&amp;Sheet2!$B$2:$B$558, Sheet2!$C$2:$C$558, "")</f>
        <v/>
      </c>
      <c r="H2623" s="40" t="str">
        <f t="shared" si="40"/>
        <v/>
      </c>
    </row>
    <row r="2624" spans="1:8" ht="15.5" x14ac:dyDescent="0.35">
      <c r="A2624" s="7">
        <v>2623</v>
      </c>
      <c r="B2624" s="10">
        <v>42815</v>
      </c>
      <c r="C2624" s="13" t="s">
        <v>3074</v>
      </c>
      <c r="D2624" s="10" t="s">
        <v>2851</v>
      </c>
      <c r="E2624" s="10">
        <v>2019</v>
      </c>
      <c r="F2624" s="36" t="str" cm="1">
        <f t="array" ref="F2624">_xlfn.XLOOKUP(D2624&amp;C2624, Sheet3!$C$2:$C$1224&amp;Sheet3!$B$2:$B$1224, Sheet3!$D$2:$D$1224, "")</f>
        <v/>
      </c>
      <c r="G2624" s="1" t="str" cm="1">
        <f t="array" ref="G2624">_xlfn.XLOOKUP(D2624&amp;C2624, Sheet2!$A$2:$A$558&amp;Sheet2!$B$2:$B$558, Sheet2!$C$2:$C$558, "")</f>
        <v/>
      </c>
      <c r="H2624" s="40" t="str">
        <f t="shared" si="40"/>
        <v/>
      </c>
    </row>
    <row r="2625" spans="1:8" ht="15.5" x14ac:dyDescent="0.35">
      <c r="A2625" s="7">
        <v>2624</v>
      </c>
      <c r="B2625" s="10">
        <v>43190</v>
      </c>
      <c r="C2625" s="13" t="s">
        <v>3075</v>
      </c>
      <c r="D2625" s="10" t="s">
        <v>2851</v>
      </c>
      <c r="E2625" s="10">
        <v>2019</v>
      </c>
      <c r="F2625" s="36" t="str" cm="1">
        <f t="array" ref="F2625">_xlfn.XLOOKUP(D2625&amp;C2625, Sheet3!$C$2:$C$1224&amp;Sheet3!$B$2:$B$1224, Sheet3!$D$2:$D$1224, "")</f>
        <v/>
      </c>
      <c r="G2625" s="1" t="str" cm="1">
        <f t="array" ref="G2625">_xlfn.XLOOKUP(D2625&amp;C2625, Sheet2!$A$2:$A$558&amp;Sheet2!$B$2:$B$558, Sheet2!$C$2:$C$558, "")</f>
        <v/>
      </c>
      <c r="H2625" s="40" t="str">
        <f t="shared" si="40"/>
        <v/>
      </c>
    </row>
    <row r="2626" spans="1:8" ht="15.5" x14ac:dyDescent="0.35">
      <c r="A2626" s="7">
        <v>2625</v>
      </c>
      <c r="B2626" s="10">
        <v>43687</v>
      </c>
      <c r="C2626" s="13" t="s">
        <v>3076</v>
      </c>
      <c r="D2626" s="10" t="s">
        <v>2851</v>
      </c>
      <c r="E2626" s="10">
        <v>2019</v>
      </c>
      <c r="F2626" s="36" t="str" cm="1">
        <f t="array" ref="F2626">_xlfn.XLOOKUP(D2626&amp;C2626, Sheet3!$C$2:$C$1224&amp;Sheet3!$B$2:$B$1224, Sheet3!$D$2:$D$1224, "")</f>
        <v>siska.inayati97@gmail.com</v>
      </c>
      <c r="G2626" s="1" t="str" cm="1">
        <f t="array" ref="G2626">_xlfn.XLOOKUP(D2626&amp;C2626, Sheet2!$A$2:$A$558&amp;Sheet2!$B$2:$B$558, Sheet2!$C$2:$C$558, "")</f>
        <v/>
      </c>
      <c r="H2626" s="40" t="str">
        <f t="shared" si="40"/>
        <v>siska.inayati97@gmail.com</v>
      </c>
    </row>
    <row r="2627" spans="1:8" ht="15.5" x14ac:dyDescent="0.35">
      <c r="A2627" s="7">
        <v>2626</v>
      </c>
      <c r="B2627" s="10">
        <v>42824</v>
      </c>
      <c r="C2627" s="13" t="s">
        <v>3077</v>
      </c>
      <c r="D2627" s="10" t="s">
        <v>2851</v>
      </c>
      <c r="E2627" s="10">
        <v>2019</v>
      </c>
      <c r="F2627" s="36" t="str" cm="1">
        <f t="array" ref="F2627">_xlfn.XLOOKUP(D2627&amp;C2627, Sheet3!$C$2:$C$1224&amp;Sheet3!$B$2:$B$1224, Sheet3!$D$2:$D$1224, "")</f>
        <v>dpriliandika06@gmail.com</v>
      </c>
      <c r="G2627" s="1" t="str" cm="1">
        <f t="array" ref="G2627">_xlfn.XLOOKUP(D2627&amp;C2627, Sheet2!$A$2:$A$558&amp;Sheet2!$B$2:$B$558, Sheet2!$C$2:$C$558, "")</f>
        <v>dovan.priliandika@gmail.com</v>
      </c>
      <c r="H2627" s="40" t="str">
        <f t="shared" ref="H2627:H2690" si="41">IF(F2627&lt;&gt;"",F2627,G2627)</f>
        <v>dpriliandika06@gmail.com</v>
      </c>
    </row>
    <row r="2628" spans="1:8" ht="15.5" x14ac:dyDescent="0.35">
      <c r="A2628" s="7">
        <v>2627</v>
      </c>
      <c r="B2628" s="10">
        <v>43634</v>
      </c>
      <c r="C2628" s="13" t="s">
        <v>3078</v>
      </c>
      <c r="D2628" s="10" t="s">
        <v>2851</v>
      </c>
      <c r="E2628" s="10">
        <v>2019</v>
      </c>
      <c r="F2628" s="36" t="str" cm="1">
        <f t="array" ref="F2628">_xlfn.XLOOKUP(D2628&amp;C2628, Sheet3!$C$2:$C$1224&amp;Sheet3!$B$2:$B$1224, Sheet3!$D$2:$D$1224, "")</f>
        <v/>
      </c>
      <c r="G2628" s="1" t="str" cm="1">
        <f t="array" ref="G2628">_xlfn.XLOOKUP(D2628&amp;C2628, Sheet2!$A$2:$A$558&amp;Sheet2!$B$2:$B$558, Sheet2!$C$2:$C$558, "")</f>
        <v/>
      </c>
      <c r="H2628" s="40" t="str">
        <f t="shared" si="41"/>
        <v/>
      </c>
    </row>
    <row r="2629" spans="1:8" ht="15.5" x14ac:dyDescent="0.35">
      <c r="A2629" s="7">
        <v>2628</v>
      </c>
      <c r="B2629" s="10">
        <v>42658</v>
      </c>
      <c r="C2629" s="13" t="s">
        <v>3079</v>
      </c>
      <c r="D2629" s="10" t="s">
        <v>2850</v>
      </c>
      <c r="E2629" s="10">
        <v>2019</v>
      </c>
      <c r="F2629" s="36" t="str" cm="1">
        <f t="array" ref="F2629">_xlfn.XLOOKUP(D2629&amp;C2629, Sheet3!$C$2:$C$1224&amp;Sheet3!$B$2:$B$1224, Sheet3!$D$2:$D$1224, "")</f>
        <v>naufal.sandro@mail.ugm.ac.id</v>
      </c>
      <c r="G2629" s="1" t="str" cm="1">
        <f t="array" ref="G2629">_xlfn.XLOOKUP(D2629&amp;C2629, Sheet2!$A$2:$A$558&amp;Sheet2!$B$2:$B$558, Sheet2!$C$2:$C$558, "")</f>
        <v/>
      </c>
      <c r="H2629" s="40" t="str">
        <f t="shared" si="41"/>
        <v>naufal.sandro@mail.ugm.ac.id</v>
      </c>
    </row>
    <row r="2630" spans="1:8" ht="15.5" x14ac:dyDescent="0.35">
      <c r="A2630" s="7">
        <v>2629</v>
      </c>
      <c r="B2630" s="10">
        <v>43681</v>
      </c>
      <c r="C2630" s="13" t="s">
        <v>3080</v>
      </c>
      <c r="D2630" s="10" t="s">
        <v>2851</v>
      </c>
      <c r="E2630" s="10">
        <v>2019</v>
      </c>
      <c r="F2630" s="36" t="str" cm="1">
        <f t="array" ref="F2630">_xlfn.XLOOKUP(D2630&amp;C2630, Sheet3!$C$2:$C$1224&amp;Sheet3!$B$2:$B$1224, Sheet3!$D$2:$D$1224, "")</f>
        <v/>
      </c>
      <c r="G2630" s="1" t="str" cm="1">
        <f t="array" ref="G2630">_xlfn.XLOOKUP(D2630&amp;C2630, Sheet2!$A$2:$A$558&amp;Sheet2!$B$2:$B$558, Sheet2!$C$2:$C$558, "")</f>
        <v/>
      </c>
      <c r="H2630" s="40" t="str">
        <f t="shared" si="41"/>
        <v/>
      </c>
    </row>
    <row r="2631" spans="1:8" ht="15.5" x14ac:dyDescent="0.35">
      <c r="A2631" s="7">
        <v>2630</v>
      </c>
      <c r="B2631" s="10">
        <v>42834</v>
      </c>
      <c r="C2631" s="13" t="s">
        <v>3081</v>
      </c>
      <c r="D2631" s="10" t="s">
        <v>2851</v>
      </c>
      <c r="E2631" s="10">
        <v>2019</v>
      </c>
      <c r="F2631" s="36" t="str" cm="1">
        <f t="array" ref="F2631">_xlfn.XLOOKUP(D2631&amp;C2631, Sheet3!$C$2:$C$1224&amp;Sheet3!$B$2:$B$1224, Sheet3!$D$2:$D$1224, "")</f>
        <v/>
      </c>
      <c r="G2631" s="1" t="str" cm="1">
        <f t="array" ref="G2631">_xlfn.XLOOKUP(D2631&amp;C2631, Sheet2!$A$2:$A$558&amp;Sheet2!$B$2:$B$558, Sheet2!$C$2:$C$558, "")</f>
        <v/>
      </c>
      <c r="H2631" s="40" t="str">
        <f t="shared" si="41"/>
        <v/>
      </c>
    </row>
    <row r="2632" spans="1:8" ht="15.5" x14ac:dyDescent="0.35">
      <c r="A2632" s="7">
        <v>2631</v>
      </c>
      <c r="B2632" s="10">
        <v>42816</v>
      </c>
      <c r="C2632" s="13" t="s">
        <v>3082</v>
      </c>
      <c r="D2632" s="10" t="s">
        <v>2851</v>
      </c>
      <c r="E2632" s="10">
        <v>2019</v>
      </c>
      <c r="F2632" s="36" t="str" cm="1">
        <f t="array" ref="F2632">_xlfn.XLOOKUP(D2632&amp;C2632, Sheet3!$C$2:$C$1224&amp;Sheet3!$B$2:$B$1224, Sheet3!$D$2:$D$1224, "")</f>
        <v>ajengramadhanigunawan@gmail.com</v>
      </c>
      <c r="G2632" s="1" t="str" cm="1">
        <f t="array" ref="G2632">_xlfn.XLOOKUP(D2632&amp;C2632, Sheet2!$A$2:$A$558&amp;Sheet2!$B$2:$B$558, Sheet2!$C$2:$C$558, "")</f>
        <v/>
      </c>
      <c r="H2632" s="40" t="str">
        <f t="shared" si="41"/>
        <v>ajengramadhanigunawan@gmail.com</v>
      </c>
    </row>
    <row r="2633" spans="1:8" ht="15.5" x14ac:dyDescent="0.35">
      <c r="A2633" s="7">
        <v>2632</v>
      </c>
      <c r="B2633" s="10">
        <v>41014</v>
      </c>
      <c r="C2633" s="13" t="s">
        <v>3083</v>
      </c>
      <c r="D2633" s="10" t="s">
        <v>2849</v>
      </c>
      <c r="E2633" s="10">
        <v>2020</v>
      </c>
      <c r="F2633" s="36" t="str" cm="1">
        <f t="array" ref="F2633">_xlfn.XLOOKUP(D2633&amp;C2633, Sheet3!$C$2:$C$1224&amp;Sheet3!$B$2:$B$1224, Sheet3!$D$2:$D$1224, "")</f>
        <v>fauzi.arsyad@gmail.com</v>
      </c>
      <c r="G2633" s="1" t="str" cm="1">
        <f t="array" ref="G2633">_xlfn.XLOOKUP(D2633&amp;C2633, Sheet2!$A$2:$A$558&amp;Sheet2!$B$2:$B$558, Sheet2!$C$2:$C$558, "")</f>
        <v/>
      </c>
      <c r="H2633" s="40" t="str">
        <f t="shared" si="41"/>
        <v>fauzi.arsyad@gmail.com</v>
      </c>
    </row>
    <row r="2634" spans="1:8" ht="15.5" x14ac:dyDescent="0.35">
      <c r="A2634" s="7">
        <v>2633</v>
      </c>
      <c r="B2634" s="10">
        <v>39202</v>
      </c>
      <c r="C2634" s="13" t="s">
        <v>3084</v>
      </c>
      <c r="D2634" s="10" t="s">
        <v>2848</v>
      </c>
      <c r="E2634" s="10">
        <v>2020</v>
      </c>
      <c r="F2634" s="36" t="str" cm="1">
        <f t="array" ref="F2634">_xlfn.XLOOKUP(D2634&amp;C2634, Sheet3!$C$2:$C$1224&amp;Sheet3!$B$2:$B$1224, Sheet3!$D$2:$D$1224, "")</f>
        <v/>
      </c>
      <c r="G2634" s="1" t="str" cm="1">
        <f t="array" ref="G2634">_xlfn.XLOOKUP(D2634&amp;C2634, Sheet2!$A$2:$A$558&amp;Sheet2!$B$2:$B$558, Sheet2!$C$2:$C$558, "")</f>
        <v/>
      </c>
      <c r="H2634" s="40" t="str">
        <f t="shared" si="41"/>
        <v/>
      </c>
    </row>
    <row r="2635" spans="1:8" ht="15.5" x14ac:dyDescent="0.35">
      <c r="A2635" s="7">
        <v>2634</v>
      </c>
      <c r="B2635" s="10">
        <v>43370</v>
      </c>
      <c r="C2635" s="13" t="s">
        <v>3085</v>
      </c>
      <c r="D2635" s="10" t="s">
        <v>2851</v>
      </c>
      <c r="E2635" s="10">
        <v>2020</v>
      </c>
      <c r="F2635" s="36" t="str" cm="1">
        <f t="array" ref="F2635">_xlfn.XLOOKUP(D2635&amp;C2635, Sheet3!$C$2:$C$1224&amp;Sheet3!$B$2:$B$1224, Sheet3!$D$2:$D$1224, "")</f>
        <v/>
      </c>
      <c r="G2635" s="1" t="str" cm="1">
        <f t="array" ref="G2635">_xlfn.XLOOKUP(D2635&amp;C2635, Sheet2!$A$2:$A$558&amp;Sheet2!$B$2:$B$558, Sheet2!$C$2:$C$558, "")</f>
        <v/>
      </c>
      <c r="H2635" s="40" t="str">
        <f t="shared" si="41"/>
        <v/>
      </c>
    </row>
    <row r="2636" spans="1:8" ht="15.5" x14ac:dyDescent="0.35">
      <c r="A2636" s="7">
        <v>2635</v>
      </c>
      <c r="B2636" s="10">
        <v>43663</v>
      </c>
      <c r="C2636" s="13" t="s">
        <v>3086</v>
      </c>
      <c r="D2636" s="10" t="s">
        <v>2851</v>
      </c>
      <c r="E2636" s="10">
        <v>2020</v>
      </c>
      <c r="F2636" s="36" t="str" cm="1">
        <f t="array" ref="F2636">_xlfn.XLOOKUP(D2636&amp;C2636, Sheet3!$C$2:$C$1224&amp;Sheet3!$B$2:$B$1224, Sheet3!$D$2:$D$1224, "")</f>
        <v>fyogastina@gmail.com</v>
      </c>
      <c r="G2636" s="1" t="str" cm="1">
        <f t="array" ref="G2636">_xlfn.XLOOKUP(D2636&amp;C2636, Sheet2!$A$2:$A$558&amp;Sheet2!$B$2:$B$558, Sheet2!$C$2:$C$558, "")</f>
        <v/>
      </c>
      <c r="H2636" s="40" t="str">
        <f t="shared" si="41"/>
        <v>fyogastina@gmail.com</v>
      </c>
    </row>
    <row r="2637" spans="1:8" ht="15.5" x14ac:dyDescent="0.35">
      <c r="A2637" s="7">
        <v>2636</v>
      </c>
      <c r="B2637" s="10">
        <v>43639</v>
      </c>
      <c r="C2637" s="13" t="s">
        <v>3087</v>
      </c>
      <c r="D2637" s="10" t="s">
        <v>2851</v>
      </c>
      <c r="E2637" s="10">
        <v>2020</v>
      </c>
      <c r="F2637" s="36" t="str" cm="1">
        <f t="array" ref="F2637">_xlfn.XLOOKUP(D2637&amp;C2637, Sheet3!$C$2:$C$1224&amp;Sheet3!$B$2:$B$1224, Sheet3!$D$2:$D$1224, "")</f>
        <v/>
      </c>
      <c r="G2637" s="1" t="str" cm="1">
        <f t="array" ref="G2637">_xlfn.XLOOKUP(D2637&amp;C2637, Sheet2!$A$2:$A$558&amp;Sheet2!$B$2:$B$558, Sheet2!$C$2:$C$558, "")</f>
        <v/>
      </c>
      <c r="H2637" s="40" t="str">
        <f t="shared" si="41"/>
        <v/>
      </c>
    </row>
    <row r="2638" spans="1:8" ht="15.5" x14ac:dyDescent="0.35">
      <c r="A2638" s="7">
        <v>2637</v>
      </c>
      <c r="B2638" s="10">
        <v>42669</v>
      </c>
      <c r="C2638" s="13" t="s">
        <v>3088</v>
      </c>
      <c r="D2638" s="10" t="s">
        <v>2850</v>
      </c>
      <c r="E2638" s="10">
        <v>2020</v>
      </c>
      <c r="F2638" s="36" t="str" cm="1">
        <f t="array" ref="F2638">_xlfn.XLOOKUP(D2638&amp;C2638, Sheet3!$C$2:$C$1224&amp;Sheet3!$B$2:$B$1224, Sheet3!$D$2:$D$1224, "")</f>
        <v>abdullahbinabad39@gmail.com</v>
      </c>
      <c r="G2638" s="1" t="str" cm="1">
        <f t="array" ref="G2638">_xlfn.XLOOKUP(D2638&amp;C2638, Sheet2!$A$2:$A$558&amp;Sheet2!$B$2:$B$558, Sheet2!$C$2:$C$558, "")</f>
        <v/>
      </c>
      <c r="H2638" s="40" t="str">
        <f t="shared" si="41"/>
        <v>abdullahbinabad39@gmail.com</v>
      </c>
    </row>
    <row r="2639" spans="1:8" ht="15.5" x14ac:dyDescent="0.35">
      <c r="A2639" s="7">
        <v>2638</v>
      </c>
      <c r="B2639" s="10">
        <v>42819</v>
      </c>
      <c r="C2639" s="13" t="s">
        <v>3089</v>
      </c>
      <c r="D2639" s="10" t="s">
        <v>2851</v>
      </c>
      <c r="E2639" s="10">
        <v>2020</v>
      </c>
      <c r="F2639" s="36" t="str" cm="1">
        <f t="array" ref="F2639">_xlfn.XLOOKUP(D2639&amp;C2639, Sheet3!$C$2:$C$1224&amp;Sheet3!$B$2:$B$1224, Sheet3!$D$2:$D$1224, "")</f>
        <v/>
      </c>
      <c r="G2639" s="1" t="str" cm="1">
        <f t="array" ref="G2639">_xlfn.XLOOKUP(D2639&amp;C2639, Sheet2!$A$2:$A$558&amp;Sheet2!$B$2:$B$558, Sheet2!$C$2:$C$558, "")</f>
        <v/>
      </c>
      <c r="H2639" s="40" t="str">
        <f t="shared" si="41"/>
        <v/>
      </c>
    </row>
    <row r="2640" spans="1:8" ht="15.5" x14ac:dyDescent="0.35">
      <c r="A2640" s="7">
        <v>2639</v>
      </c>
      <c r="B2640" s="10">
        <v>43664</v>
      </c>
      <c r="C2640" s="13" t="s">
        <v>3090</v>
      </c>
      <c r="D2640" s="10" t="s">
        <v>2851</v>
      </c>
      <c r="E2640" s="10">
        <v>2020</v>
      </c>
      <c r="F2640" s="36" t="str" cm="1">
        <f t="array" ref="F2640">_xlfn.XLOOKUP(D2640&amp;C2640, Sheet3!$C$2:$C$1224&amp;Sheet3!$B$2:$B$1224, Sheet3!$D$2:$D$1224, "")</f>
        <v/>
      </c>
      <c r="G2640" s="1" t="str" cm="1">
        <f t="array" ref="G2640">_xlfn.XLOOKUP(D2640&amp;C2640, Sheet2!$A$2:$A$558&amp;Sheet2!$B$2:$B$558, Sheet2!$C$2:$C$558, "")</f>
        <v/>
      </c>
      <c r="H2640" s="40" t="str">
        <f t="shared" si="41"/>
        <v/>
      </c>
    </row>
    <row r="2641" spans="1:8" ht="15.5" x14ac:dyDescent="0.35">
      <c r="A2641" s="7">
        <v>2640</v>
      </c>
      <c r="B2641" s="10">
        <v>43690</v>
      </c>
      <c r="C2641" s="13" t="s">
        <v>3091</v>
      </c>
      <c r="D2641" s="10" t="s">
        <v>2851</v>
      </c>
      <c r="E2641" s="10">
        <v>2020</v>
      </c>
      <c r="F2641" s="36" t="str" cm="1">
        <f t="array" ref="F2641">_xlfn.XLOOKUP(D2641&amp;C2641, Sheet3!$C$2:$C$1224&amp;Sheet3!$B$2:$B$1224, Sheet3!$D$2:$D$1224, "")</f>
        <v>yudharachmat55@gmail.com</v>
      </c>
      <c r="G2641" s="1" t="str" cm="1">
        <f t="array" ref="G2641">_xlfn.XLOOKUP(D2641&amp;C2641, Sheet2!$A$2:$A$558&amp;Sheet2!$B$2:$B$558, Sheet2!$C$2:$C$558, "")</f>
        <v/>
      </c>
      <c r="H2641" s="40" t="str">
        <f t="shared" si="41"/>
        <v>yudharachmat55@gmail.com</v>
      </c>
    </row>
    <row r="2642" spans="1:8" ht="15.5" x14ac:dyDescent="0.35">
      <c r="A2642" s="7">
        <v>2641</v>
      </c>
      <c r="B2642" s="10">
        <v>42351</v>
      </c>
      <c r="C2642" s="13" t="s">
        <v>3092</v>
      </c>
      <c r="D2642" s="10" t="s">
        <v>2850</v>
      </c>
      <c r="E2642" s="10">
        <v>2020</v>
      </c>
      <c r="F2642" s="36" t="str" cm="1">
        <f t="array" ref="F2642">_xlfn.XLOOKUP(D2642&amp;C2642, Sheet3!$C$2:$C$1224&amp;Sheet3!$B$2:$B$1224, Sheet3!$D$2:$D$1224, "")</f>
        <v>ramadhani.junus@gmail.com</v>
      </c>
      <c r="G2642" s="1" t="str" cm="1">
        <f t="array" ref="G2642">_xlfn.XLOOKUP(D2642&amp;C2642, Sheet2!$A$2:$A$558&amp;Sheet2!$B$2:$B$558, Sheet2!$C$2:$C$558, "")</f>
        <v/>
      </c>
      <c r="H2642" s="40" t="str">
        <f t="shared" si="41"/>
        <v>ramadhani.junus@gmail.com</v>
      </c>
    </row>
    <row r="2643" spans="1:8" ht="15.5" x14ac:dyDescent="0.35">
      <c r="A2643" s="7">
        <v>2642</v>
      </c>
      <c r="B2643" s="10">
        <v>43680</v>
      </c>
      <c r="C2643" s="13" t="s">
        <v>3093</v>
      </c>
      <c r="D2643" s="10" t="s">
        <v>2851</v>
      </c>
      <c r="E2643" s="10">
        <v>2020</v>
      </c>
      <c r="F2643" s="36" t="str" cm="1">
        <f t="array" ref="F2643">_xlfn.XLOOKUP(D2643&amp;C2643, Sheet3!$C$2:$C$1224&amp;Sheet3!$B$2:$B$1224, Sheet3!$D$2:$D$1224, "")</f>
        <v/>
      </c>
      <c r="G2643" s="1" t="str" cm="1">
        <f t="array" ref="G2643">_xlfn.XLOOKUP(D2643&amp;C2643, Sheet2!$A$2:$A$558&amp;Sheet2!$B$2:$B$558, Sheet2!$C$2:$C$558, "")</f>
        <v/>
      </c>
      <c r="H2643" s="40" t="str">
        <f t="shared" si="41"/>
        <v/>
      </c>
    </row>
    <row r="2644" spans="1:8" ht="15.5" x14ac:dyDescent="0.35">
      <c r="A2644" s="7">
        <v>2643</v>
      </c>
      <c r="B2644" s="10">
        <v>43691</v>
      </c>
      <c r="C2644" s="13" t="s">
        <v>3094</v>
      </c>
      <c r="D2644" s="10" t="s">
        <v>2851</v>
      </c>
      <c r="E2644" s="10"/>
      <c r="F2644" s="36" t="str" cm="1">
        <f t="array" ref="F2644">_xlfn.XLOOKUP(D2644&amp;C2644, Sheet3!$C$2:$C$1224&amp;Sheet3!$B$2:$B$1224, Sheet3!$D$2:$D$1224, "")</f>
        <v/>
      </c>
      <c r="G2644" s="1" t="str" cm="1">
        <f t="array" ref="G2644">_xlfn.XLOOKUP(D2644&amp;C2644, Sheet2!$A$2:$A$558&amp;Sheet2!$B$2:$B$558, Sheet2!$C$2:$C$558, "")</f>
        <v/>
      </c>
      <c r="H2644" s="40" t="str">
        <f t="shared" si="41"/>
        <v/>
      </c>
    </row>
    <row r="2645" spans="1:8" ht="15.5" x14ac:dyDescent="0.35">
      <c r="A2645" s="7">
        <v>2644</v>
      </c>
      <c r="B2645" s="10">
        <v>43660</v>
      </c>
      <c r="C2645" s="13" t="s">
        <v>3095</v>
      </c>
      <c r="D2645" s="10" t="s">
        <v>2851</v>
      </c>
      <c r="E2645" s="10"/>
      <c r="F2645" s="36" t="str" cm="1">
        <f t="array" ref="F2645">_xlfn.XLOOKUP(D2645&amp;C2645, Sheet3!$C$2:$C$1224&amp;Sheet3!$B$2:$B$1224, Sheet3!$D$2:$D$1224, "")</f>
        <v/>
      </c>
      <c r="G2645" s="1" t="str" cm="1">
        <f t="array" ref="G2645">_xlfn.XLOOKUP(D2645&amp;C2645, Sheet2!$A$2:$A$558&amp;Sheet2!$B$2:$B$558, Sheet2!$C$2:$C$558, "")</f>
        <v/>
      </c>
      <c r="H2645" s="40" t="str">
        <f t="shared" si="41"/>
        <v/>
      </c>
    </row>
    <row r="2646" spans="1:8" ht="15.5" x14ac:dyDescent="0.35">
      <c r="A2646" s="7">
        <v>2645</v>
      </c>
      <c r="B2646" s="10">
        <v>43635</v>
      </c>
      <c r="C2646" s="13" t="s">
        <v>3096</v>
      </c>
      <c r="D2646" s="10" t="s">
        <v>2851</v>
      </c>
      <c r="E2646" s="10"/>
      <c r="F2646" s="36" t="str" cm="1">
        <f t="array" ref="F2646">_xlfn.XLOOKUP(D2646&amp;C2646, Sheet3!$C$2:$C$1224&amp;Sheet3!$B$2:$B$1224, Sheet3!$D$2:$D$1224, "")</f>
        <v>alianfathira@gmail.com</v>
      </c>
      <c r="G2646" s="1" t="str" cm="1">
        <f t="array" ref="G2646">_xlfn.XLOOKUP(D2646&amp;C2646, Sheet2!$A$2:$A$558&amp;Sheet2!$B$2:$B$558, Sheet2!$C$2:$C$558, "")</f>
        <v/>
      </c>
      <c r="H2646" s="40" t="str">
        <f t="shared" si="41"/>
        <v>alianfathira@gmail.com</v>
      </c>
    </row>
    <row r="2647" spans="1:8" ht="15.5" x14ac:dyDescent="0.35">
      <c r="A2647" s="7">
        <v>2646</v>
      </c>
      <c r="B2647" s="10">
        <v>42825</v>
      </c>
      <c r="C2647" s="13" t="s">
        <v>3097</v>
      </c>
      <c r="D2647" s="10" t="s">
        <v>2851</v>
      </c>
      <c r="E2647" s="10"/>
      <c r="F2647" s="36" t="str" cm="1">
        <f t="array" ref="F2647">_xlfn.XLOOKUP(D2647&amp;C2647, Sheet3!$C$2:$C$1224&amp;Sheet3!$B$2:$B$1224, Sheet3!$D$2:$D$1224, "")</f>
        <v/>
      </c>
      <c r="G2647" s="1" t="str" cm="1">
        <f t="array" ref="G2647">_xlfn.XLOOKUP(D2647&amp;C2647, Sheet2!$A$2:$A$558&amp;Sheet2!$B$2:$B$558, Sheet2!$C$2:$C$558, "")</f>
        <v/>
      </c>
      <c r="H2647" s="40" t="str">
        <f t="shared" si="41"/>
        <v/>
      </c>
    </row>
    <row r="2648" spans="1:8" ht="15.5" x14ac:dyDescent="0.35">
      <c r="A2648" s="7">
        <v>2647</v>
      </c>
      <c r="B2648" s="10">
        <v>43678</v>
      </c>
      <c r="C2648" s="13" t="s">
        <v>3098</v>
      </c>
      <c r="D2648" s="10" t="s">
        <v>2851</v>
      </c>
      <c r="E2648" s="10">
        <v>2020</v>
      </c>
      <c r="F2648" s="36" t="str" cm="1">
        <f t="array" ref="F2648">_xlfn.XLOOKUP(D2648&amp;C2648, Sheet3!$C$2:$C$1224&amp;Sheet3!$B$2:$B$1224, Sheet3!$D$2:$D$1224, "")</f>
        <v/>
      </c>
      <c r="G2648" s="1" t="str" cm="1">
        <f t="array" ref="G2648">_xlfn.XLOOKUP(D2648&amp;C2648, Sheet2!$A$2:$A$558&amp;Sheet2!$B$2:$B$558, Sheet2!$C$2:$C$558, "")</f>
        <v/>
      </c>
      <c r="H2648" s="40" t="str">
        <f t="shared" si="41"/>
        <v/>
      </c>
    </row>
    <row r="2649" spans="1:8" ht="15.5" x14ac:dyDescent="0.35">
      <c r="A2649" s="7">
        <v>2648</v>
      </c>
      <c r="B2649" s="10">
        <v>42829</v>
      </c>
      <c r="C2649" s="13" t="s">
        <v>3099</v>
      </c>
      <c r="D2649" s="10" t="s">
        <v>2851</v>
      </c>
      <c r="E2649" s="10">
        <v>2020</v>
      </c>
      <c r="F2649" s="36" t="str" cm="1">
        <f t="array" ref="F2649">_xlfn.XLOOKUP(D2649&amp;C2649, Sheet3!$C$2:$C$1224&amp;Sheet3!$B$2:$B$1224, Sheet3!$D$2:$D$1224, "")</f>
        <v>helminurul96@gmail.com</v>
      </c>
      <c r="G2649" s="1" t="str" cm="1">
        <f t="array" ref="G2649">_xlfn.XLOOKUP(D2649&amp;C2649, Sheet2!$A$2:$A$558&amp;Sheet2!$B$2:$B$558, Sheet2!$C$2:$C$558, "")</f>
        <v/>
      </c>
      <c r="H2649" s="40" t="str">
        <f t="shared" si="41"/>
        <v>helminurul96@gmail.com</v>
      </c>
    </row>
    <row r="2650" spans="1:8" ht="15.5" x14ac:dyDescent="0.35">
      <c r="A2650" s="7">
        <v>2649</v>
      </c>
      <c r="B2650" s="10">
        <v>41354</v>
      </c>
      <c r="C2650" s="13" t="s">
        <v>3100</v>
      </c>
      <c r="D2650" s="10" t="s">
        <v>2849</v>
      </c>
      <c r="E2650" s="10">
        <v>2020</v>
      </c>
      <c r="F2650" s="36" t="str" cm="1">
        <f t="array" ref="F2650">_xlfn.XLOOKUP(D2650&amp;C2650, Sheet3!$C$2:$C$1224&amp;Sheet3!$B$2:$B$1224, Sheet3!$D$2:$D$1224, "")</f>
        <v/>
      </c>
      <c r="G2650" s="1" t="str" cm="1">
        <f t="array" ref="G2650">_xlfn.XLOOKUP(D2650&amp;C2650, Sheet2!$A$2:$A$558&amp;Sheet2!$B$2:$B$558, Sheet2!$C$2:$C$558, "")</f>
        <v/>
      </c>
      <c r="H2650" s="40" t="str">
        <f t="shared" si="41"/>
        <v/>
      </c>
    </row>
    <row r="2651" spans="1:8" ht="15.5" x14ac:dyDescent="0.35">
      <c r="A2651" s="7">
        <v>2650</v>
      </c>
      <c r="B2651" s="10">
        <v>43187</v>
      </c>
      <c r="C2651" s="13" t="s">
        <v>3101</v>
      </c>
      <c r="D2651" s="10" t="s">
        <v>2851</v>
      </c>
      <c r="E2651" s="10">
        <v>2020</v>
      </c>
      <c r="F2651" s="36" t="str" cm="1">
        <f t="array" ref="F2651">_xlfn.XLOOKUP(D2651&amp;C2651, Sheet3!$C$2:$C$1224&amp;Sheet3!$B$2:$B$1224, Sheet3!$D$2:$D$1224, "")</f>
        <v/>
      </c>
      <c r="G2651" s="1" t="str" cm="1">
        <f t="array" ref="G2651">_xlfn.XLOOKUP(D2651&amp;C2651, Sheet2!$A$2:$A$558&amp;Sheet2!$B$2:$B$558, Sheet2!$C$2:$C$558, "")</f>
        <v/>
      </c>
      <c r="H2651" s="40" t="str">
        <f t="shared" si="41"/>
        <v/>
      </c>
    </row>
    <row r="2652" spans="1:8" ht="15.5" x14ac:dyDescent="0.35">
      <c r="A2652" s="7">
        <v>2651</v>
      </c>
      <c r="B2652" s="10">
        <v>44324</v>
      </c>
      <c r="C2652" s="13" t="s">
        <v>3102</v>
      </c>
      <c r="D2652" s="10" t="s">
        <v>2852</v>
      </c>
      <c r="E2652" s="10">
        <v>2020</v>
      </c>
      <c r="F2652" s="36" t="str" cm="1">
        <f t="array" ref="F2652">_xlfn.XLOOKUP(D2652&amp;C2652, Sheet3!$C$2:$C$1224&amp;Sheet3!$B$2:$B$1224, Sheet3!$D$2:$D$1224, "")</f>
        <v/>
      </c>
      <c r="G2652" s="1" t="str" cm="1">
        <f t="array" ref="G2652">_xlfn.XLOOKUP(D2652&amp;C2652, Sheet2!$A$2:$A$558&amp;Sheet2!$B$2:$B$558, Sheet2!$C$2:$C$558, "")</f>
        <v/>
      </c>
      <c r="H2652" s="40" t="str">
        <f t="shared" si="41"/>
        <v/>
      </c>
    </row>
    <row r="2653" spans="1:8" ht="15.5" x14ac:dyDescent="0.35">
      <c r="A2653" s="7">
        <v>2652</v>
      </c>
      <c r="B2653" s="10">
        <v>45025</v>
      </c>
      <c r="C2653" s="13" t="s">
        <v>3103</v>
      </c>
      <c r="D2653" s="10" t="s">
        <v>2852</v>
      </c>
      <c r="E2653" s="10">
        <v>2020</v>
      </c>
      <c r="F2653" s="36" t="str" cm="1">
        <f t="array" ref="F2653">_xlfn.XLOOKUP(D2653&amp;C2653, Sheet3!$C$2:$C$1224&amp;Sheet3!$B$2:$B$1224, Sheet3!$D$2:$D$1224, "")</f>
        <v/>
      </c>
      <c r="G2653" s="1" t="str" cm="1">
        <f t="array" ref="G2653">_xlfn.XLOOKUP(D2653&amp;C2653, Sheet2!$A$2:$A$558&amp;Sheet2!$B$2:$B$558, Sheet2!$C$2:$C$558, "")</f>
        <v/>
      </c>
      <c r="H2653" s="40" t="str">
        <f t="shared" si="41"/>
        <v/>
      </c>
    </row>
    <row r="2654" spans="1:8" ht="15.5" x14ac:dyDescent="0.35">
      <c r="A2654" s="7">
        <v>2653</v>
      </c>
      <c r="B2654" s="10">
        <v>43666</v>
      </c>
      <c r="C2654" s="13" t="s">
        <v>3104</v>
      </c>
      <c r="D2654" s="10" t="s">
        <v>2851</v>
      </c>
      <c r="E2654" s="10">
        <v>2020</v>
      </c>
      <c r="F2654" s="36" t="str" cm="1">
        <f t="array" ref="F2654">_xlfn.XLOOKUP(D2654&amp;C2654, Sheet3!$C$2:$C$1224&amp;Sheet3!$B$2:$B$1224, Sheet3!$D$2:$D$1224, "")</f>
        <v>ikhsanluthfiaradea@gmail.com</v>
      </c>
      <c r="G2654" s="1" t="str" cm="1">
        <f t="array" ref="G2654">_xlfn.XLOOKUP(D2654&amp;C2654, Sheet2!$A$2:$A$558&amp;Sheet2!$B$2:$B$558, Sheet2!$C$2:$C$558, "")</f>
        <v/>
      </c>
      <c r="H2654" s="40" t="str">
        <f t="shared" si="41"/>
        <v>ikhsanluthfiaradea@gmail.com</v>
      </c>
    </row>
    <row r="2655" spans="1:8" ht="15.5" x14ac:dyDescent="0.35">
      <c r="A2655" s="7">
        <v>2654</v>
      </c>
      <c r="B2655" s="10">
        <v>44319</v>
      </c>
      <c r="C2655" s="13" t="s">
        <v>3105</v>
      </c>
      <c r="D2655" s="10" t="s">
        <v>2852</v>
      </c>
      <c r="E2655" s="10">
        <v>2020</v>
      </c>
      <c r="F2655" s="36" t="str" cm="1">
        <f t="array" ref="F2655">_xlfn.XLOOKUP(D2655&amp;C2655, Sheet3!$C$2:$C$1224&amp;Sheet3!$B$2:$B$1224, Sheet3!$D$2:$D$1224, "")</f>
        <v/>
      </c>
      <c r="G2655" s="1" t="str" cm="1">
        <f t="array" ref="G2655">_xlfn.XLOOKUP(D2655&amp;C2655, Sheet2!$A$2:$A$558&amp;Sheet2!$B$2:$B$558, Sheet2!$C$2:$C$558, "")</f>
        <v/>
      </c>
      <c r="H2655" s="40" t="str">
        <f t="shared" si="41"/>
        <v/>
      </c>
    </row>
    <row r="2656" spans="1:8" ht="15.5" x14ac:dyDescent="0.35">
      <c r="A2656" s="7">
        <v>2655</v>
      </c>
      <c r="B2656" s="10">
        <v>43632</v>
      </c>
      <c r="C2656" s="13" t="s">
        <v>3106</v>
      </c>
      <c r="D2656" s="10" t="s">
        <v>2851</v>
      </c>
      <c r="E2656" s="10">
        <v>2020</v>
      </c>
      <c r="F2656" s="36" t="str" cm="1">
        <f t="array" ref="F2656">_xlfn.XLOOKUP(D2656&amp;C2656, Sheet3!$C$2:$C$1224&amp;Sheet3!$B$2:$B$1224, Sheet3!$D$2:$D$1224, "")</f>
        <v/>
      </c>
      <c r="G2656" s="1" t="str" cm="1">
        <f t="array" ref="G2656">_xlfn.XLOOKUP(D2656&amp;C2656, Sheet2!$A$2:$A$558&amp;Sheet2!$B$2:$B$558, Sheet2!$C$2:$C$558, "")</f>
        <v/>
      </c>
      <c r="H2656" s="40" t="str">
        <f t="shared" si="41"/>
        <v/>
      </c>
    </row>
    <row r="2657" spans="1:8" ht="15.5" x14ac:dyDescent="0.35">
      <c r="A2657" s="7">
        <v>2656</v>
      </c>
      <c r="B2657" s="10">
        <v>45034</v>
      </c>
      <c r="C2657" s="13" t="s">
        <v>3107</v>
      </c>
      <c r="D2657" s="10" t="s">
        <v>2852</v>
      </c>
      <c r="E2657" s="10">
        <v>2020</v>
      </c>
      <c r="F2657" s="36" t="str" cm="1">
        <f t="array" ref="F2657">_xlfn.XLOOKUP(D2657&amp;C2657, Sheet3!$C$2:$C$1224&amp;Sheet3!$B$2:$B$1224, Sheet3!$D$2:$D$1224, "")</f>
        <v xml:space="preserve">sufahmad157@gmail.com </v>
      </c>
      <c r="G2657" s="1" t="str" cm="1">
        <f t="array" ref="G2657">_xlfn.XLOOKUP(D2657&amp;C2657, Sheet2!$A$2:$A$558&amp;Sheet2!$B$2:$B$558, Sheet2!$C$2:$C$558, "")</f>
        <v/>
      </c>
      <c r="H2657" s="40" t="str">
        <f t="shared" si="41"/>
        <v xml:space="preserve">sufahmad157@gmail.com </v>
      </c>
    </row>
    <row r="2658" spans="1:8" ht="15.5" x14ac:dyDescent="0.35">
      <c r="A2658" s="7">
        <v>2657</v>
      </c>
      <c r="B2658" s="10">
        <v>45014</v>
      </c>
      <c r="C2658" s="13" t="s">
        <v>3108</v>
      </c>
      <c r="D2658" s="10" t="s">
        <v>2852</v>
      </c>
      <c r="E2658" s="10">
        <v>2020</v>
      </c>
      <c r="F2658" s="36" t="str" cm="1">
        <f t="array" ref="F2658">_xlfn.XLOOKUP(D2658&amp;C2658, Sheet3!$C$2:$C$1224&amp;Sheet3!$B$2:$B$1224, Sheet3!$D$2:$D$1224, "")</f>
        <v/>
      </c>
      <c r="G2658" s="1" t="str" cm="1">
        <f t="array" ref="G2658">_xlfn.XLOOKUP(D2658&amp;C2658, Sheet2!$A$2:$A$558&amp;Sheet2!$B$2:$B$558, Sheet2!$C$2:$C$558, "")</f>
        <v/>
      </c>
      <c r="H2658" s="40" t="str">
        <f t="shared" si="41"/>
        <v/>
      </c>
    </row>
    <row r="2659" spans="1:8" ht="15.5" x14ac:dyDescent="0.35">
      <c r="A2659" s="7">
        <v>2658</v>
      </c>
      <c r="B2659" s="10">
        <v>45000</v>
      </c>
      <c r="C2659" s="13" t="s">
        <v>3109</v>
      </c>
      <c r="D2659" s="10" t="s">
        <v>2852</v>
      </c>
      <c r="E2659" s="10">
        <v>2020</v>
      </c>
      <c r="F2659" s="36" t="str" cm="1">
        <f t="array" ref="F2659">_xlfn.XLOOKUP(D2659&amp;C2659, Sheet3!$C$2:$C$1224&amp;Sheet3!$B$2:$B$1224, Sheet3!$D$2:$D$1224, "")</f>
        <v/>
      </c>
      <c r="G2659" s="1" t="str" cm="1">
        <f t="array" ref="G2659">_xlfn.XLOOKUP(D2659&amp;C2659, Sheet2!$A$2:$A$558&amp;Sheet2!$B$2:$B$558, Sheet2!$C$2:$C$558, "")</f>
        <v/>
      </c>
      <c r="H2659" s="40" t="str">
        <f t="shared" si="41"/>
        <v/>
      </c>
    </row>
    <row r="2660" spans="1:8" ht="15.5" x14ac:dyDescent="0.35">
      <c r="A2660" s="7">
        <v>2659</v>
      </c>
      <c r="B2660" s="10">
        <v>44310</v>
      </c>
      <c r="C2660" s="13" t="s">
        <v>3110</v>
      </c>
      <c r="D2660" s="10" t="s">
        <v>2852</v>
      </c>
      <c r="E2660" s="10">
        <v>2020</v>
      </c>
      <c r="F2660" s="36" t="str" cm="1">
        <f t="array" ref="F2660">_xlfn.XLOOKUP(D2660&amp;C2660, Sheet3!$C$2:$C$1224&amp;Sheet3!$B$2:$B$1224, Sheet3!$D$2:$D$1224, "")</f>
        <v/>
      </c>
      <c r="G2660" s="1" t="str" cm="1">
        <f t="array" ref="G2660">_xlfn.XLOOKUP(D2660&amp;C2660, Sheet2!$A$2:$A$558&amp;Sheet2!$B$2:$B$558, Sheet2!$C$2:$C$558, "")</f>
        <v/>
      </c>
      <c r="H2660" s="40" t="str">
        <f t="shared" si="41"/>
        <v/>
      </c>
    </row>
    <row r="2661" spans="1:8" ht="15.5" x14ac:dyDescent="0.35">
      <c r="A2661" s="7">
        <v>2660</v>
      </c>
      <c r="B2661" s="10">
        <v>44336</v>
      </c>
      <c r="C2661" s="13" t="s">
        <v>3111</v>
      </c>
      <c r="D2661" s="10" t="s">
        <v>2852</v>
      </c>
      <c r="E2661" s="10">
        <v>2020</v>
      </c>
      <c r="F2661" s="36" t="str" cm="1">
        <f t="array" ref="F2661">_xlfn.XLOOKUP(D2661&amp;C2661, Sheet3!$C$2:$C$1224&amp;Sheet3!$B$2:$B$1224, Sheet3!$D$2:$D$1224, "")</f>
        <v/>
      </c>
      <c r="G2661" s="1" t="str" cm="1">
        <f t="array" ref="G2661">_xlfn.XLOOKUP(D2661&amp;C2661, Sheet2!$A$2:$A$558&amp;Sheet2!$B$2:$B$558, Sheet2!$C$2:$C$558, "")</f>
        <v/>
      </c>
      <c r="H2661" s="40" t="str">
        <f t="shared" si="41"/>
        <v/>
      </c>
    </row>
    <row r="2662" spans="1:8" ht="15.5" x14ac:dyDescent="0.35">
      <c r="A2662" s="7">
        <v>2661</v>
      </c>
      <c r="B2662" s="10">
        <v>44743</v>
      </c>
      <c r="C2662" s="13" t="s">
        <v>3112</v>
      </c>
      <c r="D2662" s="10" t="s">
        <v>2852</v>
      </c>
      <c r="E2662" s="10">
        <v>2020</v>
      </c>
      <c r="F2662" s="36" t="str" cm="1">
        <f t="array" ref="F2662">_xlfn.XLOOKUP(D2662&amp;C2662, Sheet3!$C$2:$C$1224&amp;Sheet3!$B$2:$B$1224, Sheet3!$D$2:$D$1224, "")</f>
        <v>nugraheni.novi17@gmail.com</v>
      </c>
      <c r="G2662" s="1" t="str" cm="1">
        <f t="array" ref="G2662">_xlfn.XLOOKUP(D2662&amp;C2662, Sheet2!$A$2:$A$558&amp;Sheet2!$B$2:$B$558, Sheet2!$C$2:$C$558, "")</f>
        <v/>
      </c>
      <c r="H2662" s="40" t="str">
        <f t="shared" si="41"/>
        <v>nugraheni.novi17@gmail.com</v>
      </c>
    </row>
    <row r="2663" spans="1:8" ht="15.5" x14ac:dyDescent="0.35">
      <c r="A2663" s="7">
        <v>2662</v>
      </c>
      <c r="B2663" s="10">
        <v>45029</v>
      </c>
      <c r="C2663" s="13" t="s">
        <v>3113</v>
      </c>
      <c r="D2663" s="10" t="s">
        <v>2852</v>
      </c>
      <c r="E2663" s="10">
        <v>2020</v>
      </c>
      <c r="F2663" s="36" t="str" cm="1">
        <f t="array" ref="F2663">_xlfn.XLOOKUP(D2663&amp;C2663, Sheet3!$C$2:$C$1224&amp;Sheet3!$B$2:$B$1224, Sheet3!$D$2:$D$1224, "")</f>
        <v/>
      </c>
      <c r="G2663" s="1" t="str" cm="1">
        <f t="array" ref="G2663">_xlfn.XLOOKUP(D2663&amp;C2663, Sheet2!$A$2:$A$558&amp;Sheet2!$B$2:$B$558, Sheet2!$C$2:$C$558, "")</f>
        <v/>
      </c>
      <c r="H2663" s="40" t="str">
        <f t="shared" si="41"/>
        <v/>
      </c>
    </row>
    <row r="2664" spans="1:8" ht="15.5" x14ac:dyDescent="0.35">
      <c r="A2664" s="7">
        <v>2663</v>
      </c>
      <c r="B2664" s="10">
        <v>44986</v>
      </c>
      <c r="C2664" s="13" t="s">
        <v>3114</v>
      </c>
      <c r="D2664" s="10" t="s">
        <v>2852</v>
      </c>
      <c r="E2664" s="10">
        <v>2020</v>
      </c>
      <c r="F2664" s="36" t="str" cm="1">
        <f t="array" ref="F2664">_xlfn.XLOOKUP(D2664&amp;C2664, Sheet3!$C$2:$C$1224&amp;Sheet3!$B$2:$B$1224, Sheet3!$D$2:$D$1224, "")</f>
        <v/>
      </c>
      <c r="G2664" s="1" t="str" cm="1">
        <f t="array" ref="G2664">_xlfn.XLOOKUP(D2664&amp;C2664, Sheet2!$A$2:$A$558&amp;Sheet2!$B$2:$B$558, Sheet2!$C$2:$C$558, "")</f>
        <v/>
      </c>
      <c r="H2664" s="40" t="str">
        <f t="shared" si="41"/>
        <v/>
      </c>
    </row>
    <row r="2665" spans="1:8" ht="15.5" x14ac:dyDescent="0.35">
      <c r="A2665" s="7">
        <v>2664</v>
      </c>
      <c r="B2665" s="10">
        <v>45001</v>
      </c>
      <c r="C2665" s="13" t="s">
        <v>3115</v>
      </c>
      <c r="D2665" s="10" t="s">
        <v>2852</v>
      </c>
      <c r="E2665" s="10">
        <v>2020</v>
      </c>
      <c r="F2665" s="36" t="str" cm="1">
        <f t="array" ref="F2665">_xlfn.XLOOKUP(D2665&amp;C2665, Sheet3!$C$2:$C$1224&amp;Sheet3!$B$2:$B$1224, Sheet3!$D$2:$D$1224, "")</f>
        <v/>
      </c>
      <c r="G2665" s="1" t="str" cm="1">
        <f t="array" ref="G2665">_xlfn.XLOOKUP(D2665&amp;C2665, Sheet2!$A$2:$A$558&amp;Sheet2!$B$2:$B$558, Sheet2!$C$2:$C$558, "")</f>
        <v>gustomiarry@gmail.com</v>
      </c>
      <c r="H2665" s="40" t="str">
        <f t="shared" si="41"/>
        <v>gustomiarry@gmail.com</v>
      </c>
    </row>
    <row r="2666" spans="1:8" ht="15.5" x14ac:dyDescent="0.35">
      <c r="A2666" s="7">
        <v>2665</v>
      </c>
      <c r="B2666" s="10">
        <v>44318</v>
      </c>
      <c r="C2666" s="13" t="s">
        <v>3116</v>
      </c>
      <c r="D2666" s="10" t="s">
        <v>2852</v>
      </c>
      <c r="E2666" s="10">
        <v>2020</v>
      </c>
      <c r="F2666" s="36" t="str" cm="1">
        <f t="array" ref="F2666">_xlfn.XLOOKUP(D2666&amp;C2666, Sheet3!$C$2:$C$1224&amp;Sheet3!$B$2:$B$1224, Sheet3!$D$2:$D$1224, "")</f>
        <v/>
      </c>
      <c r="G2666" s="1" t="str" cm="1">
        <f t="array" ref="G2666">_xlfn.XLOOKUP(D2666&amp;C2666, Sheet2!$A$2:$A$558&amp;Sheet2!$B$2:$B$558, Sheet2!$C$2:$C$558, "")</f>
        <v/>
      </c>
      <c r="H2666" s="40" t="str">
        <f t="shared" si="41"/>
        <v/>
      </c>
    </row>
    <row r="2667" spans="1:8" ht="15.5" x14ac:dyDescent="0.35">
      <c r="A2667" s="7">
        <v>2666</v>
      </c>
      <c r="B2667" s="10">
        <v>44338</v>
      </c>
      <c r="C2667" s="13" t="s">
        <v>3117</v>
      </c>
      <c r="D2667" s="10" t="s">
        <v>2852</v>
      </c>
      <c r="E2667" s="10">
        <v>2020</v>
      </c>
      <c r="F2667" s="36" t="str" cm="1">
        <f t="array" ref="F2667">_xlfn.XLOOKUP(D2667&amp;C2667, Sheet3!$C$2:$C$1224&amp;Sheet3!$B$2:$B$1224, Sheet3!$D$2:$D$1224, "")</f>
        <v>siskasarisatoto@gmail.com</v>
      </c>
      <c r="G2667" s="1" t="str" cm="1">
        <f t="array" ref="G2667">_xlfn.XLOOKUP(D2667&amp;C2667, Sheet2!$A$2:$A$558&amp;Sheet2!$B$2:$B$558, Sheet2!$C$2:$C$558, "")</f>
        <v/>
      </c>
      <c r="H2667" s="40" t="str">
        <f t="shared" si="41"/>
        <v>siskasarisatoto@gmail.com</v>
      </c>
    </row>
    <row r="2668" spans="1:8" ht="15.5" x14ac:dyDescent="0.35">
      <c r="A2668" s="7">
        <v>2667</v>
      </c>
      <c r="B2668" s="10">
        <v>44311</v>
      </c>
      <c r="C2668" s="13" t="s">
        <v>3118</v>
      </c>
      <c r="D2668" s="10" t="s">
        <v>2852</v>
      </c>
      <c r="E2668" s="10">
        <v>2020</v>
      </c>
      <c r="F2668" s="36" t="str" cm="1">
        <f t="array" ref="F2668">_xlfn.XLOOKUP(D2668&amp;C2668, Sheet3!$C$2:$C$1224&amp;Sheet3!$B$2:$B$1224, Sheet3!$D$2:$D$1224, "")</f>
        <v/>
      </c>
      <c r="G2668" s="1" t="str" cm="1">
        <f t="array" ref="G2668">_xlfn.XLOOKUP(D2668&amp;C2668, Sheet2!$A$2:$A$558&amp;Sheet2!$B$2:$B$558, Sheet2!$C$2:$C$558, "")</f>
        <v>noshicoayudya@gmail.com</v>
      </c>
      <c r="H2668" s="40" t="str">
        <f t="shared" si="41"/>
        <v>noshicoayudya@gmail.com</v>
      </c>
    </row>
    <row r="2669" spans="1:8" ht="15.5" x14ac:dyDescent="0.35">
      <c r="A2669" s="7">
        <v>2668</v>
      </c>
      <c r="B2669" s="10">
        <v>45010</v>
      </c>
      <c r="C2669" s="13" t="s">
        <v>3119</v>
      </c>
      <c r="D2669" s="10" t="s">
        <v>2852</v>
      </c>
      <c r="E2669" s="10">
        <v>2020</v>
      </c>
      <c r="F2669" s="36" t="str" cm="1">
        <f t="array" ref="F2669">_xlfn.XLOOKUP(D2669&amp;C2669, Sheet3!$C$2:$C$1224&amp;Sheet3!$B$2:$B$1224, Sheet3!$D$2:$D$1224, "")</f>
        <v>jiyonadamw@gmail.com</v>
      </c>
      <c r="G2669" s="1" t="str" cm="1">
        <f t="array" ref="G2669">_xlfn.XLOOKUP(D2669&amp;C2669, Sheet2!$A$2:$A$558&amp;Sheet2!$B$2:$B$558, Sheet2!$C$2:$C$558, "")</f>
        <v/>
      </c>
      <c r="H2669" s="40" t="str">
        <f t="shared" si="41"/>
        <v>jiyonadamw@gmail.com</v>
      </c>
    </row>
    <row r="2670" spans="1:8" ht="15.5" x14ac:dyDescent="0.35">
      <c r="A2670" s="7">
        <v>2669</v>
      </c>
      <c r="B2670" s="10">
        <v>44991</v>
      </c>
      <c r="C2670" s="13" t="s">
        <v>3120</v>
      </c>
      <c r="D2670" s="10" t="s">
        <v>2852</v>
      </c>
      <c r="E2670" s="10">
        <v>2020</v>
      </c>
      <c r="F2670" s="36" t="str" cm="1">
        <f t="array" ref="F2670">_xlfn.XLOOKUP(D2670&amp;C2670, Sheet3!$C$2:$C$1224&amp;Sheet3!$B$2:$B$1224, Sheet3!$D$2:$D$1224, "")</f>
        <v/>
      </c>
      <c r="G2670" s="1" t="str" cm="1">
        <f t="array" ref="G2670">_xlfn.XLOOKUP(D2670&amp;C2670, Sheet2!$A$2:$A$558&amp;Sheet2!$B$2:$B$558, Sheet2!$C$2:$C$558, "")</f>
        <v>dhegawihikan00@gmail.com</v>
      </c>
      <c r="H2670" s="40" t="str">
        <f t="shared" si="41"/>
        <v>dhegawihikan00@gmail.com</v>
      </c>
    </row>
    <row r="2671" spans="1:8" ht="15.5" x14ac:dyDescent="0.35">
      <c r="A2671" s="7">
        <v>2670</v>
      </c>
      <c r="B2671" s="10">
        <v>43662</v>
      </c>
      <c r="C2671" s="13" t="s">
        <v>3121</v>
      </c>
      <c r="D2671" s="10" t="s">
        <v>2851</v>
      </c>
      <c r="E2671" s="10">
        <v>2020</v>
      </c>
      <c r="F2671" s="36" t="str" cm="1">
        <f t="array" ref="F2671">_xlfn.XLOOKUP(D2671&amp;C2671, Sheet3!$C$2:$C$1224&amp;Sheet3!$B$2:$B$1224, Sheet3!$D$2:$D$1224, "")</f>
        <v/>
      </c>
      <c r="G2671" s="1" t="str" cm="1">
        <f t="array" ref="G2671">_xlfn.XLOOKUP(D2671&amp;C2671, Sheet2!$A$2:$A$558&amp;Sheet2!$B$2:$B$558, Sheet2!$C$2:$C$558, "")</f>
        <v>fikri.fattah.f@mail.ugm.ac.id</v>
      </c>
      <c r="H2671" s="40" t="str">
        <f t="shared" si="41"/>
        <v>fikri.fattah.f@mail.ugm.ac.id</v>
      </c>
    </row>
    <row r="2672" spans="1:8" ht="15.5" x14ac:dyDescent="0.35">
      <c r="A2672" s="7">
        <v>2671</v>
      </c>
      <c r="B2672" s="10">
        <v>43683</v>
      </c>
      <c r="C2672" s="13" t="s">
        <v>3122</v>
      </c>
      <c r="D2672" s="10" t="s">
        <v>2851</v>
      </c>
      <c r="E2672" s="10">
        <v>2020</v>
      </c>
      <c r="F2672" s="36" t="str" cm="1">
        <f t="array" ref="F2672">_xlfn.XLOOKUP(D2672&amp;C2672, Sheet3!$C$2:$C$1224&amp;Sheet3!$B$2:$B$1224, Sheet3!$D$2:$D$1224, "")</f>
        <v>Saidinaabidmunawwar@gmail.com</v>
      </c>
      <c r="G2672" s="1" t="str" cm="1">
        <f t="array" ref="G2672">_xlfn.XLOOKUP(D2672&amp;C2672, Sheet2!$A$2:$A$558&amp;Sheet2!$B$2:$B$558, Sheet2!$C$2:$C$558, "")</f>
        <v/>
      </c>
      <c r="H2672" s="40" t="str">
        <f t="shared" si="41"/>
        <v>Saidinaabidmunawwar@gmail.com</v>
      </c>
    </row>
    <row r="2673" spans="1:8" ht="15.5" x14ac:dyDescent="0.35">
      <c r="A2673" s="7">
        <v>2672</v>
      </c>
      <c r="B2673" s="10">
        <v>45018</v>
      </c>
      <c r="C2673" s="13" t="s">
        <v>3123</v>
      </c>
      <c r="D2673" s="10" t="s">
        <v>2852</v>
      </c>
      <c r="E2673" s="10">
        <v>2020</v>
      </c>
      <c r="F2673" s="36" t="str" cm="1">
        <f t="array" ref="F2673">_xlfn.XLOOKUP(D2673&amp;C2673, Sheet3!$C$2:$C$1224&amp;Sheet3!$B$2:$B$1224, Sheet3!$D$2:$D$1224, "")</f>
        <v/>
      </c>
      <c r="G2673" s="1" t="str" cm="1">
        <f t="array" ref="G2673">_xlfn.XLOOKUP(D2673&amp;C2673, Sheet2!$A$2:$A$558&amp;Sheet2!$B$2:$B$558, Sheet2!$C$2:$C$558, "")</f>
        <v/>
      </c>
      <c r="H2673" s="40" t="str">
        <f t="shared" si="41"/>
        <v/>
      </c>
    </row>
    <row r="2674" spans="1:8" ht="15.5" x14ac:dyDescent="0.35">
      <c r="A2674" s="7">
        <v>2673</v>
      </c>
      <c r="B2674" s="10">
        <v>44328</v>
      </c>
      <c r="C2674" s="13" t="s">
        <v>3124</v>
      </c>
      <c r="D2674" s="10" t="s">
        <v>2852</v>
      </c>
      <c r="E2674" s="10">
        <v>2020</v>
      </c>
      <c r="F2674" s="36" t="str" cm="1">
        <f t="array" ref="F2674">_xlfn.XLOOKUP(D2674&amp;C2674, Sheet3!$C$2:$C$1224&amp;Sheet3!$B$2:$B$1224, Sheet3!$D$2:$D$1224, "")</f>
        <v/>
      </c>
      <c r="G2674" s="1" t="str" cm="1">
        <f t="array" ref="G2674">_xlfn.XLOOKUP(D2674&amp;C2674, Sheet2!$A$2:$A$558&amp;Sheet2!$B$2:$B$558, Sheet2!$C$2:$C$558, "")</f>
        <v>ninatinnurul@gmail.com</v>
      </c>
      <c r="H2674" s="40" t="str">
        <f t="shared" si="41"/>
        <v>ninatinnurul@gmail.com</v>
      </c>
    </row>
    <row r="2675" spans="1:8" ht="15.5" x14ac:dyDescent="0.35">
      <c r="A2675" s="7">
        <v>2674</v>
      </c>
      <c r="B2675" s="10">
        <v>43368</v>
      </c>
      <c r="C2675" s="13" t="s">
        <v>3125</v>
      </c>
      <c r="D2675" s="10" t="s">
        <v>2851</v>
      </c>
      <c r="E2675" s="10">
        <v>2020</v>
      </c>
      <c r="F2675" s="36" t="str" cm="1">
        <f t="array" ref="F2675">_xlfn.XLOOKUP(D2675&amp;C2675, Sheet3!$C$2:$C$1224&amp;Sheet3!$B$2:$B$1224, Sheet3!$D$2:$D$1224, "")</f>
        <v/>
      </c>
      <c r="G2675" s="1" t="str" cm="1">
        <f t="array" ref="G2675">_xlfn.XLOOKUP(D2675&amp;C2675, Sheet2!$A$2:$A$558&amp;Sheet2!$B$2:$B$558, Sheet2!$C$2:$C$558, "")</f>
        <v/>
      </c>
      <c r="H2675" s="40" t="str">
        <f t="shared" si="41"/>
        <v/>
      </c>
    </row>
    <row r="2676" spans="1:8" ht="15.5" x14ac:dyDescent="0.35">
      <c r="A2676" s="7">
        <v>2675</v>
      </c>
      <c r="B2676" s="10">
        <v>44340</v>
      </c>
      <c r="C2676" s="13" t="s">
        <v>3126</v>
      </c>
      <c r="D2676" s="10" t="s">
        <v>2852</v>
      </c>
      <c r="E2676" s="10">
        <v>2020</v>
      </c>
      <c r="F2676" s="36" t="str" cm="1">
        <f t="array" ref="F2676">_xlfn.XLOOKUP(D2676&amp;C2676, Sheet3!$C$2:$C$1224&amp;Sheet3!$B$2:$B$1224, Sheet3!$D$2:$D$1224, "")</f>
        <v>sucitresnanovianti@gmail.com</v>
      </c>
      <c r="G2676" s="1" t="str" cm="1">
        <f t="array" ref="G2676">_xlfn.XLOOKUP(D2676&amp;C2676, Sheet2!$A$2:$A$558&amp;Sheet2!$B$2:$B$558, Sheet2!$C$2:$C$558, "")</f>
        <v/>
      </c>
      <c r="H2676" s="40" t="str">
        <f t="shared" si="41"/>
        <v>sucitresnanovianti@gmail.com</v>
      </c>
    </row>
    <row r="2677" spans="1:8" ht="15.5" x14ac:dyDescent="0.35">
      <c r="A2677" s="7">
        <v>2676</v>
      </c>
      <c r="B2677" s="10">
        <v>44718</v>
      </c>
      <c r="C2677" s="13" t="s">
        <v>3127</v>
      </c>
      <c r="D2677" s="10" t="s">
        <v>2852</v>
      </c>
      <c r="E2677" s="10">
        <v>2020</v>
      </c>
      <c r="F2677" s="36" t="str" cm="1">
        <f t="array" ref="F2677">_xlfn.XLOOKUP(D2677&amp;C2677, Sheet3!$C$2:$C$1224&amp;Sheet3!$B$2:$B$1224, Sheet3!$D$2:$D$1224, "")</f>
        <v/>
      </c>
      <c r="G2677" s="1" t="str" cm="1">
        <f t="array" ref="G2677">_xlfn.XLOOKUP(D2677&amp;C2677, Sheet2!$A$2:$A$558&amp;Sheet2!$B$2:$B$558, Sheet2!$C$2:$C$558, "")</f>
        <v/>
      </c>
      <c r="H2677" s="40" t="str">
        <f t="shared" si="41"/>
        <v/>
      </c>
    </row>
    <row r="2678" spans="1:8" ht="15.5" x14ac:dyDescent="0.35">
      <c r="A2678" s="7">
        <v>2677</v>
      </c>
      <c r="B2678" s="10">
        <v>44742</v>
      </c>
      <c r="C2678" s="13" t="s">
        <v>3128</v>
      </c>
      <c r="D2678" s="10" t="s">
        <v>2852</v>
      </c>
      <c r="E2678" s="10">
        <v>2020</v>
      </c>
      <c r="F2678" s="36" t="str" cm="1">
        <f t="array" ref="F2678">_xlfn.XLOOKUP(D2678&amp;C2678, Sheet3!$C$2:$C$1224&amp;Sheet3!$B$2:$B$1224, Sheet3!$D$2:$D$1224, "")</f>
        <v/>
      </c>
      <c r="G2678" s="1" t="str" cm="1">
        <f t="array" ref="G2678">_xlfn.XLOOKUP(D2678&amp;C2678, Sheet2!$A$2:$A$558&amp;Sheet2!$B$2:$B$558, Sheet2!$C$2:$C$558, "")</f>
        <v/>
      </c>
      <c r="H2678" s="40" t="str">
        <f t="shared" si="41"/>
        <v/>
      </c>
    </row>
    <row r="2679" spans="1:8" ht="15.5" x14ac:dyDescent="0.35">
      <c r="A2679" s="7">
        <v>2678</v>
      </c>
      <c r="B2679" s="10">
        <v>39201</v>
      </c>
      <c r="C2679" s="13" t="s">
        <v>3129</v>
      </c>
      <c r="D2679" s="10" t="s">
        <v>2848</v>
      </c>
      <c r="E2679" s="10">
        <v>2020</v>
      </c>
      <c r="F2679" s="36" t="str" cm="1">
        <f t="array" ref="F2679">_xlfn.XLOOKUP(D2679&amp;C2679, Sheet3!$C$2:$C$1224&amp;Sheet3!$B$2:$B$1224, Sheet3!$D$2:$D$1224, "")</f>
        <v/>
      </c>
      <c r="G2679" s="1" t="str" cm="1">
        <f t="array" ref="G2679">_xlfn.XLOOKUP(D2679&amp;C2679, Sheet2!$A$2:$A$558&amp;Sheet2!$B$2:$B$558, Sheet2!$C$2:$C$558, "")</f>
        <v/>
      </c>
      <c r="H2679" s="40" t="str">
        <f t="shared" si="41"/>
        <v/>
      </c>
    </row>
    <row r="2680" spans="1:8" ht="15.5" x14ac:dyDescent="0.35">
      <c r="A2680" s="7">
        <v>2679</v>
      </c>
      <c r="B2680" s="10">
        <v>39009</v>
      </c>
      <c r="C2680" s="13" t="s">
        <v>3130</v>
      </c>
      <c r="D2680" s="10" t="s">
        <v>2848</v>
      </c>
      <c r="E2680" s="10">
        <v>2020</v>
      </c>
      <c r="F2680" s="36" t="str" cm="1">
        <f t="array" ref="F2680">_xlfn.XLOOKUP(D2680&amp;C2680, Sheet3!$C$2:$C$1224&amp;Sheet3!$B$2:$B$1224, Sheet3!$D$2:$D$1224, "")</f>
        <v/>
      </c>
      <c r="G2680" s="1" t="str" cm="1">
        <f t="array" ref="G2680">_xlfn.XLOOKUP(D2680&amp;C2680, Sheet2!$A$2:$A$558&amp;Sheet2!$B$2:$B$558, Sheet2!$C$2:$C$558, "")</f>
        <v/>
      </c>
      <c r="H2680" s="40" t="str">
        <f t="shared" si="41"/>
        <v/>
      </c>
    </row>
    <row r="2681" spans="1:8" ht="15.5" x14ac:dyDescent="0.35">
      <c r="A2681" s="7">
        <v>2680</v>
      </c>
      <c r="B2681" s="10">
        <v>40720</v>
      </c>
      <c r="C2681" s="13" t="s">
        <v>3131</v>
      </c>
      <c r="D2681" s="10" t="s">
        <v>2849</v>
      </c>
      <c r="E2681" s="10">
        <v>2020</v>
      </c>
      <c r="F2681" s="36" t="str" cm="1">
        <f t="array" ref="F2681">_xlfn.XLOOKUP(D2681&amp;C2681, Sheet3!$C$2:$C$1224&amp;Sheet3!$B$2:$B$1224, Sheet3!$D$2:$D$1224, "")</f>
        <v/>
      </c>
      <c r="G2681" s="1" t="str" cm="1">
        <f t="array" ref="G2681">_xlfn.XLOOKUP(D2681&amp;C2681, Sheet2!$A$2:$A$558&amp;Sheet2!$B$2:$B$558, Sheet2!$C$2:$C$558, "")</f>
        <v/>
      </c>
      <c r="H2681" s="40" t="str">
        <f t="shared" si="41"/>
        <v/>
      </c>
    </row>
    <row r="2682" spans="1:8" ht="15.5" x14ac:dyDescent="0.35">
      <c r="A2682" s="7">
        <v>2681</v>
      </c>
      <c r="B2682" s="10">
        <v>40764</v>
      </c>
      <c r="C2682" s="13" t="s">
        <v>3132</v>
      </c>
      <c r="D2682" s="10" t="s">
        <v>2849</v>
      </c>
      <c r="E2682" s="10">
        <v>2020</v>
      </c>
      <c r="F2682" s="36" t="str" cm="1">
        <f t="array" ref="F2682">_xlfn.XLOOKUP(D2682&amp;C2682, Sheet3!$C$2:$C$1224&amp;Sheet3!$B$2:$B$1224, Sheet3!$D$2:$D$1224, "")</f>
        <v/>
      </c>
      <c r="G2682" s="1" t="str" cm="1">
        <f t="array" ref="G2682">_xlfn.XLOOKUP(D2682&amp;C2682, Sheet2!$A$2:$A$558&amp;Sheet2!$B$2:$B$558, Sheet2!$C$2:$C$558, "")</f>
        <v/>
      </c>
      <c r="H2682" s="40" t="str">
        <f t="shared" si="41"/>
        <v/>
      </c>
    </row>
    <row r="2683" spans="1:8" ht="15.5" x14ac:dyDescent="0.35">
      <c r="A2683" s="7">
        <v>2682</v>
      </c>
      <c r="B2683" s="10">
        <v>39169</v>
      </c>
      <c r="C2683" s="13" t="s">
        <v>3133</v>
      </c>
      <c r="D2683" s="10" t="s">
        <v>2848</v>
      </c>
      <c r="E2683" s="10">
        <v>2020</v>
      </c>
      <c r="F2683" s="36" t="str" cm="1">
        <f t="array" ref="F2683">_xlfn.XLOOKUP(D2683&amp;C2683, Sheet3!$C$2:$C$1224&amp;Sheet3!$B$2:$B$1224, Sheet3!$D$2:$D$1224, "")</f>
        <v/>
      </c>
      <c r="G2683" s="1" t="str" cm="1">
        <f t="array" ref="G2683">_xlfn.XLOOKUP(D2683&amp;C2683, Sheet2!$A$2:$A$558&amp;Sheet2!$B$2:$B$558, Sheet2!$C$2:$C$558, "")</f>
        <v/>
      </c>
      <c r="H2683" s="40" t="str">
        <f t="shared" si="41"/>
        <v/>
      </c>
    </row>
    <row r="2684" spans="1:8" ht="15.5" x14ac:dyDescent="0.35">
      <c r="A2684" s="7">
        <v>2683</v>
      </c>
      <c r="B2684" s="10">
        <v>40746</v>
      </c>
      <c r="C2684" s="13" t="s">
        <v>3134</v>
      </c>
      <c r="D2684" s="10" t="s">
        <v>2849</v>
      </c>
      <c r="E2684" s="10">
        <v>2020</v>
      </c>
      <c r="F2684" s="36" t="str" cm="1">
        <f t="array" ref="F2684">_xlfn.XLOOKUP(D2684&amp;C2684, Sheet3!$C$2:$C$1224&amp;Sheet3!$B$2:$B$1224, Sheet3!$D$2:$D$1224, "")</f>
        <v/>
      </c>
      <c r="G2684" s="1" t="str" cm="1">
        <f t="array" ref="G2684">_xlfn.XLOOKUP(D2684&amp;C2684, Sheet2!$A$2:$A$558&amp;Sheet2!$B$2:$B$558, Sheet2!$C$2:$C$558, "")</f>
        <v/>
      </c>
      <c r="H2684" s="40" t="str">
        <f t="shared" si="41"/>
        <v/>
      </c>
    </row>
    <row r="2685" spans="1:8" ht="15.5" x14ac:dyDescent="0.35">
      <c r="A2685" s="7">
        <v>2684</v>
      </c>
      <c r="B2685" s="10">
        <v>42814</v>
      </c>
      <c r="C2685" s="13" t="s">
        <v>3135</v>
      </c>
      <c r="D2685" s="10" t="s">
        <v>2851</v>
      </c>
      <c r="E2685" s="10">
        <v>2020</v>
      </c>
      <c r="F2685" s="36" t="str" cm="1">
        <f t="array" ref="F2685">_xlfn.XLOOKUP(D2685&amp;C2685, Sheet3!$C$2:$C$1224&amp;Sheet3!$B$2:$B$1224, Sheet3!$D$2:$D$1224, "")</f>
        <v/>
      </c>
      <c r="G2685" s="1" t="str" cm="1">
        <f t="array" ref="G2685">_xlfn.XLOOKUP(D2685&amp;C2685, Sheet2!$A$2:$A$558&amp;Sheet2!$B$2:$B$558, Sheet2!$C$2:$C$558, "")</f>
        <v/>
      </c>
      <c r="H2685" s="40" t="str">
        <f t="shared" si="41"/>
        <v/>
      </c>
    </row>
    <row r="2686" spans="1:8" ht="15.5" x14ac:dyDescent="0.35">
      <c r="A2686" s="7">
        <v>2685</v>
      </c>
      <c r="B2686" s="10">
        <v>43654</v>
      </c>
      <c r="C2686" s="13" t="s">
        <v>3136</v>
      </c>
      <c r="D2686" s="10" t="s">
        <v>2851</v>
      </c>
      <c r="E2686" s="10">
        <v>2020</v>
      </c>
      <c r="F2686" s="36" t="str" cm="1">
        <f t="array" ref="F2686">_xlfn.XLOOKUP(D2686&amp;C2686, Sheet3!$C$2:$C$1224&amp;Sheet3!$B$2:$B$1224, Sheet3!$D$2:$D$1224, "")</f>
        <v/>
      </c>
      <c r="G2686" s="1" t="str" cm="1">
        <f t="array" ref="G2686">_xlfn.XLOOKUP(D2686&amp;C2686, Sheet2!$A$2:$A$558&amp;Sheet2!$B$2:$B$558, Sheet2!$C$2:$C$558, "")</f>
        <v/>
      </c>
      <c r="H2686" s="40" t="str">
        <f t="shared" si="41"/>
        <v/>
      </c>
    </row>
    <row r="2687" spans="1:8" ht="15.5" x14ac:dyDescent="0.35">
      <c r="A2687" s="7">
        <v>2686</v>
      </c>
      <c r="B2687" s="10">
        <v>44307</v>
      </c>
      <c r="C2687" s="13" t="s">
        <v>3137</v>
      </c>
      <c r="D2687" s="10" t="s">
        <v>2852</v>
      </c>
      <c r="E2687" s="10">
        <v>2020</v>
      </c>
      <c r="F2687" s="36" t="str" cm="1">
        <f t="array" ref="F2687">_xlfn.XLOOKUP(D2687&amp;C2687, Sheet3!$C$2:$C$1224&amp;Sheet3!$B$2:$B$1224, Sheet3!$D$2:$D$1224, "")</f>
        <v/>
      </c>
      <c r="G2687" s="1" t="str" cm="1">
        <f t="array" ref="G2687">_xlfn.XLOOKUP(D2687&amp;C2687, Sheet2!$A$2:$A$558&amp;Sheet2!$B$2:$B$558, Sheet2!$C$2:$C$558, "")</f>
        <v/>
      </c>
      <c r="H2687" s="40" t="str">
        <f t="shared" si="41"/>
        <v/>
      </c>
    </row>
    <row r="2688" spans="1:8" ht="15.5" x14ac:dyDescent="0.35">
      <c r="A2688" s="7">
        <v>2687</v>
      </c>
      <c r="B2688" s="10">
        <v>44309</v>
      </c>
      <c r="C2688" s="13" t="s">
        <v>3138</v>
      </c>
      <c r="D2688" s="10" t="s">
        <v>2852</v>
      </c>
      <c r="E2688" s="10">
        <v>2020</v>
      </c>
      <c r="F2688" s="36" t="str" cm="1">
        <f t="array" ref="F2688">_xlfn.XLOOKUP(D2688&amp;C2688, Sheet3!$C$2:$C$1224&amp;Sheet3!$B$2:$B$1224, Sheet3!$D$2:$D$1224, "")</f>
        <v>adizdiz03@gmail.com</v>
      </c>
      <c r="G2688" s="1" t="str" cm="1">
        <f t="array" ref="G2688">_xlfn.XLOOKUP(D2688&amp;C2688, Sheet2!$A$2:$A$558&amp;Sheet2!$B$2:$B$558, Sheet2!$C$2:$C$558, "")</f>
        <v/>
      </c>
      <c r="H2688" s="40" t="str">
        <f t="shared" si="41"/>
        <v>adizdiz03@gmail.com</v>
      </c>
    </row>
    <row r="2689" spans="1:8" ht="15.5" x14ac:dyDescent="0.35">
      <c r="A2689" s="7">
        <v>2688</v>
      </c>
      <c r="B2689" s="10">
        <v>44312</v>
      </c>
      <c r="C2689" s="13" t="s">
        <v>3139</v>
      </c>
      <c r="D2689" s="10" t="s">
        <v>2852</v>
      </c>
      <c r="E2689" s="10">
        <v>2020</v>
      </c>
      <c r="F2689" s="36" t="str" cm="1">
        <f t="array" ref="F2689">_xlfn.XLOOKUP(D2689&amp;C2689, Sheet3!$C$2:$C$1224&amp;Sheet3!$B$2:$B$1224, Sheet3!$D$2:$D$1224, "")</f>
        <v>azizun.rohman@mail.ugm.ac.id</v>
      </c>
      <c r="G2689" s="1" t="str" cm="1">
        <f t="array" ref="G2689">_xlfn.XLOOKUP(D2689&amp;C2689, Sheet2!$A$2:$A$558&amp;Sheet2!$B$2:$B$558, Sheet2!$C$2:$C$558, "")</f>
        <v/>
      </c>
      <c r="H2689" s="40" t="str">
        <f t="shared" si="41"/>
        <v>azizun.rohman@mail.ugm.ac.id</v>
      </c>
    </row>
    <row r="2690" spans="1:8" ht="15.5" x14ac:dyDescent="0.35">
      <c r="A2690" s="7">
        <v>2689</v>
      </c>
      <c r="B2690" s="10">
        <v>44316</v>
      </c>
      <c r="C2690" s="13" t="s">
        <v>3140</v>
      </c>
      <c r="D2690" s="10" t="s">
        <v>2852</v>
      </c>
      <c r="E2690" s="10">
        <v>2020</v>
      </c>
      <c r="F2690" s="36" t="str" cm="1">
        <f t="array" ref="F2690">_xlfn.XLOOKUP(D2690&amp;C2690, Sheet3!$C$2:$C$1224&amp;Sheet3!$B$2:$B$1224, Sheet3!$D$2:$D$1224, "")</f>
        <v>sanityasarifadhila@gmail.com</v>
      </c>
      <c r="G2690" s="1" t="str" cm="1">
        <f t="array" ref="G2690">_xlfn.XLOOKUP(D2690&amp;C2690, Sheet2!$A$2:$A$558&amp;Sheet2!$B$2:$B$558, Sheet2!$C$2:$C$558, "")</f>
        <v/>
      </c>
      <c r="H2690" s="40" t="str">
        <f t="shared" si="41"/>
        <v>sanityasarifadhila@gmail.com</v>
      </c>
    </row>
    <row r="2691" spans="1:8" ht="15.5" x14ac:dyDescent="0.35">
      <c r="A2691" s="7">
        <v>2690</v>
      </c>
      <c r="B2691" s="10">
        <v>44320</v>
      </c>
      <c r="C2691" s="13" t="s">
        <v>3141</v>
      </c>
      <c r="D2691" s="10" t="s">
        <v>2852</v>
      </c>
      <c r="E2691" s="10">
        <v>2020</v>
      </c>
      <c r="F2691" s="36" t="str" cm="1">
        <f t="array" ref="F2691">_xlfn.XLOOKUP(D2691&amp;C2691, Sheet3!$C$2:$C$1224&amp;Sheet3!$B$2:$B$1224, Sheet3!$D$2:$D$1224, "")</f>
        <v/>
      </c>
      <c r="G2691" s="1" t="str" cm="1">
        <f t="array" ref="G2691">_xlfn.XLOOKUP(D2691&amp;C2691, Sheet2!$A$2:$A$558&amp;Sheet2!$B$2:$B$558, Sheet2!$C$2:$C$558, "")</f>
        <v/>
      </c>
      <c r="H2691" s="40" t="str">
        <f t="shared" ref="H2691:H2754" si="42">IF(F2691&lt;&gt;"",F2691,G2691)</f>
        <v/>
      </c>
    </row>
    <row r="2692" spans="1:8" ht="15.5" x14ac:dyDescent="0.35">
      <c r="A2692" s="7">
        <v>2691</v>
      </c>
      <c r="B2692" s="10">
        <v>44321</v>
      </c>
      <c r="C2692" s="13" t="s">
        <v>3142</v>
      </c>
      <c r="D2692" s="10" t="s">
        <v>2852</v>
      </c>
      <c r="E2692" s="10">
        <v>2020</v>
      </c>
      <c r="F2692" s="36" t="str" cm="1">
        <f t="array" ref="F2692">_xlfn.XLOOKUP(D2692&amp;C2692, Sheet3!$C$2:$C$1224&amp;Sheet3!$B$2:$B$1224, Sheet3!$D$2:$D$1224, "")</f>
        <v/>
      </c>
      <c r="G2692" s="1" t="str" cm="1">
        <f t="array" ref="G2692">_xlfn.XLOOKUP(D2692&amp;C2692, Sheet2!$A$2:$A$558&amp;Sheet2!$B$2:$B$558, Sheet2!$C$2:$C$558, "")</f>
        <v/>
      </c>
      <c r="H2692" s="40" t="str">
        <f t="shared" si="42"/>
        <v/>
      </c>
    </row>
    <row r="2693" spans="1:8" ht="15.5" x14ac:dyDescent="0.35">
      <c r="A2693" s="7">
        <v>2692</v>
      </c>
      <c r="B2693" s="10">
        <v>44326</v>
      </c>
      <c r="C2693" s="13" t="s">
        <v>3143</v>
      </c>
      <c r="D2693" s="10" t="s">
        <v>2852</v>
      </c>
      <c r="E2693" s="10">
        <v>2020</v>
      </c>
      <c r="F2693" s="36" t="str" cm="1">
        <f t="array" ref="F2693">_xlfn.XLOOKUP(D2693&amp;C2693, Sheet3!$C$2:$C$1224&amp;Sheet3!$B$2:$B$1224, Sheet3!$D$2:$D$1224, "")</f>
        <v/>
      </c>
      <c r="G2693" s="1" t="str" cm="1">
        <f t="array" ref="G2693">_xlfn.XLOOKUP(D2693&amp;C2693, Sheet2!$A$2:$A$558&amp;Sheet2!$B$2:$B$558, Sheet2!$C$2:$C$558, "")</f>
        <v/>
      </c>
      <c r="H2693" s="40" t="str">
        <f t="shared" si="42"/>
        <v/>
      </c>
    </row>
    <row r="2694" spans="1:8" ht="15.5" x14ac:dyDescent="0.35">
      <c r="A2694" s="7">
        <v>2693</v>
      </c>
      <c r="B2694" s="10">
        <v>44337</v>
      </c>
      <c r="C2694" s="13" t="s">
        <v>3144</v>
      </c>
      <c r="D2694" s="10" t="s">
        <v>2852</v>
      </c>
      <c r="E2694" s="10">
        <v>2020</v>
      </c>
      <c r="F2694" s="36" t="str" cm="1">
        <f t="array" ref="F2694">_xlfn.XLOOKUP(D2694&amp;C2694, Sheet3!$C$2:$C$1224&amp;Sheet3!$B$2:$B$1224, Sheet3!$D$2:$D$1224, "")</f>
        <v/>
      </c>
      <c r="G2694" s="1" t="str" cm="1">
        <f t="array" ref="G2694">_xlfn.XLOOKUP(D2694&amp;C2694, Sheet2!$A$2:$A$558&amp;Sheet2!$B$2:$B$558, Sheet2!$C$2:$C$558, "")</f>
        <v/>
      </c>
      <c r="H2694" s="40" t="str">
        <f t="shared" si="42"/>
        <v/>
      </c>
    </row>
    <row r="2695" spans="1:8" ht="15.5" x14ac:dyDescent="0.35">
      <c r="A2695" s="7">
        <v>2694</v>
      </c>
      <c r="B2695" s="10">
        <v>44744</v>
      </c>
      <c r="C2695" s="13" t="s">
        <v>3145</v>
      </c>
      <c r="D2695" s="10" t="s">
        <v>2852</v>
      </c>
      <c r="E2695" s="10">
        <v>2020</v>
      </c>
      <c r="F2695" s="36" t="str" cm="1">
        <f t="array" ref="F2695">_xlfn.XLOOKUP(D2695&amp;C2695, Sheet3!$C$2:$C$1224&amp;Sheet3!$B$2:$B$1224, Sheet3!$D$2:$D$1224, "")</f>
        <v/>
      </c>
      <c r="G2695" s="1" t="str" cm="1">
        <f t="array" ref="G2695">_xlfn.XLOOKUP(D2695&amp;C2695, Sheet2!$A$2:$A$558&amp;Sheet2!$B$2:$B$558, Sheet2!$C$2:$C$558, "")</f>
        <v/>
      </c>
      <c r="H2695" s="40" t="str">
        <f t="shared" si="42"/>
        <v/>
      </c>
    </row>
    <row r="2696" spans="1:8" ht="15.5" x14ac:dyDescent="0.35">
      <c r="A2696" s="7">
        <v>2695</v>
      </c>
      <c r="B2696" s="10">
        <v>44745</v>
      </c>
      <c r="C2696" s="13" t="s">
        <v>3146</v>
      </c>
      <c r="D2696" s="10" t="s">
        <v>2852</v>
      </c>
      <c r="E2696" s="10">
        <v>2020</v>
      </c>
      <c r="F2696" s="36" t="str" cm="1">
        <f t="array" ref="F2696">_xlfn.XLOOKUP(D2696&amp;C2696, Sheet3!$C$2:$C$1224&amp;Sheet3!$B$2:$B$1224, Sheet3!$D$2:$D$1224, "")</f>
        <v/>
      </c>
      <c r="G2696" s="1" t="str" cm="1">
        <f t="array" ref="G2696">_xlfn.XLOOKUP(D2696&amp;C2696, Sheet2!$A$2:$A$558&amp;Sheet2!$B$2:$B$558, Sheet2!$C$2:$C$558, "")</f>
        <v/>
      </c>
      <c r="H2696" s="40" t="str">
        <f t="shared" si="42"/>
        <v/>
      </c>
    </row>
    <row r="2697" spans="1:8" ht="15.5" x14ac:dyDescent="0.35">
      <c r="A2697" s="7">
        <v>2696</v>
      </c>
      <c r="B2697" s="10">
        <v>44984</v>
      </c>
      <c r="C2697" s="13" t="s">
        <v>3147</v>
      </c>
      <c r="D2697" s="10" t="s">
        <v>2852</v>
      </c>
      <c r="E2697" s="10">
        <v>2020</v>
      </c>
      <c r="F2697" s="36" t="str" cm="1">
        <f t="array" ref="F2697">_xlfn.XLOOKUP(D2697&amp;C2697, Sheet3!$C$2:$C$1224&amp;Sheet3!$B$2:$B$1224, Sheet3!$D$2:$D$1224, "")</f>
        <v/>
      </c>
      <c r="G2697" s="1" t="str" cm="1">
        <f t="array" ref="G2697">_xlfn.XLOOKUP(D2697&amp;C2697, Sheet2!$A$2:$A$558&amp;Sheet2!$B$2:$B$558, Sheet2!$C$2:$C$558, "")</f>
        <v/>
      </c>
      <c r="H2697" s="40" t="str">
        <f t="shared" si="42"/>
        <v/>
      </c>
    </row>
    <row r="2698" spans="1:8" ht="15.5" x14ac:dyDescent="0.35">
      <c r="A2698" s="7">
        <v>2697</v>
      </c>
      <c r="B2698" s="10">
        <v>44985</v>
      </c>
      <c r="C2698" s="13" t="s">
        <v>3148</v>
      </c>
      <c r="D2698" s="10" t="s">
        <v>2852</v>
      </c>
      <c r="E2698" s="10">
        <v>2020</v>
      </c>
      <c r="F2698" s="36" t="str" cm="1">
        <f t="array" ref="F2698">_xlfn.XLOOKUP(D2698&amp;C2698, Sheet3!$C$2:$C$1224&amp;Sheet3!$B$2:$B$1224, Sheet3!$D$2:$D$1224, "")</f>
        <v/>
      </c>
      <c r="G2698" s="1" t="str" cm="1">
        <f t="array" ref="G2698">_xlfn.XLOOKUP(D2698&amp;C2698, Sheet2!$A$2:$A$558&amp;Sheet2!$B$2:$B$558, Sheet2!$C$2:$C$558, "")</f>
        <v/>
      </c>
      <c r="H2698" s="40" t="str">
        <f t="shared" si="42"/>
        <v/>
      </c>
    </row>
    <row r="2699" spans="1:8" ht="15.5" x14ac:dyDescent="0.35">
      <c r="A2699" s="7">
        <v>2698</v>
      </c>
      <c r="B2699" s="10">
        <v>44993</v>
      </c>
      <c r="C2699" s="13" t="s">
        <v>3149</v>
      </c>
      <c r="D2699" s="10" t="s">
        <v>2852</v>
      </c>
      <c r="E2699" s="10">
        <v>2020</v>
      </c>
      <c r="F2699" s="36" t="str" cm="1">
        <f t="array" ref="F2699">_xlfn.XLOOKUP(D2699&amp;C2699, Sheet3!$C$2:$C$1224&amp;Sheet3!$B$2:$B$1224, Sheet3!$D$2:$D$1224, "")</f>
        <v/>
      </c>
      <c r="G2699" s="1" t="str" cm="1">
        <f t="array" ref="G2699">_xlfn.XLOOKUP(D2699&amp;C2699, Sheet2!$A$2:$A$558&amp;Sheet2!$B$2:$B$558, Sheet2!$C$2:$C$558, "")</f>
        <v/>
      </c>
      <c r="H2699" s="40" t="str">
        <f t="shared" si="42"/>
        <v/>
      </c>
    </row>
    <row r="2700" spans="1:8" ht="15.5" x14ac:dyDescent="0.35">
      <c r="A2700" s="7">
        <v>2699</v>
      </c>
      <c r="B2700" s="10">
        <v>44997</v>
      </c>
      <c r="C2700" s="13" t="s">
        <v>3150</v>
      </c>
      <c r="D2700" s="10" t="s">
        <v>2852</v>
      </c>
      <c r="E2700" s="10">
        <v>2020</v>
      </c>
      <c r="F2700" s="36" t="str" cm="1">
        <f t="array" ref="F2700">_xlfn.XLOOKUP(D2700&amp;C2700, Sheet3!$C$2:$C$1224&amp;Sheet3!$B$2:$B$1224, Sheet3!$D$2:$D$1224, "")</f>
        <v/>
      </c>
      <c r="G2700" s="1" t="str" cm="1">
        <f t="array" ref="G2700">_xlfn.XLOOKUP(D2700&amp;C2700, Sheet2!$A$2:$A$558&amp;Sheet2!$B$2:$B$558, Sheet2!$C$2:$C$558, "")</f>
        <v/>
      </c>
      <c r="H2700" s="40" t="str">
        <f t="shared" si="42"/>
        <v/>
      </c>
    </row>
    <row r="2701" spans="1:8" ht="15.5" x14ac:dyDescent="0.35">
      <c r="A2701" s="7">
        <v>2700</v>
      </c>
      <c r="B2701" s="10">
        <v>45004</v>
      </c>
      <c r="C2701" s="13" t="s">
        <v>3151</v>
      </c>
      <c r="D2701" s="10" t="s">
        <v>2852</v>
      </c>
      <c r="E2701" s="10">
        <v>2020</v>
      </c>
      <c r="F2701" s="36" t="str" cm="1">
        <f t="array" ref="F2701">_xlfn.XLOOKUP(D2701&amp;C2701, Sheet3!$C$2:$C$1224&amp;Sheet3!$B$2:$B$1224, Sheet3!$D$2:$D$1224, "")</f>
        <v/>
      </c>
      <c r="G2701" s="1" t="str" cm="1">
        <f t="array" ref="G2701">_xlfn.XLOOKUP(D2701&amp;C2701, Sheet2!$A$2:$A$558&amp;Sheet2!$B$2:$B$558, Sheet2!$C$2:$C$558, "")</f>
        <v/>
      </c>
      <c r="H2701" s="40" t="str">
        <f t="shared" si="42"/>
        <v/>
      </c>
    </row>
    <row r="2702" spans="1:8" ht="15.5" x14ac:dyDescent="0.35">
      <c r="A2702" s="7">
        <v>2701</v>
      </c>
      <c r="B2702" s="10">
        <v>45005</v>
      </c>
      <c r="C2702" s="13" t="s">
        <v>3152</v>
      </c>
      <c r="D2702" s="10" t="s">
        <v>2852</v>
      </c>
      <c r="E2702" s="10">
        <v>2020</v>
      </c>
      <c r="F2702" s="36" t="str" cm="1">
        <f t="array" ref="F2702">_xlfn.XLOOKUP(D2702&amp;C2702, Sheet3!$C$2:$C$1224&amp;Sheet3!$B$2:$B$1224, Sheet3!$D$2:$D$1224, "")</f>
        <v/>
      </c>
      <c r="G2702" s="1" t="str" cm="1">
        <f t="array" ref="G2702">_xlfn.XLOOKUP(D2702&amp;C2702, Sheet2!$A$2:$A$558&amp;Sheet2!$B$2:$B$558, Sheet2!$C$2:$C$558, "")</f>
        <v/>
      </c>
      <c r="H2702" s="40" t="str">
        <f t="shared" si="42"/>
        <v/>
      </c>
    </row>
    <row r="2703" spans="1:8" ht="15.5" x14ac:dyDescent="0.35">
      <c r="A2703" s="7">
        <v>2702</v>
      </c>
      <c r="B2703" s="10">
        <v>45016</v>
      </c>
      <c r="C2703" s="13" t="s">
        <v>3153</v>
      </c>
      <c r="D2703" s="10" t="s">
        <v>2852</v>
      </c>
      <c r="E2703" s="10">
        <v>2020</v>
      </c>
      <c r="F2703" s="36" t="str" cm="1">
        <f t="array" ref="F2703">_xlfn.XLOOKUP(D2703&amp;C2703, Sheet3!$C$2:$C$1224&amp;Sheet3!$B$2:$B$1224, Sheet3!$D$2:$D$1224, "")</f>
        <v>mlumongga@mail.ugm.ac.id</v>
      </c>
      <c r="G2703" s="1" t="str" cm="1">
        <f t="array" ref="G2703">_xlfn.XLOOKUP(D2703&amp;C2703, Sheet2!$A$2:$A$558&amp;Sheet2!$B$2:$B$558, Sheet2!$C$2:$C$558, "")</f>
        <v/>
      </c>
      <c r="H2703" s="40" t="str">
        <f t="shared" si="42"/>
        <v>mlumongga@mail.ugm.ac.id</v>
      </c>
    </row>
    <row r="2704" spans="1:8" ht="15.5" x14ac:dyDescent="0.35">
      <c r="A2704" s="7">
        <v>2703</v>
      </c>
      <c r="B2704" s="10">
        <v>45032</v>
      </c>
      <c r="C2704" s="13" t="s">
        <v>3154</v>
      </c>
      <c r="D2704" s="10" t="s">
        <v>2852</v>
      </c>
      <c r="E2704" s="10">
        <v>2020</v>
      </c>
      <c r="F2704" s="36" t="str" cm="1">
        <f t="array" ref="F2704">_xlfn.XLOOKUP(D2704&amp;C2704, Sheet3!$C$2:$C$1224&amp;Sheet3!$B$2:$B$1224, Sheet3!$D$2:$D$1224, "")</f>
        <v/>
      </c>
      <c r="G2704" s="1" t="str" cm="1">
        <f t="array" ref="G2704">_xlfn.XLOOKUP(D2704&amp;C2704, Sheet2!$A$2:$A$558&amp;Sheet2!$B$2:$B$558, Sheet2!$C$2:$C$558, "")</f>
        <v/>
      </c>
      <c r="H2704" s="40" t="str">
        <f t="shared" si="42"/>
        <v/>
      </c>
    </row>
    <row r="2705" spans="1:8" ht="15.5" x14ac:dyDescent="0.35">
      <c r="A2705" s="7">
        <v>2704</v>
      </c>
      <c r="B2705" s="10">
        <v>41376</v>
      </c>
      <c r="C2705" s="13" t="s">
        <v>3155</v>
      </c>
      <c r="D2705" s="10" t="s">
        <v>2849</v>
      </c>
      <c r="E2705" s="10">
        <v>2020</v>
      </c>
      <c r="F2705" s="36" t="str" cm="1">
        <f t="array" ref="F2705">_xlfn.XLOOKUP(D2705&amp;C2705, Sheet3!$C$2:$C$1224&amp;Sheet3!$B$2:$B$1224, Sheet3!$D$2:$D$1224, "")</f>
        <v/>
      </c>
      <c r="G2705" s="1" t="str" cm="1">
        <f t="array" ref="G2705">_xlfn.XLOOKUP(D2705&amp;C2705, Sheet2!$A$2:$A$558&amp;Sheet2!$B$2:$B$558, Sheet2!$C$2:$C$558, "")</f>
        <v/>
      </c>
      <c r="H2705" s="40" t="str">
        <f t="shared" si="42"/>
        <v/>
      </c>
    </row>
    <row r="2706" spans="1:8" ht="15.5" x14ac:dyDescent="0.35">
      <c r="A2706" s="7">
        <v>2705</v>
      </c>
      <c r="B2706" s="10">
        <v>44719</v>
      </c>
      <c r="C2706" s="13" t="s">
        <v>3156</v>
      </c>
      <c r="D2706" s="10" t="s">
        <v>2852</v>
      </c>
      <c r="E2706" s="10">
        <v>2020</v>
      </c>
      <c r="F2706" s="36" t="str" cm="1">
        <f t="array" ref="F2706">_xlfn.XLOOKUP(D2706&amp;C2706, Sheet3!$C$2:$C$1224&amp;Sheet3!$B$2:$B$1224, Sheet3!$D$2:$D$1224, "")</f>
        <v/>
      </c>
      <c r="G2706" s="1" t="str" cm="1">
        <f t="array" ref="G2706">_xlfn.XLOOKUP(D2706&amp;C2706, Sheet2!$A$2:$A$558&amp;Sheet2!$B$2:$B$558, Sheet2!$C$2:$C$558, "")</f>
        <v/>
      </c>
      <c r="H2706" s="40" t="str">
        <f t="shared" si="42"/>
        <v/>
      </c>
    </row>
    <row r="2707" spans="1:8" ht="15.5" x14ac:dyDescent="0.35">
      <c r="A2707" s="7">
        <v>2706</v>
      </c>
      <c r="B2707" s="10">
        <v>44333</v>
      </c>
      <c r="C2707" s="13" t="s">
        <v>3157</v>
      </c>
      <c r="D2707" s="10" t="s">
        <v>2852</v>
      </c>
      <c r="E2707" s="10">
        <v>2020</v>
      </c>
      <c r="F2707" s="36" t="str" cm="1">
        <f t="array" ref="F2707">_xlfn.XLOOKUP(D2707&amp;C2707, Sheet3!$C$2:$C$1224&amp;Sheet3!$B$2:$B$1224, Sheet3!$D$2:$D$1224, "")</f>
        <v>rifda.lestari@gmail.com</v>
      </c>
      <c r="G2707" s="1" t="str" cm="1">
        <f t="array" ref="G2707">_xlfn.XLOOKUP(D2707&amp;C2707, Sheet2!$A$2:$A$558&amp;Sheet2!$B$2:$B$558, Sheet2!$C$2:$C$558, "")</f>
        <v/>
      </c>
      <c r="H2707" s="40" t="str">
        <f t="shared" si="42"/>
        <v>rifda.lestari@gmail.com</v>
      </c>
    </row>
    <row r="2708" spans="1:8" ht="15.5" x14ac:dyDescent="0.35">
      <c r="A2708" s="7">
        <v>2707</v>
      </c>
      <c r="B2708" s="10">
        <v>44329</v>
      </c>
      <c r="C2708" s="13" t="s">
        <v>3158</v>
      </c>
      <c r="D2708" s="10" t="s">
        <v>2852</v>
      </c>
      <c r="E2708" s="10">
        <v>2020</v>
      </c>
      <c r="F2708" s="36" t="str" cm="1">
        <f t="array" ref="F2708">_xlfn.XLOOKUP(D2708&amp;C2708, Sheet3!$C$2:$C$1224&amp;Sheet3!$B$2:$B$1224, Sheet3!$D$2:$D$1224, "")</f>
        <v/>
      </c>
      <c r="G2708" s="1" t="str" cm="1">
        <f t="array" ref="G2708">_xlfn.XLOOKUP(D2708&amp;C2708, Sheet2!$A$2:$A$558&amp;Sheet2!$B$2:$B$558, Sheet2!$C$2:$C$558, "")</f>
        <v/>
      </c>
      <c r="H2708" s="40" t="str">
        <f t="shared" si="42"/>
        <v/>
      </c>
    </row>
    <row r="2709" spans="1:8" ht="15.5" x14ac:dyDescent="0.35">
      <c r="A2709" s="7">
        <v>2708</v>
      </c>
      <c r="B2709" s="10">
        <v>43682</v>
      </c>
      <c r="C2709" s="13" t="s">
        <v>3159</v>
      </c>
      <c r="D2709" s="10" t="s">
        <v>2851</v>
      </c>
      <c r="E2709" s="10">
        <v>2020</v>
      </c>
      <c r="F2709" s="36" t="str" cm="1">
        <f t="array" ref="F2709">_xlfn.XLOOKUP(D2709&amp;C2709, Sheet3!$C$2:$C$1224&amp;Sheet3!$B$2:$B$1224, Sheet3!$D$2:$D$1224, "")</f>
        <v/>
      </c>
      <c r="G2709" s="1" t="str" cm="1">
        <f t="array" ref="G2709">_xlfn.XLOOKUP(D2709&amp;C2709, Sheet2!$A$2:$A$558&amp;Sheet2!$B$2:$B$558, Sheet2!$C$2:$C$558, "")</f>
        <v/>
      </c>
      <c r="H2709" s="40" t="str">
        <f t="shared" si="42"/>
        <v/>
      </c>
    </row>
    <row r="2710" spans="1:8" ht="15.5" x14ac:dyDescent="0.35">
      <c r="A2710" s="7">
        <v>2709</v>
      </c>
      <c r="B2710" s="10">
        <v>44990</v>
      </c>
      <c r="C2710" s="13" t="s">
        <v>3160</v>
      </c>
      <c r="D2710" s="10" t="s">
        <v>2852</v>
      </c>
      <c r="E2710" s="10">
        <v>2020</v>
      </c>
      <c r="F2710" s="36" t="str" cm="1">
        <f t="array" ref="F2710">_xlfn.XLOOKUP(D2710&amp;C2710, Sheet3!$C$2:$C$1224&amp;Sheet3!$B$2:$B$1224, Sheet3!$D$2:$D$1224, "")</f>
        <v/>
      </c>
      <c r="G2710" s="1" t="str" cm="1">
        <f t="array" ref="G2710">_xlfn.XLOOKUP(D2710&amp;C2710, Sheet2!$A$2:$A$558&amp;Sheet2!$B$2:$B$558, Sheet2!$C$2:$C$558, "")</f>
        <v/>
      </c>
      <c r="H2710" s="40" t="str">
        <f t="shared" si="42"/>
        <v/>
      </c>
    </row>
    <row r="2711" spans="1:8" ht="15.5" x14ac:dyDescent="0.35">
      <c r="A2711" s="7">
        <v>2710</v>
      </c>
      <c r="B2711" s="10">
        <v>44994</v>
      </c>
      <c r="C2711" s="13" t="s">
        <v>3161</v>
      </c>
      <c r="D2711" s="10" t="s">
        <v>2852</v>
      </c>
      <c r="E2711" s="10">
        <v>2020</v>
      </c>
      <c r="F2711" s="36" t="str" cm="1">
        <f t="array" ref="F2711">_xlfn.XLOOKUP(D2711&amp;C2711, Sheet3!$C$2:$C$1224&amp;Sheet3!$B$2:$B$1224, Sheet3!$D$2:$D$1224, "")</f>
        <v/>
      </c>
      <c r="G2711" s="1" t="str" cm="1">
        <f t="array" ref="G2711">_xlfn.XLOOKUP(D2711&amp;C2711, Sheet2!$A$2:$A$558&amp;Sheet2!$B$2:$B$558, Sheet2!$C$2:$C$558, "")</f>
        <v/>
      </c>
      <c r="H2711" s="40" t="str">
        <f t="shared" si="42"/>
        <v/>
      </c>
    </row>
    <row r="2712" spans="1:8" ht="15.5" x14ac:dyDescent="0.35">
      <c r="A2712" s="7">
        <v>2711</v>
      </c>
      <c r="B2712" s="10">
        <v>44342</v>
      </c>
      <c r="C2712" s="13" t="s">
        <v>3162</v>
      </c>
      <c r="D2712" s="10" t="s">
        <v>2852</v>
      </c>
      <c r="E2712" s="10">
        <v>2020</v>
      </c>
      <c r="F2712" s="36" t="str" cm="1">
        <f t="array" ref="F2712">_xlfn.XLOOKUP(D2712&amp;C2712, Sheet3!$C$2:$C$1224&amp;Sheet3!$B$2:$B$1224, Sheet3!$D$2:$D$1224, "")</f>
        <v>tri.hadi@big.go.id</v>
      </c>
      <c r="G2712" s="1" t="str" cm="1">
        <f t="array" ref="G2712">_xlfn.XLOOKUP(D2712&amp;C2712, Sheet2!$A$2:$A$558&amp;Sheet2!$B$2:$B$558, Sheet2!$C$2:$C$558, "")</f>
        <v/>
      </c>
      <c r="H2712" s="40" t="str">
        <f t="shared" si="42"/>
        <v>tri.hadi@big.go.id</v>
      </c>
    </row>
    <row r="2713" spans="1:8" ht="15.5" x14ac:dyDescent="0.35">
      <c r="A2713" s="7">
        <v>2712</v>
      </c>
      <c r="B2713" s="10">
        <v>41351</v>
      </c>
      <c r="C2713" s="13" t="s">
        <v>3163</v>
      </c>
      <c r="D2713" s="10" t="s">
        <v>2849</v>
      </c>
      <c r="E2713" s="10">
        <v>2020</v>
      </c>
      <c r="F2713" s="36" t="str" cm="1">
        <f t="array" ref="F2713">_xlfn.XLOOKUP(D2713&amp;C2713, Sheet3!$C$2:$C$1224&amp;Sheet3!$B$2:$B$1224, Sheet3!$D$2:$D$1224, "")</f>
        <v/>
      </c>
      <c r="G2713" s="1" t="str" cm="1">
        <f t="array" ref="G2713">_xlfn.XLOOKUP(D2713&amp;C2713, Sheet2!$A$2:$A$558&amp;Sheet2!$B$2:$B$558, Sheet2!$C$2:$C$558, "")</f>
        <v>krisnadipayana.p@gmail.com</v>
      </c>
      <c r="H2713" s="40" t="str">
        <f t="shared" si="42"/>
        <v>krisnadipayana.p@gmail.com</v>
      </c>
    </row>
    <row r="2714" spans="1:8" ht="15.5" x14ac:dyDescent="0.35">
      <c r="A2714" s="7">
        <v>2713</v>
      </c>
      <c r="B2714" s="10">
        <v>45023</v>
      </c>
      <c r="C2714" s="13" t="s">
        <v>3164</v>
      </c>
      <c r="D2714" s="10" t="s">
        <v>2852</v>
      </c>
      <c r="E2714" s="10">
        <v>2020</v>
      </c>
      <c r="F2714" s="36" t="str" cm="1">
        <f t="array" ref="F2714">_xlfn.XLOOKUP(D2714&amp;C2714, Sheet3!$C$2:$C$1224&amp;Sheet3!$B$2:$B$1224, Sheet3!$D$2:$D$1224, "")</f>
        <v/>
      </c>
      <c r="G2714" s="1" t="str" cm="1">
        <f t="array" ref="G2714">_xlfn.XLOOKUP(D2714&amp;C2714, Sheet2!$A$2:$A$558&amp;Sheet2!$B$2:$B$558, Sheet2!$C$2:$C$558, "")</f>
        <v/>
      </c>
      <c r="H2714" s="40" t="str">
        <f t="shared" si="42"/>
        <v/>
      </c>
    </row>
    <row r="2715" spans="1:8" ht="15.5" x14ac:dyDescent="0.35">
      <c r="A2715" s="7">
        <v>2714</v>
      </c>
      <c r="B2715" s="10">
        <v>44325</v>
      </c>
      <c r="C2715" s="13" t="s">
        <v>3165</v>
      </c>
      <c r="D2715" s="10" t="s">
        <v>2852</v>
      </c>
      <c r="E2715" s="10">
        <v>2020</v>
      </c>
      <c r="F2715" s="36" t="str" cm="1">
        <f t="array" ref="F2715">_xlfn.XLOOKUP(D2715&amp;C2715, Sheet3!$C$2:$C$1224&amp;Sheet3!$B$2:$B$1224, Sheet3!$D$2:$D$1224, "")</f>
        <v/>
      </c>
      <c r="G2715" s="1" t="str" cm="1">
        <f t="array" ref="G2715">_xlfn.XLOOKUP(D2715&amp;C2715, Sheet2!$A$2:$A$558&amp;Sheet2!$B$2:$B$558, Sheet2!$C$2:$C$558, "")</f>
        <v/>
      </c>
      <c r="H2715" s="40" t="str">
        <f t="shared" si="42"/>
        <v/>
      </c>
    </row>
    <row r="2716" spans="1:8" ht="15.5" x14ac:dyDescent="0.35">
      <c r="A2716" s="7">
        <v>2715</v>
      </c>
      <c r="B2716" s="10">
        <v>40747</v>
      </c>
      <c r="C2716" s="13" t="s">
        <v>3166</v>
      </c>
      <c r="D2716" s="10" t="s">
        <v>2849</v>
      </c>
      <c r="E2716" s="10">
        <v>2020</v>
      </c>
      <c r="F2716" s="36" t="str" cm="1">
        <f t="array" ref="F2716">_xlfn.XLOOKUP(D2716&amp;C2716, Sheet3!$C$2:$C$1224&amp;Sheet3!$B$2:$B$1224, Sheet3!$D$2:$D$1224, "")</f>
        <v/>
      </c>
      <c r="G2716" s="1" t="str" cm="1">
        <f t="array" ref="G2716">_xlfn.XLOOKUP(D2716&amp;C2716, Sheet2!$A$2:$A$558&amp;Sheet2!$B$2:$B$558, Sheet2!$C$2:$C$558, "")</f>
        <v/>
      </c>
      <c r="H2716" s="40" t="str">
        <f t="shared" si="42"/>
        <v/>
      </c>
    </row>
    <row r="2717" spans="1:8" ht="15.5" x14ac:dyDescent="0.35">
      <c r="A2717" s="7">
        <v>2716</v>
      </c>
      <c r="B2717" s="10">
        <v>43189</v>
      </c>
      <c r="C2717" s="13" t="s">
        <v>3167</v>
      </c>
      <c r="D2717" s="10" t="s">
        <v>2851</v>
      </c>
      <c r="E2717" s="10">
        <v>2020</v>
      </c>
      <c r="F2717" s="36" t="str" cm="1">
        <f t="array" ref="F2717">_xlfn.XLOOKUP(D2717&amp;C2717, Sheet3!$C$2:$C$1224&amp;Sheet3!$B$2:$B$1224, Sheet3!$D$2:$D$1224, "")</f>
        <v/>
      </c>
      <c r="G2717" s="1" t="str" cm="1">
        <f t="array" ref="G2717">_xlfn.XLOOKUP(D2717&amp;C2717, Sheet2!$A$2:$A$558&amp;Sheet2!$B$2:$B$558, Sheet2!$C$2:$C$558, "")</f>
        <v/>
      </c>
      <c r="H2717" s="40" t="str">
        <f t="shared" si="42"/>
        <v/>
      </c>
    </row>
    <row r="2718" spans="1:8" ht="15.5" x14ac:dyDescent="0.35">
      <c r="A2718" s="7">
        <v>2717</v>
      </c>
      <c r="B2718" s="10">
        <v>44305</v>
      </c>
      <c r="C2718" s="13" t="s">
        <v>3168</v>
      </c>
      <c r="D2718" s="10" t="s">
        <v>2852</v>
      </c>
      <c r="E2718" s="10">
        <v>2020</v>
      </c>
      <c r="F2718" s="36" t="str" cm="1">
        <f t="array" ref="F2718">_xlfn.XLOOKUP(D2718&amp;C2718, Sheet3!$C$2:$C$1224&amp;Sheet3!$B$2:$B$1224, Sheet3!$D$2:$D$1224, "")</f>
        <v/>
      </c>
      <c r="G2718" s="1" t="str" cm="1">
        <f t="array" ref="G2718">_xlfn.XLOOKUP(D2718&amp;C2718, Sheet2!$A$2:$A$558&amp;Sheet2!$B$2:$B$558, Sheet2!$C$2:$C$558, "")</f>
        <v/>
      </c>
      <c r="H2718" s="40" t="str">
        <f t="shared" si="42"/>
        <v/>
      </c>
    </row>
    <row r="2719" spans="1:8" ht="15.5" x14ac:dyDescent="0.35">
      <c r="A2719" s="7">
        <v>2718</v>
      </c>
      <c r="B2719" s="10">
        <v>44983</v>
      </c>
      <c r="C2719" s="13" t="s">
        <v>3169</v>
      </c>
      <c r="D2719" s="10" t="s">
        <v>2852</v>
      </c>
      <c r="E2719" s="10">
        <v>2020</v>
      </c>
      <c r="F2719" s="36" t="str" cm="1">
        <f t="array" ref="F2719">_xlfn.XLOOKUP(D2719&amp;C2719, Sheet3!$C$2:$C$1224&amp;Sheet3!$B$2:$B$1224, Sheet3!$D$2:$D$1224, "")</f>
        <v/>
      </c>
      <c r="G2719" s="1" t="str" cm="1">
        <f t="array" ref="G2719">_xlfn.XLOOKUP(D2719&amp;C2719, Sheet2!$A$2:$A$558&amp;Sheet2!$B$2:$B$558, Sheet2!$C$2:$C$558, "")</f>
        <v/>
      </c>
      <c r="H2719" s="40" t="str">
        <f t="shared" si="42"/>
        <v/>
      </c>
    </row>
    <row r="2720" spans="1:8" ht="15.5" x14ac:dyDescent="0.35">
      <c r="A2720" s="7">
        <v>2719</v>
      </c>
      <c r="B2720" s="10">
        <v>44317</v>
      </c>
      <c r="C2720" s="13" t="s">
        <v>3170</v>
      </c>
      <c r="D2720" s="10" t="s">
        <v>2852</v>
      </c>
      <c r="E2720" s="10">
        <v>2020</v>
      </c>
      <c r="F2720" s="36" t="str" cm="1">
        <f t="array" ref="F2720">_xlfn.XLOOKUP(D2720&amp;C2720, Sheet3!$C$2:$C$1224&amp;Sheet3!$B$2:$B$1224, Sheet3!$D$2:$D$1224, "")</f>
        <v>garnisapnd@gmail.com</v>
      </c>
      <c r="G2720" s="1" t="str" cm="1">
        <f t="array" ref="G2720">_xlfn.XLOOKUP(D2720&amp;C2720, Sheet2!$A$2:$A$558&amp;Sheet2!$B$2:$B$558, Sheet2!$C$2:$C$558, "")</f>
        <v/>
      </c>
      <c r="H2720" s="40" t="str">
        <f t="shared" si="42"/>
        <v>garnisapnd@gmail.com</v>
      </c>
    </row>
    <row r="2721" spans="1:8" ht="15.5" x14ac:dyDescent="0.35">
      <c r="A2721" s="7">
        <v>2720</v>
      </c>
      <c r="B2721" s="10">
        <v>43648</v>
      </c>
      <c r="C2721" s="13" t="s">
        <v>3171</v>
      </c>
      <c r="D2721" s="10" t="s">
        <v>2851</v>
      </c>
      <c r="E2721" s="10">
        <v>2020</v>
      </c>
      <c r="F2721" s="36" t="str" cm="1">
        <f t="array" ref="F2721">_xlfn.XLOOKUP(D2721&amp;C2721, Sheet3!$C$2:$C$1224&amp;Sheet3!$B$2:$B$1224, Sheet3!$D$2:$D$1224, "")</f>
        <v/>
      </c>
      <c r="G2721" s="1" t="str" cm="1">
        <f t="array" ref="G2721">_xlfn.XLOOKUP(D2721&amp;C2721, Sheet2!$A$2:$A$558&amp;Sheet2!$B$2:$B$558, Sheet2!$C$2:$C$558, "")</f>
        <v/>
      </c>
      <c r="H2721" s="40" t="str">
        <f t="shared" si="42"/>
        <v/>
      </c>
    </row>
    <row r="2722" spans="1:8" ht="15.5" x14ac:dyDescent="0.35">
      <c r="A2722" s="7">
        <v>2721</v>
      </c>
      <c r="B2722" s="10">
        <v>44339</v>
      </c>
      <c r="C2722" s="13" t="s">
        <v>3172</v>
      </c>
      <c r="D2722" s="10" t="s">
        <v>2852</v>
      </c>
      <c r="E2722" s="10">
        <v>2021</v>
      </c>
      <c r="F2722" s="36" t="str" cm="1">
        <f t="array" ref="F2722">_xlfn.XLOOKUP(D2722&amp;C2722, Sheet3!$C$2:$C$1224&amp;Sheet3!$B$2:$B$1224, Sheet3!$D$2:$D$1224, "")</f>
        <v/>
      </c>
      <c r="G2722" s="1" t="str" cm="1">
        <f t="array" ref="G2722">_xlfn.XLOOKUP(D2722&amp;C2722, Sheet2!$A$2:$A$558&amp;Sheet2!$B$2:$B$558, Sheet2!$C$2:$C$558, "")</f>
        <v/>
      </c>
      <c r="H2722" s="40" t="str">
        <f t="shared" si="42"/>
        <v/>
      </c>
    </row>
    <row r="2723" spans="1:8" ht="15.5" x14ac:dyDescent="0.35">
      <c r="A2723" s="7">
        <v>2722</v>
      </c>
      <c r="B2723" s="10">
        <v>44315</v>
      </c>
      <c r="C2723" s="13" t="s">
        <v>3173</v>
      </c>
      <c r="D2723" s="10" t="s">
        <v>2852</v>
      </c>
      <c r="E2723" s="10">
        <v>2021</v>
      </c>
      <c r="F2723" s="36" t="str" cm="1">
        <f t="array" ref="F2723">_xlfn.XLOOKUP(D2723&amp;C2723, Sheet3!$C$2:$C$1224&amp;Sheet3!$B$2:$B$1224, Sheet3!$D$2:$D$1224, "")</f>
        <v/>
      </c>
      <c r="G2723" s="1" t="str" cm="1">
        <f t="array" ref="G2723">_xlfn.XLOOKUP(D2723&amp;C2723, Sheet2!$A$2:$A$558&amp;Sheet2!$B$2:$B$558, Sheet2!$C$2:$C$558, "")</f>
        <v>adwiranty@gmail.com</v>
      </c>
      <c r="H2723" s="40" t="str">
        <f t="shared" si="42"/>
        <v>adwiranty@gmail.com</v>
      </c>
    </row>
    <row r="2724" spans="1:8" ht="15.5" x14ac:dyDescent="0.35">
      <c r="A2724" s="7">
        <v>2723</v>
      </c>
      <c r="B2724" s="10">
        <v>44332</v>
      </c>
      <c r="C2724" s="13" t="s">
        <v>3174</v>
      </c>
      <c r="D2724" s="10" t="s">
        <v>2852</v>
      </c>
      <c r="E2724" s="10">
        <v>2021</v>
      </c>
      <c r="F2724" s="36" t="str" cm="1">
        <f t="array" ref="F2724">_xlfn.XLOOKUP(D2724&amp;C2724, Sheet3!$C$2:$C$1224&amp;Sheet3!$B$2:$B$1224, Sheet3!$D$2:$D$1224, "")</f>
        <v>ranisaamalia99@gmail.com</v>
      </c>
      <c r="G2724" s="1" t="str" cm="1">
        <f t="array" ref="G2724">_xlfn.XLOOKUP(D2724&amp;C2724, Sheet2!$A$2:$A$558&amp;Sheet2!$B$2:$B$558, Sheet2!$C$2:$C$558, "")</f>
        <v/>
      </c>
      <c r="H2724" s="40" t="str">
        <f t="shared" si="42"/>
        <v>ranisaamalia99@gmail.com</v>
      </c>
    </row>
    <row r="2725" spans="1:8" ht="15.5" x14ac:dyDescent="0.35">
      <c r="A2725" s="7">
        <v>2724</v>
      </c>
      <c r="B2725" s="10">
        <v>45026</v>
      </c>
      <c r="C2725" s="13" t="s">
        <v>3175</v>
      </c>
      <c r="D2725" s="10" t="s">
        <v>2852</v>
      </c>
      <c r="E2725" s="10">
        <v>2021</v>
      </c>
      <c r="F2725" s="36" t="str" cm="1">
        <f t="array" ref="F2725">_xlfn.XLOOKUP(D2725&amp;C2725, Sheet3!$C$2:$C$1224&amp;Sheet3!$B$2:$B$1224, Sheet3!$D$2:$D$1224, "")</f>
        <v/>
      </c>
      <c r="G2725" s="1" t="str" cm="1">
        <f t="array" ref="G2725">_xlfn.XLOOKUP(D2725&amp;C2725, Sheet2!$A$2:$A$558&amp;Sheet2!$B$2:$B$558, Sheet2!$C$2:$C$558, "")</f>
        <v/>
      </c>
      <c r="H2725" s="40" t="str">
        <f t="shared" si="42"/>
        <v/>
      </c>
    </row>
    <row r="2726" spans="1:8" ht="15.5" x14ac:dyDescent="0.35">
      <c r="A2726" s="7">
        <v>2725</v>
      </c>
      <c r="B2726" s="10">
        <v>45017</v>
      </c>
      <c r="C2726" s="13" t="s">
        <v>3176</v>
      </c>
      <c r="D2726" s="10" t="s">
        <v>2852</v>
      </c>
      <c r="E2726" s="10">
        <v>2021</v>
      </c>
      <c r="F2726" s="36" t="str" cm="1">
        <f t="array" ref="F2726">_xlfn.XLOOKUP(D2726&amp;C2726, Sheet3!$C$2:$C$1224&amp;Sheet3!$B$2:$B$1224, Sheet3!$D$2:$D$1224, "")</f>
        <v>monicha.sherly@gmail.com</v>
      </c>
      <c r="G2726" s="1" t="str" cm="1">
        <f t="array" ref="G2726">_xlfn.XLOOKUP(D2726&amp;C2726, Sheet2!$A$2:$A$558&amp;Sheet2!$B$2:$B$558, Sheet2!$C$2:$C$558, "")</f>
        <v/>
      </c>
      <c r="H2726" s="40" t="str">
        <f t="shared" si="42"/>
        <v>monicha.sherly@gmail.com</v>
      </c>
    </row>
    <row r="2727" spans="1:8" ht="15.5" x14ac:dyDescent="0.35">
      <c r="A2727" s="7">
        <v>2726</v>
      </c>
      <c r="B2727" s="10">
        <v>43642</v>
      </c>
      <c r="C2727" s="13" t="s">
        <v>3177</v>
      </c>
      <c r="D2727" s="10" t="s">
        <v>2851</v>
      </c>
      <c r="E2727" s="10">
        <v>2021</v>
      </c>
      <c r="F2727" s="36" t="str" cm="1">
        <f t="array" ref="F2727">_xlfn.XLOOKUP(D2727&amp;C2727, Sheet3!$C$2:$C$1224&amp;Sheet3!$B$2:$B$1224, Sheet3!$D$2:$D$1224, "")</f>
        <v/>
      </c>
      <c r="G2727" s="1" t="str" cm="1">
        <f t="array" ref="G2727">_xlfn.XLOOKUP(D2727&amp;C2727, Sheet2!$A$2:$A$558&amp;Sheet2!$B$2:$B$558, Sheet2!$C$2:$C$558, "")</f>
        <v/>
      </c>
      <c r="H2727" s="40" t="str">
        <f t="shared" si="42"/>
        <v/>
      </c>
    </row>
    <row r="2728" spans="1:8" ht="15.5" x14ac:dyDescent="0.35">
      <c r="A2728" s="7">
        <v>2727</v>
      </c>
      <c r="B2728" s="10">
        <v>44334</v>
      </c>
      <c r="C2728" s="13" t="s">
        <v>3178</v>
      </c>
      <c r="D2728" s="10" t="s">
        <v>2852</v>
      </c>
      <c r="E2728" s="10">
        <v>2021</v>
      </c>
      <c r="F2728" s="36" t="str" cm="1">
        <f t="array" ref="F2728">_xlfn.XLOOKUP(D2728&amp;C2728, Sheet3!$C$2:$C$1224&amp;Sheet3!$B$2:$B$1224, Sheet3!$D$2:$D$1224, "")</f>
        <v/>
      </c>
      <c r="G2728" s="1" t="str" cm="1">
        <f t="array" ref="G2728">_xlfn.XLOOKUP(D2728&amp;C2728, Sheet2!$A$2:$A$558&amp;Sheet2!$B$2:$B$558, Sheet2!$C$2:$C$558, "")</f>
        <v/>
      </c>
      <c r="H2728" s="40" t="str">
        <f t="shared" si="42"/>
        <v/>
      </c>
    </row>
    <row r="2729" spans="1:8" ht="15.5" x14ac:dyDescent="0.35">
      <c r="A2729" s="7">
        <v>2728</v>
      </c>
      <c r="B2729" s="10">
        <v>45028</v>
      </c>
      <c r="C2729" s="13" t="s">
        <v>2382</v>
      </c>
      <c r="D2729" s="10" t="s">
        <v>2852</v>
      </c>
      <c r="E2729" s="10">
        <v>2021</v>
      </c>
      <c r="F2729" s="36" t="str" cm="1">
        <f t="array" ref="F2729">_xlfn.XLOOKUP(D2729&amp;C2729, Sheet3!$C$2:$C$1224&amp;Sheet3!$B$2:$B$1224, Sheet3!$D$2:$D$1224, "")</f>
        <v/>
      </c>
      <c r="G2729" s="1" t="str" cm="1">
        <f t="array" ref="G2729">_xlfn.XLOOKUP(D2729&amp;C2729, Sheet2!$A$2:$A$558&amp;Sheet2!$B$2:$B$558, Sheet2!$C$2:$C$558, "")</f>
        <v/>
      </c>
      <c r="H2729" s="40" t="str">
        <f t="shared" si="42"/>
        <v/>
      </c>
    </row>
    <row r="2730" spans="1:8" ht="15.5" x14ac:dyDescent="0.35">
      <c r="A2730" s="7">
        <v>2729</v>
      </c>
      <c r="B2730" s="10">
        <v>44989</v>
      </c>
      <c r="C2730" s="13" t="s">
        <v>2383</v>
      </c>
      <c r="D2730" s="10" t="s">
        <v>2852</v>
      </c>
      <c r="E2730" s="10">
        <v>2021</v>
      </c>
      <c r="F2730" s="36" t="str" cm="1">
        <f t="array" ref="F2730">_xlfn.XLOOKUP(D2730&amp;C2730, Sheet3!$C$2:$C$1224&amp;Sheet3!$B$2:$B$1224, Sheet3!$D$2:$D$1224, "")</f>
        <v/>
      </c>
      <c r="G2730" s="1" t="str" cm="1">
        <f t="array" ref="G2730">_xlfn.XLOOKUP(D2730&amp;C2730, Sheet2!$A$2:$A$558&amp;Sheet2!$B$2:$B$558, Sheet2!$C$2:$C$558, "")</f>
        <v>baguswijanrk@gmail.com</v>
      </c>
      <c r="H2730" s="40" t="str">
        <f t="shared" si="42"/>
        <v>baguswijanrk@gmail.com</v>
      </c>
    </row>
    <row r="2731" spans="1:8" ht="15.5" x14ac:dyDescent="0.35">
      <c r="A2731" s="7">
        <v>2730</v>
      </c>
      <c r="B2731" s="10">
        <v>45006</v>
      </c>
      <c r="C2731" s="13" t="s">
        <v>2384</v>
      </c>
      <c r="D2731" s="10" t="s">
        <v>2852</v>
      </c>
      <c r="E2731" s="10">
        <v>2021</v>
      </c>
      <c r="F2731" s="36" t="str" cm="1">
        <f t="array" ref="F2731">_xlfn.XLOOKUP(D2731&amp;C2731, Sheet3!$C$2:$C$1224&amp;Sheet3!$B$2:$B$1224, Sheet3!$D$2:$D$1224, "")</f>
        <v>igarefianti08@gmail.com</v>
      </c>
      <c r="G2731" s="1" t="str" cm="1">
        <f t="array" ref="G2731">_xlfn.XLOOKUP(D2731&amp;C2731, Sheet2!$A$2:$A$558&amp;Sheet2!$B$2:$B$558, Sheet2!$C$2:$C$558, "")</f>
        <v>igarefianti08@gmail.com</v>
      </c>
      <c r="H2731" s="40" t="str">
        <f t="shared" si="42"/>
        <v>igarefianti08@gmail.com</v>
      </c>
    </row>
    <row r="2732" spans="1:8" ht="15.5" x14ac:dyDescent="0.35">
      <c r="A2732" s="7">
        <v>2731</v>
      </c>
      <c r="B2732" s="10">
        <v>45013</v>
      </c>
      <c r="C2732" s="13" t="s">
        <v>2385</v>
      </c>
      <c r="D2732" s="10" t="s">
        <v>2852</v>
      </c>
      <c r="E2732" s="10">
        <v>2021</v>
      </c>
      <c r="F2732" s="36" t="str" cm="1">
        <f t="array" ref="F2732">_xlfn.XLOOKUP(D2732&amp;C2732, Sheet3!$C$2:$C$1224&amp;Sheet3!$B$2:$B$1224, Sheet3!$D$2:$D$1224, "")</f>
        <v/>
      </c>
      <c r="G2732" s="1" t="str" cm="1">
        <f t="array" ref="G2732">_xlfn.XLOOKUP(D2732&amp;C2732, Sheet2!$A$2:$A$558&amp;Sheet2!$B$2:$B$558, Sheet2!$C$2:$C$558, "")</f>
        <v/>
      </c>
      <c r="H2732" s="40" t="str">
        <f t="shared" si="42"/>
        <v/>
      </c>
    </row>
    <row r="2733" spans="1:8" ht="15.5" x14ac:dyDescent="0.35">
      <c r="A2733" s="7">
        <v>2732</v>
      </c>
      <c r="B2733" s="10">
        <v>46061</v>
      </c>
      <c r="C2733" s="13" t="s">
        <v>2386</v>
      </c>
      <c r="D2733" s="10" t="s">
        <v>2853</v>
      </c>
      <c r="E2733" s="10">
        <v>2021</v>
      </c>
      <c r="F2733" s="36" t="str" cm="1">
        <f t="array" ref="F2733">_xlfn.XLOOKUP(D2733&amp;C2733, Sheet3!$C$2:$C$1224&amp;Sheet3!$B$2:$B$1224, Sheet3!$D$2:$D$1224, "")</f>
        <v/>
      </c>
      <c r="G2733" s="1" t="str" cm="1">
        <f t="array" ref="G2733">_xlfn.XLOOKUP(D2733&amp;C2733, Sheet2!$A$2:$A$558&amp;Sheet2!$B$2:$B$558, Sheet2!$C$2:$C$558, "")</f>
        <v/>
      </c>
      <c r="H2733" s="40" t="str">
        <f t="shared" si="42"/>
        <v/>
      </c>
    </row>
    <row r="2734" spans="1:8" ht="15.5" x14ac:dyDescent="0.35">
      <c r="A2734" s="7">
        <v>2733</v>
      </c>
      <c r="B2734" s="10">
        <v>45033</v>
      </c>
      <c r="C2734" s="13" t="s">
        <v>2387</v>
      </c>
      <c r="D2734" s="10" t="s">
        <v>2852</v>
      </c>
      <c r="E2734" s="10">
        <v>2021</v>
      </c>
      <c r="F2734" s="36" t="str" cm="1">
        <f t="array" ref="F2734">_xlfn.XLOOKUP(D2734&amp;C2734, Sheet3!$C$2:$C$1224&amp;Sheet3!$B$2:$B$1224, Sheet3!$D$2:$D$1224, "")</f>
        <v/>
      </c>
      <c r="G2734" s="1" t="str" cm="1">
        <f t="array" ref="G2734">_xlfn.XLOOKUP(D2734&amp;C2734, Sheet2!$A$2:$A$558&amp;Sheet2!$B$2:$B$558, Sheet2!$C$2:$C$558, "")</f>
        <v/>
      </c>
      <c r="H2734" s="40" t="str">
        <f t="shared" si="42"/>
        <v/>
      </c>
    </row>
    <row r="2735" spans="1:8" ht="15.5" x14ac:dyDescent="0.35">
      <c r="A2735" s="7">
        <v>2734</v>
      </c>
      <c r="B2735" s="10">
        <v>46044</v>
      </c>
      <c r="C2735" s="13" t="s">
        <v>2388</v>
      </c>
      <c r="D2735" s="10" t="s">
        <v>2853</v>
      </c>
      <c r="E2735" s="10">
        <v>2021</v>
      </c>
      <c r="F2735" s="36" t="str" cm="1">
        <f t="array" ref="F2735">_xlfn.XLOOKUP(D2735&amp;C2735, Sheet3!$C$2:$C$1224&amp;Sheet3!$B$2:$B$1224, Sheet3!$D$2:$D$1224, "")</f>
        <v/>
      </c>
      <c r="G2735" s="1" t="str" cm="1">
        <f t="array" ref="G2735">_xlfn.XLOOKUP(D2735&amp;C2735, Sheet2!$A$2:$A$558&amp;Sheet2!$B$2:$B$558, Sheet2!$C$2:$C$558, "")</f>
        <v/>
      </c>
      <c r="H2735" s="40" t="str">
        <f t="shared" si="42"/>
        <v/>
      </c>
    </row>
    <row r="2736" spans="1:8" ht="15.5" x14ac:dyDescent="0.35">
      <c r="A2736" s="7">
        <v>2735</v>
      </c>
      <c r="B2736" s="10">
        <v>46049</v>
      </c>
      <c r="C2736" s="13" t="s">
        <v>2389</v>
      </c>
      <c r="D2736" s="10" t="s">
        <v>2853</v>
      </c>
      <c r="E2736" s="10">
        <v>2021</v>
      </c>
      <c r="F2736" s="36" t="str" cm="1">
        <f t="array" ref="F2736">_xlfn.XLOOKUP(D2736&amp;C2736, Sheet3!$C$2:$C$1224&amp;Sheet3!$B$2:$B$1224, Sheet3!$D$2:$D$1224, "")</f>
        <v/>
      </c>
      <c r="G2736" s="1" t="str" cm="1">
        <f t="array" ref="G2736">_xlfn.XLOOKUP(D2736&amp;C2736, Sheet2!$A$2:$A$558&amp;Sheet2!$B$2:$B$558, Sheet2!$C$2:$C$558, "")</f>
        <v>megaandina99@mail.ugm.ac.id</v>
      </c>
      <c r="H2736" s="40" t="str">
        <f t="shared" si="42"/>
        <v>megaandina99@mail.ugm.ac.id</v>
      </c>
    </row>
    <row r="2737" spans="1:8" ht="15.5" x14ac:dyDescent="0.35">
      <c r="A2737" s="7">
        <v>2736</v>
      </c>
      <c r="B2737" s="10">
        <v>46431</v>
      </c>
      <c r="C2737" s="13" t="s">
        <v>2390</v>
      </c>
      <c r="D2737" s="10" t="s">
        <v>2853</v>
      </c>
      <c r="E2737" s="10">
        <v>2021</v>
      </c>
      <c r="F2737" s="36" t="str" cm="1">
        <f t="array" ref="F2737">_xlfn.XLOOKUP(D2737&amp;C2737, Sheet3!$C$2:$C$1224&amp;Sheet3!$B$2:$B$1224, Sheet3!$D$2:$D$1224, "")</f>
        <v/>
      </c>
      <c r="G2737" s="1" t="str" cm="1">
        <f t="array" ref="G2737">_xlfn.XLOOKUP(D2737&amp;C2737, Sheet2!$A$2:$A$558&amp;Sheet2!$B$2:$B$558, Sheet2!$C$2:$C$558, "")</f>
        <v/>
      </c>
      <c r="H2737" s="40" t="str">
        <f t="shared" si="42"/>
        <v/>
      </c>
    </row>
    <row r="2738" spans="1:8" ht="15.5" x14ac:dyDescent="0.35">
      <c r="A2738" s="7">
        <v>2737</v>
      </c>
      <c r="B2738" s="10">
        <v>46422</v>
      </c>
      <c r="C2738" s="13" t="s">
        <v>2391</v>
      </c>
      <c r="D2738" s="10" t="s">
        <v>2853</v>
      </c>
      <c r="E2738" s="10">
        <v>2021</v>
      </c>
      <c r="F2738" s="36" t="str" cm="1">
        <f t="array" ref="F2738">_xlfn.XLOOKUP(D2738&amp;C2738, Sheet3!$C$2:$C$1224&amp;Sheet3!$B$2:$B$1224, Sheet3!$D$2:$D$1224, "")</f>
        <v/>
      </c>
      <c r="G2738" s="1" t="str" cm="1">
        <f t="array" ref="G2738">_xlfn.XLOOKUP(D2738&amp;C2738, Sheet2!$A$2:$A$558&amp;Sheet2!$B$2:$B$558, Sheet2!$C$2:$C$558, "")</f>
        <v/>
      </c>
      <c r="H2738" s="40" t="str">
        <f t="shared" si="42"/>
        <v/>
      </c>
    </row>
    <row r="2739" spans="1:8" ht="15.5" x14ac:dyDescent="0.35">
      <c r="A2739" s="7">
        <v>2738</v>
      </c>
      <c r="B2739" s="10">
        <v>46024</v>
      </c>
      <c r="C2739" s="13" t="s">
        <v>2392</v>
      </c>
      <c r="D2739" s="10" t="s">
        <v>2853</v>
      </c>
      <c r="E2739" s="10">
        <v>2021</v>
      </c>
      <c r="F2739" s="36" t="str" cm="1">
        <f t="array" ref="F2739">_xlfn.XLOOKUP(D2739&amp;C2739, Sheet3!$C$2:$C$1224&amp;Sheet3!$B$2:$B$1224, Sheet3!$D$2:$D$1224, "")</f>
        <v/>
      </c>
      <c r="G2739" s="1" t="str" cm="1">
        <f t="array" ref="G2739">_xlfn.XLOOKUP(D2739&amp;C2739, Sheet2!$A$2:$A$558&amp;Sheet2!$B$2:$B$558, Sheet2!$C$2:$C$558, "")</f>
        <v/>
      </c>
      <c r="H2739" s="40" t="str">
        <f t="shared" si="42"/>
        <v/>
      </c>
    </row>
    <row r="2740" spans="1:8" ht="15.5" x14ac:dyDescent="0.35">
      <c r="A2740" s="7">
        <v>2739</v>
      </c>
      <c r="B2740" s="10">
        <v>46020</v>
      </c>
      <c r="C2740" s="13" t="s">
        <v>2393</v>
      </c>
      <c r="D2740" s="10" t="s">
        <v>2853</v>
      </c>
      <c r="E2740" s="10">
        <v>2021</v>
      </c>
      <c r="F2740" s="36" t="str" cm="1">
        <f t="array" ref="F2740">_xlfn.XLOOKUP(D2740&amp;C2740, Sheet3!$C$2:$C$1224&amp;Sheet3!$B$2:$B$1224, Sheet3!$D$2:$D$1224, "")</f>
        <v/>
      </c>
      <c r="G2740" s="1" t="str" cm="1">
        <f t="array" ref="G2740">_xlfn.XLOOKUP(D2740&amp;C2740, Sheet2!$A$2:$A$558&amp;Sheet2!$B$2:$B$558, Sheet2!$C$2:$C$558, "")</f>
        <v/>
      </c>
      <c r="H2740" s="40" t="str">
        <f t="shared" si="42"/>
        <v/>
      </c>
    </row>
    <row r="2741" spans="1:8" ht="15.5" x14ac:dyDescent="0.35">
      <c r="A2741" s="7">
        <v>2740</v>
      </c>
      <c r="B2741" s="10">
        <v>41876</v>
      </c>
      <c r="C2741" s="13" t="s">
        <v>2394</v>
      </c>
      <c r="D2741" s="10" t="s">
        <v>2850</v>
      </c>
      <c r="E2741" s="10">
        <v>2021</v>
      </c>
      <c r="F2741" s="36" t="str" cm="1">
        <f t="array" ref="F2741">_xlfn.XLOOKUP(D2741&amp;C2741, Sheet3!$C$2:$C$1224&amp;Sheet3!$B$2:$B$1224, Sheet3!$D$2:$D$1224, "")</f>
        <v/>
      </c>
      <c r="G2741" s="1" t="str" cm="1">
        <f t="array" ref="G2741">_xlfn.XLOOKUP(D2741&amp;C2741, Sheet2!$A$2:$A$558&amp;Sheet2!$B$2:$B$558, Sheet2!$C$2:$C$558, "")</f>
        <v/>
      </c>
      <c r="H2741" s="40" t="str">
        <f t="shared" si="42"/>
        <v/>
      </c>
    </row>
    <row r="2742" spans="1:8" ht="15.5" x14ac:dyDescent="0.35">
      <c r="A2742" s="7">
        <v>2741</v>
      </c>
      <c r="B2742" s="10">
        <v>46438</v>
      </c>
      <c r="C2742" s="13" t="s">
        <v>2395</v>
      </c>
      <c r="D2742" s="10" t="s">
        <v>2853</v>
      </c>
      <c r="E2742" s="10">
        <v>2021</v>
      </c>
      <c r="F2742" s="36" t="str" cm="1">
        <f t="array" ref="F2742">_xlfn.XLOOKUP(D2742&amp;C2742, Sheet3!$C$2:$C$1224&amp;Sheet3!$B$2:$B$1224, Sheet3!$D$2:$D$1224, "")</f>
        <v>retnoeka99@gmail.com</v>
      </c>
      <c r="G2742" s="1" t="str" cm="1">
        <f t="array" ref="G2742">_xlfn.XLOOKUP(D2742&amp;C2742, Sheet2!$A$2:$A$558&amp;Sheet2!$B$2:$B$558, Sheet2!$C$2:$C$558, "")</f>
        <v>retnoeka99@gmail.com</v>
      </c>
      <c r="H2742" s="40" t="str">
        <f t="shared" si="42"/>
        <v>retnoeka99@gmail.com</v>
      </c>
    </row>
    <row r="2743" spans="1:8" ht="15.5" x14ac:dyDescent="0.35">
      <c r="A2743" s="7">
        <v>2742</v>
      </c>
      <c r="B2743" s="10">
        <v>45566</v>
      </c>
      <c r="C2743" s="13" t="s">
        <v>2396</v>
      </c>
      <c r="D2743" s="10" t="s">
        <v>2853</v>
      </c>
      <c r="E2743" s="10">
        <v>2021</v>
      </c>
      <c r="F2743" s="36" t="str" cm="1">
        <f t="array" ref="F2743">_xlfn.XLOOKUP(D2743&amp;C2743, Sheet3!$C$2:$C$1224&amp;Sheet3!$B$2:$B$1224, Sheet3!$D$2:$D$1224, "")</f>
        <v/>
      </c>
      <c r="G2743" s="1" t="str" cm="1">
        <f t="array" ref="G2743">_xlfn.XLOOKUP(D2743&amp;C2743, Sheet2!$A$2:$A$558&amp;Sheet2!$B$2:$B$558, Sheet2!$C$2:$C$558, "")</f>
        <v>gheaayunda19@gmail.com</v>
      </c>
      <c r="H2743" s="40" t="str">
        <f t="shared" si="42"/>
        <v>gheaayunda19@gmail.com</v>
      </c>
    </row>
    <row r="2744" spans="1:8" ht="15.5" x14ac:dyDescent="0.35">
      <c r="A2744" s="7">
        <v>2743</v>
      </c>
      <c r="B2744" s="10">
        <v>46060</v>
      </c>
      <c r="C2744" s="13" t="s">
        <v>2397</v>
      </c>
      <c r="D2744" s="10" t="s">
        <v>2853</v>
      </c>
      <c r="E2744" s="10">
        <v>2021</v>
      </c>
      <c r="F2744" s="36" t="str" cm="1">
        <f t="array" ref="F2744">_xlfn.XLOOKUP(D2744&amp;C2744, Sheet3!$C$2:$C$1224&amp;Sheet3!$B$2:$B$1224, Sheet3!$D$2:$D$1224, "")</f>
        <v>taufiqsetiaqan727@gmail.com</v>
      </c>
      <c r="G2744" s="1" t="str" cm="1">
        <f t="array" ref="G2744">_xlfn.XLOOKUP(D2744&amp;C2744, Sheet2!$A$2:$A$558&amp;Sheet2!$B$2:$B$558, Sheet2!$C$2:$C$558, "")</f>
        <v>taufiqsetiawan727@gmail.com</v>
      </c>
      <c r="H2744" s="40" t="str">
        <f t="shared" si="42"/>
        <v>taufiqsetiaqan727@gmail.com</v>
      </c>
    </row>
    <row r="2745" spans="1:8" ht="15.5" x14ac:dyDescent="0.35">
      <c r="A2745" s="7">
        <v>2744</v>
      </c>
      <c r="B2745" s="10">
        <v>45555</v>
      </c>
      <c r="C2745" s="13" t="s">
        <v>2398</v>
      </c>
      <c r="D2745" s="10" t="s">
        <v>2853</v>
      </c>
      <c r="E2745" s="10">
        <v>2021</v>
      </c>
      <c r="F2745" s="36" t="str" cm="1">
        <f t="array" ref="F2745">_xlfn.XLOOKUP(D2745&amp;C2745, Sheet3!$C$2:$C$1224&amp;Sheet3!$B$2:$B$1224, Sheet3!$D$2:$D$1224, "")</f>
        <v/>
      </c>
      <c r="G2745" s="1" t="str" cm="1">
        <f t="array" ref="G2745">_xlfn.XLOOKUP(D2745&amp;C2745, Sheet2!$A$2:$A$558&amp;Sheet2!$B$2:$B$558, Sheet2!$C$2:$C$558, "")</f>
        <v/>
      </c>
      <c r="H2745" s="40" t="str">
        <f t="shared" si="42"/>
        <v/>
      </c>
    </row>
    <row r="2746" spans="1:8" ht="15.5" x14ac:dyDescent="0.35">
      <c r="A2746" s="7">
        <v>2745</v>
      </c>
      <c r="B2746" s="10">
        <v>45565</v>
      </c>
      <c r="C2746" s="13" t="s">
        <v>2399</v>
      </c>
      <c r="D2746" s="10" t="s">
        <v>2853</v>
      </c>
      <c r="E2746" s="10">
        <v>2021</v>
      </c>
      <c r="F2746" s="36" t="str" cm="1">
        <f t="array" ref="F2746">_xlfn.XLOOKUP(D2746&amp;C2746, Sheet3!$C$2:$C$1224&amp;Sheet3!$B$2:$B$1224, Sheet3!$D$2:$D$1224, "")</f>
        <v/>
      </c>
      <c r="G2746" s="1" t="str" cm="1">
        <f t="array" ref="G2746">_xlfn.XLOOKUP(D2746&amp;C2746, Sheet2!$A$2:$A$558&amp;Sheet2!$B$2:$B$558, Sheet2!$C$2:$C$558, "")</f>
        <v/>
      </c>
      <c r="H2746" s="40" t="str">
        <f t="shared" si="42"/>
        <v/>
      </c>
    </row>
    <row r="2747" spans="1:8" ht="15.5" x14ac:dyDescent="0.35">
      <c r="A2747" s="7">
        <v>2746</v>
      </c>
      <c r="B2747" s="10">
        <v>45012</v>
      </c>
      <c r="C2747" s="13" t="s">
        <v>2400</v>
      </c>
      <c r="D2747" s="10" t="s">
        <v>2852</v>
      </c>
      <c r="E2747" s="10">
        <v>2021</v>
      </c>
      <c r="F2747" s="36" t="str" cm="1">
        <f t="array" ref="F2747">_xlfn.XLOOKUP(D2747&amp;C2747, Sheet3!$C$2:$C$1224&amp;Sheet3!$B$2:$B$1224, Sheet3!$D$2:$D$1224, "")</f>
        <v/>
      </c>
      <c r="G2747" s="1" t="str" cm="1">
        <f t="array" ref="G2747">_xlfn.XLOOKUP(D2747&amp;C2747, Sheet2!$A$2:$A$558&amp;Sheet2!$B$2:$B$558, Sheet2!$C$2:$C$558, "")</f>
        <v/>
      </c>
      <c r="H2747" s="40" t="str">
        <f t="shared" si="42"/>
        <v/>
      </c>
    </row>
    <row r="2748" spans="1:8" ht="15.5" x14ac:dyDescent="0.35">
      <c r="A2748" s="7">
        <v>2747</v>
      </c>
      <c r="B2748" s="10">
        <v>42361</v>
      </c>
      <c r="C2748" s="13" t="s">
        <v>2401</v>
      </c>
      <c r="D2748" s="10" t="s">
        <v>2850</v>
      </c>
      <c r="E2748" s="10">
        <v>2021</v>
      </c>
      <c r="F2748" s="36" t="str" cm="1">
        <f t="array" ref="F2748">_xlfn.XLOOKUP(D2748&amp;C2748, Sheet3!$C$2:$C$1224&amp;Sheet3!$B$2:$B$1224, Sheet3!$D$2:$D$1224, "")</f>
        <v/>
      </c>
      <c r="G2748" s="1" t="str" cm="1">
        <f t="array" ref="G2748">_xlfn.XLOOKUP(D2748&amp;C2748, Sheet2!$A$2:$A$558&amp;Sheet2!$B$2:$B$558, Sheet2!$C$2:$C$558, "")</f>
        <v/>
      </c>
      <c r="H2748" s="40" t="str">
        <f t="shared" si="42"/>
        <v/>
      </c>
    </row>
    <row r="2749" spans="1:8" ht="15.5" x14ac:dyDescent="0.35">
      <c r="A2749" s="7">
        <v>2748</v>
      </c>
      <c r="B2749" s="10">
        <v>45572</v>
      </c>
      <c r="C2749" s="13" t="s">
        <v>2402</v>
      </c>
      <c r="D2749" s="10" t="s">
        <v>2853</v>
      </c>
      <c r="E2749" s="10">
        <v>2021</v>
      </c>
      <c r="F2749" s="36" t="str" cm="1">
        <f t="array" ref="F2749">_xlfn.XLOOKUP(D2749&amp;C2749, Sheet3!$C$2:$C$1224&amp;Sheet3!$B$2:$B$1224, Sheet3!$D$2:$D$1224, "")</f>
        <v/>
      </c>
      <c r="G2749" s="1" t="str" cm="1">
        <f t="array" ref="G2749">_xlfn.XLOOKUP(D2749&amp;C2749, Sheet2!$A$2:$A$558&amp;Sheet2!$B$2:$B$558, Sheet2!$C$2:$C$558, "")</f>
        <v/>
      </c>
      <c r="H2749" s="40" t="str">
        <f t="shared" si="42"/>
        <v/>
      </c>
    </row>
    <row r="2750" spans="1:8" ht="15.5" x14ac:dyDescent="0.35">
      <c r="A2750" s="7">
        <v>2749</v>
      </c>
      <c r="B2750" s="10">
        <v>45560</v>
      </c>
      <c r="C2750" s="13" t="s">
        <v>2403</v>
      </c>
      <c r="D2750" s="10" t="s">
        <v>2853</v>
      </c>
      <c r="E2750" s="10">
        <v>2021</v>
      </c>
      <c r="F2750" s="36" t="str" cm="1">
        <f t="array" ref="F2750">_xlfn.XLOOKUP(D2750&amp;C2750, Sheet3!$C$2:$C$1224&amp;Sheet3!$B$2:$B$1224, Sheet3!$D$2:$D$1224, "")</f>
        <v/>
      </c>
      <c r="G2750" s="1" t="str" cm="1">
        <f t="array" ref="G2750">_xlfn.XLOOKUP(D2750&amp;C2750, Sheet2!$A$2:$A$558&amp;Sheet2!$B$2:$B$558, Sheet2!$C$2:$C$558, "")</f>
        <v/>
      </c>
      <c r="H2750" s="40" t="str">
        <f t="shared" si="42"/>
        <v/>
      </c>
    </row>
    <row r="2751" spans="1:8" ht="15.5" x14ac:dyDescent="0.35">
      <c r="A2751" s="7">
        <v>2750</v>
      </c>
      <c r="B2751" s="10">
        <v>46029</v>
      </c>
      <c r="C2751" s="13" t="s">
        <v>2404</v>
      </c>
      <c r="D2751" s="10" t="s">
        <v>2853</v>
      </c>
      <c r="E2751" s="10">
        <v>2021</v>
      </c>
      <c r="F2751" s="36" t="str" cm="1">
        <f t="array" ref="F2751">_xlfn.XLOOKUP(D2751&amp;C2751, Sheet3!$C$2:$C$1224&amp;Sheet3!$B$2:$B$1224, Sheet3!$D$2:$D$1224, "")</f>
        <v/>
      </c>
      <c r="G2751" s="1" t="str" cm="1">
        <f t="array" ref="G2751">_xlfn.XLOOKUP(D2751&amp;C2751, Sheet2!$A$2:$A$558&amp;Sheet2!$B$2:$B$558, Sheet2!$C$2:$C$558, "")</f>
        <v/>
      </c>
      <c r="H2751" s="40" t="str">
        <f t="shared" si="42"/>
        <v/>
      </c>
    </row>
    <row r="2752" spans="1:8" ht="15.5" x14ac:dyDescent="0.35">
      <c r="A2752" s="7">
        <v>2751</v>
      </c>
      <c r="B2752" s="10">
        <v>45564</v>
      </c>
      <c r="C2752" s="13" t="s">
        <v>2405</v>
      </c>
      <c r="D2752" s="10" t="s">
        <v>2853</v>
      </c>
      <c r="E2752" s="10">
        <v>2021</v>
      </c>
      <c r="F2752" s="36" t="str" cm="1">
        <f t="array" ref="F2752">_xlfn.XLOOKUP(D2752&amp;C2752, Sheet3!$C$2:$C$1224&amp;Sheet3!$B$2:$B$1224, Sheet3!$D$2:$D$1224, "")</f>
        <v/>
      </c>
      <c r="G2752" s="1" t="str" cm="1">
        <f t="array" ref="G2752">_xlfn.XLOOKUP(D2752&amp;C2752, Sheet2!$A$2:$A$558&amp;Sheet2!$B$2:$B$558, Sheet2!$C$2:$C$558, "")</f>
        <v>fennytriad10@gmail.com</v>
      </c>
      <c r="H2752" s="40" t="str">
        <f t="shared" si="42"/>
        <v>fennytriad10@gmail.com</v>
      </c>
    </row>
    <row r="2753" spans="1:8" ht="15.5" x14ac:dyDescent="0.35">
      <c r="A2753" s="7">
        <v>2752</v>
      </c>
      <c r="B2753" s="10">
        <v>46025</v>
      </c>
      <c r="C2753" s="13" t="s">
        <v>2406</v>
      </c>
      <c r="D2753" s="10" t="s">
        <v>2853</v>
      </c>
      <c r="E2753" s="10">
        <v>2021</v>
      </c>
      <c r="F2753" s="36" t="str" cm="1">
        <f t="array" ref="F2753">_xlfn.XLOOKUP(D2753&amp;C2753, Sheet3!$C$2:$C$1224&amp;Sheet3!$B$2:$B$1224, Sheet3!$D$2:$D$1224, "")</f>
        <v/>
      </c>
      <c r="G2753" s="1" t="str" cm="1">
        <f t="array" ref="G2753">_xlfn.XLOOKUP(D2753&amp;C2753, Sheet2!$A$2:$A$558&amp;Sheet2!$B$2:$B$558, Sheet2!$C$2:$C$558, "")</f>
        <v/>
      </c>
      <c r="H2753" s="40" t="str">
        <f t="shared" si="42"/>
        <v/>
      </c>
    </row>
    <row r="2754" spans="1:8" ht="15.5" x14ac:dyDescent="0.35">
      <c r="A2754" s="7">
        <v>2753</v>
      </c>
      <c r="B2754" s="10">
        <v>46439</v>
      </c>
      <c r="C2754" s="13" t="s">
        <v>2407</v>
      </c>
      <c r="D2754" s="10" t="s">
        <v>2853</v>
      </c>
      <c r="E2754" s="10">
        <v>2021</v>
      </c>
      <c r="F2754" s="36" t="str" cm="1">
        <f t="array" ref="F2754">_xlfn.XLOOKUP(D2754&amp;C2754, Sheet3!$C$2:$C$1224&amp;Sheet3!$B$2:$B$1224, Sheet3!$D$2:$D$1224, "")</f>
        <v>fadzilahnurrizky@gmail.com</v>
      </c>
      <c r="G2754" s="1" t="str" cm="1">
        <f t="array" ref="G2754">_xlfn.XLOOKUP(D2754&amp;C2754, Sheet2!$A$2:$A$558&amp;Sheet2!$B$2:$B$558, Sheet2!$C$2:$C$558, "")</f>
        <v/>
      </c>
      <c r="H2754" s="40" t="str">
        <f t="shared" si="42"/>
        <v>fadzilahnurrizky@gmail.com</v>
      </c>
    </row>
    <row r="2755" spans="1:8" ht="15.5" x14ac:dyDescent="0.35">
      <c r="A2755" s="7">
        <v>2754</v>
      </c>
      <c r="B2755" s="10">
        <v>46030</v>
      </c>
      <c r="C2755" s="13" t="s">
        <v>2408</v>
      </c>
      <c r="D2755" s="10" t="s">
        <v>2853</v>
      </c>
      <c r="E2755" s="10">
        <v>2021</v>
      </c>
      <c r="F2755" s="36" t="str" cm="1">
        <f t="array" ref="F2755">_xlfn.XLOOKUP(D2755&amp;C2755, Sheet3!$C$2:$C$1224&amp;Sheet3!$B$2:$B$1224, Sheet3!$D$2:$D$1224, "")</f>
        <v>bayunata009@gmail.com</v>
      </c>
      <c r="G2755" s="1" t="str" cm="1">
        <f t="array" ref="G2755">_xlfn.XLOOKUP(D2755&amp;C2755, Sheet2!$A$2:$A$558&amp;Sheet2!$B$2:$B$558, Sheet2!$C$2:$C$558, "")</f>
        <v/>
      </c>
      <c r="H2755" s="40" t="str">
        <f t="shared" ref="H2755:H2818" si="43">IF(F2755&lt;&gt;"",F2755,G2755)</f>
        <v>bayunata009@gmail.com</v>
      </c>
    </row>
    <row r="2756" spans="1:8" ht="15.5" x14ac:dyDescent="0.35">
      <c r="A2756" s="7">
        <v>2755</v>
      </c>
      <c r="B2756" s="10">
        <v>46441</v>
      </c>
      <c r="C2756" s="13" t="s">
        <v>2409</v>
      </c>
      <c r="D2756" s="10" t="s">
        <v>2853</v>
      </c>
      <c r="E2756" s="10">
        <v>2021</v>
      </c>
      <c r="F2756" s="36" t="str" cm="1">
        <f t="array" ref="F2756">_xlfn.XLOOKUP(D2756&amp;C2756, Sheet3!$C$2:$C$1224&amp;Sheet3!$B$2:$B$1224, Sheet3!$D$2:$D$1224, "")</f>
        <v/>
      </c>
      <c r="G2756" s="1" t="str" cm="1">
        <f t="array" ref="G2756">_xlfn.XLOOKUP(D2756&amp;C2756, Sheet2!$A$2:$A$558&amp;Sheet2!$B$2:$B$558, Sheet2!$C$2:$C$558, "")</f>
        <v>vincenttandy14@gmail.com</v>
      </c>
      <c r="H2756" s="40" t="str">
        <f t="shared" si="43"/>
        <v>vincenttandy14@gmail.com</v>
      </c>
    </row>
    <row r="2757" spans="1:8" ht="15.5" x14ac:dyDescent="0.35">
      <c r="A2757" s="7">
        <v>2756</v>
      </c>
      <c r="B2757" s="10">
        <v>46425</v>
      </c>
      <c r="C2757" s="13" t="s">
        <v>2410</v>
      </c>
      <c r="D2757" s="10" t="s">
        <v>2853</v>
      </c>
      <c r="E2757" s="10">
        <v>2021</v>
      </c>
      <c r="F2757" s="36" t="str" cm="1">
        <f t="array" ref="F2757">_xlfn.XLOOKUP(D2757&amp;C2757, Sheet3!$C$2:$C$1224&amp;Sheet3!$B$2:$B$1224, Sheet3!$D$2:$D$1224, "")</f>
        <v>anamardhiyanaa@gmail.com</v>
      </c>
      <c r="G2757" s="1" t="str" cm="1">
        <f t="array" ref="G2757">_xlfn.XLOOKUP(D2757&amp;C2757, Sheet2!$A$2:$A$558&amp;Sheet2!$B$2:$B$558, Sheet2!$C$2:$C$558, "")</f>
        <v/>
      </c>
      <c r="H2757" s="40" t="str">
        <f t="shared" si="43"/>
        <v>anamardhiyanaa@gmail.com</v>
      </c>
    </row>
    <row r="2758" spans="1:8" ht="15.5" x14ac:dyDescent="0.35">
      <c r="A2758" s="7">
        <v>2757</v>
      </c>
      <c r="B2758" s="10">
        <v>46435</v>
      </c>
      <c r="C2758" s="13" t="s">
        <v>2411</v>
      </c>
      <c r="D2758" s="10" t="s">
        <v>2853</v>
      </c>
      <c r="E2758" s="10">
        <v>2021</v>
      </c>
      <c r="F2758" s="36" t="str" cm="1">
        <f t="array" ref="F2758">_xlfn.XLOOKUP(D2758&amp;C2758, Sheet3!$C$2:$C$1224&amp;Sheet3!$B$2:$B$1224, Sheet3!$D$2:$D$1224, "")</f>
        <v/>
      </c>
      <c r="G2758" s="1" t="str" cm="1">
        <f t="array" ref="G2758">_xlfn.XLOOKUP(D2758&amp;C2758, Sheet2!$A$2:$A$558&amp;Sheet2!$B$2:$B$558, Sheet2!$C$2:$C$558, "")</f>
        <v>ruzaldipuluala@gmail.com</v>
      </c>
      <c r="H2758" s="40" t="str">
        <f t="shared" si="43"/>
        <v>ruzaldipuluala@gmail.com</v>
      </c>
    </row>
    <row r="2759" spans="1:8" ht="15.5" x14ac:dyDescent="0.35">
      <c r="A2759" s="7">
        <v>2758</v>
      </c>
      <c r="B2759" s="10">
        <v>46063</v>
      </c>
      <c r="C2759" s="13" t="s">
        <v>2412</v>
      </c>
      <c r="D2759" s="10" t="s">
        <v>2853</v>
      </c>
      <c r="E2759" s="10">
        <v>2021</v>
      </c>
      <c r="F2759" s="36" t="str" cm="1">
        <f t="array" ref="F2759">_xlfn.XLOOKUP(D2759&amp;C2759, Sheet3!$C$2:$C$1224&amp;Sheet3!$B$2:$B$1224, Sheet3!$D$2:$D$1224, "")</f>
        <v/>
      </c>
      <c r="G2759" s="1" t="str" cm="1">
        <f t="array" ref="G2759">_xlfn.XLOOKUP(D2759&amp;C2759, Sheet2!$A$2:$A$558&amp;Sheet2!$B$2:$B$558, Sheet2!$C$2:$C$558, "")</f>
        <v/>
      </c>
      <c r="H2759" s="40" t="str">
        <f t="shared" si="43"/>
        <v/>
      </c>
    </row>
    <row r="2760" spans="1:8" ht="15.5" x14ac:dyDescent="0.35">
      <c r="A2760" s="7">
        <v>2759</v>
      </c>
      <c r="B2760" s="10">
        <v>46055</v>
      </c>
      <c r="C2760" s="13" t="s">
        <v>2413</v>
      </c>
      <c r="D2760" s="10" t="s">
        <v>2853</v>
      </c>
      <c r="E2760" s="10">
        <v>2021</v>
      </c>
      <c r="F2760" s="36" t="str" cm="1">
        <f t="array" ref="F2760">_xlfn.XLOOKUP(D2760&amp;C2760, Sheet3!$C$2:$C$1224&amp;Sheet3!$B$2:$B$1224, Sheet3!$D$2:$D$1224, "")</f>
        <v>99nabilla@gmail.com</v>
      </c>
      <c r="G2760" s="1" t="str" cm="1">
        <f t="array" ref="G2760">_xlfn.XLOOKUP(D2760&amp;C2760, Sheet2!$A$2:$A$558&amp;Sheet2!$B$2:$B$558, Sheet2!$C$2:$C$558, "")</f>
        <v/>
      </c>
      <c r="H2760" s="40" t="str">
        <f t="shared" si="43"/>
        <v>99nabilla@gmail.com</v>
      </c>
    </row>
    <row r="2761" spans="1:8" ht="15.5" x14ac:dyDescent="0.35">
      <c r="A2761" s="7">
        <v>2760</v>
      </c>
      <c r="B2761" s="10">
        <v>46047</v>
      </c>
      <c r="C2761" s="13" t="s">
        <v>2414</v>
      </c>
      <c r="D2761" s="10" t="s">
        <v>2853</v>
      </c>
      <c r="E2761" s="10">
        <v>2021</v>
      </c>
      <c r="F2761" s="36" t="str" cm="1">
        <f t="array" ref="F2761">_xlfn.XLOOKUP(D2761&amp;C2761, Sheet3!$C$2:$C$1224&amp;Sheet3!$B$2:$B$1224, Sheet3!$D$2:$D$1224, "")</f>
        <v>lantipsaputra32@gmail.com</v>
      </c>
      <c r="G2761" s="1" t="str" cm="1">
        <f t="array" ref="G2761">_xlfn.XLOOKUP(D2761&amp;C2761, Sheet2!$A$2:$A$558&amp;Sheet2!$B$2:$B$558, Sheet2!$C$2:$C$558, "")</f>
        <v/>
      </c>
      <c r="H2761" s="40" t="str">
        <f t="shared" si="43"/>
        <v>lantipsaputra32@gmail.com</v>
      </c>
    </row>
    <row r="2762" spans="1:8" ht="15.5" x14ac:dyDescent="0.35">
      <c r="A2762" s="7">
        <v>2761</v>
      </c>
      <c r="B2762" s="10">
        <v>46436</v>
      </c>
      <c r="C2762" s="13" t="s">
        <v>2415</v>
      </c>
      <c r="D2762" s="10" t="s">
        <v>2853</v>
      </c>
      <c r="E2762" s="10">
        <v>2021</v>
      </c>
      <c r="F2762" s="36" t="str" cm="1">
        <f t="array" ref="F2762">_xlfn.XLOOKUP(D2762&amp;C2762, Sheet3!$C$2:$C$1224&amp;Sheet3!$B$2:$B$1224, Sheet3!$D$2:$D$1224, "")</f>
        <v>Rahmadikadandianto98@gmail.com</v>
      </c>
      <c r="G2762" s="1" t="str" cm="1">
        <f t="array" ref="G2762">_xlfn.XLOOKUP(D2762&amp;C2762, Sheet2!$A$2:$A$558&amp;Sheet2!$B$2:$B$558, Sheet2!$C$2:$C$558, "")</f>
        <v>rahmadikadandianto98@gmail.com</v>
      </c>
      <c r="H2762" s="40" t="str">
        <f t="shared" si="43"/>
        <v>Rahmadikadandianto98@gmail.com</v>
      </c>
    </row>
    <row r="2763" spans="1:8" ht="15.5" x14ac:dyDescent="0.35">
      <c r="A2763" s="7">
        <v>2762</v>
      </c>
      <c r="B2763" s="10">
        <v>46032</v>
      </c>
      <c r="C2763" s="13" t="s">
        <v>2416</v>
      </c>
      <c r="D2763" s="10" t="s">
        <v>2853</v>
      </c>
      <c r="E2763" s="10">
        <v>2021</v>
      </c>
      <c r="F2763" s="36" t="str" cm="1">
        <f t="array" ref="F2763">_xlfn.XLOOKUP(D2763&amp;C2763, Sheet3!$C$2:$C$1224&amp;Sheet3!$B$2:$B$1224, Sheet3!$D$2:$D$1224, "")</f>
        <v>damonpetersonialfiqi@gmail.com</v>
      </c>
      <c r="G2763" s="1" t="str" cm="1">
        <f t="array" ref="G2763">_xlfn.XLOOKUP(D2763&amp;C2763, Sheet2!$A$2:$A$558&amp;Sheet2!$B$2:$B$558, Sheet2!$C$2:$C$558, "")</f>
        <v>damonpetersonialfiqi@gmail.com</v>
      </c>
      <c r="H2763" s="40" t="str">
        <f t="shared" si="43"/>
        <v>damonpetersonialfiqi@gmail.com</v>
      </c>
    </row>
    <row r="2764" spans="1:8" ht="15.5" x14ac:dyDescent="0.35">
      <c r="A2764" s="7">
        <v>2763</v>
      </c>
      <c r="B2764" s="10">
        <v>46062</v>
      </c>
      <c r="C2764" s="13" t="s">
        <v>2417</v>
      </c>
      <c r="D2764" s="10" t="s">
        <v>2853</v>
      </c>
      <c r="E2764" s="10">
        <v>2021</v>
      </c>
      <c r="F2764" s="36" t="str" cm="1">
        <f t="array" ref="F2764">_xlfn.XLOOKUP(D2764&amp;C2764, Sheet3!$C$2:$C$1224&amp;Sheet3!$B$2:$B$1224, Sheet3!$D$2:$D$1224, "")</f>
        <v>vebryannn@gmail.com</v>
      </c>
      <c r="G2764" s="1" t="str" cm="1">
        <f t="array" ref="G2764">_xlfn.XLOOKUP(D2764&amp;C2764, Sheet2!$A$2:$A$558&amp;Sheet2!$B$2:$B$558, Sheet2!$C$2:$C$558, "")</f>
        <v/>
      </c>
      <c r="H2764" s="40" t="str">
        <f t="shared" si="43"/>
        <v>vebryannn@gmail.com</v>
      </c>
    </row>
    <row r="2765" spans="1:8" ht="15.5" x14ac:dyDescent="0.35">
      <c r="A2765" s="7">
        <v>2764</v>
      </c>
      <c r="B2765" s="10">
        <v>46058</v>
      </c>
      <c r="C2765" s="13" t="s">
        <v>2418</v>
      </c>
      <c r="D2765" s="10" t="s">
        <v>2853</v>
      </c>
      <c r="E2765" s="10">
        <v>2021</v>
      </c>
      <c r="F2765" s="36" t="str" cm="1">
        <f t="array" ref="F2765">_xlfn.XLOOKUP(D2765&amp;C2765, Sheet3!$C$2:$C$1224&amp;Sheet3!$B$2:$B$1224, Sheet3!$D$2:$D$1224, "")</f>
        <v/>
      </c>
      <c r="G2765" s="1" t="str" cm="1">
        <f t="array" ref="G2765">_xlfn.XLOOKUP(D2765&amp;C2765, Sheet2!$A$2:$A$558&amp;Sheet2!$B$2:$B$558, Sheet2!$C$2:$C$558, "")</f>
        <v/>
      </c>
      <c r="H2765" s="40" t="str">
        <f t="shared" si="43"/>
        <v/>
      </c>
    </row>
    <row r="2766" spans="1:8" ht="15.5" x14ac:dyDescent="0.35">
      <c r="A2766" s="7">
        <v>2765</v>
      </c>
      <c r="B2766" s="10">
        <v>45567</v>
      </c>
      <c r="C2766" s="13" t="s">
        <v>2419</v>
      </c>
      <c r="D2766" s="10" t="s">
        <v>2853</v>
      </c>
      <c r="E2766" s="10">
        <v>2021</v>
      </c>
      <c r="F2766" s="36" t="str" cm="1">
        <f t="array" ref="F2766">_xlfn.XLOOKUP(D2766&amp;C2766, Sheet3!$C$2:$C$1224&amp;Sheet3!$B$2:$B$1224, Sheet3!$D$2:$D$1224, "")</f>
        <v/>
      </c>
      <c r="G2766" s="1" t="str" cm="1">
        <f t="array" ref="G2766">_xlfn.XLOOKUP(D2766&amp;C2766, Sheet2!$A$2:$A$558&amp;Sheet2!$B$2:$B$558, Sheet2!$C$2:$C$558, "")</f>
        <v/>
      </c>
      <c r="H2766" s="40" t="str">
        <f t="shared" si="43"/>
        <v/>
      </c>
    </row>
    <row r="2767" spans="1:8" ht="15.5" x14ac:dyDescent="0.35">
      <c r="A2767" s="7">
        <v>2766</v>
      </c>
      <c r="B2767" s="10">
        <v>45586</v>
      </c>
      <c r="C2767" s="13" t="s">
        <v>2420</v>
      </c>
      <c r="D2767" s="10" t="s">
        <v>2853</v>
      </c>
      <c r="E2767" s="10">
        <v>2021</v>
      </c>
      <c r="F2767" s="36" t="str" cm="1">
        <f t="array" ref="F2767">_xlfn.XLOOKUP(D2767&amp;C2767, Sheet3!$C$2:$C$1224&amp;Sheet3!$B$2:$B$1224, Sheet3!$D$2:$D$1224, "")</f>
        <v/>
      </c>
      <c r="G2767" s="1" t="str" cm="1">
        <f t="array" ref="G2767">_xlfn.XLOOKUP(D2767&amp;C2767, Sheet2!$A$2:$A$558&amp;Sheet2!$B$2:$B$558, Sheet2!$C$2:$C$558, "")</f>
        <v/>
      </c>
      <c r="H2767" s="40" t="str">
        <f t="shared" si="43"/>
        <v/>
      </c>
    </row>
    <row r="2768" spans="1:8" ht="15.5" x14ac:dyDescent="0.35">
      <c r="A2768" s="7">
        <v>2767</v>
      </c>
      <c r="B2768" s="10">
        <v>45552</v>
      </c>
      <c r="C2768" s="13" t="s">
        <v>2421</v>
      </c>
      <c r="D2768" s="10" t="s">
        <v>2853</v>
      </c>
      <c r="E2768" s="10">
        <v>2021</v>
      </c>
      <c r="F2768" s="36" t="str" cm="1">
        <f t="array" ref="F2768">_xlfn.XLOOKUP(D2768&amp;C2768, Sheet3!$C$2:$C$1224&amp;Sheet3!$B$2:$B$1224, Sheet3!$D$2:$D$1224, "")</f>
        <v>Abdul.hafish@gmail.com</v>
      </c>
      <c r="G2768" s="1" t="str" cm="1">
        <f t="array" ref="G2768">_xlfn.XLOOKUP(D2768&amp;C2768, Sheet2!$A$2:$A$558&amp;Sheet2!$B$2:$B$558, Sheet2!$C$2:$C$558, "")</f>
        <v/>
      </c>
      <c r="H2768" s="40" t="str">
        <f t="shared" si="43"/>
        <v>Abdul.hafish@gmail.com</v>
      </c>
    </row>
    <row r="2769" spans="1:8" ht="15.5" x14ac:dyDescent="0.35">
      <c r="A2769" s="7">
        <v>2768</v>
      </c>
      <c r="B2769" s="10">
        <v>46421</v>
      </c>
      <c r="C2769" s="13" t="s">
        <v>2422</v>
      </c>
      <c r="D2769" s="10" t="s">
        <v>2853</v>
      </c>
      <c r="E2769" s="10">
        <v>2021</v>
      </c>
      <c r="F2769" s="36" t="str" cm="1">
        <f t="array" ref="F2769">_xlfn.XLOOKUP(D2769&amp;C2769, Sheet3!$C$2:$C$1224&amp;Sheet3!$B$2:$B$1224, Sheet3!$D$2:$D$1224, "")</f>
        <v/>
      </c>
      <c r="G2769" s="1" t="str" cm="1">
        <f t="array" ref="G2769">_xlfn.XLOOKUP(D2769&amp;C2769, Sheet2!$A$2:$A$558&amp;Sheet2!$B$2:$B$558, Sheet2!$C$2:$C$558, "")</f>
        <v>abdurrohmanrizal25@gmail.com</v>
      </c>
      <c r="H2769" s="40" t="str">
        <f t="shared" si="43"/>
        <v>abdurrohmanrizal25@gmail.com</v>
      </c>
    </row>
    <row r="2770" spans="1:8" ht="15.5" x14ac:dyDescent="0.35">
      <c r="A2770" s="7">
        <v>2769</v>
      </c>
      <c r="B2770" s="10">
        <v>46059</v>
      </c>
      <c r="C2770" s="13" t="s">
        <v>2423</v>
      </c>
      <c r="D2770" s="10" t="s">
        <v>2853</v>
      </c>
      <c r="E2770" s="10">
        <v>2021</v>
      </c>
      <c r="F2770" s="36" t="str" cm="1">
        <f t="array" ref="F2770">_xlfn.XLOOKUP(D2770&amp;C2770, Sheet3!$C$2:$C$1224&amp;Sheet3!$B$2:$B$1224, Sheet3!$D$2:$D$1224, "")</f>
        <v>priyoarifsadewo@gmail.com</v>
      </c>
      <c r="G2770" s="1" t="str" cm="1">
        <f t="array" ref="G2770">_xlfn.XLOOKUP(D2770&amp;C2770, Sheet2!$A$2:$A$558&amp;Sheet2!$B$2:$B$558, Sheet2!$C$2:$C$558, "")</f>
        <v/>
      </c>
      <c r="H2770" s="40" t="str">
        <f t="shared" si="43"/>
        <v>priyoarifsadewo@gmail.com</v>
      </c>
    </row>
    <row r="2771" spans="1:8" ht="15.5" x14ac:dyDescent="0.35">
      <c r="A2771" s="7">
        <v>2770</v>
      </c>
      <c r="B2771" s="10">
        <v>46023</v>
      </c>
      <c r="C2771" s="13" t="s">
        <v>2424</v>
      </c>
      <c r="D2771" s="10" t="s">
        <v>2853</v>
      </c>
      <c r="E2771" s="10">
        <v>2021</v>
      </c>
      <c r="F2771" s="36" t="str" cm="1">
        <f t="array" ref="F2771">_xlfn.XLOOKUP(D2771&amp;C2771, Sheet3!$C$2:$C$1224&amp;Sheet3!$B$2:$B$1224, Sheet3!$D$2:$D$1224, "")</f>
        <v/>
      </c>
      <c r="G2771" s="1" t="str" cm="1">
        <f t="array" ref="G2771">_xlfn.XLOOKUP(D2771&amp;C2771, Sheet2!$A$2:$A$558&amp;Sheet2!$B$2:$B$558, Sheet2!$C$2:$C$558, "")</f>
        <v/>
      </c>
      <c r="H2771" s="40" t="str">
        <f t="shared" si="43"/>
        <v/>
      </c>
    </row>
    <row r="2772" spans="1:8" ht="15.5" x14ac:dyDescent="0.35">
      <c r="A2772" s="7">
        <v>2771</v>
      </c>
      <c r="B2772" s="10"/>
      <c r="C2772" s="13" t="s">
        <v>2425</v>
      </c>
      <c r="D2772" s="10" t="s">
        <v>2853</v>
      </c>
      <c r="E2772" s="10">
        <v>2021</v>
      </c>
      <c r="F2772" s="36" t="str" cm="1">
        <f t="array" ref="F2772">_xlfn.XLOOKUP(D2772&amp;C2772, Sheet3!$C$2:$C$1224&amp;Sheet3!$B$2:$B$1224, Sheet3!$D$2:$D$1224, "")</f>
        <v/>
      </c>
      <c r="G2772" s="1" t="str" cm="1">
        <f t="array" ref="G2772">_xlfn.XLOOKUP(D2772&amp;C2772, Sheet2!$A$2:$A$558&amp;Sheet2!$B$2:$B$558, Sheet2!$C$2:$C$558, "")</f>
        <v/>
      </c>
      <c r="H2772" s="40" t="str">
        <f t="shared" si="43"/>
        <v/>
      </c>
    </row>
    <row r="2773" spans="1:8" ht="15.5" x14ac:dyDescent="0.35">
      <c r="A2773" s="7">
        <v>2772</v>
      </c>
      <c r="B2773" s="10">
        <v>46041</v>
      </c>
      <c r="C2773" s="13" t="s">
        <v>2426</v>
      </c>
      <c r="D2773" s="10" t="s">
        <v>2853</v>
      </c>
      <c r="E2773" s="10">
        <v>2021</v>
      </c>
      <c r="F2773" s="36" t="str" cm="1">
        <f t="array" ref="F2773">_xlfn.XLOOKUP(D2773&amp;C2773, Sheet3!$C$2:$C$1224&amp;Sheet3!$B$2:$B$1224, Sheet3!$D$2:$D$1224, "")</f>
        <v/>
      </c>
      <c r="G2773" s="1" t="str" cm="1">
        <f t="array" ref="G2773">_xlfn.XLOOKUP(D2773&amp;C2773, Sheet2!$A$2:$A$558&amp;Sheet2!$B$2:$B$558, Sheet2!$C$2:$C$558, "")</f>
        <v/>
      </c>
      <c r="H2773" s="40" t="str">
        <f t="shared" si="43"/>
        <v/>
      </c>
    </row>
    <row r="2774" spans="1:8" ht="15.5" x14ac:dyDescent="0.35">
      <c r="A2774" s="7">
        <v>2773</v>
      </c>
      <c r="B2774" s="10">
        <v>45576</v>
      </c>
      <c r="C2774" s="13" t="s">
        <v>2427</v>
      </c>
      <c r="D2774" s="10" t="s">
        <v>2853</v>
      </c>
      <c r="E2774" s="10">
        <v>2021</v>
      </c>
      <c r="F2774" s="36" t="str" cm="1">
        <f t="array" ref="F2774">_xlfn.XLOOKUP(D2774&amp;C2774, Sheet3!$C$2:$C$1224&amp;Sheet3!$B$2:$B$1224, Sheet3!$D$2:$D$1224, "")</f>
        <v>ipimpngsaa@gmail.com</v>
      </c>
      <c r="G2774" s="1" t="str" cm="1">
        <f t="array" ref="G2774">_xlfn.XLOOKUP(D2774&amp;C2774, Sheet2!$A$2:$A$558&amp;Sheet2!$B$2:$B$558, Sheet2!$C$2:$C$558, "")</f>
        <v/>
      </c>
      <c r="H2774" s="40" t="str">
        <f t="shared" si="43"/>
        <v>ipimpngsaa@gmail.com</v>
      </c>
    </row>
    <row r="2775" spans="1:8" ht="15.5" x14ac:dyDescent="0.35">
      <c r="A2775" s="7">
        <v>2774</v>
      </c>
      <c r="B2775" s="10">
        <v>42820</v>
      </c>
      <c r="C2775" s="13" t="s">
        <v>2428</v>
      </c>
      <c r="D2775" s="10" t="s">
        <v>2851</v>
      </c>
      <c r="E2775" s="10">
        <v>2021</v>
      </c>
      <c r="F2775" s="36" t="str" cm="1">
        <f t="array" ref="F2775">_xlfn.XLOOKUP(D2775&amp;C2775, Sheet3!$C$2:$C$1224&amp;Sheet3!$B$2:$B$1224, Sheet3!$D$2:$D$1224, "")</f>
        <v>permatabellaayu@gmail.com</v>
      </c>
      <c r="G2775" s="1" t="str" cm="1">
        <f t="array" ref="G2775">_xlfn.XLOOKUP(D2775&amp;C2775, Sheet2!$A$2:$A$558&amp;Sheet2!$B$2:$B$558, Sheet2!$C$2:$C$558, "")</f>
        <v/>
      </c>
      <c r="H2775" s="40" t="str">
        <f t="shared" si="43"/>
        <v>permatabellaayu@gmail.com</v>
      </c>
    </row>
    <row r="2776" spans="1:8" ht="15.5" x14ac:dyDescent="0.35">
      <c r="A2776" s="7">
        <v>2775</v>
      </c>
      <c r="B2776" s="10">
        <v>46035</v>
      </c>
      <c r="C2776" s="13" t="s">
        <v>2429</v>
      </c>
      <c r="D2776" s="10" t="s">
        <v>2853</v>
      </c>
      <c r="E2776" s="10">
        <v>2021</v>
      </c>
      <c r="F2776" s="36" t="str" cm="1">
        <f t="array" ref="F2776">_xlfn.XLOOKUP(D2776&amp;C2776, Sheet3!$C$2:$C$1224&amp;Sheet3!$B$2:$B$1224, Sheet3!$D$2:$D$1224, "")</f>
        <v/>
      </c>
      <c r="G2776" s="1" t="str" cm="1">
        <f t="array" ref="G2776">_xlfn.XLOOKUP(D2776&amp;C2776, Sheet2!$A$2:$A$558&amp;Sheet2!$B$2:$B$558, Sheet2!$C$2:$C$558, "")</f>
        <v/>
      </c>
      <c r="H2776" s="40" t="str">
        <f t="shared" si="43"/>
        <v/>
      </c>
    </row>
    <row r="2777" spans="1:8" ht="15.5" x14ac:dyDescent="0.35">
      <c r="A2777" s="7">
        <v>2776</v>
      </c>
      <c r="B2777" s="10">
        <v>46019</v>
      </c>
      <c r="C2777" s="13" t="s">
        <v>2430</v>
      </c>
      <c r="D2777" s="10" t="s">
        <v>2853</v>
      </c>
      <c r="E2777" s="10">
        <v>2021</v>
      </c>
      <c r="F2777" s="36" t="str" cm="1">
        <f t="array" ref="F2777">_xlfn.XLOOKUP(D2777&amp;C2777, Sheet3!$C$2:$C$1224&amp;Sheet3!$B$2:$B$1224, Sheet3!$D$2:$D$1224, "")</f>
        <v>nurcahyoadi00@gmail.com</v>
      </c>
      <c r="G2777" s="1" t="str" cm="1">
        <f t="array" ref="G2777">_xlfn.XLOOKUP(D2777&amp;C2777, Sheet2!$A$2:$A$558&amp;Sheet2!$B$2:$B$558, Sheet2!$C$2:$C$558, "")</f>
        <v/>
      </c>
      <c r="H2777" s="40" t="str">
        <f t="shared" si="43"/>
        <v>nurcahyoadi00@gmail.com</v>
      </c>
    </row>
    <row r="2778" spans="1:8" ht="15.5" x14ac:dyDescent="0.35">
      <c r="A2778" s="7">
        <v>2777</v>
      </c>
      <c r="B2778" s="10">
        <v>45858</v>
      </c>
      <c r="C2778" s="13" t="s">
        <v>2431</v>
      </c>
      <c r="D2778" s="10" t="s">
        <v>2853</v>
      </c>
      <c r="E2778" s="10">
        <v>2021</v>
      </c>
      <c r="F2778" s="36" t="str" cm="1">
        <f t="array" ref="F2778">_xlfn.XLOOKUP(D2778&amp;C2778, Sheet3!$C$2:$C$1224&amp;Sheet3!$B$2:$B$1224, Sheet3!$D$2:$D$1224, "")</f>
        <v/>
      </c>
      <c r="G2778" s="1" t="str" cm="1">
        <f t="array" ref="G2778">_xlfn.XLOOKUP(D2778&amp;C2778, Sheet2!$A$2:$A$558&amp;Sheet2!$B$2:$B$558, Sheet2!$C$2:$C$558, "")</f>
        <v/>
      </c>
      <c r="H2778" s="40" t="str">
        <f t="shared" si="43"/>
        <v/>
      </c>
    </row>
    <row r="2779" spans="1:8" ht="15.5" x14ac:dyDescent="0.35">
      <c r="A2779" s="7">
        <v>2778</v>
      </c>
      <c r="B2779" s="10">
        <v>45559</v>
      </c>
      <c r="C2779" s="13" t="s">
        <v>2432</v>
      </c>
      <c r="D2779" s="10" t="s">
        <v>2853</v>
      </c>
      <c r="E2779" s="10">
        <v>2021</v>
      </c>
      <c r="F2779" s="36" t="str" cm="1">
        <f t="array" ref="F2779">_xlfn.XLOOKUP(D2779&amp;C2779, Sheet3!$C$2:$C$1224&amp;Sheet3!$B$2:$B$1224, Sheet3!$D$2:$D$1224, "")</f>
        <v>berlianaadindap@gmail.com</v>
      </c>
      <c r="G2779" s="1" t="str" cm="1">
        <f t="array" ref="G2779">_xlfn.XLOOKUP(D2779&amp;C2779, Sheet2!$A$2:$A$558&amp;Sheet2!$B$2:$B$558, Sheet2!$C$2:$C$558, "")</f>
        <v/>
      </c>
      <c r="H2779" s="40" t="str">
        <f t="shared" si="43"/>
        <v>berlianaadindap@gmail.com</v>
      </c>
    </row>
    <row r="2780" spans="1:8" ht="15.5" x14ac:dyDescent="0.35">
      <c r="A2780" s="7">
        <v>2779</v>
      </c>
      <c r="B2780" s="10">
        <v>46039</v>
      </c>
      <c r="C2780" s="13" t="s">
        <v>2433</v>
      </c>
      <c r="D2780" s="10" t="s">
        <v>2853</v>
      </c>
      <c r="E2780" s="10">
        <v>2021</v>
      </c>
      <c r="F2780" s="36" t="str" cm="1">
        <f t="array" ref="F2780">_xlfn.XLOOKUP(D2780&amp;C2780, Sheet3!$C$2:$C$1224&amp;Sheet3!$B$2:$B$1224, Sheet3!$D$2:$D$1224, "")</f>
        <v/>
      </c>
      <c r="G2780" s="1" t="str" cm="1">
        <f t="array" ref="G2780">_xlfn.XLOOKUP(D2780&amp;C2780, Sheet2!$A$2:$A$558&amp;Sheet2!$B$2:$B$558, Sheet2!$C$2:$C$558, "")</f>
        <v/>
      </c>
      <c r="H2780" s="40" t="str">
        <f t="shared" si="43"/>
        <v/>
      </c>
    </row>
    <row r="2781" spans="1:8" ht="15.5" x14ac:dyDescent="0.35">
      <c r="A2781" s="7">
        <v>2780</v>
      </c>
      <c r="B2781" s="10">
        <v>44995</v>
      </c>
      <c r="C2781" s="13" t="s">
        <v>2434</v>
      </c>
      <c r="D2781" s="10" t="s">
        <v>2852</v>
      </c>
      <c r="E2781" s="10">
        <v>2021</v>
      </c>
      <c r="F2781" s="36" t="str" cm="1">
        <f t="array" ref="F2781">_xlfn.XLOOKUP(D2781&amp;C2781, Sheet3!$C$2:$C$1224&amp;Sheet3!$B$2:$B$1224, Sheet3!$D$2:$D$1224, "")</f>
        <v/>
      </c>
      <c r="G2781" s="1" t="str" cm="1">
        <f t="array" ref="G2781">_xlfn.XLOOKUP(D2781&amp;C2781, Sheet2!$A$2:$A$558&amp;Sheet2!$B$2:$B$558, Sheet2!$C$2:$C$558, "")</f>
        <v/>
      </c>
      <c r="H2781" s="40" t="str">
        <f t="shared" si="43"/>
        <v/>
      </c>
    </row>
    <row r="2782" spans="1:8" ht="15.5" x14ac:dyDescent="0.35">
      <c r="A2782" s="7">
        <v>2781</v>
      </c>
      <c r="B2782" s="10">
        <v>45554</v>
      </c>
      <c r="C2782" s="13" t="s">
        <v>2435</v>
      </c>
      <c r="D2782" s="10" t="s">
        <v>2853</v>
      </c>
      <c r="E2782" s="10">
        <v>2021</v>
      </c>
      <c r="F2782" s="36" t="str" cm="1">
        <f t="array" ref="F2782">_xlfn.XLOOKUP(D2782&amp;C2782, Sheet3!$C$2:$C$1224&amp;Sheet3!$B$2:$B$1224, Sheet3!$D$2:$D$1224, "")</f>
        <v>adita.kusuma@gmail.com</v>
      </c>
      <c r="G2782" s="1" t="str" cm="1">
        <f t="array" ref="G2782">_xlfn.XLOOKUP(D2782&amp;C2782, Sheet2!$A$2:$A$558&amp;Sheet2!$B$2:$B$558, Sheet2!$C$2:$C$558, "")</f>
        <v/>
      </c>
      <c r="H2782" s="40" t="str">
        <f t="shared" si="43"/>
        <v>adita.kusuma@gmail.com</v>
      </c>
    </row>
    <row r="2783" spans="1:8" ht="15.5" x14ac:dyDescent="0.35">
      <c r="A2783" s="7">
        <v>2782</v>
      </c>
      <c r="B2783" s="10">
        <v>44996</v>
      </c>
      <c r="C2783" s="13" t="s">
        <v>3179</v>
      </c>
      <c r="D2783" s="10" t="s">
        <v>2852</v>
      </c>
      <c r="E2783" s="10">
        <v>2021</v>
      </c>
      <c r="F2783" s="36" t="str" cm="1">
        <f t="array" ref="F2783">_xlfn.XLOOKUP(D2783&amp;C2783, Sheet3!$C$2:$C$1224&amp;Sheet3!$B$2:$B$1224, Sheet3!$D$2:$D$1224, "")</f>
        <v>f.lugas@mail.ugm.ac.id</v>
      </c>
      <c r="G2783" s="1" t="str" cm="1">
        <f t="array" ref="G2783">_xlfn.XLOOKUP(D2783&amp;C2783, Sheet2!$A$2:$A$558&amp;Sheet2!$B$2:$B$558, Sheet2!$C$2:$C$558, "")</f>
        <v/>
      </c>
      <c r="H2783" s="40" t="str">
        <f t="shared" si="43"/>
        <v>f.lugas@mail.ugm.ac.id</v>
      </c>
    </row>
    <row r="2784" spans="1:8" ht="15.5" x14ac:dyDescent="0.35">
      <c r="A2784" s="7">
        <v>2783</v>
      </c>
      <c r="B2784" s="10">
        <v>46036</v>
      </c>
      <c r="C2784" s="13" t="s">
        <v>2437</v>
      </c>
      <c r="D2784" s="10" t="s">
        <v>2853</v>
      </c>
      <c r="E2784" s="10">
        <v>2021</v>
      </c>
      <c r="F2784" s="36" t="str" cm="1">
        <f t="array" ref="F2784">_xlfn.XLOOKUP(D2784&amp;C2784, Sheet3!$C$2:$C$1224&amp;Sheet3!$B$2:$B$1224, Sheet3!$D$2:$D$1224, "")</f>
        <v>dindaamar1998@gmail.com</v>
      </c>
      <c r="G2784" s="1" t="str" cm="1">
        <f t="array" ref="G2784">_xlfn.XLOOKUP(D2784&amp;C2784, Sheet2!$A$2:$A$558&amp;Sheet2!$B$2:$B$558, Sheet2!$C$2:$C$558, "")</f>
        <v/>
      </c>
      <c r="H2784" s="40" t="str">
        <f t="shared" si="43"/>
        <v>dindaamar1998@gmail.com</v>
      </c>
    </row>
    <row r="2785" spans="1:8" ht="15.5" x14ac:dyDescent="0.35">
      <c r="A2785" s="7">
        <v>2784</v>
      </c>
      <c r="B2785" s="10">
        <v>45574</v>
      </c>
      <c r="C2785" s="13" t="s">
        <v>2438</v>
      </c>
      <c r="D2785" s="10" t="s">
        <v>2853</v>
      </c>
      <c r="E2785" s="10">
        <v>2021</v>
      </c>
      <c r="F2785" s="36" t="str" cm="1">
        <f t="array" ref="F2785">_xlfn.XLOOKUP(D2785&amp;C2785, Sheet3!$C$2:$C$1224&amp;Sheet3!$B$2:$B$1224, Sheet3!$D$2:$D$1224, "")</f>
        <v>ninditashita@gmail.com</v>
      </c>
      <c r="G2785" s="1" t="str" cm="1">
        <f t="array" ref="G2785">_xlfn.XLOOKUP(D2785&amp;C2785, Sheet2!$A$2:$A$558&amp;Sheet2!$B$2:$B$558, Sheet2!$C$2:$C$558, "")</f>
        <v/>
      </c>
      <c r="H2785" s="40" t="str">
        <f t="shared" si="43"/>
        <v>ninditashita@gmail.com</v>
      </c>
    </row>
    <row r="2786" spans="1:8" ht="15.5" x14ac:dyDescent="0.35">
      <c r="A2786" s="7">
        <v>2785</v>
      </c>
      <c r="B2786" s="10">
        <v>46040</v>
      </c>
      <c r="C2786" s="13" t="s">
        <v>2439</v>
      </c>
      <c r="D2786" s="10" t="s">
        <v>2853</v>
      </c>
      <c r="E2786" s="10">
        <v>2021</v>
      </c>
      <c r="F2786" s="36" t="str" cm="1">
        <f t="array" ref="F2786">_xlfn.XLOOKUP(D2786&amp;C2786, Sheet3!$C$2:$C$1224&amp;Sheet3!$B$2:$B$1224, Sheet3!$D$2:$D$1224, "")</f>
        <v>faishalf014@gmail.com</v>
      </c>
      <c r="G2786" s="1" t="str" cm="1">
        <f t="array" ref="G2786">_xlfn.XLOOKUP(D2786&amp;C2786, Sheet2!$A$2:$A$558&amp;Sheet2!$B$2:$B$558, Sheet2!$C$2:$C$558, "")</f>
        <v>faishalf014@gmail.com</v>
      </c>
      <c r="H2786" s="40" t="str">
        <f t="shared" si="43"/>
        <v>faishalf014@gmail.com</v>
      </c>
    </row>
    <row r="2787" spans="1:8" ht="15.5" x14ac:dyDescent="0.35">
      <c r="A2787" s="7">
        <v>2786</v>
      </c>
      <c r="B2787" s="10">
        <v>46440</v>
      </c>
      <c r="C2787" s="13" t="s">
        <v>2440</v>
      </c>
      <c r="D2787" s="10" t="s">
        <v>2853</v>
      </c>
      <c r="E2787" s="10">
        <v>2021</v>
      </c>
      <c r="F2787" s="36" t="str" cm="1">
        <f t="array" ref="F2787">_xlfn.XLOOKUP(D2787&amp;C2787, Sheet3!$C$2:$C$1224&amp;Sheet3!$B$2:$B$1224, Sheet3!$D$2:$D$1224, "")</f>
        <v>xxrohmat@gmail.com</v>
      </c>
      <c r="G2787" s="1" t="str" cm="1">
        <f t="array" ref="G2787">_xlfn.XLOOKUP(D2787&amp;C2787, Sheet2!$A$2:$A$558&amp;Sheet2!$B$2:$B$558, Sheet2!$C$2:$C$558, "")</f>
        <v/>
      </c>
      <c r="H2787" s="40" t="str">
        <f t="shared" si="43"/>
        <v>xxrohmat@gmail.com</v>
      </c>
    </row>
    <row r="2788" spans="1:8" ht="15.5" x14ac:dyDescent="0.35">
      <c r="A2788" s="7">
        <v>2787</v>
      </c>
      <c r="B2788" s="10">
        <v>46429</v>
      </c>
      <c r="C2788" s="13" t="s">
        <v>2441</v>
      </c>
      <c r="D2788" s="10" t="s">
        <v>2853</v>
      </c>
      <c r="E2788" s="10">
        <v>2021</v>
      </c>
      <c r="F2788" s="36" t="str" cm="1">
        <f t="array" ref="F2788">_xlfn.XLOOKUP(D2788&amp;C2788, Sheet3!$C$2:$C$1224&amp;Sheet3!$B$2:$B$1224, Sheet3!$D$2:$D$1224, "")</f>
        <v/>
      </c>
      <c r="G2788" s="1" t="str" cm="1">
        <f t="array" ref="G2788">_xlfn.XLOOKUP(D2788&amp;C2788, Sheet2!$A$2:$A$558&amp;Sheet2!$B$2:$B$558, Sheet2!$C$2:$C$558, "")</f>
        <v/>
      </c>
      <c r="H2788" s="40" t="str">
        <f t="shared" si="43"/>
        <v/>
      </c>
    </row>
    <row r="2789" spans="1:8" ht="15.5" x14ac:dyDescent="0.35">
      <c r="A2789" s="7">
        <v>2788</v>
      </c>
      <c r="B2789" s="10">
        <v>46424</v>
      </c>
      <c r="C2789" s="13" t="s">
        <v>2442</v>
      </c>
      <c r="D2789" s="10" t="s">
        <v>2853</v>
      </c>
      <c r="E2789" s="10">
        <v>2021</v>
      </c>
      <c r="F2789" s="36" t="str" cm="1">
        <f t="array" ref="F2789">_xlfn.XLOOKUP(D2789&amp;C2789, Sheet3!$C$2:$C$1224&amp;Sheet3!$B$2:$B$1224, Sheet3!$D$2:$D$1224, "")</f>
        <v/>
      </c>
      <c r="G2789" s="1" t="str" cm="1">
        <f t="array" ref="G2789">_xlfn.XLOOKUP(D2789&amp;C2789, Sheet2!$A$2:$A$558&amp;Sheet2!$B$2:$B$558, Sheet2!$C$2:$C$558, "")</f>
        <v>akram.prihanantya@gmail.com</v>
      </c>
      <c r="H2789" s="40" t="str">
        <f t="shared" si="43"/>
        <v>akram.prihanantya@gmail.com</v>
      </c>
    </row>
    <row r="2790" spans="1:8" ht="15.5" x14ac:dyDescent="0.35">
      <c r="A2790" s="7">
        <v>2789</v>
      </c>
      <c r="B2790" s="10">
        <v>45583</v>
      </c>
      <c r="C2790" s="13" t="s">
        <v>2443</v>
      </c>
      <c r="D2790" s="10" t="s">
        <v>2853</v>
      </c>
      <c r="E2790" s="10">
        <v>2021</v>
      </c>
      <c r="F2790" s="36" t="str" cm="1">
        <f t="array" ref="F2790">_xlfn.XLOOKUP(D2790&amp;C2790, Sheet3!$C$2:$C$1224&amp;Sheet3!$B$2:$B$1224, Sheet3!$D$2:$D$1224, "")</f>
        <v/>
      </c>
      <c r="G2790" s="1" t="str" cm="1">
        <f t="array" ref="G2790">_xlfn.XLOOKUP(D2790&amp;C2790, Sheet2!$A$2:$A$558&amp;Sheet2!$B$2:$B$558, Sheet2!$C$2:$C$558, "")</f>
        <v/>
      </c>
      <c r="H2790" s="40" t="str">
        <f t="shared" si="43"/>
        <v/>
      </c>
    </row>
    <row r="2791" spans="1:8" ht="15.5" x14ac:dyDescent="0.35">
      <c r="A2791" s="7">
        <v>2790</v>
      </c>
      <c r="B2791" s="10">
        <v>46437</v>
      </c>
      <c r="C2791" s="13" t="s">
        <v>2444</v>
      </c>
      <c r="D2791" s="10" t="s">
        <v>2853</v>
      </c>
      <c r="E2791" s="10">
        <v>2021</v>
      </c>
      <c r="F2791" s="36" t="str" cm="1">
        <f t="array" ref="F2791">_xlfn.XLOOKUP(D2791&amp;C2791, Sheet3!$C$2:$C$1224&amp;Sheet3!$B$2:$B$1224, Sheet3!$D$2:$D$1224, "")</f>
        <v/>
      </c>
      <c r="G2791" s="1" t="str" cm="1">
        <f t="array" ref="G2791">_xlfn.XLOOKUP(D2791&amp;C2791, Sheet2!$A$2:$A$558&amp;Sheet2!$B$2:$B$558, Sheet2!$C$2:$C$558, "")</f>
        <v/>
      </c>
      <c r="H2791" s="40" t="str">
        <f t="shared" si="43"/>
        <v/>
      </c>
    </row>
    <row r="2792" spans="1:8" ht="15.5" x14ac:dyDescent="0.35">
      <c r="A2792" s="7">
        <v>2791</v>
      </c>
      <c r="B2792" s="10">
        <v>46051</v>
      </c>
      <c r="C2792" s="13" t="s">
        <v>2445</v>
      </c>
      <c r="D2792" s="10" t="s">
        <v>2853</v>
      </c>
      <c r="E2792" s="10">
        <v>2021</v>
      </c>
      <c r="F2792" s="36" t="str" cm="1">
        <f t="array" ref="F2792">_xlfn.XLOOKUP(D2792&amp;C2792, Sheet3!$C$2:$C$1224&amp;Sheet3!$B$2:$B$1224, Sheet3!$D$2:$D$1224, "")</f>
        <v/>
      </c>
      <c r="G2792" s="1" t="str" cm="1">
        <f t="array" ref="G2792">_xlfn.XLOOKUP(D2792&amp;C2792, Sheet2!$A$2:$A$558&amp;Sheet2!$B$2:$B$558, Sheet2!$C$2:$C$558, "")</f>
        <v>gustafmuhammad99@gmail.com</v>
      </c>
      <c r="H2792" s="40" t="str">
        <f t="shared" si="43"/>
        <v>gustafmuhammad99@gmail.com</v>
      </c>
    </row>
    <row r="2793" spans="1:8" ht="15.5" x14ac:dyDescent="0.35">
      <c r="A2793" s="7">
        <v>2792</v>
      </c>
      <c r="B2793" s="10">
        <v>46042</v>
      </c>
      <c r="C2793" s="13" t="s">
        <v>2446</v>
      </c>
      <c r="D2793" s="10" t="s">
        <v>2853</v>
      </c>
      <c r="E2793" s="10">
        <v>2021</v>
      </c>
      <c r="F2793" s="36" t="str" cm="1">
        <f t="array" ref="F2793">_xlfn.XLOOKUP(D2793&amp;C2793, Sheet3!$C$2:$C$1224&amp;Sheet3!$B$2:$B$1224, Sheet3!$D$2:$D$1224, "")</f>
        <v/>
      </c>
      <c r="G2793" s="1" t="str" cm="1">
        <f t="array" ref="G2793">_xlfn.XLOOKUP(D2793&amp;C2793, Sheet2!$A$2:$A$558&amp;Sheet2!$B$2:$B$558, Sheet2!$C$2:$C$558, "")</f>
        <v>ivanmarcelino74@gmail.com</v>
      </c>
      <c r="H2793" s="40" t="str">
        <f t="shared" si="43"/>
        <v>ivanmarcelino74@gmail.com</v>
      </c>
    </row>
    <row r="2794" spans="1:8" ht="15.5" x14ac:dyDescent="0.35">
      <c r="A2794" s="7">
        <v>2793</v>
      </c>
      <c r="B2794" s="10">
        <v>45578</v>
      </c>
      <c r="C2794" s="13" t="s">
        <v>2447</v>
      </c>
      <c r="D2794" s="10" t="s">
        <v>2853</v>
      </c>
      <c r="E2794" s="10">
        <v>2021</v>
      </c>
      <c r="F2794" s="36" t="str" cm="1">
        <f t="array" ref="F2794">_xlfn.XLOOKUP(D2794&amp;C2794, Sheet3!$C$2:$C$1224&amp;Sheet3!$B$2:$B$1224, Sheet3!$D$2:$D$1224, "")</f>
        <v/>
      </c>
      <c r="G2794" s="1" t="str" cm="1">
        <f t="array" ref="G2794">_xlfn.XLOOKUP(D2794&amp;C2794, Sheet2!$A$2:$A$558&amp;Sheet2!$B$2:$B$558, Sheet2!$C$2:$C$558, "")</f>
        <v/>
      </c>
      <c r="H2794" s="40" t="str">
        <f t="shared" si="43"/>
        <v/>
      </c>
    </row>
    <row r="2795" spans="1:8" ht="15.5" x14ac:dyDescent="0.35">
      <c r="A2795" s="7">
        <v>2794</v>
      </c>
      <c r="B2795" s="10">
        <v>45556</v>
      </c>
      <c r="C2795" s="13" t="s">
        <v>2448</v>
      </c>
      <c r="D2795" s="10" t="s">
        <v>2853</v>
      </c>
      <c r="E2795" s="10">
        <v>2021</v>
      </c>
      <c r="F2795" s="36" t="str" cm="1">
        <f t="array" ref="F2795">_xlfn.XLOOKUP(D2795&amp;C2795, Sheet3!$C$2:$C$1224&amp;Sheet3!$B$2:$B$1224, Sheet3!$D$2:$D$1224, "")</f>
        <v/>
      </c>
      <c r="G2795" s="1" t="str" cm="1">
        <f t="array" ref="G2795">_xlfn.XLOOKUP(D2795&amp;C2795, Sheet2!$A$2:$A$558&amp;Sheet2!$B$2:$B$558, Sheet2!$C$2:$C$558, "")</f>
        <v/>
      </c>
      <c r="H2795" s="40" t="str">
        <f t="shared" si="43"/>
        <v/>
      </c>
    </row>
    <row r="2796" spans="1:8" ht="15.5" x14ac:dyDescent="0.35">
      <c r="A2796" s="7">
        <v>2795</v>
      </c>
      <c r="B2796" s="10">
        <v>43674</v>
      </c>
      <c r="C2796" s="13" t="s">
        <v>2449</v>
      </c>
      <c r="D2796" s="10" t="s">
        <v>2851</v>
      </c>
      <c r="E2796" s="10">
        <v>2021</v>
      </c>
      <c r="F2796" s="36" t="str" cm="1">
        <f t="array" ref="F2796">_xlfn.XLOOKUP(D2796&amp;C2796, Sheet3!$C$2:$C$1224&amp;Sheet3!$B$2:$B$1224, Sheet3!$D$2:$D$1224, "")</f>
        <v/>
      </c>
      <c r="G2796" s="1" t="str" cm="1">
        <f t="array" ref="G2796">_xlfn.XLOOKUP(D2796&amp;C2796, Sheet2!$A$2:$A$558&amp;Sheet2!$B$2:$B$558, Sheet2!$C$2:$C$558, "")</f>
        <v/>
      </c>
      <c r="H2796" s="40" t="str">
        <f t="shared" si="43"/>
        <v/>
      </c>
    </row>
    <row r="2797" spans="1:8" ht="15.5" x14ac:dyDescent="0.35">
      <c r="A2797" s="7">
        <v>2796</v>
      </c>
      <c r="B2797" s="10">
        <v>46048</v>
      </c>
      <c r="C2797" s="13" t="s">
        <v>2450</v>
      </c>
      <c r="D2797" s="10" t="s">
        <v>2853</v>
      </c>
      <c r="E2797" s="10">
        <v>2021</v>
      </c>
      <c r="F2797" s="36" t="str" cm="1">
        <f t="array" ref="F2797">_xlfn.XLOOKUP(D2797&amp;C2797, Sheet3!$C$2:$C$1224&amp;Sheet3!$B$2:$B$1224, Sheet3!$D$2:$D$1224, "")</f>
        <v>mahasinraihanf@gmail.com</v>
      </c>
      <c r="G2797" s="1" t="str" cm="1">
        <f t="array" ref="G2797">_xlfn.XLOOKUP(D2797&amp;C2797, Sheet2!$A$2:$A$558&amp;Sheet2!$B$2:$B$558, Sheet2!$C$2:$C$558, "")</f>
        <v/>
      </c>
      <c r="H2797" s="40" t="str">
        <f t="shared" si="43"/>
        <v>mahasinraihanf@gmail.com</v>
      </c>
    </row>
    <row r="2798" spans="1:8" ht="15.5" x14ac:dyDescent="0.35">
      <c r="A2798" s="7">
        <v>2797</v>
      </c>
      <c r="B2798" s="10">
        <v>43684</v>
      </c>
      <c r="C2798" s="13" t="s">
        <v>2451</v>
      </c>
      <c r="D2798" s="10" t="s">
        <v>2851</v>
      </c>
      <c r="E2798" s="10">
        <v>2021</v>
      </c>
      <c r="F2798" s="36" t="str" cm="1">
        <f t="array" ref="F2798">_xlfn.XLOOKUP(D2798&amp;C2798, Sheet3!$C$2:$C$1224&amp;Sheet3!$B$2:$B$1224, Sheet3!$D$2:$D$1224, "")</f>
        <v/>
      </c>
      <c r="G2798" s="1" t="str" cm="1">
        <f t="array" ref="G2798">_xlfn.XLOOKUP(D2798&amp;C2798, Sheet2!$A$2:$A$558&amp;Sheet2!$B$2:$B$558, Sheet2!$C$2:$C$558, "")</f>
        <v/>
      </c>
      <c r="H2798" s="40" t="str">
        <f t="shared" si="43"/>
        <v/>
      </c>
    </row>
    <row r="2799" spans="1:8" ht="15.5" x14ac:dyDescent="0.35">
      <c r="A2799" s="7">
        <v>2798</v>
      </c>
      <c r="B2799" s="10">
        <v>45580</v>
      </c>
      <c r="C2799" s="13" t="s">
        <v>2452</v>
      </c>
      <c r="D2799" s="10" t="s">
        <v>2853</v>
      </c>
      <c r="E2799" s="10">
        <v>2021</v>
      </c>
      <c r="F2799" s="36" t="str" cm="1">
        <f t="array" ref="F2799">_xlfn.XLOOKUP(D2799&amp;C2799, Sheet3!$C$2:$C$1224&amp;Sheet3!$B$2:$B$1224, Sheet3!$D$2:$D$1224, "")</f>
        <v>sramadhanipr@gmail.com</v>
      </c>
      <c r="G2799" s="1" t="str" cm="1">
        <f t="array" ref="G2799">_xlfn.XLOOKUP(D2799&amp;C2799, Sheet2!$A$2:$A$558&amp;Sheet2!$B$2:$B$558, Sheet2!$C$2:$C$558, "")</f>
        <v/>
      </c>
      <c r="H2799" s="40" t="str">
        <f t="shared" si="43"/>
        <v>sramadhanipr@gmail.com</v>
      </c>
    </row>
    <row r="2800" spans="1:8" ht="15.5" x14ac:dyDescent="0.35">
      <c r="A2800" s="7">
        <v>2799</v>
      </c>
      <c r="B2800" s="10">
        <v>46031</v>
      </c>
      <c r="C2800" s="13" t="s">
        <v>2453</v>
      </c>
      <c r="D2800" s="10" t="s">
        <v>2853</v>
      </c>
      <c r="E2800" s="10">
        <v>2021</v>
      </c>
      <c r="F2800" s="36" t="str" cm="1">
        <f t="array" ref="F2800">_xlfn.XLOOKUP(D2800&amp;C2800, Sheet3!$C$2:$C$1224&amp;Sheet3!$B$2:$B$1224, Sheet3!$D$2:$D$1224, "")</f>
        <v/>
      </c>
      <c r="G2800" s="1" t="str" cm="1">
        <f t="array" ref="G2800">_xlfn.XLOOKUP(D2800&amp;C2800, Sheet2!$A$2:$A$558&amp;Sheet2!$B$2:$B$558, Sheet2!$C$2:$C$558, "")</f>
        <v/>
      </c>
      <c r="H2800" s="40" t="str">
        <f t="shared" si="43"/>
        <v/>
      </c>
    </row>
    <row r="2801" spans="1:8" ht="15.5" x14ac:dyDescent="0.35">
      <c r="A2801" s="7">
        <v>2800</v>
      </c>
      <c r="B2801" s="10">
        <v>46428</v>
      </c>
      <c r="C2801" s="13" t="s">
        <v>2454</v>
      </c>
      <c r="D2801" s="10" t="s">
        <v>2853</v>
      </c>
      <c r="E2801" s="10">
        <v>2021</v>
      </c>
      <c r="F2801" s="36" t="str" cm="1">
        <f t="array" ref="F2801">_xlfn.XLOOKUP(D2801&amp;C2801, Sheet3!$C$2:$C$1224&amp;Sheet3!$B$2:$B$1224, Sheet3!$D$2:$D$1224, "")</f>
        <v>Cahyowibowo@mail.ugm.ac.id</v>
      </c>
      <c r="G2801" s="1" t="str" cm="1">
        <f t="array" ref="G2801">_xlfn.XLOOKUP(D2801&amp;C2801, Sheet2!$A$2:$A$558&amp;Sheet2!$B$2:$B$558, Sheet2!$C$2:$C$558, "")</f>
        <v/>
      </c>
      <c r="H2801" s="40" t="str">
        <f t="shared" si="43"/>
        <v>Cahyowibowo@mail.ugm.ac.id</v>
      </c>
    </row>
    <row r="2802" spans="1:8" ht="15.5" x14ac:dyDescent="0.35">
      <c r="A2802" s="7">
        <v>2801</v>
      </c>
      <c r="B2802" s="10">
        <v>45015</v>
      </c>
      <c r="C2802" s="13" t="s">
        <v>2455</v>
      </c>
      <c r="D2802" s="10" t="s">
        <v>2852</v>
      </c>
      <c r="E2802" s="10">
        <v>2021</v>
      </c>
      <c r="F2802" s="36" t="str" cm="1">
        <f t="array" ref="F2802">_xlfn.XLOOKUP(D2802&amp;C2802, Sheet3!$C$2:$C$1224&amp;Sheet3!$B$2:$B$1224, Sheet3!$D$2:$D$1224, "")</f>
        <v/>
      </c>
      <c r="G2802" s="1" t="str" cm="1">
        <f t="array" ref="G2802">_xlfn.XLOOKUP(D2802&amp;C2802, Sheet2!$A$2:$A$558&amp;Sheet2!$B$2:$B$558, Sheet2!$C$2:$C$558, "")</f>
        <v/>
      </c>
      <c r="H2802" s="40" t="str">
        <f t="shared" si="43"/>
        <v/>
      </c>
    </row>
    <row r="2803" spans="1:8" ht="15.5" x14ac:dyDescent="0.35">
      <c r="A2803" s="7">
        <v>2802</v>
      </c>
      <c r="B2803" s="10">
        <v>43658</v>
      </c>
      <c r="C2803" s="13" t="s">
        <v>2456</v>
      </c>
      <c r="D2803" s="10" t="s">
        <v>2851</v>
      </c>
      <c r="E2803" s="10">
        <v>2021</v>
      </c>
      <c r="F2803" s="36" t="str" cm="1">
        <f t="array" ref="F2803">_xlfn.XLOOKUP(D2803&amp;C2803, Sheet3!$C$2:$C$1224&amp;Sheet3!$B$2:$B$1224, Sheet3!$D$2:$D$1224, "")</f>
        <v/>
      </c>
      <c r="G2803" s="1" t="str" cm="1">
        <f t="array" ref="G2803">_xlfn.XLOOKUP(D2803&amp;C2803, Sheet2!$A$2:$A$558&amp;Sheet2!$B$2:$B$558, Sheet2!$C$2:$C$558, "")</f>
        <v/>
      </c>
      <c r="H2803" s="40" t="str">
        <f t="shared" si="43"/>
        <v/>
      </c>
    </row>
    <row r="2804" spans="1:8" ht="15.5" x14ac:dyDescent="0.35">
      <c r="A2804" s="7">
        <v>2803</v>
      </c>
      <c r="B2804" s="10">
        <v>43689</v>
      </c>
      <c r="C2804" s="13" t="s">
        <v>2457</v>
      </c>
      <c r="D2804" s="10" t="s">
        <v>2851</v>
      </c>
      <c r="E2804" s="10">
        <v>2021</v>
      </c>
      <c r="F2804" s="36" t="str" cm="1">
        <f t="array" ref="F2804">_xlfn.XLOOKUP(D2804&amp;C2804, Sheet3!$C$2:$C$1224&amp;Sheet3!$B$2:$B$1224, Sheet3!$D$2:$D$1224, "")</f>
        <v/>
      </c>
      <c r="G2804" s="1" t="str" cm="1">
        <f t="array" ref="G2804">_xlfn.XLOOKUP(D2804&amp;C2804, Sheet2!$A$2:$A$558&amp;Sheet2!$B$2:$B$558, Sheet2!$C$2:$C$558, "")</f>
        <v/>
      </c>
      <c r="H2804" s="40" t="str">
        <f t="shared" si="43"/>
        <v/>
      </c>
    </row>
    <row r="2805" spans="1:8" ht="15.5" x14ac:dyDescent="0.35">
      <c r="A2805" s="7">
        <v>2804</v>
      </c>
      <c r="B2805" s="10">
        <v>46037</v>
      </c>
      <c r="C2805" s="13" t="s">
        <v>2458</v>
      </c>
      <c r="D2805" s="10" t="s">
        <v>2853</v>
      </c>
      <c r="E2805" s="10">
        <v>2021</v>
      </c>
      <c r="F2805" s="36" t="str" cm="1">
        <f t="array" ref="F2805">_xlfn.XLOOKUP(D2805&amp;C2805, Sheet3!$C$2:$C$1224&amp;Sheet3!$B$2:$B$1224, Sheet3!$D$2:$D$1224, "")</f>
        <v/>
      </c>
      <c r="G2805" s="1" t="str" cm="1">
        <f t="array" ref="G2805">_xlfn.XLOOKUP(D2805&amp;C2805, Sheet2!$A$2:$A$558&amp;Sheet2!$B$2:$B$558, Sheet2!$C$2:$C$558, "")</f>
        <v/>
      </c>
      <c r="H2805" s="40" t="str">
        <f t="shared" si="43"/>
        <v/>
      </c>
    </row>
    <row r="2806" spans="1:8" ht="15.5" x14ac:dyDescent="0.35">
      <c r="A2806" s="7">
        <v>2805</v>
      </c>
      <c r="B2806" s="10">
        <v>45020</v>
      </c>
      <c r="C2806" s="13" t="s">
        <v>2459</v>
      </c>
      <c r="D2806" s="10" t="s">
        <v>2852</v>
      </c>
      <c r="E2806" s="10">
        <v>2022</v>
      </c>
      <c r="F2806" s="36" t="str" cm="1">
        <f t="array" ref="F2806">_xlfn.XLOOKUP(D2806&amp;C2806, Sheet3!$C$2:$C$1224&amp;Sheet3!$B$2:$B$1224, Sheet3!$D$2:$D$1224, "")</f>
        <v/>
      </c>
      <c r="G2806" s="1" t="str" cm="1">
        <f t="array" ref="G2806">_xlfn.XLOOKUP(D2806&amp;C2806, Sheet2!$A$2:$A$558&amp;Sheet2!$B$2:$B$558, Sheet2!$C$2:$C$558, "")</f>
        <v/>
      </c>
      <c r="H2806" s="40" t="str">
        <f t="shared" si="43"/>
        <v/>
      </c>
    </row>
    <row r="2807" spans="1:8" ht="15.5" x14ac:dyDescent="0.35">
      <c r="A2807" s="7">
        <v>2806</v>
      </c>
      <c r="B2807" s="10">
        <v>43191</v>
      </c>
      <c r="C2807" s="13" t="s">
        <v>2460</v>
      </c>
      <c r="D2807" s="10" t="s">
        <v>2851</v>
      </c>
      <c r="E2807" s="10">
        <v>2022</v>
      </c>
      <c r="F2807" s="36" t="str" cm="1">
        <f t="array" ref="F2807">_xlfn.XLOOKUP(D2807&amp;C2807, Sheet3!$C$2:$C$1224&amp;Sheet3!$B$2:$B$1224, Sheet3!$D$2:$D$1224, "")</f>
        <v/>
      </c>
      <c r="G2807" s="1" t="str" cm="1">
        <f t="array" ref="G2807">_xlfn.XLOOKUP(D2807&amp;C2807, Sheet2!$A$2:$A$558&amp;Sheet2!$B$2:$B$558, Sheet2!$C$2:$C$558, "")</f>
        <v/>
      </c>
      <c r="H2807" s="40" t="str">
        <f t="shared" si="43"/>
        <v/>
      </c>
    </row>
    <row r="2808" spans="1:8" ht="15.5" x14ac:dyDescent="0.35">
      <c r="A2808" s="7">
        <v>2807</v>
      </c>
      <c r="B2808" s="10">
        <v>45009</v>
      </c>
      <c r="C2808" s="13" t="s">
        <v>2461</v>
      </c>
      <c r="D2808" s="10" t="s">
        <v>2852</v>
      </c>
      <c r="E2808" s="10">
        <v>2022</v>
      </c>
      <c r="F2808" s="36" t="str" cm="1">
        <f t="array" ref="F2808">_xlfn.XLOOKUP(D2808&amp;C2808, Sheet3!$C$2:$C$1224&amp;Sheet3!$B$2:$B$1224, Sheet3!$D$2:$D$1224, "")</f>
        <v>jihanmaulia22@gmail.com</v>
      </c>
      <c r="G2808" s="1" t="str" cm="1">
        <f t="array" ref="G2808">_xlfn.XLOOKUP(D2808&amp;C2808, Sheet2!$A$2:$A$558&amp;Sheet2!$B$2:$B$558, Sheet2!$C$2:$C$558, "")</f>
        <v/>
      </c>
      <c r="H2808" s="40" t="str">
        <f t="shared" si="43"/>
        <v>jihanmaulia22@gmail.com</v>
      </c>
    </row>
    <row r="2809" spans="1:8" ht="15.5" x14ac:dyDescent="0.35">
      <c r="A2809" s="7">
        <v>2808</v>
      </c>
      <c r="B2809" s="10">
        <v>46038</v>
      </c>
      <c r="C2809" s="13" t="s">
        <v>2462</v>
      </c>
      <c r="D2809" s="10" t="s">
        <v>2853</v>
      </c>
      <c r="E2809" s="10">
        <v>2022</v>
      </c>
      <c r="F2809" s="36" t="str" cm="1">
        <f t="array" ref="F2809">_xlfn.XLOOKUP(D2809&amp;C2809, Sheet3!$C$2:$C$1224&amp;Sheet3!$B$2:$B$1224, Sheet3!$D$2:$D$1224, "")</f>
        <v>erlitamaulani@gmail.com</v>
      </c>
      <c r="G2809" s="1" t="str" cm="1">
        <f t="array" ref="G2809">_xlfn.XLOOKUP(D2809&amp;C2809, Sheet2!$A$2:$A$558&amp;Sheet2!$B$2:$B$558, Sheet2!$C$2:$C$558, "")</f>
        <v/>
      </c>
      <c r="H2809" s="40" t="str">
        <f t="shared" si="43"/>
        <v>erlitamaulani@gmail.com</v>
      </c>
    </row>
    <row r="2810" spans="1:8" ht="15.5" x14ac:dyDescent="0.35">
      <c r="A2810" s="7">
        <v>2809</v>
      </c>
      <c r="B2810" s="10">
        <v>46050</v>
      </c>
      <c r="C2810" s="13" t="s">
        <v>2463</v>
      </c>
      <c r="D2810" s="10" t="s">
        <v>2853</v>
      </c>
      <c r="E2810" s="10">
        <v>2022</v>
      </c>
      <c r="F2810" s="36" t="str" cm="1">
        <f t="array" ref="F2810">_xlfn.XLOOKUP(D2810&amp;C2810, Sheet3!$C$2:$C$1224&amp;Sheet3!$B$2:$B$1224, Sheet3!$D$2:$D$1224, "")</f>
        <v/>
      </c>
      <c r="G2810" s="1" t="str" cm="1">
        <f t="array" ref="G2810">_xlfn.XLOOKUP(D2810&amp;C2810, Sheet2!$A$2:$A$558&amp;Sheet2!$B$2:$B$558, Sheet2!$C$2:$C$558, "")</f>
        <v/>
      </c>
      <c r="H2810" s="40" t="str">
        <f t="shared" si="43"/>
        <v/>
      </c>
    </row>
    <row r="2811" spans="1:8" ht="15.5" x14ac:dyDescent="0.35">
      <c r="A2811" s="7">
        <v>2810</v>
      </c>
      <c r="B2811" s="10">
        <v>46430</v>
      </c>
      <c r="C2811" s="13" t="s">
        <v>2464</v>
      </c>
      <c r="D2811" s="10" t="s">
        <v>2853</v>
      </c>
      <c r="E2811" s="10">
        <v>2022</v>
      </c>
      <c r="F2811" s="36" t="str" cm="1">
        <f t="array" ref="F2811">_xlfn.XLOOKUP(D2811&amp;C2811, Sheet3!$C$2:$C$1224&amp;Sheet3!$B$2:$B$1224, Sheet3!$D$2:$D$1224, "")</f>
        <v>zahratunnisafara@gmail.com</v>
      </c>
      <c r="G2811" s="1" t="str" cm="1">
        <f t="array" ref="G2811">_xlfn.XLOOKUP(D2811&amp;C2811, Sheet2!$A$2:$A$558&amp;Sheet2!$B$2:$B$558, Sheet2!$C$2:$C$558, "")</f>
        <v/>
      </c>
      <c r="H2811" s="40" t="str">
        <f t="shared" si="43"/>
        <v>zahratunnisafara@gmail.com</v>
      </c>
    </row>
    <row r="2812" spans="1:8" ht="15.5" x14ac:dyDescent="0.35">
      <c r="A2812" s="7">
        <v>2811</v>
      </c>
      <c r="B2812" s="10">
        <v>44982</v>
      </c>
      <c r="C2812" s="13" t="s">
        <v>2465</v>
      </c>
      <c r="D2812" s="10" t="s">
        <v>2852</v>
      </c>
      <c r="E2812" s="10">
        <v>2022</v>
      </c>
      <c r="F2812" s="36" t="str" cm="1">
        <f t="array" ref="F2812">_xlfn.XLOOKUP(D2812&amp;C2812, Sheet3!$C$2:$C$1224&amp;Sheet3!$B$2:$B$1224, Sheet3!$D$2:$D$1224, "")</f>
        <v/>
      </c>
      <c r="G2812" s="1" t="str" cm="1">
        <f t="array" ref="G2812">_xlfn.XLOOKUP(D2812&amp;C2812, Sheet2!$A$2:$A$558&amp;Sheet2!$B$2:$B$558, Sheet2!$C$2:$C$558, "")</f>
        <v/>
      </c>
      <c r="H2812" s="40" t="str">
        <f t="shared" si="43"/>
        <v/>
      </c>
    </row>
    <row r="2813" spans="1:8" ht="15.5" x14ac:dyDescent="0.35">
      <c r="A2813" s="7">
        <v>2812</v>
      </c>
      <c r="B2813" s="10">
        <v>45585</v>
      </c>
      <c r="C2813" s="13" t="s">
        <v>2466</v>
      </c>
      <c r="D2813" s="10" t="s">
        <v>2853</v>
      </c>
      <c r="E2813" s="10">
        <v>2022</v>
      </c>
      <c r="F2813" s="36" t="str" cm="1">
        <f t="array" ref="F2813">_xlfn.XLOOKUP(D2813&amp;C2813, Sheet3!$C$2:$C$1224&amp;Sheet3!$B$2:$B$1224, Sheet3!$D$2:$D$1224, "")</f>
        <v/>
      </c>
      <c r="G2813" s="1" t="str" cm="1">
        <f t="array" ref="G2813">_xlfn.XLOOKUP(D2813&amp;C2813, Sheet2!$A$2:$A$558&amp;Sheet2!$B$2:$B$558, Sheet2!$C$2:$C$558, "")</f>
        <v/>
      </c>
      <c r="H2813" s="40" t="str">
        <f t="shared" si="43"/>
        <v/>
      </c>
    </row>
    <row r="2814" spans="1:8" ht="15.5" x14ac:dyDescent="0.35">
      <c r="A2814" s="7">
        <v>2813</v>
      </c>
      <c r="B2814" s="10">
        <v>46056</v>
      </c>
      <c r="C2814" s="13" t="s">
        <v>2467</v>
      </c>
      <c r="D2814" s="10" t="s">
        <v>2853</v>
      </c>
      <c r="E2814" s="10">
        <v>2022</v>
      </c>
      <c r="F2814" s="36" t="str" cm="1">
        <f t="array" ref="F2814">_xlfn.XLOOKUP(D2814&amp;C2814, Sheet3!$C$2:$C$1224&amp;Sheet3!$B$2:$B$1224, Sheet3!$D$2:$D$1224, "")</f>
        <v/>
      </c>
      <c r="G2814" s="1" t="str" cm="1">
        <f t="array" ref="G2814">_xlfn.XLOOKUP(D2814&amp;C2814, Sheet2!$A$2:$A$558&amp;Sheet2!$B$2:$B$558, Sheet2!$C$2:$C$558, "")</f>
        <v/>
      </c>
      <c r="H2814" s="40" t="str">
        <f t="shared" si="43"/>
        <v/>
      </c>
    </row>
    <row r="2815" spans="1:8" ht="15.5" x14ac:dyDescent="0.35">
      <c r="A2815" s="7">
        <v>2814</v>
      </c>
      <c r="B2815" s="10">
        <v>46057</v>
      </c>
      <c r="C2815" s="13" t="s">
        <v>2468</v>
      </c>
      <c r="D2815" s="10" t="s">
        <v>2853</v>
      </c>
      <c r="E2815" s="10">
        <v>2022</v>
      </c>
      <c r="F2815" s="36" t="str" cm="1">
        <f t="array" ref="F2815">_xlfn.XLOOKUP(D2815&amp;C2815, Sheet3!$C$2:$C$1224&amp;Sheet3!$B$2:$B$1224, Sheet3!$D$2:$D$1224, "")</f>
        <v/>
      </c>
      <c r="G2815" s="1" t="str" cm="1">
        <f t="array" ref="G2815">_xlfn.XLOOKUP(D2815&amp;C2815, Sheet2!$A$2:$A$558&amp;Sheet2!$B$2:$B$558, Sheet2!$C$2:$C$558, "")</f>
        <v/>
      </c>
      <c r="H2815" s="40" t="str">
        <f t="shared" si="43"/>
        <v/>
      </c>
    </row>
    <row r="2816" spans="1:8" ht="15.5" x14ac:dyDescent="0.35">
      <c r="A2816" s="7">
        <v>2815</v>
      </c>
      <c r="B2816" s="10">
        <v>46423</v>
      </c>
      <c r="C2816" s="13" t="s">
        <v>2469</v>
      </c>
      <c r="D2816" s="10" t="s">
        <v>2853</v>
      </c>
      <c r="E2816" s="10">
        <v>2022</v>
      </c>
      <c r="F2816" s="36" t="str" cm="1">
        <f t="array" ref="F2816">_xlfn.XLOOKUP(D2816&amp;C2816, Sheet3!$C$2:$C$1224&amp;Sheet3!$B$2:$B$1224, Sheet3!$D$2:$D$1224, "")</f>
        <v/>
      </c>
      <c r="G2816" s="1" t="str" cm="1">
        <f t="array" ref="G2816">_xlfn.XLOOKUP(D2816&amp;C2816, Sheet2!$A$2:$A$558&amp;Sheet2!$B$2:$B$558, Sheet2!$C$2:$C$558, "")</f>
        <v/>
      </c>
      <c r="H2816" s="40" t="str">
        <f t="shared" si="43"/>
        <v/>
      </c>
    </row>
    <row r="2817" spans="1:8" ht="15.5" x14ac:dyDescent="0.35">
      <c r="A2817" s="7">
        <v>2816</v>
      </c>
      <c r="B2817" s="10">
        <v>45570</v>
      </c>
      <c r="C2817" s="13" t="s">
        <v>2470</v>
      </c>
      <c r="D2817" s="10" t="s">
        <v>2853</v>
      </c>
      <c r="E2817" s="10">
        <v>2022</v>
      </c>
      <c r="F2817" s="36" t="str" cm="1">
        <f t="array" ref="F2817">_xlfn.XLOOKUP(D2817&amp;C2817, Sheet3!$C$2:$C$1224&amp;Sheet3!$B$2:$B$1224, Sheet3!$D$2:$D$1224, "")</f>
        <v>Imam Nur Aziz</v>
      </c>
      <c r="G2817" s="1" t="str" cm="1">
        <f t="array" ref="G2817">_xlfn.XLOOKUP(D2817&amp;C2817, Sheet2!$A$2:$A$558&amp;Sheet2!$B$2:$B$558, Sheet2!$C$2:$C$558, "")</f>
        <v/>
      </c>
      <c r="H2817" s="40" t="str">
        <f t="shared" si="43"/>
        <v>Imam Nur Aziz</v>
      </c>
    </row>
    <row r="2818" spans="1:8" ht="15.5" x14ac:dyDescent="0.35">
      <c r="A2818" s="7">
        <v>2817</v>
      </c>
      <c r="B2818" s="10">
        <v>47718</v>
      </c>
      <c r="C2818" s="13" t="s">
        <v>2471</v>
      </c>
      <c r="D2818" s="10" t="s">
        <v>2854</v>
      </c>
      <c r="E2818" s="10">
        <v>2022</v>
      </c>
      <c r="F2818" s="36" t="str" cm="1">
        <f t="array" ref="F2818">_xlfn.XLOOKUP(D2818&amp;C2818, Sheet3!$C$2:$C$1224&amp;Sheet3!$B$2:$B$1224, Sheet3!$D$2:$D$1224, "")</f>
        <v>annisa.rizky.kusuma@mail.ugm.ac.id</v>
      </c>
      <c r="G2818" s="1" t="str" cm="1">
        <f t="array" ref="G2818">_xlfn.XLOOKUP(D2818&amp;C2818, Sheet2!$A$2:$A$558&amp;Sheet2!$B$2:$B$558, Sheet2!$C$2:$C$558, "")</f>
        <v/>
      </c>
      <c r="H2818" s="40" t="str">
        <f t="shared" si="43"/>
        <v>annisa.rizky.kusuma@mail.ugm.ac.id</v>
      </c>
    </row>
    <row r="2819" spans="1:8" ht="15.5" x14ac:dyDescent="0.35">
      <c r="A2819" s="7">
        <v>2818</v>
      </c>
      <c r="B2819" s="10">
        <v>46026</v>
      </c>
      <c r="C2819" s="13" t="s">
        <v>2472</v>
      </c>
      <c r="D2819" s="10" t="s">
        <v>2853</v>
      </c>
      <c r="E2819" s="10">
        <v>2022</v>
      </c>
      <c r="F2819" s="36" t="str" cm="1">
        <f t="array" ref="F2819">_xlfn.XLOOKUP(D2819&amp;C2819, Sheet3!$C$2:$C$1224&amp;Sheet3!$B$2:$B$1224, Sheet3!$D$2:$D$1224, "")</f>
        <v>radityaaji24@gmail.com</v>
      </c>
      <c r="G2819" s="1" t="str" cm="1">
        <f t="array" ref="G2819">_xlfn.XLOOKUP(D2819&amp;C2819, Sheet2!$A$2:$A$558&amp;Sheet2!$B$2:$B$558, Sheet2!$C$2:$C$558, "")</f>
        <v/>
      </c>
      <c r="H2819" s="40" t="str">
        <f t="shared" ref="H2819:H2882" si="44">IF(F2819&lt;&gt;"",F2819,G2819)</f>
        <v>radityaaji24@gmail.com</v>
      </c>
    </row>
    <row r="2820" spans="1:8" ht="15.5" x14ac:dyDescent="0.35">
      <c r="A2820" s="7">
        <v>2819</v>
      </c>
      <c r="B2820" s="10">
        <v>44335</v>
      </c>
      <c r="C2820" s="13" t="s">
        <v>2473</v>
      </c>
      <c r="D2820" s="10" t="s">
        <v>2852</v>
      </c>
      <c r="E2820" s="10">
        <v>2022</v>
      </c>
      <c r="F2820" s="36" t="str" cm="1">
        <f t="array" ref="F2820">_xlfn.XLOOKUP(D2820&amp;C2820, Sheet3!$C$2:$C$1224&amp;Sheet3!$B$2:$B$1224, Sheet3!$D$2:$D$1224, "")</f>
        <v>royafitrah98@gmail.com</v>
      </c>
      <c r="G2820" s="1" t="str" cm="1">
        <f t="array" ref="G2820">_xlfn.XLOOKUP(D2820&amp;C2820, Sheet2!$A$2:$A$558&amp;Sheet2!$B$2:$B$558, Sheet2!$C$2:$C$558, "")</f>
        <v/>
      </c>
      <c r="H2820" s="40" t="str">
        <f t="shared" si="44"/>
        <v>royafitrah98@gmail.com</v>
      </c>
    </row>
    <row r="2821" spans="1:8" ht="15.5" x14ac:dyDescent="0.35">
      <c r="A2821" s="7">
        <v>2820</v>
      </c>
      <c r="B2821" s="10">
        <v>46729</v>
      </c>
      <c r="C2821" s="13" t="s">
        <v>2474</v>
      </c>
      <c r="D2821" s="10" t="s">
        <v>2854</v>
      </c>
      <c r="E2821" s="10">
        <v>2022</v>
      </c>
      <c r="F2821" s="36" t="str" cm="1">
        <f t="array" ref="F2821">_xlfn.XLOOKUP(D2821&amp;C2821, Sheet3!$C$2:$C$1224&amp;Sheet3!$B$2:$B$1224, Sheet3!$D$2:$D$1224, "")</f>
        <v>evi.dwi.k@mail.ugm.ac.id</v>
      </c>
      <c r="G2821" s="1" t="str" cm="1">
        <f t="array" ref="G2821">_xlfn.XLOOKUP(D2821&amp;C2821, Sheet2!$A$2:$A$558&amp;Sheet2!$B$2:$B$558, Sheet2!$C$2:$C$558, "")</f>
        <v/>
      </c>
      <c r="H2821" s="40" t="str">
        <f t="shared" si="44"/>
        <v>evi.dwi.k@mail.ugm.ac.id</v>
      </c>
    </row>
    <row r="2822" spans="1:8" ht="15.5" x14ac:dyDescent="0.35">
      <c r="A2822" s="7">
        <v>2821</v>
      </c>
      <c r="B2822" s="10">
        <v>44322</v>
      </c>
      <c r="C2822" s="13" t="s">
        <v>2475</v>
      </c>
      <c r="D2822" s="10" t="s">
        <v>2852</v>
      </c>
      <c r="E2822" s="10">
        <v>2022</v>
      </c>
      <c r="F2822" s="36" t="str" cm="1">
        <f t="array" ref="F2822">_xlfn.XLOOKUP(D2822&amp;C2822, Sheet3!$C$2:$C$1224&amp;Sheet3!$B$2:$B$1224, Sheet3!$D$2:$D$1224, "")</f>
        <v/>
      </c>
      <c r="G2822" s="1" t="str" cm="1">
        <f t="array" ref="G2822">_xlfn.XLOOKUP(D2822&amp;C2822, Sheet2!$A$2:$A$558&amp;Sheet2!$B$2:$B$558, Sheet2!$C$2:$C$558, "")</f>
        <v/>
      </c>
      <c r="H2822" s="40" t="str">
        <f t="shared" si="44"/>
        <v/>
      </c>
    </row>
    <row r="2823" spans="1:8" ht="15.5" x14ac:dyDescent="0.35">
      <c r="A2823" s="7">
        <v>2822</v>
      </c>
      <c r="B2823" s="10">
        <v>42838</v>
      </c>
      <c r="C2823" s="13" t="s">
        <v>2476</v>
      </c>
      <c r="D2823" s="10" t="s">
        <v>2851</v>
      </c>
      <c r="E2823" s="10">
        <v>2022</v>
      </c>
      <c r="F2823" s="36" t="str" cm="1">
        <f t="array" ref="F2823">_xlfn.XLOOKUP(D2823&amp;C2823, Sheet3!$C$2:$C$1224&amp;Sheet3!$B$2:$B$1224, Sheet3!$D$2:$D$1224, "")</f>
        <v/>
      </c>
      <c r="G2823" s="1" t="str" cm="1">
        <f t="array" ref="G2823">_xlfn.XLOOKUP(D2823&amp;C2823, Sheet2!$A$2:$A$558&amp;Sheet2!$B$2:$B$558, Sheet2!$C$2:$C$558, "")</f>
        <v/>
      </c>
      <c r="H2823" s="40" t="str">
        <f t="shared" si="44"/>
        <v/>
      </c>
    </row>
    <row r="2824" spans="1:8" ht="15.5" x14ac:dyDescent="0.35">
      <c r="A2824" s="7">
        <v>2823</v>
      </c>
      <c r="B2824" s="10">
        <v>45577</v>
      </c>
      <c r="C2824" s="13" t="s">
        <v>2477</v>
      </c>
      <c r="D2824" s="10" t="s">
        <v>2853</v>
      </c>
      <c r="E2824" s="10">
        <v>2022</v>
      </c>
      <c r="F2824" s="36" t="str" cm="1">
        <f t="array" ref="F2824">_xlfn.XLOOKUP(D2824&amp;C2824, Sheet3!$C$2:$C$1224&amp;Sheet3!$B$2:$B$1224, Sheet3!$D$2:$D$1224, "")</f>
        <v/>
      </c>
      <c r="G2824" s="1" t="str" cm="1">
        <f t="array" ref="G2824">_xlfn.XLOOKUP(D2824&amp;C2824, Sheet2!$A$2:$A$558&amp;Sheet2!$B$2:$B$558, Sheet2!$C$2:$C$558, "")</f>
        <v/>
      </c>
      <c r="H2824" s="40" t="str">
        <f t="shared" si="44"/>
        <v/>
      </c>
    </row>
    <row r="2825" spans="1:8" ht="15.5" x14ac:dyDescent="0.35">
      <c r="A2825" s="7">
        <v>2824</v>
      </c>
      <c r="B2825" s="10">
        <v>46728</v>
      </c>
      <c r="C2825" s="13" t="s">
        <v>2478</v>
      </c>
      <c r="D2825" s="10" t="s">
        <v>2854</v>
      </c>
      <c r="E2825" s="10">
        <v>2022</v>
      </c>
      <c r="F2825" s="36" t="str" cm="1">
        <f t="array" ref="F2825">_xlfn.XLOOKUP(D2825&amp;C2825, Sheet3!$C$2:$C$1224&amp;Sheet3!$B$2:$B$1224, Sheet3!$D$2:$D$1224, "")</f>
        <v/>
      </c>
      <c r="G2825" s="1" t="str" cm="1">
        <f t="array" ref="G2825">_xlfn.XLOOKUP(D2825&amp;C2825, Sheet2!$A$2:$A$558&amp;Sheet2!$B$2:$B$558, Sheet2!$C$2:$C$558, "")</f>
        <v/>
      </c>
      <c r="H2825" s="40" t="str">
        <f t="shared" si="44"/>
        <v/>
      </c>
    </row>
    <row r="2826" spans="1:8" ht="15.5" x14ac:dyDescent="0.35">
      <c r="A2826" s="7">
        <v>2825</v>
      </c>
      <c r="B2826" s="10">
        <v>46735</v>
      </c>
      <c r="C2826" s="13" t="s">
        <v>2479</v>
      </c>
      <c r="D2826" s="10" t="s">
        <v>2854</v>
      </c>
      <c r="E2826" s="10">
        <v>2022</v>
      </c>
      <c r="F2826" s="36" t="str" cm="1">
        <f t="array" ref="F2826">_xlfn.XLOOKUP(D2826&amp;C2826, Sheet3!$C$2:$C$1224&amp;Sheet3!$B$2:$B$1224, Sheet3!$D$2:$D$1224, "")</f>
        <v/>
      </c>
      <c r="G2826" s="1" t="str" cm="1">
        <f t="array" ref="G2826">_xlfn.XLOOKUP(D2826&amp;C2826, Sheet2!$A$2:$A$558&amp;Sheet2!$B$2:$B$558, Sheet2!$C$2:$C$558, "")</f>
        <v/>
      </c>
      <c r="H2826" s="40" t="str">
        <f t="shared" si="44"/>
        <v/>
      </c>
    </row>
    <row r="2827" spans="1:8" ht="15.5" x14ac:dyDescent="0.35">
      <c r="A2827" s="7">
        <v>2826</v>
      </c>
      <c r="B2827" s="10">
        <v>46739</v>
      </c>
      <c r="C2827" s="13" t="s">
        <v>2480</v>
      </c>
      <c r="D2827" s="10" t="s">
        <v>2854</v>
      </c>
      <c r="E2827" s="10">
        <v>2022</v>
      </c>
      <c r="F2827" s="36" t="str" cm="1">
        <f t="array" ref="F2827">_xlfn.XLOOKUP(D2827&amp;C2827, Sheet3!$C$2:$C$1224&amp;Sheet3!$B$2:$B$1224, Sheet3!$D$2:$D$1224, "")</f>
        <v/>
      </c>
      <c r="G2827" s="1" t="str" cm="1">
        <f t="array" ref="G2827">_xlfn.XLOOKUP(D2827&amp;C2827, Sheet2!$A$2:$A$558&amp;Sheet2!$B$2:$B$558, Sheet2!$C$2:$C$558, "")</f>
        <v/>
      </c>
      <c r="H2827" s="40" t="str">
        <f t="shared" si="44"/>
        <v/>
      </c>
    </row>
    <row r="2828" spans="1:8" ht="15.5" x14ac:dyDescent="0.35">
      <c r="A2828" s="7">
        <v>2827</v>
      </c>
      <c r="B2828" s="10">
        <v>46748</v>
      </c>
      <c r="C2828" s="13" t="s">
        <v>2481</v>
      </c>
      <c r="D2828" s="10" t="s">
        <v>2854</v>
      </c>
      <c r="E2828" s="10">
        <v>2022</v>
      </c>
      <c r="F2828" s="36" t="str" cm="1">
        <f t="array" ref="F2828">_xlfn.XLOOKUP(D2828&amp;C2828, Sheet3!$C$2:$C$1224&amp;Sheet3!$B$2:$B$1224, Sheet3!$D$2:$D$1224, "")</f>
        <v/>
      </c>
      <c r="G2828" s="1" t="str" cm="1">
        <f t="array" ref="G2828">_xlfn.XLOOKUP(D2828&amp;C2828, Sheet2!$A$2:$A$558&amp;Sheet2!$B$2:$B$558, Sheet2!$C$2:$C$558, "")</f>
        <v/>
      </c>
      <c r="H2828" s="40" t="str">
        <f t="shared" si="44"/>
        <v/>
      </c>
    </row>
    <row r="2829" spans="1:8" ht="15.5" x14ac:dyDescent="0.35">
      <c r="A2829" s="7">
        <v>2828</v>
      </c>
      <c r="B2829" s="10">
        <v>46754</v>
      </c>
      <c r="C2829" s="13" t="s">
        <v>2482</v>
      </c>
      <c r="D2829" s="10" t="s">
        <v>2854</v>
      </c>
      <c r="E2829" s="10">
        <v>2022</v>
      </c>
      <c r="F2829" s="36" t="str" cm="1">
        <f t="array" ref="F2829">_xlfn.XLOOKUP(D2829&amp;C2829, Sheet3!$C$2:$C$1224&amp;Sheet3!$B$2:$B$1224, Sheet3!$D$2:$D$1224, "")</f>
        <v/>
      </c>
      <c r="G2829" s="1" t="str" cm="1">
        <f t="array" ref="G2829">_xlfn.XLOOKUP(D2829&amp;C2829, Sheet2!$A$2:$A$558&amp;Sheet2!$B$2:$B$558, Sheet2!$C$2:$C$558, "")</f>
        <v/>
      </c>
      <c r="H2829" s="40" t="str">
        <f t="shared" si="44"/>
        <v/>
      </c>
    </row>
    <row r="2830" spans="1:8" ht="15.5" x14ac:dyDescent="0.35">
      <c r="A2830" s="7">
        <v>2829</v>
      </c>
      <c r="B2830" s="10">
        <v>46755</v>
      </c>
      <c r="C2830" s="13" t="s">
        <v>2483</v>
      </c>
      <c r="D2830" s="10" t="s">
        <v>2854</v>
      </c>
      <c r="E2830" s="10">
        <v>2022</v>
      </c>
      <c r="F2830" s="36" t="str" cm="1">
        <f t="array" ref="F2830">_xlfn.XLOOKUP(D2830&amp;C2830, Sheet3!$C$2:$C$1224&amp;Sheet3!$B$2:$B$1224, Sheet3!$D$2:$D$1224, "")</f>
        <v/>
      </c>
      <c r="G2830" s="1" t="str" cm="1">
        <f t="array" ref="G2830">_xlfn.XLOOKUP(D2830&amp;C2830, Sheet2!$A$2:$A$558&amp;Sheet2!$B$2:$B$558, Sheet2!$C$2:$C$558, "")</f>
        <v/>
      </c>
      <c r="H2830" s="40" t="str">
        <f t="shared" si="44"/>
        <v/>
      </c>
    </row>
    <row r="2831" spans="1:8" ht="15.5" x14ac:dyDescent="0.35">
      <c r="A2831" s="7">
        <v>2830</v>
      </c>
      <c r="B2831" s="10">
        <v>47218</v>
      </c>
      <c r="C2831" s="13" t="s">
        <v>2484</v>
      </c>
      <c r="D2831" s="10" t="s">
        <v>2854</v>
      </c>
      <c r="E2831" s="10">
        <v>2022</v>
      </c>
      <c r="F2831" s="36" t="str" cm="1">
        <f t="array" ref="F2831">_xlfn.XLOOKUP(D2831&amp;C2831, Sheet3!$C$2:$C$1224&amp;Sheet3!$B$2:$B$1224, Sheet3!$D$2:$D$1224, "")</f>
        <v/>
      </c>
      <c r="G2831" s="1" t="str" cm="1">
        <f t="array" ref="G2831">_xlfn.XLOOKUP(D2831&amp;C2831, Sheet2!$A$2:$A$558&amp;Sheet2!$B$2:$B$558, Sheet2!$C$2:$C$558, "")</f>
        <v/>
      </c>
      <c r="H2831" s="40" t="str">
        <f t="shared" si="44"/>
        <v/>
      </c>
    </row>
    <row r="2832" spans="1:8" ht="15.5" x14ac:dyDescent="0.35">
      <c r="A2832" s="7">
        <v>2831</v>
      </c>
      <c r="B2832" s="10">
        <v>47242</v>
      </c>
      <c r="C2832" s="13" t="s">
        <v>2485</v>
      </c>
      <c r="D2832" s="10" t="s">
        <v>2854</v>
      </c>
      <c r="E2832" s="10">
        <v>2022</v>
      </c>
      <c r="F2832" s="36" t="str" cm="1">
        <f t="array" ref="F2832">_xlfn.XLOOKUP(D2832&amp;C2832, Sheet3!$C$2:$C$1224&amp;Sheet3!$B$2:$B$1224, Sheet3!$D$2:$D$1224, "")</f>
        <v/>
      </c>
      <c r="G2832" s="1" t="str" cm="1">
        <f t="array" ref="G2832">_xlfn.XLOOKUP(D2832&amp;C2832, Sheet2!$A$2:$A$558&amp;Sheet2!$B$2:$B$558, Sheet2!$C$2:$C$558, "")</f>
        <v/>
      </c>
      <c r="H2832" s="40" t="str">
        <f t="shared" si="44"/>
        <v/>
      </c>
    </row>
    <row r="2833" spans="1:8" ht="15.5" x14ac:dyDescent="0.35">
      <c r="A2833" s="7">
        <v>2832</v>
      </c>
      <c r="B2833" s="10">
        <v>47243</v>
      </c>
      <c r="C2833" s="13" t="s">
        <v>2486</v>
      </c>
      <c r="D2833" s="10" t="s">
        <v>2854</v>
      </c>
      <c r="E2833" s="10">
        <v>2022</v>
      </c>
      <c r="F2833" s="36" t="str" cm="1">
        <f t="array" ref="F2833">_xlfn.XLOOKUP(D2833&amp;C2833, Sheet3!$C$2:$C$1224&amp;Sheet3!$B$2:$B$1224, Sheet3!$D$2:$D$1224, "")</f>
        <v/>
      </c>
      <c r="G2833" s="1" t="str" cm="1">
        <f t="array" ref="G2833">_xlfn.XLOOKUP(D2833&amp;C2833, Sheet2!$A$2:$A$558&amp;Sheet2!$B$2:$B$558, Sheet2!$C$2:$C$558, "")</f>
        <v/>
      </c>
      <c r="H2833" s="40" t="str">
        <f t="shared" si="44"/>
        <v/>
      </c>
    </row>
    <row r="2834" spans="1:8" ht="15.5" x14ac:dyDescent="0.35">
      <c r="A2834" s="7">
        <v>2833</v>
      </c>
      <c r="B2834" s="10">
        <v>47720</v>
      </c>
      <c r="C2834" s="13" t="s">
        <v>2487</v>
      </c>
      <c r="D2834" s="10" t="s">
        <v>2854</v>
      </c>
      <c r="E2834" s="10">
        <v>2022</v>
      </c>
      <c r="F2834" s="36" t="str" cm="1">
        <f t="array" ref="F2834">_xlfn.XLOOKUP(D2834&amp;C2834, Sheet3!$C$2:$C$1224&amp;Sheet3!$B$2:$B$1224, Sheet3!$D$2:$D$1224, "")</f>
        <v>calvinwjy81@gmail.com</v>
      </c>
      <c r="G2834" s="1" t="str" cm="1">
        <f t="array" ref="G2834">_xlfn.XLOOKUP(D2834&amp;C2834, Sheet2!$A$2:$A$558&amp;Sheet2!$B$2:$B$558, Sheet2!$C$2:$C$558, "")</f>
        <v>calvinwjy81@gmail.com</v>
      </c>
      <c r="H2834" s="40" t="str">
        <f t="shared" si="44"/>
        <v>calvinwjy81@gmail.com</v>
      </c>
    </row>
    <row r="2835" spans="1:8" ht="15.5" x14ac:dyDescent="0.35">
      <c r="A2835" s="7">
        <v>2834</v>
      </c>
      <c r="B2835" s="10">
        <v>47730</v>
      </c>
      <c r="C2835" s="13" t="s">
        <v>2488</v>
      </c>
      <c r="D2835" s="10" t="s">
        <v>2854</v>
      </c>
      <c r="E2835" s="10">
        <v>2022</v>
      </c>
      <c r="F2835" s="36" t="str" cm="1">
        <f t="array" ref="F2835">_xlfn.XLOOKUP(D2835&amp;C2835, Sheet3!$C$2:$C$1224&amp;Sheet3!$B$2:$B$1224, Sheet3!$D$2:$D$1224, "")</f>
        <v/>
      </c>
      <c r="G2835" s="1" t="str" cm="1">
        <f t="array" ref="G2835">_xlfn.XLOOKUP(D2835&amp;C2835, Sheet2!$A$2:$A$558&amp;Sheet2!$B$2:$B$558, Sheet2!$C$2:$C$558, "")</f>
        <v/>
      </c>
      <c r="H2835" s="40" t="str">
        <f t="shared" si="44"/>
        <v/>
      </c>
    </row>
    <row r="2836" spans="1:8" ht="15.5" x14ac:dyDescent="0.35">
      <c r="A2836" s="7">
        <v>2835</v>
      </c>
      <c r="B2836" s="10">
        <v>47743</v>
      </c>
      <c r="C2836" s="13" t="s">
        <v>2489</v>
      </c>
      <c r="D2836" s="10" t="s">
        <v>2854</v>
      </c>
      <c r="E2836" s="10">
        <v>2022</v>
      </c>
      <c r="F2836" s="36" t="str" cm="1">
        <f t="array" ref="F2836">_xlfn.XLOOKUP(D2836&amp;C2836, Sheet3!$C$2:$C$1224&amp;Sheet3!$B$2:$B$1224, Sheet3!$D$2:$D$1224, "")</f>
        <v/>
      </c>
      <c r="G2836" s="1" t="str" cm="1">
        <f t="array" ref="G2836">_xlfn.XLOOKUP(D2836&amp;C2836, Sheet2!$A$2:$A$558&amp;Sheet2!$B$2:$B$558, Sheet2!$C$2:$C$558, "")</f>
        <v/>
      </c>
      <c r="H2836" s="40" t="str">
        <f t="shared" si="44"/>
        <v/>
      </c>
    </row>
    <row r="2837" spans="1:8" ht="15.5" x14ac:dyDescent="0.35">
      <c r="A2837" s="7">
        <v>2836</v>
      </c>
      <c r="B2837" s="10">
        <v>47741</v>
      </c>
      <c r="C2837" s="13" t="s">
        <v>2490</v>
      </c>
      <c r="D2837" s="10" t="s">
        <v>2854</v>
      </c>
      <c r="E2837" s="10">
        <v>2022</v>
      </c>
      <c r="F2837" s="36" t="str" cm="1">
        <f t="array" ref="F2837">_xlfn.XLOOKUP(D2837&amp;C2837, Sheet3!$C$2:$C$1224&amp;Sheet3!$B$2:$B$1224, Sheet3!$D$2:$D$1224, "")</f>
        <v/>
      </c>
      <c r="G2837" s="1" t="str" cm="1">
        <f t="array" ref="G2837">_xlfn.XLOOKUP(D2837&amp;C2837, Sheet2!$A$2:$A$558&amp;Sheet2!$B$2:$B$558, Sheet2!$C$2:$C$558, "")</f>
        <v/>
      </c>
      <c r="H2837" s="40" t="str">
        <f t="shared" si="44"/>
        <v/>
      </c>
    </row>
    <row r="2838" spans="1:8" ht="15.5" x14ac:dyDescent="0.35">
      <c r="A2838" s="7">
        <v>2837</v>
      </c>
      <c r="B2838" s="10">
        <v>47225</v>
      </c>
      <c r="C2838" s="13" t="s">
        <v>2491</v>
      </c>
      <c r="D2838" s="10" t="s">
        <v>2854</v>
      </c>
      <c r="E2838" s="10">
        <v>2022</v>
      </c>
      <c r="F2838" s="36" t="str" cm="1">
        <f t="array" ref="F2838">_xlfn.XLOOKUP(D2838&amp;C2838, Sheet3!$C$2:$C$1224&amp;Sheet3!$B$2:$B$1224, Sheet3!$D$2:$D$1224, "")</f>
        <v/>
      </c>
      <c r="G2838" s="1" t="str" cm="1">
        <f t="array" ref="G2838">_xlfn.XLOOKUP(D2838&amp;C2838, Sheet2!$A$2:$A$558&amp;Sheet2!$B$2:$B$558, Sheet2!$C$2:$C$558, "")</f>
        <v/>
      </c>
      <c r="H2838" s="40" t="str">
        <f t="shared" si="44"/>
        <v/>
      </c>
    </row>
    <row r="2839" spans="1:8" ht="15.5" x14ac:dyDescent="0.35">
      <c r="A2839" s="7">
        <v>2838</v>
      </c>
      <c r="B2839" s="10">
        <v>47215</v>
      </c>
      <c r="C2839" s="13" t="s">
        <v>2492</v>
      </c>
      <c r="D2839" s="10" t="s">
        <v>2854</v>
      </c>
      <c r="E2839" s="10">
        <v>2022</v>
      </c>
      <c r="F2839" s="36" t="str" cm="1">
        <f t="array" ref="F2839">_xlfn.XLOOKUP(D2839&amp;C2839, Sheet3!$C$2:$C$1224&amp;Sheet3!$B$2:$B$1224, Sheet3!$D$2:$D$1224, "")</f>
        <v/>
      </c>
      <c r="G2839" s="1" t="str" cm="1">
        <f t="array" ref="G2839">_xlfn.XLOOKUP(D2839&amp;C2839, Sheet2!$A$2:$A$558&amp;Sheet2!$B$2:$B$558, Sheet2!$C$2:$C$558, "")</f>
        <v/>
      </c>
      <c r="H2839" s="40" t="str">
        <f t="shared" si="44"/>
        <v/>
      </c>
    </row>
    <row r="2840" spans="1:8" ht="15.5" x14ac:dyDescent="0.35">
      <c r="A2840" s="7">
        <v>2839</v>
      </c>
      <c r="B2840" s="10">
        <v>47751</v>
      </c>
      <c r="C2840" s="13" t="s">
        <v>2493</v>
      </c>
      <c r="D2840" s="10" t="s">
        <v>2854</v>
      </c>
      <c r="E2840" s="10">
        <v>2022</v>
      </c>
      <c r="F2840" s="36" t="str" cm="1">
        <f t="array" ref="F2840">_xlfn.XLOOKUP(D2840&amp;C2840, Sheet3!$C$2:$C$1224&amp;Sheet3!$B$2:$B$1224, Sheet3!$D$2:$D$1224, "")</f>
        <v/>
      </c>
      <c r="G2840" s="1" t="str" cm="1">
        <f t="array" ref="G2840">_xlfn.XLOOKUP(D2840&amp;C2840, Sheet2!$A$2:$A$558&amp;Sheet2!$B$2:$B$558, Sheet2!$C$2:$C$558, "")</f>
        <v/>
      </c>
      <c r="H2840" s="40" t="str">
        <f t="shared" si="44"/>
        <v/>
      </c>
    </row>
    <row r="2841" spans="1:8" ht="15.5" x14ac:dyDescent="0.35">
      <c r="A2841" s="7">
        <v>2840</v>
      </c>
      <c r="B2841" s="10">
        <v>47721</v>
      </c>
      <c r="C2841" s="13" t="s">
        <v>2494</v>
      </c>
      <c r="D2841" s="10" t="s">
        <v>2854</v>
      </c>
      <c r="E2841" s="10">
        <v>2022</v>
      </c>
      <c r="F2841" s="36" t="str" cm="1">
        <f t="array" ref="F2841">_xlfn.XLOOKUP(D2841&amp;C2841, Sheet3!$C$2:$C$1224&amp;Sheet3!$B$2:$B$1224, Sheet3!$D$2:$D$1224, "")</f>
        <v/>
      </c>
      <c r="G2841" s="1" t="str" cm="1">
        <f t="array" ref="G2841">_xlfn.XLOOKUP(D2841&amp;C2841, Sheet2!$A$2:$A$558&amp;Sheet2!$B$2:$B$558, Sheet2!$C$2:$C$558, "")</f>
        <v/>
      </c>
      <c r="H2841" s="40" t="str">
        <f t="shared" si="44"/>
        <v/>
      </c>
    </row>
    <row r="2842" spans="1:8" ht="15.5" x14ac:dyDescent="0.35">
      <c r="A2842" s="7">
        <v>2841</v>
      </c>
      <c r="B2842" s="10">
        <v>47719</v>
      </c>
      <c r="C2842" s="13" t="s">
        <v>2495</v>
      </c>
      <c r="D2842" s="10" t="s">
        <v>2854</v>
      </c>
      <c r="E2842" s="10">
        <v>2022</v>
      </c>
      <c r="F2842" s="36" t="str" cm="1">
        <f t="array" ref="F2842">_xlfn.XLOOKUP(D2842&amp;C2842, Sheet3!$C$2:$C$1224&amp;Sheet3!$B$2:$B$1224, Sheet3!$D$2:$D$1224, "")</f>
        <v/>
      </c>
      <c r="G2842" s="1" t="str" cm="1">
        <f t="array" ref="G2842">_xlfn.XLOOKUP(D2842&amp;C2842, Sheet2!$A$2:$A$558&amp;Sheet2!$B$2:$B$558, Sheet2!$C$2:$C$558, "")</f>
        <v/>
      </c>
      <c r="H2842" s="40" t="str">
        <f t="shared" si="44"/>
        <v/>
      </c>
    </row>
    <row r="2843" spans="1:8" ht="15.5" x14ac:dyDescent="0.35">
      <c r="A2843" s="7">
        <v>2842</v>
      </c>
      <c r="B2843" s="10">
        <v>46747</v>
      </c>
      <c r="C2843" s="13" t="s">
        <v>2496</v>
      </c>
      <c r="D2843" s="10" t="s">
        <v>2854</v>
      </c>
      <c r="E2843" s="10">
        <v>2022</v>
      </c>
      <c r="F2843" s="36" t="str" cm="1">
        <f t="array" ref="F2843">_xlfn.XLOOKUP(D2843&amp;C2843, Sheet3!$C$2:$C$1224&amp;Sheet3!$B$2:$B$1224, Sheet3!$D$2:$D$1224, "")</f>
        <v/>
      </c>
      <c r="G2843" s="1" t="str" cm="1">
        <f t="array" ref="G2843">_xlfn.XLOOKUP(D2843&amp;C2843, Sheet2!$A$2:$A$558&amp;Sheet2!$B$2:$B$558, Sheet2!$C$2:$C$558, "")</f>
        <v/>
      </c>
      <c r="H2843" s="40" t="str">
        <f t="shared" si="44"/>
        <v/>
      </c>
    </row>
    <row r="2844" spans="1:8" ht="15.5" x14ac:dyDescent="0.35">
      <c r="A2844" s="7">
        <v>2843</v>
      </c>
      <c r="B2844" s="10">
        <v>46732</v>
      </c>
      <c r="C2844" s="13" t="s">
        <v>2497</v>
      </c>
      <c r="D2844" s="10" t="s">
        <v>2854</v>
      </c>
      <c r="E2844" s="10">
        <v>2022</v>
      </c>
      <c r="F2844" s="36" t="str" cm="1">
        <f t="array" ref="F2844">_xlfn.XLOOKUP(D2844&amp;C2844, Sheet3!$C$2:$C$1224&amp;Sheet3!$B$2:$B$1224, Sheet3!$D$2:$D$1224, "")</f>
        <v/>
      </c>
      <c r="G2844" s="1" t="str" cm="1">
        <f t="array" ref="G2844">_xlfn.XLOOKUP(D2844&amp;C2844, Sheet2!$A$2:$A$558&amp;Sheet2!$B$2:$B$558, Sheet2!$C$2:$C$558, "")</f>
        <v/>
      </c>
      <c r="H2844" s="40" t="str">
        <f t="shared" si="44"/>
        <v/>
      </c>
    </row>
    <row r="2845" spans="1:8" ht="15.5" x14ac:dyDescent="0.35">
      <c r="A2845" s="7">
        <v>2844</v>
      </c>
      <c r="B2845" s="10">
        <v>46743</v>
      </c>
      <c r="C2845" s="13" t="s">
        <v>2498</v>
      </c>
      <c r="D2845" s="10" t="s">
        <v>2854</v>
      </c>
      <c r="E2845" s="10">
        <v>2022</v>
      </c>
      <c r="F2845" s="36" t="str" cm="1">
        <f t="array" ref="F2845">_xlfn.XLOOKUP(D2845&amp;C2845, Sheet3!$C$2:$C$1224&amp;Sheet3!$B$2:$B$1224, Sheet3!$D$2:$D$1224, "")</f>
        <v/>
      </c>
      <c r="G2845" s="1" t="str" cm="1">
        <f t="array" ref="G2845">_xlfn.XLOOKUP(D2845&amp;C2845, Sheet2!$A$2:$A$558&amp;Sheet2!$B$2:$B$558, Sheet2!$C$2:$C$558, "")</f>
        <v>putrinanda21218@gmail.com</v>
      </c>
      <c r="H2845" s="40" t="str">
        <f t="shared" si="44"/>
        <v>putrinanda21218@gmail.com</v>
      </c>
    </row>
    <row r="2846" spans="1:8" ht="15.5" x14ac:dyDescent="0.35">
      <c r="A2846" s="7">
        <v>2845</v>
      </c>
      <c r="B2846" s="10">
        <v>47724</v>
      </c>
      <c r="C2846" s="13" t="s">
        <v>2499</v>
      </c>
      <c r="D2846" s="10" t="s">
        <v>2854</v>
      </c>
      <c r="E2846" s="10">
        <v>2022</v>
      </c>
      <c r="F2846" s="36" t="str" cm="1">
        <f t="array" ref="F2846">_xlfn.XLOOKUP(D2846&amp;C2846, Sheet3!$C$2:$C$1224&amp;Sheet3!$B$2:$B$1224, Sheet3!$D$2:$D$1224, "")</f>
        <v/>
      </c>
      <c r="G2846" s="1" t="str" cm="1">
        <f t="array" ref="G2846">_xlfn.XLOOKUP(D2846&amp;C2846, Sheet2!$A$2:$A$558&amp;Sheet2!$B$2:$B$558, Sheet2!$C$2:$C$558, "")</f>
        <v/>
      </c>
      <c r="H2846" s="40" t="str">
        <f t="shared" si="44"/>
        <v/>
      </c>
    </row>
    <row r="2847" spans="1:8" ht="15.5" x14ac:dyDescent="0.35">
      <c r="A2847" s="7">
        <v>2846</v>
      </c>
      <c r="B2847" s="10">
        <v>46741</v>
      </c>
      <c r="C2847" s="13" t="s">
        <v>2500</v>
      </c>
      <c r="D2847" s="10" t="s">
        <v>2854</v>
      </c>
      <c r="E2847" s="10">
        <v>2022</v>
      </c>
      <c r="F2847" s="36" t="str" cm="1">
        <f t="array" ref="F2847">_xlfn.XLOOKUP(D2847&amp;C2847, Sheet3!$C$2:$C$1224&amp;Sheet3!$B$2:$B$1224, Sheet3!$D$2:$D$1224, "")</f>
        <v/>
      </c>
      <c r="G2847" s="1" t="str" cm="1">
        <f t="array" ref="G2847">_xlfn.XLOOKUP(D2847&amp;C2847, Sheet2!$A$2:$A$558&amp;Sheet2!$B$2:$B$558, Sheet2!$C$2:$C$558, "")</f>
        <v/>
      </c>
      <c r="H2847" s="40" t="str">
        <f t="shared" si="44"/>
        <v/>
      </c>
    </row>
    <row r="2848" spans="1:8" ht="15.5" x14ac:dyDescent="0.35">
      <c r="A2848" s="7">
        <v>2847</v>
      </c>
      <c r="B2848" s="10">
        <v>47713</v>
      </c>
      <c r="C2848" s="13" t="s">
        <v>2501</v>
      </c>
      <c r="D2848" s="10" t="s">
        <v>2854</v>
      </c>
      <c r="E2848" s="10">
        <v>2022</v>
      </c>
      <c r="F2848" s="36" t="str" cm="1">
        <f t="array" ref="F2848">_xlfn.XLOOKUP(D2848&amp;C2848, Sheet3!$C$2:$C$1224&amp;Sheet3!$B$2:$B$1224, Sheet3!$D$2:$D$1224, "")</f>
        <v/>
      </c>
      <c r="G2848" s="1" t="str" cm="1">
        <f t="array" ref="G2848">_xlfn.XLOOKUP(D2848&amp;C2848, Sheet2!$A$2:$A$558&amp;Sheet2!$B$2:$B$558, Sheet2!$C$2:$C$558, "")</f>
        <v/>
      </c>
      <c r="H2848" s="40" t="str">
        <f t="shared" si="44"/>
        <v/>
      </c>
    </row>
    <row r="2849" spans="1:8" ht="15.5" x14ac:dyDescent="0.35">
      <c r="A2849" s="7">
        <v>2848</v>
      </c>
      <c r="B2849" s="10">
        <v>46740</v>
      </c>
      <c r="C2849" s="13" t="s">
        <v>2502</v>
      </c>
      <c r="D2849" s="10" t="s">
        <v>2854</v>
      </c>
      <c r="E2849" s="10">
        <v>2022</v>
      </c>
      <c r="F2849" s="36" t="str" cm="1">
        <f t="array" ref="F2849">_xlfn.XLOOKUP(D2849&amp;C2849, Sheet3!$C$2:$C$1224&amp;Sheet3!$B$2:$B$1224, Sheet3!$D$2:$D$1224, "")</f>
        <v/>
      </c>
      <c r="G2849" s="1" t="str" cm="1">
        <f t="array" ref="G2849">_xlfn.XLOOKUP(D2849&amp;C2849, Sheet2!$A$2:$A$558&amp;Sheet2!$B$2:$B$558, Sheet2!$C$2:$C$558, "")</f>
        <v/>
      </c>
      <c r="H2849" s="40" t="str">
        <f t="shared" si="44"/>
        <v/>
      </c>
    </row>
    <row r="2850" spans="1:8" ht="15.5" x14ac:dyDescent="0.35">
      <c r="A2850" s="7">
        <v>2849</v>
      </c>
      <c r="B2850" s="10">
        <v>46045</v>
      </c>
      <c r="C2850" s="13" t="s">
        <v>2503</v>
      </c>
      <c r="D2850" s="10" t="s">
        <v>2853</v>
      </c>
      <c r="E2850" s="10">
        <v>2022</v>
      </c>
      <c r="F2850" s="36" t="str" cm="1">
        <f t="array" ref="F2850">_xlfn.XLOOKUP(D2850&amp;C2850, Sheet3!$C$2:$C$1224&amp;Sheet3!$B$2:$B$1224, Sheet3!$D$2:$D$1224, "")</f>
        <v/>
      </c>
      <c r="G2850" s="1" t="str" cm="1">
        <f t="array" ref="G2850">_xlfn.XLOOKUP(D2850&amp;C2850, Sheet2!$A$2:$A$558&amp;Sheet2!$B$2:$B$558, Sheet2!$C$2:$C$558, "")</f>
        <v/>
      </c>
      <c r="H2850" s="40" t="str">
        <f t="shared" si="44"/>
        <v/>
      </c>
    </row>
    <row r="2851" spans="1:8" ht="15.5" x14ac:dyDescent="0.35">
      <c r="A2851" s="7">
        <v>2850</v>
      </c>
      <c r="B2851" s="10">
        <v>46737</v>
      </c>
      <c r="C2851" s="13" t="s">
        <v>2504</v>
      </c>
      <c r="D2851" s="10" t="s">
        <v>2854</v>
      </c>
      <c r="E2851" s="10">
        <v>2022</v>
      </c>
      <c r="F2851" s="36" t="str" cm="1">
        <f t="array" ref="F2851">_xlfn.XLOOKUP(D2851&amp;C2851, Sheet3!$C$2:$C$1224&amp;Sheet3!$B$2:$B$1224, Sheet3!$D$2:$D$1224, "")</f>
        <v/>
      </c>
      <c r="G2851" s="1" t="str" cm="1">
        <f t="array" ref="G2851">_xlfn.XLOOKUP(D2851&amp;C2851, Sheet2!$A$2:$A$558&amp;Sheet2!$B$2:$B$558, Sheet2!$C$2:$C$558, "")</f>
        <v/>
      </c>
      <c r="H2851" s="40" t="str">
        <f t="shared" si="44"/>
        <v/>
      </c>
    </row>
    <row r="2852" spans="1:8" ht="15.5" x14ac:dyDescent="0.35">
      <c r="A2852" s="7">
        <v>2851</v>
      </c>
      <c r="B2852" s="10">
        <v>46750</v>
      </c>
      <c r="C2852" s="13" t="s">
        <v>2505</v>
      </c>
      <c r="D2852" s="10" t="s">
        <v>2854</v>
      </c>
      <c r="E2852" s="10">
        <v>2022</v>
      </c>
      <c r="F2852" s="36" t="str" cm="1">
        <f t="array" ref="F2852">_xlfn.XLOOKUP(D2852&amp;C2852, Sheet3!$C$2:$C$1224&amp;Sheet3!$B$2:$B$1224, Sheet3!$D$2:$D$1224, "")</f>
        <v/>
      </c>
      <c r="G2852" s="1" t="str" cm="1">
        <f t="array" ref="G2852">_xlfn.XLOOKUP(D2852&amp;C2852, Sheet2!$A$2:$A$558&amp;Sheet2!$B$2:$B$558, Sheet2!$C$2:$C$558, "")</f>
        <v/>
      </c>
      <c r="H2852" s="40" t="str">
        <f t="shared" si="44"/>
        <v/>
      </c>
    </row>
    <row r="2853" spans="1:8" ht="15.5" x14ac:dyDescent="0.35">
      <c r="A2853" s="7">
        <v>2852</v>
      </c>
      <c r="B2853" s="10">
        <v>46756</v>
      </c>
      <c r="C2853" s="13" t="s">
        <v>2506</v>
      </c>
      <c r="D2853" s="10" t="s">
        <v>2854</v>
      </c>
      <c r="E2853" s="10">
        <v>2022</v>
      </c>
      <c r="F2853" s="36" t="str" cm="1">
        <f t="array" ref="F2853">_xlfn.XLOOKUP(D2853&amp;C2853, Sheet3!$C$2:$C$1224&amp;Sheet3!$B$2:$B$1224, Sheet3!$D$2:$D$1224, "")</f>
        <v/>
      </c>
      <c r="G2853" s="1" t="str" cm="1">
        <f t="array" ref="G2853">_xlfn.XLOOKUP(D2853&amp;C2853, Sheet2!$A$2:$A$558&amp;Sheet2!$B$2:$B$558, Sheet2!$C$2:$C$558, "")</f>
        <v/>
      </c>
      <c r="H2853" s="40" t="str">
        <f t="shared" si="44"/>
        <v/>
      </c>
    </row>
    <row r="2854" spans="1:8" ht="15.5" x14ac:dyDescent="0.35">
      <c r="A2854" s="7">
        <v>2853</v>
      </c>
      <c r="B2854" s="10">
        <v>47203</v>
      </c>
      <c r="C2854" s="13" t="s">
        <v>2507</v>
      </c>
      <c r="D2854" s="10" t="s">
        <v>2854</v>
      </c>
      <c r="E2854" s="10">
        <v>2022</v>
      </c>
      <c r="F2854" s="36" t="str" cm="1">
        <f t="array" ref="F2854">_xlfn.XLOOKUP(D2854&amp;C2854, Sheet3!$C$2:$C$1224&amp;Sheet3!$B$2:$B$1224, Sheet3!$D$2:$D$1224, "")</f>
        <v/>
      </c>
      <c r="G2854" s="1" t="str" cm="1">
        <f t="array" ref="G2854">_xlfn.XLOOKUP(D2854&amp;C2854, Sheet2!$A$2:$A$558&amp;Sheet2!$B$2:$B$558, Sheet2!$C$2:$C$558, "")</f>
        <v/>
      </c>
      <c r="H2854" s="40" t="str">
        <f t="shared" si="44"/>
        <v/>
      </c>
    </row>
    <row r="2855" spans="1:8" ht="15.5" x14ac:dyDescent="0.35">
      <c r="A2855" s="7">
        <v>2854</v>
      </c>
      <c r="B2855" s="10">
        <v>47212</v>
      </c>
      <c r="C2855" s="13" t="s">
        <v>2508</v>
      </c>
      <c r="D2855" s="10" t="s">
        <v>2854</v>
      </c>
      <c r="E2855" s="10">
        <v>2022</v>
      </c>
      <c r="F2855" s="36" t="str" cm="1">
        <f t="array" ref="F2855">_xlfn.XLOOKUP(D2855&amp;C2855, Sheet3!$C$2:$C$1224&amp;Sheet3!$B$2:$B$1224, Sheet3!$D$2:$D$1224, "")</f>
        <v/>
      </c>
      <c r="G2855" s="1" t="str" cm="1">
        <f t="array" ref="G2855">_xlfn.XLOOKUP(D2855&amp;C2855, Sheet2!$A$2:$A$558&amp;Sheet2!$B$2:$B$558, Sheet2!$C$2:$C$558, "")</f>
        <v/>
      </c>
      <c r="H2855" s="40" t="str">
        <f t="shared" si="44"/>
        <v/>
      </c>
    </row>
    <row r="2856" spans="1:8" ht="15.5" x14ac:dyDescent="0.35">
      <c r="A2856" s="7">
        <v>2855</v>
      </c>
      <c r="B2856" s="10">
        <v>47213</v>
      </c>
      <c r="C2856" s="13" t="s">
        <v>2509</v>
      </c>
      <c r="D2856" s="10" t="s">
        <v>2854</v>
      </c>
      <c r="E2856" s="10">
        <v>2022</v>
      </c>
      <c r="F2856" s="36" t="str" cm="1">
        <f t="array" ref="F2856">_xlfn.XLOOKUP(D2856&amp;C2856, Sheet3!$C$2:$C$1224&amp;Sheet3!$B$2:$B$1224, Sheet3!$D$2:$D$1224, "")</f>
        <v/>
      </c>
      <c r="G2856" s="1" t="str" cm="1">
        <f t="array" ref="G2856">_xlfn.XLOOKUP(D2856&amp;C2856, Sheet2!$A$2:$A$558&amp;Sheet2!$B$2:$B$558, Sheet2!$C$2:$C$558, "")</f>
        <v/>
      </c>
      <c r="H2856" s="40" t="str">
        <f t="shared" si="44"/>
        <v/>
      </c>
    </row>
    <row r="2857" spans="1:8" ht="15.5" x14ac:dyDescent="0.35">
      <c r="A2857" s="7">
        <v>2856</v>
      </c>
      <c r="B2857" s="10">
        <v>47233</v>
      </c>
      <c r="C2857" s="13" t="s">
        <v>2510</v>
      </c>
      <c r="D2857" s="10" t="s">
        <v>2854</v>
      </c>
      <c r="E2857" s="10">
        <v>2022</v>
      </c>
      <c r="F2857" s="36" t="str" cm="1">
        <f t="array" ref="F2857">_xlfn.XLOOKUP(D2857&amp;C2857, Sheet3!$C$2:$C$1224&amp;Sheet3!$B$2:$B$1224, Sheet3!$D$2:$D$1224, "")</f>
        <v/>
      </c>
      <c r="G2857" s="1" t="str" cm="1">
        <f t="array" ref="G2857">_xlfn.XLOOKUP(D2857&amp;C2857, Sheet2!$A$2:$A$558&amp;Sheet2!$B$2:$B$558, Sheet2!$C$2:$C$558, "")</f>
        <v/>
      </c>
      <c r="H2857" s="40" t="str">
        <f t="shared" si="44"/>
        <v/>
      </c>
    </row>
    <row r="2858" spans="1:8" ht="15.5" x14ac:dyDescent="0.35">
      <c r="A2858" s="7">
        <v>2857</v>
      </c>
      <c r="B2858" s="10">
        <v>47748</v>
      </c>
      <c r="C2858" s="13" t="s">
        <v>2511</v>
      </c>
      <c r="D2858" s="10" t="s">
        <v>2854</v>
      </c>
      <c r="E2858" s="10">
        <v>2022</v>
      </c>
      <c r="F2858" s="36" t="str" cm="1">
        <f t="array" ref="F2858">_xlfn.XLOOKUP(D2858&amp;C2858, Sheet3!$C$2:$C$1224&amp;Sheet3!$B$2:$B$1224, Sheet3!$D$2:$D$1224, "")</f>
        <v/>
      </c>
      <c r="G2858" s="1" t="str" cm="1">
        <f t="array" ref="G2858">_xlfn.XLOOKUP(D2858&amp;C2858, Sheet2!$A$2:$A$558&amp;Sheet2!$B$2:$B$558, Sheet2!$C$2:$C$558, "")</f>
        <v/>
      </c>
      <c r="H2858" s="40" t="str">
        <f t="shared" si="44"/>
        <v/>
      </c>
    </row>
    <row r="2859" spans="1:8" ht="15.5" x14ac:dyDescent="0.35">
      <c r="A2859" s="7">
        <v>2858</v>
      </c>
      <c r="B2859" s="10">
        <v>46052</v>
      </c>
      <c r="C2859" s="13" t="s">
        <v>2512</v>
      </c>
      <c r="D2859" s="10" t="s">
        <v>2853</v>
      </c>
      <c r="E2859" s="10">
        <v>2022</v>
      </c>
      <c r="F2859" s="36" t="str" cm="1">
        <f t="array" ref="F2859">_xlfn.XLOOKUP(D2859&amp;C2859, Sheet3!$C$2:$C$1224&amp;Sheet3!$B$2:$B$1224, Sheet3!$D$2:$D$1224, "")</f>
        <v xml:space="preserve">muhammad.naufal.jaladika@mail.ugm.ac.id </v>
      </c>
      <c r="G2859" s="1" t="str" cm="1">
        <f t="array" ref="G2859">_xlfn.XLOOKUP(D2859&amp;C2859, Sheet2!$A$2:$A$558&amp;Sheet2!$B$2:$B$558, Sheet2!$C$2:$C$558, "")</f>
        <v/>
      </c>
      <c r="H2859" s="40" t="str">
        <f t="shared" si="44"/>
        <v xml:space="preserve">muhammad.naufal.jaladika@mail.ugm.ac.id </v>
      </c>
    </row>
    <row r="2860" spans="1:8" ht="15.5" x14ac:dyDescent="0.35">
      <c r="A2860" s="7">
        <v>2859</v>
      </c>
      <c r="B2860" s="10">
        <v>47234</v>
      </c>
      <c r="C2860" s="13" t="s">
        <v>2513</v>
      </c>
      <c r="D2860" s="10" t="s">
        <v>2854</v>
      </c>
      <c r="E2860" s="10">
        <v>2022</v>
      </c>
      <c r="F2860" s="36" t="str" cm="1">
        <f t="array" ref="F2860">_xlfn.XLOOKUP(D2860&amp;C2860, Sheet3!$C$2:$C$1224&amp;Sheet3!$B$2:$B$1224, Sheet3!$D$2:$D$1224, "")</f>
        <v/>
      </c>
      <c r="G2860" s="1" t="str" cm="1">
        <f t="array" ref="G2860">_xlfn.XLOOKUP(D2860&amp;C2860, Sheet2!$A$2:$A$558&amp;Sheet2!$B$2:$B$558, Sheet2!$C$2:$C$558, "")</f>
        <v/>
      </c>
      <c r="H2860" s="40" t="str">
        <f t="shared" si="44"/>
        <v/>
      </c>
    </row>
    <row r="2861" spans="1:8" ht="15.5" x14ac:dyDescent="0.35">
      <c r="A2861" s="7">
        <v>2860</v>
      </c>
      <c r="B2861" s="10">
        <v>46730</v>
      </c>
      <c r="C2861" s="13" t="s">
        <v>2514</v>
      </c>
      <c r="D2861" s="10" t="s">
        <v>2854</v>
      </c>
      <c r="E2861" s="10">
        <v>2022</v>
      </c>
      <c r="F2861" s="36" t="str" cm="1">
        <f t="array" ref="F2861">_xlfn.XLOOKUP(D2861&amp;C2861, Sheet3!$C$2:$C$1224&amp;Sheet3!$B$2:$B$1224, Sheet3!$D$2:$D$1224, "")</f>
        <v>fadiyasalsabila@mail.ugm.ac.id</v>
      </c>
      <c r="G2861" s="1" t="str" cm="1">
        <f t="array" ref="G2861">_xlfn.XLOOKUP(D2861&amp;C2861, Sheet2!$A$2:$A$558&amp;Sheet2!$B$2:$B$558, Sheet2!$C$2:$C$558, "")</f>
        <v/>
      </c>
      <c r="H2861" s="40" t="str">
        <f t="shared" si="44"/>
        <v>fadiyasalsabila@mail.ugm.ac.id</v>
      </c>
    </row>
    <row r="2862" spans="1:8" ht="15.5" x14ac:dyDescent="0.35">
      <c r="A2862" s="7">
        <v>2861</v>
      </c>
      <c r="B2862" s="10">
        <v>47211</v>
      </c>
      <c r="C2862" s="13" t="s">
        <v>2515</v>
      </c>
      <c r="D2862" s="10" t="s">
        <v>2854</v>
      </c>
      <c r="E2862" s="10">
        <v>2022</v>
      </c>
      <c r="F2862" s="36" t="str" cm="1">
        <f t="array" ref="F2862">_xlfn.XLOOKUP(D2862&amp;C2862, Sheet3!$C$2:$C$1224&amp;Sheet3!$B$2:$B$1224, Sheet3!$D$2:$D$1224, "")</f>
        <v/>
      </c>
      <c r="G2862" s="1" t="str" cm="1">
        <f t="array" ref="G2862">_xlfn.XLOOKUP(D2862&amp;C2862, Sheet2!$A$2:$A$558&amp;Sheet2!$B$2:$B$558, Sheet2!$C$2:$C$558, "")</f>
        <v/>
      </c>
      <c r="H2862" s="40" t="str">
        <f t="shared" si="44"/>
        <v/>
      </c>
    </row>
    <row r="2863" spans="1:8" ht="15.5" x14ac:dyDescent="0.35">
      <c r="A2863" s="7">
        <v>2862</v>
      </c>
      <c r="B2863" s="10">
        <v>46751</v>
      </c>
      <c r="C2863" s="13" t="s">
        <v>2516</v>
      </c>
      <c r="D2863" s="10" t="s">
        <v>2854</v>
      </c>
      <c r="E2863" s="10">
        <v>2022</v>
      </c>
      <c r="F2863" s="36" t="str" cm="1">
        <f t="array" ref="F2863">_xlfn.XLOOKUP(D2863&amp;C2863, Sheet3!$C$2:$C$1224&amp;Sheet3!$B$2:$B$1224, Sheet3!$D$2:$D$1224, "")</f>
        <v/>
      </c>
      <c r="G2863" s="1" t="str" cm="1">
        <f t="array" ref="G2863">_xlfn.XLOOKUP(D2863&amp;C2863, Sheet2!$A$2:$A$558&amp;Sheet2!$B$2:$B$558, Sheet2!$C$2:$C$558, "")</f>
        <v/>
      </c>
      <c r="H2863" s="40" t="str">
        <f t="shared" si="44"/>
        <v/>
      </c>
    </row>
    <row r="2864" spans="1:8" ht="15.5" x14ac:dyDescent="0.35">
      <c r="A2864" s="7">
        <v>2863</v>
      </c>
      <c r="B2864" s="10">
        <v>47737</v>
      </c>
      <c r="C2864" s="13" t="s">
        <v>2517</v>
      </c>
      <c r="D2864" s="10" t="s">
        <v>2854</v>
      </c>
      <c r="E2864" s="10">
        <v>2022</v>
      </c>
      <c r="F2864" s="36" t="str" cm="1">
        <f t="array" ref="F2864">_xlfn.XLOOKUP(D2864&amp;C2864, Sheet3!$C$2:$C$1224&amp;Sheet3!$B$2:$B$1224, Sheet3!$D$2:$D$1224, "")</f>
        <v/>
      </c>
      <c r="G2864" s="1" t="str" cm="1">
        <f t="array" ref="G2864">_xlfn.XLOOKUP(D2864&amp;C2864, Sheet2!$A$2:$A$558&amp;Sheet2!$B$2:$B$558, Sheet2!$C$2:$C$558, "")</f>
        <v/>
      </c>
      <c r="H2864" s="40" t="str">
        <f t="shared" si="44"/>
        <v/>
      </c>
    </row>
    <row r="2865" spans="1:8" ht="15.5" x14ac:dyDescent="0.35">
      <c r="A2865" s="7">
        <v>2864</v>
      </c>
      <c r="B2865" s="10">
        <v>47749</v>
      </c>
      <c r="C2865" s="13" t="s">
        <v>2518</v>
      </c>
      <c r="D2865" s="10" t="s">
        <v>2854</v>
      </c>
      <c r="E2865" s="10">
        <v>2022</v>
      </c>
      <c r="F2865" s="36" t="str" cm="1">
        <f t="array" ref="F2865">_xlfn.XLOOKUP(D2865&amp;C2865, Sheet3!$C$2:$C$1224&amp;Sheet3!$B$2:$B$1224, Sheet3!$D$2:$D$1224, "")</f>
        <v/>
      </c>
      <c r="G2865" s="1" t="str" cm="1">
        <f t="array" ref="G2865">_xlfn.XLOOKUP(D2865&amp;C2865, Sheet2!$A$2:$A$558&amp;Sheet2!$B$2:$B$558, Sheet2!$C$2:$C$558, "")</f>
        <v/>
      </c>
      <c r="H2865" s="40" t="str">
        <f t="shared" si="44"/>
        <v/>
      </c>
    </row>
    <row r="2866" spans="1:8" ht="15.5" x14ac:dyDescent="0.35">
      <c r="A2866" s="7">
        <v>2865</v>
      </c>
      <c r="B2866" s="10">
        <v>47222</v>
      </c>
      <c r="C2866" s="13" t="s">
        <v>2519</v>
      </c>
      <c r="D2866" s="10" t="s">
        <v>2854</v>
      </c>
      <c r="E2866" s="10">
        <v>2022</v>
      </c>
      <c r="F2866" s="36" t="str" cm="1">
        <f t="array" ref="F2866">_xlfn.XLOOKUP(D2866&amp;C2866, Sheet3!$C$2:$C$1224&amp;Sheet3!$B$2:$B$1224, Sheet3!$D$2:$D$1224, "")</f>
        <v>pijar1999@gmail.com</v>
      </c>
      <c r="G2866" s="1" t="str" cm="1">
        <f t="array" ref="G2866">_xlfn.XLOOKUP(D2866&amp;C2866, Sheet2!$A$2:$A$558&amp;Sheet2!$B$2:$B$558, Sheet2!$C$2:$C$558, "")</f>
        <v/>
      </c>
      <c r="H2866" s="40" t="str">
        <f t="shared" si="44"/>
        <v>pijar1999@gmail.com</v>
      </c>
    </row>
    <row r="2867" spans="1:8" ht="15.5" x14ac:dyDescent="0.35">
      <c r="A2867" s="7">
        <v>2866</v>
      </c>
      <c r="B2867" s="10">
        <v>46753</v>
      </c>
      <c r="C2867" s="13" t="s">
        <v>2520</v>
      </c>
      <c r="D2867" s="10" t="s">
        <v>2854</v>
      </c>
      <c r="E2867" s="10">
        <v>2022</v>
      </c>
      <c r="F2867" s="36" t="str" cm="1">
        <f t="array" ref="F2867">_xlfn.XLOOKUP(D2867&amp;C2867, Sheet3!$C$2:$C$1224&amp;Sheet3!$B$2:$B$1224, Sheet3!$D$2:$D$1224, "")</f>
        <v/>
      </c>
      <c r="G2867" s="1" t="str" cm="1">
        <f t="array" ref="G2867">_xlfn.XLOOKUP(D2867&amp;C2867, Sheet2!$A$2:$A$558&amp;Sheet2!$B$2:$B$558, Sheet2!$C$2:$C$558, "")</f>
        <v/>
      </c>
      <c r="H2867" s="40" t="str">
        <f t="shared" si="44"/>
        <v/>
      </c>
    </row>
    <row r="2868" spans="1:8" ht="15.5" x14ac:dyDescent="0.35">
      <c r="A2868" s="7">
        <v>2867</v>
      </c>
      <c r="B2868" s="10">
        <v>47735</v>
      </c>
      <c r="C2868" s="13" t="s">
        <v>2521</v>
      </c>
      <c r="D2868" s="10" t="s">
        <v>2854</v>
      </c>
      <c r="E2868" s="10">
        <v>2022</v>
      </c>
      <c r="F2868" s="36" t="str" cm="1">
        <f t="array" ref="F2868">_xlfn.XLOOKUP(D2868&amp;C2868, Sheet3!$C$2:$C$1224&amp;Sheet3!$B$2:$B$1224, Sheet3!$D$2:$D$1224, "")</f>
        <v/>
      </c>
      <c r="G2868" s="1" t="str" cm="1">
        <f t="array" ref="G2868">_xlfn.XLOOKUP(D2868&amp;C2868, Sheet2!$A$2:$A$558&amp;Sheet2!$B$2:$B$558, Sheet2!$C$2:$C$558, "")</f>
        <v/>
      </c>
      <c r="H2868" s="40" t="str">
        <f t="shared" si="44"/>
        <v/>
      </c>
    </row>
    <row r="2869" spans="1:8" ht="15.5" x14ac:dyDescent="0.35">
      <c r="A2869" s="7">
        <v>2868</v>
      </c>
      <c r="B2869" s="10">
        <v>46731</v>
      </c>
      <c r="C2869" s="13" t="s">
        <v>2522</v>
      </c>
      <c r="D2869" s="10" t="s">
        <v>2854</v>
      </c>
      <c r="E2869" s="10">
        <v>2022</v>
      </c>
      <c r="F2869" s="36" t="str" cm="1">
        <f t="array" ref="F2869">_xlfn.XLOOKUP(D2869&amp;C2869, Sheet3!$C$2:$C$1224&amp;Sheet3!$B$2:$B$1224, Sheet3!$D$2:$D$1224, "")</f>
        <v/>
      </c>
      <c r="G2869" s="1" t="str" cm="1">
        <f t="array" ref="G2869">_xlfn.XLOOKUP(D2869&amp;C2869, Sheet2!$A$2:$A$558&amp;Sheet2!$B$2:$B$558, Sheet2!$C$2:$C$558, "")</f>
        <v/>
      </c>
      <c r="H2869" s="40" t="str">
        <f t="shared" si="44"/>
        <v/>
      </c>
    </row>
    <row r="2870" spans="1:8" ht="15.5" x14ac:dyDescent="0.35">
      <c r="A2870" s="7">
        <v>2869</v>
      </c>
      <c r="B2870" s="10">
        <v>47229</v>
      </c>
      <c r="C2870" s="13" t="s">
        <v>2523</v>
      </c>
      <c r="D2870" s="10" t="s">
        <v>2854</v>
      </c>
      <c r="E2870" s="10">
        <v>2022</v>
      </c>
      <c r="F2870" s="36" t="str" cm="1">
        <f t="array" ref="F2870">_xlfn.XLOOKUP(D2870&amp;C2870, Sheet3!$C$2:$C$1224&amp;Sheet3!$B$2:$B$1224, Sheet3!$D$2:$D$1224, "")</f>
        <v/>
      </c>
      <c r="G2870" s="1" t="str" cm="1">
        <f t="array" ref="G2870">_xlfn.XLOOKUP(D2870&amp;C2870, Sheet2!$A$2:$A$558&amp;Sheet2!$B$2:$B$558, Sheet2!$C$2:$C$558, "")</f>
        <v/>
      </c>
      <c r="H2870" s="40" t="str">
        <f t="shared" si="44"/>
        <v/>
      </c>
    </row>
    <row r="2871" spans="1:8" ht="15.5" x14ac:dyDescent="0.35">
      <c r="A2871" s="7">
        <v>2870</v>
      </c>
      <c r="B2871" s="10">
        <v>46432</v>
      </c>
      <c r="C2871" s="13" t="s">
        <v>2524</v>
      </c>
      <c r="D2871" s="10" t="s">
        <v>2853</v>
      </c>
      <c r="E2871" s="10">
        <v>2022</v>
      </c>
      <c r="F2871" s="36" t="str" cm="1">
        <f t="array" ref="F2871">_xlfn.XLOOKUP(D2871&amp;C2871, Sheet3!$C$2:$C$1224&amp;Sheet3!$B$2:$B$1224, Sheet3!$D$2:$D$1224, "")</f>
        <v/>
      </c>
      <c r="G2871" s="1" t="str" cm="1">
        <f t="array" ref="G2871">_xlfn.XLOOKUP(D2871&amp;C2871, Sheet2!$A$2:$A$558&amp;Sheet2!$B$2:$B$558, Sheet2!$C$2:$C$558, "")</f>
        <v/>
      </c>
      <c r="H2871" s="40" t="str">
        <f t="shared" si="44"/>
        <v/>
      </c>
    </row>
    <row r="2872" spans="1:8" ht="15.5" x14ac:dyDescent="0.35">
      <c r="A2872" s="7">
        <v>2871</v>
      </c>
      <c r="B2872" s="10">
        <v>46021</v>
      </c>
      <c r="C2872" s="13" t="s">
        <v>2525</v>
      </c>
      <c r="D2872" s="10" t="s">
        <v>2853</v>
      </c>
      <c r="E2872" s="10">
        <v>2022</v>
      </c>
      <c r="F2872" s="36" t="str" cm="1">
        <f t="array" ref="F2872">_xlfn.XLOOKUP(D2872&amp;C2872, Sheet3!$C$2:$C$1224&amp;Sheet3!$B$2:$B$1224, Sheet3!$D$2:$D$1224, "")</f>
        <v>hubungiharir@gmail.com</v>
      </c>
      <c r="G2872" s="1" t="str" cm="1">
        <f t="array" ref="G2872">_xlfn.XLOOKUP(D2872&amp;C2872, Sheet2!$A$2:$A$558&amp;Sheet2!$B$2:$B$558, Sheet2!$C$2:$C$558, "")</f>
        <v/>
      </c>
      <c r="H2872" s="40" t="str">
        <f t="shared" si="44"/>
        <v>hubungiharir@gmail.com</v>
      </c>
    </row>
    <row r="2873" spans="1:8" ht="15.5" x14ac:dyDescent="0.35">
      <c r="A2873" s="7">
        <v>2872</v>
      </c>
      <c r="B2873" s="10">
        <v>47231</v>
      </c>
      <c r="C2873" s="13" t="s">
        <v>2526</v>
      </c>
      <c r="D2873" s="10" t="s">
        <v>2854</v>
      </c>
      <c r="E2873" s="10">
        <v>2022</v>
      </c>
      <c r="F2873" s="36" t="str" cm="1">
        <f t="array" ref="F2873">_xlfn.XLOOKUP(D2873&amp;C2873, Sheet3!$C$2:$C$1224&amp;Sheet3!$B$2:$B$1224, Sheet3!$D$2:$D$1224, "")</f>
        <v/>
      </c>
      <c r="G2873" s="1" t="str" cm="1">
        <f t="array" ref="G2873">_xlfn.XLOOKUP(D2873&amp;C2873, Sheet2!$A$2:$A$558&amp;Sheet2!$B$2:$B$558, Sheet2!$C$2:$C$558, "")</f>
        <v/>
      </c>
      <c r="H2873" s="40" t="str">
        <f t="shared" si="44"/>
        <v/>
      </c>
    </row>
    <row r="2874" spans="1:8" ht="15.5" x14ac:dyDescent="0.35">
      <c r="A2874" s="7">
        <v>2873</v>
      </c>
      <c r="B2874" s="10">
        <v>47726</v>
      </c>
      <c r="C2874" s="13" t="s">
        <v>2527</v>
      </c>
      <c r="D2874" s="10" t="s">
        <v>2854</v>
      </c>
      <c r="E2874" s="10">
        <v>2022</v>
      </c>
      <c r="F2874" s="36" t="str" cm="1">
        <f t="array" ref="F2874">_xlfn.XLOOKUP(D2874&amp;C2874, Sheet3!$C$2:$C$1224&amp;Sheet3!$B$2:$B$1224, Sheet3!$D$2:$D$1224, "")</f>
        <v/>
      </c>
      <c r="G2874" s="1" t="str" cm="1">
        <f t="array" ref="G2874">_xlfn.XLOOKUP(D2874&amp;C2874, Sheet2!$A$2:$A$558&amp;Sheet2!$B$2:$B$558, Sheet2!$C$2:$C$558, "")</f>
        <v/>
      </c>
      <c r="H2874" s="40" t="str">
        <f t="shared" si="44"/>
        <v/>
      </c>
    </row>
    <row r="2875" spans="1:8" ht="15.5" x14ac:dyDescent="0.35">
      <c r="A2875" s="7">
        <v>2874</v>
      </c>
      <c r="B2875" s="10">
        <v>47244</v>
      </c>
      <c r="C2875" s="13" t="s">
        <v>2528</v>
      </c>
      <c r="D2875" s="10" t="s">
        <v>2854</v>
      </c>
      <c r="E2875" s="10">
        <v>2022</v>
      </c>
      <c r="F2875" s="36" t="str" cm="1">
        <f t="array" ref="F2875">_xlfn.XLOOKUP(D2875&amp;C2875, Sheet3!$C$2:$C$1224&amp;Sheet3!$B$2:$B$1224, Sheet3!$D$2:$D$1224, "")</f>
        <v/>
      </c>
      <c r="G2875" s="1" t="str" cm="1">
        <f t="array" ref="G2875">_xlfn.XLOOKUP(D2875&amp;C2875, Sheet2!$A$2:$A$558&amp;Sheet2!$B$2:$B$558, Sheet2!$C$2:$C$558, "")</f>
        <v/>
      </c>
      <c r="H2875" s="40" t="str">
        <f t="shared" si="44"/>
        <v/>
      </c>
    </row>
    <row r="2876" spans="1:8" ht="15.5" x14ac:dyDescent="0.35">
      <c r="A2876" s="7">
        <v>2875</v>
      </c>
      <c r="B2876" s="10">
        <v>47740</v>
      </c>
      <c r="C2876" s="13" t="s">
        <v>2529</v>
      </c>
      <c r="D2876" s="10" t="s">
        <v>2854</v>
      </c>
      <c r="E2876" s="10">
        <v>2022</v>
      </c>
      <c r="F2876" s="36" t="str" cm="1">
        <f t="array" ref="F2876">_xlfn.XLOOKUP(D2876&amp;C2876, Sheet3!$C$2:$C$1224&amp;Sheet3!$B$2:$B$1224, Sheet3!$D$2:$D$1224, "")</f>
        <v/>
      </c>
      <c r="G2876" s="1" t="str" cm="1">
        <f t="array" ref="G2876">_xlfn.XLOOKUP(D2876&amp;C2876, Sheet2!$A$2:$A$558&amp;Sheet2!$B$2:$B$558, Sheet2!$C$2:$C$558, "")</f>
        <v/>
      </c>
      <c r="H2876" s="40" t="str">
        <f t="shared" si="44"/>
        <v/>
      </c>
    </row>
    <row r="2877" spans="1:8" ht="15.5" x14ac:dyDescent="0.35">
      <c r="A2877" s="7">
        <v>2876</v>
      </c>
      <c r="B2877" s="10">
        <v>46744</v>
      </c>
      <c r="C2877" s="13" t="s">
        <v>2530</v>
      </c>
      <c r="D2877" s="10" t="s">
        <v>2854</v>
      </c>
      <c r="E2877" s="10">
        <v>2022</v>
      </c>
      <c r="F2877" s="36" t="str" cm="1">
        <f t="array" ref="F2877">_xlfn.XLOOKUP(D2877&amp;C2877, Sheet3!$C$2:$C$1224&amp;Sheet3!$B$2:$B$1224, Sheet3!$D$2:$D$1224, "")</f>
        <v/>
      </c>
      <c r="G2877" s="1" t="str" cm="1">
        <f t="array" ref="G2877">_xlfn.XLOOKUP(D2877&amp;C2877, Sheet2!$A$2:$A$558&amp;Sheet2!$B$2:$B$558, Sheet2!$C$2:$C$558, "")</f>
        <v/>
      </c>
      <c r="H2877" s="40" t="str">
        <f t="shared" si="44"/>
        <v/>
      </c>
    </row>
    <row r="2878" spans="1:8" ht="15.5" x14ac:dyDescent="0.35">
      <c r="A2878" s="7">
        <v>2877</v>
      </c>
      <c r="B2878" s="10">
        <v>47237</v>
      </c>
      <c r="C2878" s="13" t="s">
        <v>2531</v>
      </c>
      <c r="D2878" s="10" t="s">
        <v>2854</v>
      </c>
      <c r="E2878" s="10">
        <v>2022</v>
      </c>
      <c r="F2878" s="36" t="str" cm="1">
        <f t="array" ref="F2878">_xlfn.XLOOKUP(D2878&amp;C2878, Sheet3!$C$2:$C$1224&amp;Sheet3!$B$2:$B$1224, Sheet3!$D$2:$D$1224, "")</f>
        <v/>
      </c>
      <c r="G2878" s="1" t="str" cm="1">
        <f t="array" ref="G2878">_xlfn.XLOOKUP(D2878&amp;C2878, Sheet2!$A$2:$A$558&amp;Sheet2!$B$2:$B$558, Sheet2!$C$2:$C$558, "")</f>
        <v/>
      </c>
      <c r="H2878" s="40" t="str">
        <f t="shared" si="44"/>
        <v/>
      </c>
    </row>
    <row r="2879" spans="1:8" ht="15.5" x14ac:dyDescent="0.35">
      <c r="A2879" s="7">
        <v>2878</v>
      </c>
      <c r="B2879" s="10">
        <v>45021</v>
      </c>
      <c r="C2879" s="13" t="s">
        <v>2532</v>
      </c>
      <c r="D2879" s="10" t="s">
        <v>2852</v>
      </c>
      <c r="E2879" s="10">
        <v>2022</v>
      </c>
      <c r="F2879" s="36" t="str" cm="1">
        <f t="array" ref="F2879">_xlfn.XLOOKUP(D2879&amp;C2879, Sheet3!$C$2:$C$1224&amp;Sheet3!$B$2:$B$1224, Sheet3!$D$2:$D$1224, "")</f>
        <v/>
      </c>
      <c r="G2879" s="1" t="str" cm="1">
        <f t="array" ref="G2879">_xlfn.XLOOKUP(D2879&amp;C2879, Sheet2!$A$2:$A$558&amp;Sheet2!$B$2:$B$558, Sheet2!$C$2:$C$558, "")</f>
        <v/>
      </c>
      <c r="H2879" s="40" t="str">
        <f t="shared" si="44"/>
        <v/>
      </c>
    </row>
    <row r="2880" spans="1:8" ht="15.5" x14ac:dyDescent="0.35">
      <c r="A2880" s="7">
        <v>2879</v>
      </c>
      <c r="B2880" s="10">
        <v>46726</v>
      </c>
      <c r="C2880" s="13" t="s">
        <v>2533</v>
      </c>
      <c r="D2880" s="10" t="s">
        <v>2854</v>
      </c>
      <c r="E2880" s="10">
        <v>2022</v>
      </c>
      <c r="F2880" s="36" t="str" cm="1">
        <f t="array" ref="F2880">_xlfn.XLOOKUP(D2880&amp;C2880, Sheet3!$C$2:$C$1224&amp;Sheet3!$B$2:$B$1224, Sheet3!$D$2:$D$1224, "")</f>
        <v/>
      </c>
      <c r="G2880" s="1" t="str" cm="1">
        <f t="array" ref="G2880">_xlfn.XLOOKUP(D2880&amp;C2880, Sheet2!$A$2:$A$558&amp;Sheet2!$B$2:$B$558, Sheet2!$C$2:$C$558, "")</f>
        <v/>
      </c>
      <c r="H2880" s="40" t="str">
        <f t="shared" si="44"/>
        <v/>
      </c>
    </row>
    <row r="2881" spans="1:8" ht="15.5" x14ac:dyDescent="0.35">
      <c r="A2881" s="7">
        <v>2880</v>
      </c>
      <c r="B2881" s="10">
        <v>47728</v>
      </c>
      <c r="C2881" s="13" t="s">
        <v>2534</v>
      </c>
      <c r="D2881" s="10" t="s">
        <v>2854</v>
      </c>
      <c r="E2881" s="10">
        <v>2022</v>
      </c>
      <c r="F2881" s="36" t="str" cm="1">
        <f t="array" ref="F2881">_xlfn.XLOOKUP(D2881&amp;C2881, Sheet3!$C$2:$C$1224&amp;Sheet3!$B$2:$B$1224, Sheet3!$D$2:$D$1224, "")</f>
        <v/>
      </c>
      <c r="G2881" s="1" t="str" cm="1">
        <f t="array" ref="G2881">_xlfn.XLOOKUP(D2881&amp;C2881, Sheet2!$A$2:$A$558&amp;Sheet2!$B$2:$B$558, Sheet2!$C$2:$C$558, "")</f>
        <v/>
      </c>
      <c r="H2881" s="40" t="str">
        <f t="shared" si="44"/>
        <v/>
      </c>
    </row>
    <row r="2882" spans="1:8" ht="15.5" x14ac:dyDescent="0.35">
      <c r="A2882" s="7">
        <v>2881</v>
      </c>
      <c r="B2882" s="10">
        <v>46738</v>
      </c>
      <c r="C2882" s="13" t="s">
        <v>2535</v>
      </c>
      <c r="D2882" s="10" t="s">
        <v>2854</v>
      </c>
      <c r="E2882" s="10">
        <v>2022</v>
      </c>
      <c r="F2882" s="36" t="str" cm="1">
        <f t="array" ref="F2882">_xlfn.XLOOKUP(D2882&amp;C2882, Sheet3!$C$2:$C$1224&amp;Sheet3!$B$2:$B$1224, Sheet3!$D$2:$D$1224, "")</f>
        <v/>
      </c>
      <c r="G2882" s="1" t="str" cm="1">
        <f t="array" ref="G2882">_xlfn.XLOOKUP(D2882&amp;C2882, Sheet2!$A$2:$A$558&amp;Sheet2!$B$2:$B$558, Sheet2!$C$2:$C$558, "")</f>
        <v/>
      </c>
      <c r="H2882" s="40" t="str">
        <f t="shared" si="44"/>
        <v/>
      </c>
    </row>
    <row r="2883" spans="1:8" ht="15.5" x14ac:dyDescent="0.35">
      <c r="A2883" s="7">
        <v>2882</v>
      </c>
      <c r="B2883" s="10">
        <v>47194</v>
      </c>
      <c r="C2883" s="13" t="s">
        <v>2536</v>
      </c>
      <c r="D2883" s="10" t="s">
        <v>2854</v>
      </c>
      <c r="E2883" s="10">
        <v>2022</v>
      </c>
      <c r="F2883" s="36" t="str" cm="1">
        <f t="array" ref="F2883">_xlfn.XLOOKUP(D2883&amp;C2883, Sheet3!$C$2:$C$1224&amp;Sheet3!$B$2:$B$1224, Sheet3!$D$2:$D$1224, "")</f>
        <v/>
      </c>
      <c r="G2883" s="1" t="str" cm="1">
        <f t="array" ref="G2883">_xlfn.XLOOKUP(D2883&amp;C2883, Sheet2!$A$2:$A$558&amp;Sheet2!$B$2:$B$558, Sheet2!$C$2:$C$558, "")</f>
        <v/>
      </c>
      <c r="H2883" s="40" t="str">
        <f t="shared" ref="H2883:H2946" si="45">IF(F2883&lt;&gt;"",F2883,G2883)</f>
        <v/>
      </c>
    </row>
    <row r="2884" spans="1:8" ht="15.5" x14ac:dyDescent="0.35">
      <c r="A2884" s="7">
        <v>2883</v>
      </c>
      <c r="B2884" s="10">
        <v>46742</v>
      </c>
      <c r="C2884" s="13" t="s">
        <v>2537</v>
      </c>
      <c r="D2884" s="10" t="s">
        <v>2854</v>
      </c>
      <c r="E2884" s="10">
        <v>2022</v>
      </c>
      <c r="F2884" s="36" t="str" cm="1">
        <f t="array" ref="F2884">_xlfn.XLOOKUP(D2884&amp;C2884, Sheet3!$C$2:$C$1224&amp;Sheet3!$B$2:$B$1224, Sheet3!$D$2:$D$1224, "")</f>
        <v/>
      </c>
      <c r="G2884" s="1" t="str" cm="1">
        <f t="array" ref="G2884">_xlfn.XLOOKUP(D2884&amp;C2884, Sheet2!$A$2:$A$558&amp;Sheet2!$B$2:$B$558, Sheet2!$C$2:$C$558, "")</f>
        <v/>
      </c>
      <c r="H2884" s="40" t="str">
        <f t="shared" si="45"/>
        <v/>
      </c>
    </row>
    <row r="2885" spans="1:8" ht="15.5" x14ac:dyDescent="0.35">
      <c r="A2885" s="7">
        <v>2884</v>
      </c>
      <c r="B2885" s="10">
        <v>47747</v>
      </c>
      <c r="C2885" s="13" t="s">
        <v>2538</v>
      </c>
      <c r="D2885" s="10" t="s">
        <v>2854</v>
      </c>
      <c r="E2885" s="10">
        <v>2023</v>
      </c>
      <c r="F2885" s="36" t="str" cm="1">
        <f t="array" ref="F2885">_xlfn.XLOOKUP(D2885&amp;C2885, Sheet3!$C$2:$C$1224&amp;Sheet3!$B$2:$B$1224, Sheet3!$D$2:$D$1224, "")</f>
        <v/>
      </c>
      <c r="G2885" s="1" t="str" cm="1">
        <f t="array" ref="G2885">_xlfn.XLOOKUP(D2885&amp;C2885, Sheet2!$A$2:$A$558&amp;Sheet2!$B$2:$B$558, Sheet2!$C$2:$C$558, "")</f>
        <v/>
      </c>
      <c r="H2885" s="40" t="str">
        <f t="shared" si="45"/>
        <v/>
      </c>
    </row>
    <row r="2886" spans="1:8" ht="15.5" x14ac:dyDescent="0.35">
      <c r="A2886" s="7">
        <v>2885</v>
      </c>
      <c r="B2886" s="10">
        <v>47240</v>
      </c>
      <c r="C2886" s="13" t="s">
        <v>2539</v>
      </c>
      <c r="D2886" s="10" t="s">
        <v>2854</v>
      </c>
      <c r="E2886" s="10">
        <v>2023</v>
      </c>
      <c r="F2886" s="36" t="str" cm="1">
        <f t="array" ref="F2886">_xlfn.XLOOKUP(D2886&amp;C2886, Sheet3!$C$2:$C$1224&amp;Sheet3!$B$2:$B$1224, Sheet3!$D$2:$D$1224, "")</f>
        <v/>
      </c>
      <c r="G2886" s="1" t="str" cm="1">
        <f t="array" ref="G2886">_xlfn.XLOOKUP(D2886&amp;C2886, Sheet2!$A$2:$A$558&amp;Sheet2!$B$2:$B$558, Sheet2!$C$2:$C$558, "")</f>
        <v/>
      </c>
      <c r="H2886" s="40" t="str">
        <f t="shared" si="45"/>
        <v/>
      </c>
    </row>
    <row r="2887" spans="1:8" ht="15.5" x14ac:dyDescent="0.35">
      <c r="A2887" s="7">
        <v>2886</v>
      </c>
      <c r="B2887" s="10">
        <v>47206</v>
      </c>
      <c r="C2887" s="13" t="s">
        <v>2540</v>
      </c>
      <c r="D2887" s="10" t="s">
        <v>2854</v>
      </c>
      <c r="E2887" s="10">
        <v>2023</v>
      </c>
      <c r="F2887" s="36" t="str" cm="1">
        <f t="array" ref="F2887">_xlfn.XLOOKUP(D2887&amp;C2887, Sheet3!$C$2:$C$1224&amp;Sheet3!$B$2:$B$1224, Sheet3!$D$2:$D$1224, "")</f>
        <v/>
      </c>
      <c r="G2887" s="1" t="str" cm="1">
        <f t="array" ref="G2887">_xlfn.XLOOKUP(D2887&amp;C2887, Sheet2!$A$2:$A$558&amp;Sheet2!$B$2:$B$558, Sheet2!$C$2:$C$558, "")</f>
        <v/>
      </c>
      <c r="H2887" s="40" t="str">
        <f t="shared" si="45"/>
        <v/>
      </c>
    </row>
    <row r="2888" spans="1:8" ht="15.5" x14ac:dyDescent="0.35">
      <c r="A2888" s="7">
        <v>2887</v>
      </c>
      <c r="B2888" s="10">
        <v>47200</v>
      </c>
      <c r="C2888" s="13" t="s">
        <v>2541</v>
      </c>
      <c r="D2888" s="10" t="s">
        <v>2854</v>
      </c>
      <c r="E2888" s="10">
        <v>2023</v>
      </c>
      <c r="F2888" s="36" t="str" cm="1">
        <f t="array" ref="F2888">_xlfn.XLOOKUP(D2888&amp;C2888, Sheet3!$C$2:$C$1224&amp;Sheet3!$B$2:$B$1224, Sheet3!$D$2:$D$1224, "")</f>
        <v/>
      </c>
      <c r="G2888" s="1" t="str" cm="1">
        <f t="array" ref="G2888">_xlfn.XLOOKUP(D2888&amp;C2888, Sheet2!$A$2:$A$558&amp;Sheet2!$B$2:$B$558, Sheet2!$C$2:$C$558, "")</f>
        <v/>
      </c>
      <c r="H2888" s="40" t="str">
        <f t="shared" si="45"/>
        <v/>
      </c>
    </row>
    <row r="2889" spans="1:8" ht="15.5" x14ac:dyDescent="0.35">
      <c r="A2889" s="7">
        <v>2888</v>
      </c>
      <c r="B2889" s="10">
        <v>47230</v>
      </c>
      <c r="C2889" s="13" t="s">
        <v>2542</v>
      </c>
      <c r="D2889" s="10" t="s">
        <v>2854</v>
      </c>
      <c r="E2889" s="10">
        <v>2023</v>
      </c>
      <c r="F2889" s="36" t="str" cm="1">
        <f t="array" ref="F2889">_xlfn.XLOOKUP(D2889&amp;C2889, Sheet3!$C$2:$C$1224&amp;Sheet3!$B$2:$B$1224, Sheet3!$D$2:$D$1224, "")</f>
        <v/>
      </c>
      <c r="G2889" s="1" t="str" cm="1">
        <f t="array" ref="G2889">_xlfn.XLOOKUP(D2889&amp;C2889, Sheet2!$A$2:$A$558&amp;Sheet2!$B$2:$B$558, Sheet2!$C$2:$C$558, "")</f>
        <v/>
      </c>
      <c r="H2889" s="40" t="str">
        <f t="shared" si="45"/>
        <v/>
      </c>
    </row>
    <row r="2890" spans="1:8" ht="15.5" x14ac:dyDescent="0.35">
      <c r="A2890" s="7">
        <v>2889</v>
      </c>
      <c r="B2890" s="10">
        <v>46746</v>
      </c>
      <c r="C2890" s="13" t="s">
        <v>2543</v>
      </c>
      <c r="D2890" s="10" t="s">
        <v>2854</v>
      </c>
      <c r="E2890" s="10">
        <v>2023</v>
      </c>
      <c r="F2890" s="36" t="str" cm="1">
        <f t="array" ref="F2890">_xlfn.XLOOKUP(D2890&amp;C2890, Sheet3!$C$2:$C$1224&amp;Sheet3!$B$2:$B$1224, Sheet3!$D$2:$D$1224, "")</f>
        <v/>
      </c>
      <c r="G2890" s="1" t="str" cm="1">
        <f t="array" ref="G2890">_xlfn.XLOOKUP(D2890&amp;C2890, Sheet2!$A$2:$A$558&amp;Sheet2!$B$2:$B$558, Sheet2!$C$2:$C$558, "")</f>
        <v/>
      </c>
      <c r="H2890" s="40" t="str">
        <f t="shared" si="45"/>
        <v/>
      </c>
    </row>
    <row r="2891" spans="1:8" ht="15.5" x14ac:dyDescent="0.35">
      <c r="A2891" s="7">
        <v>2890</v>
      </c>
      <c r="B2891" s="10">
        <v>47198</v>
      </c>
      <c r="C2891" s="13" t="s">
        <v>2544</v>
      </c>
      <c r="D2891" s="10" t="s">
        <v>2854</v>
      </c>
      <c r="E2891" s="10">
        <v>2023</v>
      </c>
      <c r="F2891" s="36" t="str" cm="1">
        <f t="array" ref="F2891">_xlfn.XLOOKUP(D2891&amp;C2891, Sheet3!$C$2:$C$1224&amp;Sheet3!$B$2:$B$1224, Sheet3!$D$2:$D$1224, "")</f>
        <v/>
      </c>
      <c r="G2891" s="1" t="str" cm="1">
        <f t="array" ref="G2891">_xlfn.XLOOKUP(D2891&amp;C2891, Sheet2!$A$2:$A$558&amp;Sheet2!$B$2:$B$558, Sheet2!$C$2:$C$558, "")</f>
        <v/>
      </c>
      <c r="H2891" s="40" t="str">
        <f t="shared" si="45"/>
        <v/>
      </c>
    </row>
    <row r="2892" spans="1:8" ht="15.5" x14ac:dyDescent="0.35">
      <c r="A2892" s="7">
        <v>2891</v>
      </c>
      <c r="B2892" s="10">
        <v>47216</v>
      </c>
      <c r="C2892" s="13" t="s">
        <v>2545</v>
      </c>
      <c r="D2892" s="10" t="s">
        <v>2854</v>
      </c>
      <c r="E2892" s="10">
        <v>2023</v>
      </c>
      <c r="F2892" s="36" t="str" cm="1">
        <f t="array" ref="F2892">_xlfn.XLOOKUP(D2892&amp;C2892, Sheet3!$C$2:$C$1224&amp;Sheet3!$B$2:$B$1224, Sheet3!$D$2:$D$1224, "")</f>
        <v/>
      </c>
      <c r="G2892" s="1" t="str" cm="1">
        <f t="array" ref="G2892">_xlfn.XLOOKUP(D2892&amp;C2892, Sheet2!$A$2:$A$558&amp;Sheet2!$B$2:$B$558, Sheet2!$C$2:$C$558, "")</f>
        <v/>
      </c>
      <c r="H2892" s="40" t="str">
        <f t="shared" si="45"/>
        <v/>
      </c>
    </row>
    <row r="2893" spans="1:8" ht="15.5" x14ac:dyDescent="0.35">
      <c r="A2893" s="7">
        <v>2892</v>
      </c>
      <c r="B2893" s="10">
        <v>47742</v>
      </c>
      <c r="C2893" s="13" t="s">
        <v>2546</v>
      </c>
      <c r="D2893" s="10" t="s">
        <v>2854</v>
      </c>
      <c r="E2893" s="10">
        <v>2023</v>
      </c>
      <c r="F2893" s="36" t="str" cm="1">
        <f t="array" ref="F2893">_xlfn.XLOOKUP(D2893&amp;C2893, Sheet3!$C$2:$C$1224&amp;Sheet3!$B$2:$B$1224, Sheet3!$D$2:$D$1224, "")</f>
        <v/>
      </c>
      <c r="G2893" s="1" t="str" cm="1">
        <f t="array" ref="G2893">_xlfn.XLOOKUP(D2893&amp;C2893, Sheet2!$A$2:$A$558&amp;Sheet2!$B$2:$B$558, Sheet2!$C$2:$C$558, "")</f>
        <v/>
      </c>
      <c r="H2893" s="40" t="str">
        <f t="shared" si="45"/>
        <v/>
      </c>
    </row>
    <row r="2894" spans="1:8" ht="15.5" x14ac:dyDescent="0.35">
      <c r="A2894" s="7">
        <v>2893</v>
      </c>
      <c r="B2894" s="10">
        <v>47193</v>
      </c>
      <c r="C2894" s="13" t="s">
        <v>2547</v>
      </c>
      <c r="D2894" s="10" t="s">
        <v>2854</v>
      </c>
      <c r="E2894" s="10">
        <v>2023</v>
      </c>
      <c r="F2894" s="36" t="str" cm="1">
        <f t="array" ref="F2894">_xlfn.XLOOKUP(D2894&amp;C2894, Sheet3!$C$2:$C$1224&amp;Sheet3!$B$2:$B$1224, Sheet3!$D$2:$D$1224, "")</f>
        <v/>
      </c>
      <c r="G2894" s="1" t="str" cm="1">
        <f t="array" ref="G2894">_xlfn.XLOOKUP(D2894&amp;C2894, Sheet2!$A$2:$A$558&amp;Sheet2!$B$2:$B$558, Sheet2!$C$2:$C$558, "")</f>
        <v/>
      </c>
      <c r="H2894" s="40" t="str">
        <f t="shared" si="45"/>
        <v/>
      </c>
    </row>
    <row r="2895" spans="1:8" ht="15.5" x14ac:dyDescent="0.35">
      <c r="A2895" s="7">
        <v>2894</v>
      </c>
      <c r="B2895" s="10">
        <v>44117</v>
      </c>
      <c r="C2895" s="13" t="s">
        <v>2548</v>
      </c>
      <c r="D2895" s="10" t="s">
        <v>2851</v>
      </c>
      <c r="E2895" s="10">
        <v>2023</v>
      </c>
      <c r="F2895" s="36" t="str" cm="1">
        <f t="array" ref="F2895">_xlfn.XLOOKUP(D2895&amp;C2895, Sheet3!$C$2:$C$1224&amp;Sheet3!$B$2:$B$1224, Sheet3!$D$2:$D$1224, "")</f>
        <v/>
      </c>
      <c r="G2895" s="1" t="str" cm="1">
        <f t="array" ref="G2895">_xlfn.XLOOKUP(D2895&amp;C2895, Sheet2!$A$2:$A$558&amp;Sheet2!$B$2:$B$558, Sheet2!$C$2:$C$558, "")</f>
        <v/>
      </c>
      <c r="H2895" s="40" t="str">
        <f t="shared" si="45"/>
        <v/>
      </c>
    </row>
    <row r="2896" spans="1:8" ht="15.5" x14ac:dyDescent="0.35">
      <c r="A2896" s="7">
        <v>2895</v>
      </c>
      <c r="B2896" s="10"/>
      <c r="C2896" s="13" t="s">
        <v>2549</v>
      </c>
      <c r="D2896" s="10" t="s">
        <v>2852</v>
      </c>
      <c r="E2896" s="10">
        <v>2023</v>
      </c>
      <c r="F2896" s="36" t="str" cm="1">
        <f t="array" ref="F2896">_xlfn.XLOOKUP(D2896&amp;C2896, Sheet3!$C$2:$C$1224&amp;Sheet3!$B$2:$B$1224, Sheet3!$D$2:$D$1224, "")</f>
        <v/>
      </c>
      <c r="G2896" s="1" t="str" cm="1">
        <f t="array" ref="G2896">_xlfn.XLOOKUP(D2896&amp;C2896, Sheet2!$A$2:$A$558&amp;Sheet2!$B$2:$B$558, Sheet2!$C$2:$C$558, "")</f>
        <v/>
      </c>
      <c r="H2896" s="40" t="str">
        <f t="shared" si="45"/>
        <v/>
      </c>
    </row>
    <row r="2897" spans="1:8" ht="15.5" x14ac:dyDescent="0.35">
      <c r="A2897" s="7">
        <v>2896</v>
      </c>
      <c r="B2897" s="10">
        <v>43644</v>
      </c>
      <c r="C2897" s="13" t="s">
        <v>2550</v>
      </c>
      <c r="D2897" s="10" t="s">
        <v>2851</v>
      </c>
      <c r="E2897" s="10">
        <v>2023</v>
      </c>
      <c r="F2897" s="36" t="str" cm="1">
        <f t="array" ref="F2897">_xlfn.XLOOKUP(D2897&amp;C2897, Sheet3!$C$2:$C$1224&amp;Sheet3!$B$2:$B$1224, Sheet3!$D$2:$D$1224, "")</f>
        <v/>
      </c>
      <c r="G2897" s="1" t="str" cm="1">
        <f t="array" ref="G2897">_xlfn.XLOOKUP(D2897&amp;C2897, Sheet2!$A$2:$A$558&amp;Sheet2!$B$2:$B$558, Sheet2!$C$2:$C$558, "")</f>
        <v/>
      </c>
      <c r="H2897" s="40" t="str">
        <f t="shared" si="45"/>
        <v/>
      </c>
    </row>
    <row r="2898" spans="1:8" ht="15.5" x14ac:dyDescent="0.35">
      <c r="A2898" s="7">
        <v>2897</v>
      </c>
      <c r="B2898" s="10">
        <v>47197</v>
      </c>
      <c r="C2898" s="13" t="s">
        <v>2551</v>
      </c>
      <c r="D2898" s="10" t="s">
        <v>2854</v>
      </c>
      <c r="E2898" s="10">
        <v>2023</v>
      </c>
      <c r="F2898" s="36" t="str" cm="1">
        <f t="array" ref="F2898">_xlfn.XLOOKUP(D2898&amp;C2898, Sheet3!$C$2:$C$1224&amp;Sheet3!$B$2:$B$1224, Sheet3!$D$2:$D$1224, "")</f>
        <v/>
      </c>
      <c r="G2898" s="1" t="str" cm="1">
        <f t="array" ref="G2898">_xlfn.XLOOKUP(D2898&amp;C2898, Sheet2!$A$2:$A$558&amp;Sheet2!$B$2:$B$558, Sheet2!$C$2:$C$558, "")</f>
        <v/>
      </c>
      <c r="H2898" s="40" t="str">
        <f t="shared" si="45"/>
        <v/>
      </c>
    </row>
    <row r="2899" spans="1:8" ht="15.5" x14ac:dyDescent="0.35">
      <c r="A2899" s="7">
        <v>2898</v>
      </c>
      <c r="B2899" s="10">
        <v>46736</v>
      </c>
      <c r="C2899" s="13" t="s">
        <v>2552</v>
      </c>
      <c r="D2899" s="10" t="s">
        <v>2854</v>
      </c>
      <c r="E2899" s="10">
        <v>2023</v>
      </c>
      <c r="F2899" s="36" t="str" cm="1">
        <f t="array" ref="F2899">_xlfn.XLOOKUP(D2899&amp;C2899, Sheet3!$C$2:$C$1224&amp;Sheet3!$B$2:$B$1224, Sheet3!$D$2:$D$1224, "")</f>
        <v/>
      </c>
      <c r="G2899" s="1" t="str" cm="1">
        <f t="array" ref="G2899">_xlfn.XLOOKUP(D2899&amp;C2899, Sheet2!$A$2:$A$558&amp;Sheet2!$B$2:$B$558, Sheet2!$C$2:$C$558, "")</f>
        <v/>
      </c>
      <c r="H2899" s="40" t="str">
        <f t="shared" si="45"/>
        <v/>
      </c>
    </row>
    <row r="2900" spans="1:8" ht="15.5" x14ac:dyDescent="0.35">
      <c r="A2900" s="7">
        <v>2899</v>
      </c>
      <c r="B2900" s="10">
        <v>46757</v>
      </c>
      <c r="C2900" s="13" t="s">
        <v>2553</v>
      </c>
      <c r="D2900" s="10" t="s">
        <v>2854</v>
      </c>
      <c r="E2900" s="10">
        <v>2023</v>
      </c>
      <c r="F2900" s="36" t="str" cm="1">
        <f t="array" ref="F2900">_xlfn.XLOOKUP(D2900&amp;C2900, Sheet3!$C$2:$C$1224&amp;Sheet3!$B$2:$B$1224, Sheet3!$D$2:$D$1224, "")</f>
        <v/>
      </c>
      <c r="G2900" s="1" t="str" cm="1">
        <f t="array" ref="G2900">_xlfn.XLOOKUP(D2900&amp;C2900, Sheet2!$A$2:$A$558&amp;Sheet2!$B$2:$B$558, Sheet2!$C$2:$C$558, "")</f>
        <v/>
      </c>
      <c r="H2900" s="40" t="str">
        <f t="shared" si="45"/>
        <v/>
      </c>
    </row>
    <row r="2901" spans="1:8" ht="15.5" x14ac:dyDescent="0.35">
      <c r="A2901" s="7">
        <v>2900</v>
      </c>
      <c r="B2901" s="10">
        <v>46442</v>
      </c>
      <c r="C2901" s="13" t="s">
        <v>2554</v>
      </c>
      <c r="D2901" s="10" t="s">
        <v>2853</v>
      </c>
      <c r="E2901" s="10">
        <v>2023</v>
      </c>
      <c r="F2901" s="36" t="str" cm="1">
        <f t="array" ref="F2901">_xlfn.XLOOKUP(D2901&amp;C2901, Sheet3!$C$2:$C$1224&amp;Sheet3!$B$2:$B$1224, Sheet3!$D$2:$D$1224, "")</f>
        <v/>
      </c>
      <c r="G2901" s="1" t="str" cm="1">
        <f t="array" ref="G2901">_xlfn.XLOOKUP(D2901&amp;C2901, Sheet2!$A$2:$A$558&amp;Sheet2!$B$2:$B$558, Sheet2!$C$2:$C$558, "")</f>
        <v/>
      </c>
      <c r="H2901" s="40" t="str">
        <f t="shared" si="45"/>
        <v/>
      </c>
    </row>
    <row r="2902" spans="1:8" ht="15.5" x14ac:dyDescent="0.35">
      <c r="A2902" s="7">
        <v>2901</v>
      </c>
      <c r="B2902" s="10">
        <v>47750</v>
      </c>
      <c r="C2902" s="13" t="s">
        <v>2555</v>
      </c>
      <c r="D2902" s="10" t="s">
        <v>2854</v>
      </c>
      <c r="E2902" s="10">
        <v>2023</v>
      </c>
      <c r="F2902" s="36" t="str" cm="1">
        <f t="array" ref="F2902">_xlfn.XLOOKUP(D2902&amp;C2902, Sheet3!$C$2:$C$1224&amp;Sheet3!$B$2:$B$1224, Sheet3!$D$2:$D$1224, "")</f>
        <v/>
      </c>
      <c r="G2902" s="1" t="str" cm="1">
        <f t="array" ref="G2902">_xlfn.XLOOKUP(D2902&amp;C2902, Sheet2!$A$2:$A$558&amp;Sheet2!$B$2:$B$558, Sheet2!$C$2:$C$558, "")</f>
        <v/>
      </c>
      <c r="H2902" s="40" t="str">
        <f t="shared" si="45"/>
        <v/>
      </c>
    </row>
    <row r="2903" spans="1:8" ht="15.5" x14ac:dyDescent="0.35">
      <c r="A2903" s="7">
        <v>2902</v>
      </c>
      <c r="B2903" s="10">
        <v>45022</v>
      </c>
      <c r="C2903" s="13" t="s">
        <v>2556</v>
      </c>
      <c r="D2903" s="10" t="s">
        <v>2852</v>
      </c>
      <c r="E2903" s="10">
        <v>2023</v>
      </c>
      <c r="F2903" s="36" t="str" cm="1">
        <f t="array" ref="F2903">_xlfn.XLOOKUP(D2903&amp;C2903, Sheet3!$C$2:$C$1224&amp;Sheet3!$B$2:$B$1224, Sheet3!$D$2:$D$1224, "")</f>
        <v/>
      </c>
      <c r="G2903" s="1" t="str" cm="1">
        <f t="array" ref="G2903">_xlfn.XLOOKUP(D2903&amp;C2903, Sheet2!$A$2:$A$558&amp;Sheet2!$B$2:$B$558, Sheet2!$C$2:$C$558, "")</f>
        <v/>
      </c>
      <c r="H2903" s="40" t="str">
        <f t="shared" si="45"/>
        <v/>
      </c>
    </row>
    <row r="2904" spans="1:8" ht="15.5" x14ac:dyDescent="0.35">
      <c r="A2904" s="7">
        <v>2903</v>
      </c>
      <c r="B2904" s="10">
        <v>47745</v>
      </c>
      <c r="C2904" s="13" t="s">
        <v>2557</v>
      </c>
      <c r="D2904" s="10" t="s">
        <v>2854</v>
      </c>
      <c r="E2904" s="10">
        <v>2023</v>
      </c>
      <c r="F2904" s="36" t="str" cm="1">
        <f t="array" ref="F2904">_xlfn.XLOOKUP(D2904&amp;C2904, Sheet3!$C$2:$C$1224&amp;Sheet3!$B$2:$B$1224, Sheet3!$D$2:$D$1224, "")</f>
        <v/>
      </c>
      <c r="G2904" s="1" t="str" cm="1">
        <f t="array" ref="G2904">_xlfn.XLOOKUP(D2904&amp;C2904, Sheet2!$A$2:$A$558&amp;Sheet2!$B$2:$B$558, Sheet2!$C$2:$C$558, "")</f>
        <v/>
      </c>
      <c r="H2904" s="40" t="str">
        <f t="shared" si="45"/>
        <v/>
      </c>
    </row>
    <row r="2905" spans="1:8" ht="15.5" x14ac:dyDescent="0.35">
      <c r="A2905" s="7">
        <v>2904</v>
      </c>
      <c r="B2905" s="10">
        <v>46758</v>
      </c>
      <c r="C2905" s="13" t="s">
        <v>2558</v>
      </c>
      <c r="D2905" s="10" t="s">
        <v>2854</v>
      </c>
      <c r="E2905" s="10">
        <v>2023</v>
      </c>
      <c r="F2905" s="36" t="str" cm="1">
        <f t="array" ref="F2905">_xlfn.XLOOKUP(D2905&amp;C2905, Sheet3!$C$2:$C$1224&amp;Sheet3!$B$2:$B$1224, Sheet3!$D$2:$D$1224, "")</f>
        <v/>
      </c>
      <c r="G2905" s="1" t="str" cm="1">
        <f t="array" ref="G2905">_xlfn.XLOOKUP(D2905&amp;C2905, Sheet2!$A$2:$A$558&amp;Sheet2!$B$2:$B$558, Sheet2!$C$2:$C$558, "")</f>
        <v/>
      </c>
      <c r="H2905" s="40" t="str">
        <f t="shared" si="45"/>
        <v/>
      </c>
    </row>
    <row r="2906" spans="1:8" ht="15.5" x14ac:dyDescent="0.35">
      <c r="A2906" s="7">
        <v>2905</v>
      </c>
      <c r="B2906" s="10">
        <v>47236</v>
      </c>
      <c r="C2906" s="13" t="s">
        <v>2559</v>
      </c>
      <c r="D2906" s="10" t="s">
        <v>2854</v>
      </c>
      <c r="E2906" s="10">
        <v>2023</v>
      </c>
      <c r="F2906" s="36" t="str" cm="1">
        <f t="array" ref="F2906">_xlfn.XLOOKUP(D2906&amp;C2906, Sheet3!$C$2:$C$1224&amp;Sheet3!$B$2:$B$1224, Sheet3!$D$2:$D$1224, "")</f>
        <v/>
      </c>
      <c r="G2906" s="1" t="str" cm="1">
        <f t="array" ref="G2906">_xlfn.XLOOKUP(D2906&amp;C2906, Sheet2!$A$2:$A$558&amp;Sheet2!$B$2:$B$558, Sheet2!$C$2:$C$558, "")</f>
        <v/>
      </c>
      <c r="H2906" s="40" t="str">
        <f t="shared" si="45"/>
        <v/>
      </c>
    </row>
    <row r="2907" spans="1:8" ht="15.5" x14ac:dyDescent="0.35">
      <c r="A2907" s="7">
        <v>2906</v>
      </c>
      <c r="B2907" s="10">
        <v>47241</v>
      </c>
      <c r="C2907" s="13" t="s">
        <v>2560</v>
      </c>
      <c r="D2907" s="10" t="s">
        <v>2854</v>
      </c>
      <c r="E2907" s="10">
        <v>2023</v>
      </c>
      <c r="F2907" s="36" t="str" cm="1">
        <f t="array" ref="F2907">_xlfn.XLOOKUP(D2907&amp;C2907, Sheet3!$C$2:$C$1224&amp;Sheet3!$B$2:$B$1224, Sheet3!$D$2:$D$1224, "")</f>
        <v/>
      </c>
      <c r="G2907" s="1" t="str" cm="1">
        <f t="array" ref="G2907">_xlfn.XLOOKUP(D2907&amp;C2907, Sheet2!$A$2:$A$558&amp;Sheet2!$B$2:$B$558, Sheet2!$C$2:$C$558, "")</f>
        <v/>
      </c>
      <c r="H2907" s="40" t="str">
        <f t="shared" si="45"/>
        <v/>
      </c>
    </row>
    <row r="2908" spans="1:8" ht="15.5" x14ac:dyDescent="0.35">
      <c r="A2908" s="7">
        <v>2907</v>
      </c>
      <c r="B2908" s="10">
        <v>46720</v>
      </c>
      <c r="C2908" s="13" t="s">
        <v>2561</v>
      </c>
      <c r="D2908" s="10" t="s">
        <v>2854</v>
      </c>
      <c r="E2908" s="10">
        <v>2023</v>
      </c>
      <c r="F2908" s="36" t="str" cm="1">
        <f t="array" ref="F2908">_xlfn.XLOOKUP(D2908&amp;C2908, Sheet3!$C$2:$C$1224&amp;Sheet3!$B$2:$B$1224, Sheet3!$D$2:$D$1224, "")</f>
        <v/>
      </c>
      <c r="G2908" s="1" t="str" cm="1">
        <f t="array" ref="G2908">_xlfn.XLOOKUP(D2908&amp;C2908, Sheet2!$A$2:$A$558&amp;Sheet2!$B$2:$B$558, Sheet2!$C$2:$C$558, "")</f>
        <v/>
      </c>
      <c r="H2908" s="40" t="str">
        <f t="shared" si="45"/>
        <v/>
      </c>
    </row>
    <row r="2909" spans="1:8" ht="15.5" x14ac:dyDescent="0.35">
      <c r="A2909" s="7">
        <v>2908</v>
      </c>
      <c r="B2909" s="10">
        <v>47733</v>
      </c>
      <c r="C2909" s="13" t="s">
        <v>2562</v>
      </c>
      <c r="D2909" s="10" t="s">
        <v>2854</v>
      </c>
      <c r="E2909" s="10">
        <v>2023</v>
      </c>
      <c r="F2909" s="36" t="str" cm="1">
        <f t="array" ref="F2909">_xlfn.XLOOKUP(D2909&amp;C2909, Sheet3!$C$2:$C$1224&amp;Sheet3!$B$2:$B$1224, Sheet3!$D$2:$D$1224, "")</f>
        <v/>
      </c>
      <c r="G2909" s="1" t="str" cm="1">
        <f t="array" ref="G2909">_xlfn.XLOOKUP(D2909&amp;C2909, Sheet2!$A$2:$A$558&amp;Sheet2!$B$2:$B$558, Sheet2!$C$2:$C$558, "")</f>
        <v/>
      </c>
      <c r="H2909" s="40" t="str">
        <f t="shared" si="45"/>
        <v/>
      </c>
    </row>
    <row r="2910" spans="1:8" ht="15.5" x14ac:dyDescent="0.35">
      <c r="A2910" s="7">
        <v>2909</v>
      </c>
      <c r="B2910" s="10">
        <v>47226</v>
      </c>
      <c r="C2910" s="13" t="s">
        <v>2563</v>
      </c>
      <c r="D2910" s="10" t="s">
        <v>2854</v>
      </c>
      <c r="E2910" s="10">
        <v>2023</v>
      </c>
      <c r="F2910" s="36" t="str" cm="1">
        <f t="array" ref="F2910">_xlfn.XLOOKUP(D2910&amp;C2910, Sheet3!$C$2:$C$1224&amp;Sheet3!$B$2:$B$1224, Sheet3!$D$2:$D$1224, "")</f>
        <v/>
      </c>
      <c r="G2910" s="1" t="str" cm="1">
        <f t="array" ref="G2910">_xlfn.XLOOKUP(D2910&amp;C2910, Sheet2!$A$2:$A$558&amp;Sheet2!$B$2:$B$558, Sheet2!$C$2:$C$558, "")</f>
        <v/>
      </c>
      <c r="H2910" s="40" t="str">
        <f t="shared" si="45"/>
        <v/>
      </c>
    </row>
    <row r="2911" spans="1:8" ht="15.5" x14ac:dyDescent="0.35">
      <c r="A2911" s="7">
        <v>2910</v>
      </c>
      <c r="B2911" s="10">
        <v>47204</v>
      </c>
      <c r="C2911" s="13" t="s">
        <v>2564</v>
      </c>
      <c r="D2911" s="10" t="s">
        <v>2854</v>
      </c>
      <c r="E2911" s="10">
        <v>2023</v>
      </c>
      <c r="F2911" s="36" t="str" cm="1">
        <f t="array" ref="F2911">_xlfn.XLOOKUP(D2911&amp;C2911, Sheet3!$C$2:$C$1224&amp;Sheet3!$B$2:$B$1224, Sheet3!$D$2:$D$1224, "")</f>
        <v/>
      </c>
      <c r="G2911" s="1" t="str" cm="1">
        <f t="array" ref="G2911">_xlfn.XLOOKUP(D2911&amp;C2911, Sheet2!$A$2:$A$558&amp;Sheet2!$B$2:$B$558, Sheet2!$C$2:$C$558, "")</f>
        <v/>
      </c>
      <c r="H2911" s="40" t="str">
        <f t="shared" si="45"/>
        <v/>
      </c>
    </row>
    <row r="2912" spans="1:8" ht="15.5" x14ac:dyDescent="0.35">
      <c r="A2912" s="7">
        <v>2911</v>
      </c>
      <c r="B2912" s="10">
        <v>47220</v>
      </c>
      <c r="C2912" s="13" t="s">
        <v>2565</v>
      </c>
      <c r="D2912" s="10" t="s">
        <v>2854</v>
      </c>
      <c r="E2912" s="10">
        <v>2023</v>
      </c>
      <c r="F2912" s="36" t="str" cm="1">
        <f t="array" ref="F2912">_xlfn.XLOOKUP(D2912&amp;C2912, Sheet3!$C$2:$C$1224&amp;Sheet3!$B$2:$B$1224, Sheet3!$D$2:$D$1224, "")</f>
        <v/>
      </c>
      <c r="G2912" s="1" t="str" cm="1">
        <f t="array" ref="G2912">_xlfn.XLOOKUP(D2912&amp;C2912, Sheet2!$A$2:$A$558&amp;Sheet2!$B$2:$B$558, Sheet2!$C$2:$C$558, "")</f>
        <v/>
      </c>
      <c r="H2912" s="40" t="str">
        <f t="shared" si="45"/>
        <v/>
      </c>
    </row>
    <row r="2913" spans="1:8" ht="15.5" x14ac:dyDescent="0.35">
      <c r="A2913" s="7">
        <v>2912</v>
      </c>
      <c r="B2913" s="10">
        <v>47731</v>
      </c>
      <c r="C2913" s="13" t="s">
        <v>2566</v>
      </c>
      <c r="D2913" s="10" t="s">
        <v>2854</v>
      </c>
      <c r="E2913" s="10">
        <v>2023</v>
      </c>
      <c r="F2913" s="36" t="str" cm="1">
        <f t="array" ref="F2913">_xlfn.XLOOKUP(D2913&amp;C2913, Sheet3!$C$2:$C$1224&amp;Sheet3!$B$2:$B$1224, Sheet3!$D$2:$D$1224, "")</f>
        <v/>
      </c>
      <c r="G2913" s="1" t="str" cm="1">
        <f t="array" ref="G2913">_xlfn.XLOOKUP(D2913&amp;C2913, Sheet2!$A$2:$A$558&amp;Sheet2!$B$2:$B$558, Sheet2!$C$2:$C$558, "")</f>
        <v/>
      </c>
      <c r="H2913" s="40" t="str">
        <f t="shared" si="45"/>
        <v/>
      </c>
    </row>
    <row r="2914" spans="1:8" ht="15.5" x14ac:dyDescent="0.35">
      <c r="A2914" s="7">
        <v>2913</v>
      </c>
      <c r="B2914" s="10">
        <v>48370</v>
      </c>
      <c r="C2914" s="13" t="s">
        <v>2567</v>
      </c>
      <c r="D2914" s="10" t="s">
        <v>2855</v>
      </c>
      <c r="E2914" s="10">
        <v>2023</v>
      </c>
      <c r="F2914" s="36" t="str" cm="1">
        <f t="array" ref="F2914">_xlfn.XLOOKUP(D2914&amp;C2914, Sheet3!$C$2:$C$1224&amp;Sheet3!$B$2:$B$1224, Sheet3!$D$2:$D$1224, "")</f>
        <v/>
      </c>
      <c r="G2914" s="1" t="str" cm="1">
        <f t="array" ref="G2914">_xlfn.XLOOKUP(D2914&amp;C2914, Sheet2!$A$2:$A$558&amp;Sheet2!$B$2:$B$558, Sheet2!$C$2:$C$558, "")</f>
        <v/>
      </c>
      <c r="H2914" s="40" t="str">
        <f t="shared" si="45"/>
        <v/>
      </c>
    </row>
    <row r="2915" spans="1:8" ht="15.5" x14ac:dyDescent="0.35">
      <c r="A2915" s="7">
        <v>2914</v>
      </c>
      <c r="B2915" s="10">
        <v>48585</v>
      </c>
      <c r="C2915" s="13" t="s">
        <v>2568</v>
      </c>
      <c r="D2915" s="10" t="s">
        <v>2855</v>
      </c>
      <c r="E2915" s="10">
        <v>2023</v>
      </c>
      <c r="F2915" s="36" t="str" cm="1">
        <f t="array" ref="F2915">_xlfn.XLOOKUP(D2915&amp;C2915, Sheet3!$C$2:$C$1224&amp;Sheet3!$B$2:$B$1224, Sheet3!$D$2:$D$1224, "")</f>
        <v/>
      </c>
      <c r="G2915" s="1" t="str" cm="1">
        <f t="array" ref="G2915">_xlfn.XLOOKUP(D2915&amp;C2915, Sheet2!$A$2:$A$558&amp;Sheet2!$B$2:$B$558, Sheet2!$C$2:$C$558, "")</f>
        <v/>
      </c>
      <c r="H2915" s="40" t="str">
        <f t="shared" si="45"/>
        <v/>
      </c>
    </row>
    <row r="2916" spans="1:8" ht="15.5" x14ac:dyDescent="0.35">
      <c r="A2916" s="7">
        <v>2915</v>
      </c>
      <c r="B2916" s="10">
        <v>48389</v>
      </c>
      <c r="C2916" s="13" t="s">
        <v>2569</v>
      </c>
      <c r="D2916" s="10" t="s">
        <v>2855</v>
      </c>
      <c r="E2916" s="10">
        <v>2023</v>
      </c>
      <c r="F2916" s="36" t="str" cm="1">
        <f t="array" ref="F2916">_xlfn.XLOOKUP(D2916&amp;C2916, Sheet3!$C$2:$C$1224&amp;Sheet3!$B$2:$B$1224, Sheet3!$D$2:$D$1224, "")</f>
        <v/>
      </c>
      <c r="G2916" s="1" t="str" cm="1">
        <f t="array" ref="G2916">_xlfn.XLOOKUP(D2916&amp;C2916, Sheet2!$A$2:$A$558&amp;Sheet2!$B$2:$B$558, Sheet2!$C$2:$C$558, "")</f>
        <v/>
      </c>
      <c r="H2916" s="40" t="str">
        <f t="shared" si="45"/>
        <v/>
      </c>
    </row>
    <row r="2917" spans="1:8" ht="15.5" x14ac:dyDescent="0.35">
      <c r="A2917" s="7">
        <v>2916</v>
      </c>
      <c r="B2917" s="10">
        <v>44327</v>
      </c>
      <c r="C2917" s="13" t="s">
        <v>2570</v>
      </c>
      <c r="D2917" s="10" t="s">
        <v>2852</v>
      </c>
      <c r="E2917" s="10">
        <v>2023</v>
      </c>
      <c r="F2917" s="36" t="str" cm="1">
        <f t="array" ref="F2917">_xlfn.XLOOKUP(D2917&amp;C2917, Sheet3!$C$2:$C$1224&amp;Sheet3!$B$2:$B$1224, Sheet3!$D$2:$D$1224, "")</f>
        <v>Nugroho.dwi.yulianto@mail.ugm.ac.id</v>
      </c>
      <c r="G2917" s="1" t="str" cm="1">
        <f t="array" ref="G2917">_xlfn.XLOOKUP(D2917&amp;C2917, Sheet2!$A$2:$A$558&amp;Sheet2!$B$2:$B$558, Sheet2!$C$2:$C$558, "")</f>
        <v/>
      </c>
      <c r="H2917" s="40" t="str">
        <f t="shared" si="45"/>
        <v>Nugroho.dwi.yulianto@mail.ugm.ac.id</v>
      </c>
    </row>
    <row r="2918" spans="1:8" ht="15.5" x14ac:dyDescent="0.35">
      <c r="A2918" s="7">
        <v>2917</v>
      </c>
      <c r="B2918" s="10">
        <v>44999</v>
      </c>
      <c r="C2918" s="13" t="s">
        <v>2571</v>
      </c>
      <c r="D2918" s="10" t="s">
        <v>2852</v>
      </c>
      <c r="E2918" s="10">
        <v>2023</v>
      </c>
      <c r="F2918" s="36" t="str" cm="1">
        <f t="array" ref="F2918">_xlfn.XLOOKUP(D2918&amp;C2918, Sheet3!$C$2:$C$1224&amp;Sheet3!$B$2:$B$1224, Sheet3!$D$2:$D$1224, "")</f>
        <v/>
      </c>
      <c r="G2918" s="1" t="str" cm="1">
        <f t="array" ref="G2918">_xlfn.XLOOKUP(D2918&amp;C2918, Sheet2!$A$2:$A$558&amp;Sheet2!$B$2:$B$558, Sheet2!$C$2:$C$558, "")</f>
        <v/>
      </c>
      <c r="H2918" s="40" t="str">
        <f t="shared" si="45"/>
        <v/>
      </c>
    </row>
    <row r="2919" spans="1:8" ht="15.5" x14ac:dyDescent="0.35">
      <c r="A2919" s="7">
        <v>2918</v>
      </c>
      <c r="B2919" s="10">
        <v>45008</v>
      </c>
      <c r="C2919" s="13" t="s">
        <v>2572</v>
      </c>
      <c r="D2919" s="10" t="s">
        <v>2852</v>
      </c>
      <c r="E2919" s="10">
        <v>2023</v>
      </c>
      <c r="F2919" s="36" t="str" cm="1">
        <f t="array" ref="F2919">_xlfn.XLOOKUP(D2919&amp;C2919, Sheet3!$C$2:$C$1224&amp;Sheet3!$B$2:$B$1224, Sheet3!$D$2:$D$1224, "")</f>
        <v/>
      </c>
      <c r="G2919" s="1" t="str" cm="1">
        <f t="array" ref="G2919">_xlfn.XLOOKUP(D2919&amp;C2919, Sheet2!$A$2:$A$558&amp;Sheet2!$B$2:$B$558, Sheet2!$C$2:$C$558, "")</f>
        <v/>
      </c>
      <c r="H2919" s="40" t="str">
        <f t="shared" si="45"/>
        <v/>
      </c>
    </row>
    <row r="2920" spans="1:8" ht="15.5" x14ac:dyDescent="0.35">
      <c r="A2920" s="7">
        <v>2919</v>
      </c>
      <c r="B2920" s="10">
        <v>47208</v>
      </c>
      <c r="C2920" s="13" t="s">
        <v>2573</v>
      </c>
      <c r="D2920" s="10" t="s">
        <v>2854</v>
      </c>
      <c r="E2920" s="10">
        <v>2023</v>
      </c>
      <c r="F2920" s="36" t="str" cm="1">
        <f t="array" ref="F2920">_xlfn.XLOOKUP(D2920&amp;C2920, Sheet3!$C$2:$C$1224&amp;Sheet3!$B$2:$B$1224, Sheet3!$D$2:$D$1224, "")</f>
        <v/>
      </c>
      <c r="G2920" s="1" t="str" cm="1">
        <f t="array" ref="G2920">_xlfn.XLOOKUP(D2920&amp;C2920, Sheet2!$A$2:$A$558&amp;Sheet2!$B$2:$B$558, Sheet2!$C$2:$C$558, "")</f>
        <v/>
      </c>
      <c r="H2920" s="40" t="str">
        <f t="shared" si="45"/>
        <v/>
      </c>
    </row>
    <row r="2921" spans="1:8" ht="15.5" x14ac:dyDescent="0.35">
      <c r="A2921" s="7">
        <v>2920</v>
      </c>
      <c r="B2921" s="10">
        <v>47734</v>
      </c>
      <c r="C2921" s="13" t="s">
        <v>2574</v>
      </c>
      <c r="D2921" s="10" t="s">
        <v>2854</v>
      </c>
      <c r="E2921" s="10">
        <v>2023</v>
      </c>
      <c r="F2921" s="36" t="str" cm="1">
        <f t="array" ref="F2921">_xlfn.XLOOKUP(D2921&amp;C2921, Sheet3!$C$2:$C$1224&amp;Sheet3!$B$2:$B$1224, Sheet3!$D$2:$D$1224, "")</f>
        <v/>
      </c>
      <c r="G2921" s="1" t="str" cm="1">
        <f t="array" ref="G2921">_xlfn.XLOOKUP(D2921&amp;C2921, Sheet2!$A$2:$A$558&amp;Sheet2!$B$2:$B$558, Sheet2!$C$2:$C$558, "")</f>
        <v/>
      </c>
      <c r="H2921" s="40" t="str">
        <f t="shared" si="45"/>
        <v/>
      </c>
    </row>
    <row r="2922" spans="1:8" ht="15.5" x14ac:dyDescent="0.35">
      <c r="A2922" s="7">
        <v>2921</v>
      </c>
      <c r="B2922" s="10">
        <v>47739</v>
      </c>
      <c r="C2922" s="13" t="s">
        <v>2575</v>
      </c>
      <c r="D2922" s="10" t="s">
        <v>2854</v>
      </c>
      <c r="E2922" s="10">
        <v>2023</v>
      </c>
      <c r="F2922" s="36" t="str" cm="1">
        <f t="array" ref="F2922">_xlfn.XLOOKUP(D2922&amp;C2922, Sheet3!$C$2:$C$1224&amp;Sheet3!$B$2:$B$1224, Sheet3!$D$2:$D$1224, "")</f>
        <v/>
      </c>
      <c r="G2922" s="1" t="str" cm="1">
        <f t="array" ref="G2922">_xlfn.XLOOKUP(D2922&amp;C2922, Sheet2!$A$2:$A$558&amp;Sheet2!$B$2:$B$558, Sheet2!$C$2:$C$558, "")</f>
        <v/>
      </c>
      <c r="H2922" s="40" t="str">
        <f t="shared" si="45"/>
        <v/>
      </c>
    </row>
    <row r="2923" spans="1:8" ht="15.5" x14ac:dyDescent="0.35">
      <c r="A2923" s="7">
        <v>2922</v>
      </c>
      <c r="B2923" s="10">
        <v>48384</v>
      </c>
      <c r="C2923" s="13" t="s">
        <v>2576</v>
      </c>
      <c r="D2923" s="10" t="s">
        <v>2855</v>
      </c>
      <c r="E2923" s="10">
        <v>2023</v>
      </c>
      <c r="F2923" s="36" t="str" cm="1">
        <f t="array" ref="F2923">_xlfn.XLOOKUP(D2923&amp;C2923, Sheet3!$C$2:$C$1224&amp;Sheet3!$B$2:$B$1224, Sheet3!$D$2:$D$1224, "")</f>
        <v>sondangsihombing30@gmail.com</v>
      </c>
      <c r="G2923" s="1" t="str" cm="1">
        <f t="array" ref="G2923">_xlfn.XLOOKUP(D2923&amp;C2923, Sheet2!$A$2:$A$558&amp;Sheet2!$B$2:$B$558, Sheet2!$C$2:$C$558, "")</f>
        <v/>
      </c>
      <c r="H2923" s="40" t="str">
        <f t="shared" si="45"/>
        <v>sondangsihombing30@gmail.com</v>
      </c>
    </row>
    <row r="2924" spans="1:8" ht="15.5" x14ac:dyDescent="0.35">
      <c r="A2924" s="7">
        <v>2923</v>
      </c>
      <c r="B2924" s="10">
        <v>48579</v>
      </c>
      <c r="C2924" s="13" t="s">
        <v>2577</v>
      </c>
      <c r="D2924" s="10" t="s">
        <v>2855</v>
      </c>
      <c r="E2924" s="10">
        <v>2023</v>
      </c>
      <c r="F2924" s="36" t="str" cm="1">
        <f t="array" ref="F2924">_xlfn.XLOOKUP(D2924&amp;C2924, Sheet3!$C$2:$C$1224&amp;Sheet3!$B$2:$B$1224, Sheet3!$D$2:$D$1224, "")</f>
        <v/>
      </c>
      <c r="G2924" s="1" t="str" cm="1">
        <f t="array" ref="G2924">_xlfn.XLOOKUP(D2924&amp;C2924, Sheet2!$A$2:$A$558&amp;Sheet2!$B$2:$B$558, Sheet2!$C$2:$C$558, "")</f>
        <v/>
      </c>
      <c r="H2924" s="40" t="str">
        <f t="shared" si="45"/>
        <v/>
      </c>
    </row>
    <row r="2925" spans="1:8" ht="15.5" x14ac:dyDescent="0.35">
      <c r="A2925" s="7">
        <v>2924</v>
      </c>
      <c r="B2925" s="10">
        <v>48581</v>
      </c>
      <c r="C2925" s="13" t="s">
        <v>2578</v>
      </c>
      <c r="D2925" s="10" t="s">
        <v>2855</v>
      </c>
      <c r="E2925" s="10">
        <v>2023</v>
      </c>
      <c r="F2925" s="36" t="str" cm="1">
        <f t="array" ref="F2925">_xlfn.XLOOKUP(D2925&amp;C2925, Sheet3!$C$2:$C$1224&amp;Sheet3!$B$2:$B$1224, Sheet3!$D$2:$D$1224, "")</f>
        <v>anisakhoiriyah12@gmail.com</v>
      </c>
      <c r="G2925" s="1" t="str" cm="1">
        <f t="array" ref="G2925">_xlfn.XLOOKUP(D2925&amp;C2925, Sheet2!$A$2:$A$558&amp;Sheet2!$B$2:$B$558, Sheet2!$C$2:$C$558, "")</f>
        <v>anisaulkhoiriyah@mail.ugm.ac.id</v>
      </c>
      <c r="H2925" s="40" t="str">
        <f t="shared" si="45"/>
        <v>anisakhoiriyah12@gmail.com</v>
      </c>
    </row>
    <row r="2926" spans="1:8" ht="15.5" x14ac:dyDescent="0.35">
      <c r="A2926" s="7">
        <v>2925</v>
      </c>
      <c r="B2926" s="10">
        <v>48582</v>
      </c>
      <c r="C2926" s="13" t="s">
        <v>2579</v>
      </c>
      <c r="D2926" s="10" t="s">
        <v>2855</v>
      </c>
      <c r="E2926" s="10">
        <v>2023</v>
      </c>
      <c r="F2926" s="36" t="str" cm="1">
        <f t="array" ref="F2926">_xlfn.XLOOKUP(D2926&amp;C2926, Sheet3!$C$2:$C$1224&amp;Sheet3!$B$2:$B$1224, Sheet3!$D$2:$D$1224, "")</f>
        <v>arindatasyaa@gmail.com</v>
      </c>
      <c r="G2926" s="1" t="str" cm="1">
        <f t="array" ref="G2926">_xlfn.XLOOKUP(D2926&amp;C2926, Sheet2!$A$2:$A$558&amp;Sheet2!$B$2:$B$558, Sheet2!$C$2:$C$558, "")</f>
        <v>arindatasya01@mail.ugm.ac.id</v>
      </c>
      <c r="H2926" s="40" t="str">
        <f t="shared" si="45"/>
        <v>arindatasyaa@gmail.com</v>
      </c>
    </row>
    <row r="2927" spans="1:8" ht="15.5" x14ac:dyDescent="0.35">
      <c r="A2927" s="7">
        <v>2926</v>
      </c>
      <c r="B2927" s="10">
        <v>48857</v>
      </c>
      <c r="C2927" s="13" t="s">
        <v>2580</v>
      </c>
      <c r="D2927" s="10" t="s">
        <v>2855</v>
      </c>
      <c r="E2927" s="10">
        <v>2023</v>
      </c>
      <c r="F2927" s="36" t="str" cm="1">
        <f t="array" ref="F2927">_xlfn.XLOOKUP(D2927&amp;C2927, Sheet3!$C$2:$C$1224&amp;Sheet3!$B$2:$B$1224, Sheet3!$D$2:$D$1224, "")</f>
        <v/>
      </c>
      <c r="G2927" s="1" t="str" cm="1">
        <f t="array" ref="G2927">_xlfn.XLOOKUP(D2927&amp;C2927, Sheet2!$A$2:$A$558&amp;Sheet2!$B$2:$B$558, Sheet2!$C$2:$C$558, "")</f>
        <v/>
      </c>
      <c r="H2927" s="40" t="str">
        <f t="shared" si="45"/>
        <v/>
      </c>
    </row>
    <row r="2928" spans="1:8" ht="15.5" x14ac:dyDescent="0.35">
      <c r="A2928" s="7">
        <v>2927</v>
      </c>
      <c r="B2928" s="10">
        <v>48859</v>
      </c>
      <c r="C2928" s="13" t="s">
        <v>2581</v>
      </c>
      <c r="D2928" s="10" t="s">
        <v>2855</v>
      </c>
      <c r="E2928" s="10">
        <v>2023</v>
      </c>
      <c r="F2928" s="36" t="str" cm="1">
        <f t="array" ref="F2928">_xlfn.XLOOKUP(D2928&amp;C2928, Sheet3!$C$2:$C$1224&amp;Sheet3!$B$2:$B$1224, Sheet3!$D$2:$D$1224, "")</f>
        <v/>
      </c>
      <c r="G2928" s="1" t="str" cm="1">
        <f t="array" ref="G2928">_xlfn.XLOOKUP(D2928&amp;C2928, Sheet2!$A$2:$A$558&amp;Sheet2!$B$2:$B$558, Sheet2!$C$2:$C$558, "")</f>
        <v/>
      </c>
      <c r="H2928" s="40" t="str">
        <f t="shared" si="45"/>
        <v/>
      </c>
    </row>
    <row r="2929" spans="1:8" ht="15.5" x14ac:dyDescent="0.35">
      <c r="A2929" s="7">
        <v>2928</v>
      </c>
      <c r="B2929" s="10">
        <v>48869</v>
      </c>
      <c r="C2929" s="13" t="s">
        <v>2582</v>
      </c>
      <c r="D2929" s="10" t="s">
        <v>2855</v>
      </c>
      <c r="E2929" s="10">
        <v>2023</v>
      </c>
      <c r="F2929" s="36" t="str" cm="1">
        <f t="array" ref="F2929">_xlfn.XLOOKUP(D2929&amp;C2929, Sheet3!$C$2:$C$1224&amp;Sheet3!$B$2:$B$1224, Sheet3!$D$2:$D$1224, "")</f>
        <v/>
      </c>
      <c r="G2929" s="1" t="str" cm="1">
        <f t="array" ref="G2929">_xlfn.XLOOKUP(D2929&amp;C2929, Sheet2!$A$2:$A$558&amp;Sheet2!$B$2:$B$558, Sheet2!$C$2:$C$558, "")</f>
        <v/>
      </c>
      <c r="H2929" s="40" t="str">
        <f t="shared" si="45"/>
        <v/>
      </c>
    </row>
    <row r="2930" spans="1:8" ht="15.5" x14ac:dyDescent="0.35">
      <c r="A2930" s="7">
        <v>2929</v>
      </c>
      <c r="B2930" s="10">
        <v>48872</v>
      </c>
      <c r="C2930" s="13" t="s">
        <v>2583</v>
      </c>
      <c r="D2930" s="10" t="s">
        <v>2855</v>
      </c>
      <c r="E2930" s="10">
        <v>2023</v>
      </c>
      <c r="F2930" s="36" t="str" cm="1">
        <f t="array" ref="F2930">_xlfn.XLOOKUP(D2930&amp;C2930, Sheet3!$C$2:$C$1224&amp;Sheet3!$B$2:$B$1224, Sheet3!$D$2:$D$1224, "")</f>
        <v/>
      </c>
      <c r="G2930" s="1" t="str" cm="1">
        <f t="array" ref="G2930">_xlfn.XLOOKUP(D2930&amp;C2930, Sheet2!$A$2:$A$558&amp;Sheet2!$B$2:$B$558, Sheet2!$C$2:$C$558, "")</f>
        <v/>
      </c>
      <c r="H2930" s="40" t="str">
        <f t="shared" si="45"/>
        <v/>
      </c>
    </row>
    <row r="2931" spans="1:8" ht="15.5" x14ac:dyDescent="0.35">
      <c r="A2931" s="7">
        <v>2930</v>
      </c>
      <c r="B2931" s="10">
        <v>48875</v>
      </c>
      <c r="C2931" s="13" t="s">
        <v>2584</v>
      </c>
      <c r="D2931" s="10" t="s">
        <v>2855</v>
      </c>
      <c r="E2931" s="10">
        <v>2023</v>
      </c>
      <c r="F2931" s="36" t="str" cm="1">
        <f t="array" ref="F2931">_xlfn.XLOOKUP(D2931&amp;C2931, Sheet3!$C$2:$C$1224&amp;Sheet3!$B$2:$B$1224, Sheet3!$D$2:$D$1224, "")</f>
        <v/>
      </c>
      <c r="G2931" s="1" t="str" cm="1">
        <f t="array" ref="G2931">_xlfn.XLOOKUP(D2931&amp;C2931, Sheet2!$A$2:$A$558&amp;Sheet2!$B$2:$B$558, Sheet2!$C$2:$C$558, "")</f>
        <v/>
      </c>
      <c r="H2931" s="40" t="str">
        <f t="shared" si="45"/>
        <v/>
      </c>
    </row>
    <row r="2932" spans="1:8" ht="15.5" x14ac:dyDescent="0.35">
      <c r="A2932" s="7">
        <v>2931</v>
      </c>
      <c r="B2932" s="10">
        <v>48881</v>
      </c>
      <c r="C2932" s="13" t="s">
        <v>2585</v>
      </c>
      <c r="D2932" s="10" t="s">
        <v>2855</v>
      </c>
      <c r="E2932" s="10">
        <v>2023</v>
      </c>
      <c r="F2932" s="36" t="str" cm="1">
        <f t="array" ref="F2932">_xlfn.XLOOKUP(D2932&amp;C2932, Sheet3!$C$2:$C$1224&amp;Sheet3!$B$2:$B$1224, Sheet3!$D$2:$D$1224, "")</f>
        <v/>
      </c>
      <c r="G2932" s="1" t="str" cm="1">
        <f t="array" ref="G2932">_xlfn.XLOOKUP(D2932&amp;C2932, Sheet2!$A$2:$A$558&amp;Sheet2!$B$2:$B$558, Sheet2!$C$2:$C$558, "")</f>
        <v/>
      </c>
      <c r="H2932" s="40" t="str">
        <f t="shared" si="45"/>
        <v/>
      </c>
    </row>
    <row r="2933" spans="1:8" ht="15.5" x14ac:dyDescent="0.35">
      <c r="A2933" s="7">
        <v>2932</v>
      </c>
      <c r="B2933" s="10">
        <v>48894</v>
      </c>
      <c r="C2933" s="13" t="s">
        <v>2586</v>
      </c>
      <c r="D2933" s="10" t="s">
        <v>2855</v>
      </c>
      <c r="E2933" s="10">
        <v>2023</v>
      </c>
      <c r="F2933" s="36" t="str" cm="1">
        <f t="array" ref="F2933">_xlfn.XLOOKUP(D2933&amp;C2933, Sheet3!$C$2:$C$1224&amp;Sheet3!$B$2:$B$1224, Sheet3!$D$2:$D$1224, "")</f>
        <v/>
      </c>
      <c r="G2933" s="1" t="str" cm="1">
        <f t="array" ref="G2933">_xlfn.XLOOKUP(D2933&amp;C2933, Sheet2!$A$2:$A$558&amp;Sheet2!$B$2:$B$558, Sheet2!$C$2:$C$558, "")</f>
        <v/>
      </c>
      <c r="H2933" s="40" t="str">
        <f t="shared" si="45"/>
        <v/>
      </c>
    </row>
    <row r="2934" spans="1:8" ht="15.5" x14ac:dyDescent="0.35">
      <c r="A2934" s="7">
        <v>2933</v>
      </c>
      <c r="B2934" s="10">
        <v>48895</v>
      </c>
      <c r="C2934" s="13" t="s">
        <v>2587</v>
      </c>
      <c r="D2934" s="10" t="s">
        <v>2855</v>
      </c>
      <c r="E2934" s="10">
        <v>2023</v>
      </c>
      <c r="F2934" s="36" t="str" cm="1">
        <f t="array" ref="F2934">_xlfn.XLOOKUP(D2934&amp;C2934, Sheet3!$C$2:$C$1224&amp;Sheet3!$B$2:$B$1224, Sheet3!$D$2:$D$1224, "")</f>
        <v/>
      </c>
      <c r="G2934" s="1" t="str" cm="1">
        <f t="array" ref="G2934">_xlfn.XLOOKUP(D2934&amp;C2934, Sheet2!$A$2:$A$558&amp;Sheet2!$B$2:$B$558, Sheet2!$C$2:$C$558, "")</f>
        <v/>
      </c>
      <c r="H2934" s="40" t="str">
        <f t="shared" si="45"/>
        <v/>
      </c>
    </row>
    <row r="2935" spans="1:8" ht="15.5" x14ac:dyDescent="0.35">
      <c r="A2935" s="7">
        <v>2934</v>
      </c>
      <c r="B2935" s="10">
        <v>48903</v>
      </c>
      <c r="C2935" s="13" t="s">
        <v>2588</v>
      </c>
      <c r="D2935" s="10" t="s">
        <v>2855</v>
      </c>
      <c r="E2935" s="10">
        <v>2023</v>
      </c>
      <c r="F2935" s="36" t="str" cm="1">
        <f t="array" ref="F2935">_xlfn.XLOOKUP(D2935&amp;C2935, Sheet3!$C$2:$C$1224&amp;Sheet3!$B$2:$B$1224, Sheet3!$D$2:$D$1224, "")</f>
        <v/>
      </c>
      <c r="G2935" s="1" t="str" cm="1">
        <f t="array" ref="G2935">_xlfn.XLOOKUP(D2935&amp;C2935, Sheet2!$A$2:$A$558&amp;Sheet2!$B$2:$B$558, Sheet2!$C$2:$C$558, "")</f>
        <v/>
      </c>
      <c r="H2935" s="40" t="str">
        <f t="shared" si="45"/>
        <v/>
      </c>
    </row>
    <row r="2936" spans="1:8" ht="15.5" x14ac:dyDescent="0.35">
      <c r="A2936" s="7">
        <v>2935</v>
      </c>
      <c r="B2936" s="10">
        <v>48904</v>
      </c>
      <c r="C2936" s="13" t="s">
        <v>2589</v>
      </c>
      <c r="D2936" s="10" t="s">
        <v>2855</v>
      </c>
      <c r="E2936" s="10">
        <v>2023</v>
      </c>
      <c r="F2936" s="36" t="str" cm="1">
        <f t="array" ref="F2936">_xlfn.XLOOKUP(D2936&amp;C2936, Sheet3!$C$2:$C$1224&amp;Sheet3!$B$2:$B$1224, Sheet3!$D$2:$D$1224, "")</f>
        <v/>
      </c>
      <c r="G2936" s="1" t="str" cm="1">
        <f t="array" ref="G2936">_xlfn.XLOOKUP(D2936&amp;C2936, Sheet2!$A$2:$A$558&amp;Sheet2!$B$2:$B$558, Sheet2!$C$2:$C$558, "")</f>
        <v/>
      </c>
      <c r="H2936" s="40" t="str">
        <f t="shared" si="45"/>
        <v/>
      </c>
    </row>
    <row r="2937" spans="1:8" ht="15.5" x14ac:dyDescent="0.35">
      <c r="A2937" s="7">
        <v>2936</v>
      </c>
      <c r="B2937" s="10">
        <v>49642</v>
      </c>
      <c r="C2937" s="13" t="s">
        <v>2590</v>
      </c>
      <c r="D2937" s="10" t="s">
        <v>2855</v>
      </c>
      <c r="E2937" s="10">
        <v>2023</v>
      </c>
      <c r="F2937" s="36" t="str" cm="1">
        <f t="array" ref="F2937">_xlfn.XLOOKUP(D2937&amp;C2937, Sheet3!$C$2:$C$1224&amp;Sheet3!$B$2:$B$1224, Sheet3!$D$2:$D$1224, "")</f>
        <v/>
      </c>
      <c r="G2937" s="1" t="str" cm="1">
        <f t="array" ref="G2937">_xlfn.XLOOKUP(D2937&amp;C2937, Sheet2!$A$2:$A$558&amp;Sheet2!$B$2:$B$558, Sheet2!$C$2:$C$558, "")</f>
        <v/>
      </c>
      <c r="H2937" s="40" t="str">
        <f t="shared" si="45"/>
        <v/>
      </c>
    </row>
    <row r="2938" spans="1:8" ht="15.5" x14ac:dyDescent="0.35">
      <c r="A2938" s="7">
        <v>2937</v>
      </c>
      <c r="B2938" s="10">
        <v>49649</v>
      </c>
      <c r="C2938" s="13" t="s">
        <v>2591</v>
      </c>
      <c r="D2938" s="10" t="s">
        <v>2855</v>
      </c>
      <c r="E2938" s="10">
        <v>2023</v>
      </c>
      <c r="F2938" s="36" t="str" cm="1">
        <f t="array" ref="F2938">_xlfn.XLOOKUP(D2938&amp;C2938, Sheet3!$C$2:$C$1224&amp;Sheet3!$B$2:$B$1224, Sheet3!$D$2:$D$1224, "")</f>
        <v/>
      </c>
      <c r="G2938" s="1" t="str" cm="1">
        <f t="array" ref="G2938">_xlfn.XLOOKUP(D2938&amp;C2938, Sheet2!$A$2:$A$558&amp;Sheet2!$B$2:$B$558, Sheet2!$C$2:$C$558, "")</f>
        <v/>
      </c>
      <c r="H2938" s="40" t="str">
        <f t="shared" si="45"/>
        <v/>
      </c>
    </row>
    <row r="2939" spans="1:8" ht="15.5" x14ac:dyDescent="0.35">
      <c r="A2939" s="7">
        <v>2938</v>
      </c>
      <c r="B2939" s="10">
        <v>49660</v>
      </c>
      <c r="C2939" s="13" t="s">
        <v>2592</v>
      </c>
      <c r="D2939" s="10" t="s">
        <v>2855</v>
      </c>
      <c r="E2939" s="10">
        <v>2023</v>
      </c>
      <c r="F2939" s="36" t="str" cm="1">
        <f t="array" ref="F2939">_xlfn.XLOOKUP(D2939&amp;C2939, Sheet3!$C$2:$C$1224&amp;Sheet3!$B$2:$B$1224, Sheet3!$D$2:$D$1224, "")</f>
        <v/>
      </c>
      <c r="G2939" s="1" t="str" cm="1">
        <f t="array" ref="G2939">_xlfn.XLOOKUP(D2939&amp;C2939, Sheet2!$A$2:$A$558&amp;Sheet2!$B$2:$B$558, Sheet2!$C$2:$C$558, "")</f>
        <v/>
      </c>
      <c r="H2939" s="40" t="str">
        <f t="shared" si="45"/>
        <v/>
      </c>
    </row>
    <row r="2940" spans="1:8" ht="15.5" x14ac:dyDescent="0.35">
      <c r="A2940" s="7">
        <v>2939</v>
      </c>
      <c r="B2940" s="10">
        <v>49669</v>
      </c>
      <c r="C2940" s="13" t="s">
        <v>2593</v>
      </c>
      <c r="D2940" s="10" t="s">
        <v>2855</v>
      </c>
      <c r="E2940" s="10">
        <v>2023</v>
      </c>
      <c r="F2940" s="36" t="str" cm="1">
        <f t="array" ref="F2940">_xlfn.XLOOKUP(D2940&amp;C2940, Sheet3!$C$2:$C$1224&amp;Sheet3!$B$2:$B$1224, Sheet3!$D$2:$D$1224, "")</f>
        <v>rifqiwibo@gmail.com</v>
      </c>
      <c r="G2940" s="1" t="str" cm="1">
        <f t="array" ref="G2940">_xlfn.XLOOKUP(D2940&amp;C2940, Sheet2!$A$2:$A$558&amp;Sheet2!$B$2:$B$558, Sheet2!$C$2:$C$558, "")</f>
        <v/>
      </c>
      <c r="H2940" s="40" t="str">
        <f t="shared" si="45"/>
        <v>rifqiwibo@gmail.com</v>
      </c>
    </row>
    <row r="2941" spans="1:8" ht="15.5" x14ac:dyDescent="0.35">
      <c r="A2941" s="7">
        <v>2940</v>
      </c>
      <c r="B2941" s="10">
        <v>49674</v>
      </c>
      <c r="C2941" s="13" t="s">
        <v>2594</v>
      </c>
      <c r="D2941" s="10" t="s">
        <v>2855</v>
      </c>
      <c r="E2941" s="10">
        <v>2023</v>
      </c>
      <c r="F2941" s="36" t="str" cm="1">
        <f t="array" ref="F2941">_xlfn.XLOOKUP(D2941&amp;C2941, Sheet3!$C$2:$C$1224&amp;Sheet3!$B$2:$B$1224, Sheet3!$D$2:$D$1224, "")</f>
        <v/>
      </c>
      <c r="G2941" s="1" t="str" cm="1">
        <f t="array" ref="G2941">_xlfn.XLOOKUP(D2941&amp;C2941, Sheet2!$A$2:$A$558&amp;Sheet2!$B$2:$B$558, Sheet2!$C$2:$C$558, "")</f>
        <v/>
      </c>
      <c r="H2941" s="40" t="str">
        <f t="shared" si="45"/>
        <v/>
      </c>
    </row>
    <row r="2942" spans="1:8" ht="15.5" x14ac:dyDescent="0.35">
      <c r="A2942" s="7">
        <v>2941</v>
      </c>
      <c r="B2942" s="10">
        <v>44303</v>
      </c>
      <c r="C2942" s="13" t="s">
        <v>2595</v>
      </c>
      <c r="D2942" s="10" t="s">
        <v>2852</v>
      </c>
      <c r="E2942" s="10">
        <v>2023</v>
      </c>
      <c r="F2942" s="36" t="str" cm="1">
        <f t="array" ref="F2942">_xlfn.XLOOKUP(D2942&amp;C2942, Sheet3!$C$2:$C$1224&amp;Sheet3!$B$2:$B$1224, Sheet3!$D$2:$D$1224, "")</f>
        <v/>
      </c>
      <c r="G2942" s="1" t="str" cm="1">
        <f t="array" ref="G2942">_xlfn.XLOOKUP(D2942&amp;C2942, Sheet2!$A$2:$A$558&amp;Sheet2!$B$2:$B$558, Sheet2!$C$2:$C$558, "")</f>
        <v/>
      </c>
      <c r="H2942" s="40" t="str">
        <f t="shared" si="45"/>
        <v/>
      </c>
    </row>
    <row r="2943" spans="1:8" ht="15.5" x14ac:dyDescent="0.35">
      <c r="A2943" s="7">
        <v>2942</v>
      </c>
      <c r="B2943" s="10">
        <v>47209</v>
      </c>
      <c r="C2943" s="13" t="s">
        <v>2596</v>
      </c>
      <c r="D2943" s="10" t="s">
        <v>2854</v>
      </c>
      <c r="E2943" s="10">
        <v>2023</v>
      </c>
      <c r="F2943" s="36" t="str" cm="1">
        <f t="array" ref="F2943">_xlfn.XLOOKUP(D2943&amp;C2943, Sheet3!$C$2:$C$1224&amp;Sheet3!$B$2:$B$1224, Sheet3!$D$2:$D$1224, "")</f>
        <v/>
      </c>
      <c r="G2943" s="1" t="str" cm="1">
        <f t="array" ref="G2943">_xlfn.XLOOKUP(D2943&amp;C2943, Sheet2!$A$2:$A$558&amp;Sheet2!$B$2:$B$558, Sheet2!$C$2:$C$558, "")</f>
        <v/>
      </c>
      <c r="H2943" s="40" t="str">
        <f t="shared" si="45"/>
        <v/>
      </c>
    </row>
    <row r="2944" spans="1:8" ht="15.5" x14ac:dyDescent="0.35">
      <c r="A2944" s="7">
        <v>2943</v>
      </c>
      <c r="B2944" s="10">
        <v>47232</v>
      </c>
      <c r="C2944" s="13" t="s">
        <v>2597</v>
      </c>
      <c r="D2944" s="10" t="s">
        <v>2854</v>
      </c>
      <c r="E2944" s="10">
        <v>2023</v>
      </c>
      <c r="F2944" s="36" t="str" cm="1">
        <f t="array" ref="F2944">_xlfn.XLOOKUP(D2944&amp;C2944, Sheet3!$C$2:$C$1224&amp;Sheet3!$B$2:$B$1224, Sheet3!$D$2:$D$1224, "")</f>
        <v/>
      </c>
      <c r="G2944" s="1" t="str" cm="1">
        <f t="array" ref="G2944">_xlfn.XLOOKUP(D2944&amp;C2944, Sheet2!$A$2:$A$558&amp;Sheet2!$B$2:$B$558, Sheet2!$C$2:$C$558, "")</f>
        <v/>
      </c>
      <c r="H2944" s="40" t="str">
        <f t="shared" si="45"/>
        <v/>
      </c>
    </row>
    <row r="2945" spans="1:8" ht="15.5" x14ac:dyDescent="0.35">
      <c r="A2945" s="7">
        <v>2944</v>
      </c>
      <c r="B2945" s="10">
        <v>47725</v>
      </c>
      <c r="C2945" s="13" t="s">
        <v>2598</v>
      </c>
      <c r="D2945" s="10" t="s">
        <v>2854</v>
      </c>
      <c r="E2945" s="10">
        <v>2023</v>
      </c>
      <c r="F2945" s="36" t="str" cm="1">
        <f t="array" ref="F2945">_xlfn.XLOOKUP(D2945&amp;C2945, Sheet3!$C$2:$C$1224&amp;Sheet3!$B$2:$B$1224, Sheet3!$D$2:$D$1224, "")</f>
        <v/>
      </c>
      <c r="G2945" s="1" t="str" cm="1">
        <f t="array" ref="G2945">_xlfn.XLOOKUP(D2945&amp;C2945, Sheet2!$A$2:$A$558&amp;Sheet2!$B$2:$B$558, Sheet2!$C$2:$C$558, "")</f>
        <v/>
      </c>
      <c r="H2945" s="40" t="str">
        <f t="shared" si="45"/>
        <v/>
      </c>
    </row>
    <row r="2946" spans="1:8" ht="15.5" x14ac:dyDescent="0.35">
      <c r="A2946" s="7">
        <v>2945</v>
      </c>
      <c r="B2946" s="10">
        <v>48879</v>
      </c>
      <c r="C2946" s="13" t="s">
        <v>2599</v>
      </c>
      <c r="D2946" s="10" t="s">
        <v>2855</v>
      </c>
      <c r="E2946" s="10">
        <v>2023</v>
      </c>
      <c r="F2946" s="36" t="str" cm="1">
        <f t="array" ref="F2946">_xlfn.XLOOKUP(D2946&amp;C2946, Sheet3!$C$2:$C$1224&amp;Sheet3!$B$2:$B$1224, Sheet3!$D$2:$D$1224, "")</f>
        <v>imawan.wichaksana@gmail.com</v>
      </c>
      <c r="G2946" s="1" t="str" cm="1">
        <f t="array" ref="G2946">_xlfn.XLOOKUP(D2946&amp;C2946, Sheet2!$A$2:$A$558&amp;Sheet2!$B$2:$B$558, Sheet2!$C$2:$C$558, "")</f>
        <v/>
      </c>
      <c r="H2946" s="40" t="str">
        <f t="shared" si="45"/>
        <v>imawan.wichaksana@gmail.com</v>
      </c>
    </row>
    <row r="2947" spans="1:8" ht="15.5" x14ac:dyDescent="0.35">
      <c r="A2947" s="7">
        <v>2946</v>
      </c>
      <c r="B2947" s="10">
        <v>48898</v>
      </c>
      <c r="C2947" s="13" t="s">
        <v>2600</v>
      </c>
      <c r="D2947" s="10" t="s">
        <v>2855</v>
      </c>
      <c r="E2947" s="10">
        <v>2023</v>
      </c>
      <c r="F2947" s="36" t="str" cm="1">
        <f t="array" ref="F2947">_xlfn.XLOOKUP(D2947&amp;C2947, Sheet3!$C$2:$C$1224&amp;Sheet3!$B$2:$B$1224, Sheet3!$D$2:$D$1224, "")</f>
        <v/>
      </c>
      <c r="G2947" s="1" t="str" cm="1">
        <f t="array" ref="G2947">_xlfn.XLOOKUP(D2947&amp;C2947, Sheet2!$A$2:$A$558&amp;Sheet2!$B$2:$B$558, Sheet2!$C$2:$C$558, "")</f>
        <v/>
      </c>
      <c r="H2947" s="40" t="str">
        <f t="shared" ref="H2947:H3010" si="46">IF(F2947&lt;&gt;"",F2947,G2947)</f>
        <v/>
      </c>
    </row>
    <row r="2948" spans="1:8" ht="15.5" x14ac:dyDescent="0.35">
      <c r="A2948" s="7">
        <v>2947</v>
      </c>
      <c r="B2948" s="10">
        <v>49650</v>
      </c>
      <c r="C2948" s="13" t="s">
        <v>2601</v>
      </c>
      <c r="D2948" s="10" t="s">
        <v>2855</v>
      </c>
      <c r="E2948" s="10">
        <v>2023</v>
      </c>
      <c r="F2948" s="36" t="str" cm="1">
        <f t="array" ref="F2948">_xlfn.XLOOKUP(D2948&amp;C2948, Sheet3!$C$2:$C$1224&amp;Sheet3!$B$2:$B$1224, Sheet3!$D$2:$D$1224, "")</f>
        <v/>
      </c>
      <c r="G2948" s="1" t="str" cm="1">
        <f t="array" ref="G2948">_xlfn.XLOOKUP(D2948&amp;C2948, Sheet2!$A$2:$A$558&amp;Sheet2!$B$2:$B$558, Sheet2!$C$2:$C$558, "")</f>
        <v/>
      </c>
      <c r="H2948" s="40" t="str">
        <f t="shared" si="46"/>
        <v/>
      </c>
    </row>
    <row r="2949" spans="1:8" ht="15.5" x14ac:dyDescent="0.35">
      <c r="A2949" s="7">
        <v>2948</v>
      </c>
      <c r="B2949" s="10">
        <v>49658</v>
      </c>
      <c r="C2949" s="13" t="s">
        <v>2602</v>
      </c>
      <c r="D2949" s="10" t="s">
        <v>2855</v>
      </c>
      <c r="E2949" s="10">
        <v>2023</v>
      </c>
      <c r="F2949" s="36" t="str" cm="1">
        <f t="array" ref="F2949">_xlfn.XLOOKUP(D2949&amp;C2949, Sheet3!$C$2:$C$1224&amp;Sheet3!$B$2:$B$1224, Sheet3!$D$2:$D$1224, "")</f>
        <v/>
      </c>
      <c r="G2949" s="1" t="str" cm="1">
        <f t="array" ref="G2949">_xlfn.XLOOKUP(D2949&amp;C2949, Sheet2!$A$2:$A$558&amp;Sheet2!$B$2:$B$558, Sheet2!$C$2:$C$558, "")</f>
        <v/>
      </c>
      <c r="H2949" s="40" t="str">
        <f t="shared" si="46"/>
        <v/>
      </c>
    </row>
    <row r="2950" spans="1:8" ht="15.5" x14ac:dyDescent="0.35">
      <c r="A2950" s="7">
        <v>2949</v>
      </c>
      <c r="B2950" s="10">
        <v>48388</v>
      </c>
      <c r="C2950" s="13" t="s">
        <v>2603</v>
      </c>
      <c r="D2950" s="10" t="s">
        <v>2855</v>
      </c>
      <c r="E2950" s="10">
        <v>2023</v>
      </c>
      <c r="F2950" s="36" t="str" cm="1">
        <f t="array" ref="F2950">_xlfn.XLOOKUP(D2950&amp;C2950, Sheet3!$C$2:$C$1224&amp;Sheet3!$B$2:$B$1224, Sheet3!$D$2:$D$1224, "")</f>
        <v/>
      </c>
      <c r="G2950" s="1" t="str" cm="1">
        <f t="array" ref="G2950">_xlfn.XLOOKUP(D2950&amp;C2950, Sheet2!$A$2:$A$558&amp;Sheet2!$B$2:$B$558, Sheet2!$C$2:$C$558, "")</f>
        <v/>
      </c>
      <c r="H2950" s="40" t="str">
        <f t="shared" si="46"/>
        <v/>
      </c>
    </row>
    <row r="2951" spans="1:8" ht="15.5" x14ac:dyDescent="0.35">
      <c r="A2951" s="7">
        <v>2950</v>
      </c>
      <c r="B2951" s="10">
        <v>48877</v>
      </c>
      <c r="C2951" s="13" t="s">
        <v>2604</v>
      </c>
      <c r="D2951" s="10" t="s">
        <v>2855</v>
      </c>
      <c r="E2951" s="10">
        <v>2023</v>
      </c>
      <c r="F2951" s="36" t="str" cm="1">
        <f t="array" ref="F2951">_xlfn.XLOOKUP(D2951&amp;C2951, Sheet3!$C$2:$C$1224&amp;Sheet3!$B$2:$B$1224, Sheet3!$D$2:$D$1224, "")</f>
        <v/>
      </c>
      <c r="G2951" s="1" t="str" cm="1">
        <f t="array" ref="G2951">_xlfn.XLOOKUP(D2951&amp;C2951, Sheet2!$A$2:$A$558&amp;Sheet2!$B$2:$B$558, Sheet2!$C$2:$C$558, "")</f>
        <v/>
      </c>
      <c r="H2951" s="40" t="str">
        <f t="shared" si="46"/>
        <v/>
      </c>
    </row>
    <row r="2952" spans="1:8" ht="15.5" x14ac:dyDescent="0.35">
      <c r="A2952" s="7">
        <v>2951</v>
      </c>
      <c r="B2952" s="10">
        <v>48880</v>
      </c>
      <c r="C2952" s="13" t="s">
        <v>2605</v>
      </c>
      <c r="D2952" s="10" t="s">
        <v>2855</v>
      </c>
      <c r="E2952" s="10">
        <v>2023</v>
      </c>
      <c r="F2952" s="36" t="str" cm="1">
        <f t="array" ref="F2952">_xlfn.XLOOKUP(D2952&amp;C2952, Sheet3!$C$2:$C$1224&amp;Sheet3!$B$2:$B$1224, Sheet3!$D$2:$D$1224, "")</f>
        <v/>
      </c>
      <c r="G2952" s="1" t="str" cm="1">
        <f t="array" ref="G2952">_xlfn.XLOOKUP(D2952&amp;C2952, Sheet2!$A$2:$A$558&amp;Sheet2!$B$2:$B$558, Sheet2!$C$2:$C$558, "")</f>
        <v/>
      </c>
      <c r="H2952" s="40" t="str">
        <f t="shared" si="46"/>
        <v/>
      </c>
    </row>
    <row r="2953" spans="1:8" ht="15.5" x14ac:dyDescent="0.35">
      <c r="A2953" s="7">
        <v>2952</v>
      </c>
      <c r="B2953" s="10">
        <v>48890</v>
      </c>
      <c r="C2953" s="13" t="s">
        <v>2606</v>
      </c>
      <c r="D2953" s="10" t="s">
        <v>2855</v>
      </c>
      <c r="E2953" s="10">
        <v>2023</v>
      </c>
      <c r="F2953" s="36" t="str" cm="1">
        <f t="array" ref="F2953">_xlfn.XLOOKUP(D2953&amp;C2953, Sheet3!$C$2:$C$1224&amp;Sheet3!$B$2:$B$1224, Sheet3!$D$2:$D$1224, "")</f>
        <v>muhiqbal11401@mail.ugm.ac.id</v>
      </c>
      <c r="G2953" s="1" t="str" cm="1">
        <f t="array" ref="G2953">_xlfn.XLOOKUP(D2953&amp;C2953, Sheet2!$A$2:$A$558&amp;Sheet2!$B$2:$B$558, Sheet2!$C$2:$C$558, "")</f>
        <v/>
      </c>
      <c r="H2953" s="40" t="str">
        <f t="shared" si="46"/>
        <v>muhiqbal11401@mail.ugm.ac.id</v>
      </c>
    </row>
    <row r="2954" spans="1:8" ht="15.5" x14ac:dyDescent="0.35">
      <c r="A2954" s="7">
        <v>2953</v>
      </c>
      <c r="B2954" s="10">
        <v>48893</v>
      </c>
      <c r="C2954" s="13" t="s">
        <v>2607</v>
      </c>
      <c r="D2954" s="10" t="s">
        <v>2855</v>
      </c>
      <c r="E2954" s="10">
        <v>2023</v>
      </c>
      <c r="F2954" s="36" t="str" cm="1">
        <f t="array" ref="F2954">_xlfn.XLOOKUP(D2954&amp;C2954, Sheet3!$C$2:$C$1224&amp;Sheet3!$B$2:$B$1224, Sheet3!$D$2:$D$1224, "")</f>
        <v/>
      </c>
      <c r="G2954" s="1" t="str" cm="1">
        <f t="array" ref="G2954">_xlfn.XLOOKUP(D2954&amp;C2954, Sheet2!$A$2:$A$558&amp;Sheet2!$B$2:$B$558, Sheet2!$C$2:$C$558, "")</f>
        <v/>
      </c>
      <c r="H2954" s="40" t="str">
        <f t="shared" si="46"/>
        <v/>
      </c>
    </row>
    <row r="2955" spans="1:8" ht="15.5" x14ac:dyDescent="0.35">
      <c r="A2955" s="7">
        <v>2954</v>
      </c>
      <c r="B2955" s="10">
        <v>48896</v>
      </c>
      <c r="C2955" s="13" t="s">
        <v>2608</v>
      </c>
      <c r="D2955" s="10" t="s">
        <v>2855</v>
      </c>
      <c r="E2955" s="10">
        <v>2023</v>
      </c>
      <c r="F2955" s="36" t="str" cm="1">
        <f t="array" ref="F2955">_xlfn.XLOOKUP(D2955&amp;C2955, Sheet3!$C$2:$C$1224&amp;Sheet3!$B$2:$B$1224, Sheet3!$D$2:$D$1224, "")</f>
        <v>09pungkyysr@mail.ugm.ac.id</v>
      </c>
      <c r="G2955" s="1" t="str" cm="1">
        <f t="array" ref="G2955">_xlfn.XLOOKUP(D2955&amp;C2955, Sheet2!$A$2:$A$558&amp;Sheet2!$B$2:$B$558, Sheet2!$C$2:$C$558, "")</f>
        <v/>
      </c>
      <c r="H2955" s="40" t="str">
        <f t="shared" si="46"/>
        <v>09pungkyysr@mail.ugm.ac.id</v>
      </c>
    </row>
    <row r="2956" spans="1:8" ht="15.5" x14ac:dyDescent="0.35">
      <c r="A2956" s="7">
        <v>2955</v>
      </c>
      <c r="B2956" s="10">
        <v>47205</v>
      </c>
      <c r="C2956" s="13" t="s">
        <v>2609</v>
      </c>
      <c r="D2956" s="10" t="s">
        <v>2854</v>
      </c>
      <c r="E2956" s="10">
        <v>2023</v>
      </c>
      <c r="F2956" s="36" t="str" cm="1">
        <f t="array" ref="F2956">_xlfn.XLOOKUP(D2956&amp;C2956, Sheet3!$C$2:$C$1224&amp;Sheet3!$B$2:$B$1224, Sheet3!$D$2:$D$1224, "")</f>
        <v/>
      </c>
      <c r="G2956" s="1" t="str" cm="1">
        <f t="array" ref="G2956">_xlfn.XLOOKUP(D2956&amp;C2956, Sheet2!$A$2:$A$558&amp;Sheet2!$B$2:$B$558, Sheet2!$C$2:$C$558, "")</f>
        <v/>
      </c>
      <c r="H2956" s="40" t="str">
        <f t="shared" si="46"/>
        <v/>
      </c>
    </row>
    <row r="2957" spans="1:8" ht="15.5" x14ac:dyDescent="0.35">
      <c r="A2957" s="7">
        <v>2956</v>
      </c>
      <c r="B2957" s="10">
        <v>47235</v>
      </c>
      <c r="C2957" s="13" t="s">
        <v>2610</v>
      </c>
      <c r="D2957" s="10" t="s">
        <v>2854</v>
      </c>
      <c r="E2957" s="10">
        <v>2023</v>
      </c>
      <c r="F2957" s="36" t="str" cm="1">
        <f t="array" ref="F2957">_xlfn.XLOOKUP(D2957&amp;C2957, Sheet3!$C$2:$C$1224&amp;Sheet3!$B$2:$B$1224, Sheet3!$D$2:$D$1224, "")</f>
        <v/>
      </c>
      <c r="G2957" s="1" t="str" cm="1">
        <f t="array" ref="G2957">_xlfn.XLOOKUP(D2957&amp;C2957, Sheet2!$A$2:$A$558&amp;Sheet2!$B$2:$B$558, Sheet2!$C$2:$C$558, "")</f>
        <v/>
      </c>
      <c r="H2957" s="40" t="str">
        <f t="shared" si="46"/>
        <v/>
      </c>
    </row>
    <row r="2958" spans="1:8" ht="15.5" x14ac:dyDescent="0.35">
      <c r="A2958" s="7">
        <v>2957</v>
      </c>
      <c r="B2958" s="10">
        <v>48373</v>
      </c>
      <c r="C2958" s="13" t="s">
        <v>2611</v>
      </c>
      <c r="D2958" s="10" t="s">
        <v>2855</v>
      </c>
      <c r="E2958" s="10">
        <v>2023</v>
      </c>
      <c r="F2958" s="36" t="str" cm="1">
        <f t="array" ref="F2958">_xlfn.XLOOKUP(D2958&amp;C2958, Sheet3!$C$2:$C$1224&amp;Sheet3!$B$2:$B$1224, Sheet3!$D$2:$D$1224, "")</f>
        <v/>
      </c>
      <c r="G2958" s="1" t="str" cm="1">
        <f t="array" ref="G2958">_xlfn.XLOOKUP(D2958&amp;C2958, Sheet2!$A$2:$A$558&amp;Sheet2!$B$2:$B$558, Sheet2!$C$2:$C$558, "")</f>
        <v/>
      </c>
      <c r="H2958" s="40" t="str">
        <f t="shared" si="46"/>
        <v/>
      </c>
    </row>
    <row r="2959" spans="1:8" ht="15.5" x14ac:dyDescent="0.35">
      <c r="A2959" s="7">
        <v>2958</v>
      </c>
      <c r="B2959" s="10">
        <v>48378</v>
      </c>
      <c r="C2959" s="13" t="s">
        <v>2612</v>
      </c>
      <c r="D2959" s="10" t="s">
        <v>2855</v>
      </c>
      <c r="E2959" s="10">
        <v>2023</v>
      </c>
      <c r="F2959" s="36" t="str" cm="1">
        <f t="array" ref="F2959">_xlfn.XLOOKUP(D2959&amp;C2959, Sheet3!$C$2:$C$1224&amp;Sheet3!$B$2:$B$1224, Sheet3!$D$2:$D$1224, "")</f>
        <v/>
      </c>
      <c r="G2959" s="1" t="str" cm="1">
        <f t="array" ref="G2959">_xlfn.XLOOKUP(D2959&amp;C2959, Sheet2!$A$2:$A$558&amp;Sheet2!$B$2:$B$558, Sheet2!$C$2:$C$558, "")</f>
        <v/>
      </c>
      <c r="H2959" s="40" t="str">
        <f t="shared" si="46"/>
        <v/>
      </c>
    </row>
    <row r="2960" spans="1:8" ht="15.5" x14ac:dyDescent="0.35">
      <c r="A2960" s="7">
        <v>2959</v>
      </c>
      <c r="B2960" s="10">
        <v>48587</v>
      </c>
      <c r="C2960" s="13" t="s">
        <v>2613</v>
      </c>
      <c r="D2960" s="10" t="s">
        <v>2855</v>
      </c>
      <c r="E2960" s="10">
        <v>2023</v>
      </c>
      <c r="F2960" s="36" t="str" cm="1">
        <f t="array" ref="F2960">_xlfn.XLOOKUP(D2960&amp;C2960, Sheet3!$C$2:$C$1224&amp;Sheet3!$B$2:$B$1224, Sheet3!$D$2:$D$1224, "")</f>
        <v>frastiwiwidya@mail.ugm.ac.id</v>
      </c>
      <c r="G2960" s="1" t="str" cm="1">
        <f t="array" ref="G2960">_xlfn.XLOOKUP(D2960&amp;C2960, Sheet2!$A$2:$A$558&amp;Sheet2!$B$2:$B$558, Sheet2!$C$2:$C$558, "")</f>
        <v/>
      </c>
      <c r="H2960" s="40" t="str">
        <f t="shared" si="46"/>
        <v>frastiwiwidya@mail.ugm.ac.id</v>
      </c>
    </row>
    <row r="2961" spans="1:8" ht="15.5" x14ac:dyDescent="0.35">
      <c r="A2961" s="7">
        <v>2960</v>
      </c>
      <c r="B2961" s="10">
        <v>48864</v>
      </c>
      <c r="C2961" s="13" t="s">
        <v>2614</v>
      </c>
      <c r="D2961" s="10" t="s">
        <v>2855</v>
      </c>
      <c r="E2961" s="10">
        <v>2023</v>
      </c>
      <c r="F2961" s="36" t="str" cm="1">
        <f t="array" ref="F2961">_xlfn.XLOOKUP(D2961&amp;C2961, Sheet3!$C$2:$C$1224&amp;Sheet3!$B$2:$B$1224, Sheet3!$D$2:$D$1224, "")</f>
        <v/>
      </c>
      <c r="G2961" s="1" t="str" cm="1">
        <f t="array" ref="G2961">_xlfn.XLOOKUP(D2961&amp;C2961, Sheet2!$A$2:$A$558&amp;Sheet2!$B$2:$B$558, Sheet2!$C$2:$C$558, "")</f>
        <v/>
      </c>
      <c r="H2961" s="40" t="str">
        <f t="shared" si="46"/>
        <v/>
      </c>
    </row>
    <row r="2962" spans="1:8" ht="15.5" x14ac:dyDescent="0.35">
      <c r="A2962" s="7">
        <v>2961</v>
      </c>
      <c r="B2962" s="10">
        <v>48885</v>
      </c>
      <c r="C2962" s="13" t="s">
        <v>2615</v>
      </c>
      <c r="D2962" s="10" t="s">
        <v>2855</v>
      </c>
      <c r="E2962" s="10">
        <v>2023</v>
      </c>
      <c r="F2962" s="36" t="str" cm="1">
        <f t="array" ref="F2962">_xlfn.XLOOKUP(D2962&amp;C2962, Sheet3!$C$2:$C$1224&amp;Sheet3!$B$2:$B$1224, Sheet3!$D$2:$D$1224, "")</f>
        <v/>
      </c>
      <c r="G2962" s="1" t="str" cm="1">
        <f t="array" ref="G2962">_xlfn.XLOOKUP(D2962&amp;C2962, Sheet2!$A$2:$A$558&amp;Sheet2!$B$2:$B$558, Sheet2!$C$2:$C$558, "")</f>
        <v/>
      </c>
      <c r="H2962" s="40" t="str">
        <f t="shared" si="46"/>
        <v/>
      </c>
    </row>
    <row r="2963" spans="1:8" ht="15.5" x14ac:dyDescent="0.35">
      <c r="A2963" s="7">
        <v>2962</v>
      </c>
      <c r="B2963" s="10">
        <v>48889</v>
      </c>
      <c r="C2963" s="13" t="s">
        <v>2616</v>
      </c>
      <c r="D2963" s="10" t="s">
        <v>2855</v>
      </c>
      <c r="E2963" s="10">
        <v>2023</v>
      </c>
      <c r="F2963" s="36" t="str" cm="1">
        <f t="array" ref="F2963">_xlfn.XLOOKUP(D2963&amp;C2963, Sheet3!$C$2:$C$1224&amp;Sheet3!$B$2:$B$1224, Sheet3!$D$2:$D$1224, "")</f>
        <v/>
      </c>
      <c r="G2963" s="1" t="str" cm="1">
        <f t="array" ref="G2963">_xlfn.XLOOKUP(D2963&amp;C2963, Sheet2!$A$2:$A$558&amp;Sheet2!$B$2:$B$558, Sheet2!$C$2:$C$558, "")</f>
        <v/>
      </c>
      <c r="H2963" s="40" t="str">
        <f t="shared" si="46"/>
        <v/>
      </c>
    </row>
    <row r="2964" spans="1:8" ht="15.5" x14ac:dyDescent="0.35">
      <c r="A2964" s="7">
        <v>2963</v>
      </c>
      <c r="B2964" s="10">
        <v>49671</v>
      </c>
      <c r="C2964" s="13" t="s">
        <v>2617</v>
      </c>
      <c r="D2964" s="10" t="s">
        <v>2855</v>
      </c>
      <c r="E2964" s="10">
        <v>2023</v>
      </c>
      <c r="F2964" s="36" t="str" cm="1">
        <f t="array" ref="F2964">_xlfn.XLOOKUP(D2964&amp;C2964, Sheet3!$C$2:$C$1224&amp;Sheet3!$B$2:$B$1224, Sheet3!$D$2:$D$1224, "")</f>
        <v/>
      </c>
      <c r="G2964" s="1" t="str" cm="1">
        <f t="array" ref="G2964">_xlfn.XLOOKUP(D2964&amp;C2964, Sheet2!$A$2:$A$558&amp;Sheet2!$B$2:$B$558, Sheet2!$C$2:$C$558, "")</f>
        <v/>
      </c>
      <c r="H2964" s="40" t="str">
        <f t="shared" si="46"/>
        <v/>
      </c>
    </row>
    <row r="2965" spans="1:8" ht="15.5" x14ac:dyDescent="0.35">
      <c r="A2965" s="7">
        <v>2964</v>
      </c>
      <c r="B2965" s="10">
        <v>49675</v>
      </c>
      <c r="C2965" s="13" t="s">
        <v>2618</v>
      </c>
      <c r="D2965" s="10" t="s">
        <v>2855</v>
      </c>
      <c r="E2965" s="10">
        <v>2023</v>
      </c>
      <c r="F2965" s="36" t="str" cm="1">
        <f t="array" ref="F2965">_xlfn.XLOOKUP(D2965&amp;C2965, Sheet3!$C$2:$C$1224&amp;Sheet3!$B$2:$B$1224, Sheet3!$D$2:$D$1224, "")</f>
        <v/>
      </c>
      <c r="G2965" s="1" t="str" cm="1">
        <f t="array" ref="G2965">_xlfn.XLOOKUP(D2965&amp;C2965, Sheet2!$A$2:$A$558&amp;Sheet2!$B$2:$B$558, Sheet2!$C$2:$C$558, "")</f>
        <v/>
      </c>
      <c r="H2965" s="40" t="str">
        <f t="shared" si="46"/>
        <v/>
      </c>
    </row>
    <row r="2966" spans="1:8" ht="15.5" x14ac:dyDescent="0.35">
      <c r="A2966" s="7">
        <v>2965</v>
      </c>
      <c r="B2966" s="10">
        <v>46027</v>
      </c>
      <c r="C2966" s="13" t="s">
        <v>2619</v>
      </c>
      <c r="D2966" s="10" t="s">
        <v>2853</v>
      </c>
      <c r="E2966" s="10">
        <v>2023</v>
      </c>
      <c r="F2966" s="36" t="str" cm="1">
        <f t="array" ref="F2966">_xlfn.XLOOKUP(D2966&amp;C2966, Sheet3!$C$2:$C$1224&amp;Sheet3!$B$2:$B$1224, Sheet3!$D$2:$D$1224, "")</f>
        <v/>
      </c>
      <c r="G2966" s="1" t="str" cm="1">
        <f t="array" ref="G2966">_xlfn.XLOOKUP(D2966&amp;C2966, Sheet2!$A$2:$A$558&amp;Sheet2!$B$2:$B$558, Sheet2!$C$2:$C$558, "")</f>
        <v/>
      </c>
      <c r="H2966" s="40" t="str">
        <f t="shared" si="46"/>
        <v/>
      </c>
    </row>
    <row r="2967" spans="1:8" ht="15.5" x14ac:dyDescent="0.35">
      <c r="A2967" s="7">
        <v>2966</v>
      </c>
      <c r="B2967" s="10">
        <v>46043</v>
      </c>
      <c r="C2967" s="13" t="s">
        <v>2620</v>
      </c>
      <c r="D2967" s="10" t="s">
        <v>2853</v>
      </c>
      <c r="E2967" s="10">
        <v>2023</v>
      </c>
      <c r="F2967" s="36" t="str" cm="1">
        <f t="array" ref="F2967">_xlfn.XLOOKUP(D2967&amp;C2967, Sheet3!$C$2:$C$1224&amp;Sheet3!$B$2:$B$1224, Sheet3!$D$2:$D$1224, "")</f>
        <v/>
      </c>
      <c r="G2967" s="1" t="str" cm="1">
        <f t="array" ref="G2967">_xlfn.XLOOKUP(D2967&amp;C2967, Sheet2!$A$2:$A$558&amp;Sheet2!$B$2:$B$558, Sheet2!$C$2:$C$558, "")</f>
        <v/>
      </c>
      <c r="H2967" s="40" t="str">
        <f t="shared" si="46"/>
        <v/>
      </c>
    </row>
    <row r="2968" spans="1:8" ht="15.5" x14ac:dyDescent="0.35">
      <c r="A2968" s="7">
        <v>2967</v>
      </c>
      <c r="B2968" s="10">
        <v>47202</v>
      </c>
      <c r="C2968" s="13" t="s">
        <v>2621</v>
      </c>
      <c r="D2968" s="10" t="s">
        <v>2854</v>
      </c>
      <c r="E2968" s="10">
        <v>2023</v>
      </c>
      <c r="F2968" s="36" t="str" cm="1">
        <f t="array" ref="F2968">_xlfn.XLOOKUP(D2968&amp;C2968, Sheet3!$C$2:$C$1224&amp;Sheet3!$B$2:$B$1224, Sheet3!$D$2:$D$1224, "")</f>
        <v/>
      </c>
      <c r="G2968" s="1" t="str" cm="1">
        <f t="array" ref="G2968">_xlfn.XLOOKUP(D2968&amp;C2968, Sheet2!$A$2:$A$558&amp;Sheet2!$B$2:$B$558, Sheet2!$C$2:$C$558, "")</f>
        <v/>
      </c>
      <c r="H2968" s="40" t="str">
        <f t="shared" si="46"/>
        <v/>
      </c>
    </row>
    <row r="2969" spans="1:8" ht="15.5" x14ac:dyDescent="0.35">
      <c r="A2969" s="7">
        <v>2968</v>
      </c>
      <c r="B2969" s="10">
        <v>48369</v>
      </c>
      <c r="C2969" s="13" t="s">
        <v>2622</v>
      </c>
      <c r="D2969" s="10" t="s">
        <v>2855</v>
      </c>
      <c r="E2969" s="10">
        <v>2023</v>
      </c>
      <c r="F2969" s="36" t="str" cm="1">
        <f t="array" ref="F2969">_xlfn.XLOOKUP(D2969&amp;C2969, Sheet3!$C$2:$C$1224&amp;Sheet3!$B$2:$B$1224, Sheet3!$D$2:$D$1224, "")</f>
        <v>adeirma01@mail.ugm.ac.id</v>
      </c>
      <c r="G2969" s="1" t="str" cm="1">
        <f t="array" ref="G2969">_xlfn.XLOOKUP(D2969&amp;C2969, Sheet2!$A$2:$A$558&amp;Sheet2!$B$2:$B$558, Sheet2!$C$2:$C$558, "")</f>
        <v/>
      </c>
      <c r="H2969" s="40" t="str">
        <f t="shared" si="46"/>
        <v>adeirma01@mail.ugm.ac.id</v>
      </c>
    </row>
    <row r="2970" spans="1:8" ht="15.5" x14ac:dyDescent="0.35">
      <c r="A2970" s="7">
        <v>2969</v>
      </c>
      <c r="B2970" s="10">
        <v>48375</v>
      </c>
      <c r="C2970" s="13" t="s">
        <v>2623</v>
      </c>
      <c r="D2970" s="10" t="s">
        <v>2855</v>
      </c>
      <c r="E2970" s="10">
        <v>2023</v>
      </c>
      <c r="F2970" s="36" t="str" cm="1">
        <f t="array" ref="F2970">_xlfn.XLOOKUP(D2970&amp;C2970, Sheet3!$C$2:$C$1224&amp;Sheet3!$B$2:$B$1224, Sheet3!$D$2:$D$1224, "")</f>
        <v/>
      </c>
      <c r="G2970" s="1" t="str" cm="1">
        <f t="array" ref="G2970">_xlfn.XLOOKUP(D2970&amp;C2970, Sheet2!$A$2:$A$558&amp;Sheet2!$B$2:$B$558, Sheet2!$C$2:$C$558, "")</f>
        <v/>
      </c>
      <c r="H2970" s="40" t="str">
        <f t="shared" si="46"/>
        <v/>
      </c>
    </row>
    <row r="2971" spans="1:8" ht="15.5" x14ac:dyDescent="0.35">
      <c r="A2971" s="7">
        <v>2970</v>
      </c>
      <c r="B2971" s="10">
        <v>48382</v>
      </c>
      <c r="C2971" s="13" t="s">
        <v>2624</v>
      </c>
      <c r="D2971" s="10" t="s">
        <v>2855</v>
      </c>
      <c r="E2971" s="10">
        <v>2023</v>
      </c>
      <c r="F2971" s="36" t="str" cm="1">
        <f t="array" ref="F2971">_xlfn.XLOOKUP(D2971&amp;C2971, Sheet3!$C$2:$C$1224&amp;Sheet3!$B$2:$B$1224, Sheet3!$D$2:$D$1224, "")</f>
        <v/>
      </c>
      <c r="G2971" s="1" t="str" cm="1">
        <f t="array" ref="G2971">_xlfn.XLOOKUP(D2971&amp;C2971, Sheet2!$A$2:$A$558&amp;Sheet2!$B$2:$B$558, Sheet2!$C$2:$C$558, "")</f>
        <v/>
      </c>
      <c r="H2971" s="40" t="str">
        <f t="shared" si="46"/>
        <v/>
      </c>
    </row>
    <row r="2972" spans="1:8" ht="15.5" x14ac:dyDescent="0.35">
      <c r="A2972" s="7">
        <v>2971</v>
      </c>
      <c r="B2972" s="10">
        <v>48586</v>
      </c>
      <c r="C2972" s="13" t="s">
        <v>2625</v>
      </c>
      <c r="D2972" s="10" t="s">
        <v>2855</v>
      </c>
      <c r="E2972" s="10">
        <v>2023</v>
      </c>
      <c r="F2972" s="36" t="str" cm="1">
        <f t="array" ref="F2972">_xlfn.XLOOKUP(D2972&amp;C2972, Sheet3!$C$2:$C$1224&amp;Sheet3!$B$2:$B$1224, Sheet3!$D$2:$D$1224, "")</f>
        <v/>
      </c>
      <c r="G2972" s="1" t="str" cm="1">
        <f t="array" ref="G2972">_xlfn.XLOOKUP(D2972&amp;C2972, Sheet2!$A$2:$A$558&amp;Sheet2!$B$2:$B$558, Sheet2!$C$2:$C$558, "")</f>
        <v/>
      </c>
      <c r="H2972" s="40" t="str">
        <f t="shared" si="46"/>
        <v/>
      </c>
    </row>
    <row r="2973" spans="1:8" ht="15.5" x14ac:dyDescent="0.35">
      <c r="A2973" s="7">
        <v>2972</v>
      </c>
      <c r="B2973" s="10">
        <v>48589</v>
      </c>
      <c r="C2973" s="13" t="s">
        <v>2626</v>
      </c>
      <c r="D2973" s="10" t="s">
        <v>2855</v>
      </c>
      <c r="E2973" s="10">
        <v>2023</v>
      </c>
      <c r="F2973" s="36" t="str" cm="1">
        <f t="array" ref="F2973">_xlfn.XLOOKUP(D2973&amp;C2973, Sheet3!$C$2:$C$1224&amp;Sheet3!$B$2:$B$1224, Sheet3!$D$2:$D$1224, "")</f>
        <v/>
      </c>
      <c r="G2973" s="1" t="str" cm="1">
        <f t="array" ref="G2973">_xlfn.XLOOKUP(D2973&amp;C2973, Sheet2!$A$2:$A$558&amp;Sheet2!$B$2:$B$558, Sheet2!$C$2:$C$558, "")</f>
        <v/>
      </c>
      <c r="H2973" s="40" t="str">
        <f t="shared" si="46"/>
        <v/>
      </c>
    </row>
    <row r="2974" spans="1:8" ht="15.5" x14ac:dyDescent="0.35">
      <c r="A2974" s="7">
        <v>2973</v>
      </c>
      <c r="B2974" s="10">
        <v>48861</v>
      </c>
      <c r="C2974" s="13" t="s">
        <v>2627</v>
      </c>
      <c r="D2974" s="10" t="s">
        <v>2855</v>
      </c>
      <c r="E2974" s="10">
        <v>2023</v>
      </c>
      <c r="F2974" s="36" t="str" cm="1">
        <f t="array" ref="F2974">_xlfn.XLOOKUP(D2974&amp;C2974, Sheet3!$C$2:$C$1224&amp;Sheet3!$B$2:$B$1224, Sheet3!$D$2:$D$1224, "")</f>
        <v/>
      </c>
      <c r="G2974" s="1" t="str" cm="1">
        <f t="array" ref="G2974">_xlfn.XLOOKUP(D2974&amp;C2974, Sheet2!$A$2:$A$558&amp;Sheet2!$B$2:$B$558, Sheet2!$C$2:$C$558, "")</f>
        <v/>
      </c>
      <c r="H2974" s="40" t="str">
        <f t="shared" si="46"/>
        <v/>
      </c>
    </row>
    <row r="2975" spans="1:8" ht="15.5" x14ac:dyDescent="0.35">
      <c r="A2975" s="7">
        <v>2974</v>
      </c>
      <c r="B2975" s="10">
        <v>48867</v>
      </c>
      <c r="C2975" s="13" t="s">
        <v>2628</v>
      </c>
      <c r="D2975" s="10" t="s">
        <v>2855</v>
      </c>
      <c r="E2975" s="10">
        <v>2023</v>
      </c>
      <c r="F2975" s="36" t="str" cm="1">
        <f t="array" ref="F2975">_xlfn.XLOOKUP(D2975&amp;C2975, Sheet3!$C$2:$C$1224&amp;Sheet3!$B$2:$B$1224, Sheet3!$D$2:$D$1224, "")</f>
        <v/>
      </c>
      <c r="G2975" s="1" t="str" cm="1">
        <f t="array" ref="G2975">_xlfn.XLOOKUP(D2975&amp;C2975, Sheet2!$A$2:$A$558&amp;Sheet2!$B$2:$B$558, Sheet2!$C$2:$C$558, "")</f>
        <v/>
      </c>
      <c r="H2975" s="40" t="str">
        <f t="shared" si="46"/>
        <v/>
      </c>
    </row>
    <row r="2976" spans="1:8" ht="15.5" x14ac:dyDescent="0.35">
      <c r="A2976" s="7">
        <v>2975</v>
      </c>
      <c r="B2976" s="10">
        <v>48876</v>
      </c>
      <c r="C2976" s="13" t="s">
        <v>2629</v>
      </c>
      <c r="D2976" s="10" t="s">
        <v>2855</v>
      </c>
      <c r="E2976" s="10">
        <v>2023</v>
      </c>
      <c r="F2976" s="36" t="str" cm="1">
        <f t="array" ref="F2976">_xlfn.XLOOKUP(D2976&amp;C2976, Sheet3!$C$2:$C$1224&amp;Sheet3!$B$2:$B$1224, Sheet3!$D$2:$D$1224, "")</f>
        <v/>
      </c>
      <c r="G2976" s="1" t="str" cm="1">
        <f t="array" ref="G2976">_xlfn.XLOOKUP(D2976&amp;C2976, Sheet2!$A$2:$A$558&amp;Sheet2!$B$2:$B$558, Sheet2!$C$2:$C$558, "")</f>
        <v/>
      </c>
      <c r="H2976" s="40" t="str">
        <f t="shared" si="46"/>
        <v/>
      </c>
    </row>
    <row r="2977" spans="1:8" ht="15.5" x14ac:dyDescent="0.35">
      <c r="A2977" s="7">
        <v>2976</v>
      </c>
      <c r="B2977" s="10">
        <v>48897</v>
      </c>
      <c r="C2977" s="13" t="s">
        <v>2630</v>
      </c>
      <c r="D2977" s="10" t="s">
        <v>2855</v>
      </c>
      <c r="E2977" s="10">
        <v>2023</v>
      </c>
      <c r="F2977" s="36" t="str" cm="1">
        <f t="array" ref="F2977">_xlfn.XLOOKUP(D2977&amp;C2977, Sheet3!$C$2:$C$1224&amp;Sheet3!$B$2:$B$1224, Sheet3!$D$2:$D$1224, "")</f>
        <v/>
      </c>
      <c r="G2977" s="1" t="str" cm="1">
        <f t="array" ref="G2977">_xlfn.XLOOKUP(D2977&amp;C2977, Sheet2!$A$2:$A$558&amp;Sheet2!$B$2:$B$558, Sheet2!$C$2:$C$558, "")</f>
        <v/>
      </c>
      <c r="H2977" s="40" t="str">
        <f t="shared" si="46"/>
        <v/>
      </c>
    </row>
    <row r="2978" spans="1:8" ht="15.5" x14ac:dyDescent="0.35">
      <c r="A2978" s="7">
        <v>2977</v>
      </c>
      <c r="B2978" s="10">
        <v>48901</v>
      </c>
      <c r="C2978" s="13" t="s">
        <v>2631</v>
      </c>
      <c r="D2978" s="10" t="s">
        <v>2855</v>
      </c>
      <c r="E2978" s="10">
        <v>2023</v>
      </c>
      <c r="F2978" s="36" t="str" cm="1">
        <f t="array" ref="F2978">_xlfn.XLOOKUP(D2978&amp;C2978, Sheet3!$C$2:$C$1224&amp;Sheet3!$B$2:$B$1224, Sheet3!$D$2:$D$1224, "")</f>
        <v/>
      </c>
      <c r="G2978" s="1" t="str" cm="1">
        <f t="array" ref="G2978">_xlfn.XLOOKUP(D2978&amp;C2978, Sheet2!$A$2:$A$558&amp;Sheet2!$B$2:$B$558, Sheet2!$C$2:$C$558, "")</f>
        <v/>
      </c>
      <c r="H2978" s="40" t="str">
        <f t="shared" si="46"/>
        <v/>
      </c>
    </row>
    <row r="2979" spans="1:8" ht="15.5" x14ac:dyDescent="0.35">
      <c r="A2979" s="7">
        <v>2978</v>
      </c>
      <c r="B2979" s="10">
        <v>48907</v>
      </c>
      <c r="C2979" s="13" t="s">
        <v>2632</v>
      </c>
      <c r="D2979" s="10" t="s">
        <v>2855</v>
      </c>
      <c r="E2979" s="10">
        <v>2023</v>
      </c>
      <c r="F2979" s="36" t="str" cm="1">
        <f t="array" ref="F2979">_xlfn.XLOOKUP(D2979&amp;C2979, Sheet3!$C$2:$C$1224&amp;Sheet3!$B$2:$B$1224, Sheet3!$D$2:$D$1224, "")</f>
        <v/>
      </c>
      <c r="G2979" s="1" t="str" cm="1">
        <f t="array" ref="G2979">_xlfn.XLOOKUP(D2979&amp;C2979, Sheet2!$A$2:$A$558&amp;Sheet2!$B$2:$B$558, Sheet2!$C$2:$C$558, "")</f>
        <v/>
      </c>
      <c r="H2979" s="40" t="str">
        <f t="shared" si="46"/>
        <v/>
      </c>
    </row>
    <row r="2980" spans="1:8" ht="15.5" x14ac:dyDescent="0.35">
      <c r="A2980" s="7">
        <v>2979</v>
      </c>
      <c r="B2980" s="10">
        <v>49648</v>
      </c>
      <c r="C2980" s="13" t="s">
        <v>2633</v>
      </c>
      <c r="D2980" s="10" t="s">
        <v>2855</v>
      </c>
      <c r="E2980" s="10">
        <v>2023</v>
      </c>
      <c r="F2980" s="36" t="str" cm="1">
        <f t="array" ref="F2980">_xlfn.XLOOKUP(D2980&amp;C2980, Sheet3!$C$2:$C$1224&amp;Sheet3!$B$2:$B$1224, Sheet3!$D$2:$D$1224, "")</f>
        <v/>
      </c>
      <c r="G2980" s="1" t="str" cm="1">
        <f t="array" ref="G2980">_xlfn.XLOOKUP(D2980&amp;C2980, Sheet2!$A$2:$A$558&amp;Sheet2!$B$2:$B$558, Sheet2!$C$2:$C$558, "")</f>
        <v/>
      </c>
      <c r="H2980" s="40" t="str">
        <f t="shared" si="46"/>
        <v/>
      </c>
    </row>
    <row r="2981" spans="1:8" ht="15.5" x14ac:dyDescent="0.35">
      <c r="A2981" s="7">
        <v>2980</v>
      </c>
      <c r="B2981" s="10">
        <v>49656</v>
      </c>
      <c r="C2981" s="13" t="s">
        <v>2634</v>
      </c>
      <c r="D2981" s="10" t="s">
        <v>2855</v>
      </c>
      <c r="E2981" s="10">
        <v>2023</v>
      </c>
      <c r="F2981" s="36" t="str" cm="1">
        <f t="array" ref="F2981">_xlfn.XLOOKUP(D2981&amp;C2981, Sheet3!$C$2:$C$1224&amp;Sheet3!$B$2:$B$1224, Sheet3!$D$2:$D$1224, "")</f>
        <v/>
      </c>
      <c r="G2981" s="1" t="str" cm="1">
        <f t="array" ref="G2981">_xlfn.XLOOKUP(D2981&amp;C2981, Sheet2!$A$2:$A$558&amp;Sheet2!$B$2:$B$558, Sheet2!$C$2:$C$558, "")</f>
        <v/>
      </c>
      <c r="H2981" s="40" t="str">
        <f t="shared" si="46"/>
        <v/>
      </c>
    </row>
    <row r="2982" spans="1:8" ht="15.5" x14ac:dyDescent="0.35">
      <c r="A2982" s="7">
        <v>2981</v>
      </c>
      <c r="B2982" s="10">
        <v>49665</v>
      </c>
      <c r="C2982" s="13" t="s">
        <v>2635</v>
      </c>
      <c r="D2982" s="10" t="s">
        <v>2855</v>
      </c>
      <c r="E2982" s="10">
        <v>2023</v>
      </c>
      <c r="F2982" s="36" t="str" cm="1">
        <f t="array" ref="F2982">_xlfn.XLOOKUP(D2982&amp;C2982, Sheet3!$C$2:$C$1224&amp;Sheet3!$B$2:$B$1224, Sheet3!$D$2:$D$1224, "")</f>
        <v/>
      </c>
      <c r="G2982" s="1" t="str" cm="1">
        <f t="array" ref="G2982">_xlfn.XLOOKUP(D2982&amp;C2982, Sheet2!$A$2:$A$558&amp;Sheet2!$B$2:$B$558, Sheet2!$C$2:$C$558, "")</f>
        <v/>
      </c>
      <c r="H2982" s="40" t="str">
        <f t="shared" si="46"/>
        <v/>
      </c>
    </row>
    <row r="2983" spans="1:8" ht="15.5" x14ac:dyDescent="0.35">
      <c r="A2983" s="7">
        <v>2982</v>
      </c>
      <c r="B2983" s="10">
        <v>49668</v>
      </c>
      <c r="C2983" s="13" t="s">
        <v>2636</v>
      </c>
      <c r="D2983" s="10" t="s">
        <v>2855</v>
      </c>
      <c r="E2983" s="10">
        <v>2023</v>
      </c>
      <c r="F2983" s="36" t="str" cm="1">
        <f t="array" ref="F2983">_xlfn.XLOOKUP(D2983&amp;C2983, Sheet3!$C$2:$C$1224&amp;Sheet3!$B$2:$B$1224, Sheet3!$D$2:$D$1224, "")</f>
        <v/>
      </c>
      <c r="G2983" s="1" t="str" cm="1">
        <f t="array" ref="G2983">_xlfn.XLOOKUP(D2983&amp;C2983, Sheet2!$A$2:$A$558&amp;Sheet2!$B$2:$B$558, Sheet2!$C$2:$C$558, "")</f>
        <v/>
      </c>
      <c r="H2983" s="40" t="str">
        <f t="shared" si="46"/>
        <v/>
      </c>
    </row>
    <row r="2984" spans="1:8" ht="15.5" x14ac:dyDescent="0.35">
      <c r="A2984" s="7">
        <v>2983</v>
      </c>
      <c r="B2984" s="10">
        <v>48584</v>
      </c>
      <c r="C2984" s="13" t="s">
        <v>2637</v>
      </c>
      <c r="D2984" s="10" t="s">
        <v>2855</v>
      </c>
      <c r="E2984" s="10">
        <v>2023</v>
      </c>
      <c r="F2984" s="36" t="str" cm="1">
        <f t="array" ref="F2984">_xlfn.XLOOKUP(D2984&amp;C2984, Sheet3!$C$2:$C$1224&amp;Sheet3!$B$2:$B$1224, Sheet3!$D$2:$D$1224, "")</f>
        <v/>
      </c>
      <c r="G2984" s="1" t="str" cm="1">
        <f t="array" ref="G2984">_xlfn.XLOOKUP(D2984&amp;C2984, Sheet2!$A$2:$A$558&amp;Sheet2!$B$2:$B$558, Sheet2!$C$2:$C$558, "")</f>
        <v/>
      </c>
      <c r="H2984" s="40" t="str">
        <f t="shared" si="46"/>
        <v/>
      </c>
    </row>
    <row r="2985" spans="1:8" ht="15.5" x14ac:dyDescent="0.35">
      <c r="A2985" s="7">
        <v>2984</v>
      </c>
      <c r="B2985" s="10">
        <v>47207</v>
      </c>
      <c r="C2985" s="13" t="s">
        <v>2638</v>
      </c>
      <c r="D2985" s="10" t="s">
        <v>2854</v>
      </c>
      <c r="E2985" s="10">
        <v>2023</v>
      </c>
      <c r="F2985" s="36" t="str" cm="1">
        <f t="array" ref="F2985">_xlfn.XLOOKUP(D2985&amp;C2985, Sheet3!$C$2:$C$1224&amp;Sheet3!$B$2:$B$1224, Sheet3!$D$2:$D$1224, "")</f>
        <v/>
      </c>
      <c r="G2985" s="1" t="str" cm="1">
        <f t="array" ref="G2985">_xlfn.XLOOKUP(D2985&amp;C2985, Sheet2!$A$2:$A$558&amp;Sheet2!$B$2:$B$558, Sheet2!$C$2:$C$558, "")</f>
        <v/>
      </c>
      <c r="H2985" s="40" t="str">
        <f t="shared" si="46"/>
        <v/>
      </c>
    </row>
    <row r="2986" spans="1:8" ht="15.5" x14ac:dyDescent="0.35">
      <c r="A2986" s="7">
        <v>2985</v>
      </c>
      <c r="B2986" s="10">
        <v>47744</v>
      </c>
      <c r="C2986" s="13" t="s">
        <v>2639</v>
      </c>
      <c r="D2986" s="10" t="s">
        <v>2854</v>
      </c>
      <c r="E2986" s="10">
        <v>2023</v>
      </c>
      <c r="F2986" s="36" t="str" cm="1">
        <f t="array" ref="F2986">_xlfn.XLOOKUP(D2986&amp;C2986, Sheet3!$C$2:$C$1224&amp;Sheet3!$B$2:$B$1224, Sheet3!$D$2:$D$1224, "")</f>
        <v/>
      </c>
      <c r="G2986" s="1" t="str" cm="1">
        <f t="array" ref="G2986">_xlfn.XLOOKUP(D2986&amp;C2986, Sheet2!$A$2:$A$558&amp;Sheet2!$B$2:$B$558, Sheet2!$C$2:$C$558, "")</f>
        <v/>
      </c>
      <c r="H2986" s="40" t="str">
        <f t="shared" si="46"/>
        <v/>
      </c>
    </row>
    <row r="2987" spans="1:8" ht="15.5" x14ac:dyDescent="0.35">
      <c r="A2987" s="7">
        <v>2986</v>
      </c>
      <c r="B2987" s="10">
        <v>48377</v>
      </c>
      <c r="C2987" s="13" t="s">
        <v>2640</v>
      </c>
      <c r="D2987" s="10" t="s">
        <v>2855</v>
      </c>
      <c r="E2987" s="10">
        <v>2023</v>
      </c>
      <c r="F2987" s="36" t="str" cm="1">
        <f t="array" ref="F2987">_xlfn.XLOOKUP(D2987&amp;C2987, Sheet3!$C$2:$C$1224&amp;Sheet3!$B$2:$B$1224, Sheet3!$D$2:$D$1224, "")</f>
        <v/>
      </c>
      <c r="G2987" s="1" t="str" cm="1">
        <f t="array" ref="G2987">_xlfn.XLOOKUP(D2987&amp;C2987, Sheet2!$A$2:$A$558&amp;Sheet2!$B$2:$B$558, Sheet2!$C$2:$C$558, "")</f>
        <v/>
      </c>
      <c r="H2987" s="40" t="str">
        <f t="shared" si="46"/>
        <v/>
      </c>
    </row>
    <row r="2988" spans="1:8" ht="15.5" x14ac:dyDescent="0.35">
      <c r="A2988" s="7">
        <v>2987</v>
      </c>
      <c r="B2988" s="10">
        <v>48580</v>
      </c>
      <c r="C2988" s="13" t="s">
        <v>2641</v>
      </c>
      <c r="D2988" s="10" t="s">
        <v>2855</v>
      </c>
      <c r="E2988" s="10">
        <v>2023</v>
      </c>
      <c r="F2988" s="36" t="str" cm="1">
        <f t="array" ref="F2988">_xlfn.XLOOKUP(D2988&amp;C2988, Sheet3!$C$2:$C$1224&amp;Sheet3!$B$2:$B$1224, Sheet3!$D$2:$D$1224, "")</f>
        <v/>
      </c>
      <c r="G2988" s="1" t="str" cm="1">
        <f t="array" ref="G2988">_xlfn.XLOOKUP(D2988&amp;C2988, Sheet2!$A$2:$A$558&amp;Sheet2!$B$2:$B$558, Sheet2!$C$2:$C$558, "")</f>
        <v/>
      </c>
      <c r="H2988" s="40" t="str">
        <f t="shared" si="46"/>
        <v/>
      </c>
    </row>
    <row r="2989" spans="1:8" ht="15.5" x14ac:dyDescent="0.35">
      <c r="A2989" s="7">
        <v>2988</v>
      </c>
      <c r="B2989" s="10">
        <v>48652</v>
      </c>
      <c r="C2989" s="13" t="s">
        <v>2642</v>
      </c>
      <c r="D2989" s="10" t="s">
        <v>2855</v>
      </c>
      <c r="E2989" s="10">
        <v>2023</v>
      </c>
      <c r="F2989" s="36" t="str" cm="1">
        <f t="array" ref="F2989">_xlfn.XLOOKUP(D2989&amp;C2989, Sheet3!$C$2:$C$1224&amp;Sheet3!$B$2:$B$1224, Sheet3!$D$2:$D$1224, "")</f>
        <v/>
      </c>
      <c r="G2989" s="1" t="str" cm="1">
        <f t="array" ref="G2989">_xlfn.XLOOKUP(D2989&amp;C2989, Sheet2!$A$2:$A$558&amp;Sheet2!$B$2:$B$558, Sheet2!$C$2:$C$558, "")</f>
        <v>naisyah666@mail.ugm.ac.id</v>
      </c>
      <c r="H2989" s="40" t="str">
        <f t="shared" si="46"/>
        <v>naisyah666@mail.ugm.ac.id</v>
      </c>
    </row>
    <row r="2990" spans="1:8" ht="15.5" x14ac:dyDescent="0.35">
      <c r="A2990" s="7">
        <v>2989</v>
      </c>
      <c r="B2990" s="10">
        <v>48853</v>
      </c>
      <c r="C2990" s="13" t="s">
        <v>2643</v>
      </c>
      <c r="D2990" s="10" t="s">
        <v>2855</v>
      </c>
      <c r="E2990" s="10">
        <v>2023</v>
      </c>
      <c r="F2990" s="36" t="str" cm="1">
        <f t="array" ref="F2990">_xlfn.XLOOKUP(D2990&amp;C2990, Sheet3!$C$2:$C$1224&amp;Sheet3!$B$2:$B$1224, Sheet3!$D$2:$D$1224, "")</f>
        <v/>
      </c>
      <c r="G2990" s="1" t="str" cm="1">
        <f t="array" ref="G2990">_xlfn.XLOOKUP(D2990&amp;C2990, Sheet2!$A$2:$A$558&amp;Sheet2!$B$2:$B$558, Sheet2!$C$2:$C$558, "")</f>
        <v/>
      </c>
      <c r="H2990" s="40" t="str">
        <f t="shared" si="46"/>
        <v/>
      </c>
    </row>
    <row r="2991" spans="1:8" ht="15.5" x14ac:dyDescent="0.35">
      <c r="A2991" s="7">
        <v>2990</v>
      </c>
      <c r="B2991" s="10">
        <v>48870</v>
      </c>
      <c r="C2991" s="13" t="s">
        <v>2644</v>
      </c>
      <c r="D2991" s="10" t="s">
        <v>2855</v>
      </c>
      <c r="E2991" s="10">
        <v>2023</v>
      </c>
      <c r="F2991" s="36" t="str" cm="1">
        <f t="array" ref="F2991">_xlfn.XLOOKUP(D2991&amp;C2991, Sheet3!$C$2:$C$1224&amp;Sheet3!$B$2:$B$1224, Sheet3!$D$2:$D$1224, "")</f>
        <v>faizahmadmkhan@gmail.com</v>
      </c>
      <c r="G2991" s="1" t="str" cm="1">
        <f t="array" ref="G2991">_xlfn.XLOOKUP(D2991&amp;C2991, Sheet2!$A$2:$A$558&amp;Sheet2!$B$2:$B$558, Sheet2!$C$2:$C$558, "")</f>
        <v/>
      </c>
      <c r="H2991" s="40" t="str">
        <f t="shared" si="46"/>
        <v>faizahmadmkhan@gmail.com</v>
      </c>
    </row>
    <row r="2992" spans="1:8" ht="15.5" x14ac:dyDescent="0.35">
      <c r="A2992" s="7">
        <v>2991</v>
      </c>
      <c r="B2992" s="10">
        <v>48871</v>
      </c>
      <c r="C2992" s="13" t="s">
        <v>2645</v>
      </c>
      <c r="D2992" s="10" t="s">
        <v>2855</v>
      </c>
      <c r="E2992" s="10">
        <v>2023</v>
      </c>
      <c r="F2992" s="36" t="str" cm="1">
        <f t="array" ref="F2992">_xlfn.XLOOKUP(D2992&amp;C2992, Sheet3!$C$2:$C$1224&amp;Sheet3!$B$2:$B$1224, Sheet3!$D$2:$D$1224, "")</f>
        <v/>
      </c>
      <c r="G2992" s="1" t="str" cm="1">
        <f t="array" ref="G2992">_xlfn.XLOOKUP(D2992&amp;C2992, Sheet2!$A$2:$A$558&amp;Sheet2!$B$2:$B$558, Sheet2!$C$2:$C$558, "")</f>
        <v/>
      </c>
      <c r="H2992" s="40" t="str">
        <f t="shared" si="46"/>
        <v/>
      </c>
    </row>
    <row r="2993" spans="1:8" ht="15.5" x14ac:dyDescent="0.35">
      <c r="A2993" s="7">
        <v>2992</v>
      </c>
      <c r="B2993" s="10">
        <v>48883</v>
      </c>
      <c r="C2993" s="13" t="s">
        <v>2646</v>
      </c>
      <c r="D2993" s="10" t="s">
        <v>2855</v>
      </c>
      <c r="E2993" s="10">
        <v>2023</v>
      </c>
      <c r="F2993" s="36" t="str" cm="1">
        <f t="array" ref="F2993">_xlfn.XLOOKUP(D2993&amp;C2993, Sheet3!$C$2:$C$1224&amp;Sheet3!$B$2:$B$1224, Sheet3!$D$2:$D$1224, "")</f>
        <v/>
      </c>
      <c r="G2993" s="1" t="str" cm="1">
        <f t="array" ref="G2993">_xlfn.XLOOKUP(D2993&amp;C2993, Sheet2!$A$2:$A$558&amp;Sheet2!$B$2:$B$558, Sheet2!$C$2:$C$558, "")</f>
        <v/>
      </c>
      <c r="H2993" s="40" t="str">
        <f t="shared" si="46"/>
        <v/>
      </c>
    </row>
    <row r="2994" spans="1:8" ht="15.5" x14ac:dyDescent="0.35">
      <c r="A2994" s="7">
        <v>2993</v>
      </c>
      <c r="B2994" s="10">
        <v>48891</v>
      </c>
      <c r="C2994" s="13" t="s">
        <v>2647</v>
      </c>
      <c r="D2994" s="10" t="s">
        <v>2855</v>
      </c>
      <c r="E2994" s="10">
        <v>2023</v>
      </c>
      <c r="F2994" s="36" t="str" cm="1">
        <f t="array" ref="F2994">_xlfn.XLOOKUP(D2994&amp;C2994, Sheet3!$C$2:$C$1224&amp;Sheet3!$B$2:$B$1224, Sheet3!$D$2:$D$1224, "")</f>
        <v/>
      </c>
      <c r="G2994" s="1" t="str" cm="1">
        <f t="array" ref="G2994">_xlfn.XLOOKUP(D2994&amp;C2994, Sheet2!$A$2:$A$558&amp;Sheet2!$B$2:$B$558, Sheet2!$C$2:$C$558, "")</f>
        <v/>
      </c>
      <c r="H2994" s="40" t="str">
        <f t="shared" si="46"/>
        <v/>
      </c>
    </row>
    <row r="2995" spans="1:8" ht="15.5" x14ac:dyDescent="0.35">
      <c r="A2995" s="7">
        <v>2994</v>
      </c>
      <c r="B2995" s="10">
        <v>48899</v>
      </c>
      <c r="C2995" s="13" t="s">
        <v>2648</v>
      </c>
      <c r="D2995" s="10" t="s">
        <v>2855</v>
      </c>
      <c r="E2995" s="10">
        <v>2023</v>
      </c>
      <c r="F2995" s="36" t="str" cm="1">
        <f t="array" ref="F2995">_xlfn.XLOOKUP(D2995&amp;C2995, Sheet3!$C$2:$C$1224&amp;Sheet3!$B$2:$B$1224, Sheet3!$D$2:$D$1224, "")</f>
        <v/>
      </c>
      <c r="G2995" s="1" t="str" cm="1">
        <f t="array" ref="G2995">_xlfn.XLOOKUP(D2995&amp;C2995, Sheet2!$A$2:$A$558&amp;Sheet2!$B$2:$B$558, Sheet2!$C$2:$C$558, "")</f>
        <v/>
      </c>
      <c r="H2995" s="40" t="str">
        <f t="shared" si="46"/>
        <v/>
      </c>
    </row>
    <row r="2996" spans="1:8" ht="15.5" x14ac:dyDescent="0.35">
      <c r="A2996" s="7">
        <v>2995</v>
      </c>
      <c r="B2996" s="10">
        <v>49647</v>
      </c>
      <c r="C2996" s="13" t="s">
        <v>2649</v>
      </c>
      <c r="D2996" s="10" t="s">
        <v>2855</v>
      </c>
      <c r="E2996" s="10">
        <v>2023</v>
      </c>
      <c r="F2996" s="36" t="str" cm="1">
        <f t="array" ref="F2996">_xlfn.XLOOKUP(D2996&amp;C2996, Sheet3!$C$2:$C$1224&amp;Sheet3!$B$2:$B$1224, Sheet3!$D$2:$D$1224, "")</f>
        <v/>
      </c>
      <c r="G2996" s="1" t="str" cm="1">
        <f t="array" ref="G2996">_xlfn.XLOOKUP(D2996&amp;C2996, Sheet2!$A$2:$A$558&amp;Sheet2!$B$2:$B$558, Sheet2!$C$2:$C$558, "")</f>
        <v/>
      </c>
      <c r="H2996" s="40" t="str">
        <f t="shared" si="46"/>
        <v/>
      </c>
    </row>
    <row r="2997" spans="1:8" ht="15.5" x14ac:dyDescent="0.35">
      <c r="A2997" s="7">
        <v>2996</v>
      </c>
      <c r="B2997" s="10">
        <v>49667</v>
      </c>
      <c r="C2997" s="13" t="s">
        <v>2650</v>
      </c>
      <c r="D2997" s="10" t="s">
        <v>2855</v>
      </c>
      <c r="E2997" s="10">
        <v>2023</v>
      </c>
      <c r="F2997" s="36" t="str" cm="1">
        <f t="array" ref="F2997">_xlfn.XLOOKUP(D2997&amp;C2997, Sheet3!$C$2:$C$1224&amp;Sheet3!$B$2:$B$1224, Sheet3!$D$2:$D$1224, "")</f>
        <v/>
      </c>
      <c r="G2997" s="1" t="str" cm="1">
        <f t="array" ref="G2997">_xlfn.XLOOKUP(D2997&amp;C2997, Sheet2!$A$2:$A$558&amp;Sheet2!$B$2:$B$558, Sheet2!$C$2:$C$558, "")</f>
        <v/>
      </c>
      <c r="H2997" s="40" t="str">
        <f t="shared" si="46"/>
        <v/>
      </c>
    </row>
    <row r="2998" spans="1:8" ht="15.5" x14ac:dyDescent="0.35">
      <c r="A2998" s="7">
        <v>2997</v>
      </c>
      <c r="B2998" s="10">
        <v>49676</v>
      </c>
      <c r="C2998" s="13" t="s">
        <v>2651</v>
      </c>
      <c r="D2998" s="10" t="s">
        <v>2855</v>
      </c>
      <c r="E2998" s="10">
        <v>2023</v>
      </c>
      <c r="F2998" s="36" t="str" cm="1">
        <f t="array" ref="F2998">_xlfn.XLOOKUP(D2998&amp;C2998, Sheet3!$C$2:$C$1224&amp;Sheet3!$B$2:$B$1224, Sheet3!$D$2:$D$1224, "")</f>
        <v>yudhaannas17@gmail.com</v>
      </c>
      <c r="G2998" s="1" t="str" cm="1">
        <f t="array" ref="G2998">_xlfn.XLOOKUP(D2998&amp;C2998, Sheet2!$A$2:$A$558&amp;Sheet2!$B$2:$B$558, Sheet2!$C$2:$C$558, "")</f>
        <v/>
      </c>
      <c r="H2998" s="40" t="str">
        <f t="shared" si="46"/>
        <v>yudhaannas17@gmail.com</v>
      </c>
    </row>
    <row r="2999" spans="1:8" ht="15.5" x14ac:dyDescent="0.35">
      <c r="A2999" s="7">
        <v>2998</v>
      </c>
      <c r="B2999" s="10">
        <v>46723</v>
      </c>
      <c r="C2999" s="13" t="s">
        <v>2652</v>
      </c>
      <c r="D2999" s="10" t="s">
        <v>2854</v>
      </c>
      <c r="E2999" s="10">
        <v>2023</v>
      </c>
      <c r="F2999" s="36" t="str" cm="1">
        <f t="array" ref="F2999">_xlfn.XLOOKUP(D2999&amp;C2999, Sheet3!$C$2:$C$1224&amp;Sheet3!$B$2:$B$1224, Sheet3!$D$2:$D$1224, "")</f>
        <v/>
      </c>
      <c r="G2999" s="1" t="str" cm="1">
        <f t="array" ref="G2999">_xlfn.XLOOKUP(D2999&amp;C2999, Sheet2!$A$2:$A$558&amp;Sheet2!$B$2:$B$558, Sheet2!$C$2:$C$558, "")</f>
        <v/>
      </c>
      <c r="H2999" s="40" t="str">
        <f t="shared" si="46"/>
        <v/>
      </c>
    </row>
    <row r="3000" spans="1:8" ht="15.5" x14ac:dyDescent="0.35">
      <c r="A3000" s="7">
        <v>2999</v>
      </c>
      <c r="B3000" s="10">
        <v>47214</v>
      </c>
      <c r="C3000" s="13" t="s">
        <v>2653</v>
      </c>
      <c r="D3000" s="10" t="s">
        <v>2854</v>
      </c>
      <c r="E3000" s="10">
        <v>2023</v>
      </c>
      <c r="F3000" s="36" t="str" cm="1">
        <f t="array" ref="F3000">_xlfn.XLOOKUP(D3000&amp;C3000, Sheet3!$C$2:$C$1224&amp;Sheet3!$B$2:$B$1224, Sheet3!$D$2:$D$1224, "")</f>
        <v/>
      </c>
      <c r="G3000" s="1" t="str" cm="1">
        <f t="array" ref="G3000">_xlfn.XLOOKUP(D3000&amp;C3000, Sheet2!$A$2:$A$558&amp;Sheet2!$B$2:$B$558, Sheet2!$C$2:$C$558, "")</f>
        <v/>
      </c>
      <c r="H3000" s="40" t="str">
        <f t="shared" si="46"/>
        <v/>
      </c>
    </row>
    <row r="3001" spans="1:8" ht="15.5" x14ac:dyDescent="0.35">
      <c r="A3001" s="7">
        <v>3000</v>
      </c>
      <c r="B3001" s="10">
        <v>47223</v>
      </c>
      <c r="C3001" s="13" t="s">
        <v>2654</v>
      </c>
      <c r="D3001" s="10" t="s">
        <v>2854</v>
      </c>
      <c r="E3001" s="10">
        <v>2023</v>
      </c>
      <c r="F3001" s="36" t="str" cm="1">
        <f t="array" ref="F3001">_xlfn.XLOOKUP(D3001&amp;C3001, Sheet3!$C$2:$C$1224&amp;Sheet3!$B$2:$B$1224, Sheet3!$D$2:$D$1224, "")</f>
        <v/>
      </c>
      <c r="G3001" s="1" t="str" cm="1">
        <f t="array" ref="G3001">_xlfn.XLOOKUP(D3001&amp;C3001, Sheet2!$A$2:$A$558&amp;Sheet2!$B$2:$B$558, Sheet2!$C$2:$C$558, "")</f>
        <v/>
      </c>
      <c r="H3001" s="40" t="str">
        <f t="shared" si="46"/>
        <v/>
      </c>
    </row>
    <row r="3002" spans="1:8" ht="15.5" x14ac:dyDescent="0.35">
      <c r="A3002" s="7">
        <v>3001</v>
      </c>
      <c r="B3002" s="10">
        <v>48371</v>
      </c>
      <c r="C3002" s="13" t="s">
        <v>2655</v>
      </c>
      <c r="D3002" s="10" t="s">
        <v>2855</v>
      </c>
      <c r="E3002" s="10">
        <v>2023</v>
      </c>
      <c r="F3002" s="36" t="str" cm="1">
        <f t="array" ref="F3002">_xlfn.XLOOKUP(D3002&amp;C3002, Sheet3!$C$2:$C$1224&amp;Sheet3!$B$2:$B$1224, Sheet3!$D$2:$D$1224, "")</f>
        <v/>
      </c>
      <c r="G3002" s="1" t="str" cm="1">
        <f t="array" ref="G3002">_xlfn.XLOOKUP(D3002&amp;C3002, Sheet2!$A$2:$A$558&amp;Sheet2!$B$2:$B$558, Sheet2!$C$2:$C$558, "")</f>
        <v/>
      </c>
      <c r="H3002" s="40" t="str">
        <f t="shared" si="46"/>
        <v/>
      </c>
    </row>
    <row r="3003" spans="1:8" ht="15.5" x14ac:dyDescent="0.35">
      <c r="A3003" s="7">
        <v>3002</v>
      </c>
      <c r="B3003" s="10">
        <v>48376</v>
      </c>
      <c r="C3003" s="13" t="s">
        <v>2656</v>
      </c>
      <c r="D3003" s="10" t="s">
        <v>2855</v>
      </c>
      <c r="E3003" s="10">
        <v>2023</v>
      </c>
      <c r="F3003" s="36" t="str" cm="1">
        <f t="array" ref="F3003">_xlfn.XLOOKUP(D3003&amp;C3003, Sheet3!$C$2:$C$1224&amp;Sheet3!$B$2:$B$1224, Sheet3!$D$2:$D$1224, "")</f>
        <v>khairul.amiruddin@mail.ugm.ac.id</v>
      </c>
      <c r="G3003" s="1" t="str" cm="1">
        <f t="array" ref="G3003">_xlfn.XLOOKUP(D3003&amp;C3003, Sheet2!$A$2:$A$558&amp;Sheet2!$B$2:$B$558, Sheet2!$C$2:$C$558, "")</f>
        <v/>
      </c>
      <c r="H3003" s="40" t="str">
        <f t="shared" si="46"/>
        <v>khairul.amiruddin@mail.ugm.ac.id</v>
      </c>
    </row>
    <row r="3004" spans="1:8" ht="15.5" x14ac:dyDescent="0.35">
      <c r="A3004" s="7">
        <v>3003</v>
      </c>
      <c r="B3004" s="10">
        <v>48590</v>
      </c>
      <c r="C3004" s="13" t="s">
        <v>2657</v>
      </c>
      <c r="D3004" s="10" t="s">
        <v>2855</v>
      </c>
      <c r="E3004" s="10">
        <v>2023</v>
      </c>
      <c r="F3004" s="36" t="str" cm="1">
        <f t="array" ref="F3004">_xlfn.XLOOKUP(D3004&amp;C3004, Sheet3!$C$2:$C$1224&amp;Sheet3!$B$2:$B$1224, Sheet3!$D$2:$D$1224, "")</f>
        <v/>
      </c>
      <c r="G3004" s="1" t="str" cm="1">
        <f t="array" ref="G3004">_xlfn.XLOOKUP(D3004&amp;C3004, Sheet2!$A$2:$A$558&amp;Sheet2!$B$2:$B$558, Sheet2!$C$2:$C$558, "")</f>
        <v/>
      </c>
      <c r="H3004" s="40" t="str">
        <f t="shared" si="46"/>
        <v/>
      </c>
    </row>
    <row r="3005" spans="1:8" ht="15.5" x14ac:dyDescent="0.35">
      <c r="A3005" s="7">
        <v>3004</v>
      </c>
      <c r="B3005" s="10">
        <v>48650</v>
      </c>
      <c r="C3005" s="13" t="s">
        <v>2658</v>
      </c>
      <c r="D3005" s="10" t="s">
        <v>2855</v>
      </c>
      <c r="E3005" s="10">
        <v>2023</v>
      </c>
      <c r="F3005" s="36" t="str" cm="1">
        <f t="array" ref="F3005">_xlfn.XLOOKUP(D3005&amp;C3005, Sheet3!$C$2:$C$1224&amp;Sheet3!$B$2:$B$1224, Sheet3!$D$2:$D$1224, "")</f>
        <v>fawwazza@gmail.com</v>
      </c>
      <c r="G3005" s="1" t="str" cm="1">
        <f t="array" ref="G3005">_xlfn.XLOOKUP(D3005&amp;C3005, Sheet2!$A$2:$A$558&amp;Sheet2!$B$2:$B$558, Sheet2!$C$2:$C$558, "")</f>
        <v/>
      </c>
      <c r="H3005" s="40" t="str">
        <f t="shared" si="46"/>
        <v>fawwazza@gmail.com</v>
      </c>
    </row>
    <row r="3006" spans="1:8" ht="15.5" x14ac:dyDescent="0.35">
      <c r="A3006" s="7">
        <v>3005</v>
      </c>
      <c r="B3006" s="10">
        <v>48886</v>
      </c>
      <c r="C3006" s="13" t="s">
        <v>2659</v>
      </c>
      <c r="D3006" s="10" t="s">
        <v>2855</v>
      </c>
      <c r="E3006" s="10">
        <v>2023</v>
      </c>
      <c r="F3006" s="36" t="str" cm="1">
        <f t="array" ref="F3006">_xlfn.XLOOKUP(D3006&amp;C3006, Sheet3!$C$2:$C$1224&amp;Sheet3!$B$2:$B$1224, Sheet3!$D$2:$D$1224, "")</f>
        <v/>
      </c>
      <c r="G3006" s="1" t="str" cm="1">
        <f t="array" ref="G3006">_xlfn.XLOOKUP(D3006&amp;C3006, Sheet2!$A$2:$A$558&amp;Sheet2!$B$2:$B$558, Sheet2!$C$2:$C$558, "")</f>
        <v/>
      </c>
      <c r="H3006" s="40" t="str">
        <f t="shared" si="46"/>
        <v/>
      </c>
    </row>
    <row r="3007" spans="1:8" ht="15.5" x14ac:dyDescent="0.35">
      <c r="A3007" s="7">
        <v>3006</v>
      </c>
      <c r="B3007" s="10">
        <v>49645</v>
      </c>
      <c r="C3007" s="13" t="s">
        <v>2660</v>
      </c>
      <c r="D3007" s="10" t="s">
        <v>2855</v>
      </c>
      <c r="E3007" s="10">
        <v>2023</v>
      </c>
      <c r="F3007" s="36" t="str" cm="1">
        <f t="array" ref="F3007">_xlfn.XLOOKUP(D3007&amp;C3007, Sheet3!$C$2:$C$1224&amp;Sheet3!$B$2:$B$1224, Sheet3!$D$2:$D$1224, "")</f>
        <v/>
      </c>
      <c r="G3007" s="1" t="str" cm="1">
        <f t="array" ref="G3007">_xlfn.XLOOKUP(D3007&amp;C3007, Sheet2!$A$2:$A$558&amp;Sheet2!$B$2:$B$558, Sheet2!$C$2:$C$558, "")</f>
        <v/>
      </c>
      <c r="H3007" s="40" t="str">
        <f t="shared" si="46"/>
        <v/>
      </c>
    </row>
    <row r="3008" spans="1:8" ht="15.5" x14ac:dyDescent="0.35">
      <c r="A3008" s="7">
        <v>3007</v>
      </c>
      <c r="B3008" s="10">
        <v>48374</v>
      </c>
      <c r="C3008" s="13" t="s">
        <v>2661</v>
      </c>
      <c r="D3008" s="10" t="s">
        <v>2855</v>
      </c>
      <c r="E3008" s="10">
        <v>2024</v>
      </c>
      <c r="F3008" s="36" t="str" cm="1">
        <f t="array" ref="F3008">_xlfn.XLOOKUP(D3008&amp;C3008, Sheet3!$C$2:$C$1224&amp;Sheet3!$B$2:$B$1224, Sheet3!$D$2:$D$1224, "")</f>
        <v/>
      </c>
      <c r="G3008" s="1" t="str" cm="1">
        <f t="array" ref="G3008">_xlfn.XLOOKUP(D3008&amp;C3008, Sheet2!$A$2:$A$558&amp;Sheet2!$B$2:$B$558, Sheet2!$C$2:$C$558, "")</f>
        <v/>
      </c>
      <c r="H3008" s="40" t="str">
        <f t="shared" si="46"/>
        <v/>
      </c>
    </row>
    <row r="3009" spans="1:8" ht="15.5" x14ac:dyDescent="0.35">
      <c r="A3009" s="7">
        <v>3008</v>
      </c>
      <c r="B3009" s="10">
        <v>48385</v>
      </c>
      <c r="C3009" s="13" t="s">
        <v>2662</v>
      </c>
      <c r="D3009" s="10" t="s">
        <v>2855</v>
      </c>
      <c r="E3009" s="10">
        <v>2024</v>
      </c>
      <c r="F3009" s="36" t="str" cm="1">
        <f t="array" ref="F3009">_xlfn.XLOOKUP(D3009&amp;C3009, Sheet3!$C$2:$C$1224&amp;Sheet3!$B$2:$B$1224, Sheet3!$D$2:$D$1224, "")</f>
        <v/>
      </c>
      <c r="G3009" s="1" t="str" cm="1">
        <f t="array" ref="G3009">_xlfn.XLOOKUP(D3009&amp;C3009, Sheet2!$A$2:$A$558&amp;Sheet2!$B$2:$B$558, Sheet2!$C$2:$C$558, "")</f>
        <v/>
      </c>
      <c r="H3009" s="40" t="str">
        <f t="shared" si="46"/>
        <v/>
      </c>
    </row>
    <row r="3010" spans="1:8" ht="15.5" x14ac:dyDescent="0.35">
      <c r="A3010" s="7">
        <v>3009</v>
      </c>
      <c r="B3010" s="10">
        <v>48852</v>
      </c>
      <c r="C3010" s="13" t="s">
        <v>2663</v>
      </c>
      <c r="D3010" s="10" t="s">
        <v>2855</v>
      </c>
      <c r="E3010" s="10">
        <v>2024</v>
      </c>
      <c r="F3010" s="36" t="str" cm="1">
        <f t="array" ref="F3010">_xlfn.XLOOKUP(D3010&amp;C3010, Sheet3!$C$2:$C$1224&amp;Sheet3!$B$2:$B$1224, Sheet3!$D$2:$D$1224, "")</f>
        <v/>
      </c>
      <c r="G3010" s="1" t="str" cm="1">
        <f t="array" ref="G3010">_xlfn.XLOOKUP(D3010&amp;C3010, Sheet2!$A$2:$A$558&amp;Sheet2!$B$2:$B$558, Sheet2!$C$2:$C$558, "")</f>
        <v/>
      </c>
      <c r="H3010" s="40" t="str">
        <f t="shared" si="46"/>
        <v/>
      </c>
    </row>
    <row r="3011" spans="1:8" ht="15.5" x14ac:dyDescent="0.35">
      <c r="A3011" s="7">
        <v>3010</v>
      </c>
      <c r="B3011" s="10">
        <v>48855</v>
      </c>
      <c r="C3011" s="13" t="s">
        <v>2664</v>
      </c>
      <c r="D3011" s="10" t="s">
        <v>2855</v>
      </c>
      <c r="E3011" s="10">
        <v>2024</v>
      </c>
      <c r="F3011" s="36" t="str" cm="1">
        <f t="array" ref="F3011">_xlfn.XLOOKUP(D3011&amp;C3011, Sheet3!$C$2:$C$1224&amp;Sheet3!$B$2:$B$1224, Sheet3!$D$2:$D$1224, "")</f>
        <v>andigerga4@gmail.com</v>
      </c>
      <c r="G3011" s="1" t="str" cm="1">
        <f t="array" ref="G3011">_xlfn.XLOOKUP(D3011&amp;C3011, Sheet2!$A$2:$A$558&amp;Sheet2!$B$2:$B$558, Sheet2!$C$2:$C$558, "")</f>
        <v/>
      </c>
      <c r="H3011" s="40" t="str">
        <f t="shared" ref="H3011:H3074" si="47">IF(F3011&lt;&gt;"",F3011,G3011)</f>
        <v>andigerga4@gmail.com</v>
      </c>
    </row>
    <row r="3012" spans="1:8" ht="15.5" x14ac:dyDescent="0.35">
      <c r="A3012" s="7">
        <v>3011</v>
      </c>
      <c r="B3012" s="10">
        <v>48856</v>
      </c>
      <c r="C3012" s="13" t="s">
        <v>2665</v>
      </c>
      <c r="D3012" s="10" t="s">
        <v>2855</v>
      </c>
      <c r="E3012" s="10">
        <v>2024</v>
      </c>
      <c r="F3012" s="36" t="str" cm="1">
        <f t="array" ref="F3012">_xlfn.XLOOKUP(D3012&amp;C3012, Sheet3!$C$2:$C$1224&amp;Sheet3!$B$2:$B$1224, Sheet3!$D$2:$D$1224, "")</f>
        <v/>
      </c>
      <c r="G3012" s="1" t="str" cm="1">
        <f t="array" ref="G3012">_xlfn.XLOOKUP(D3012&amp;C3012, Sheet2!$A$2:$A$558&amp;Sheet2!$B$2:$B$558, Sheet2!$C$2:$C$558, "")</f>
        <v/>
      </c>
      <c r="H3012" s="40" t="str">
        <f t="shared" si="47"/>
        <v/>
      </c>
    </row>
    <row r="3013" spans="1:8" ht="15.5" x14ac:dyDescent="0.35">
      <c r="A3013" s="7">
        <v>3012</v>
      </c>
      <c r="B3013" s="10">
        <v>48858</v>
      </c>
      <c r="C3013" s="13" t="s">
        <v>2666</v>
      </c>
      <c r="D3013" s="10" t="s">
        <v>2855</v>
      </c>
      <c r="E3013" s="10">
        <v>2024</v>
      </c>
      <c r="F3013" s="36" t="str" cm="1">
        <f t="array" ref="F3013">_xlfn.XLOOKUP(D3013&amp;C3013, Sheet3!$C$2:$C$1224&amp;Sheet3!$B$2:$B$1224, Sheet3!$D$2:$D$1224, "")</f>
        <v/>
      </c>
      <c r="G3013" s="1" t="str" cm="1">
        <f t="array" ref="G3013">_xlfn.XLOOKUP(D3013&amp;C3013, Sheet2!$A$2:$A$558&amp;Sheet2!$B$2:$B$558, Sheet2!$C$2:$C$558, "")</f>
        <v/>
      </c>
      <c r="H3013" s="40" t="str">
        <f t="shared" si="47"/>
        <v/>
      </c>
    </row>
    <row r="3014" spans="1:8" ht="15.5" x14ac:dyDescent="0.35">
      <c r="A3014" s="7">
        <v>3013</v>
      </c>
      <c r="B3014" s="10">
        <v>48863</v>
      </c>
      <c r="C3014" s="13" t="s">
        <v>2667</v>
      </c>
      <c r="D3014" s="10" t="s">
        <v>2855</v>
      </c>
      <c r="E3014" s="10">
        <v>2024</v>
      </c>
      <c r="F3014" s="36" t="str" cm="1">
        <f t="array" ref="F3014">_xlfn.XLOOKUP(D3014&amp;C3014, Sheet3!$C$2:$C$1224&amp;Sheet3!$B$2:$B$1224, Sheet3!$D$2:$D$1224, "")</f>
        <v/>
      </c>
      <c r="G3014" s="1" t="str" cm="1">
        <f t="array" ref="G3014">_xlfn.XLOOKUP(D3014&amp;C3014, Sheet2!$A$2:$A$558&amp;Sheet2!$B$2:$B$558, Sheet2!$C$2:$C$558, "")</f>
        <v/>
      </c>
      <c r="H3014" s="40" t="str">
        <f t="shared" si="47"/>
        <v/>
      </c>
    </row>
    <row r="3015" spans="1:8" ht="15.5" x14ac:dyDescent="0.35">
      <c r="A3015" s="7">
        <v>3014</v>
      </c>
      <c r="B3015" s="10">
        <v>48878</v>
      </c>
      <c r="C3015" s="13" t="s">
        <v>2668</v>
      </c>
      <c r="D3015" s="10" t="s">
        <v>2855</v>
      </c>
      <c r="E3015" s="10">
        <v>2024</v>
      </c>
      <c r="F3015" s="36" t="str" cm="1">
        <f t="array" ref="F3015">_xlfn.XLOOKUP(D3015&amp;C3015, Sheet3!$C$2:$C$1224&amp;Sheet3!$B$2:$B$1224, Sheet3!$D$2:$D$1224, "")</f>
        <v/>
      </c>
      <c r="G3015" s="1" t="str" cm="1">
        <f t="array" ref="G3015">_xlfn.XLOOKUP(D3015&amp;C3015, Sheet2!$A$2:$A$558&amp;Sheet2!$B$2:$B$558, Sheet2!$C$2:$C$558, "")</f>
        <v/>
      </c>
      <c r="H3015" s="40" t="str">
        <f t="shared" si="47"/>
        <v/>
      </c>
    </row>
    <row r="3016" spans="1:8" ht="15.5" x14ac:dyDescent="0.35">
      <c r="A3016" s="7">
        <v>3015</v>
      </c>
      <c r="B3016" s="10">
        <v>48887</v>
      </c>
      <c r="C3016" s="13" t="s">
        <v>2669</v>
      </c>
      <c r="D3016" s="10" t="s">
        <v>2855</v>
      </c>
      <c r="E3016" s="10">
        <v>2024</v>
      </c>
      <c r="F3016" s="36" t="str" cm="1">
        <f t="array" ref="F3016">_xlfn.XLOOKUP(D3016&amp;C3016, Sheet3!$C$2:$C$1224&amp;Sheet3!$B$2:$B$1224, Sheet3!$D$2:$D$1224, "")</f>
        <v/>
      </c>
      <c r="G3016" s="1" t="str" cm="1">
        <f t="array" ref="G3016">_xlfn.XLOOKUP(D3016&amp;C3016, Sheet2!$A$2:$A$558&amp;Sheet2!$B$2:$B$558, Sheet2!$C$2:$C$558, "")</f>
        <v/>
      </c>
      <c r="H3016" s="40" t="str">
        <f t="shared" si="47"/>
        <v/>
      </c>
    </row>
    <row r="3017" spans="1:8" ht="15.5" x14ac:dyDescent="0.35">
      <c r="A3017" s="7">
        <v>3016</v>
      </c>
      <c r="B3017" s="10">
        <v>48900</v>
      </c>
      <c r="C3017" s="13" t="s">
        <v>2670</v>
      </c>
      <c r="D3017" s="10" t="s">
        <v>2855</v>
      </c>
      <c r="E3017" s="10">
        <v>2025</v>
      </c>
      <c r="F3017" s="36" t="str" cm="1">
        <f t="array" ref="F3017">_xlfn.XLOOKUP(D3017&amp;C3017, Sheet3!$C$2:$C$1224&amp;Sheet3!$B$2:$B$1224, Sheet3!$D$2:$D$1224, "")</f>
        <v/>
      </c>
      <c r="G3017" s="1" t="str" cm="1">
        <f t="array" ref="G3017">_xlfn.XLOOKUP(D3017&amp;C3017, Sheet2!$A$2:$A$558&amp;Sheet2!$B$2:$B$558, Sheet2!$C$2:$C$558, "")</f>
        <v/>
      </c>
      <c r="H3017" s="40" t="str">
        <f t="shared" si="47"/>
        <v/>
      </c>
    </row>
    <row r="3018" spans="1:8" ht="15.5" x14ac:dyDescent="0.35">
      <c r="A3018" s="7">
        <v>3017</v>
      </c>
      <c r="B3018" s="10">
        <v>49653</v>
      </c>
      <c r="C3018" s="13" t="s">
        <v>2671</v>
      </c>
      <c r="D3018" s="10" t="s">
        <v>2855</v>
      </c>
      <c r="E3018" s="10">
        <v>2024</v>
      </c>
      <c r="F3018" s="36" t="str" cm="1">
        <f t="array" ref="F3018">_xlfn.XLOOKUP(D3018&amp;C3018, Sheet3!$C$2:$C$1224&amp;Sheet3!$B$2:$B$1224, Sheet3!$D$2:$D$1224, "")</f>
        <v/>
      </c>
      <c r="G3018" s="1" t="str" cm="1">
        <f t="array" ref="G3018">_xlfn.XLOOKUP(D3018&amp;C3018, Sheet2!$A$2:$A$558&amp;Sheet2!$B$2:$B$558, Sheet2!$C$2:$C$558, "")</f>
        <v/>
      </c>
      <c r="H3018" s="40" t="str">
        <f t="shared" si="47"/>
        <v/>
      </c>
    </row>
    <row r="3019" spans="1:8" ht="15.5" x14ac:dyDescent="0.35">
      <c r="A3019" s="7">
        <v>3018</v>
      </c>
      <c r="B3019" s="10">
        <v>49655</v>
      </c>
      <c r="C3019" s="13" t="s">
        <v>2672</v>
      </c>
      <c r="D3019" s="10" t="s">
        <v>2855</v>
      </c>
      <c r="E3019" s="10">
        <v>2024</v>
      </c>
      <c r="F3019" s="36" t="str" cm="1">
        <f t="array" ref="F3019">_xlfn.XLOOKUP(D3019&amp;C3019, Sheet3!$C$2:$C$1224&amp;Sheet3!$B$2:$B$1224, Sheet3!$D$2:$D$1224, "")</f>
        <v>imadsaktyo@gmail.com</v>
      </c>
      <c r="G3019" s="1" t="str" cm="1">
        <f t="array" ref="G3019">_xlfn.XLOOKUP(D3019&amp;C3019, Sheet2!$A$2:$A$558&amp;Sheet2!$B$2:$B$558, Sheet2!$C$2:$C$558, "")</f>
        <v/>
      </c>
      <c r="H3019" s="40" t="str">
        <f t="shared" si="47"/>
        <v>imadsaktyo@gmail.com</v>
      </c>
    </row>
    <row r="3020" spans="1:8" ht="15.5" x14ac:dyDescent="0.35">
      <c r="A3020" s="7">
        <v>3019</v>
      </c>
      <c r="B3020" s="10">
        <v>49657</v>
      </c>
      <c r="C3020" s="13" t="s">
        <v>2673</v>
      </c>
      <c r="D3020" s="10" t="s">
        <v>2855</v>
      </c>
      <c r="E3020" s="10">
        <v>2024</v>
      </c>
      <c r="F3020" s="36" t="str" cm="1">
        <f t="array" ref="F3020">_xlfn.XLOOKUP(D3020&amp;C3020, Sheet3!$C$2:$C$1224&amp;Sheet3!$B$2:$B$1224, Sheet3!$D$2:$D$1224, "")</f>
        <v/>
      </c>
      <c r="G3020" s="1" t="str" cm="1">
        <f t="array" ref="G3020">_xlfn.XLOOKUP(D3020&amp;C3020, Sheet2!$A$2:$A$558&amp;Sheet2!$B$2:$B$558, Sheet2!$C$2:$C$558, "")</f>
        <v/>
      </c>
      <c r="H3020" s="40" t="str">
        <f t="shared" si="47"/>
        <v/>
      </c>
    </row>
    <row r="3021" spans="1:8" ht="15.5" x14ac:dyDescent="0.35">
      <c r="A3021" s="7">
        <v>3020</v>
      </c>
      <c r="B3021" s="10">
        <v>48672</v>
      </c>
      <c r="C3021" s="13" t="s">
        <v>2674</v>
      </c>
      <c r="D3021" s="10" t="s">
        <v>2855</v>
      </c>
      <c r="E3021" s="10">
        <v>2023</v>
      </c>
      <c r="F3021" s="36" t="str" cm="1">
        <f t="array" ref="F3021">_xlfn.XLOOKUP(D3021&amp;C3021, Sheet3!$C$2:$C$1224&amp;Sheet3!$B$2:$B$1224, Sheet3!$D$2:$D$1224, "")</f>
        <v/>
      </c>
      <c r="G3021" s="1" t="str" cm="1">
        <f t="array" ref="G3021">_xlfn.XLOOKUP(D3021&amp;C3021, Sheet2!$A$2:$A$558&amp;Sheet2!$B$2:$B$558, Sheet2!$C$2:$C$558, "")</f>
        <v/>
      </c>
      <c r="H3021" s="40" t="str">
        <f t="shared" si="47"/>
        <v/>
      </c>
    </row>
    <row r="3022" spans="1:8" ht="15.5" x14ac:dyDescent="0.35">
      <c r="A3022" s="7">
        <v>3021</v>
      </c>
      <c r="B3022" s="10">
        <v>49673</v>
      </c>
      <c r="C3022" s="13" t="s">
        <v>2675</v>
      </c>
      <c r="D3022" s="10" t="s">
        <v>2855</v>
      </c>
      <c r="E3022" s="10">
        <v>2024</v>
      </c>
      <c r="F3022" s="36" t="str" cm="1">
        <f t="array" ref="F3022">_xlfn.XLOOKUP(D3022&amp;C3022, Sheet3!$C$2:$C$1224&amp;Sheet3!$B$2:$B$1224, Sheet3!$D$2:$D$1224, "")</f>
        <v>pamungkas.sigit33@gmail.com</v>
      </c>
      <c r="G3022" s="1" t="str" cm="1">
        <f t="array" ref="G3022">_xlfn.XLOOKUP(D3022&amp;C3022, Sheet2!$A$2:$A$558&amp;Sheet2!$B$2:$B$558, Sheet2!$C$2:$C$558, "")</f>
        <v/>
      </c>
      <c r="H3022" s="40" t="str">
        <f t="shared" si="47"/>
        <v>pamungkas.sigit33@gmail.com</v>
      </c>
    </row>
    <row r="3023" spans="1:8" ht="15.5" x14ac:dyDescent="0.35">
      <c r="A3023" s="7">
        <v>3022</v>
      </c>
      <c r="B3023" s="10">
        <v>49651</v>
      </c>
      <c r="C3023" s="13" t="s">
        <v>2676</v>
      </c>
      <c r="D3023" s="10" t="s">
        <v>2855</v>
      </c>
      <c r="E3023" s="10">
        <v>2024</v>
      </c>
      <c r="F3023" s="36" t="str" cm="1">
        <f t="array" ref="F3023">_xlfn.XLOOKUP(D3023&amp;C3023, Sheet3!$C$2:$C$1224&amp;Sheet3!$B$2:$B$1224, Sheet3!$D$2:$D$1224, "")</f>
        <v/>
      </c>
      <c r="G3023" s="1" t="str" cm="1">
        <f t="array" ref="G3023">_xlfn.XLOOKUP(D3023&amp;C3023, Sheet2!$A$2:$A$558&amp;Sheet2!$B$2:$B$558, Sheet2!$C$2:$C$558, "")</f>
        <v/>
      </c>
      <c r="H3023" s="40" t="str">
        <f t="shared" si="47"/>
        <v/>
      </c>
    </row>
    <row r="3024" spans="1:8" ht="15.5" x14ac:dyDescent="0.35">
      <c r="A3024" s="7">
        <v>3023</v>
      </c>
      <c r="B3024" s="10">
        <v>48380</v>
      </c>
      <c r="C3024" s="13" t="s">
        <v>2677</v>
      </c>
      <c r="D3024" s="10" t="s">
        <v>2855</v>
      </c>
      <c r="E3024" s="10">
        <v>2024</v>
      </c>
      <c r="F3024" s="36" t="str" cm="1">
        <f t="array" ref="F3024">_xlfn.XLOOKUP(D3024&amp;C3024, Sheet3!$C$2:$C$1224&amp;Sheet3!$B$2:$B$1224, Sheet3!$D$2:$D$1224, "")</f>
        <v/>
      </c>
      <c r="G3024" s="1" t="str" cm="1">
        <f t="array" ref="G3024">_xlfn.XLOOKUP(D3024&amp;C3024, Sheet2!$A$2:$A$558&amp;Sheet2!$B$2:$B$558, Sheet2!$C$2:$C$558, "")</f>
        <v/>
      </c>
      <c r="H3024" s="40" t="str">
        <f t="shared" si="47"/>
        <v/>
      </c>
    </row>
    <row r="3025" spans="1:8" ht="15.5" x14ac:dyDescent="0.35">
      <c r="A3025" s="7">
        <v>3024</v>
      </c>
      <c r="B3025" s="10">
        <v>48884</v>
      </c>
      <c r="C3025" s="13" t="s">
        <v>2678</v>
      </c>
      <c r="D3025" s="10" t="s">
        <v>2855</v>
      </c>
      <c r="E3025" s="10">
        <v>2024</v>
      </c>
      <c r="F3025" s="36" t="str" cm="1">
        <f t="array" ref="F3025">_xlfn.XLOOKUP(D3025&amp;C3025, Sheet3!$C$2:$C$1224&amp;Sheet3!$B$2:$B$1224, Sheet3!$D$2:$D$1224, "")</f>
        <v/>
      </c>
      <c r="G3025" s="1" t="str" cm="1">
        <f t="array" ref="G3025">_xlfn.XLOOKUP(D3025&amp;C3025, Sheet2!$A$2:$A$558&amp;Sheet2!$B$2:$B$558, Sheet2!$C$2:$C$558, "")</f>
        <v/>
      </c>
      <c r="H3025" s="40" t="str">
        <f t="shared" si="47"/>
        <v/>
      </c>
    </row>
    <row r="3026" spans="1:8" ht="15.5" x14ac:dyDescent="0.35">
      <c r="A3026" s="7">
        <v>3029</v>
      </c>
      <c r="B3026" s="12">
        <v>45569</v>
      </c>
      <c r="C3026" s="11" t="s">
        <v>3180</v>
      </c>
      <c r="D3026" s="12" t="s">
        <v>2853</v>
      </c>
      <c r="E3026" s="10">
        <v>2024</v>
      </c>
      <c r="F3026" s="36" t="str" cm="1">
        <f t="array" ref="F3026">_xlfn.XLOOKUP(D3026&amp;C3026, Sheet3!$C$2:$C$1224&amp;Sheet3!$B$2:$B$1224, Sheet3!$D$2:$D$1224, "")</f>
        <v/>
      </c>
      <c r="G3026" s="1" t="str" cm="1">
        <f t="array" ref="G3026">_xlfn.XLOOKUP(D3026&amp;C3026, Sheet2!$A$2:$A$558&amp;Sheet2!$B$2:$B$558, Sheet2!$C$2:$C$558, "")</f>
        <v/>
      </c>
      <c r="H3026" s="40" t="str">
        <f t="shared" si="47"/>
        <v/>
      </c>
    </row>
    <row r="3027" spans="1:8" ht="15.5" x14ac:dyDescent="0.35">
      <c r="A3027" s="7">
        <v>3030</v>
      </c>
      <c r="B3027" s="12">
        <v>50268</v>
      </c>
      <c r="C3027" s="11" t="s">
        <v>3181</v>
      </c>
      <c r="D3027" s="12" t="s">
        <v>2856</v>
      </c>
      <c r="E3027" s="10">
        <v>2024</v>
      </c>
      <c r="F3027" s="36" t="str" cm="1">
        <f t="array" ref="F3027">_xlfn.XLOOKUP(D3027&amp;C3027, Sheet3!$C$2:$C$1224&amp;Sheet3!$B$2:$B$1224, Sheet3!$D$2:$D$1224, "")</f>
        <v/>
      </c>
      <c r="G3027" s="1" t="str" cm="1">
        <f t="array" ref="G3027">_xlfn.XLOOKUP(D3027&amp;C3027, Sheet2!$A$2:$A$558&amp;Sheet2!$B$2:$B$558, Sheet2!$C$2:$C$558, "")</f>
        <v/>
      </c>
      <c r="H3027" s="40" t="str">
        <f t="shared" si="47"/>
        <v/>
      </c>
    </row>
    <row r="3028" spans="1:8" ht="15.5" x14ac:dyDescent="0.35">
      <c r="A3028" s="7">
        <v>3031</v>
      </c>
      <c r="B3028" s="12">
        <v>50276</v>
      </c>
      <c r="C3028" s="11" t="s">
        <v>3182</v>
      </c>
      <c r="D3028" s="12" t="s">
        <v>2856</v>
      </c>
      <c r="E3028" s="10">
        <v>2024</v>
      </c>
      <c r="F3028" s="36" t="str" cm="1">
        <f t="array" ref="F3028">_xlfn.XLOOKUP(D3028&amp;C3028, Sheet3!$C$2:$C$1224&amp;Sheet3!$B$2:$B$1224, Sheet3!$D$2:$D$1224, "")</f>
        <v>fredyrizal01@gmail.com</v>
      </c>
      <c r="G3028" s="1" t="str" cm="1">
        <f t="array" ref="G3028">_xlfn.XLOOKUP(D3028&amp;C3028, Sheet2!$A$2:$A$558&amp;Sheet2!$B$2:$B$558, Sheet2!$C$2:$C$558, "")</f>
        <v/>
      </c>
      <c r="H3028" s="40" t="str">
        <f t="shared" si="47"/>
        <v>fredyrizal01@gmail.com</v>
      </c>
    </row>
    <row r="3029" spans="1:8" ht="15.5" x14ac:dyDescent="0.35">
      <c r="A3029" s="7">
        <v>3032</v>
      </c>
      <c r="B3029" s="12">
        <v>49661</v>
      </c>
      <c r="C3029" s="11" t="s">
        <v>3183</v>
      </c>
      <c r="D3029" s="12" t="s">
        <v>2855</v>
      </c>
      <c r="E3029" s="10">
        <v>2024</v>
      </c>
      <c r="F3029" s="36" t="str" cm="1">
        <f t="array" ref="F3029">_xlfn.XLOOKUP(D3029&amp;C3029, Sheet3!$C$2:$C$1224&amp;Sheet3!$B$2:$B$1224, Sheet3!$D$2:$D$1224, "")</f>
        <v/>
      </c>
      <c r="G3029" s="1" t="str" cm="1">
        <f t="array" ref="G3029">_xlfn.XLOOKUP(D3029&amp;C3029, Sheet2!$A$2:$A$558&amp;Sheet2!$B$2:$B$558, Sheet2!$C$2:$C$558, "")</f>
        <v/>
      </c>
      <c r="H3029" s="40" t="str">
        <f t="shared" si="47"/>
        <v/>
      </c>
    </row>
    <row r="3030" spans="1:8" ht="15.5" x14ac:dyDescent="0.35">
      <c r="A3030" s="7">
        <v>3033</v>
      </c>
      <c r="B3030" s="12">
        <v>48591</v>
      </c>
      <c r="C3030" s="11" t="s">
        <v>3184</v>
      </c>
      <c r="D3030" s="12" t="s">
        <v>2855</v>
      </c>
      <c r="E3030" s="10">
        <v>2024</v>
      </c>
      <c r="F3030" s="36" t="str" cm="1">
        <f t="array" ref="F3030">_xlfn.XLOOKUP(D3030&amp;C3030, Sheet3!$C$2:$C$1224&amp;Sheet3!$B$2:$B$1224, Sheet3!$D$2:$D$1224, "")</f>
        <v/>
      </c>
      <c r="G3030" s="1" t="str" cm="1">
        <f t="array" ref="G3030">_xlfn.XLOOKUP(D3030&amp;C3030, Sheet2!$A$2:$A$558&amp;Sheet2!$B$2:$B$558, Sheet2!$C$2:$C$558, "")</f>
        <v/>
      </c>
      <c r="H3030" s="40" t="str">
        <f t="shared" si="47"/>
        <v/>
      </c>
    </row>
    <row r="3031" spans="1:8" ht="15.5" x14ac:dyDescent="0.35">
      <c r="A3031" s="7">
        <v>3034</v>
      </c>
      <c r="B3031" s="12">
        <v>45563</v>
      </c>
      <c r="C3031" s="11" t="s">
        <v>3185</v>
      </c>
      <c r="D3031" s="12" t="s">
        <v>2853</v>
      </c>
      <c r="E3031" s="10">
        <v>2024</v>
      </c>
      <c r="F3031" s="36" t="str" cm="1">
        <f t="array" ref="F3031">_xlfn.XLOOKUP(D3031&amp;C3031, Sheet3!$C$2:$C$1224&amp;Sheet3!$B$2:$B$1224, Sheet3!$D$2:$D$1224, "")</f>
        <v>farryhandika.n79@gmail.com</v>
      </c>
      <c r="G3031" s="1" t="str" cm="1">
        <f t="array" ref="G3031">_xlfn.XLOOKUP(D3031&amp;C3031, Sheet2!$A$2:$A$558&amp;Sheet2!$B$2:$B$558, Sheet2!$C$2:$C$558, "")</f>
        <v/>
      </c>
      <c r="H3031" s="40" t="str">
        <f t="shared" si="47"/>
        <v>farryhandika.n79@gmail.com</v>
      </c>
    </row>
    <row r="3032" spans="1:8" ht="15.5" x14ac:dyDescent="0.35">
      <c r="A3032" s="7">
        <v>3035</v>
      </c>
      <c r="B3032" s="12">
        <v>46434</v>
      </c>
      <c r="C3032" s="11" t="s">
        <v>3186</v>
      </c>
      <c r="D3032" s="12" t="s">
        <v>2853</v>
      </c>
      <c r="E3032" s="10">
        <v>2024</v>
      </c>
      <c r="F3032" s="36" t="str" cm="1">
        <f t="array" ref="F3032">_xlfn.XLOOKUP(D3032&amp;C3032, Sheet3!$C$2:$C$1224&amp;Sheet3!$B$2:$B$1224, Sheet3!$D$2:$D$1224, "")</f>
        <v/>
      </c>
      <c r="G3032" s="1" t="str" cm="1">
        <f t="array" ref="G3032">_xlfn.XLOOKUP(D3032&amp;C3032, Sheet2!$A$2:$A$558&amp;Sheet2!$B$2:$B$558, Sheet2!$C$2:$C$558, "")</f>
        <v/>
      </c>
      <c r="H3032" s="40" t="str">
        <f t="shared" si="47"/>
        <v/>
      </c>
    </row>
    <row r="3033" spans="1:8" ht="15.5" x14ac:dyDescent="0.35">
      <c r="A3033" s="7">
        <v>3036</v>
      </c>
      <c r="B3033" s="12">
        <v>49659</v>
      </c>
      <c r="C3033" s="11" t="s">
        <v>3187</v>
      </c>
      <c r="D3033" s="12" t="s">
        <v>2855</v>
      </c>
      <c r="E3033" s="10">
        <v>2024</v>
      </c>
      <c r="F3033" s="36" t="str" cm="1">
        <f t="array" ref="F3033">_xlfn.XLOOKUP(D3033&amp;C3033, Sheet3!$C$2:$C$1224&amp;Sheet3!$B$2:$B$1224, Sheet3!$D$2:$D$1224, "")</f>
        <v/>
      </c>
      <c r="G3033" s="1" t="str" cm="1">
        <f t="array" ref="G3033">_xlfn.XLOOKUP(D3033&amp;C3033, Sheet2!$A$2:$A$558&amp;Sheet2!$B$2:$B$558, Sheet2!$C$2:$C$558, "")</f>
        <v/>
      </c>
      <c r="H3033" s="40" t="str">
        <f t="shared" si="47"/>
        <v/>
      </c>
    </row>
    <row r="3034" spans="1:8" ht="15.5" x14ac:dyDescent="0.35">
      <c r="A3034" s="7">
        <v>3037</v>
      </c>
      <c r="B3034" s="12">
        <v>49664</v>
      </c>
      <c r="C3034" s="11" t="s">
        <v>3188</v>
      </c>
      <c r="D3034" s="12" t="s">
        <v>2855</v>
      </c>
      <c r="E3034" s="10">
        <v>2024</v>
      </c>
      <c r="F3034" s="36" t="str" cm="1">
        <f t="array" ref="F3034">_xlfn.XLOOKUP(D3034&amp;C3034, Sheet3!$C$2:$C$1224&amp;Sheet3!$B$2:$B$1224, Sheet3!$D$2:$D$1224, "")</f>
        <v/>
      </c>
      <c r="G3034" s="1" t="str" cm="1">
        <f t="array" ref="G3034">_xlfn.XLOOKUP(D3034&amp;C3034, Sheet2!$A$2:$A$558&amp;Sheet2!$B$2:$B$558, Sheet2!$C$2:$C$558, "")</f>
        <v/>
      </c>
      <c r="H3034" s="40" t="str">
        <f t="shared" si="47"/>
        <v/>
      </c>
    </row>
    <row r="3035" spans="1:8" ht="15.5" x14ac:dyDescent="0.35">
      <c r="A3035" s="7">
        <v>3038</v>
      </c>
      <c r="B3035" s="12">
        <v>50288</v>
      </c>
      <c r="C3035" s="11" t="s">
        <v>3189</v>
      </c>
      <c r="D3035" s="12" t="s">
        <v>2856</v>
      </c>
      <c r="E3035" s="10">
        <v>2024</v>
      </c>
      <c r="F3035" s="36" t="str" cm="1">
        <f t="array" ref="F3035">_xlfn.XLOOKUP(D3035&amp;C3035, Sheet3!$C$2:$C$1224&amp;Sheet3!$B$2:$B$1224, Sheet3!$D$2:$D$1224, "")</f>
        <v/>
      </c>
      <c r="G3035" s="1" t="str" cm="1">
        <f t="array" ref="G3035">_xlfn.XLOOKUP(D3035&amp;C3035, Sheet2!$A$2:$A$558&amp;Sheet2!$B$2:$B$558, Sheet2!$C$2:$C$558, "")</f>
        <v/>
      </c>
      <c r="H3035" s="40" t="str">
        <f t="shared" si="47"/>
        <v/>
      </c>
    </row>
    <row r="3036" spans="1:8" ht="15.5" x14ac:dyDescent="0.35">
      <c r="A3036" s="7">
        <v>3039</v>
      </c>
      <c r="B3036" s="12">
        <v>50298</v>
      </c>
      <c r="C3036" s="11" t="s">
        <v>3190</v>
      </c>
      <c r="D3036" s="12" t="s">
        <v>2856</v>
      </c>
      <c r="E3036" s="10">
        <v>2024</v>
      </c>
      <c r="F3036" s="36" t="str" cm="1">
        <f t="array" ref="F3036">_xlfn.XLOOKUP(D3036&amp;C3036, Sheet3!$C$2:$C$1224&amp;Sheet3!$B$2:$B$1224, Sheet3!$D$2:$D$1224, "")</f>
        <v>Salmahanun2020@mail.ugm.ac.id</v>
      </c>
      <c r="G3036" s="1" t="str" cm="1">
        <f t="array" ref="G3036">_xlfn.XLOOKUP(D3036&amp;C3036, Sheet2!$A$2:$A$558&amp;Sheet2!$B$2:$B$558, Sheet2!$C$2:$C$558, "")</f>
        <v/>
      </c>
      <c r="H3036" s="40" t="str">
        <f t="shared" si="47"/>
        <v>Salmahanun2020@mail.ugm.ac.id</v>
      </c>
    </row>
    <row r="3037" spans="1:8" ht="15.5" x14ac:dyDescent="0.35">
      <c r="A3037" s="7">
        <v>3040</v>
      </c>
      <c r="B3037" s="12">
        <v>50564</v>
      </c>
      <c r="C3037" s="11" t="s">
        <v>3191</v>
      </c>
      <c r="D3037" s="12" t="s">
        <v>2856</v>
      </c>
      <c r="E3037" s="10">
        <v>2024</v>
      </c>
      <c r="F3037" s="36" t="str" cm="1">
        <f t="array" ref="F3037">_xlfn.XLOOKUP(D3037&amp;C3037, Sheet3!$C$2:$C$1224&amp;Sheet3!$B$2:$B$1224, Sheet3!$D$2:$D$1224, "")</f>
        <v/>
      </c>
      <c r="G3037" s="1" t="str" cm="1">
        <f t="array" ref="G3037">_xlfn.XLOOKUP(D3037&amp;C3037, Sheet2!$A$2:$A$558&amp;Sheet2!$B$2:$B$558, Sheet2!$C$2:$C$558, "")</f>
        <v/>
      </c>
      <c r="H3037" s="40" t="str">
        <f t="shared" si="47"/>
        <v/>
      </c>
    </row>
    <row r="3038" spans="1:8" ht="15.5" x14ac:dyDescent="0.35">
      <c r="A3038" s="7">
        <v>3041</v>
      </c>
      <c r="B3038" s="12">
        <v>50867</v>
      </c>
      <c r="C3038" s="11" t="s">
        <v>3192</v>
      </c>
      <c r="D3038" s="12" t="s">
        <v>2856</v>
      </c>
      <c r="E3038" s="10">
        <v>2024</v>
      </c>
      <c r="F3038" s="36" t="str" cm="1">
        <f t="array" ref="F3038">_xlfn.XLOOKUP(D3038&amp;C3038, Sheet3!$C$2:$C$1224&amp;Sheet3!$B$2:$B$1224, Sheet3!$D$2:$D$1224, "")</f>
        <v/>
      </c>
      <c r="G3038" s="1" t="str" cm="1">
        <f t="array" ref="G3038">_xlfn.XLOOKUP(D3038&amp;C3038, Sheet2!$A$2:$A$558&amp;Sheet2!$B$2:$B$558, Sheet2!$C$2:$C$558, "")</f>
        <v/>
      </c>
      <c r="H3038" s="40" t="str">
        <f t="shared" si="47"/>
        <v/>
      </c>
    </row>
    <row r="3039" spans="1:8" ht="15.5" x14ac:dyDescent="0.35">
      <c r="A3039" s="7">
        <v>3042</v>
      </c>
      <c r="B3039" s="12">
        <v>51293</v>
      </c>
      <c r="C3039" s="11" t="s">
        <v>3193</v>
      </c>
      <c r="D3039" s="12" t="s">
        <v>2856</v>
      </c>
      <c r="E3039" s="10">
        <v>2024</v>
      </c>
      <c r="F3039" s="36" t="str" cm="1">
        <f t="array" ref="F3039">_xlfn.XLOOKUP(D3039&amp;C3039, Sheet3!$C$2:$C$1224&amp;Sheet3!$B$2:$B$1224, Sheet3!$D$2:$D$1224, "")</f>
        <v>asha.d@mail.ugm.ac.id</v>
      </c>
      <c r="G3039" s="1" t="str" cm="1">
        <f t="array" ref="G3039">_xlfn.XLOOKUP(D3039&amp;C3039, Sheet2!$A$2:$A$558&amp;Sheet2!$B$2:$B$558, Sheet2!$C$2:$C$558, "")</f>
        <v/>
      </c>
      <c r="H3039" s="40" t="str">
        <f t="shared" si="47"/>
        <v>asha.d@mail.ugm.ac.id</v>
      </c>
    </row>
    <row r="3040" spans="1:8" ht="15.5" x14ac:dyDescent="0.35">
      <c r="A3040" s="7">
        <v>3043</v>
      </c>
      <c r="B3040" s="10">
        <v>50280</v>
      </c>
      <c r="C3040" s="13" t="s">
        <v>2683</v>
      </c>
      <c r="D3040" s="10" t="s">
        <v>2856</v>
      </c>
      <c r="E3040" s="10">
        <v>2024</v>
      </c>
      <c r="F3040" s="36" t="str" cm="1">
        <f t="array" ref="F3040">_xlfn.XLOOKUP(D3040&amp;C3040, Sheet3!$C$2:$C$1224&amp;Sheet3!$B$2:$B$1224, Sheet3!$D$2:$D$1224, "")</f>
        <v>qurrotahawa11@gmail.com</v>
      </c>
      <c r="G3040" s="1" t="str" cm="1">
        <f t="array" ref="G3040">_xlfn.XLOOKUP(D3040&amp;C3040, Sheet2!$A$2:$A$558&amp;Sheet2!$B$2:$B$558, Sheet2!$C$2:$C$558, "")</f>
        <v/>
      </c>
      <c r="H3040" s="40" t="str">
        <f t="shared" si="47"/>
        <v>qurrotahawa11@gmail.com</v>
      </c>
    </row>
    <row r="3041" spans="1:8" ht="15.5" x14ac:dyDescent="0.35">
      <c r="A3041" s="7">
        <v>3044</v>
      </c>
      <c r="B3041" s="10">
        <v>50290</v>
      </c>
      <c r="C3041" s="13" t="s">
        <v>2684</v>
      </c>
      <c r="D3041" s="10" t="s">
        <v>2856</v>
      </c>
      <c r="E3041" s="10">
        <v>2024</v>
      </c>
      <c r="F3041" s="36" t="str" cm="1">
        <f t="array" ref="F3041">_xlfn.XLOOKUP(D3041&amp;C3041, Sheet3!$C$2:$C$1224&amp;Sheet3!$B$2:$B$1224, Sheet3!$D$2:$D$1224, "")</f>
        <v/>
      </c>
      <c r="G3041" s="1" t="str" cm="1">
        <f t="array" ref="G3041">_xlfn.XLOOKUP(D3041&amp;C3041, Sheet2!$A$2:$A$558&amp;Sheet2!$B$2:$B$558, Sheet2!$C$2:$C$558, "")</f>
        <v/>
      </c>
      <c r="H3041" s="40" t="str">
        <f t="shared" si="47"/>
        <v/>
      </c>
    </row>
    <row r="3042" spans="1:8" ht="15.5" x14ac:dyDescent="0.35">
      <c r="A3042" s="7">
        <v>3045</v>
      </c>
      <c r="B3042" s="10">
        <v>50295</v>
      </c>
      <c r="C3042" s="13" t="s">
        <v>2685</v>
      </c>
      <c r="D3042" s="10" t="s">
        <v>2856</v>
      </c>
      <c r="E3042" s="10">
        <v>2024</v>
      </c>
      <c r="F3042" s="36" t="str" cm="1">
        <f t="array" ref="F3042">_xlfn.XLOOKUP(D3042&amp;C3042, Sheet3!$C$2:$C$1224&amp;Sheet3!$B$2:$B$1224, Sheet3!$D$2:$D$1224, "")</f>
        <v>rizky.fpu@mail.ugm.ac.id</v>
      </c>
      <c r="G3042" s="1" t="str" cm="1">
        <f t="array" ref="G3042">_xlfn.XLOOKUP(D3042&amp;C3042, Sheet2!$A$2:$A$558&amp;Sheet2!$B$2:$B$558, Sheet2!$C$2:$C$558, "")</f>
        <v/>
      </c>
      <c r="H3042" s="40" t="str">
        <f t="shared" si="47"/>
        <v>rizky.fpu@mail.ugm.ac.id</v>
      </c>
    </row>
    <row r="3043" spans="1:8" ht="15.5" x14ac:dyDescent="0.35">
      <c r="A3043" s="7">
        <v>3046</v>
      </c>
      <c r="B3043" s="10">
        <v>50825</v>
      </c>
      <c r="C3043" s="13" t="s">
        <v>2686</v>
      </c>
      <c r="D3043" s="10" t="s">
        <v>2856</v>
      </c>
      <c r="E3043" s="10">
        <v>2024</v>
      </c>
      <c r="F3043" s="36" t="str" cm="1">
        <f t="array" ref="F3043">_xlfn.XLOOKUP(D3043&amp;C3043, Sheet3!$C$2:$C$1224&amp;Sheet3!$B$2:$B$1224, Sheet3!$D$2:$D$1224, "")</f>
        <v>Ademawardi@mail.ugm.ac.id</v>
      </c>
      <c r="G3043" s="1" t="str" cm="1">
        <f t="array" ref="G3043">_xlfn.XLOOKUP(D3043&amp;C3043, Sheet2!$A$2:$A$558&amp;Sheet2!$B$2:$B$558, Sheet2!$C$2:$C$558, "")</f>
        <v/>
      </c>
      <c r="H3043" s="40" t="str">
        <f t="shared" si="47"/>
        <v>Ademawardi@mail.ugm.ac.id</v>
      </c>
    </row>
    <row r="3044" spans="1:8" ht="15.5" x14ac:dyDescent="0.35">
      <c r="A3044" s="7">
        <v>3047</v>
      </c>
      <c r="B3044" s="10">
        <v>50841</v>
      </c>
      <c r="C3044" s="13" t="s">
        <v>2687</v>
      </c>
      <c r="D3044" s="10" t="s">
        <v>2856</v>
      </c>
      <c r="E3044" s="10">
        <v>2024</v>
      </c>
      <c r="F3044" s="36" t="str" cm="1">
        <f t="array" ref="F3044">_xlfn.XLOOKUP(D3044&amp;C3044, Sheet3!$C$2:$C$1224&amp;Sheet3!$B$2:$B$1224, Sheet3!$D$2:$D$1224, "")</f>
        <v>gsaud111@gmail.com</v>
      </c>
      <c r="G3044" s="1" t="str" cm="1">
        <f t="array" ref="G3044">_xlfn.XLOOKUP(D3044&amp;C3044, Sheet2!$A$2:$A$558&amp;Sheet2!$B$2:$B$558, Sheet2!$C$2:$C$558, "")</f>
        <v/>
      </c>
      <c r="H3044" s="40" t="str">
        <f t="shared" si="47"/>
        <v>gsaud111@gmail.com</v>
      </c>
    </row>
    <row r="3045" spans="1:8" ht="15.5" x14ac:dyDescent="0.35">
      <c r="A3045" s="7">
        <v>3048</v>
      </c>
      <c r="B3045" s="10">
        <v>50849</v>
      </c>
      <c r="C3045" s="13" t="s">
        <v>2688</v>
      </c>
      <c r="D3045" s="10" t="s">
        <v>2856</v>
      </c>
      <c r="E3045" s="10">
        <v>2024</v>
      </c>
      <c r="F3045" s="36" t="str" cm="1">
        <f t="array" ref="F3045">_xlfn.XLOOKUP(D3045&amp;C3045, Sheet3!$C$2:$C$1224&amp;Sheet3!$B$2:$B$1224, Sheet3!$D$2:$D$1224, "")</f>
        <v>farhanabiyyu@mail.ugm.ac.id</v>
      </c>
      <c r="G3045" s="1" t="str" cm="1">
        <f t="array" ref="G3045">_xlfn.XLOOKUP(D3045&amp;C3045, Sheet2!$A$2:$A$558&amp;Sheet2!$B$2:$B$558, Sheet2!$C$2:$C$558, "")</f>
        <v/>
      </c>
      <c r="H3045" s="40" t="str">
        <f t="shared" si="47"/>
        <v>farhanabiyyu@mail.ugm.ac.id</v>
      </c>
    </row>
    <row r="3046" spans="1:8" ht="15.5" x14ac:dyDescent="0.35">
      <c r="A3046" s="7">
        <v>3049</v>
      </c>
      <c r="B3046" s="10">
        <v>50866</v>
      </c>
      <c r="C3046" s="13" t="s">
        <v>2689</v>
      </c>
      <c r="D3046" s="10" t="s">
        <v>2856</v>
      </c>
      <c r="E3046" s="10">
        <v>2024</v>
      </c>
      <c r="F3046" s="36" t="str" cm="1">
        <f t="array" ref="F3046">_xlfn.XLOOKUP(D3046&amp;C3046, Sheet3!$C$2:$C$1224&amp;Sheet3!$B$2:$B$1224, Sheet3!$D$2:$D$1224, "")</f>
        <v>sheva.4r@gmail.com</v>
      </c>
      <c r="G3046" s="1" t="str" cm="1">
        <f t="array" ref="G3046">_xlfn.XLOOKUP(D3046&amp;C3046, Sheet2!$A$2:$A$558&amp;Sheet2!$B$2:$B$558, Sheet2!$C$2:$C$558, "")</f>
        <v/>
      </c>
      <c r="H3046" s="40" t="str">
        <f t="shared" si="47"/>
        <v>sheva.4r@gmail.com</v>
      </c>
    </row>
    <row r="3047" spans="1:8" ht="15.5" x14ac:dyDescent="0.35">
      <c r="A3047" s="7">
        <v>3050</v>
      </c>
      <c r="B3047" s="10">
        <v>51292</v>
      </c>
      <c r="C3047" s="13" t="s">
        <v>2690</v>
      </c>
      <c r="D3047" s="10" t="s">
        <v>2856</v>
      </c>
      <c r="E3047" s="10">
        <v>2024</v>
      </c>
      <c r="F3047" s="36" t="str" cm="1">
        <f t="array" ref="F3047">_xlfn.XLOOKUP(D3047&amp;C3047, Sheet3!$C$2:$C$1224&amp;Sheet3!$B$2:$B$1224, Sheet3!$D$2:$D$1224, "")</f>
        <v>arisdwi2020@mail.ugm.ac.id</v>
      </c>
      <c r="G3047" s="1" t="str" cm="1">
        <f t="array" ref="G3047">_xlfn.XLOOKUP(D3047&amp;C3047, Sheet2!$A$2:$A$558&amp;Sheet2!$B$2:$B$558, Sheet2!$C$2:$C$558, "")</f>
        <v/>
      </c>
      <c r="H3047" s="40" t="str">
        <f t="shared" si="47"/>
        <v>arisdwi2020@mail.ugm.ac.id</v>
      </c>
    </row>
    <row r="3048" spans="1:8" ht="15.5" x14ac:dyDescent="0.35">
      <c r="A3048" s="7">
        <v>3051</v>
      </c>
      <c r="B3048" s="10">
        <v>51307</v>
      </c>
      <c r="C3048" s="13" t="s">
        <v>2691</v>
      </c>
      <c r="D3048" s="10" t="s">
        <v>2856</v>
      </c>
      <c r="E3048" s="10">
        <v>2024</v>
      </c>
      <c r="F3048" s="36" t="str" cm="1">
        <f t="array" ref="F3048">_xlfn.XLOOKUP(D3048&amp;C3048, Sheet3!$C$2:$C$1224&amp;Sheet3!$B$2:$B$1224, Sheet3!$D$2:$D$1224, "")</f>
        <v/>
      </c>
      <c r="G3048" s="1" t="str" cm="1">
        <f t="array" ref="G3048">_xlfn.XLOOKUP(D3048&amp;C3048, Sheet2!$A$2:$A$558&amp;Sheet2!$B$2:$B$558, Sheet2!$C$2:$C$558, "")</f>
        <v/>
      </c>
      <c r="H3048" s="40" t="str">
        <f t="shared" si="47"/>
        <v/>
      </c>
    </row>
    <row r="3049" spans="1:8" ht="15.5" x14ac:dyDescent="0.35">
      <c r="A3049" s="7">
        <v>3052</v>
      </c>
      <c r="B3049" s="10">
        <v>51311</v>
      </c>
      <c r="C3049" s="13" t="s">
        <v>2692</v>
      </c>
      <c r="D3049" s="10" t="s">
        <v>2856</v>
      </c>
      <c r="E3049" s="10">
        <v>2024</v>
      </c>
      <c r="F3049" s="36" t="str" cm="1">
        <f t="array" ref="F3049">_xlfn.XLOOKUP(D3049&amp;C3049, Sheet3!$C$2:$C$1224&amp;Sheet3!$B$2:$B$1224, Sheet3!$D$2:$D$1224, "")</f>
        <v/>
      </c>
      <c r="G3049" s="1" t="str" cm="1">
        <f t="array" ref="G3049">_xlfn.XLOOKUP(D3049&amp;C3049, Sheet2!$A$2:$A$558&amp;Sheet2!$B$2:$B$558, Sheet2!$C$2:$C$558, "")</f>
        <v/>
      </c>
      <c r="H3049" s="40" t="str">
        <f t="shared" si="47"/>
        <v/>
      </c>
    </row>
    <row r="3050" spans="1:8" ht="15.5" x14ac:dyDescent="0.35">
      <c r="A3050" s="7">
        <v>3053</v>
      </c>
      <c r="B3050" s="10"/>
      <c r="C3050" s="13" t="s">
        <v>2693</v>
      </c>
      <c r="D3050" s="10" t="s">
        <v>2856</v>
      </c>
      <c r="E3050" s="10">
        <v>2024</v>
      </c>
      <c r="F3050" s="36" t="str" cm="1">
        <f t="array" ref="F3050">_xlfn.XLOOKUP(D3050&amp;C3050, Sheet3!$C$2:$C$1224&amp;Sheet3!$B$2:$B$1224, Sheet3!$D$2:$D$1224, "")</f>
        <v>adikkabagusm23@gmail.com</v>
      </c>
      <c r="G3050" s="1" t="str" cm="1">
        <f t="array" ref="G3050">_xlfn.XLOOKUP(D3050&amp;C3050, Sheet2!$A$2:$A$558&amp;Sheet2!$B$2:$B$558, Sheet2!$C$2:$C$558, "")</f>
        <v/>
      </c>
      <c r="H3050" s="40" t="str">
        <f t="shared" si="47"/>
        <v>adikkabagusm23@gmail.com</v>
      </c>
    </row>
    <row r="3051" spans="1:8" ht="15.5" x14ac:dyDescent="0.35">
      <c r="A3051" s="7">
        <v>3054</v>
      </c>
      <c r="B3051" s="10">
        <v>51319</v>
      </c>
      <c r="C3051" s="13" t="s">
        <v>2694</v>
      </c>
      <c r="D3051" s="10" t="s">
        <v>2856</v>
      </c>
      <c r="E3051" s="10">
        <v>2024</v>
      </c>
      <c r="F3051" s="36" t="str" cm="1">
        <f t="array" ref="F3051">_xlfn.XLOOKUP(D3051&amp;C3051, Sheet3!$C$2:$C$1224&amp;Sheet3!$B$2:$B$1224, Sheet3!$D$2:$D$1224, "")</f>
        <v>pasadinadwi02@mail.ugm.ac.id</v>
      </c>
      <c r="G3051" s="1" t="str" cm="1">
        <f t="array" ref="G3051">_xlfn.XLOOKUP(D3051&amp;C3051, Sheet2!$A$2:$A$558&amp;Sheet2!$B$2:$B$558, Sheet2!$C$2:$C$558, "")</f>
        <v/>
      </c>
      <c r="H3051" s="40" t="str">
        <f t="shared" si="47"/>
        <v>pasadinadwi02@mail.ugm.ac.id</v>
      </c>
    </row>
    <row r="3052" spans="1:8" ht="15.5" x14ac:dyDescent="0.35">
      <c r="A3052" s="7">
        <v>3055</v>
      </c>
      <c r="B3052" s="29">
        <v>50273</v>
      </c>
      <c r="C3052" s="13" t="s">
        <v>2695</v>
      </c>
      <c r="D3052" s="29" t="s">
        <v>2856</v>
      </c>
      <c r="E3052" s="10">
        <v>2024</v>
      </c>
      <c r="F3052" s="36" t="str" cm="1">
        <f t="array" ref="F3052">_xlfn.XLOOKUP(D3052&amp;C3052, Sheet3!$C$2:$C$1224&amp;Sheet3!$B$2:$B$1224, Sheet3!$D$2:$D$1224, "")</f>
        <v/>
      </c>
      <c r="G3052" s="1" t="str" cm="1">
        <f t="array" ref="G3052">_xlfn.XLOOKUP(D3052&amp;C3052, Sheet2!$A$2:$A$558&amp;Sheet2!$B$2:$B$558, Sheet2!$C$2:$C$558, "")</f>
        <v/>
      </c>
      <c r="H3052" s="40" t="str">
        <f t="shared" si="47"/>
        <v/>
      </c>
    </row>
    <row r="3053" spans="1:8" ht="15.5" x14ac:dyDescent="0.35">
      <c r="A3053" s="7">
        <v>3056</v>
      </c>
      <c r="B3053" s="29">
        <v>50283</v>
      </c>
      <c r="C3053" s="13" t="s">
        <v>2696</v>
      </c>
      <c r="D3053" s="29" t="s">
        <v>2856</v>
      </c>
      <c r="E3053" s="10">
        <v>2024</v>
      </c>
      <c r="F3053" s="36" t="str" cm="1">
        <f t="array" ref="F3053">_xlfn.XLOOKUP(D3053&amp;C3053, Sheet3!$C$2:$C$1224&amp;Sheet3!$B$2:$B$1224, Sheet3!$D$2:$D$1224, "")</f>
        <v>khilda.nadhifa07@gmail.com</v>
      </c>
      <c r="G3053" s="1" t="str" cm="1">
        <f t="array" ref="G3053">_xlfn.XLOOKUP(D3053&amp;C3053, Sheet2!$A$2:$A$558&amp;Sheet2!$B$2:$B$558, Sheet2!$C$2:$C$558, "")</f>
        <v/>
      </c>
      <c r="H3053" s="40" t="str">
        <f t="shared" si="47"/>
        <v>khilda.nadhifa07@gmail.com</v>
      </c>
    </row>
    <row r="3054" spans="1:8" ht="15.5" x14ac:dyDescent="0.35">
      <c r="A3054" s="7">
        <v>3057</v>
      </c>
      <c r="B3054" s="29">
        <v>50289</v>
      </c>
      <c r="C3054" s="13" t="s">
        <v>2697</v>
      </c>
      <c r="D3054" s="29" t="s">
        <v>2856</v>
      </c>
      <c r="E3054" s="10">
        <v>2024</v>
      </c>
      <c r="F3054" s="36" t="str" cm="1">
        <f t="array" ref="F3054">_xlfn.XLOOKUP(D3054&amp;C3054, Sheet3!$C$2:$C$1224&amp;Sheet3!$B$2:$B$1224, Sheet3!$D$2:$D$1224, "")</f>
        <v>rifkimuhammadd67@gmail.com</v>
      </c>
      <c r="G3054" s="1" t="str" cm="1">
        <f t="array" ref="G3054">_xlfn.XLOOKUP(D3054&amp;C3054, Sheet2!$A$2:$A$558&amp;Sheet2!$B$2:$B$558, Sheet2!$C$2:$C$558, "")</f>
        <v/>
      </c>
      <c r="H3054" s="40" t="str">
        <f t="shared" si="47"/>
        <v>rifkimuhammadd67@gmail.com</v>
      </c>
    </row>
    <row r="3055" spans="1:8" ht="15.5" x14ac:dyDescent="0.35">
      <c r="A3055" s="7">
        <v>3058</v>
      </c>
      <c r="B3055" s="29">
        <v>51316</v>
      </c>
      <c r="C3055" s="13" t="s">
        <v>2698</v>
      </c>
      <c r="D3055" s="29" t="s">
        <v>2856</v>
      </c>
      <c r="E3055" s="10">
        <v>2024</v>
      </c>
      <c r="F3055" s="36" t="str" cm="1">
        <f t="array" ref="F3055">_xlfn.XLOOKUP(D3055&amp;C3055, Sheet3!$C$2:$C$1224&amp;Sheet3!$B$2:$B$1224, Sheet3!$D$2:$D$1224, "")</f>
        <v/>
      </c>
      <c r="G3055" s="1" t="str" cm="1">
        <f t="array" ref="G3055">_xlfn.XLOOKUP(D3055&amp;C3055, Sheet2!$A$2:$A$558&amp;Sheet2!$B$2:$B$558, Sheet2!$C$2:$C$558, "")</f>
        <v/>
      </c>
      <c r="H3055" s="40" t="str">
        <f t="shared" si="47"/>
        <v/>
      </c>
    </row>
    <row r="3056" spans="1:8" ht="15.5" x14ac:dyDescent="0.35">
      <c r="A3056" s="7">
        <v>3059</v>
      </c>
      <c r="B3056" s="10">
        <v>48862</v>
      </c>
      <c r="C3056" s="13" t="s">
        <v>2699</v>
      </c>
      <c r="D3056" s="10" t="s">
        <v>2855</v>
      </c>
      <c r="E3056" s="10">
        <v>2024</v>
      </c>
      <c r="F3056" s="36" t="str" cm="1">
        <f t="array" ref="F3056">_xlfn.XLOOKUP(D3056&amp;C3056, Sheet3!$C$2:$C$1224&amp;Sheet3!$B$2:$B$1224, Sheet3!$D$2:$D$1224, "")</f>
        <v/>
      </c>
      <c r="G3056" s="1" t="str" cm="1">
        <f t="array" ref="G3056">_xlfn.XLOOKUP(D3056&amp;C3056, Sheet2!$A$2:$A$558&amp;Sheet2!$B$2:$B$558, Sheet2!$C$2:$C$558, "")</f>
        <v/>
      </c>
      <c r="H3056" s="40" t="str">
        <f t="shared" si="47"/>
        <v/>
      </c>
    </row>
    <row r="3057" spans="1:8" ht="15.5" x14ac:dyDescent="0.35">
      <c r="A3057" s="7">
        <v>3060</v>
      </c>
      <c r="B3057" s="10">
        <v>50567</v>
      </c>
      <c r="C3057" s="13" t="s">
        <v>2700</v>
      </c>
      <c r="D3057" s="10" t="s">
        <v>2856</v>
      </c>
      <c r="E3057" s="10">
        <v>2024</v>
      </c>
      <c r="F3057" s="36" t="str" cm="1">
        <f t="array" ref="F3057">_xlfn.XLOOKUP(D3057&amp;C3057, Sheet3!$C$2:$C$1224&amp;Sheet3!$B$2:$B$1224, Sheet3!$D$2:$D$1224, "")</f>
        <v>pavel.sihaloho@mail.ugm.ac.id</v>
      </c>
      <c r="G3057" s="1" t="str" cm="1">
        <f t="array" ref="G3057">_xlfn.XLOOKUP(D3057&amp;C3057, Sheet2!$A$2:$A$558&amp;Sheet2!$B$2:$B$558, Sheet2!$C$2:$C$558, "")</f>
        <v/>
      </c>
      <c r="H3057" s="40" t="str">
        <f t="shared" si="47"/>
        <v>pavel.sihaloho@mail.ugm.ac.id</v>
      </c>
    </row>
    <row r="3058" spans="1:8" ht="15.5" x14ac:dyDescent="0.35">
      <c r="A3058" s="7">
        <v>3061</v>
      </c>
      <c r="B3058" s="10">
        <v>50829</v>
      </c>
      <c r="C3058" s="13" t="s">
        <v>2701</v>
      </c>
      <c r="D3058" s="10" t="s">
        <v>2856</v>
      </c>
      <c r="E3058" s="10">
        <v>2024</v>
      </c>
      <c r="F3058" s="36" t="str" cm="1">
        <f t="array" ref="F3058">_xlfn.XLOOKUP(D3058&amp;C3058, Sheet3!$C$2:$C$1224&amp;Sheet3!$B$2:$B$1224, Sheet3!$D$2:$D$1224, "")</f>
        <v>affero.abyan@gmail.com</v>
      </c>
      <c r="G3058" s="1" t="str" cm="1">
        <f t="array" ref="G3058">_xlfn.XLOOKUP(D3058&amp;C3058, Sheet2!$A$2:$A$558&amp;Sheet2!$B$2:$B$558, Sheet2!$C$2:$C$558, "")</f>
        <v/>
      </c>
      <c r="H3058" s="40" t="str">
        <f t="shared" si="47"/>
        <v>affero.abyan@gmail.com</v>
      </c>
    </row>
    <row r="3059" spans="1:8" ht="15.5" x14ac:dyDescent="0.35">
      <c r="A3059" s="7">
        <v>3062</v>
      </c>
      <c r="B3059" s="10">
        <v>50830</v>
      </c>
      <c r="C3059" s="13" t="s">
        <v>2702</v>
      </c>
      <c r="D3059" s="10" t="s">
        <v>2856</v>
      </c>
      <c r="E3059" s="10">
        <v>2024</v>
      </c>
      <c r="F3059" s="36" t="str" cm="1">
        <f t="array" ref="F3059">_xlfn.XLOOKUP(D3059&amp;C3059, Sheet3!$C$2:$C$1224&amp;Sheet3!$B$2:$B$1224, Sheet3!$D$2:$D$1224, "")</f>
        <v/>
      </c>
      <c r="G3059" s="1" t="str" cm="1">
        <f t="array" ref="G3059">_xlfn.XLOOKUP(D3059&amp;C3059, Sheet2!$A$2:$A$558&amp;Sheet2!$B$2:$B$558, Sheet2!$C$2:$C$558, "")</f>
        <v>ajisugiantoro2415@gmail.com</v>
      </c>
      <c r="H3059" s="40" t="str">
        <f t="shared" si="47"/>
        <v>ajisugiantoro2415@gmail.com</v>
      </c>
    </row>
    <row r="3060" spans="1:8" ht="15.5" x14ac:dyDescent="0.35">
      <c r="A3060" s="7">
        <v>3063</v>
      </c>
      <c r="B3060" s="10">
        <v>50839</v>
      </c>
      <c r="C3060" s="13" t="s">
        <v>2703</v>
      </c>
      <c r="D3060" s="10" t="s">
        <v>2856</v>
      </c>
      <c r="E3060" s="10">
        <v>2024</v>
      </c>
      <c r="F3060" s="36" t="str" cm="1">
        <f t="array" ref="F3060">_xlfn.XLOOKUP(D3060&amp;C3060, Sheet3!$C$2:$C$1224&amp;Sheet3!$B$2:$B$1224, Sheet3!$D$2:$D$1224, "")</f>
        <v/>
      </c>
      <c r="G3060" s="1" t="str" cm="1">
        <f t="array" ref="G3060">_xlfn.XLOOKUP(D3060&amp;C3060, Sheet2!$A$2:$A$558&amp;Sheet2!$B$2:$B$558, Sheet2!$C$2:$C$558, "")</f>
        <v/>
      </c>
      <c r="H3060" s="40" t="str">
        <f t="shared" si="47"/>
        <v/>
      </c>
    </row>
    <row r="3061" spans="1:8" ht="15.5" x14ac:dyDescent="0.35">
      <c r="A3061" s="7">
        <v>3064</v>
      </c>
      <c r="B3061" s="10">
        <v>50861</v>
      </c>
      <c r="C3061" s="13" t="s">
        <v>2704</v>
      </c>
      <c r="D3061" s="10" t="s">
        <v>2856</v>
      </c>
      <c r="E3061" s="10">
        <v>2024</v>
      </c>
      <c r="F3061" s="36" t="str" cm="1">
        <f t="array" ref="F3061">_xlfn.XLOOKUP(D3061&amp;C3061, Sheet3!$C$2:$C$1224&amp;Sheet3!$B$2:$B$1224, Sheet3!$D$2:$D$1224, "")</f>
        <v>nisrinafirdausi@mail.ugm.ac.id</v>
      </c>
      <c r="G3061" s="1" t="str" cm="1">
        <f t="array" ref="G3061">_xlfn.XLOOKUP(D3061&amp;C3061, Sheet2!$A$2:$A$558&amp;Sheet2!$B$2:$B$558, Sheet2!$C$2:$C$558, "")</f>
        <v/>
      </c>
      <c r="H3061" s="40" t="str">
        <f t="shared" si="47"/>
        <v>nisrinafirdausi@mail.ugm.ac.id</v>
      </c>
    </row>
    <row r="3062" spans="1:8" ht="15.5" x14ac:dyDescent="0.35">
      <c r="A3062" s="7">
        <v>3065</v>
      </c>
      <c r="B3062" s="10">
        <v>50862</v>
      </c>
      <c r="C3062" s="13" t="s">
        <v>2705</v>
      </c>
      <c r="D3062" s="10" t="s">
        <v>2856</v>
      </c>
      <c r="E3062" s="10">
        <v>2024</v>
      </c>
      <c r="F3062" s="36" t="str" cm="1">
        <f t="array" ref="F3062">_xlfn.XLOOKUP(D3062&amp;C3062, Sheet3!$C$2:$C$1224&amp;Sheet3!$B$2:$B$1224, Sheet3!$D$2:$D$1224, "")</f>
        <v>prabasultan@mail.ugm.ac.id</v>
      </c>
      <c r="G3062" s="1" t="str" cm="1">
        <f t="array" ref="G3062">_xlfn.XLOOKUP(D3062&amp;C3062, Sheet2!$A$2:$A$558&amp;Sheet2!$B$2:$B$558, Sheet2!$C$2:$C$558, "")</f>
        <v/>
      </c>
      <c r="H3062" s="40" t="str">
        <f t="shared" si="47"/>
        <v>prabasultan@mail.ugm.ac.id</v>
      </c>
    </row>
    <row r="3063" spans="1:8" ht="15.5" x14ac:dyDescent="0.35">
      <c r="A3063" s="7">
        <v>3066</v>
      </c>
      <c r="B3063" s="10">
        <v>50863</v>
      </c>
      <c r="C3063" s="13" t="s">
        <v>2706</v>
      </c>
      <c r="D3063" s="10" t="s">
        <v>2856</v>
      </c>
      <c r="E3063" s="10">
        <v>2024</v>
      </c>
      <c r="F3063" s="36" t="str" cm="1">
        <f t="array" ref="F3063">_xlfn.XLOOKUP(D3063&amp;C3063, Sheet3!$C$2:$C$1224&amp;Sheet3!$B$2:$B$1224, Sheet3!$D$2:$D$1224, "")</f>
        <v>putrirut8@gmail.com</v>
      </c>
      <c r="G3063" s="1" t="str" cm="1">
        <f t="array" ref="G3063">_xlfn.XLOOKUP(D3063&amp;C3063, Sheet2!$A$2:$A$558&amp;Sheet2!$B$2:$B$558, Sheet2!$C$2:$C$558, "")</f>
        <v/>
      </c>
      <c r="H3063" s="40" t="str">
        <f t="shared" si="47"/>
        <v>putrirut8@gmail.com</v>
      </c>
    </row>
    <row r="3064" spans="1:8" ht="15.5" x14ac:dyDescent="0.35">
      <c r="A3064" s="7">
        <v>3067</v>
      </c>
      <c r="B3064" s="10">
        <v>51315</v>
      </c>
      <c r="C3064" s="13" t="s">
        <v>2707</v>
      </c>
      <c r="D3064" s="10" t="s">
        <v>2856</v>
      </c>
      <c r="E3064" s="10">
        <v>2024</v>
      </c>
      <c r="F3064" s="36" t="str" cm="1">
        <f t="array" ref="F3064">_xlfn.XLOOKUP(D3064&amp;C3064, Sheet3!$C$2:$C$1224&amp;Sheet3!$B$2:$B$1224, Sheet3!$D$2:$D$1224, "")</f>
        <v>abidinzaenal556@gmail.com</v>
      </c>
      <c r="G3064" s="1" t="str" cm="1">
        <f t="array" ref="G3064">_xlfn.XLOOKUP(D3064&amp;C3064, Sheet2!$A$2:$A$558&amp;Sheet2!$B$2:$B$558, Sheet2!$C$2:$C$558, "")</f>
        <v/>
      </c>
      <c r="H3064" s="40" t="str">
        <f t="shared" si="47"/>
        <v>abidinzaenal556@gmail.com</v>
      </c>
    </row>
    <row r="3065" spans="1:8" ht="15.5" x14ac:dyDescent="0.35">
      <c r="A3065" s="7">
        <v>3084</v>
      </c>
      <c r="B3065" s="10">
        <v>50279</v>
      </c>
      <c r="C3065" s="13" t="s">
        <v>2708</v>
      </c>
      <c r="D3065" s="10" t="s">
        <v>2856</v>
      </c>
      <c r="E3065" s="10">
        <v>2024</v>
      </c>
      <c r="F3065" s="36" t="str" cm="1">
        <f t="array" ref="F3065">_xlfn.XLOOKUP(D3065&amp;C3065, Sheet3!$C$2:$C$1224&amp;Sheet3!$B$2:$B$1224, Sheet3!$D$2:$D$1224, "")</f>
        <v>hasnawidiyani@gmail.com</v>
      </c>
      <c r="G3065" s="1" t="str" cm="1">
        <f t="array" ref="G3065">_xlfn.XLOOKUP(D3065&amp;C3065, Sheet2!$A$2:$A$558&amp;Sheet2!$B$2:$B$558, Sheet2!$C$2:$C$558, "")</f>
        <v/>
      </c>
      <c r="H3065" s="40" t="str">
        <f t="shared" si="47"/>
        <v>hasnawidiyani@gmail.com</v>
      </c>
    </row>
    <row r="3066" spans="1:8" ht="15.5" x14ac:dyDescent="0.35">
      <c r="A3066" s="7">
        <v>3085</v>
      </c>
      <c r="B3066" s="10">
        <v>50572</v>
      </c>
      <c r="C3066" s="13" t="s">
        <v>2709</v>
      </c>
      <c r="D3066" s="10" t="s">
        <v>2856</v>
      </c>
      <c r="E3066" s="10">
        <v>2024</v>
      </c>
      <c r="F3066" s="36" t="str" cm="1">
        <f t="array" ref="F3066">_xlfn.XLOOKUP(D3066&amp;C3066, Sheet3!$C$2:$C$1224&amp;Sheet3!$B$2:$B$1224, Sheet3!$D$2:$D$1224, "")</f>
        <v>shintapuspam43@gmail.com</v>
      </c>
      <c r="G3066" s="1" t="str" cm="1">
        <f t="array" ref="G3066">_xlfn.XLOOKUP(D3066&amp;C3066, Sheet2!$A$2:$A$558&amp;Sheet2!$B$2:$B$558, Sheet2!$C$2:$C$558, "")</f>
        <v/>
      </c>
      <c r="H3066" s="40" t="str">
        <f t="shared" si="47"/>
        <v>shintapuspam43@gmail.com</v>
      </c>
    </row>
    <row r="3067" spans="1:8" ht="15.5" x14ac:dyDescent="0.35">
      <c r="A3067" s="7">
        <v>3086</v>
      </c>
      <c r="B3067" s="10">
        <v>50850</v>
      </c>
      <c r="C3067" s="13" t="s">
        <v>2710</v>
      </c>
      <c r="D3067" s="10" t="s">
        <v>2856</v>
      </c>
      <c r="E3067" s="10">
        <v>2024</v>
      </c>
      <c r="F3067" s="36" t="str" cm="1">
        <f t="array" ref="F3067">_xlfn.XLOOKUP(D3067&amp;C3067, Sheet3!$C$2:$C$1224&amp;Sheet3!$B$2:$B$1224, Sheet3!$D$2:$D$1224, "")</f>
        <v>maylatasya@gmail.com</v>
      </c>
      <c r="G3067" s="1" t="str" cm="1">
        <f t="array" ref="G3067">_xlfn.XLOOKUP(D3067&amp;C3067, Sheet2!$A$2:$A$558&amp;Sheet2!$B$2:$B$558, Sheet2!$C$2:$C$558, "")</f>
        <v/>
      </c>
      <c r="H3067" s="40" t="str">
        <f t="shared" si="47"/>
        <v>maylatasya@gmail.com</v>
      </c>
    </row>
    <row r="3068" spans="1:8" ht="15.5" x14ac:dyDescent="0.35">
      <c r="A3068" s="7">
        <v>3087</v>
      </c>
      <c r="B3068" s="10">
        <v>51301</v>
      </c>
      <c r="C3068" s="13" t="s">
        <v>2711</v>
      </c>
      <c r="D3068" s="10" t="s">
        <v>2856</v>
      </c>
      <c r="E3068" s="10">
        <v>2024</v>
      </c>
      <c r="F3068" s="36" t="str" cm="1">
        <f t="array" ref="F3068">_xlfn.XLOOKUP(D3068&amp;C3068, Sheet3!$C$2:$C$1224&amp;Sheet3!$B$2:$B$1224, Sheet3!$D$2:$D$1224, "")</f>
        <v/>
      </c>
      <c r="G3068" s="1" t="str" cm="1">
        <f t="array" ref="G3068">_xlfn.XLOOKUP(D3068&amp;C3068, Sheet2!$A$2:$A$558&amp;Sheet2!$B$2:$B$558, Sheet2!$C$2:$C$558, "")</f>
        <v/>
      </c>
      <c r="H3068" s="40" t="str">
        <f t="shared" si="47"/>
        <v/>
      </c>
    </row>
    <row r="3069" spans="1:8" ht="15.5" x14ac:dyDescent="0.35">
      <c r="A3069" s="7">
        <v>3088</v>
      </c>
      <c r="B3069" s="10">
        <v>51306</v>
      </c>
      <c r="C3069" s="13" t="s">
        <v>2712</v>
      </c>
      <c r="D3069" s="10" t="s">
        <v>2856</v>
      </c>
      <c r="E3069" s="10">
        <v>2024</v>
      </c>
      <c r="F3069" s="36" t="str" cm="1">
        <f t="array" ref="F3069">_xlfn.XLOOKUP(D3069&amp;C3069, Sheet3!$C$2:$C$1224&amp;Sheet3!$B$2:$B$1224, Sheet3!$D$2:$D$1224, "")</f>
        <v/>
      </c>
      <c r="G3069" s="1" t="str" cm="1">
        <f t="array" ref="G3069">_xlfn.XLOOKUP(D3069&amp;C3069, Sheet2!$A$2:$A$558&amp;Sheet2!$B$2:$B$558, Sheet2!$C$2:$C$558, "")</f>
        <v/>
      </c>
      <c r="H3069" s="40" t="str">
        <f t="shared" si="47"/>
        <v/>
      </c>
    </row>
    <row r="3070" spans="1:8" ht="15.5" x14ac:dyDescent="0.35">
      <c r="A3070" s="7">
        <v>3089</v>
      </c>
      <c r="B3070" s="10">
        <v>51320</v>
      </c>
      <c r="C3070" s="13" t="s">
        <v>2713</v>
      </c>
      <c r="D3070" s="10" t="s">
        <v>2856</v>
      </c>
      <c r="E3070" s="10">
        <v>2024</v>
      </c>
      <c r="F3070" s="36" t="str" cm="1">
        <f t="array" ref="F3070">_xlfn.XLOOKUP(D3070&amp;C3070, Sheet3!$C$2:$C$1224&amp;Sheet3!$B$2:$B$1224, Sheet3!$D$2:$D$1224, "")</f>
        <v/>
      </c>
      <c r="G3070" s="1" t="str" cm="1">
        <f t="array" ref="G3070">_xlfn.XLOOKUP(D3070&amp;C3070, Sheet2!$A$2:$A$558&amp;Sheet2!$B$2:$B$558, Sheet2!$C$2:$C$558, "")</f>
        <v/>
      </c>
      <c r="H3070" s="40" t="str">
        <f t="shared" si="47"/>
        <v/>
      </c>
    </row>
    <row r="3071" spans="1:8" ht="15.5" x14ac:dyDescent="0.35">
      <c r="A3071" s="7">
        <v>3090</v>
      </c>
      <c r="B3071" s="10">
        <v>51327</v>
      </c>
      <c r="C3071" s="13" t="s">
        <v>2714</v>
      </c>
      <c r="D3071" s="10" t="s">
        <v>2856</v>
      </c>
      <c r="E3071" s="10">
        <v>2024</v>
      </c>
      <c r="F3071" s="36" t="str" cm="1">
        <f t="array" ref="F3071">_xlfn.XLOOKUP(D3071&amp;C3071, Sheet3!$C$2:$C$1224&amp;Sheet3!$B$2:$B$1224, Sheet3!$D$2:$D$1224, "")</f>
        <v/>
      </c>
      <c r="G3071" s="1" t="str" cm="1">
        <f t="array" ref="G3071">_xlfn.XLOOKUP(D3071&amp;C3071, Sheet2!$A$2:$A$558&amp;Sheet2!$B$2:$B$558, Sheet2!$C$2:$C$558, "")</f>
        <v/>
      </c>
      <c r="H3071" s="40" t="str">
        <f t="shared" si="47"/>
        <v/>
      </c>
    </row>
    <row r="3072" spans="1:8" ht="15.5" x14ac:dyDescent="0.35">
      <c r="A3072" s="7">
        <v>3091</v>
      </c>
      <c r="B3072" s="10">
        <v>51332</v>
      </c>
      <c r="C3072" s="13" t="s">
        <v>2715</v>
      </c>
      <c r="D3072" s="10" t="s">
        <v>2856</v>
      </c>
      <c r="E3072" s="10">
        <v>2024</v>
      </c>
      <c r="F3072" s="36" t="str" cm="1">
        <f t="array" ref="F3072">_xlfn.XLOOKUP(D3072&amp;C3072, Sheet3!$C$2:$C$1224&amp;Sheet3!$B$2:$B$1224, Sheet3!$D$2:$D$1224, "")</f>
        <v>vernikasilviana@mail.ugm.ac.id</v>
      </c>
      <c r="G3072" s="1" t="str" cm="1">
        <f t="array" ref="G3072">_xlfn.XLOOKUP(D3072&amp;C3072, Sheet2!$A$2:$A$558&amp;Sheet2!$B$2:$B$558, Sheet2!$C$2:$C$558, "")</f>
        <v/>
      </c>
      <c r="H3072" s="40" t="str">
        <f t="shared" si="47"/>
        <v>vernikasilviana@mail.ugm.ac.id</v>
      </c>
    </row>
    <row r="3073" spans="1:8" ht="15.5" x14ac:dyDescent="0.35">
      <c r="A3073" s="7">
        <v>3092</v>
      </c>
      <c r="B3073" s="10">
        <v>50837</v>
      </c>
      <c r="C3073" s="13" t="s">
        <v>2716</v>
      </c>
      <c r="D3073" s="10" t="s">
        <v>2856</v>
      </c>
      <c r="E3073" s="10">
        <v>2024</v>
      </c>
      <c r="F3073" s="36" t="str" cm="1">
        <f t="array" ref="F3073">_xlfn.XLOOKUP(D3073&amp;C3073, Sheet3!$C$2:$C$1224&amp;Sheet3!$B$2:$B$1224, Sheet3!$D$2:$D$1224, "")</f>
        <v/>
      </c>
      <c r="G3073" s="1" t="str" cm="1">
        <f t="array" ref="G3073">_xlfn.XLOOKUP(D3073&amp;C3073, Sheet2!$A$2:$A$558&amp;Sheet2!$B$2:$B$558, Sheet2!$C$2:$C$558, "")</f>
        <v/>
      </c>
      <c r="H3073" s="40" t="str">
        <f t="shared" si="47"/>
        <v/>
      </c>
    </row>
    <row r="3074" spans="1:8" ht="15.5" x14ac:dyDescent="0.35">
      <c r="A3074" s="7">
        <v>3093</v>
      </c>
      <c r="B3074" s="10">
        <v>50563</v>
      </c>
      <c r="C3074" s="13" t="s">
        <v>2717</v>
      </c>
      <c r="D3074" s="10" t="s">
        <v>2856</v>
      </c>
      <c r="E3074" s="10">
        <v>2024</v>
      </c>
      <c r="F3074" s="36" t="str" cm="1">
        <f t="array" ref="F3074">_xlfn.XLOOKUP(D3074&amp;C3074, Sheet3!$C$2:$C$1224&amp;Sheet3!$B$2:$B$1224, Sheet3!$D$2:$D$1224, "")</f>
        <v/>
      </c>
      <c r="G3074" s="1" t="str" cm="1">
        <f t="array" ref="G3074">_xlfn.XLOOKUP(D3074&amp;C3074, Sheet2!$A$2:$A$558&amp;Sheet2!$B$2:$B$558, Sheet2!$C$2:$C$558, "")</f>
        <v/>
      </c>
      <c r="H3074" s="40" t="str">
        <f t="shared" si="47"/>
        <v/>
      </c>
    </row>
    <row r="3075" spans="1:8" ht="15.5" x14ac:dyDescent="0.35">
      <c r="A3075" s="7">
        <v>3094</v>
      </c>
      <c r="B3075" s="10">
        <v>51336</v>
      </c>
      <c r="C3075" s="13" t="s">
        <v>2718</v>
      </c>
      <c r="D3075" s="10" t="s">
        <v>2856</v>
      </c>
      <c r="E3075" s="10">
        <v>2024</v>
      </c>
      <c r="F3075" s="36" t="str" cm="1">
        <f t="array" ref="F3075">_xlfn.XLOOKUP(D3075&amp;C3075, Sheet3!$C$2:$C$1224&amp;Sheet3!$B$2:$B$1224, Sheet3!$D$2:$D$1224, "")</f>
        <v/>
      </c>
      <c r="G3075" s="1" t="str" cm="1">
        <f t="array" ref="G3075">_xlfn.XLOOKUP(D3075&amp;C3075, Sheet2!$A$2:$A$558&amp;Sheet2!$B$2:$B$558, Sheet2!$C$2:$C$558, "")</f>
        <v/>
      </c>
      <c r="H3075" s="40" t="str">
        <f t="shared" ref="H3075:H3138" si="48">IF(F3075&lt;&gt;"",F3075,G3075)</f>
        <v/>
      </c>
    </row>
    <row r="3076" spans="1:8" ht="15.5" x14ac:dyDescent="0.35">
      <c r="A3076" s="7">
        <v>3095</v>
      </c>
      <c r="B3076" s="10">
        <v>50827</v>
      </c>
      <c r="C3076" s="13" t="s">
        <v>2719</v>
      </c>
      <c r="D3076" s="10" t="s">
        <v>2856</v>
      </c>
      <c r="E3076" s="10">
        <v>2024</v>
      </c>
      <c r="F3076" s="36" t="str" cm="1">
        <f t="array" ref="F3076">_xlfn.XLOOKUP(D3076&amp;C3076, Sheet3!$C$2:$C$1224&amp;Sheet3!$B$2:$B$1224, Sheet3!$D$2:$D$1224, "")</f>
        <v>adillahana.salsabila@gmail.com</v>
      </c>
      <c r="G3076" s="1" t="str" cm="1">
        <f t="array" ref="G3076">_xlfn.XLOOKUP(D3076&amp;C3076, Sheet2!$A$2:$A$558&amp;Sheet2!$B$2:$B$558, Sheet2!$C$2:$C$558, "")</f>
        <v/>
      </c>
      <c r="H3076" s="40" t="str">
        <f t="shared" si="48"/>
        <v>adillahana.salsabila@gmail.com</v>
      </c>
    </row>
    <row r="3077" spans="1:8" ht="15.5" x14ac:dyDescent="0.35">
      <c r="A3077" s="7">
        <v>3096</v>
      </c>
      <c r="B3077" s="10">
        <v>50274</v>
      </c>
      <c r="C3077" s="13" t="s">
        <v>2720</v>
      </c>
      <c r="D3077" s="10" t="s">
        <v>2856</v>
      </c>
      <c r="E3077" s="10">
        <v>2024</v>
      </c>
      <c r="F3077" s="36" t="str" cm="1">
        <f t="array" ref="F3077">_xlfn.XLOOKUP(D3077&amp;C3077, Sheet3!$C$2:$C$1224&amp;Sheet3!$B$2:$B$1224, Sheet3!$D$2:$D$1224, "")</f>
        <v>divinadiananda@mail.ugm.ac.id</v>
      </c>
      <c r="G3077" s="1" t="str" cm="1">
        <f t="array" ref="G3077">_xlfn.XLOOKUP(D3077&amp;C3077, Sheet2!$A$2:$A$558&amp;Sheet2!$B$2:$B$558, Sheet2!$C$2:$C$558, "")</f>
        <v/>
      </c>
      <c r="H3077" s="40" t="str">
        <f t="shared" si="48"/>
        <v>divinadiananda@mail.ugm.ac.id</v>
      </c>
    </row>
    <row r="3078" spans="1:8" ht="15.5" x14ac:dyDescent="0.35">
      <c r="A3078" s="7">
        <v>3097</v>
      </c>
      <c r="B3078" s="10">
        <v>51335</v>
      </c>
      <c r="C3078" s="13" t="s">
        <v>2721</v>
      </c>
      <c r="D3078" s="10" t="s">
        <v>2856</v>
      </c>
      <c r="E3078" s="10">
        <v>2024</v>
      </c>
      <c r="F3078" s="36" t="str" cm="1">
        <f t="array" ref="F3078">_xlfn.XLOOKUP(D3078&amp;C3078, Sheet3!$C$2:$C$1224&amp;Sheet3!$B$2:$B$1224, Sheet3!$D$2:$D$1224, "")</f>
        <v/>
      </c>
      <c r="G3078" s="1" t="str" cm="1">
        <f t="array" ref="G3078">_xlfn.XLOOKUP(D3078&amp;C3078, Sheet2!$A$2:$A$558&amp;Sheet2!$B$2:$B$558, Sheet2!$C$2:$C$558, "")</f>
        <v/>
      </c>
      <c r="H3078" s="40" t="str">
        <f t="shared" si="48"/>
        <v/>
      </c>
    </row>
    <row r="3079" spans="1:8" ht="15.5" x14ac:dyDescent="0.35">
      <c r="A3079" s="7">
        <v>3098</v>
      </c>
      <c r="B3079" s="10">
        <v>51317</v>
      </c>
      <c r="C3079" s="13" t="s">
        <v>2722</v>
      </c>
      <c r="D3079" s="10" t="s">
        <v>2856</v>
      </c>
      <c r="E3079" s="10">
        <v>2024</v>
      </c>
      <c r="F3079" s="36" t="str" cm="1">
        <f t="array" ref="F3079">_xlfn.XLOOKUP(D3079&amp;C3079, Sheet3!$C$2:$C$1224&amp;Sheet3!$B$2:$B$1224, Sheet3!$D$2:$D$1224, "")</f>
        <v>naufal.ali1412@mail.ugm.ac.id</v>
      </c>
      <c r="G3079" s="1" t="str" cm="1">
        <f t="array" ref="G3079">_xlfn.XLOOKUP(D3079&amp;C3079, Sheet2!$A$2:$A$558&amp;Sheet2!$B$2:$B$558, Sheet2!$C$2:$C$558, "")</f>
        <v/>
      </c>
      <c r="H3079" s="40" t="str">
        <f t="shared" si="48"/>
        <v>naufal.ali1412@mail.ugm.ac.id</v>
      </c>
    </row>
    <row r="3080" spans="1:8" ht="15.5" x14ac:dyDescent="0.35">
      <c r="A3080" s="7">
        <v>3099</v>
      </c>
      <c r="B3080" s="10">
        <v>50852</v>
      </c>
      <c r="C3080" s="13" t="s">
        <v>3194</v>
      </c>
      <c r="D3080" s="10" t="s">
        <v>2856</v>
      </c>
      <c r="E3080" s="10">
        <v>2024</v>
      </c>
      <c r="F3080" s="36" t="str" cm="1">
        <f t="array" ref="F3080">_xlfn.XLOOKUP(D3080&amp;C3080, Sheet3!$C$2:$C$1224&amp;Sheet3!$B$2:$B$1224, Sheet3!$D$2:$D$1224, "")</f>
        <v/>
      </c>
      <c r="G3080" s="1" t="str" cm="1">
        <f t="array" ref="G3080">_xlfn.XLOOKUP(D3080&amp;C3080, Sheet2!$A$2:$A$558&amp;Sheet2!$B$2:$B$558, Sheet2!$C$2:$C$558, "")</f>
        <v/>
      </c>
      <c r="H3080" s="40" t="str">
        <f t="shared" si="48"/>
        <v/>
      </c>
    </row>
    <row r="3081" spans="1:8" ht="15.5" x14ac:dyDescent="0.35">
      <c r="A3081" s="7">
        <v>3100</v>
      </c>
      <c r="B3081" s="10">
        <v>47196</v>
      </c>
      <c r="C3081" s="13" t="s">
        <v>2723</v>
      </c>
      <c r="D3081" s="10" t="s">
        <v>2854</v>
      </c>
      <c r="E3081" s="10">
        <v>2025</v>
      </c>
      <c r="F3081" s="36" t="str" cm="1">
        <f t="array" ref="F3081">_xlfn.XLOOKUP(D3081&amp;C3081, Sheet3!$C$2:$C$1224&amp;Sheet3!$B$2:$B$1224, Sheet3!$D$2:$D$1224, "")</f>
        <v/>
      </c>
      <c r="G3081" s="1" t="str" cm="1">
        <f t="array" ref="G3081">_xlfn.XLOOKUP(D3081&amp;C3081, Sheet2!$A$2:$A$558&amp;Sheet2!$B$2:$B$558, Sheet2!$C$2:$C$558, "")</f>
        <v/>
      </c>
      <c r="H3081" s="40" t="str">
        <f t="shared" si="48"/>
        <v/>
      </c>
    </row>
    <row r="3082" spans="1:8" ht="15.5" x14ac:dyDescent="0.35">
      <c r="A3082" s="7">
        <v>3101</v>
      </c>
      <c r="B3082" s="10">
        <v>47239</v>
      </c>
      <c r="C3082" s="13" t="s">
        <v>2724</v>
      </c>
      <c r="D3082" s="10" t="s">
        <v>2854</v>
      </c>
      <c r="E3082" s="10">
        <v>2025</v>
      </c>
      <c r="F3082" s="36" t="str" cm="1">
        <f t="array" ref="F3082">_xlfn.XLOOKUP(D3082&amp;C3082, Sheet3!$C$2:$C$1224&amp;Sheet3!$B$2:$B$1224, Sheet3!$D$2:$D$1224, "")</f>
        <v>syarafinariz@gmail.com</v>
      </c>
      <c r="G3082" s="1" t="str" cm="1">
        <f t="array" ref="G3082">_xlfn.XLOOKUP(D3082&amp;C3082, Sheet2!$A$2:$A$558&amp;Sheet2!$B$2:$B$558, Sheet2!$C$2:$C$558, "")</f>
        <v/>
      </c>
      <c r="H3082" s="40" t="str">
        <f t="shared" si="48"/>
        <v>syarafinariz@gmail.com</v>
      </c>
    </row>
    <row r="3083" spans="1:8" ht="15.5" x14ac:dyDescent="0.35">
      <c r="A3083" s="7">
        <v>3102</v>
      </c>
      <c r="B3083" s="10">
        <v>47716</v>
      </c>
      <c r="C3083" s="13" t="s">
        <v>2725</v>
      </c>
      <c r="D3083" s="10" t="s">
        <v>2854</v>
      </c>
      <c r="E3083" s="10">
        <v>2025</v>
      </c>
      <c r="F3083" s="36" t="str" cm="1">
        <f t="array" ref="F3083">_xlfn.XLOOKUP(D3083&amp;C3083, Sheet3!$C$2:$C$1224&amp;Sheet3!$B$2:$B$1224, Sheet3!$D$2:$D$1224, "")</f>
        <v/>
      </c>
      <c r="G3083" s="1" t="str" cm="1">
        <f t="array" ref="G3083">_xlfn.XLOOKUP(D3083&amp;C3083, Sheet2!$A$2:$A$558&amp;Sheet2!$B$2:$B$558, Sheet2!$C$2:$C$558, "")</f>
        <v/>
      </c>
      <c r="H3083" s="40" t="str">
        <f t="shared" si="48"/>
        <v/>
      </c>
    </row>
    <row r="3084" spans="1:8" ht="15.5" x14ac:dyDescent="0.35">
      <c r="A3084" s="7">
        <v>3103</v>
      </c>
      <c r="B3084" s="10">
        <v>50275</v>
      </c>
      <c r="C3084" s="13" t="s">
        <v>2726</v>
      </c>
      <c r="D3084" s="10" t="s">
        <v>2856</v>
      </c>
      <c r="E3084" s="10">
        <v>2025</v>
      </c>
      <c r="F3084" s="36" t="str" cm="1">
        <f t="array" ref="F3084">_xlfn.XLOOKUP(D3084&amp;C3084, Sheet3!$C$2:$C$1224&amp;Sheet3!$B$2:$B$1224, Sheet3!$D$2:$D$1224, "")</f>
        <v>firda.n.a@mail.ugm.ac.id</v>
      </c>
      <c r="G3084" s="1" t="str" cm="1">
        <f t="array" ref="G3084">_xlfn.XLOOKUP(D3084&amp;C3084, Sheet2!$A$2:$A$558&amp;Sheet2!$B$2:$B$558, Sheet2!$C$2:$C$558, "")</f>
        <v/>
      </c>
      <c r="H3084" s="40" t="str">
        <f t="shared" si="48"/>
        <v>firda.n.a@mail.ugm.ac.id</v>
      </c>
    </row>
    <row r="3085" spans="1:8" ht="15.5" x14ac:dyDescent="0.35">
      <c r="A3085" s="7">
        <v>3104</v>
      </c>
      <c r="B3085" s="10">
        <v>50287</v>
      </c>
      <c r="C3085" s="13" t="s">
        <v>2727</v>
      </c>
      <c r="D3085" s="10" t="s">
        <v>2856</v>
      </c>
      <c r="E3085" s="10">
        <v>2025</v>
      </c>
      <c r="F3085" s="36" t="str" cm="1">
        <f t="array" ref="F3085">_xlfn.XLOOKUP(D3085&amp;C3085, Sheet3!$C$2:$C$1224&amp;Sheet3!$B$2:$B$1224, Sheet3!$D$2:$D$1224, "")</f>
        <v/>
      </c>
      <c r="G3085" s="1" t="str" cm="1">
        <f t="array" ref="G3085">_xlfn.XLOOKUP(D3085&amp;C3085, Sheet2!$A$2:$A$558&amp;Sheet2!$B$2:$B$558, Sheet2!$C$2:$C$558, "")</f>
        <v/>
      </c>
      <c r="H3085" s="40" t="str">
        <f t="shared" si="48"/>
        <v/>
      </c>
    </row>
    <row r="3086" spans="1:8" ht="15.5" x14ac:dyDescent="0.35">
      <c r="A3086" s="7">
        <v>3105</v>
      </c>
      <c r="B3086" s="10">
        <v>50828</v>
      </c>
      <c r="C3086" s="13" t="s">
        <v>2728</v>
      </c>
      <c r="D3086" s="10" t="s">
        <v>2856</v>
      </c>
      <c r="E3086" s="10">
        <v>2025</v>
      </c>
      <c r="F3086" s="36" t="str" cm="1">
        <f t="array" ref="F3086">_xlfn.XLOOKUP(D3086&amp;C3086, Sheet3!$C$2:$C$1224&amp;Sheet3!$B$2:$B$1224, Sheet3!$D$2:$D$1224, "")</f>
        <v>adindawkd@gmail.com</v>
      </c>
      <c r="G3086" s="1" t="str" cm="1">
        <f t="array" ref="G3086">_xlfn.XLOOKUP(D3086&amp;C3086, Sheet2!$A$2:$A$558&amp;Sheet2!$B$2:$B$558, Sheet2!$C$2:$C$558, "")</f>
        <v/>
      </c>
      <c r="H3086" s="40" t="str">
        <f t="shared" si="48"/>
        <v>adindawkd@gmail.com</v>
      </c>
    </row>
    <row r="3087" spans="1:8" ht="15.5" x14ac:dyDescent="0.35">
      <c r="A3087" s="7">
        <v>3106</v>
      </c>
      <c r="B3087" s="10">
        <v>50835</v>
      </c>
      <c r="C3087" s="13" t="s">
        <v>2729</v>
      </c>
      <c r="D3087" s="10" t="s">
        <v>2856</v>
      </c>
      <c r="E3087" s="10">
        <v>2025</v>
      </c>
      <c r="F3087" s="36" t="str" cm="1">
        <f t="array" ref="F3087">_xlfn.XLOOKUP(D3087&amp;C3087, Sheet3!$C$2:$C$1224&amp;Sheet3!$B$2:$B$1224, Sheet3!$D$2:$D$1224, "")</f>
        <v>davidgultom29@gmail.com</v>
      </c>
      <c r="G3087" s="1" t="str" cm="1">
        <f t="array" ref="G3087">_xlfn.XLOOKUP(D3087&amp;C3087, Sheet2!$A$2:$A$558&amp;Sheet2!$B$2:$B$558, Sheet2!$C$2:$C$558, "")</f>
        <v/>
      </c>
      <c r="H3087" s="40" t="str">
        <f t="shared" si="48"/>
        <v>davidgultom29@gmail.com</v>
      </c>
    </row>
    <row r="3088" spans="1:8" ht="15.5" x14ac:dyDescent="0.35">
      <c r="A3088" s="7">
        <v>3107</v>
      </c>
      <c r="B3088" s="10">
        <v>50838</v>
      </c>
      <c r="C3088" s="13" t="s">
        <v>2730</v>
      </c>
      <c r="D3088" s="10" t="s">
        <v>2856</v>
      </c>
      <c r="E3088" s="10">
        <v>2025</v>
      </c>
      <c r="F3088" s="36" t="str" cm="1">
        <f t="array" ref="F3088">_xlfn.XLOOKUP(D3088&amp;C3088, Sheet3!$C$2:$C$1224&amp;Sheet3!$B$2:$B$1224, Sheet3!$D$2:$D$1224, "")</f>
        <v>naveel.mubarok@gmail.com</v>
      </c>
      <c r="G3088" s="1" t="str" cm="1">
        <f t="array" ref="G3088">_xlfn.XLOOKUP(D3088&amp;C3088, Sheet2!$A$2:$A$558&amp;Sheet2!$B$2:$B$558, Sheet2!$C$2:$C$558, "")</f>
        <v/>
      </c>
      <c r="H3088" s="40" t="str">
        <f t="shared" si="48"/>
        <v>naveel.mubarok@gmail.com</v>
      </c>
    </row>
    <row r="3089" spans="1:8" ht="15.5" x14ac:dyDescent="0.35">
      <c r="A3089" s="7">
        <v>3108</v>
      </c>
      <c r="B3089" s="10">
        <v>50842</v>
      </c>
      <c r="C3089" s="13" t="s">
        <v>2731</v>
      </c>
      <c r="D3089" s="10" t="s">
        <v>2856</v>
      </c>
      <c r="E3089" s="10">
        <v>2025</v>
      </c>
      <c r="F3089" s="36" t="str" cm="1">
        <f t="array" ref="F3089">_xlfn.XLOOKUP(D3089&amp;C3089, Sheet3!$C$2:$C$1224&amp;Sheet3!$B$2:$B$1224, Sheet3!$D$2:$D$1224, "")</f>
        <v>gregoriusbaskara16@gmail.com</v>
      </c>
      <c r="G3089" s="1" t="str" cm="1">
        <f t="array" ref="G3089">_xlfn.XLOOKUP(D3089&amp;C3089, Sheet2!$A$2:$A$558&amp;Sheet2!$B$2:$B$558, Sheet2!$C$2:$C$558, "")</f>
        <v/>
      </c>
      <c r="H3089" s="40" t="str">
        <f t="shared" si="48"/>
        <v>gregoriusbaskara16@gmail.com</v>
      </c>
    </row>
    <row r="3090" spans="1:8" ht="15.5" x14ac:dyDescent="0.35">
      <c r="A3090" s="7">
        <v>3109</v>
      </c>
      <c r="B3090" s="10">
        <v>51294</v>
      </c>
      <c r="C3090" s="13" t="s">
        <v>2732</v>
      </c>
      <c r="D3090" s="10" t="s">
        <v>2856</v>
      </c>
      <c r="E3090" s="10">
        <v>2025</v>
      </c>
      <c r="F3090" s="36" t="str" cm="1">
        <f t="array" ref="F3090">_xlfn.XLOOKUP(D3090&amp;C3090, Sheet3!$C$2:$C$1224&amp;Sheet3!$B$2:$B$1224, Sheet3!$D$2:$D$1224, "")</f>
        <v/>
      </c>
      <c r="G3090" s="1" t="str" cm="1">
        <f t="array" ref="G3090">_xlfn.XLOOKUP(D3090&amp;C3090, Sheet2!$A$2:$A$558&amp;Sheet2!$B$2:$B$558, Sheet2!$C$2:$C$558, "")</f>
        <v>assyfahesa2020@mail.ugm.ac.id</v>
      </c>
      <c r="H3090" s="40" t="str">
        <f t="shared" si="48"/>
        <v>assyfahesa2020@mail.ugm.ac.id</v>
      </c>
    </row>
    <row r="3091" spans="1:8" ht="15.5" x14ac:dyDescent="0.35">
      <c r="A3091" s="7">
        <v>3110</v>
      </c>
      <c r="B3091" s="10">
        <v>51314</v>
      </c>
      <c r="C3091" s="13" t="s">
        <v>2733</v>
      </c>
      <c r="D3091" s="10" t="s">
        <v>2856</v>
      </c>
      <c r="E3091" s="10">
        <v>2025</v>
      </c>
      <c r="F3091" s="36" t="str" cm="1">
        <f t="array" ref="F3091">_xlfn.XLOOKUP(D3091&amp;C3091, Sheet3!$C$2:$C$1224&amp;Sheet3!$B$2:$B$1224, Sheet3!$D$2:$D$1224, "")</f>
        <v>molekdara@mail.ugm.ac.id</v>
      </c>
      <c r="G3091" s="1" t="str" cm="1">
        <f t="array" ref="G3091">_xlfn.XLOOKUP(D3091&amp;C3091, Sheet2!$A$2:$A$558&amp;Sheet2!$B$2:$B$558, Sheet2!$C$2:$C$558, "")</f>
        <v/>
      </c>
      <c r="H3091" s="40" t="str">
        <f t="shared" si="48"/>
        <v>molekdara@mail.ugm.ac.id</v>
      </c>
    </row>
    <row r="3092" spans="1:8" ht="15.5" x14ac:dyDescent="0.35">
      <c r="A3092" s="7">
        <v>3111</v>
      </c>
      <c r="B3092" s="10">
        <v>51318</v>
      </c>
      <c r="C3092" s="13" t="s">
        <v>2734</v>
      </c>
      <c r="D3092" s="10" t="s">
        <v>2856</v>
      </c>
      <c r="E3092" s="10">
        <v>2025</v>
      </c>
      <c r="F3092" s="36" t="str" cm="1">
        <f t="array" ref="F3092">_xlfn.XLOOKUP(D3092&amp;C3092, Sheet3!$C$2:$C$1224&amp;Sheet3!$B$2:$B$1224, Sheet3!$D$2:$D$1224, "")</f>
        <v/>
      </c>
      <c r="G3092" s="1" t="str" cm="1">
        <f t="array" ref="G3092">_xlfn.XLOOKUP(D3092&amp;C3092, Sheet2!$A$2:$A$558&amp;Sheet2!$B$2:$B$558, Sheet2!$C$2:$C$558, "")</f>
        <v/>
      </c>
      <c r="H3092" s="40" t="str">
        <f t="shared" si="48"/>
        <v/>
      </c>
    </row>
    <row r="3093" spans="1:8" ht="15.5" x14ac:dyDescent="0.35">
      <c r="A3093" s="7">
        <v>3112</v>
      </c>
      <c r="B3093" s="10">
        <v>51321</v>
      </c>
      <c r="C3093" s="13" t="s">
        <v>2735</v>
      </c>
      <c r="D3093" s="10" t="s">
        <v>2856</v>
      </c>
      <c r="E3093" s="10">
        <v>2025</v>
      </c>
      <c r="F3093" s="36" t="str" cm="1">
        <f t="array" ref="F3093">_xlfn.XLOOKUP(D3093&amp;C3093, Sheet3!$C$2:$C$1224&amp;Sheet3!$B$2:$B$1224, Sheet3!$D$2:$D$1224, "")</f>
        <v/>
      </c>
      <c r="G3093" s="1" t="str" cm="1">
        <f t="array" ref="G3093">_xlfn.XLOOKUP(D3093&amp;C3093, Sheet2!$A$2:$A$558&amp;Sheet2!$B$2:$B$558, Sheet2!$C$2:$C$558, "")</f>
        <v/>
      </c>
      <c r="H3093" s="40" t="str">
        <f t="shared" si="48"/>
        <v/>
      </c>
    </row>
    <row r="3094" spans="1:8" ht="15.5" x14ac:dyDescent="0.35">
      <c r="A3094" s="7">
        <v>3113</v>
      </c>
      <c r="B3094" s="10">
        <v>51328</v>
      </c>
      <c r="C3094" s="13" t="s">
        <v>2736</v>
      </c>
      <c r="D3094" s="10" t="s">
        <v>2856</v>
      </c>
      <c r="E3094" s="10">
        <v>2025</v>
      </c>
      <c r="F3094" s="36" t="str" cm="1">
        <f t="array" ref="F3094">_xlfn.XLOOKUP(D3094&amp;C3094, Sheet3!$C$2:$C$1224&amp;Sheet3!$B$2:$B$1224, Sheet3!$D$2:$D$1224, "")</f>
        <v>satriaarya6661@gmail.com</v>
      </c>
      <c r="G3094" s="1" t="str" cm="1">
        <f t="array" ref="G3094">_xlfn.XLOOKUP(D3094&amp;C3094, Sheet2!$A$2:$A$558&amp;Sheet2!$B$2:$B$558, Sheet2!$C$2:$C$558, "")</f>
        <v/>
      </c>
      <c r="H3094" s="40" t="str">
        <f t="shared" si="48"/>
        <v>satriaarya6661@gmail.com</v>
      </c>
    </row>
    <row r="3095" spans="1:8" ht="15.5" x14ac:dyDescent="0.35">
      <c r="A3095" s="7">
        <v>3114</v>
      </c>
      <c r="B3095" s="10">
        <v>48906</v>
      </c>
      <c r="C3095" s="13" t="s">
        <v>2737</v>
      </c>
      <c r="D3095" s="10" t="s">
        <v>2855</v>
      </c>
      <c r="E3095" s="10">
        <v>2025</v>
      </c>
      <c r="F3095" s="36" t="str" cm="1">
        <f t="array" ref="F3095">_xlfn.XLOOKUP(D3095&amp;C3095, Sheet3!$C$2:$C$1224&amp;Sheet3!$B$2:$B$1224, Sheet3!$D$2:$D$1224, "")</f>
        <v/>
      </c>
      <c r="G3095" s="1" t="str" cm="1">
        <f t="array" ref="G3095">_xlfn.XLOOKUP(D3095&amp;C3095, Sheet2!$A$2:$A$558&amp;Sheet2!$B$2:$B$558, Sheet2!$C$2:$C$558, "")</f>
        <v/>
      </c>
      <c r="H3095" s="40" t="str">
        <f t="shared" si="48"/>
        <v/>
      </c>
    </row>
    <row r="3096" spans="1:8" ht="15.5" x14ac:dyDescent="0.35">
      <c r="A3096" s="7">
        <v>3115</v>
      </c>
      <c r="B3096" s="10">
        <v>51289</v>
      </c>
      <c r="C3096" s="13" t="s">
        <v>2738</v>
      </c>
      <c r="D3096" s="10" t="s">
        <v>2856</v>
      </c>
      <c r="E3096" s="10">
        <v>2025</v>
      </c>
      <c r="F3096" s="36" t="str" cm="1">
        <f t="array" ref="F3096">_xlfn.XLOOKUP(D3096&amp;C3096, Sheet3!$C$2:$C$1224&amp;Sheet3!$B$2:$B$1224, Sheet3!$D$2:$D$1224, "")</f>
        <v/>
      </c>
      <c r="G3096" s="1" t="str" cm="1">
        <f t="array" ref="G3096">_xlfn.XLOOKUP(D3096&amp;C3096, Sheet2!$A$2:$A$558&amp;Sheet2!$B$2:$B$558, Sheet2!$C$2:$C$558, "")</f>
        <v/>
      </c>
      <c r="H3096" s="40" t="str">
        <f t="shared" si="48"/>
        <v/>
      </c>
    </row>
    <row r="3097" spans="1:8" ht="15.5" x14ac:dyDescent="0.35">
      <c r="A3097" s="7">
        <v>3116</v>
      </c>
      <c r="B3097" s="10">
        <v>50294</v>
      </c>
      <c r="C3097" s="13" t="s">
        <v>2739</v>
      </c>
      <c r="D3097" s="10" t="s">
        <v>2856</v>
      </c>
      <c r="E3097" s="10">
        <v>2025</v>
      </c>
      <c r="F3097" s="36" t="str" cm="1">
        <f t="array" ref="F3097">_xlfn.XLOOKUP(D3097&amp;C3097, Sheet3!$C$2:$C$1224&amp;Sheet3!$B$2:$B$1224, Sheet3!$D$2:$D$1224, "")</f>
        <v/>
      </c>
      <c r="G3097" s="1" t="str" cm="1">
        <f t="array" ref="G3097">_xlfn.XLOOKUP(D3097&amp;C3097, Sheet2!$A$2:$A$558&amp;Sheet2!$B$2:$B$558, Sheet2!$C$2:$C$558, "")</f>
        <v/>
      </c>
      <c r="H3097" s="40" t="str">
        <f t="shared" si="48"/>
        <v/>
      </c>
    </row>
    <row r="3098" spans="1:8" ht="15.5" x14ac:dyDescent="0.35">
      <c r="A3098" s="7">
        <v>3117</v>
      </c>
      <c r="B3098" s="10">
        <v>50857</v>
      </c>
      <c r="C3098" s="13" t="s">
        <v>2740</v>
      </c>
      <c r="D3098" s="10" t="s">
        <v>2856</v>
      </c>
      <c r="E3098" s="10">
        <v>2025</v>
      </c>
      <c r="F3098" s="36" t="str" cm="1">
        <f t="array" ref="F3098">_xlfn.XLOOKUP(D3098&amp;C3098, Sheet3!$C$2:$C$1224&amp;Sheet3!$B$2:$B$1224, Sheet3!$D$2:$D$1224, "")</f>
        <v>nanda.aragani.putra@mail.ugm.ac.id</v>
      </c>
      <c r="G3098" s="1" t="str" cm="1">
        <f t="array" ref="G3098">_xlfn.XLOOKUP(D3098&amp;C3098, Sheet2!$A$2:$A$558&amp;Sheet2!$B$2:$B$558, Sheet2!$C$2:$C$558, "")</f>
        <v/>
      </c>
      <c r="H3098" s="40" t="str">
        <f t="shared" si="48"/>
        <v>nanda.aragani.putra@mail.ugm.ac.id</v>
      </c>
    </row>
    <row r="3099" spans="1:8" ht="15.5" x14ac:dyDescent="0.35">
      <c r="A3099" s="7">
        <v>3118</v>
      </c>
      <c r="B3099" s="10">
        <v>50853</v>
      </c>
      <c r="C3099" s="13" t="s">
        <v>2741</v>
      </c>
      <c r="D3099" s="10" t="s">
        <v>2856</v>
      </c>
      <c r="E3099" s="10">
        <v>2025</v>
      </c>
      <c r="F3099" s="36" t="str" cm="1">
        <f t="array" ref="F3099">_xlfn.XLOOKUP(D3099&amp;C3099, Sheet3!$C$2:$C$1224&amp;Sheet3!$B$2:$B$1224, Sheet3!$D$2:$D$1224, "")</f>
        <v>danimuhammad202@mail.ugm.ac.id</v>
      </c>
      <c r="G3099" s="1" t="str" cm="1">
        <f t="array" ref="G3099">_xlfn.XLOOKUP(D3099&amp;C3099, Sheet2!$A$2:$A$558&amp;Sheet2!$B$2:$B$558, Sheet2!$C$2:$C$558, "")</f>
        <v/>
      </c>
      <c r="H3099" s="40" t="str">
        <f t="shared" si="48"/>
        <v>danimuhammad202@mail.ugm.ac.id</v>
      </c>
    </row>
    <row r="3100" spans="1:8" ht="15.5" x14ac:dyDescent="0.35">
      <c r="A3100" s="7">
        <v>3119</v>
      </c>
      <c r="B3100" s="10">
        <v>50854</v>
      </c>
      <c r="C3100" s="13" t="s">
        <v>2742</v>
      </c>
      <c r="D3100" s="10" t="s">
        <v>2856</v>
      </c>
      <c r="E3100" s="10">
        <v>2025</v>
      </c>
      <c r="F3100" s="36" t="str" cm="1">
        <f t="array" ref="F3100">_xlfn.XLOOKUP(D3100&amp;C3100, Sheet3!$C$2:$C$1224&amp;Sheet3!$B$2:$B$1224, Sheet3!$D$2:$D$1224, "")</f>
        <v>dzakipratamaramadaniyoko@gmail.com</v>
      </c>
      <c r="G3100" s="1" t="str" cm="1">
        <f t="array" ref="G3100">_xlfn.XLOOKUP(D3100&amp;C3100, Sheet2!$A$2:$A$558&amp;Sheet2!$B$2:$B$558, Sheet2!$C$2:$C$558, "")</f>
        <v/>
      </c>
      <c r="H3100" s="40" t="str">
        <f t="shared" si="48"/>
        <v>dzakipratamaramadaniyoko@gmail.com</v>
      </c>
    </row>
    <row r="3101" spans="1:8" ht="15.5" x14ac:dyDescent="0.35">
      <c r="A3101" s="7">
        <v>3120</v>
      </c>
      <c r="B3101" s="10">
        <v>51323</v>
      </c>
      <c r="C3101" s="13" t="s">
        <v>2743</v>
      </c>
      <c r="D3101" s="10" t="s">
        <v>2856</v>
      </c>
      <c r="E3101" s="10">
        <v>2025</v>
      </c>
      <c r="F3101" s="36" t="str" cm="1">
        <f t="array" ref="F3101">_xlfn.XLOOKUP(D3101&amp;C3101, Sheet3!$C$2:$C$1224&amp;Sheet3!$B$2:$B$1224, Sheet3!$D$2:$D$1224, "")</f>
        <v/>
      </c>
      <c r="G3101" s="1" t="str" cm="1">
        <f t="array" ref="G3101">_xlfn.XLOOKUP(D3101&amp;C3101, Sheet2!$A$2:$A$558&amp;Sheet2!$B$2:$B$558, Sheet2!$C$2:$C$558, "")</f>
        <v/>
      </c>
      <c r="H3101" s="40" t="str">
        <f t="shared" si="48"/>
        <v/>
      </c>
    </row>
    <row r="3102" spans="1:8" ht="15.5" x14ac:dyDescent="0.35">
      <c r="A3102" s="7">
        <v>3121</v>
      </c>
      <c r="B3102" s="10">
        <v>50570</v>
      </c>
      <c r="C3102" s="13" t="s">
        <v>2744</v>
      </c>
      <c r="D3102" s="10" t="s">
        <v>2856</v>
      </c>
      <c r="E3102" s="10">
        <v>2025</v>
      </c>
      <c r="F3102" s="36" t="str" cm="1">
        <f t="array" ref="F3102">_xlfn.XLOOKUP(D3102&amp;C3102, Sheet3!$C$2:$C$1224&amp;Sheet3!$B$2:$B$1224, Sheet3!$D$2:$D$1224, "")</f>
        <v>rizky.d.a@mail.ugm.ac.id</v>
      </c>
      <c r="G3102" s="1" t="str" cm="1">
        <f t="array" ref="G3102">_xlfn.XLOOKUP(D3102&amp;C3102, Sheet2!$A$2:$A$558&amp;Sheet2!$B$2:$B$558, Sheet2!$C$2:$C$558, "")</f>
        <v/>
      </c>
      <c r="H3102" s="40" t="str">
        <f t="shared" si="48"/>
        <v>rizky.d.a@mail.ugm.ac.id</v>
      </c>
    </row>
    <row r="3103" spans="1:8" ht="15.5" x14ac:dyDescent="0.35">
      <c r="A3103" s="7">
        <v>3122</v>
      </c>
      <c r="B3103" s="10">
        <v>50571</v>
      </c>
      <c r="C3103" s="13" t="s">
        <v>2745</v>
      </c>
      <c r="D3103" s="10" t="s">
        <v>2856</v>
      </c>
      <c r="E3103" s="10">
        <v>2025</v>
      </c>
      <c r="F3103" s="36" t="str" cm="1">
        <f t="array" ref="F3103">_xlfn.XLOOKUP(D3103&amp;C3103, Sheet3!$C$2:$C$1224&amp;Sheet3!$B$2:$B$1224, Sheet3!$D$2:$D$1224, "")</f>
        <v>ghiffari1421@gmail.com</v>
      </c>
      <c r="G3103" s="1" t="str" cm="1">
        <f t="array" ref="G3103">_xlfn.XLOOKUP(D3103&amp;C3103, Sheet2!$A$2:$A$558&amp;Sheet2!$B$2:$B$558, Sheet2!$C$2:$C$558, "")</f>
        <v/>
      </c>
      <c r="H3103" s="40" t="str">
        <f t="shared" si="48"/>
        <v>ghiffari1421@gmail.com</v>
      </c>
    </row>
    <row r="3104" spans="1:8" ht="15.5" x14ac:dyDescent="0.35">
      <c r="A3104" s="7">
        <v>3123</v>
      </c>
      <c r="B3104" s="10">
        <v>50855</v>
      </c>
      <c r="C3104" s="13" t="s">
        <v>2746</v>
      </c>
      <c r="D3104" s="10" t="s">
        <v>2856</v>
      </c>
      <c r="E3104" s="10">
        <v>2025</v>
      </c>
      <c r="F3104" s="36" t="str" cm="1">
        <f t="array" ref="F3104">_xlfn.XLOOKUP(D3104&amp;C3104, Sheet3!$C$2:$C$1224&amp;Sheet3!$B$2:$B$1224, Sheet3!$D$2:$D$1224, "")</f>
        <v/>
      </c>
      <c r="G3104" s="1" t="str" cm="1">
        <f t="array" ref="G3104">_xlfn.XLOOKUP(D3104&amp;C3104, Sheet2!$A$2:$A$558&amp;Sheet2!$B$2:$B$558, Sheet2!$C$2:$C$558, "")</f>
        <v/>
      </c>
      <c r="H3104" s="40" t="str">
        <f t="shared" si="48"/>
        <v/>
      </c>
    </row>
    <row r="3105" spans="1:8" ht="15.5" x14ac:dyDescent="0.35">
      <c r="A3105" s="7">
        <v>3124</v>
      </c>
      <c r="B3105" s="10">
        <v>51310</v>
      </c>
      <c r="C3105" s="13" t="s">
        <v>2679</v>
      </c>
      <c r="D3105" s="10" t="s">
        <v>2856</v>
      </c>
      <c r="E3105" s="10">
        <v>2025</v>
      </c>
      <c r="F3105" s="36" t="str" cm="1">
        <f t="array" ref="F3105">_xlfn.XLOOKUP(D3105&amp;C3105, Sheet3!$C$2:$C$1224&amp;Sheet3!$B$2:$B$1224, Sheet3!$D$2:$D$1224, "")</f>
        <v>jonathanedward28@gmail.com</v>
      </c>
      <c r="G3105" s="1" t="str" cm="1">
        <f t="array" ref="G3105">_xlfn.XLOOKUP(D3105&amp;C3105, Sheet2!$A$2:$A$558&amp;Sheet2!$B$2:$B$558, Sheet2!$C$2:$C$558, "")</f>
        <v/>
      </c>
      <c r="H3105" s="40" t="str">
        <f t="shared" si="48"/>
        <v>jonathanedward28@gmail.com</v>
      </c>
    </row>
    <row r="3106" spans="1:8" ht="15.5" x14ac:dyDescent="0.35">
      <c r="A3106" s="7">
        <v>3125</v>
      </c>
      <c r="B3106" s="10">
        <v>50832</v>
      </c>
      <c r="C3106" s="13" t="s">
        <v>2680</v>
      </c>
      <c r="D3106" s="10" t="s">
        <v>2856</v>
      </c>
      <c r="E3106" s="10">
        <v>2025</v>
      </c>
      <c r="F3106" s="36" t="str" cm="1">
        <f t="array" ref="F3106">_xlfn.XLOOKUP(D3106&amp;C3106, Sheet3!$C$2:$C$1224&amp;Sheet3!$B$2:$B$1224, Sheet3!$D$2:$D$1224, "")</f>
        <v/>
      </c>
      <c r="G3106" s="1" t="str" cm="1">
        <f t="array" ref="G3106">_xlfn.XLOOKUP(D3106&amp;C3106, Sheet2!$A$2:$A$558&amp;Sheet2!$B$2:$B$558, Sheet2!$C$2:$C$558, "")</f>
        <v/>
      </c>
      <c r="H3106" s="40" t="str">
        <f t="shared" si="48"/>
        <v/>
      </c>
    </row>
    <row r="3107" spans="1:8" ht="15.5" x14ac:dyDescent="0.35">
      <c r="A3107" s="7">
        <v>3126</v>
      </c>
      <c r="B3107" s="10">
        <v>50856</v>
      </c>
      <c r="C3107" s="13" t="s">
        <v>2681</v>
      </c>
      <c r="D3107" s="10" t="s">
        <v>2856</v>
      </c>
      <c r="E3107" s="10">
        <v>2025</v>
      </c>
      <c r="F3107" s="36" t="str" cm="1">
        <f t="array" ref="F3107">_xlfn.XLOOKUP(D3107&amp;C3107, Sheet3!$C$2:$C$1224&amp;Sheet3!$B$2:$B$1224, Sheet3!$D$2:$D$1224, "")</f>
        <v>muhammadodi12@gmail.com</v>
      </c>
      <c r="G3107" s="1" t="str" cm="1">
        <f t="array" ref="G3107">_xlfn.XLOOKUP(D3107&amp;C3107, Sheet2!$A$2:$A$558&amp;Sheet2!$B$2:$B$558, Sheet2!$C$2:$C$558, "")</f>
        <v/>
      </c>
      <c r="H3107" s="40" t="str">
        <f t="shared" si="48"/>
        <v>muhammadodi12@gmail.com</v>
      </c>
    </row>
    <row r="3108" spans="1:8" ht="15.5" x14ac:dyDescent="0.35">
      <c r="A3108" s="7">
        <v>3127</v>
      </c>
      <c r="B3108" s="10">
        <v>51330</v>
      </c>
      <c r="C3108" s="13" t="s">
        <v>2682</v>
      </c>
      <c r="D3108" s="10" t="s">
        <v>2856</v>
      </c>
      <c r="E3108" s="10">
        <v>2025</v>
      </c>
      <c r="F3108" s="36" t="str" cm="1">
        <f t="array" ref="F3108">_xlfn.XLOOKUP(D3108&amp;C3108, Sheet3!$C$2:$C$1224&amp;Sheet3!$B$2:$B$1224, Sheet3!$D$2:$D$1224, "")</f>
        <v/>
      </c>
      <c r="G3108" s="1" t="str" cm="1">
        <f t="array" ref="G3108">_xlfn.XLOOKUP(D3108&amp;C3108, Sheet2!$A$2:$A$558&amp;Sheet2!$B$2:$B$558, Sheet2!$C$2:$C$558, "")</f>
        <v/>
      </c>
      <c r="H3108" s="40" t="str">
        <f t="shared" si="48"/>
        <v/>
      </c>
    </row>
    <row r="3109" spans="1:8" ht="15.5" x14ac:dyDescent="0.35">
      <c r="A3109" s="7">
        <v>3128</v>
      </c>
      <c r="B3109" s="10">
        <v>53014</v>
      </c>
      <c r="C3109" s="13" t="s">
        <v>2747</v>
      </c>
      <c r="D3109" s="10" t="s">
        <v>2857</v>
      </c>
      <c r="E3109" s="10">
        <v>2025</v>
      </c>
      <c r="F3109" s="36" t="str" cm="1">
        <f t="array" ref="F3109">_xlfn.XLOOKUP(D3109&amp;C3109, Sheet3!$C$2:$C$1224&amp;Sheet3!$B$2:$B$1224, Sheet3!$D$2:$D$1224, "")</f>
        <v/>
      </c>
      <c r="G3109" s="1" t="str" cm="1">
        <f t="array" ref="G3109">_xlfn.XLOOKUP(D3109&amp;C3109, Sheet2!$A$2:$A$558&amp;Sheet2!$B$2:$B$558, Sheet2!$C$2:$C$558, "")</f>
        <v/>
      </c>
      <c r="H3109" s="40" t="str">
        <f t="shared" si="48"/>
        <v/>
      </c>
    </row>
    <row r="3110" spans="1:8" ht="15.5" x14ac:dyDescent="0.35">
      <c r="A3110" s="7">
        <v>3129</v>
      </c>
      <c r="B3110" s="10">
        <v>51313</v>
      </c>
      <c r="C3110" s="13" t="s">
        <v>2748</v>
      </c>
      <c r="D3110" s="10" t="s">
        <v>2856</v>
      </c>
      <c r="E3110" s="10">
        <v>2025</v>
      </c>
      <c r="F3110" s="36" t="str" cm="1">
        <f t="array" ref="F3110">_xlfn.XLOOKUP(D3110&amp;C3110, Sheet3!$C$2:$C$1224&amp;Sheet3!$B$2:$B$1224, Sheet3!$D$2:$D$1224, "")</f>
        <v/>
      </c>
      <c r="G3110" s="1" t="str" cm="1">
        <f t="array" ref="G3110">_xlfn.XLOOKUP(D3110&amp;C3110, Sheet2!$A$2:$A$558&amp;Sheet2!$B$2:$B$558, Sheet2!$C$2:$C$558, "")</f>
        <v/>
      </c>
      <c r="H3110" s="40" t="str">
        <f t="shared" si="48"/>
        <v/>
      </c>
    </row>
    <row r="3111" spans="1:8" ht="15.5" x14ac:dyDescent="0.35">
      <c r="A3111" s="7">
        <v>3130</v>
      </c>
      <c r="B3111" s="10">
        <v>51290</v>
      </c>
      <c r="C3111" s="13" t="s">
        <v>2749</v>
      </c>
      <c r="D3111" s="10" t="s">
        <v>2856</v>
      </c>
      <c r="E3111" s="10">
        <v>2025</v>
      </c>
      <c r="F3111" s="36" t="str" cm="1">
        <f t="array" ref="F3111">_xlfn.XLOOKUP(D3111&amp;C3111, Sheet3!$C$2:$C$1224&amp;Sheet3!$B$2:$B$1224, Sheet3!$D$2:$D$1224, "")</f>
        <v>2104.alvin@gmail.com</v>
      </c>
      <c r="G3111" s="1" t="str" cm="1">
        <f t="array" ref="G3111">_xlfn.XLOOKUP(D3111&amp;C3111, Sheet2!$A$2:$A$558&amp;Sheet2!$B$2:$B$558, Sheet2!$C$2:$C$558, "")</f>
        <v/>
      </c>
      <c r="H3111" s="40" t="str">
        <f t="shared" si="48"/>
        <v>2104.alvin@gmail.com</v>
      </c>
    </row>
    <row r="3112" spans="1:8" ht="15.5" x14ac:dyDescent="0.35">
      <c r="A3112" s="7">
        <v>3131</v>
      </c>
      <c r="B3112" s="10">
        <v>52258</v>
      </c>
      <c r="C3112" s="13" t="s">
        <v>2750</v>
      </c>
      <c r="D3112" s="10" t="s">
        <v>2857</v>
      </c>
      <c r="E3112" s="10">
        <v>2025</v>
      </c>
      <c r="F3112" s="36" t="str" cm="1">
        <f t="array" ref="F3112">_xlfn.XLOOKUP(D3112&amp;C3112, Sheet3!$C$2:$C$1224&amp;Sheet3!$B$2:$B$1224, Sheet3!$D$2:$D$1224, "")</f>
        <v>ma.rafisamudra@gmail.com</v>
      </c>
      <c r="G3112" s="1" t="str" cm="1">
        <f t="array" ref="G3112">_xlfn.XLOOKUP(D3112&amp;C3112, Sheet2!$A$2:$A$558&amp;Sheet2!$B$2:$B$558, Sheet2!$C$2:$C$558, "")</f>
        <v/>
      </c>
      <c r="H3112" s="40" t="str">
        <f t="shared" si="48"/>
        <v>ma.rafisamudra@gmail.com</v>
      </c>
    </row>
    <row r="3113" spans="1:8" ht="15.5" x14ac:dyDescent="0.35">
      <c r="A3113" s="7">
        <v>3132</v>
      </c>
      <c r="B3113" s="10">
        <v>53167</v>
      </c>
      <c r="C3113" s="13" t="s">
        <v>2751</v>
      </c>
      <c r="D3113" s="10" t="s">
        <v>2857</v>
      </c>
      <c r="E3113" s="10">
        <v>2025</v>
      </c>
      <c r="F3113" s="36" t="str" cm="1">
        <f t="array" ref="F3113">_xlfn.XLOOKUP(D3113&amp;C3113, Sheet3!$C$2:$C$1224&amp;Sheet3!$B$2:$B$1224, Sheet3!$D$2:$D$1224, "")</f>
        <v>nayunda.ichda.malikul.chusna@mail.ugm.ac.id</v>
      </c>
      <c r="G3113" s="1" t="str" cm="1">
        <f t="array" ref="G3113">_xlfn.XLOOKUP(D3113&amp;C3113, Sheet2!$A$2:$A$558&amp;Sheet2!$B$2:$B$558, Sheet2!$C$2:$C$558, "")</f>
        <v/>
      </c>
      <c r="H3113" s="40" t="str">
        <f t="shared" si="48"/>
        <v>nayunda.ichda.malikul.chusna@mail.ugm.ac.id</v>
      </c>
    </row>
    <row r="3114" spans="1:8" ht="15.5" x14ac:dyDescent="0.35">
      <c r="A3114" s="7">
        <v>3133</v>
      </c>
      <c r="B3114" s="10">
        <v>52466</v>
      </c>
      <c r="C3114" s="13" t="s">
        <v>2752</v>
      </c>
      <c r="D3114" s="10" t="s">
        <v>2857</v>
      </c>
      <c r="E3114" s="10">
        <v>2025</v>
      </c>
      <c r="F3114" s="36" t="str" cm="1">
        <f t="array" ref="F3114">_xlfn.XLOOKUP(D3114&amp;C3114, Sheet3!$C$2:$C$1224&amp;Sheet3!$B$2:$B$1224, Sheet3!$D$2:$D$1224, "")</f>
        <v/>
      </c>
      <c r="G3114" s="1" t="str" cm="1">
        <f t="array" ref="G3114">_xlfn.XLOOKUP(D3114&amp;C3114, Sheet2!$A$2:$A$558&amp;Sheet2!$B$2:$B$558, Sheet2!$C$2:$C$558, "")</f>
        <v/>
      </c>
      <c r="H3114" s="40" t="str">
        <f t="shared" si="48"/>
        <v/>
      </c>
    </row>
    <row r="3115" spans="1:8" ht="15.5" x14ac:dyDescent="0.35">
      <c r="A3115" s="7">
        <v>3134</v>
      </c>
      <c r="B3115" s="10">
        <v>48386</v>
      </c>
      <c r="C3115" s="13" t="s">
        <v>2753</v>
      </c>
      <c r="D3115" s="10" t="s">
        <v>2855</v>
      </c>
      <c r="E3115" s="10">
        <v>2025</v>
      </c>
      <c r="F3115" s="36" t="str" cm="1">
        <f t="array" ref="F3115">_xlfn.XLOOKUP(D3115&amp;C3115, Sheet3!$C$2:$C$1224&amp;Sheet3!$B$2:$B$1224, Sheet3!$D$2:$D$1224, "")</f>
        <v/>
      </c>
      <c r="G3115" s="1" t="str" cm="1">
        <f t="array" ref="G3115">_xlfn.XLOOKUP(D3115&amp;C3115, Sheet2!$A$2:$A$558&amp;Sheet2!$B$2:$B$558, Sheet2!$C$2:$C$558, "")</f>
        <v/>
      </c>
      <c r="H3115" s="40" t="str">
        <f t="shared" si="48"/>
        <v/>
      </c>
    </row>
    <row r="3116" spans="1:8" ht="15.5" x14ac:dyDescent="0.35">
      <c r="A3116" s="7">
        <v>3135</v>
      </c>
      <c r="B3116" s="10">
        <v>48892</v>
      </c>
      <c r="C3116" s="13" t="s">
        <v>2754</v>
      </c>
      <c r="D3116" s="10" t="s">
        <v>2855</v>
      </c>
      <c r="E3116" s="10">
        <v>2025</v>
      </c>
      <c r="F3116" s="36" t="str" cm="1">
        <f t="array" ref="F3116">_xlfn.XLOOKUP(D3116&amp;C3116, Sheet3!$C$2:$C$1224&amp;Sheet3!$B$2:$B$1224, Sheet3!$D$2:$D$1224, "")</f>
        <v/>
      </c>
      <c r="G3116" s="1" t="str" cm="1">
        <f t="array" ref="G3116">_xlfn.XLOOKUP(D3116&amp;C3116, Sheet2!$A$2:$A$558&amp;Sheet2!$B$2:$B$558, Sheet2!$C$2:$C$558, "")</f>
        <v/>
      </c>
      <c r="H3116" s="40" t="str">
        <f t="shared" si="48"/>
        <v/>
      </c>
    </row>
    <row r="3117" spans="1:8" ht="15.5" x14ac:dyDescent="0.35">
      <c r="A3117" s="7">
        <v>3136</v>
      </c>
      <c r="B3117" s="10">
        <v>50284</v>
      </c>
      <c r="C3117" s="13" t="s">
        <v>2755</v>
      </c>
      <c r="D3117" s="10" t="s">
        <v>2856</v>
      </c>
      <c r="E3117" s="10">
        <v>2025</v>
      </c>
      <c r="F3117" s="36" t="str" cm="1">
        <f t="array" ref="F3117">_xlfn.XLOOKUP(D3117&amp;C3117, Sheet3!$C$2:$C$1224&amp;Sheet3!$B$2:$B$1224, Sheet3!$D$2:$D$1224, "")</f>
        <v/>
      </c>
      <c r="G3117" s="1" t="str" cm="1">
        <f t="array" ref="G3117">_xlfn.XLOOKUP(D3117&amp;C3117, Sheet2!$A$2:$A$558&amp;Sheet2!$B$2:$B$558, Sheet2!$C$2:$C$558, "")</f>
        <v/>
      </c>
      <c r="H3117" s="40" t="str">
        <f t="shared" si="48"/>
        <v/>
      </c>
    </row>
    <row r="3118" spans="1:8" ht="15.5" x14ac:dyDescent="0.35">
      <c r="A3118" s="7">
        <v>3137</v>
      </c>
      <c r="B3118" s="10">
        <v>50291</v>
      </c>
      <c r="C3118" s="13" t="s">
        <v>2756</v>
      </c>
      <c r="D3118" s="10" t="s">
        <v>2856</v>
      </c>
      <c r="E3118" s="10">
        <v>2025</v>
      </c>
      <c r="F3118" s="36" t="str" cm="1">
        <f t="array" ref="F3118">_xlfn.XLOOKUP(D3118&amp;C3118, Sheet3!$C$2:$C$1224&amp;Sheet3!$B$2:$B$1224, Sheet3!$D$2:$D$1224, "")</f>
        <v/>
      </c>
      <c r="G3118" s="1" t="str" cm="1">
        <f t="array" ref="G3118">_xlfn.XLOOKUP(D3118&amp;C3118, Sheet2!$A$2:$A$558&amp;Sheet2!$B$2:$B$558, Sheet2!$C$2:$C$558, "")</f>
        <v/>
      </c>
      <c r="H3118" s="40" t="str">
        <f t="shared" si="48"/>
        <v/>
      </c>
    </row>
    <row r="3119" spans="1:8" ht="15.5" x14ac:dyDescent="0.35">
      <c r="A3119" s="7">
        <v>3138</v>
      </c>
      <c r="B3119" s="10">
        <v>50865</v>
      </c>
      <c r="C3119" s="13" t="s">
        <v>2757</v>
      </c>
      <c r="D3119" s="10" t="s">
        <v>2856</v>
      </c>
      <c r="E3119" s="10">
        <v>2025</v>
      </c>
      <c r="F3119" s="36" t="str" cm="1">
        <f t="array" ref="F3119">_xlfn.XLOOKUP(D3119&amp;C3119, Sheet3!$C$2:$C$1224&amp;Sheet3!$B$2:$B$1224, Sheet3!$D$2:$D$1224, "")</f>
        <v/>
      </c>
      <c r="G3119" s="1" t="str" cm="1">
        <f t="array" ref="G3119">_xlfn.XLOOKUP(D3119&amp;C3119, Sheet2!$A$2:$A$558&amp;Sheet2!$B$2:$B$558, Sheet2!$C$2:$C$558, "")</f>
        <v/>
      </c>
      <c r="H3119" s="40" t="str">
        <f t="shared" si="48"/>
        <v/>
      </c>
    </row>
    <row r="3120" spans="1:8" ht="15.5" x14ac:dyDescent="0.35">
      <c r="A3120" s="7">
        <v>3139</v>
      </c>
      <c r="B3120" s="10">
        <v>51322</v>
      </c>
      <c r="C3120" s="13" t="s">
        <v>2758</v>
      </c>
      <c r="D3120" s="10" t="s">
        <v>2856</v>
      </c>
      <c r="E3120" s="10">
        <v>2025</v>
      </c>
      <c r="F3120" s="36" t="str" cm="1">
        <f t="array" ref="F3120">_xlfn.XLOOKUP(D3120&amp;C3120, Sheet3!$C$2:$C$1224&amp;Sheet3!$B$2:$B$1224, Sheet3!$D$2:$D$1224, "")</f>
        <v/>
      </c>
      <c r="G3120" s="1" t="str" cm="1">
        <f t="array" ref="G3120">_xlfn.XLOOKUP(D3120&amp;C3120, Sheet2!$A$2:$A$558&amp;Sheet2!$B$2:$B$558, Sheet2!$C$2:$C$558, "")</f>
        <v/>
      </c>
      <c r="H3120" s="40" t="str">
        <f t="shared" si="48"/>
        <v/>
      </c>
    </row>
    <row r="3121" spans="1:8" ht="15.5" x14ac:dyDescent="0.35">
      <c r="A3121" s="7">
        <v>3140</v>
      </c>
      <c r="B3121" s="10">
        <v>52148</v>
      </c>
      <c r="C3121" s="13" t="s">
        <v>2759</v>
      </c>
      <c r="D3121" s="10" t="s">
        <v>2857</v>
      </c>
      <c r="E3121" s="10">
        <v>2025</v>
      </c>
      <c r="F3121" s="36" t="str" cm="1">
        <f t="array" ref="F3121">_xlfn.XLOOKUP(D3121&amp;C3121, Sheet3!$C$2:$C$1224&amp;Sheet3!$B$2:$B$1224, Sheet3!$D$2:$D$1224, "")</f>
        <v/>
      </c>
      <c r="G3121" s="1" t="str" cm="1">
        <f t="array" ref="G3121">_xlfn.XLOOKUP(D3121&amp;C3121, Sheet2!$A$2:$A$558&amp;Sheet2!$B$2:$B$558, Sheet2!$C$2:$C$558, "")</f>
        <v/>
      </c>
      <c r="H3121" s="40" t="str">
        <f t="shared" si="48"/>
        <v/>
      </c>
    </row>
    <row r="3122" spans="1:8" ht="15.5" x14ac:dyDescent="0.35">
      <c r="A3122" s="7">
        <v>3141</v>
      </c>
      <c r="B3122" s="10">
        <v>52153</v>
      </c>
      <c r="C3122" s="13" t="s">
        <v>2760</v>
      </c>
      <c r="D3122" s="10" t="s">
        <v>2857</v>
      </c>
      <c r="E3122" s="10">
        <v>2025</v>
      </c>
      <c r="F3122" s="36" t="str" cm="1">
        <f t="array" ref="F3122">_xlfn.XLOOKUP(D3122&amp;C3122, Sheet3!$C$2:$C$1224&amp;Sheet3!$B$2:$B$1224, Sheet3!$D$2:$D$1224, "")</f>
        <v/>
      </c>
      <c r="G3122" s="1" t="str" cm="1">
        <f t="array" ref="G3122">_xlfn.XLOOKUP(D3122&amp;C3122, Sheet2!$A$2:$A$558&amp;Sheet2!$B$2:$B$558, Sheet2!$C$2:$C$558, "")</f>
        <v/>
      </c>
      <c r="H3122" s="40" t="str">
        <f t="shared" si="48"/>
        <v/>
      </c>
    </row>
    <row r="3123" spans="1:8" ht="15.5" x14ac:dyDescent="0.35">
      <c r="A3123" s="7">
        <v>3142</v>
      </c>
      <c r="B3123" s="10">
        <v>52212</v>
      </c>
      <c r="C3123" s="13" t="s">
        <v>2761</v>
      </c>
      <c r="D3123" s="10" t="s">
        <v>2857</v>
      </c>
      <c r="E3123" s="10">
        <v>2025</v>
      </c>
      <c r="F3123" s="36" t="str" cm="1">
        <f t="array" ref="F3123">_xlfn.XLOOKUP(D3123&amp;C3123, Sheet3!$C$2:$C$1224&amp;Sheet3!$B$2:$B$1224, Sheet3!$D$2:$D$1224, "")</f>
        <v/>
      </c>
      <c r="G3123" s="1" t="str" cm="1">
        <f t="array" ref="G3123">_xlfn.XLOOKUP(D3123&amp;C3123, Sheet2!$A$2:$A$558&amp;Sheet2!$B$2:$B$558, Sheet2!$C$2:$C$558, "")</f>
        <v/>
      </c>
      <c r="H3123" s="40" t="str">
        <f t="shared" si="48"/>
        <v/>
      </c>
    </row>
    <row r="3124" spans="1:8" ht="15.5" x14ac:dyDescent="0.35">
      <c r="A3124" s="7">
        <v>3143</v>
      </c>
      <c r="B3124" s="10">
        <v>52222</v>
      </c>
      <c r="C3124" s="13" t="s">
        <v>2762</v>
      </c>
      <c r="D3124" s="10" t="s">
        <v>2857</v>
      </c>
      <c r="E3124" s="10">
        <v>2025</v>
      </c>
      <c r="F3124" s="36" t="str" cm="1">
        <f t="array" ref="F3124">_xlfn.XLOOKUP(D3124&amp;C3124, Sheet3!$C$2:$C$1224&amp;Sheet3!$B$2:$B$1224, Sheet3!$D$2:$D$1224, "")</f>
        <v/>
      </c>
      <c r="G3124" s="1" t="str" cm="1">
        <f t="array" ref="G3124">_xlfn.XLOOKUP(D3124&amp;C3124, Sheet2!$A$2:$A$558&amp;Sheet2!$B$2:$B$558, Sheet2!$C$2:$C$558, "")</f>
        <v/>
      </c>
      <c r="H3124" s="40" t="str">
        <f t="shared" si="48"/>
        <v/>
      </c>
    </row>
    <row r="3125" spans="1:8" ht="15.5" x14ac:dyDescent="0.35">
      <c r="A3125" s="7">
        <v>3144</v>
      </c>
      <c r="B3125" s="10">
        <v>52276</v>
      </c>
      <c r="C3125" s="13" t="s">
        <v>2763</v>
      </c>
      <c r="D3125" s="10" t="s">
        <v>2857</v>
      </c>
      <c r="E3125" s="10">
        <v>2025</v>
      </c>
      <c r="F3125" s="36" t="str" cm="1">
        <f t="array" ref="F3125">_xlfn.XLOOKUP(D3125&amp;C3125, Sheet3!$C$2:$C$1224&amp;Sheet3!$B$2:$B$1224, Sheet3!$D$2:$D$1224, "")</f>
        <v/>
      </c>
      <c r="G3125" s="1" t="str" cm="1">
        <f t="array" ref="G3125">_xlfn.XLOOKUP(D3125&amp;C3125, Sheet2!$A$2:$A$558&amp;Sheet2!$B$2:$B$558, Sheet2!$C$2:$C$558, "")</f>
        <v/>
      </c>
      <c r="H3125" s="40" t="str">
        <f t="shared" si="48"/>
        <v/>
      </c>
    </row>
    <row r="3126" spans="1:8" ht="15.5" x14ac:dyDescent="0.35">
      <c r="A3126" s="7">
        <v>3145</v>
      </c>
      <c r="B3126" s="10">
        <v>52337</v>
      </c>
      <c r="C3126" s="13" t="s">
        <v>2764</v>
      </c>
      <c r="D3126" s="10" t="s">
        <v>2857</v>
      </c>
      <c r="E3126" s="10">
        <v>2025</v>
      </c>
      <c r="F3126" s="36" t="str" cm="1">
        <f t="array" ref="F3126">_xlfn.XLOOKUP(D3126&amp;C3126, Sheet3!$C$2:$C$1224&amp;Sheet3!$B$2:$B$1224, Sheet3!$D$2:$D$1224, "")</f>
        <v/>
      </c>
      <c r="G3126" s="1" t="str" cm="1">
        <f t="array" ref="G3126">_xlfn.XLOOKUP(D3126&amp;C3126, Sheet2!$A$2:$A$558&amp;Sheet2!$B$2:$B$558, Sheet2!$C$2:$C$558, "")</f>
        <v/>
      </c>
      <c r="H3126" s="40" t="str">
        <f t="shared" si="48"/>
        <v/>
      </c>
    </row>
    <row r="3127" spans="1:8" ht="15.5" x14ac:dyDescent="0.35">
      <c r="A3127" s="7">
        <v>3146</v>
      </c>
      <c r="B3127" s="10">
        <v>52345</v>
      </c>
      <c r="C3127" s="13" t="s">
        <v>2765</v>
      </c>
      <c r="D3127" s="10" t="s">
        <v>2857</v>
      </c>
      <c r="E3127" s="10">
        <v>2025</v>
      </c>
      <c r="F3127" s="36" t="str" cm="1">
        <f t="array" ref="F3127">_xlfn.XLOOKUP(D3127&amp;C3127, Sheet3!$C$2:$C$1224&amp;Sheet3!$B$2:$B$1224, Sheet3!$D$2:$D$1224, "")</f>
        <v/>
      </c>
      <c r="G3127" s="1" t="str" cm="1">
        <f t="array" ref="G3127">_xlfn.XLOOKUP(D3127&amp;C3127, Sheet2!$A$2:$A$558&amp;Sheet2!$B$2:$B$558, Sheet2!$C$2:$C$558, "")</f>
        <v/>
      </c>
      <c r="H3127" s="40" t="str">
        <f t="shared" si="48"/>
        <v/>
      </c>
    </row>
    <row r="3128" spans="1:8" ht="15.5" x14ac:dyDescent="0.35">
      <c r="A3128" s="7">
        <v>3147</v>
      </c>
      <c r="B3128" s="10">
        <v>52361</v>
      </c>
      <c r="C3128" s="13" t="s">
        <v>2766</v>
      </c>
      <c r="D3128" s="10" t="s">
        <v>2857</v>
      </c>
      <c r="E3128" s="10">
        <v>2025</v>
      </c>
      <c r="F3128" s="36" t="str" cm="1">
        <f t="array" ref="F3128">_xlfn.XLOOKUP(D3128&amp;C3128, Sheet3!$C$2:$C$1224&amp;Sheet3!$B$2:$B$1224, Sheet3!$D$2:$D$1224, "")</f>
        <v/>
      </c>
      <c r="G3128" s="1" t="str" cm="1">
        <f t="array" ref="G3128">_xlfn.XLOOKUP(D3128&amp;C3128, Sheet2!$A$2:$A$558&amp;Sheet2!$B$2:$B$558, Sheet2!$C$2:$C$558, "")</f>
        <v/>
      </c>
      <c r="H3128" s="40" t="str">
        <f t="shared" si="48"/>
        <v/>
      </c>
    </row>
    <row r="3129" spans="1:8" ht="15.5" x14ac:dyDescent="0.35">
      <c r="A3129" s="7">
        <v>3148</v>
      </c>
      <c r="B3129" s="10">
        <v>52370</v>
      </c>
      <c r="C3129" s="13" t="s">
        <v>2767</v>
      </c>
      <c r="D3129" s="10" t="s">
        <v>2857</v>
      </c>
      <c r="E3129" s="10">
        <v>2025</v>
      </c>
      <c r="F3129" s="36" t="str" cm="1">
        <f t="array" ref="F3129">_xlfn.XLOOKUP(D3129&amp;C3129, Sheet3!$C$2:$C$1224&amp;Sheet3!$B$2:$B$1224, Sheet3!$D$2:$D$1224, "")</f>
        <v>arindra.wening.safira@mail.ugm.ac.id</v>
      </c>
      <c r="G3129" s="1" t="str" cm="1">
        <f t="array" ref="G3129">_xlfn.XLOOKUP(D3129&amp;C3129, Sheet2!$A$2:$A$558&amp;Sheet2!$B$2:$B$558, Sheet2!$C$2:$C$558, "")</f>
        <v/>
      </c>
      <c r="H3129" s="40" t="str">
        <f t="shared" si="48"/>
        <v>arindra.wening.safira@mail.ugm.ac.id</v>
      </c>
    </row>
    <row r="3130" spans="1:8" ht="15.5" x14ac:dyDescent="0.35">
      <c r="A3130" s="7">
        <v>3149</v>
      </c>
      <c r="B3130" s="10">
        <v>52374</v>
      </c>
      <c r="C3130" s="13" t="s">
        <v>2768</v>
      </c>
      <c r="D3130" s="10" t="s">
        <v>2857</v>
      </c>
      <c r="E3130" s="10">
        <v>2025</v>
      </c>
      <c r="F3130" s="36" t="str" cm="1">
        <f t="array" ref="F3130">_xlfn.XLOOKUP(D3130&amp;C3130, Sheet3!$C$2:$C$1224&amp;Sheet3!$B$2:$B$1224, Sheet3!$D$2:$D$1224, "")</f>
        <v/>
      </c>
      <c r="G3130" s="1" t="str" cm="1">
        <f t="array" ref="G3130">_xlfn.XLOOKUP(D3130&amp;C3130, Sheet2!$A$2:$A$558&amp;Sheet2!$B$2:$B$558, Sheet2!$C$2:$C$558, "")</f>
        <v/>
      </c>
      <c r="H3130" s="40" t="str">
        <f t="shared" si="48"/>
        <v/>
      </c>
    </row>
    <row r="3131" spans="1:8" ht="15.5" x14ac:dyDescent="0.35">
      <c r="A3131" s="7">
        <v>3150</v>
      </c>
      <c r="B3131" s="10">
        <v>52385</v>
      </c>
      <c r="C3131" s="13" t="s">
        <v>2769</v>
      </c>
      <c r="D3131" s="10" t="s">
        <v>2857</v>
      </c>
      <c r="E3131" s="10">
        <v>2025</v>
      </c>
      <c r="F3131" s="36" t="str" cm="1">
        <f t="array" ref="F3131">_xlfn.XLOOKUP(D3131&amp;C3131, Sheet3!$C$2:$C$1224&amp;Sheet3!$B$2:$B$1224, Sheet3!$D$2:$D$1224, "")</f>
        <v/>
      </c>
      <c r="G3131" s="1" t="str" cm="1">
        <f t="array" ref="G3131">_xlfn.XLOOKUP(D3131&amp;C3131, Sheet2!$A$2:$A$558&amp;Sheet2!$B$2:$B$558, Sheet2!$C$2:$C$558, "")</f>
        <v/>
      </c>
      <c r="H3131" s="40" t="str">
        <f t="shared" si="48"/>
        <v/>
      </c>
    </row>
    <row r="3132" spans="1:8" ht="15.5" x14ac:dyDescent="0.35">
      <c r="A3132" s="7">
        <v>3151</v>
      </c>
      <c r="B3132" s="10">
        <v>52405</v>
      </c>
      <c r="C3132" s="13" t="s">
        <v>2770</v>
      </c>
      <c r="D3132" s="10" t="s">
        <v>2857</v>
      </c>
      <c r="E3132" s="10">
        <v>2025</v>
      </c>
      <c r="F3132" s="36" t="str" cm="1">
        <f t="array" ref="F3132">_xlfn.XLOOKUP(D3132&amp;C3132, Sheet3!$C$2:$C$1224&amp;Sheet3!$B$2:$B$1224, Sheet3!$D$2:$D$1224, "")</f>
        <v/>
      </c>
      <c r="G3132" s="1" t="str" cm="1">
        <f t="array" ref="G3132">_xlfn.XLOOKUP(D3132&amp;C3132, Sheet2!$A$2:$A$558&amp;Sheet2!$B$2:$B$558, Sheet2!$C$2:$C$558, "")</f>
        <v/>
      </c>
      <c r="H3132" s="40" t="str">
        <f t="shared" si="48"/>
        <v/>
      </c>
    </row>
    <row r="3133" spans="1:8" ht="15.5" x14ac:dyDescent="0.35">
      <c r="A3133" s="7">
        <v>3152</v>
      </c>
      <c r="B3133" s="10">
        <v>52409</v>
      </c>
      <c r="C3133" s="13" t="s">
        <v>2771</v>
      </c>
      <c r="D3133" s="10" t="s">
        <v>2857</v>
      </c>
      <c r="E3133" s="10">
        <v>2025</v>
      </c>
      <c r="F3133" s="36" t="str" cm="1">
        <f t="array" ref="F3133">_xlfn.XLOOKUP(D3133&amp;C3133, Sheet3!$C$2:$C$1224&amp;Sheet3!$B$2:$B$1224, Sheet3!$D$2:$D$1224, "")</f>
        <v/>
      </c>
      <c r="G3133" s="1" t="str" cm="1">
        <f t="array" ref="G3133">_xlfn.XLOOKUP(D3133&amp;C3133, Sheet2!$A$2:$A$558&amp;Sheet2!$B$2:$B$558, Sheet2!$C$2:$C$558, "")</f>
        <v/>
      </c>
      <c r="H3133" s="40" t="str">
        <f t="shared" si="48"/>
        <v/>
      </c>
    </row>
    <row r="3134" spans="1:8" ht="15.5" x14ac:dyDescent="0.35">
      <c r="A3134" s="7">
        <v>3153</v>
      </c>
      <c r="B3134" s="10">
        <v>52415</v>
      </c>
      <c r="C3134" s="13" t="s">
        <v>2772</v>
      </c>
      <c r="D3134" s="10" t="s">
        <v>2857</v>
      </c>
      <c r="E3134" s="10">
        <v>2025</v>
      </c>
      <c r="F3134" s="36" t="str" cm="1">
        <f t="array" ref="F3134">_xlfn.XLOOKUP(D3134&amp;C3134, Sheet3!$C$2:$C$1224&amp;Sheet3!$B$2:$B$1224, Sheet3!$D$2:$D$1224, "")</f>
        <v/>
      </c>
      <c r="G3134" s="1" t="str" cm="1">
        <f t="array" ref="G3134">_xlfn.XLOOKUP(D3134&amp;C3134, Sheet2!$A$2:$A$558&amp;Sheet2!$B$2:$B$558, Sheet2!$C$2:$C$558, "")</f>
        <v/>
      </c>
      <c r="H3134" s="40" t="str">
        <f t="shared" si="48"/>
        <v/>
      </c>
    </row>
    <row r="3135" spans="1:8" ht="15.5" x14ac:dyDescent="0.35">
      <c r="A3135" s="7">
        <v>3154</v>
      </c>
      <c r="B3135" s="10">
        <v>52467</v>
      </c>
      <c r="C3135" s="13" t="s">
        <v>2773</v>
      </c>
      <c r="D3135" s="10" t="s">
        <v>2857</v>
      </c>
      <c r="E3135" s="10">
        <v>2025</v>
      </c>
      <c r="F3135" s="36" t="str" cm="1">
        <f t="array" ref="F3135">_xlfn.XLOOKUP(D3135&amp;C3135, Sheet3!$C$2:$C$1224&amp;Sheet3!$B$2:$B$1224, Sheet3!$D$2:$D$1224, "")</f>
        <v/>
      </c>
      <c r="G3135" s="1" t="str" cm="1">
        <f t="array" ref="G3135">_xlfn.XLOOKUP(D3135&amp;C3135, Sheet2!$A$2:$A$558&amp;Sheet2!$B$2:$B$558, Sheet2!$C$2:$C$558, "")</f>
        <v/>
      </c>
      <c r="H3135" s="40" t="str">
        <f t="shared" si="48"/>
        <v/>
      </c>
    </row>
    <row r="3136" spans="1:8" ht="15.5" x14ac:dyDescent="0.35">
      <c r="A3136" s="7">
        <v>3155</v>
      </c>
      <c r="B3136" s="10">
        <v>52482</v>
      </c>
      <c r="C3136" s="13" t="s">
        <v>2774</v>
      </c>
      <c r="D3136" s="10" t="s">
        <v>2857</v>
      </c>
      <c r="E3136" s="10">
        <v>2025</v>
      </c>
      <c r="F3136" s="36" t="str" cm="1">
        <f t="array" ref="F3136">_xlfn.XLOOKUP(D3136&amp;C3136, Sheet3!$C$2:$C$1224&amp;Sheet3!$B$2:$B$1224, Sheet3!$D$2:$D$1224, "")</f>
        <v/>
      </c>
      <c r="G3136" s="1" t="str" cm="1">
        <f t="array" ref="G3136">_xlfn.XLOOKUP(D3136&amp;C3136, Sheet2!$A$2:$A$558&amp;Sheet2!$B$2:$B$558, Sheet2!$C$2:$C$558, "")</f>
        <v/>
      </c>
      <c r="H3136" s="40" t="str">
        <f t="shared" si="48"/>
        <v/>
      </c>
    </row>
    <row r="3137" spans="1:8" ht="15.5" x14ac:dyDescent="0.35">
      <c r="A3137" s="7">
        <v>3156</v>
      </c>
      <c r="B3137" s="10">
        <v>52484</v>
      </c>
      <c r="C3137" s="13" t="s">
        <v>2775</v>
      </c>
      <c r="D3137" s="10" t="s">
        <v>2857</v>
      </c>
      <c r="E3137" s="10">
        <v>2025</v>
      </c>
      <c r="F3137" s="36" t="str" cm="1">
        <f t="array" ref="F3137">_xlfn.XLOOKUP(D3137&amp;C3137, Sheet3!$C$2:$C$1224&amp;Sheet3!$B$2:$B$1224, Sheet3!$D$2:$D$1224, "")</f>
        <v/>
      </c>
      <c r="G3137" s="1" t="str" cm="1">
        <f t="array" ref="G3137">_xlfn.XLOOKUP(D3137&amp;C3137, Sheet2!$A$2:$A$558&amp;Sheet2!$B$2:$B$558, Sheet2!$C$2:$C$558, "")</f>
        <v/>
      </c>
      <c r="H3137" s="40" t="str">
        <f t="shared" si="48"/>
        <v/>
      </c>
    </row>
    <row r="3138" spans="1:8" ht="15.5" x14ac:dyDescent="0.35">
      <c r="A3138" s="7">
        <v>3157</v>
      </c>
      <c r="B3138" s="10">
        <v>52500</v>
      </c>
      <c r="C3138" s="13" t="s">
        <v>2776</v>
      </c>
      <c r="D3138" s="10" t="s">
        <v>2857</v>
      </c>
      <c r="E3138" s="10">
        <v>2025</v>
      </c>
      <c r="F3138" s="36" t="str" cm="1">
        <f t="array" ref="F3138">_xlfn.XLOOKUP(D3138&amp;C3138, Sheet3!$C$2:$C$1224&amp;Sheet3!$B$2:$B$1224, Sheet3!$D$2:$D$1224, "")</f>
        <v/>
      </c>
      <c r="G3138" s="1" t="str" cm="1">
        <f t="array" ref="G3138">_xlfn.XLOOKUP(D3138&amp;C3138, Sheet2!$A$2:$A$558&amp;Sheet2!$B$2:$B$558, Sheet2!$C$2:$C$558, "")</f>
        <v/>
      </c>
      <c r="H3138" s="40" t="str">
        <f t="shared" si="48"/>
        <v/>
      </c>
    </row>
    <row r="3139" spans="1:8" ht="15.5" x14ac:dyDescent="0.35">
      <c r="A3139" s="7">
        <v>3158</v>
      </c>
      <c r="B3139" s="10">
        <v>52596</v>
      </c>
      <c r="C3139" s="13" t="s">
        <v>2777</v>
      </c>
      <c r="D3139" s="10" t="s">
        <v>2857</v>
      </c>
      <c r="E3139" s="10">
        <v>2025</v>
      </c>
      <c r="F3139" s="36" t="str" cm="1">
        <f t="array" ref="F3139">_xlfn.XLOOKUP(D3139&amp;C3139, Sheet3!$C$2:$C$1224&amp;Sheet3!$B$2:$B$1224, Sheet3!$D$2:$D$1224, "")</f>
        <v/>
      </c>
      <c r="G3139" s="1" t="str" cm="1">
        <f t="array" ref="G3139">_xlfn.XLOOKUP(D3139&amp;C3139, Sheet2!$A$2:$A$558&amp;Sheet2!$B$2:$B$558, Sheet2!$C$2:$C$558, "")</f>
        <v/>
      </c>
      <c r="H3139" s="40" t="str">
        <f t="shared" ref="H3139:H3202" si="49">IF(F3139&lt;&gt;"",F3139,G3139)</f>
        <v/>
      </c>
    </row>
    <row r="3140" spans="1:8" ht="15.5" x14ac:dyDescent="0.35">
      <c r="A3140" s="7">
        <v>3159</v>
      </c>
      <c r="B3140" s="10">
        <v>52631</v>
      </c>
      <c r="C3140" s="13" t="s">
        <v>2778</v>
      </c>
      <c r="D3140" s="10" t="s">
        <v>2857</v>
      </c>
      <c r="E3140" s="10">
        <v>2025</v>
      </c>
      <c r="F3140" s="36" t="str" cm="1">
        <f t="array" ref="F3140">_xlfn.XLOOKUP(D3140&amp;C3140, Sheet3!$C$2:$C$1224&amp;Sheet3!$B$2:$B$1224, Sheet3!$D$2:$D$1224, "")</f>
        <v>krishna.dut2002@mail.ugm.ac.id</v>
      </c>
      <c r="G3140" s="1" t="str" cm="1">
        <f t="array" ref="G3140">_xlfn.XLOOKUP(D3140&amp;C3140, Sheet2!$A$2:$A$558&amp;Sheet2!$B$2:$B$558, Sheet2!$C$2:$C$558, "")</f>
        <v/>
      </c>
      <c r="H3140" s="40" t="str">
        <f t="shared" si="49"/>
        <v>krishna.dut2002@mail.ugm.ac.id</v>
      </c>
    </row>
    <row r="3141" spans="1:8" ht="15.5" x14ac:dyDescent="0.35">
      <c r="A3141" s="7">
        <v>3160</v>
      </c>
      <c r="B3141" s="10">
        <v>52634</v>
      </c>
      <c r="C3141" s="13" t="s">
        <v>2779</v>
      </c>
      <c r="D3141" s="10" t="s">
        <v>2857</v>
      </c>
      <c r="E3141" s="10">
        <v>2025</v>
      </c>
      <c r="F3141" s="36" t="str" cm="1">
        <f t="array" ref="F3141">_xlfn.XLOOKUP(D3141&amp;C3141, Sheet3!$C$2:$C$1224&amp;Sheet3!$B$2:$B$1224, Sheet3!$D$2:$D$1224, "")</f>
        <v>royfikrian01@gmail.com</v>
      </c>
      <c r="G3141" s="1" t="str" cm="1">
        <f t="array" ref="G3141">_xlfn.XLOOKUP(D3141&amp;C3141, Sheet2!$A$2:$A$558&amp;Sheet2!$B$2:$B$558, Sheet2!$C$2:$C$558, "")</f>
        <v/>
      </c>
      <c r="H3141" s="40" t="str">
        <f t="shared" si="49"/>
        <v>royfikrian01@gmail.com</v>
      </c>
    </row>
    <row r="3142" spans="1:8" ht="15.5" x14ac:dyDescent="0.35">
      <c r="A3142" s="7">
        <v>3161</v>
      </c>
      <c r="B3142" s="10">
        <v>52715</v>
      </c>
      <c r="C3142" s="13" t="s">
        <v>2780</v>
      </c>
      <c r="D3142" s="10" t="s">
        <v>2857</v>
      </c>
      <c r="E3142" s="10">
        <v>2025</v>
      </c>
      <c r="F3142" s="36" t="str" cm="1">
        <f t="array" ref="F3142">_xlfn.XLOOKUP(D3142&amp;C3142, Sheet3!$C$2:$C$1224&amp;Sheet3!$B$2:$B$1224, Sheet3!$D$2:$D$1224, "")</f>
        <v/>
      </c>
      <c r="G3142" s="1" t="str" cm="1">
        <f t="array" ref="G3142">_xlfn.XLOOKUP(D3142&amp;C3142, Sheet2!$A$2:$A$558&amp;Sheet2!$B$2:$B$558, Sheet2!$C$2:$C$558, "")</f>
        <v/>
      </c>
      <c r="H3142" s="40" t="str">
        <f t="shared" si="49"/>
        <v/>
      </c>
    </row>
    <row r="3143" spans="1:8" ht="15.5" x14ac:dyDescent="0.35">
      <c r="A3143" s="7">
        <v>3162</v>
      </c>
      <c r="B3143" s="10">
        <v>52723</v>
      </c>
      <c r="C3143" s="13" t="s">
        <v>2781</v>
      </c>
      <c r="D3143" s="10" t="s">
        <v>2857</v>
      </c>
      <c r="E3143" s="10">
        <v>2025</v>
      </c>
      <c r="F3143" s="36" t="str" cm="1">
        <f t="array" ref="F3143">_xlfn.XLOOKUP(D3143&amp;C3143, Sheet3!$C$2:$C$1224&amp;Sheet3!$B$2:$B$1224, Sheet3!$D$2:$D$1224, "")</f>
        <v/>
      </c>
      <c r="G3143" s="1" t="str" cm="1">
        <f t="array" ref="G3143">_xlfn.XLOOKUP(D3143&amp;C3143, Sheet2!$A$2:$A$558&amp;Sheet2!$B$2:$B$558, Sheet2!$C$2:$C$558, "")</f>
        <v/>
      </c>
      <c r="H3143" s="40" t="str">
        <f t="shared" si="49"/>
        <v/>
      </c>
    </row>
    <row r="3144" spans="1:8" ht="15.5" x14ac:dyDescent="0.35">
      <c r="A3144" s="7">
        <v>3163</v>
      </c>
      <c r="B3144" s="10">
        <v>52787</v>
      </c>
      <c r="C3144" s="13" t="s">
        <v>2782</v>
      </c>
      <c r="D3144" s="10" t="s">
        <v>2857</v>
      </c>
      <c r="E3144" s="10">
        <v>2025</v>
      </c>
      <c r="F3144" s="36" t="str" cm="1">
        <f t="array" ref="F3144">_xlfn.XLOOKUP(D3144&amp;C3144, Sheet3!$C$2:$C$1224&amp;Sheet3!$B$2:$B$1224, Sheet3!$D$2:$D$1224, "")</f>
        <v/>
      </c>
      <c r="G3144" s="1" t="str" cm="1">
        <f t="array" ref="G3144">_xlfn.XLOOKUP(D3144&amp;C3144, Sheet2!$A$2:$A$558&amp;Sheet2!$B$2:$B$558, Sheet2!$C$2:$C$558, "")</f>
        <v/>
      </c>
      <c r="H3144" s="40" t="str">
        <f t="shared" si="49"/>
        <v/>
      </c>
    </row>
    <row r="3145" spans="1:8" ht="15.5" x14ac:dyDescent="0.35">
      <c r="A3145" s="7">
        <v>3164</v>
      </c>
      <c r="B3145" s="10">
        <v>52830</v>
      </c>
      <c r="C3145" s="13" t="s">
        <v>2783</v>
      </c>
      <c r="D3145" s="10" t="s">
        <v>2857</v>
      </c>
      <c r="E3145" s="10">
        <v>2025</v>
      </c>
      <c r="F3145" s="36" t="str" cm="1">
        <f t="array" ref="F3145">_xlfn.XLOOKUP(D3145&amp;C3145, Sheet3!$C$2:$C$1224&amp;Sheet3!$B$2:$B$1224, Sheet3!$D$2:$D$1224, "")</f>
        <v>mrf181003@gmail.com</v>
      </c>
      <c r="G3145" s="1" t="str" cm="1">
        <f t="array" ref="G3145">_xlfn.XLOOKUP(D3145&amp;C3145, Sheet2!$A$2:$A$558&amp;Sheet2!$B$2:$B$558, Sheet2!$C$2:$C$558, "")</f>
        <v/>
      </c>
      <c r="H3145" s="40" t="str">
        <f t="shared" si="49"/>
        <v>mrf181003@gmail.com</v>
      </c>
    </row>
    <row r="3146" spans="1:8" ht="15.5" x14ac:dyDescent="0.35">
      <c r="A3146" s="7">
        <v>3165</v>
      </c>
      <c r="B3146" s="10">
        <v>52847</v>
      </c>
      <c r="C3146" s="13" t="s">
        <v>2784</v>
      </c>
      <c r="D3146" s="10" t="s">
        <v>2857</v>
      </c>
      <c r="E3146" s="10">
        <v>2025</v>
      </c>
      <c r="F3146" s="36" t="str" cm="1">
        <f t="array" ref="F3146">_xlfn.XLOOKUP(D3146&amp;C3146, Sheet3!$C$2:$C$1224&amp;Sheet3!$B$2:$B$1224, Sheet3!$D$2:$D$1224, "")</f>
        <v>galendrajohanna@gmail.com</v>
      </c>
      <c r="G3146" s="1" t="str" cm="1">
        <f t="array" ref="G3146">_xlfn.XLOOKUP(D3146&amp;C3146, Sheet2!$A$2:$A$558&amp;Sheet2!$B$2:$B$558, Sheet2!$C$2:$C$558, "")</f>
        <v/>
      </c>
      <c r="H3146" s="40" t="str">
        <f t="shared" si="49"/>
        <v>galendrajohanna@gmail.com</v>
      </c>
    </row>
    <row r="3147" spans="1:8" ht="15.5" x14ac:dyDescent="0.35">
      <c r="A3147" s="7">
        <v>3166</v>
      </c>
      <c r="B3147" s="10">
        <v>52848</v>
      </c>
      <c r="C3147" s="13" t="s">
        <v>2785</v>
      </c>
      <c r="D3147" s="10" t="s">
        <v>2857</v>
      </c>
      <c r="E3147" s="10">
        <v>2025</v>
      </c>
      <c r="F3147" s="36" t="str" cm="1">
        <f t="array" ref="F3147">_xlfn.XLOOKUP(D3147&amp;C3147, Sheet3!$C$2:$C$1224&amp;Sheet3!$B$2:$B$1224, Sheet3!$D$2:$D$1224, "")</f>
        <v/>
      </c>
      <c r="G3147" s="1" t="str" cm="1">
        <f t="array" ref="G3147">_xlfn.XLOOKUP(D3147&amp;C3147, Sheet2!$A$2:$A$558&amp;Sheet2!$B$2:$B$558, Sheet2!$C$2:$C$558, "")</f>
        <v/>
      </c>
      <c r="H3147" s="40" t="str">
        <f t="shared" si="49"/>
        <v/>
      </c>
    </row>
    <row r="3148" spans="1:8" ht="15.5" x14ac:dyDescent="0.35">
      <c r="A3148" s="7">
        <v>3167</v>
      </c>
      <c r="B3148" s="10">
        <v>52851</v>
      </c>
      <c r="C3148" s="13" t="s">
        <v>2786</v>
      </c>
      <c r="D3148" s="10" t="s">
        <v>2857</v>
      </c>
      <c r="E3148" s="10">
        <v>2025</v>
      </c>
      <c r="F3148" s="36" t="str" cm="1">
        <f t="array" ref="F3148">_xlfn.XLOOKUP(D3148&amp;C3148, Sheet3!$C$2:$C$1224&amp;Sheet3!$B$2:$B$1224, Sheet3!$D$2:$D$1224, "")</f>
        <v/>
      </c>
      <c r="G3148" s="1" t="str" cm="1">
        <f t="array" ref="G3148">_xlfn.XLOOKUP(D3148&amp;C3148, Sheet2!$A$2:$A$558&amp;Sheet2!$B$2:$B$558, Sheet2!$C$2:$C$558, "")</f>
        <v/>
      </c>
      <c r="H3148" s="40" t="str">
        <f t="shared" si="49"/>
        <v/>
      </c>
    </row>
    <row r="3149" spans="1:8" ht="15.5" x14ac:dyDescent="0.35">
      <c r="A3149" s="7">
        <v>3168</v>
      </c>
      <c r="B3149" s="10">
        <v>52857</v>
      </c>
      <c r="C3149" s="13" t="s">
        <v>2787</v>
      </c>
      <c r="D3149" s="10" t="s">
        <v>2857</v>
      </c>
      <c r="E3149" s="10">
        <v>2025</v>
      </c>
      <c r="F3149" s="36" t="str" cm="1">
        <f t="array" ref="F3149">_xlfn.XLOOKUP(D3149&amp;C3149, Sheet3!$C$2:$C$1224&amp;Sheet3!$B$2:$B$1224, Sheet3!$D$2:$D$1224, "")</f>
        <v/>
      </c>
      <c r="G3149" s="1" t="str" cm="1">
        <f t="array" ref="G3149">_xlfn.XLOOKUP(D3149&amp;C3149, Sheet2!$A$2:$A$558&amp;Sheet2!$B$2:$B$558, Sheet2!$C$2:$C$558, "")</f>
        <v/>
      </c>
      <c r="H3149" s="40" t="str">
        <f t="shared" si="49"/>
        <v/>
      </c>
    </row>
    <row r="3150" spans="1:8" ht="15.5" x14ac:dyDescent="0.35">
      <c r="A3150" s="7">
        <v>3169</v>
      </c>
      <c r="B3150" s="10">
        <v>52859</v>
      </c>
      <c r="C3150" s="13" t="s">
        <v>2788</v>
      </c>
      <c r="D3150" s="10" t="s">
        <v>2857</v>
      </c>
      <c r="E3150" s="10">
        <v>2025</v>
      </c>
      <c r="F3150" s="36" t="str" cm="1">
        <f t="array" ref="F3150">_xlfn.XLOOKUP(D3150&amp;C3150, Sheet3!$C$2:$C$1224&amp;Sheet3!$B$2:$B$1224, Sheet3!$D$2:$D$1224, "")</f>
        <v>naila.nabila.zulfah@mail.ugm.ac.id</v>
      </c>
      <c r="G3150" s="1" t="str" cm="1">
        <f t="array" ref="G3150">_xlfn.XLOOKUP(D3150&amp;C3150, Sheet2!$A$2:$A$558&amp;Sheet2!$B$2:$B$558, Sheet2!$C$2:$C$558, "")</f>
        <v/>
      </c>
      <c r="H3150" s="40" t="str">
        <f t="shared" si="49"/>
        <v>naila.nabila.zulfah@mail.ugm.ac.id</v>
      </c>
    </row>
    <row r="3151" spans="1:8" ht="15.5" x14ac:dyDescent="0.35">
      <c r="A3151" s="7">
        <v>3170</v>
      </c>
      <c r="B3151" s="10">
        <v>52862</v>
      </c>
      <c r="C3151" s="13" t="s">
        <v>2789</v>
      </c>
      <c r="D3151" s="10" t="s">
        <v>2857</v>
      </c>
      <c r="E3151" s="10">
        <v>2025</v>
      </c>
      <c r="F3151" s="36" t="str" cm="1">
        <f t="array" ref="F3151">_xlfn.XLOOKUP(D3151&amp;C3151, Sheet3!$C$2:$C$1224&amp;Sheet3!$B$2:$B$1224, Sheet3!$D$2:$D$1224, "")</f>
        <v/>
      </c>
      <c r="G3151" s="1" t="str" cm="1">
        <f t="array" ref="G3151">_xlfn.XLOOKUP(D3151&amp;C3151, Sheet2!$A$2:$A$558&amp;Sheet2!$B$2:$B$558, Sheet2!$C$2:$C$558, "")</f>
        <v/>
      </c>
      <c r="H3151" s="40" t="str">
        <f t="shared" si="49"/>
        <v/>
      </c>
    </row>
    <row r="3152" spans="1:8" ht="15.5" x14ac:dyDescent="0.35">
      <c r="A3152" s="7">
        <v>3171</v>
      </c>
      <c r="B3152" s="10">
        <v>52896</v>
      </c>
      <c r="C3152" s="13" t="s">
        <v>2790</v>
      </c>
      <c r="D3152" s="10" t="s">
        <v>2857</v>
      </c>
      <c r="E3152" s="10">
        <v>2025</v>
      </c>
      <c r="F3152" s="36" t="str" cm="1">
        <f t="array" ref="F3152">_xlfn.XLOOKUP(D3152&amp;C3152, Sheet3!$C$2:$C$1224&amp;Sheet3!$B$2:$B$1224, Sheet3!$D$2:$D$1224, "")</f>
        <v/>
      </c>
      <c r="G3152" s="1" t="str" cm="1">
        <f t="array" ref="G3152">_xlfn.XLOOKUP(D3152&amp;C3152, Sheet2!$A$2:$A$558&amp;Sheet2!$B$2:$B$558, Sheet2!$C$2:$C$558, "")</f>
        <v/>
      </c>
      <c r="H3152" s="40" t="str">
        <f t="shared" si="49"/>
        <v/>
      </c>
    </row>
    <row r="3153" spans="1:8" ht="15.5" x14ac:dyDescent="0.35">
      <c r="A3153" s="7">
        <v>3172</v>
      </c>
      <c r="B3153" s="10">
        <v>52972</v>
      </c>
      <c r="C3153" s="13" t="s">
        <v>2791</v>
      </c>
      <c r="D3153" s="10" t="s">
        <v>2857</v>
      </c>
      <c r="E3153" s="10">
        <v>2025</v>
      </c>
      <c r="F3153" s="36" t="str" cm="1">
        <f t="array" ref="F3153">_xlfn.XLOOKUP(D3153&amp;C3153, Sheet3!$C$2:$C$1224&amp;Sheet3!$B$2:$B$1224, Sheet3!$D$2:$D$1224, "")</f>
        <v/>
      </c>
      <c r="G3153" s="1" t="str" cm="1">
        <f t="array" ref="G3153">_xlfn.XLOOKUP(D3153&amp;C3153, Sheet2!$A$2:$A$558&amp;Sheet2!$B$2:$B$558, Sheet2!$C$2:$C$558, "")</f>
        <v/>
      </c>
      <c r="H3153" s="40" t="str">
        <f t="shared" si="49"/>
        <v/>
      </c>
    </row>
    <row r="3154" spans="1:8" ht="15.5" x14ac:dyDescent="0.35">
      <c r="A3154" s="7">
        <v>3173</v>
      </c>
      <c r="B3154" s="10">
        <v>52994</v>
      </c>
      <c r="C3154" s="13" t="s">
        <v>2792</v>
      </c>
      <c r="D3154" s="10" t="s">
        <v>2857</v>
      </c>
      <c r="E3154" s="10">
        <v>2025</v>
      </c>
      <c r="F3154" s="36" t="str" cm="1">
        <f t="array" ref="F3154">_xlfn.XLOOKUP(D3154&amp;C3154, Sheet3!$C$2:$C$1224&amp;Sheet3!$B$2:$B$1224, Sheet3!$D$2:$D$1224, "")</f>
        <v/>
      </c>
      <c r="G3154" s="1" t="str" cm="1">
        <f t="array" ref="G3154">_xlfn.XLOOKUP(D3154&amp;C3154, Sheet2!$A$2:$A$558&amp;Sheet2!$B$2:$B$558, Sheet2!$C$2:$C$558, "")</f>
        <v/>
      </c>
      <c r="H3154" s="40" t="str">
        <f t="shared" si="49"/>
        <v/>
      </c>
    </row>
    <row r="3155" spans="1:8" ht="15.5" x14ac:dyDescent="0.35">
      <c r="A3155" s="7">
        <v>3174</v>
      </c>
      <c r="B3155" s="10">
        <v>53140</v>
      </c>
      <c r="C3155" s="13" t="s">
        <v>2793</v>
      </c>
      <c r="D3155" s="10" t="s">
        <v>2857</v>
      </c>
      <c r="E3155" s="10">
        <v>2025</v>
      </c>
      <c r="F3155" s="36" t="str" cm="1">
        <f t="array" ref="F3155">_xlfn.XLOOKUP(D3155&amp;C3155, Sheet3!$C$2:$C$1224&amp;Sheet3!$B$2:$B$1224, Sheet3!$D$2:$D$1224, "")</f>
        <v/>
      </c>
      <c r="G3155" s="1" t="str" cm="1">
        <f t="array" ref="G3155">_xlfn.XLOOKUP(D3155&amp;C3155, Sheet2!$A$2:$A$558&amp;Sheet2!$B$2:$B$558, Sheet2!$C$2:$C$558, "")</f>
        <v/>
      </c>
      <c r="H3155" s="40" t="str">
        <f t="shared" si="49"/>
        <v/>
      </c>
    </row>
    <row r="3156" spans="1:8" ht="15.5" x14ac:dyDescent="0.35">
      <c r="A3156" s="7">
        <v>3175</v>
      </c>
      <c r="B3156" s="10">
        <v>53299</v>
      </c>
      <c r="C3156" s="13" t="s">
        <v>2794</v>
      </c>
      <c r="D3156" s="10" t="s">
        <v>2857</v>
      </c>
      <c r="E3156" s="10">
        <v>2025</v>
      </c>
      <c r="F3156" s="36" t="str" cm="1">
        <f t="array" ref="F3156">_xlfn.XLOOKUP(D3156&amp;C3156, Sheet3!$C$2:$C$1224&amp;Sheet3!$B$2:$B$1224, Sheet3!$D$2:$D$1224, "")</f>
        <v/>
      </c>
      <c r="G3156" s="1" t="str" cm="1">
        <f t="array" ref="G3156">_xlfn.XLOOKUP(D3156&amp;C3156, Sheet2!$A$2:$A$558&amp;Sheet2!$B$2:$B$558, Sheet2!$C$2:$C$558, "")</f>
        <v/>
      </c>
      <c r="H3156" s="40" t="str">
        <f t="shared" si="49"/>
        <v/>
      </c>
    </row>
    <row r="3157" spans="1:8" ht="15.5" x14ac:dyDescent="0.35">
      <c r="A3157" s="7">
        <v>3176</v>
      </c>
      <c r="B3157" s="10">
        <v>53322</v>
      </c>
      <c r="C3157" s="13" t="s">
        <v>2795</v>
      </c>
      <c r="D3157" s="10" t="s">
        <v>2857</v>
      </c>
      <c r="E3157" s="10">
        <v>2025</v>
      </c>
      <c r="F3157" s="36" t="str" cm="1">
        <f t="array" ref="F3157">_xlfn.XLOOKUP(D3157&amp;C3157, Sheet3!$C$2:$C$1224&amp;Sheet3!$B$2:$B$1224, Sheet3!$D$2:$D$1224, "")</f>
        <v/>
      </c>
      <c r="G3157" s="1" t="str" cm="1">
        <f t="array" ref="G3157">_xlfn.XLOOKUP(D3157&amp;C3157, Sheet2!$A$2:$A$558&amp;Sheet2!$B$2:$B$558, Sheet2!$C$2:$C$558, "")</f>
        <v/>
      </c>
      <c r="H3157" s="40" t="str">
        <f t="shared" si="49"/>
        <v/>
      </c>
    </row>
    <row r="3158" spans="1:8" ht="15.5" x14ac:dyDescent="0.35">
      <c r="A3158" s="7">
        <v>3177</v>
      </c>
      <c r="B3158" s="10">
        <v>53355</v>
      </c>
      <c r="C3158" s="13" t="s">
        <v>2796</v>
      </c>
      <c r="D3158" s="10" t="s">
        <v>2857</v>
      </c>
      <c r="E3158" s="10">
        <v>2025</v>
      </c>
      <c r="F3158" s="36" t="str" cm="1">
        <f t="array" ref="F3158">_xlfn.XLOOKUP(D3158&amp;C3158, Sheet3!$C$2:$C$1224&amp;Sheet3!$B$2:$B$1224, Sheet3!$D$2:$D$1224, "")</f>
        <v>naflah.khansa.imtinan@mail.ugm.ac.id</v>
      </c>
      <c r="G3158" s="1" t="str" cm="1">
        <f t="array" ref="G3158">_xlfn.XLOOKUP(D3158&amp;C3158, Sheet2!$A$2:$A$558&amp;Sheet2!$B$2:$B$558, Sheet2!$C$2:$C$558, "")</f>
        <v/>
      </c>
      <c r="H3158" s="40" t="str">
        <f t="shared" si="49"/>
        <v>naflah.khansa.imtinan@mail.ugm.ac.id</v>
      </c>
    </row>
    <row r="3159" spans="1:8" ht="15.5" x14ac:dyDescent="0.35">
      <c r="A3159" s="7">
        <v>3178</v>
      </c>
      <c r="B3159" s="10">
        <v>53369</v>
      </c>
      <c r="C3159" s="13" t="s">
        <v>2797</v>
      </c>
      <c r="D3159" s="10" t="s">
        <v>2857</v>
      </c>
      <c r="E3159" s="10">
        <v>2025</v>
      </c>
      <c r="F3159" s="36" t="str" cm="1">
        <f t="array" ref="F3159">_xlfn.XLOOKUP(D3159&amp;C3159, Sheet3!$C$2:$C$1224&amp;Sheet3!$B$2:$B$1224, Sheet3!$D$2:$D$1224, "")</f>
        <v/>
      </c>
      <c r="G3159" s="1" t="str" cm="1">
        <f t="array" ref="G3159">_xlfn.XLOOKUP(D3159&amp;C3159, Sheet2!$A$2:$A$558&amp;Sheet2!$B$2:$B$558, Sheet2!$C$2:$C$558, "")</f>
        <v/>
      </c>
      <c r="H3159" s="40" t="str">
        <f t="shared" si="49"/>
        <v/>
      </c>
    </row>
    <row r="3160" spans="1:8" ht="15.5" x14ac:dyDescent="0.35">
      <c r="A3160" s="7">
        <v>3179</v>
      </c>
      <c r="B3160" s="10">
        <v>53384</v>
      </c>
      <c r="C3160" s="13" t="s">
        <v>2798</v>
      </c>
      <c r="D3160" s="10" t="s">
        <v>2857</v>
      </c>
      <c r="E3160" s="10">
        <v>2025</v>
      </c>
      <c r="F3160" s="36" t="str" cm="1">
        <f t="array" ref="F3160">_xlfn.XLOOKUP(D3160&amp;C3160, Sheet3!$C$2:$C$1224&amp;Sheet3!$B$2:$B$1224, Sheet3!$D$2:$D$1224, "")</f>
        <v>irfanamal03@gmail.com</v>
      </c>
      <c r="G3160" s="1" t="str" cm="1">
        <f t="array" ref="G3160">_xlfn.XLOOKUP(D3160&amp;C3160, Sheet2!$A$2:$A$558&amp;Sheet2!$B$2:$B$558, Sheet2!$C$2:$C$558, "")</f>
        <v/>
      </c>
      <c r="H3160" s="40" t="str">
        <f t="shared" si="49"/>
        <v>irfanamal03@gmail.com</v>
      </c>
    </row>
    <row r="3161" spans="1:8" ht="15.5" x14ac:dyDescent="0.35">
      <c r="A3161" s="7">
        <v>3180</v>
      </c>
      <c r="B3161" s="10">
        <v>53388</v>
      </c>
      <c r="C3161" s="13" t="s">
        <v>2799</v>
      </c>
      <c r="D3161" s="10" t="s">
        <v>2857</v>
      </c>
      <c r="E3161" s="10">
        <v>2025</v>
      </c>
      <c r="F3161" s="36" t="str" cm="1">
        <f t="array" ref="F3161">_xlfn.XLOOKUP(D3161&amp;C3161, Sheet3!$C$2:$C$1224&amp;Sheet3!$B$2:$B$1224, Sheet3!$D$2:$D$1224, "")</f>
        <v/>
      </c>
      <c r="G3161" s="1" t="str" cm="1">
        <f t="array" ref="G3161">_xlfn.XLOOKUP(D3161&amp;C3161, Sheet2!$A$2:$A$558&amp;Sheet2!$B$2:$B$558, Sheet2!$C$2:$C$558, "")</f>
        <v>azis.mulya.affandy@mail.ugm.ac.id</v>
      </c>
      <c r="H3161" s="40" t="str">
        <f t="shared" si="49"/>
        <v>azis.mulya.affandy@mail.ugm.ac.id</v>
      </c>
    </row>
    <row r="3162" spans="1:8" ht="15.5" x14ac:dyDescent="0.35">
      <c r="A3162" s="7">
        <v>3181</v>
      </c>
      <c r="B3162" s="10">
        <v>47195</v>
      </c>
      <c r="C3162" s="13" t="s">
        <v>2800</v>
      </c>
      <c r="D3162" s="10" t="s">
        <v>2854</v>
      </c>
      <c r="E3162" s="10">
        <v>2025</v>
      </c>
      <c r="F3162" s="36" t="str" cm="1">
        <f t="array" ref="F3162">_xlfn.XLOOKUP(D3162&amp;C3162, Sheet3!$C$2:$C$1224&amp;Sheet3!$B$2:$B$1224, Sheet3!$D$2:$D$1224, "")</f>
        <v/>
      </c>
      <c r="G3162" s="1" t="str" cm="1">
        <f t="array" ref="G3162">_xlfn.XLOOKUP(D3162&amp;C3162, Sheet2!$A$2:$A$558&amp;Sheet2!$B$2:$B$558, Sheet2!$C$2:$C$558, "")</f>
        <v/>
      </c>
      <c r="H3162" s="40" t="str">
        <f t="shared" si="49"/>
        <v/>
      </c>
    </row>
    <row r="3163" spans="1:8" ht="15.5" x14ac:dyDescent="0.35">
      <c r="A3163" s="7">
        <v>3182</v>
      </c>
      <c r="B3163" s="10">
        <v>47217</v>
      </c>
      <c r="C3163" s="13" t="s">
        <v>2801</v>
      </c>
      <c r="D3163" s="10" t="s">
        <v>2854</v>
      </c>
      <c r="E3163" s="10">
        <v>2025</v>
      </c>
      <c r="F3163" s="36" t="str" cm="1">
        <f t="array" ref="F3163">_xlfn.XLOOKUP(D3163&amp;C3163, Sheet3!$C$2:$C$1224&amp;Sheet3!$B$2:$B$1224, Sheet3!$D$2:$D$1224, "")</f>
        <v/>
      </c>
      <c r="G3163" s="1" t="str" cm="1">
        <f t="array" ref="G3163">_xlfn.XLOOKUP(D3163&amp;C3163, Sheet2!$A$2:$A$558&amp;Sheet2!$B$2:$B$558, Sheet2!$C$2:$C$558, "")</f>
        <v/>
      </c>
      <c r="H3163" s="40" t="str">
        <f t="shared" si="49"/>
        <v/>
      </c>
    </row>
    <row r="3164" spans="1:8" ht="15.5" x14ac:dyDescent="0.35">
      <c r="A3164" s="7">
        <v>3183</v>
      </c>
      <c r="B3164" s="10">
        <v>47221</v>
      </c>
      <c r="C3164" s="13" t="s">
        <v>2802</v>
      </c>
      <c r="D3164" s="10" t="s">
        <v>2854</v>
      </c>
      <c r="E3164" s="10">
        <v>2025</v>
      </c>
      <c r="F3164" s="36" t="str" cm="1">
        <f t="array" ref="F3164">_xlfn.XLOOKUP(D3164&amp;C3164, Sheet3!$C$2:$C$1224&amp;Sheet3!$B$2:$B$1224, Sheet3!$D$2:$D$1224, "")</f>
        <v/>
      </c>
      <c r="G3164" s="1" t="str" cm="1">
        <f t="array" ref="G3164">_xlfn.XLOOKUP(D3164&amp;C3164, Sheet2!$A$2:$A$558&amp;Sheet2!$B$2:$B$558, Sheet2!$C$2:$C$558, "")</f>
        <v/>
      </c>
      <c r="H3164" s="40" t="str">
        <f t="shared" si="49"/>
        <v/>
      </c>
    </row>
    <row r="3165" spans="1:8" ht="15.5" x14ac:dyDescent="0.35">
      <c r="A3165" s="7">
        <v>3184</v>
      </c>
      <c r="B3165" s="10">
        <v>47732</v>
      </c>
      <c r="C3165" s="13" t="s">
        <v>2803</v>
      </c>
      <c r="D3165" s="10" t="s">
        <v>2854</v>
      </c>
      <c r="E3165" s="10">
        <v>2025</v>
      </c>
      <c r="F3165" s="36" t="str" cm="1">
        <f t="array" ref="F3165">_xlfn.XLOOKUP(D3165&amp;C3165, Sheet3!$C$2:$C$1224&amp;Sheet3!$B$2:$B$1224, Sheet3!$D$2:$D$1224, "")</f>
        <v/>
      </c>
      <c r="G3165" s="1" t="str" cm="1">
        <f t="array" ref="G3165">_xlfn.XLOOKUP(D3165&amp;C3165, Sheet2!$A$2:$A$558&amp;Sheet2!$B$2:$B$558, Sheet2!$C$2:$C$558, "")</f>
        <v/>
      </c>
      <c r="H3165" s="40" t="str">
        <f t="shared" si="49"/>
        <v/>
      </c>
    </row>
    <row r="3166" spans="1:8" ht="15.5" x14ac:dyDescent="0.35">
      <c r="A3166" s="7">
        <v>3185</v>
      </c>
      <c r="B3166" s="10">
        <v>50286</v>
      </c>
      <c r="C3166" s="13" t="s">
        <v>2804</v>
      </c>
      <c r="D3166" s="10" t="s">
        <v>2856</v>
      </c>
      <c r="E3166" s="10">
        <v>2025</v>
      </c>
      <c r="F3166" s="36" t="str" cm="1">
        <f t="array" ref="F3166">_xlfn.XLOOKUP(D3166&amp;C3166, Sheet3!$C$2:$C$1224&amp;Sheet3!$B$2:$B$1224, Sheet3!$D$2:$D$1224, "")</f>
        <v/>
      </c>
      <c r="G3166" s="1" t="str" cm="1">
        <f t="array" ref="G3166">_xlfn.XLOOKUP(D3166&amp;C3166, Sheet2!$A$2:$A$558&amp;Sheet2!$B$2:$B$558, Sheet2!$C$2:$C$558, "")</f>
        <v/>
      </c>
      <c r="H3166" s="40" t="str">
        <f t="shared" si="49"/>
        <v/>
      </c>
    </row>
    <row r="3167" spans="1:8" ht="15.5" x14ac:dyDescent="0.35">
      <c r="A3167" s="7">
        <v>3186</v>
      </c>
      <c r="B3167" s="10">
        <v>50292</v>
      </c>
      <c r="C3167" s="13" t="s">
        <v>2805</v>
      </c>
      <c r="D3167" s="10" t="s">
        <v>2856</v>
      </c>
      <c r="E3167" s="10">
        <v>2025</v>
      </c>
      <c r="F3167" s="36" t="str" cm="1">
        <f t="array" ref="F3167">_xlfn.XLOOKUP(D3167&amp;C3167, Sheet3!$C$2:$C$1224&amp;Sheet3!$B$2:$B$1224, Sheet3!$D$2:$D$1224, "")</f>
        <v/>
      </c>
      <c r="G3167" s="1" t="str" cm="1">
        <f t="array" ref="G3167">_xlfn.XLOOKUP(D3167&amp;C3167, Sheet2!$A$2:$A$558&amp;Sheet2!$B$2:$B$558, Sheet2!$C$2:$C$558, "")</f>
        <v/>
      </c>
      <c r="H3167" s="40" t="str">
        <f t="shared" si="49"/>
        <v/>
      </c>
    </row>
    <row r="3168" spans="1:8" ht="15.5" x14ac:dyDescent="0.35">
      <c r="A3168" s="7">
        <v>3187</v>
      </c>
      <c r="B3168" s="10">
        <v>50296</v>
      </c>
      <c r="C3168" s="13" t="s">
        <v>2806</v>
      </c>
      <c r="D3168" s="10" t="s">
        <v>2856</v>
      </c>
      <c r="E3168" s="10">
        <v>2025</v>
      </c>
      <c r="F3168" s="36" t="str" cm="1">
        <f t="array" ref="F3168">_xlfn.XLOOKUP(D3168&amp;C3168, Sheet3!$C$2:$C$1224&amp;Sheet3!$B$2:$B$1224, Sheet3!$D$2:$D$1224, "")</f>
        <v/>
      </c>
      <c r="G3168" s="1" t="str" cm="1">
        <f t="array" ref="G3168">_xlfn.XLOOKUP(D3168&amp;C3168, Sheet2!$A$2:$A$558&amp;Sheet2!$B$2:$B$558, Sheet2!$C$2:$C$558, "")</f>
        <v/>
      </c>
      <c r="H3168" s="40" t="str">
        <f t="shared" si="49"/>
        <v/>
      </c>
    </row>
    <row r="3169" spans="1:8" ht="15.5" x14ac:dyDescent="0.35">
      <c r="A3169" s="7">
        <v>3188</v>
      </c>
      <c r="B3169" s="10">
        <v>50846</v>
      </c>
      <c r="C3169" s="13" t="s">
        <v>2807</v>
      </c>
      <c r="D3169" s="10" t="s">
        <v>2856</v>
      </c>
      <c r="E3169" s="10">
        <v>2025</v>
      </c>
      <c r="F3169" s="36" t="str" cm="1">
        <f t="array" ref="F3169">_xlfn.XLOOKUP(D3169&amp;C3169, Sheet3!$C$2:$C$1224&amp;Sheet3!$B$2:$B$1224, Sheet3!$D$2:$D$1224, "")</f>
        <v>ketut.angga.nadiartha@gmail.com</v>
      </c>
      <c r="G3169" s="1" t="str" cm="1">
        <f t="array" ref="G3169">_xlfn.XLOOKUP(D3169&amp;C3169, Sheet2!$A$2:$A$558&amp;Sheet2!$B$2:$B$558, Sheet2!$C$2:$C$558, "")</f>
        <v/>
      </c>
      <c r="H3169" s="40" t="str">
        <f t="shared" si="49"/>
        <v>ketut.angga.nadiartha@gmail.com</v>
      </c>
    </row>
    <row r="3170" spans="1:8" ht="15.5" x14ac:dyDescent="0.35">
      <c r="A3170" s="7">
        <v>3189</v>
      </c>
      <c r="B3170" s="10">
        <v>52135</v>
      </c>
      <c r="C3170" s="13" t="s">
        <v>2808</v>
      </c>
      <c r="D3170" s="10" t="s">
        <v>2857</v>
      </c>
      <c r="E3170" s="10">
        <v>2025</v>
      </c>
      <c r="F3170" s="36" t="str" cm="1">
        <f t="array" ref="F3170">_xlfn.XLOOKUP(D3170&amp;C3170, Sheet3!$C$2:$C$1224&amp;Sheet3!$B$2:$B$1224, Sheet3!$D$2:$D$1224, "")</f>
        <v>bremamichael@gmail.com</v>
      </c>
      <c r="G3170" s="1" t="str" cm="1">
        <f t="array" ref="G3170">_xlfn.XLOOKUP(D3170&amp;C3170, Sheet2!$A$2:$A$558&amp;Sheet2!$B$2:$B$558, Sheet2!$C$2:$C$558, "")</f>
        <v/>
      </c>
      <c r="H3170" s="40" t="str">
        <f t="shared" si="49"/>
        <v>bremamichael@gmail.com</v>
      </c>
    </row>
    <row r="3171" spans="1:8" ht="15.5" x14ac:dyDescent="0.35">
      <c r="A3171" s="7">
        <v>3190</v>
      </c>
      <c r="B3171" s="10">
        <v>52186</v>
      </c>
      <c r="C3171" s="13" t="s">
        <v>2809</v>
      </c>
      <c r="D3171" s="10" t="s">
        <v>2857</v>
      </c>
      <c r="E3171" s="10">
        <v>2025</v>
      </c>
      <c r="F3171" s="36" t="str" cm="1">
        <f t="array" ref="F3171">_xlfn.XLOOKUP(D3171&amp;C3171, Sheet3!$C$2:$C$1224&amp;Sheet3!$B$2:$B$1224, Sheet3!$D$2:$D$1224, "")</f>
        <v/>
      </c>
      <c r="G3171" s="1" t="str" cm="1">
        <f t="array" ref="G3171">_xlfn.XLOOKUP(D3171&amp;C3171, Sheet2!$A$2:$A$558&amp;Sheet2!$B$2:$B$558, Sheet2!$C$2:$C$558, "")</f>
        <v/>
      </c>
      <c r="H3171" s="40" t="str">
        <f t="shared" si="49"/>
        <v/>
      </c>
    </row>
    <row r="3172" spans="1:8" ht="15.5" x14ac:dyDescent="0.35">
      <c r="A3172" s="7">
        <v>3191</v>
      </c>
      <c r="B3172" s="10">
        <v>52236</v>
      </c>
      <c r="C3172" s="13" t="s">
        <v>2810</v>
      </c>
      <c r="D3172" s="10" t="s">
        <v>2857</v>
      </c>
      <c r="E3172" s="10">
        <v>2025</v>
      </c>
      <c r="F3172" s="36" t="str" cm="1">
        <f t="array" ref="F3172">_xlfn.XLOOKUP(D3172&amp;C3172, Sheet3!$C$2:$C$1224&amp;Sheet3!$B$2:$B$1224, Sheet3!$D$2:$D$1224, "")</f>
        <v/>
      </c>
      <c r="G3172" s="1" t="str" cm="1">
        <f t="array" ref="G3172">_xlfn.XLOOKUP(D3172&amp;C3172, Sheet2!$A$2:$A$558&amp;Sheet2!$B$2:$B$558, Sheet2!$C$2:$C$558, "")</f>
        <v/>
      </c>
      <c r="H3172" s="40" t="str">
        <f t="shared" si="49"/>
        <v/>
      </c>
    </row>
    <row r="3173" spans="1:8" ht="15.5" x14ac:dyDescent="0.35">
      <c r="A3173" s="7">
        <v>3192</v>
      </c>
      <c r="B3173" s="10">
        <v>52264</v>
      </c>
      <c r="C3173" s="13" t="s">
        <v>2811</v>
      </c>
      <c r="D3173" s="10" t="s">
        <v>2857</v>
      </c>
      <c r="E3173" s="10">
        <v>2025</v>
      </c>
      <c r="F3173" s="36" t="str" cm="1">
        <f t="array" ref="F3173">_xlfn.XLOOKUP(D3173&amp;C3173, Sheet3!$C$2:$C$1224&amp;Sheet3!$B$2:$B$1224, Sheet3!$D$2:$D$1224, "")</f>
        <v>putri.ainul.hamdi@mail.ugm.ac.id</v>
      </c>
      <c r="G3173" s="1" t="str" cm="1">
        <f t="array" ref="G3173">_xlfn.XLOOKUP(D3173&amp;C3173, Sheet2!$A$2:$A$558&amp;Sheet2!$B$2:$B$558, Sheet2!$C$2:$C$558, "")</f>
        <v/>
      </c>
      <c r="H3173" s="40" t="str">
        <f t="shared" si="49"/>
        <v>putri.ainul.hamdi@mail.ugm.ac.id</v>
      </c>
    </row>
    <row r="3174" spans="1:8" ht="15.5" x14ac:dyDescent="0.35">
      <c r="A3174" s="7">
        <v>3193</v>
      </c>
      <c r="B3174" s="10">
        <v>52270</v>
      </c>
      <c r="C3174" s="13" t="s">
        <v>2812</v>
      </c>
      <c r="D3174" s="10" t="s">
        <v>2857</v>
      </c>
      <c r="E3174" s="10">
        <v>2025</v>
      </c>
      <c r="F3174" s="36" t="str" cm="1">
        <f t="array" ref="F3174">_xlfn.XLOOKUP(D3174&amp;C3174, Sheet3!$C$2:$C$1224&amp;Sheet3!$B$2:$B$1224, Sheet3!$D$2:$D$1224, "")</f>
        <v>dionysius.swe2003@mail.ugm.ac.id</v>
      </c>
      <c r="G3174" s="1" t="str" cm="1">
        <f t="array" ref="G3174">_xlfn.XLOOKUP(D3174&amp;C3174, Sheet2!$A$2:$A$558&amp;Sheet2!$B$2:$B$558, Sheet2!$C$2:$C$558, "")</f>
        <v/>
      </c>
      <c r="H3174" s="40" t="str">
        <f t="shared" si="49"/>
        <v>dionysius.swe2003@mail.ugm.ac.id</v>
      </c>
    </row>
    <row r="3175" spans="1:8" ht="15.5" x14ac:dyDescent="0.35">
      <c r="A3175" s="7">
        <v>3194</v>
      </c>
      <c r="B3175" s="10">
        <v>52366</v>
      </c>
      <c r="C3175" s="13" t="s">
        <v>2813</v>
      </c>
      <c r="D3175" s="10" t="s">
        <v>2857</v>
      </c>
      <c r="E3175" s="10">
        <v>2025</v>
      </c>
      <c r="F3175" s="36" t="str" cm="1">
        <f t="array" ref="F3175">_xlfn.XLOOKUP(D3175&amp;C3175, Sheet3!$C$2:$C$1224&amp;Sheet3!$B$2:$B$1224, Sheet3!$D$2:$D$1224, "")</f>
        <v/>
      </c>
      <c r="G3175" s="1" t="str" cm="1">
        <f t="array" ref="G3175">_xlfn.XLOOKUP(D3175&amp;C3175, Sheet2!$A$2:$A$558&amp;Sheet2!$B$2:$B$558, Sheet2!$C$2:$C$558, "")</f>
        <v/>
      </c>
      <c r="H3175" s="40" t="str">
        <f t="shared" si="49"/>
        <v/>
      </c>
    </row>
    <row r="3176" spans="1:8" ht="15.5" x14ac:dyDescent="0.35">
      <c r="A3176" s="7">
        <v>3195</v>
      </c>
      <c r="B3176" s="10">
        <v>52689</v>
      </c>
      <c r="C3176" s="13" t="s">
        <v>2814</v>
      </c>
      <c r="D3176" s="10" t="s">
        <v>2857</v>
      </c>
      <c r="E3176" s="10">
        <v>2025</v>
      </c>
      <c r="F3176" s="36" t="str" cm="1">
        <f t="array" ref="F3176">_xlfn.XLOOKUP(D3176&amp;C3176, Sheet3!$C$2:$C$1224&amp;Sheet3!$B$2:$B$1224, Sheet3!$D$2:$D$1224, "")</f>
        <v/>
      </c>
      <c r="G3176" s="1" t="str" cm="1">
        <f t="array" ref="G3176">_xlfn.XLOOKUP(D3176&amp;C3176, Sheet2!$A$2:$A$558&amp;Sheet2!$B$2:$B$558, Sheet2!$C$2:$C$558, "")</f>
        <v/>
      </c>
      <c r="H3176" s="40" t="str">
        <f t="shared" si="49"/>
        <v/>
      </c>
    </row>
    <row r="3177" spans="1:8" ht="15.5" x14ac:dyDescent="0.35">
      <c r="A3177" s="7">
        <v>3196</v>
      </c>
      <c r="B3177" s="10">
        <v>52865</v>
      </c>
      <c r="C3177" s="13" t="s">
        <v>2815</v>
      </c>
      <c r="D3177" s="10" t="s">
        <v>2857</v>
      </c>
      <c r="E3177" s="10">
        <v>2025</v>
      </c>
      <c r="F3177" s="36" t="str" cm="1">
        <f t="array" ref="F3177">_xlfn.XLOOKUP(D3177&amp;C3177, Sheet3!$C$2:$C$1224&amp;Sheet3!$B$2:$B$1224, Sheet3!$D$2:$D$1224, "")</f>
        <v>fahrudinar.rosyid.muhammad@mail.ugm.ac.id</v>
      </c>
      <c r="G3177" s="1" t="str" cm="1">
        <f t="array" ref="G3177">_xlfn.XLOOKUP(D3177&amp;C3177, Sheet2!$A$2:$A$558&amp;Sheet2!$B$2:$B$558, Sheet2!$C$2:$C$558, "")</f>
        <v/>
      </c>
      <c r="H3177" s="40" t="str">
        <f t="shared" si="49"/>
        <v>fahrudinar.rosyid.muhammad@mail.ugm.ac.id</v>
      </c>
    </row>
    <row r="3178" spans="1:8" ht="15.5" x14ac:dyDescent="0.35">
      <c r="A3178" s="7">
        <v>3197</v>
      </c>
      <c r="B3178" s="10">
        <v>52884</v>
      </c>
      <c r="C3178" s="13" t="s">
        <v>2816</v>
      </c>
      <c r="D3178" s="10" t="s">
        <v>2857</v>
      </c>
      <c r="E3178" s="10">
        <v>2025</v>
      </c>
      <c r="F3178" s="36" t="str" cm="1">
        <f t="array" ref="F3178">_xlfn.XLOOKUP(D3178&amp;C3178, Sheet3!$C$2:$C$1224&amp;Sheet3!$B$2:$B$1224, Sheet3!$D$2:$D$1224, "")</f>
        <v/>
      </c>
      <c r="G3178" s="1" t="str" cm="1">
        <f t="array" ref="G3178">_xlfn.XLOOKUP(D3178&amp;C3178, Sheet2!$A$2:$A$558&amp;Sheet2!$B$2:$B$558, Sheet2!$C$2:$C$558, "")</f>
        <v/>
      </c>
      <c r="H3178" s="40" t="str">
        <f t="shared" si="49"/>
        <v/>
      </c>
    </row>
    <row r="3179" spans="1:8" ht="15.5" x14ac:dyDescent="0.35">
      <c r="A3179" s="7">
        <v>3198</v>
      </c>
      <c r="B3179" s="10">
        <v>53012</v>
      </c>
      <c r="C3179" s="13" t="s">
        <v>2817</v>
      </c>
      <c r="D3179" s="10" t="s">
        <v>2857</v>
      </c>
      <c r="E3179" s="10">
        <v>2025</v>
      </c>
      <c r="F3179" s="36" t="str" cm="1">
        <f t="array" ref="F3179">_xlfn.XLOOKUP(D3179&amp;C3179, Sheet3!$C$2:$C$1224&amp;Sheet3!$B$2:$B$1224, Sheet3!$D$2:$D$1224, "")</f>
        <v>bramudyara@gmail.com</v>
      </c>
      <c r="G3179" s="1" t="str" cm="1">
        <f t="array" ref="G3179">_xlfn.XLOOKUP(D3179&amp;C3179, Sheet2!$A$2:$A$558&amp;Sheet2!$B$2:$B$558, Sheet2!$C$2:$C$558, "")</f>
        <v/>
      </c>
      <c r="H3179" s="40" t="str">
        <f t="shared" si="49"/>
        <v>bramudyara@gmail.com</v>
      </c>
    </row>
    <row r="3180" spans="1:8" ht="15.5" x14ac:dyDescent="0.35">
      <c r="A3180" s="7">
        <v>3199</v>
      </c>
      <c r="B3180" s="10">
        <v>53215</v>
      </c>
      <c r="C3180" s="13" t="s">
        <v>2818</v>
      </c>
      <c r="D3180" s="10" t="s">
        <v>2857</v>
      </c>
      <c r="E3180" s="10">
        <v>2025</v>
      </c>
      <c r="F3180" s="36" t="str" cm="1">
        <f t="array" ref="F3180">_xlfn.XLOOKUP(D3180&amp;C3180, Sheet3!$C$2:$C$1224&amp;Sheet3!$B$2:$B$1224, Sheet3!$D$2:$D$1224, "")</f>
        <v/>
      </c>
      <c r="G3180" s="1" t="str" cm="1">
        <f t="array" ref="G3180">_xlfn.XLOOKUP(D3180&amp;C3180, Sheet2!$A$2:$A$558&amp;Sheet2!$B$2:$B$558, Sheet2!$C$2:$C$558, "")</f>
        <v/>
      </c>
      <c r="H3180" s="40" t="str">
        <f t="shared" si="49"/>
        <v/>
      </c>
    </row>
    <row r="3181" spans="1:8" ht="15.5" x14ac:dyDescent="0.35">
      <c r="A3181" s="7">
        <v>3200</v>
      </c>
      <c r="B3181" s="10">
        <v>53253</v>
      </c>
      <c r="C3181" s="13" t="s">
        <v>2819</v>
      </c>
      <c r="D3181" s="10" t="s">
        <v>2857</v>
      </c>
      <c r="E3181" s="10">
        <v>2025</v>
      </c>
      <c r="F3181" s="36" t="str" cm="1">
        <f t="array" ref="F3181">_xlfn.XLOOKUP(D3181&amp;C3181, Sheet3!$C$2:$C$1224&amp;Sheet3!$B$2:$B$1224, Sheet3!$D$2:$D$1224, "")</f>
        <v/>
      </c>
      <c r="G3181" s="1" t="str" cm="1">
        <f t="array" ref="G3181">_xlfn.XLOOKUP(D3181&amp;C3181, Sheet2!$A$2:$A$558&amp;Sheet2!$B$2:$B$558, Sheet2!$C$2:$C$558, "")</f>
        <v/>
      </c>
      <c r="H3181" s="40" t="str">
        <f t="shared" si="49"/>
        <v/>
      </c>
    </row>
    <row r="3182" spans="1:8" ht="15.5" x14ac:dyDescent="0.35">
      <c r="A3182" s="7">
        <v>3201</v>
      </c>
      <c r="B3182" s="10">
        <v>53311</v>
      </c>
      <c r="C3182" s="13" t="s">
        <v>2820</v>
      </c>
      <c r="D3182" s="10" t="s">
        <v>2857</v>
      </c>
      <c r="E3182" s="10">
        <v>2025</v>
      </c>
      <c r="F3182" s="36" t="str" cm="1">
        <f t="array" ref="F3182">_xlfn.XLOOKUP(D3182&amp;C3182, Sheet3!$C$2:$C$1224&amp;Sheet3!$B$2:$B$1224, Sheet3!$D$2:$D$1224, "")</f>
        <v/>
      </c>
      <c r="G3182" s="1" t="str" cm="1">
        <f t="array" ref="G3182">_xlfn.XLOOKUP(D3182&amp;C3182, Sheet2!$A$2:$A$558&amp;Sheet2!$B$2:$B$558, Sheet2!$C$2:$C$558, "")</f>
        <v/>
      </c>
      <c r="H3182" s="40" t="str">
        <f t="shared" si="49"/>
        <v/>
      </c>
    </row>
    <row r="3183" spans="1:8" ht="15.5" x14ac:dyDescent="0.35">
      <c r="A3183" s="7">
        <v>3202</v>
      </c>
      <c r="B3183" s="10">
        <v>50566</v>
      </c>
      <c r="C3183" s="13" t="s">
        <v>2821</v>
      </c>
      <c r="D3183" s="10" t="s">
        <v>2856</v>
      </c>
      <c r="E3183" s="10">
        <v>2025</v>
      </c>
      <c r="F3183" s="36" t="str" cm="1">
        <f t="array" ref="F3183">_xlfn.XLOOKUP(D3183&amp;C3183, Sheet3!$C$2:$C$1224&amp;Sheet3!$B$2:$B$1224, Sheet3!$D$2:$D$1224, "")</f>
        <v>afifudin804@gmail.com</v>
      </c>
      <c r="G3183" s="1" t="str" cm="1">
        <f t="array" ref="G3183">_xlfn.XLOOKUP(D3183&amp;C3183, Sheet2!$A$2:$A$558&amp;Sheet2!$B$2:$B$558, Sheet2!$C$2:$C$558, "")</f>
        <v/>
      </c>
      <c r="H3183" s="40" t="str">
        <f t="shared" si="49"/>
        <v>afifudin804@gmail.com</v>
      </c>
    </row>
    <row r="3184" spans="1:8" ht="15.5" x14ac:dyDescent="0.35">
      <c r="A3184" s="7">
        <v>3203</v>
      </c>
      <c r="B3184" s="10">
        <v>52403</v>
      </c>
      <c r="C3184" s="13" t="s">
        <v>2822</v>
      </c>
      <c r="D3184" s="10" t="s">
        <v>2857</v>
      </c>
      <c r="E3184" s="10">
        <v>2025</v>
      </c>
      <c r="F3184" s="36" t="str" cm="1">
        <f t="array" ref="F3184">_xlfn.XLOOKUP(D3184&amp;C3184, Sheet3!$C$2:$C$1224&amp;Sheet3!$B$2:$B$1224, Sheet3!$D$2:$D$1224, "")</f>
        <v>hani.nikmah1103@mail.ugm.ac.id</v>
      </c>
      <c r="G3184" s="1" t="str" cm="1">
        <f t="array" ref="G3184">_xlfn.XLOOKUP(D3184&amp;C3184, Sheet2!$A$2:$A$558&amp;Sheet2!$B$2:$B$558, Sheet2!$C$2:$C$558, "")</f>
        <v/>
      </c>
      <c r="H3184" s="40" t="str">
        <f t="shared" si="49"/>
        <v>hani.nikmah1103@mail.ugm.ac.id</v>
      </c>
    </row>
    <row r="3185" spans="1:8" ht="15.5" x14ac:dyDescent="0.35">
      <c r="A3185" s="7">
        <v>3204</v>
      </c>
      <c r="B3185" s="10">
        <v>52637</v>
      </c>
      <c r="C3185" s="13" t="s">
        <v>2823</v>
      </c>
      <c r="D3185" s="10" t="s">
        <v>2857</v>
      </c>
      <c r="E3185" s="10">
        <v>2025</v>
      </c>
      <c r="F3185" s="36" t="str" cm="1">
        <f t="array" ref="F3185">_xlfn.XLOOKUP(D3185&amp;C3185, Sheet3!$C$2:$C$1224&amp;Sheet3!$B$2:$B$1224, Sheet3!$D$2:$D$1224, "")</f>
        <v/>
      </c>
      <c r="G3185" s="1" t="str" cm="1">
        <f t="array" ref="G3185">_xlfn.XLOOKUP(D3185&amp;C3185, Sheet2!$A$2:$A$558&amp;Sheet2!$B$2:$B$558, Sheet2!$C$2:$C$558, "")</f>
        <v/>
      </c>
      <c r="H3185" s="40" t="str">
        <f t="shared" si="49"/>
        <v/>
      </c>
    </row>
    <row r="3186" spans="1:8" ht="15.5" x14ac:dyDescent="0.35">
      <c r="A3186" s="7">
        <v>3205</v>
      </c>
      <c r="B3186" s="10">
        <v>52974</v>
      </c>
      <c r="C3186" s="13" t="s">
        <v>2824</v>
      </c>
      <c r="D3186" s="10" t="s">
        <v>2857</v>
      </c>
      <c r="E3186" s="10">
        <v>2025</v>
      </c>
      <c r="F3186" s="36" t="str" cm="1">
        <f t="array" ref="F3186">_xlfn.XLOOKUP(D3186&amp;C3186, Sheet3!$C$2:$C$1224&amp;Sheet3!$B$2:$B$1224, Sheet3!$D$2:$D$1224, "")</f>
        <v/>
      </c>
      <c r="G3186" s="1" t="str" cm="1">
        <f t="array" ref="G3186">_xlfn.XLOOKUP(D3186&amp;C3186, Sheet2!$A$2:$A$558&amp;Sheet2!$B$2:$B$558, Sheet2!$C$2:$C$558, "")</f>
        <v/>
      </c>
      <c r="H3186" s="40" t="str">
        <f t="shared" si="49"/>
        <v/>
      </c>
    </row>
    <row r="3187" spans="1:8" ht="15.5" x14ac:dyDescent="0.35">
      <c r="A3187" s="7">
        <v>3206</v>
      </c>
      <c r="B3187" s="10">
        <v>53319</v>
      </c>
      <c r="C3187" s="13" t="s">
        <v>2825</v>
      </c>
      <c r="D3187" s="10" t="s">
        <v>2857</v>
      </c>
      <c r="E3187" s="10">
        <v>2025</v>
      </c>
      <c r="F3187" s="36" t="str" cm="1">
        <f t="array" ref="F3187">_xlfn.XLOOKUP(D3187&amp;C3187, Sheet3!$C$2:$C$1224&amp;Sheet3!$B$2:$B$1224, Sheet3!$D$2:$D$1224, "")</f>
        <v/>
      </c>
      <c r="G3187" s="1" t="str" cm="1">
        <f t="array" ref="G3187">_xlfn.XLOOKUP(D3187&amp;C3187, Sheet2!$A$2:$A$558&amp;Sheet2!$B$2:$B$558, Sheet2!$C$2:$C$558, "")</f>
        <v/>
      </c>
      <c r="H3187" s="40" t="str">
        <f t="shared" si="49"/>
        <v/>
      </c>
    </row>
    <row r="3188" spans="1:8" ht="15.5" x14ac:dyDescent="0.35">
      <c r="A3188" s="7">
        <v>3207</v>
      </c>
      <c r="B3188" s="10">
        <v>52313</v>
      </c>
      <c r="C3188" s="13" t="s">
        <v>2826</v>
      </c>
      <c r="D3188" s="10" t="s">
        <v>2857</v>
      </c>
      <c r="E3188" s="10">
        <v>2025</v>
      </c>
      <c r="F3188" s="36" t="str" cm="1">
        <f t="array" ref="F3188">_xlfn.XLOOKUP(D3188&amp;C3188, Sheet3!$C$2:$C$1224&amp;Sheet3!$B$2:$B$1224, Sheet3!$D$2:$D$1224, "")</f>
        <v/>
      </c>
      <c r="G3188" s="1" t="str" cm="1">
        <f t="array" ref="G3188">_xlfn.XLOOKUP(D3188&amp;C3188, Sheet2!$A$2:$A$558&amp;Sheet2!$B$2:$B$558, Sheet2!$C$2:$C$558, "")</f>
        <v/>
      </c>
      <c r="H3188" s="40" t="str">
        <f t="shared" si="49"/>
        <v/>
      </c>
    </row>
    <row r="3189" spans="1:8" ht="15.5" x14ac:dyDescent="0.35">
      <c r="A3189" s="7">
        <v>3208</v>
      </c>
      <c r="B3189" s="10">
        <v>52552</v>
      </c>
      <c r="C3189" s="13" t="s">
        <v>2827</v>
      </c>
      <c r="D3189" s="10" t="s">
        <v>2857</v>
      </c>
      <c r="E3189" s="10">
        <v>2025</v>
      </c>
      <c r="F3189" s="36" t="str" cm="1">
        <f t="array" ref="F3189">_xlfn.XLOOKUP(D3189&amp;C3189, Sheet3!$C$2:$C$1224&amp;Sheet3!$B$2:$B$1224, Sheet3!$D$2:$D$1224, "")</f>
        <v>biasrambu@gmail.com</v>
      </c>
      <c r="G3189" s="1" t="str" cm="1">
        <f t="array" ref="G3189">_xlfn.XLOOKUP(D3189&amp;C3189, Sheet2!$A$2:$A$558&amp;Sheet2!$B$2:$B$558, Sheet2!$C$2:$C$558, "")</f>
        <v/>
      </c>
      <c r="H3189" s="40" t="str">
        <f t="shared" si="49"/>
        <v>biasrambu@gmail.com</v>
      </c>
    </row>
    <row r="3190" spans="1:8" ht="15.5" x14ac:dyDescent="0.35">
      <c r="A3190" s="7">
        <v>3209</v>
      </c>
      <c r="B3190" s="10">
        <v>52697</v>
      </c>
      <c r="C3190" s="13" t="s">
        <v>2828</v>
      </c>
      <c r="D3190" s="10" t="s">
        <v>2857</v>
      </c>
      <c r="E3190" s="10">
        <v>2025</v>
      </c>
      <c r="F3190" s="36" t="str" cm="1">
        <f t="array" ref="F3190">_xlfn.XLOOKUP(D3190&amp;C3190, Sheet3!$C$2:$C$1224&amp;Sheet3!$B$2:$B$1224, Sheet3!$D$2:$D$1224, "")</f>
        <v/>
      </c>
      <c r="G3190" s="1" t="str" cm="1">
        <f t="array" ref="G3190">_xlfn.XLOOKUP(D3190&amp;C3190, Sheet2!$A$2:$A$558&amp;Sheet2!$B$2:$B$558, Sheet2!$C$2:$C$558, "")</f>
        <v/>
      </c>
      <c r="H3190" s="40" t="str">
        <f t="shared" si="49"/>
        <v/>
      </c>
    </row>
    <row r="3191" spans="1:8" ht="15.5" x14ac:dyDescent="0.35">
      <c r="A3191" s="7">
        <v>3210</v>
      </c>
      <c r="B3191" s="10">
        <v>52883</v>
      </c>
      <c r="C3191" s="13" t="s">
        <v>2829</v>
      </c>
      <c r="D3191" s="10" t="s">
        <v>2857</v>
      </c>
      <c r="E3191" s="10">
        <v>2025</v>
      </c>
      <c r="F3191" s="36" t="str" cm="1">
        <f t="array" ref="F3191">_xlfn.XLOOKUP(D3191&amp;C3191, Sheet3!$C$2:$C$1224&amp;Sheet3!$B$2:$B$1224, Sheet3!$D$2:$D$1224, "")</f>
        <v/>
      </c>
      <c r="G3191" s="1" t="str" cm="1">
        <f t="array" ref="G3191">_xlfn.XLOOKUP(D3191&amp;C3191, Sheet2!$A$2:$A$558&amp;Sheet2!$B$2:$B$558, Sheet2!$C$2:$C$558, "")</f>
        <v/>
      </c>
      <c r="H3191" s="40" t="str">
        <f t="shared" si="49"/>
        <v/>
      </c>
    </row>
    <row r="3192" spans="1:8" ht="15.5" x14ac:dyDescent="0.35">
      <c r="A3192" s="7">
        <v>3211</v>
      </c>
      <c r="B3192" s="10">
        <v>53020</v>
      </c>
      <c r="C3192" s="13" t="s">
        <v>2830</v>
      </c>
      <c r="D3192" s="10" t="s">
        <v>2857</v>
      </c>
      <c r="E3192" s="10">
        <v>2025</v>
      </c>
      <c r="F3192" s="36" t="str" cm="1">
        <f t="array" ref="F3192">_xlfn.XLOOKUP(D3192&amp;C3192, Sheet3!$C$2:$C$1224&amp;Sheet3!$B$2:$B$1224, Sheet3!$D$2:$D$1224, "")</f>
        <v/>
      </c>
      <c r="G3192" s="1" t="str" cm="1">
        <f t="array" ref="G3192">_xlfn.XLOOKUP(D3192&amp;C3192, Sheet2!$A$2:$A$558&amp;Sheet2!$B$2:$B$558, Sheet2!$C$2:$C$558, "")</f>
        <v/>
      </c>
      <c r="H3192" s="40" t="str">
        <f t="shared" si="49"/>
        <v/>
      </c>
    </row>
    <row r="3193" spans="1:8" ht="15.5" x14ac:dyDescent="0.35">
      <c r="A3193" s="7">
        <v>3212</v>
      </c>
      <c r="B3193" s="10">
        <v>53251</v>
      </c>
      <c r="C3193" s="13" t="s">
        <v>2831</v>
      </c>
      <c r="D3193" s="10" t="s">
        <v>2857</v>
      </c>
      <c r="E3193" s="10">
        <v>2025</v>
      </c>
      <c r="F3193" s="36" t="str" cm="1">
        <f t="array" ref="F3193">_xlfn.XLOOKUP(D3193&amp;C3193, Sheet3!$C$2:$C$1224&amp;Sheet3!$B$2:$B$1224, Sheet3!$D$2:$D$1224, "")</f>
        <v/>
      </c>
      <c r="G3193" s="1" t="str" cm="1">
        <f t="array" ref="G3193">_xlfn.XLOOKUP(D3193&amp;C3193, Sheet2!$A$2:$A$558&amp;Sheet2!$B$2:$B$558, Sheet2!$C$2:$C$558, "")</f>
        <v/>
      </c>
      <c r="H3193" s="40" t="str">
        <f t="shared" si="49"/>
        <v/>
      </c>
    </row>
    <row r="3194" spans="1:8" ht="15.5" x14ac:dyDescent="0.35">
      <c r="A3194" s="7">
        <v>3213</v>
      </c>
      <c r="B3194" s="10">
        <v>52419</v>
      </c>
      <c r="C3194" s="13" t="s">
        <v>2832</v>
      </c>
      <c r="D3194" s="10" t="s">
        <v>2857</v>
      </c>
      <c r="E3194" s="10">
        <v>2025</v>
      </c>
      <c r="F3194" s="36" t="str" cm="1">
        <f t="array" ref="F3194">_xlfn.XLOOKUP(D3194&amp;C3194, Sheet3!$C$2:$C$1224&amp;Sheet3!$B$2:$B$1224, Sheet3!$D$2:$D$1224, "")</f>
        <v/>
      </c>
      <c r="G3194" s="1" t="str" cm="1">
        <f t="array" ref="G3194">_xlfn.XLOOKUP(D3194&amp;C3194, Sheet2!$A$2:$A$558&amp;Sheet2!$B$2:$B$558, Sheet2!$C$2:$C$558, "")</f>
        <v/>
      </c>
      <c r="H3194" s="40" t="str">
        <f t="shared" si="49"/>
        <v/>
      </c>
    </row>
    <row r="3195" spans="1:8" ht="15.5" x14ac:dyDescent="0.35">
      <c r="A3195" s="7">
        <v>3214</v>
      </c>
      <c r="B3195" s="10">
        <v>52503</v>
      </c>
      <c r="C3195" s="13" t="s">
        <v>2833</v>
      </c>
      <c r="D3195" s="10" t="s">
        <v>2857</v>
      </c>
      <c r="E3195" s="10">
        <v>2025</v>
      </c>
      <c r="F3195" s="36" t="str" cm="1">
        <f t="array" ref="F3195">_xlfn.XLOOKUP(D3195&amp;C3195, Sheet3!$C$2:$C$1224&amp;Sheet3!$B$2:$B$1224, Sheet3!$D$2:$D$1224, "")</f>
        <v/>
      </c>
      <c r="G3195" s="1" t="str" cm="1">
        <f t="array" ref="G3195">_xlfn.XLOOKUP(D3195&amp;C3195, Sheet2!$A$2:$A$558&amp;Sheet2!$B$2:$B$558, Sheet2!$C$2:$C$558, "")</f>
        <v/>
      </c>
      <c r="H3195" s="40" t="str">
        <f t="shared" si="49"/>
        <v/>
      </c>
    </row>
    <row r="3196" spans="1:8" ht="15.5" x14ac:dyDescent="0.35">
      <c r="A3196" s="7">
        <v>3215</v>
      </c>
      <c r="B3196" s="10">
        <v>52828</v>
      </c>
      <c r="C3196" s="13" t="s">
        <v>2834</v>
      </c>
      <c r="D3196" s="10" t="s">
        <v>2857</v>
      </c>
      <c r="E3196" s="10">
        <v>2025</v>
      </c>
      <c r="F3196" s="36" t="str" cm="1">
        <f t="array" ref="F3196">_xlfn.XLOOKUP(D3196&amp;C3196, Sheet3!$C$2:$C$1224&amp;Sheet3!$B$2:$B$1224, Sheet3!$D$2:$D$1224, "")</f>
        <v/>
      </c>
      <c r="G3196" s="1" t="str" cm="1">
        <f t="array" ref="G3196">_xlfn.XLOOKUP(D3196&amp;C3196, Sheet2!$A$2:$A$558&amp;Sheet2!$B$2:$B$558, Sheet2!$C$2:$C$558, "")</f>
        <v/>
      </c>
      <c r="H3196" s="40" t="str">
        <f t="shared" si="49"/>
        <v/>
      </c>
    </row>
    <row r="3197" spans="1:8" ht="15.5" x14ac:dyDescent="0.35">
      <c r="A3197" s="7">
        <v>3216</v>
      </c>
      <c r="B3197" s="10">
        <v>52839</v>
      </c>
      <c r="C3197" s="13" t="s">
        <v>2835</v>
      </c>
      <c r="D3197" s="10" t="s">
        <v>2857</v>
      </c>
      <c r="E3197" s="10">
        <v>2025</v>
      </c>
      <c r="F3197" s="36" t="str" cm="1">
        <f t="array" ref="F3197">_xlfn.XLOOKUP(D3197&amp;C3197, Sheet3!$C$2:$C$1224&amp;Sheet3!$B$2:$B$1224, Sheet3!$D$2:$D$1224, "")</f>
        <v/>
      </c>
      <c r="G3197" s="1" t="str" cm="1">
        <f t="array" ref="G3197">_xlfn.XLOOKUP(D3197&amp;C3197, Sheet2!$A$2:$A$558&amp;Sheet2!$B$2:$B$558, Sheet2!$C$2:$C$558, "")</f>
        <v/>
      </c>
      <c r="H3197" s="40" t="str">
        <f t="shared" si="49"/>
        <v/>
      </c>
    </row>
    <row r="3198" spans="1:8" ht="15.5" x14ac:dyDescent="0.35">
      <c r="A3198" s="7">
        <v>3217</v>
      </c>
      <c r="B3198" s="10">
        <v>52945</v>
      </c>
      <c r="C3198" s="13" t="s">
        <v>2836</v>
      </c>
      <c r="D3198" s="10" t="s">
        <v>2857</v>
      </c>
      <c r="E3198" s="10">
        <v>2025</v>
      </c>
      <c r="F3198" s="36" t="str" cm="1">
        <f t="array" ref="F3198">_xlfn.XLOOKUP(D3198&amp;C3198, Sheet3!$C$2:$C$1224&amp;Sheet3!$B$2:$B$1224, Sheet3!$D$2:$D$1224, "")</f>
        <v/>
      </c>
      <c r="G3198" s="1" t="str" cm="1">
        <f t="array" ref="G3198">_xlfn.XLOOKUP(D3198&amp;C3198, Sheet2!$A$2:$A$558&amp;Sheet2!$B$2:$B$558, Sheet2!$C$2:$C$558, "")</f>
        <v/>
      </c>
      <c r="H3198" s="40" t="str">
        <f t="shared" si="49"/>
        <v/>
      </c>
    </row>
    <row r="3199" spans="1:8" ht="15.5" x14ac:dyDescent="0.35">
      <c r="A3199" s="7">
        <v>3218</v>
      </c>
      <c r="B3199" s="10">
        <v>52950</v>
      </c>
      <c r="C3199" s="13" t="s">
        <v>2837</v>
      </c>
      <c r="D3199" s="10" t="s">
        <v>2857</v>
      </c>
      <c r="E3199" s="10">
        <v>2025</v>
      </c>
      <c r="F3199" s="36" t="str" cm="1">
        <f t="array" ref="F3199">_xlfn.XLOOKUP(D3199&amp;C3199, Sheet3!$C$2:$C$1224&amp;Sheet3!$B$2:$B$1224, Sheet3!$D$2:$D$1224, "")</f>
        <v/>
      </c>
      <c r="G3199" s="1" t="str" cm="1">
        <f t="array" ref="G3199">_xlfn.XLOOKUP(D3199&amp;C3199, Sheet2!$A$2:$A$558&amp;Sheet2!$B$2:$B$558, Sheet2!$C$2:$C$558, "")</f>
        <v/>
      </c>
      <c r="H3199" s="40" t="str">
        <f t="shared" si="49"/>
        <v/>
      </c>
    </row>
    <row r="3200" spans="1:8" ht="15.5" x14ac:dyDescent="0.35">
      <c r="A3200" s="7">
        <v>3219</v>
      </c>
      <c r="B3200" s="10">
        <v>53009</v>
      </c>
      <c r="C3200" s="13" t="s">
        <v>2838</v>
      </c>
      <c r="D3200" s="10" t="s">
        <v>2857</v>
      </c>
      <c r="E3200" s="10">
        <v>2025</v>
      </c>
      <c r="F3200" s="36" t="str" cm="1">
        <f t="array" ref="F3200">_xlfn.XLOOKUP(D3200&amp;C3200, Sheet3!$C$2:$C$1224&amp;Sheet3!$B$2:$B$1224, Sheet3!$D$2:$D$1224, "")</f>
        <v/>
      </c>
      <c r="G3200" s="1" t="str" cm="1">
        <f t="array" ref="G3200">_xlfn.XLOOKUP(D3200&amp;C3200, Sheet2!$A$2:$A$558&amp;Sheet2!$B$2:$B$558, Sheet2!$C$2:$C$558, "")</f>
        <v/>
      </c>
      <c r="H3200" s="40" t="str">
        <f t="shared" si="49"/>
        <v/>
      </c>
    </row>
    <row r="3201" spans="1:8" ht="15.5" x14ac:dyDescent="0.35">
      <c r="A3201" s="7">
        <v>3220</v>
      </c>
      <c r="B3201" s="10">
        <v>53059</v>
      </c>
      <c r="C3201" s="13" t="s">
        <v>2839</v>
      </c>
      <c r="D3201" s="10" t="s">
        <v>2857</v>
      </c>
      <c r="E3201" s="10">
        <v>2025</v>
      </c>
      <c r="F3201" s="36" t="str" cm="1">
        <f t="array" ref="F3201">_xlfn.XLOOKUP(D3201&amp;C3201, Sheet3!$C$2:$C$1224&amp;Sheet3!$B$2:$B$1224, Sheet3!$D$2:$D$1224, "")</f>
        <v/>
      </c>
      <c r="G3201" s="1" t="str" cm="1">
        <f t="array" ref="G3201">_xlfn.XLOOKUP(D3201&amp;C3201, Sheet2!$A$2:$A$558&amp;Sheet2!$B$2:$B$558, Sheet2!$C$2:$C$558, "")</f>
        <v/>
      </c>
      <c r="H3201" s="40" t="str">
        <f t="shared" si="49"/>
        <v/>
      </c>
    </row>
    <row r="3202" spans="1:8" ht="15.5" x14ac:dyDescent="0.35">
      <c r="A3202" s="7">
        <v>3221</v>
      </c>
      <c r="B3202" s="10">
        <v>53260</v>
      </c>
      <c r="C3202" s="13" t="s">
        <v>2840</v>
      </c>
      <c r="D3202" s="10" t="s">
        <v>2857</v>
      </c>
      <c r="E3202" s="10">
        <v>2025</v>
      </c>
      <c r="F3202" s="36" t="str" cm="1">
        <f t="array" ref="F3202">_xlfn.XLOOKUP(D3202&amp;C3202, Sheet3!$C$2:$C$1224&amp;Sheet3!$B$2:$B$1224, Sheet3!$D$2:$D$1224, "")</f>
        <v/>
      </c>
      <c r="G3202" s="1" t="str" cm="1">
        <f t="array" ref="G3202">_xlfn.XLOOKUP(D3202&amp;C3202, Sheet2!$A$2:$A$558&amp;Sheet2!$B$2:$B$558, Sheet2!$C$2:$C$558, "")</f>
        <v/>
      </c>
      <c r="H3202" s="40" t="str">
        <f t="shared" si="49"/>
        <v/>
      </c>
    </row>
    <row r="3203" spans="1:8" ht="15.5" x14ac:dyDescent="0.35">
      <c r="A3203" s="7">
        <v>3222</v>
      </c>
      <c r="B3203" s="10">
        <v>53274</v>
      </c>
      <c r="C3203" s="13" t="s">
        <v>2841</v>
      </c>
      <c r="D3203" s="10" t="s">
        <v>2857</v>
      </c>
      <c r="E3203" s="10">
        <v>2025</v>
      </c>
      <c r="F3203" s="36" t="str" cm="1">
        <f t="array" ref="F3203">_xlfn.XLOOKUP(D3203&amp;C3203, Sheet3!$C$2:$C$1224&amp;Sheet3!$B$2:$B$1224, Sheet3!$D$2:$D$1224, "")</f>
        <v/>
      </c>
      <c r="G3203" s="1" t="str" cm="1">
        <f t="array" ref="G3203">_xlfn.XLOOKUP(D3203&amp;C3203, Sheet2!$A$2:$A$558&amp;Sheet2!$B$2:$B$558, Sheet2!$C$2:$C$558, "")</f>
        <v/>
      </c>
      <c r="H3203" s="40" t="str">
        <f t="shared" ref="H3203" si="50">IF(F3203&lt;&gt;"",F3203,G3203)</f>
        <v/>
      </c>
    </row>
    <row r="3205" spans="1:8" x14ac:dyDescent="0.35">
      <c r="D3205" s="2" t="s">
        <v>5823</v>
      </c>
      <c r="F3205" s="36">
        <f>COUNTIF(F2:F3203,"")</f>
        <v>2062</v>
      </c>
      <c r="H3205" s="36">
        <f>COUNTIF(H2:H3203,"")</f>
        <v>1853</v>
      </c>
    </row>
    <row r="3206" spans="1:8" x14ac:dyDescent="0.35">
      <c r="D3206" s="2" t="s">
        <v>5822</v>
      </c>
      <c r="F3206" s="36">
        <f>A3203-F3205</f>
        <v>1160</v>
      </c>
      <c r="H3206" s="36">
        <f>A3203-H3205</f>
        <v>1369</v>
      </c>
    </row>
    <row r="3207" spans="1:8" x14ac:dyDescent="0.35">
      <c r="D3207" s="2" t="s">
        <v>5845</v>
      </c>
      <c r="F3207" s="36">
        <f>SUM(F3205:F3206)</f>
        <v>3222</v>
      </c>
      <c r="H3207" s="36">
        <f>SUM(H3205:H3206)</f>
        <v>3222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59E8-704B-4C66-AF3F-092C48780A08}">
  <dimension ref="A1:D558"/>
  <sheetViews>
    <sheetView topLeftCell="A284" workbookViewId="0">
      <selection activeCell="E544" sqref="E544"/>
    </sheetView>
  </sheetViews>
  <sheetFormatPr defaultRowHeight="14.5" x14ac:dyDescent="0.35"/>
  <cols>
    <col min="1" max="1" width="10.36328125" customWidth="1"/>
    <col min="2" max="2" width="38.81640625" bestFit="1" customWidth="1"/>
    <col min="3" max="3" width="19.08984375" customWidth="1"/>
  </cols>
  <sheetData>
    <row r="1" spans="1:4" x14ac:dyDescent="0.35">
      <c r="A1" s="33" t="s">
        <v>5846</v>
      </c>
      <c r="B1" s="38" t="s">
        <v>1</v>
      </c>
      <c r="C1" s="38" t="s">
        <v>3195</v>
      </c>
    </row>
    <row r="2" spans="1:4" hidden="1" x14ac:dyDescent="0.35">
      <c r="A2" s="3">
        <v>1989</v>
      </c>
      <c r="B2" s="4" t="s">
        <v>717</v>
      </c>
      <c r="C2" s="4" t="s">
        <v>3656</v>
      </c>
      <c r="D2" t="str">
        <f>IF(COUNTIFS(Sheet1!$D$2:$D$3203, A2, Sheet1!$C$2:$C$3203, B2) &gt; 0, "Sudah", "Belum")</f>
        <v>Sudah</v>
      </c>
    </row>
    <row r="3" spans="1:4" hidden="1" x14ac:dyDescent="0.35">
      <c r="A3" s="3">
        <v>1991</v>
      </c>
      <c r="B3" s="4" t="s">
        <v>1020</v>
      </c>
      <c r="C3" s="4" t="s">
        <v>5847</v>
      </c>
      <c r="D3" t="str">
        <f>IF(COUNTIFS(Sheet1!$D$2:$D$3203, A3, Sheet1!$C$2:$C$3203, B3) &gt; 0, "Sudah", "Belum")</f>
        <v>Sudah</v>
      </c>
    </row>
    <row r="4" spans="1:4" hidden="1" x14ac:dyDescent="0.35">
      <c r="A4" s="3">
        <v>1999</v>
      </c>
      <c r="B4" s="4" t="s">
        <v>1421</v>
      </c>
      <c r="C4" s="4" t="s">
        <v>5848</v>
      </c>
      <c r="D4" t="str">
        <f>IF(COUNTIFS(Sheet1!$D$2:$D$3203, A4, Sheet1!$C$2:$C$3203, B4) &gt; 0, "Sudah", "Belum")</f>
        <v>Sudah</v>
      </c>
    </row>
    <row r="5" spans="1:4" hidden="1" x14ac:dyDescent="0.35">
      <c r="A5" s="3">
        <v>1999</v>
      </c>
      <c r="B5" s="4" t="s">
        <v>1550</v>
      </c>
      <c r="C5" s="4" t="s">
        <v>5849</v>
      </c>
      <c r="D5" t="str">
        <f>IF(COUNTIFS(Sheet1!$D$2:$D$3203, A5, Sheet1!$C$2:$C$3203, B5) &gt; 0, "Sudah", "Belum")</f>
        <v>Sudah</v>
      </c>
    </row>
    <row r="6" spans="1:4" hidden="1" x14ac:dyDescent="0.35">
      <c r="A6" s="3">
        <v>2007</v>
      </c>
      <c r="B6" s="4" t="s">
        <v>1966</v>
      </c>
      <c r="C6" s="4" t="s">
        <v>5850</v>
      </c>
      <c r="D6" t="str">
        <f>IF(COUNTIFS(Sheet1!$D$2:$D$3203, A6, Sheet1!$C$2:$C$3203, B6) &gt; 0, "Sudah", "Belum")</f>
        <v>Sudah</v>
      </c>
    </row>
    <row r="7" spans="1:4" hidden="1" x14ac:dyDescent="0.35">
      <c r="A7" s="3">
        <v>1995</v>
      </c>
      <c r="B7" s="4" t="s">
        <v>5851</v>
      </c>
      <c r="C7" s="4" t="s">
        <v>5852</v>
      </c>
      <c r="D7" t="str">
        <f>IF(COUNTIFS(Sheet1!$D$2:$D$3203, A7, Sheet1!$C$2:$C$3203, B7) &gt; 0, "Sudah", "Belum")</f>
        <v>Sudah</v>
      </c>
    </row>
    <row r="8" spans="1:4" hidden="1" x14ac:dyDescent="0.35">
      <c r="A8" s="3">
        <v>2017</v>
      </c>
      <c r="B8" s="4" t="s">
        <v>2422</v>
      </c>
      <c r="C8" s="4" t="s">
        <v>5853</v>
      </c>
      <c r="D8" t="str">
        <f>IF(COUNTIFS(Sheet1!$D$2:$D$3203, A8, Sheet1!$C$2:$C$3203, B8) &gt; 0, "Sudah", "Belum")</f>
        <v>Sudah</v>
      </c>
    </row>
    <row r="9" spans="1:4" hidden="1" x14ac:dyDescent="0.35">
      <c r="A9" s="3">
        <v>2005</v>
      </c>
      <c r="B9" s="4" t="s">
        <v>5854</v>
      </c>
      <c r="C9" s="4" t="s">
        <v>5855</v>
      </c>
      <c r="D9" t="str">
        <f>IF(COUNTIFS(Sheet1!$D$2:$D$3203, A9, Sheet1!$C$2:$C$3203, B9) &gt; 0, "Sudah", "Belum")</f>
        <v>Sudah</v>
      </c>
    </row>
    <row r="10" spans="1:4" hidden="1" x14ac:dyDescent="0.35">
      <c r="A10" s="3">
        <v>1998</v>
      </c>
      <c r="B10" s="4" t="s">
        <v>1268</v>
      </c>
      <c r="C10" s="4" t="s">
        <v>5856</v>
      </c>
      <c r="D10" t="str">
        <f>IF(COUNTIFS(Sheet1!$D$2:$D$3203, A10, Sheet1!$C$2:$C$3203, B10) &gt; 0, "Sudah", "Belum")</f>
        <v>Sudah</v>
      </c>
    </row>
    <row r="11" spans="1:4" hidden="1" x14ac:dyDescent="0.35">
      <c r="A11" s="3">
        <v>2005</v>
      </c>
      <c r="B11" s="4" t="s">
        <v>2886</v>
      </c>
      <c r="C11" s="4" t="s">
        <v>5857</v>
      </c>
      <c r="D11" t="str">
        <f>IF(COUNTIFS(Sheet1!$D$2:$D$3203, A11, Sheet1!$C$2:$C$3203, B11) &gt; 0, "Sudah", "Belum")</f>
        <v>Sudah</v>
      </c>
    </row>
    <row r="12" spans="1:4" hidden="1" x14ac:dyDescent="0.35">
      <c r="A12" s="3">
        <v>2000</v>
      </c>
      <c r="B12" s="4" t="s">
        <v>4308</v>
      </c>
      <c r="C12" s="4" t="s">
        <v>4309</v>
      </c>
      <c r="D12" t="str">
        <f>IF(COUNTIFS(Sheet1!$D$2:$D$3203, A12, Sheet1!$C$2:$C$3203, B12) &gt; 0, "Sudah", "Belum")</f>
        <v>Sudah</v>
      </c>
    </row>
    <row r="13" spans="1:4" hidden="1" x14ac:dyDescent="0.35">
      <c r="A13" s="3">
        <v>2003</v>
      </c>
      <c r="B13" s="4" t="s">
        <v>6230</v>
      </c>
      <c r="C13" s="4" t="s">
        <v>5858</v>
      </c>
      <c r="D13" t="str">
        <f>IF(COUNTIFS(Sheet1!$D$2:$D$3203, A13, Sheet1!$C$2:$C$3203, B13) &gt; 0, "Sudah", "Belum")</f>
        <v>Sudah</v>
      </c>
    </row>
    <row r="14" spans="1:4" hidden="1" x14ac:dyDescent="0.35">
      <c r="A14" s="3">
        <v>2007</v>
      </c>
      <c r="B14" s="4" t="s">
        <v>2963</v>
      </c>
      <c r="C14" s="4" t="s">
        <v>4580</v>
      </c>
      <c r="D14" t="str">
        <f>IF(COUNTIFS(Sheet1!$D$2:$D$3203, A14, Sheet1!$C$2:$C$3203, B14) &gt; 0, "Sudah", "Belum")</f>
        <v>Sudah</v>
      </c>
    </row>
    <row r="15" spans="1:4" hidden="1" x14ac:dyDescent="0.35">
      <c r="A15" s="3">
        <v>2002</v>
      </c>
      <c r="B15" s="4" t="s">
        <v>1709</v>
      </c>
      <c r="C15" s="4" t="s">
        <v>5859</v>
      </c>
      <c r="D15" t="str">
        <f>IF(COUNTIFS(Sheet1!$D$2:$D$3203, A15, Sheet1!$C$2:$C$3203, B15) &gt; 0, "Sudah", "Belum")</f>
        <v>Sudah</v>
      </c>
    </row>
    <row r="16" spans="1:4" hidden="1" x14ac:dyDescent="0.35">
      <c r="A16" s="3">
        <v>1993</v>
      </c>
      <c r="B16" s="4" t="s">
        <v>926</v>
      </c>
      <c r="C16" s="4" t="s">
        <v>4478</v>
      </c>
      <c r="D16" t="str">
        <f>IF(COUNTIFS(Sheet1!$D$2:$D$3203, A16, Sheet1!$C$2:$C$3203, B16) &gt; 0, "Sudah", "Belum")</f>
        <v>Sudah</v>
      </c>
    </row>
    <row r="17" spans="1:4" hidden="1" x14ac:dyDescent="0.35">
      <c r="A17" s="3">
        <v>2011</v>
      </c>
      <c r="B17" s="4" t="s">
        <v>2028</v>
      </c>
      <c r="C17" s="4" t="s">
        <v>5547</v>
      </c>
      <c r="D17" t="str">
        <f>IF(COUNTIFS(Sheet1!$D$2:$D$3203, A17, Sheet1!$C$2:$C$3203, B17) &gt; 0, "Sudah", "Belum")</f>
        <v>Sudah</v>
      </c>
    </row>
    <row r="18" spans="1:4" hidden="1" x14ac:dyDescent="0.35">
      <c r="A18" s="3">
        <v>2016</v>
      </c>
      <c r="B18" s="4" t="s">
        <v>3173</v>
      </c>
      <c r="C18" s="4" t="s">
        <v>5860</v>
      </c>
      <c r="D18" t="str">
        <f>IF(COUNTIFS(Sheet1!$D$2:$D$3203, A18, Sheet1!$C$2:$C$3203, B18) &gt; 0, "Sudah", "Belum")</f>
        <v>Sudah</v>
      </c>
    </row>
    <row r="19" spans="1:4" hidden="1" x14ac:dyDescent="0.35">
      <c r="A19" s="3">
        <v>2007</v>
      </c>
      <c r="B19" s="4" t="s">
        <v>5861</v>
      </c>
      <c r="C19" s="4" t="s">
        <v>3433</v>
      </c>
      <c r="D19" t="str">
        <f>IF(COUNTIFS(Sheet1!$D$2:$D$3203, A19, Sheet1!$C$2:$C$3203, B19) &gt; 0, "Sudah", "Belum")</f>
        <v>Sudah</v>
      </c>
    </row>
    <row r="20" spans="1:4" hidden="1" x14ac:dyDescent="0.35">
      <c r="A20" s="3">
        <v>2010</v>
      </c>
      <c r="B20" s="4" t="s">
        <v>1982</v>
      </c>
      <c r="C20" s="4" t="s">
        <v>5244</v>
      </c>
      <c r="D20" t="str">
        <f>IF(COUNTIFS(Sheet1!$D$2:$D$3203, A20, Sheet1!$C$2:$C$3203, B20) &gt; 0, "Sudah", "Belum")</f>
        <v>Sudah</v>
      </c>
    </row>
    <row r="21" spans="1:4" hidden="1" x14ac:dyDescent="0.35">
      <c r="A21" s="3">
        <v>1987</v>
      </c>
      <c r="B21" s="4" t="s">
        <v>5862</v>
      </c>
      <c r="C21" s="4" t="s">
        <v>4649</v>
      </c>
      <c r="D21" t="str">
        <f>IF(COUNTIFS(Sheet1!$D$2:$D$3203, A21, Sheet1!$C$2:$C$3203, B21) &gt; 0, "Sudah", "Belum")</f>
        <v>Sudah</v>
      </c>
    </row>
    <row r="22" spans="1:4" hidden="1" x14ac:dyDescent="0.35">
      <c r="A22" s="3">
        <v>2006</v>
      </c>
      <c r="B22" s="4" t="s">
        <v>2894</v>
      </c>
      <c r="C22" s="4" t="s">
        <v>4317</v>
      </c>
      <c r="D22" t="str">
        <f>IF(COUNTIFS(Sheet1!$D$2:$D$3203, A22, Sheet1!$C$2:$C$3203, B22) &gt; 0, "Sudah", "Belum")</f>
        <v>Sudah</v>
      </c>
    </row>
    <row r="23" spans="1:4" hidden="1" x14ac:dyDescent="0.35">
      <c r="A23" s="3">
        <v>1991</v>
      </c>
      <c r="B23" s="4" t="s">
        <v>788</v>
      </c>
      <c r="C23" s="4" t="s">
        <v>3363</v>
      </c>
      <c r="D23" t="str">
        <f>IF(COUNTIFS(Sheet1!$D$2:$D$3203, A23, Sheet1!$C$2:$C$3203, B23) &gt; 0, "Sudah", "Belum")</f>
        <v>Sudah</v>
      </c>
    </row>
    <row r="24" spans="1:4" hidden="1" x14ac:dyDescent="0.35">
      <c r="A24" s="3">
        <v>1990</v>
      </c>
      <c r="B24" s="4" t="s">
        <v>789</v>
      </c>
      <c r="C24" s="4" t="s">
        <v>5863</v>
      </c>
      <c r="D24" t="str">
        <f>IF(COUNTIFS(Sheet1!$D$2:$D$3203, A24, Sheet1!$C$2:$C$3203, B24) &gt; 0, "Sudah", "Belum")</f>
        <v>Sudah</v>
      </c>
    </row>
    <row r="25" spans="1:4" hidden="1" x14ac:dyDescent="0.35">
      <c r="A25" s="3">
        <v>2011</v>
      </c>
      <c r="B25" s="4" t="s">
        <v>2046</v>
      </c>
      <c r="C25" s="4" t="s">
        <v>5864</v>
      </c>
      <c r="D25" t="str">
        <f>IF(COUNTIFS(Sheet1!$D$2:$D$3203, A25, Sheet1!$C$2:$C$3203, B25) &gt; 0, "Sudah", "Belum")</f>
        <v>Sudah</v>
      </c>
    </row>
    <row r="26" spans="1:4" hidden="1" x14ac:dyDescent="0.35">
      <c r="A26" s="3">
        <v>1998</v>
      </c>
      <c r="B26" s="4" t="s">
        <v>1464</v>
      </c>
      <c r="C26" s="4" t="s">
        <v>5865</v>
      </c>
      <c r="D26" t="str">
        <f>IF(COUNTIFS(Sheet1!$D$2:$D$3203, A26, Sheet1!$C$2:$C$3203, B26) &gt; 0, "Sudah", "Belum")</f>
        <v>Sudah</v>
      </c>
    </row>
    <row r="27" spans="1:4" hidden="1" x14ac:dyDescent="0.35">
      <c r="A27" s="3">
        <v>1991</v>
      </c>
      <c r="B27" s="4" t="s">
        <v>809</v>
      </c>
      <c r="C27" s="4" t="s">
        <v>5866</v>
      </c>
      <c r="D27" t="str">
        <f>IF(COUNTIFS(Sheet1!$D$2:$D$3203, A27, Sheet1!$C$2:$C$3203, B27) &gt; 0, "Sudah", "Belum")</f>
        <v>Sudah</v>
      </c>
    </row>
    <row r="28" spans="1:4" hidden="1" x14ac:dyDescent="0.35">
      <c r="A28" s="3">
        <v>2003</v>
      </c>
      <c r="B28" s="4" t="s">
        <v>2910</v>
      </c>
      <c r="C28" s="4" t="s">
        <v>3256</v>
      </c>
      <c r="D28" t="str">
        <f>IF(COUNTIFS(Sheet1!$D$2:$D$3203, A28, Sheet1!$C$2:$C$3203, B28) &gt; 0, "Sudah", "Belum")</f>
        <v>Sudah</v>
      </c>
    </row>
    <row r="29" spans="1:4" hidden="1" x14ac:dyDescent="0.35">
      <c r="A29" s="3">
        <v>2005</v>
      </c>
      <c r="B29" s="4" t="s">
        <v>2860</v>
      </c>
      <c r="C29" s="4" t="s">
        <v>5867</v>
      </c>
      <c r="D29" t="str">
        <f>IF(COUNTIFS(Sheet1!$D$2:$D$3203, A29, Sheet1!$C$2:$C$3203, B29) &gt; 0, "Sudah", "Belum")</f>
        <v>Sudah</v>
      </c>
    </row>
    <row r="30" spans="1:4" hidden="1" x14ac:dyDescent="0.35">
      <c r="A30" s="3">
        <v>2005</v>
      </c>
      <c r="B30" s="4" t="s">
        <v>5868</v>
      </c>
      <c r="C30" s="4" t="s">
        <v>5869</v>
      </c>
      <c r="D30" t="str">
        <f>IF(COUNTIFS(Sheet1!$D$2:$D$3203, A30, Sheet1!$C$2:$C$3203, B30) &gt; 0, "Sudah", "Belum")</f>
        <v>Sudah</v>
      </c>
    </row>
    <row r="31" spans="1:4" hidden="1" x14ac:dyDescent="0.35">
      <c r="A31" s="3">
        <v>2008</v>
      </c>
      <c r="B31" s="4" t="s">
        <v>5870</v>
      </c>
      <c r="C31" s="4" t="s">
        <v>5871</v>
      </c>
      <c r="D31" t="str">
        <f>IF(COUNTIFS(Sheet1!$D$2:$D$3203, A31, Sheet1!$C$2:$C$3203, B31) &gt; 0, "Sudah", "Belum")</f>
        <v>Sudah</v>
      </c>
    </row>
    <row r="32" spans="1:4" hidden="1" x14ac:dyDescent="0.35">
      <c r="A32" s="3">
        <v>2013</v>
      </c>
      <c r="B32" s="4" t="s">
        <v>2189</v>
      </c>
      <c r="C32" s="4" t="s">
        <v>4842</v>
      </c>
      <c r="D32" t="str">
        <f>IF(COUNTIFS(Sheet1!$D$2:$D$3203, A32, Sheet1!$C$2:$C$3203, B32) &gt; 0, "Sudah", "Belum")</f>
        <v>Sudah</v>
      </c>
    </row>
    <row r="33" spans="1:4" hidden="1" x14ac:dyDescent="0.35">
      <c r="A33" s="3">
        <v>2011</v>
      </c>
      <c r="B33" s="4" t="s">
        <v>2025</v>
      </c>
      <c r="C33" s="4" t="s">
        <v>4677</v>
      </c>
      <c r="D33" t="str">
        <f>IF(COUNTIFS(Sheet1!$D$2:$D$3203, A33, Sheet1!$C$2:$C$3203, B33) &gt; 0, "Sudah", "Belum")</f>
        <v>Sudah</v>
      </c>
    </row>
    <row r="34" spans="1:4" hidden="1" x14ac:dyDescent="0.35">
      <c r="A34" s="3">
        <v>2015</v>
      </c>
      <c r="B34" s="4" t="s">
        <v>2340</v>
      </c>
      <c r="C34" s="4" t="s">
        <v>3314</v>
      </c>
      <c r="D34" t="str">
        <f>IF(COUNTIFS(Sheet1!$D$2:$D$3203, A34, Sheet1!$C$2:$C$3203, B34) &gt; 0, "Sudah", "Belum")</f>
        <v>Sudah</v>
      </c>
    </row>
    <row r="35" spans="1:4" hidden="1" x14ac:dyDescent="0.35">
      <c r="A35" s="3">
        <v>2017</v>
      </c>
      <c r="B35" s="4" t="s">
        <v>2442</v>
      </c>
      <c r="C35" s="4" t="s">
        <v>5872</v>
      </c>
      <c r="D35" t="str">
        <f>IF(COUNTIFS(Sheet1!$D$2:$D$3203, A35, Sheet1!$C$2:$C$3203, B35) &gt; 0, "Sudah", "Belum")</f>
        <v>Sudah</v>
      </c>
    </row>
    <row r="36" spans="1:4" hidden="1" x14ac:dyDescent="0.35">
      <c r="A36" s="3">
        <v>2003</v>
      </c>
      <c r="B36" s="4" t="s">
        <v>1806</v>
      </c>
      <c r="C36" s="4" t="s">
        <v>5031</v>
      </c>
      <c r="D36" t="str">
        <f>IF(COUNTIFS(Sheet1!$D$2:$D$3203, A36, Sheet1!$C$2:$C$3203, B36) &gt; 0, "Sudah", "Belum")</f>
        <v>Sudah</v>
      </c>
    </row>
    <row r="37" spans="1:4" hidden="1" x14ac:dyDescent="0.35">
      <c r="A37" s="3">
        <v>2000</v>
      </c>
      <c r="B37" s="4" t="s">
        <v>1529</v>
      </c>
      <c r="C37" s="4" t="s">
        <v>4816</v>
      </c>
      <c r="D37" t="str">
        <f>IF(COUNTIFS(Sheet1!$D$2:$D$3203, A37, Sheet1!$C$2:$C$3203, B37) &gt; 0, "Sudah", "Belum")</f>
        <v>Sudah</v>
      </c>
    </row>
    <row r="38" spans="1:4" hidden="1" x14ac:dyDescent="0.35">
      <c r="A38" s="3">
        <v>2004</v>
      </c>
      <c r="B38" s="4" t="s">
        <v>1750</v>
      </c>
      <c r="C38" s="4" t="s">
        <v>5873</v>
      </c>
      <c r="D38" t="str">
        <f>IF(COUNTIFS(Sheet1!$D$2:$D$3203, A38, Sheet1!$C$2:$C$3203, B38) &gt; 0, "Sudah", "Belum")</f>
        <v>Sudah</v>
      </c>
    </row>
    <row r="39" spans="1:4" hidden="1" x14ac:dyDescent="0.35">
      <c r="A39" s="3">
        <v>2005</v>
      </c>
      <c r="B39" s="4" t="s">
        <v>1839</v>
      </c>
      <c r="C39" s="4" t="s">
        <v>5473</v>
      </c>
      <c r="D39" t="str">
        <f>IF(COUNTIFS(Sheet1!$D$2:$D$3203, A39, Sheet1!$C$2:$C$3203, B39) &gt; 0, "Sudah", "Belum")</f>
        <v>Sudah</v>
      </c>
    </row>
    <row r="40" spans="1:4" hidden="1" x14ac:dyDescent="0.35">
      <c r="A40" s="3">
        <v>1986</v>
      </c>
      <c r="B40" s="4" t="s">
        <v>631</v>
      </c>
      <c r="C40" s="4" t="s">
        <v>3900</v>
      </c>
      <c r="D40" t="str">
        <f>IF(COUNTIFS(Sheet1!$D$2:$D$3203, A40, Sheet1!$C$2:$C$3203, B40) &gt; 0, "Sudah", "Belum")</f>
        <v>Sudah</v>
      </c>
    </row>
    <row r="41" spans="1:4" hidden="1" x14ac:dyDescent="0.35">
      <c r="A41" s="3">
        <v>1995</v>
      </c>
      <c r="B41" s="4" t="s">
        <v>5874</v>
      </c>
      <c r="C41" s="4" t="s">
        <v>3575</v>
      </c>
      <c r="D41" t="str">
        <f>IF(COUNTIFS(Sheet1!$D$2:$D$3203, A41, Sheet1!$C$2:$C$3203, B41) &gt; 0, "Sudah", "Belum")</f>
        <v>Sudah</v>
      </c>
    </row>
    <row r="42" spans="1:4" hidden="1" x14ac:dyDescent="0.35">
      <c r="A42" s="3">
        <v>2000</v>
      </c>
      <c r="B42" s="4" t="s">
        <v>1455</v>
      </c>
      <c r="C42" s="4" t="s">
        <v>4336</v>
      </c>
      <c r="D42" t="str">
        <f>IF(COUNTIFS(Sheet1!$D$2:$D$3203, A42, Sheet1!$C$2:$C$3203, B42) &gt; 0, "Sudah", "Belum")</f>
        <v>Sudah</v>
      </c>
    </row>
    <row r="43" spans="1:4" hidden="1" x14ac:dyDescent="0.35">
      <c r="A43" s="3">
        <v>2007</v>
      </c>
      <c r="B43" s="4" t="s">
        <v>2961</v>
      </c>
      <c r="C43" s="4" t="s">
        <v>5875</v>
      </c>
      <c r="D43" t="str">
        <f>IF(COUNTIFS(Sheet1!$D$2:$D$3203, A43, Sheet1!$C$2:$C$3203, B43) &gt; 0, "Sudah", "Belum")</f>
        <v>Sudah</v>
      </c>
    </row>
    <row r="44" spans="1:4" hidden="1" x14ac:dyDescent="0.35">
      <c r="A44" s="3">
        <v>2013</v>
      </c>
      <c r="B44" s="4" t="s">
        <v>5876</v>
      </c>
      <c r="C44" s="4" t="s">
        <v>3639</v>
      </c>
      <c r="D44" t="str">
        <f>IF(COUNTIFS(Sheet1!$D$2:$D$3203, A44, Sheet1!$C$2:$C$3203, B44) &gt; 0, "Sudah", "Belum")</f>
        <v>Sudah</v>
      </c>
    </row>
    <row r="45" spans="1:4" hidden="1" x14ac:dyDescent="0.35">
      <c r="A45" s="3">
        <v>2008</v>
      </c>
      <c r="B45" s="4" t="s">
        <v>1894</v>
      </c>
      <c r="C45" s="4" t="s">
        <v>5877</v>
      </c>
      <c r="D45" t="str">
        <f>IF(COUNTIFS(Sheet1!$D$2:$D$3203, A45, Sheet1!$C$2:$C$3203, B45) &gt; 0, "Sudah", "Belum")</f>
        <v>Sudah</v>
      </c>
    </row>
    <row r="46" spans="1:4" hidden="1" x14ac:dyDescent="0.35">
      <c r="A46" s="3">
        <v>2009</v>
      </c>
      <c r="B46" s="4" t="s">
        <v>1954</v>
      </c>
      <c r="C46" s="4" t="s">
        <v>5606</v>
      </c>
      <c r="D46" t="str">
        <f>IF(COUNTIFS(Sheet1!$D$2:$D$3203, A46, Sheet1!$C$2:$C$3203, B46) &gt; 0, "Sudah", "Belum")</f>
        <v>Sudah</v>
      </c>
    </row>
    <row r="47" spans="1:4" hidden="1" x14ac:dyDescent="0.35">
      <c r="A47" s="3">
        <v>2005</v>
      </c>
      <c r="B47" s="4" t="s">
        <v>2898</v>
      </c>
      <c r="C47" s="4" t="s">
        <v>5878</v>
      </c>
      <c r="D47" t="str">
        <f>IF(COUNTIFS(Sheet1!$D$2:$D$3203, A47, Sheet1!$C$2:$C$3203, B47) &gt; 0, "Sudah", "Belum")</f>
        <v>Sudah</v>
      </c>
    </row>
    <row r="48" spans="1:4" hidden="1" x14ac:dyDescent="0.35">
      <c r="A48" s="3">
        <v>2001</v>
      </c>
      <c r="B48" s="4" t="s">
        <v>1694</v>
      </c>
      <c r="C48" s="4" t="s">
        <v>5879</v>
      </c>
      <c r="D48" t="str">
        <f>IF(COUNTIFS(Sheet1!$D$2:$D$3203, A48, Sheet1!$C$2:$C$3203, B48) &gt; 0, "Sudah", "Belum")</f>
        <v>Sudah</v>
      </c>
    </row>
    <row r="49" spans="1:4" hidden="1" x14ac:dyDescent="0.35">
      <c r="A49" s="3">
        <v>2008</v>
      </c>
      <c r="B49" s="4" t="s">
        <v>1847</v>
      </c>
      <c r="C49" s="4" t="s">
        <v>5880</v>
      </c>
      <c r="D49" t="str">
        <f>IF(COUNTIFS(Sheet1!$D$2:$D$3203, A49, Sheet1!$C$2:$C$3203, B49) &gt; 0, "Sudah", "Belum")</f>
        <v>Sudah</v>
      </c>
    </row>
    <row r="50" spans="1:4" hidden="1" x14ac:dyDescent="0.35">
      <c r="A50" s="3">
        <v>1986</v>
      </c>
      <c r="B50" s="4" t="s">
        <v>580</v>
      </c>
      <c r="C50" s="4" t="s">
        <v>5881</v>
      </c>
      <c r="D50" t="str">
        <f>IF(COUNTIFS(Sheet1!$D$2:$D$3203, A50, Sheet1!$C$2:$C$3203, B50) &gt; 0, "Sudah", "Belum")</f>
        <v>Sudah</v>
      </c>
    </row>
    <row r="51" spans="1:4" hidden="1" x14ac:dyDescent="0.35">
      <c r="A51" s="3">
        <v>1993</v>
      </c>
      <c r="B51" s="4" t="s">
        <v>936</v>
      </c>
      <c r="C51" s="4" t="s">
        <v>5882</v>
      </c>
      <c r="D51" t="str">
        <f>IF(COUNTIFS(Sheet1!$D$2:$D$3203, A51, Sheet1!$C$2:$C$3203, B51) &gt; 0, "Sudah", "Belum")</f>
        <v>Sudah</v>
      </c>
    </row>
    <row r="52" spans="1:4" x14ac:dyDescent="0.35">
      <c r="A52" s="3">
        <v>1983</v>
      </c>
      <c r="B52" s="4" t="s">
        <v>5883</v>
      </c>
      <c r="C52" s="4" t="s">
        <v>5884</v>
      </c>
      <c r="D52" t="str">
        <f>IF(COUNTIFS(Sheet1!$D$2:$D$3203, A52, Sheet1!$C$2:$C$3203, B52) &gt; 0, "Sudah", "Belum")</f>
        <v>Belum</v>
      </c>
    </row>
    <row r="53" spans="1:4" hidden="1" x14ac:dyDescent="0.35">
      <c r="A53" s="3">
        <v>1998</v>
      </c>
      <c r="B53" s="4" t="s">
        <v>1410</v>
      </c>
      <c r="C53" s="4" t="s">
        <v>5885</v>
      </c>
      <c r="D53" t="str">
        <f>IF(COUNTIFS(Sheet1!$D$2:$D$3203, A53, Sheet1!$C$2:$C$3203, B53) &gt; 0, "Sudah", "Belum")</f>
        <v>Sudah</v>
      </c>
    </row>
    <row r="54" spans="1:4" hidden="1" x14ac:dyDescent="0.35">
      <c r="A54" s="3">
        <v>2010</v>
      </c>
      <c r="B54" s="4" t="s">
        <v>2155</v>
      </c>
      <c r="C54" s="4" t="s">
        <v>5886</v>
      </c>
      <c r="D54" t="str">
        <f>IF(COUNTIFS(Sheet1!$D$2:$D$3203, A54, Sheet1!$C$2:$C$3203, B54) &gt; 0, "Sudah", "Belum")</f>
        <v>Sudah</v>
      </c>
    </row>
    <row r="55" spans="1:4" hidden="1" x14ac:dyDescent="0.35">
      <c r="A55" s="3">
        <v>1998</v>
      </c>
      <c r="B55" s="4" t="s">
        <v>1461</v>
      </c>
      <c r="C55" s="4" t="s">
        <v>4821</v>
      </c>
      <c r="D55" t="str">
        <f>IF(COUNTIFS(Sheet1!$D$2:$D$3203, A55, Sheet1!$C$2:$C$3203, B55) &gt; 0, "Sudah", "Belum")</f>
        <v>Sudah</v>
      </c>
    </row>
    <row r="56" spans="1:4" hidden="1" x14ac:dyDescent="0.35">
      <c r="A56" s="3">
        <v>2001</v>
      </c>
      <c r="B56" s="4" t="s">
        <v>1645</v>
      </c>
      <c r="C56" s="4" t="s">
        <v>5887</v>
      </c>
      <c r="D56" t="str">
        <f>IF(COUNTIFS(Sheet1!$D$2:$D$3203, A56, Sheet1!$C$2:$C$3203, B56) &gt; 0, "Sudah", "Belum")</f>
        <v>Sudah</v>
      </c>
    </row>
    <row r="57" spans="1:4" hidden="1" x14ac:dyDescent="0.35">
      <c r="A57" s="3">
        <v>2006</v>
      </c>
      <c r="B57" s="4" t="s">
        <v>2890</v>
      </c>
      <c r="C57" s="4" t="s">
        <v>3641</v>
      </c>
      <c r="D57" t="str">
        <f>IF(COUNTIFS(Sheet1!$D$2:$D$3203, A57, Sheet1!$C$2:$C$3203, B57) &gt; 0, "Sudah", "Belum")</f>
        <v>Sudah</v>
      </c>
    </row>
    <row r="58" spans="1:4" hidden="1" x14ac:dyDescent="0.35">
      <c r="A58" s="3">
        <v>1998</v>
      </c>
      <c r="B58" s="4" t="s">
        <v>1337</v>
      </c>
      <c r="C58" s="4" t="s">
        <v>3887</v>
      </c>
      <c r="D58" t="str">
        <f>IF(COUNTIFS(Sheet1!$D$2:$D$3203, A58, Sheet1!$C$2:$C$3203, B58) &gt; 0, "Sudah", "Belum")</f>
        <v>Sudah</v>
      </c>
    </row>
    <row r="59" spans="1:4" hidden="1" x14ac:dyDescent="0.35">
      <c r="A59" s="3">
        <v>1998</v>
      </c>
      <c r="B59" s="4" t="s">
        <v>1281</v>
      </c>
      <c r="C59" s="4" t="s">
        <v>5888</v>
      </c>
      <c r="D59" t="str">
        <f>IF(COUNTIFS(Sheet1!$D$2:$D$3203, A59, Sheet1!$C$2:$C$3203, B59) &gt; 0, "Sudah", "Belum")</f>
        <v>Sudah</v>
      </c>
    </row>
    <row r="60" spans="1:4" hidden="1" x14ac:dyDescent="0.35">
      <c r="A60" s="3">
        <v>2000</v>
      </c>
      <c r="B60" s="4" t="s">
        <v>1430</v>
      </c>
      <c r="C60" s="4" t="s">
        <v>4364</v>
      </c>
      <c r="D60" t="str">
        <f>IF(COUNTIFS(Sheet1!$D$2:$D$3203, A60, Sheet1!$C$2:$C$3203, B60) &gt; 0, "Sudah", "Belum")</f>
        <v>Sudah</v>
      </c>
    </row>
    <row r="61" spans="1:4" hidden="1" x14ac:dyDescent="0.35">
      <c r="A61" s="3">
        <v>1998</v>
      </c>
      <c r="B61" s="4" t="s">
        <v>1442</v>
      </c>
      <c r="C61" s="4" t="s">
        <v>5889</v>
      </c>
      <c r="D61" t="str">
        <f>IF(COUNTIFS(Sheet1!$D$2:$D$3203, A61, Sheet1!$C$2:$C$3203, B61) &gt; 0, "Sudah", "Belum")</f>
        <v>Sudah</v>
      </c>
    </row>
    <row r="62" spans="1:4" hidden="1" x14ac:dyDescent="0.35">
      <c r="A62" s="3">
        <v>1995</v>
      </c>
      <c r="B62" s="4" t="s">
        <v>1135</v>
      </c>
      <c r="C62" s="4" t="s">
        <v>4324</v>
      </c>
      <c r="D62" t="str">
        <f>IF(COUNTIFS(Sheet1!$D$2:$D$3203, A62, Sheet1!$C$2:$C$3203, B62) &gt; 0, "Sudah", "Belum")</f>
        <v>Sudah</v>
      </c>
    </row>
    <row r="63" spans="1:4" x14ac:dyDescent="0.35">
      <c r="A63" s="3">
        <v>2008</v>
      </c>
      <c r="B63" s="4" t="s">
        <v>5890</v>
      </c>
      <c r="C63" s="4" t="s">
        <v>5891</v>
      </c>
      <c r="D63" t="str">
        <f>IF(COUNTIFS(Sheet1!$D$2:$D$3203, A63, Sheet1!$C$2:$C$3203, B63) &gt; 0, "Sudah", "Belum")</f>
        <v>Belum</v>
      </c>
    </row>
    <row r="64" spans="1:4" hidden="1" x14ac:dyDescent="0.35">
      <c r="A64" s="3">
        <v>1999</v>
      </c>
      <c r="B64" s="4" t="s">
        <v>1476</v>
      </c>
      <c r="C64" s="4" t="s">
        <v>5733</v>
      </c>
      <c r="D64" t="str">
        <f>IF(COUNTIFS(Sheet1!$D$2:$D$3203, A64, Sheet1!$C$2:$C$3203, B64) &gt; 0, "Sudah", "Belum")</f>
        <v>Sudah</v>
      </c>
    </row>
    <row r="65" spans="1:4" hidden="1" x14ac:dyDescent="0.35">
      <c r="A65" s="3">
        <v>2009</v>
      </c>
      <c r="B65" s="4" t="s">
        <v>1875</v>
      </c>
      <c r="C65" s="4" t="s">
        <v>5892</v>
      </c>
      <c r="D65" t="str">
        <f>IF(COUNTIFS(Sheet1!$D$2:$D$3203, A65, Sheet1!$C$2:$C$3203, B65) &gt; 0, "Sudah", "Belum")</f>
        <v>Sudah</v>
      </c>
    </row>
    <row r="66" spans="1:4" hidden="1" x14ac:dyDescent="0.35">
      <c r="A66" s="3">
        <v>2010</v>
      </c>
      <c r="B66" s="4" t="s">
        <v>1943</v>
      </c>
      <c r="C66" s="4" t="s">
        <v>5893</v>
      </c>
      <c r="D66" t="str">
        <f>IF(COUNTIFS(Sheet1!$D$2:$D$3203, A66, Sheet1!$C$2:$C$3203, B66) &gt; 0, "Sudah", "Belum")</f>
        <v>Sudah</v>
      </c>
    </row>
    <row r="67" spans="1:4" hidden="1" x14ac:dyDescent="0.35">
      <c r="A67" s="3">
        <v>2002</v>
      </c>
      <c r="B67" s="4" t="s">
        <v>1639</v>
      </c>
      <c r="C67" s="4" t="s">
        <v>5894</v>
      </c>
      <c r="D67" t="str">
        <f>IF(COUNTIFS(Sheet1!$D$2:$D$3203, A67, Sheet1!$C$2:$C$3203, B67) &gt; 0, "Sudah", "Belum")</f>
        <v>Sudah</v>
      </c>
    </row>
    <row r="68" spans="1:4" hidden="1" x14ac:dyDescent="0.35">
      <c r="A68" s="3">
        <v>2006</v>
      </c>
      <c r="B68" s="4" t="s">
        <v>1873</v>
      </c>
      <c r="C68" s="4" t="s">
        <v>5895</v>
      </c>
      <c r="D68" t="str">
        <f>IF(COUNTIFS(Sheet1!$D$2:$D$3203, A68, Sheet1!$C$2:$C$3203, B68) &gt; 0, "Sudah", "Belum")</f>
        <v>Sudah</v>
      </c>
    </row>
    <row r="69" spans="1:4" hidden="1" x14ac:dyDescent="0.35">
      <c r="A69" s="3">
        <v>1998</v>
      </c>
      <c r="B69" s="4" t="s">
        <v>5896</v>
      </c>
      <c r="C69" s="4" t="s">
        <v>4504</v>
      </c>
      <c r="D69" t="str">
        <f>IF(COUNTIFS(Sheet1!$D$2:$D$3203, A69, Sheet1!$C$2:$C$3203, B69) &gt; 0, "Sudah", "Belum")</f>
        <v>Sudah</v>
      </c>
    </row>
    <row r="70" spans="1:4" hidden="1" x14ac:dyDescent="0.35">
      <c r="A70" s="3">
        <v>1999</v>
      </c>
      <c r="B70" s="4" t="s">
        <v>1477</v>
      </c>
      <c r="C70" s="4" t="s">
        <v>5897</v>
      </c>
      <c r="D70" t="str">
        <f>IF(COUNTIFS(Sheet1!$D$2:$D$3203, A70, Sheet1!$C$2:$C$3203, B70) &gt; 0, "Sudah", "Belum")</f>
        <v>Sudah</v>
      </c>
    </row>
    <row r="71" spans="1:4" hidden="1" x14ac:dyDescent="0.35">
      <c r="A71" s="3">
        <v>1999</v>
      </c>
      <c r="B71" s="4" t="s">
        <v>1477</v>
      </c>
      <c r="C71" s="4" t="s">
        <v>5897</v>
      </c>
      <c r="D71" t="str">
        <f>IF(COUNTIFS(Sheet1!$D$2:$D$3203, A71, Sheet1!$C$2:$C$3203, B71) &gt; 0, "Sudah", "Belum")</f>
        <v>Sudah</v>
      </c>
    </row>
    <row r="72" spans="1:4" hidden="1" x14ac:dyDescent="0.35">
      <c r="A72" s="3">
        <v>1998</v>
      </c>
      <c r="B72" s="4" t="s">
        <v>5898</v>
      </c>
      <c r="C72" s="4" t="s">
        <v>4404</v>
      </c>
      <c r="D72" t="str">
        <f>IF(COUNTIFS(Sheet1!$D$2:$D$3203, A72, Sheet1!$C$2:$C$3203, B72) &gt; 0, "Sudah", "Belum")</f>
        <v>Sudah</v>
      </c>
    </row>
    <row r="73" spans="1:4" hidden="1" x14ac:dyDescent="0.35">
      <c r="A73" s="3">
        <v>2013</v>
      </c>
      <c r="B73" s="4" t="s">
        <v>2178</v>
      </c>
      <c r="C73" s="4" t="s">
        <v>5899</v>
      </c>
      <c r="D73" t="str">
        <f>IF(COUNTIFS(Sheet1!$D$2:$D$3203, A73, Sheet1!$C$2:$C$3203, B73) &gt; 0, "Sudah", "Belum")</f>
        <v>Sudah</v>
      </c>
    </row>
    <row r="74" spans="1:4" hidden="1" x14ac:dyDescent="0.35">
      <c r="A74" s="3">
        <v>1998</v>
      </c>
      <c r="B74" s="4" t="s">
        <v>5900</v>
      </c>
      <c r="C74" s="4" t="s">
        <v>3279</v>
      </c>
      <c r="D74" t="str">
        <f>IF(COUNTIFS(Sheet1!$D$2:$D$3203, A74, Sheet1!$C$2:$C$3203, B74) &gt; 0, "Sudah", "Belum")</f>
        <v>Sudah</v>
      </c>
    </row>
    <row r="75" spans="1:4" hidden="1" x14ac:dyDescent="0.35">
      <c r="A75" s="3">
        <v>1992</v>
      </c>
      <c r="B75" s="4" t="s">
        <v>3482</v>
      </c>
      <c r="C75" s="4" t="s">
        <v>3483</v>
      </c>
      <c r="D75" t="str">
        <f>IF(COUNTIFS(Sheet1!$D$2:$D$3203, A75, Sheet1!$C$2:$C$3203, B75) &gt; 0, "Sudah", "Belum")</f>
        <v>Sudah</v>
      </c>
    </row>
    <row r="76" spans="1:4" hidden="1" x14ac:dyDescent="0.35">
      <c r="A76" s="3">
        <v>2009</v>
      </c>
      <c r="B76" s="4" t="s">
        <v>1944</v>
      </c>
      <c r="C76" s="4" t="s">
        <v>5213</v>
      </c>
      <c r="D76" t="str">
        <f>IF(COUNTIFS(Sheet1!$D$2:$D$3203, A76, Sheet1!$C$2:$C$3203, B76) &gt; 0, "Sudah", "Belum")</f>
        <v>Sudah</v>
      </c>
    </row>
    <row r="77" spans="1:4" hidden="1" x14ac:dyDescent="0.35">
      <c r="A77" s="3">
        <v>2009</v>
      </c>
      <c r="B77" s="4" t="s">
        <v>1944</v>
      </c>
      <c r="C77" s="4" t="s">
        <v>5213</v>
      </c>
      <c r="D77" t="str">
        <f>IF(COUNTIFS(Sheet1!$D$2:$D$3203, A77, Sheet1!$C$2:$C$3203, B77) &gt; 0, "Sudah", "Belum")</f>
        <v>Sudah</v>
      </c>
    </row>
    <row r="78" spans="1:4" hidden="1" x14ac:dyDescent="0.35">
      <c r="A78" s="3">
        <v>1984</v>
      </c>
      <c r="B78" s="4" t="s">
        <v>487</v>
      </c>
      <c r="C78" s="4" t="s">
        <v>3217</v>
      </c>
      <c r="D78" t="str">
        <f>IF(COUNTIFS(Sheet1!$D$2:$D$3203, A78, Sheet1!$C$2:$C$3203, B78) &gt; 0, "Sudah", "Belum")</f>
        <v>Sudah</v>
      </c>
    </row>
    <row r="79" spans="1:4" hidden="1" x14ac:dyDescent="0.35">
      <c r="A79" s="3">
        <v>2009</v>
      </c>
      <c r="B79" s="4" t="s">
        <v>1932</v>
      </c>
      <c r="C79" s="4" t="s">
        <v>5539</v>
      </c>
      <c r="D79" t="str">
        <f>IF(COUNTIFS(Sheet1!$D$2:$D$3203, A79, Sheet1!$C$2:$C$3203, B79) &gt; 0, "Sudah", "Belum")</f>
        <v>Sudah</v>
      </c>
    </row>
    <row r="80" spans="1:4" hidden="1" x14ac:dyDescent="0.35">
      <c r="A80" s="3">
        <v>2009</v>
      </c>
      <c r="B80" s="4" t="s">
        <v>1932</v>
      </c>
      <c r="C80" s="4" t="s">
        <v>5539</v>
      </c>
      <c r="D80" t="str">
        <f>IF(COUNTIFS(Sheet1!$D$2:$D$3203, A80, Sheet1!$C$2:$C$3203, B80) &gt; 0, "Sudah", "Belum")</f>
        <v>Sudah</v>
      </c>
    </row>
    <row r="81" spans="1:4" hidden="1" x14ac:dyDescent="0.35">
      <c r="A81" s="3">
        <v>1995</v>
      </c>
      <c r="B81" s="4" t="s">
        <v>5901</v>
      </c>
      <c r="C81" s="4" t="s">
        <v>3664</v>
      </c>
      <c r="D81" t="str">
        <f>IF(COUNTIFS(Sheet1!$D$2:$D$3203, A81, Sheet1!$C$2:$C$3203, B81) &gt; 0, "Sudah", "Belum")</f>
        <v>Sudah</v>
      </c>
    </row>
    <row r="82" spans="1:4" hidden="1" x14ac:dyDescent="0.35">
      <c r="A82" s="3">
        <v>2016</v>
      </c>
      <c r="B82" s="4" t="s">
        <v>2383</v>
      </c>
      <c r="C82" s="4" t="s">
        <v>5902</v>
      </c>
      <c r="D82" t="str">
        <f>IF(COUNTIFS(Sheet1!$D$2:$D$3203, A82, Sheet1!$C$2:$C$3203, B82) &gt; 0, "Sudah", "Belum")</f>
        <v>Sudah</v>
      </c>
    </row>
    <row r="83" spans="1:4" hidden="1" x14ac:dyDescent="0.35">
      <c r="A83" s="3">
        <v>2003</v>
      </c>
      <c r="B83" s="4" t="s">
        <v>1745</v>
      </c>
      <c r="C83" s="4" t="s">
        <v>5038</v>
      </c>
      <c r="D83" t="str">
        <f>IF(COUNTIFS(Sheet1!$D$2:$D$3203, A83, Sheet1!$C$2:$C$3203, B83) &gt; 0, "Sudah", "Belum")</f>
        <v>Sudah</v>
      </c>
    </row>
    <row r="84" spans="1:4" hidden="1" x14ac:dyDescent="0.35">
      <c r="A84" s="3">
        <v>1999</v>
      </c>
      <c r="B84" s="4" t="s">
        <v>1416</v>
      </c>
      <c r="C84" s="4" t="s">
        <v>4590</v>
      </c>
      <c r="D84" t="str">
        <f>IF(COUNTIFS(Sheet1!$D$2:$D$3203, A84, Sheet1!$C$2:$C$3203, B84) &gt; 0, "Sudah", "Belum")</f>
        <v>Sudah</v>
      </c>
    </row>
    <row r="85" spans="1:4" hidden="1" x14ac:dyDescent="0.35">
      <c r="A85" s="3">
        <v>1995</v>
      </c>
      <c r="B85" s="4" t="s">
        <v>5903</v>
      </c>
      <c r="C85" s="4" t="s">
        <v>4526</v>
      </c>
      <c r="D85" t="str">
        <f>IF(COUNTIFS(Sheet1!$D$2:$D$3203, A85, Sheet1!$C$2:$C$3203, B85) &gt; 0, "Sudah", "Belum")</f>
        <v>Sudah</v>
      </c>
    </row>
    <row r="86" spans="1:4" hidden="1" x14ac:dyDescent="0.35">
      <c r="A86" s="3">
        <v>2009</v>
      </c>
      <c r="B86" s="4" t="s">
        <v>1974</v>
      </c>
      <c r="C86" s="4" t="s">
        <v>5904</v>
      </c>
      <c r="D86" t="str">
        <f>IF(COUNTIFS(Sheet1!$D$2:$D$3203, A86, Sheet1!$C$2:$C$3203, B86) &gt; 0, "Sudah", "Belum")</f>
        <v>Sudah</v>
      </c>
    </row>
    <row r="87" spans="1:4" hidden="1" x14ac:dyDescent="0.35">
      <c r="A87" s="3">
        <v>2001</v>
      </c>
      <c r="B87" s="4" t="s">
        <v>1619</v>
      </c>
      <c r="C87" s="4" t="s">
        <v>5905</v>
      </c>
      <c r="D87" t="str">
        <f>IF(COUNTIFS(Sheet1!$D$2:$D$3203, A87, Sheet1!$C$2:$C$3203, B87) &gt; 0, "Sudah", "Belum")</f>
        <v>Sudah</v>
      </c>
    </row>
    <row r="88" spans="1:4" hidden="1" x14ac:dyDescent="0.35">
      <c r="A88" s="3">
        <v>2000</v>
      </c>
      <c r="B88" s="4" t="s">
        <v>1452</v>
      </c>
      <c r="C88" s="4" t="s">
        <v>5906</v>
      </c>
      <c r="D88" t="str">
        <f>IF(COUNTIFS(Sheet1!$D$2:$D$3203, A88, Sheet1!$C$2:$C$3203, B88) &gt; 0, "Sudah", "Belum")</f>
        <v>Sudah</v>
      </c>
    </row>
    <row r="89" spans="1:4" hidden="1" x14ac:dyDescent="0.35">
      <c r="A89" s="3">
        <v>1998</v>
      </c>
      <c r="B89" s="4" t="s">
        <v>1308</v>
      </c>
      <c r="C89" s="4" t="s">
        <v>5907</v>
      </c>
      <c r="D89" t="str">
        <f>IF(COUNTIFS(Sheet1!$D$2:$D$3203, A89, Sheet1!$C$2:$C$3203, B89) &gt; 0, "Sudah", "Belum")</f>
        <v>Sudah</v>
      </c>
    </row>
    <row r="90" spans="1:4" hidden="1" x14ac:dyDescent="0.35">
      <c r="A90" s="3">
        <v>2006</v>
      </c>
      <c r="B90" s="4" t="s">
        <v>2921</v>
      </c>
      <c r="C90" s="4" t="s">
        <v>4315</v>
      </c>
      <c r="D90" t="str">
        <f>IF(COUNTIFS(Sheet1!$D$2:$D$3203, A90, Sheet1!$C$2:$C$3203, B90) &gt; 0, "Sudah", "Belum")</f>
        <v>Sudah</v>
      </c>
    </row>
    <row r="91" spans="1:4" hidden="1" x14ac:dyDescent="0.35">
      <c r="A91" s="3">
        <v>2003</v>
      </c>
      <c r="B91" s="4" t="s">
        <v>5908</v>
      </c>
      <c r="C91" s="4" t="s">
        <v>5909</v>
      </c>
      <c r="D91" t="str">
        <f>IF(COUNTIFS(Sheet1!$D$2:$D$3203, A91, Sheet1!$C$2:$C$3203, B91) &gt; 0, "Sudah", "Belum")</f>
        <v>Sudah</v>
      </c>
    </row>
    <row r="92" spans="1:4" hidden="1" x14ac:dyDescent="0.35">
      <c r="A92" s="3">
        <v>2003</v>
      </c>
      <c r="B92" s="4" t="s">
        <v>1821</v>
      </c>
      <c r="C92" s="4" t="s">
        <v>3277</v>
      </c>
      <c r="D92" t="str">
        <f>IF(COUNTIFS(Sheet1!$D$2:$D$3203, A92, Sheet1!$C$2:$C$3203, B92) &gt; 0, "Sudah", "Belum")</f>
        <v>Sudah</v>
      </c>
    </row>
    <row r="93" spans="1:4" hidden="1" x14ac:dyDescent="0.35">
      <c r="A93" s="3">
        <v>2000</v>
      </c>
      <c r="B93" s="4" t="s">
        <v>1584</v>
      </c>
      <c r="C93" s="4" t="s">
        <v>5910</v>
      </c>
      <c r="D93" t="str">
        <f>IF(COUNTIFS(Sheet1!$D$2:$D$3203, A93, Sheet1!$C$2:$C$3203, B93) &gt; 0, "Sudah", "Belum")</f>
        <v>Sudah</v>
      </c>
    </row>
    <row r="94" spans="1:4" hidden="1" x14ac:dyDescent="0.35">
      <c r="A94" s="3">
        <v>1998</v>
      </c>
      <c r="B94" s="4" t="s">
        <v>1282</v>
      </c>
      <c r="C94" s="4" t="s">
        <v>3898</v>
      </c>
      <c r="D94" t="str">
        <f>IF(COUNTIFS(Sheet1!$D$2:$D$3203, A94, Sheet1!$C$2:$C$3203, B94) &gt; 0, "Sudah", "Belum")</f>
        <v>Sudah</v>
      </c>
    </row>
    <row r="95" spans="1:4" hidden="1" x14ac:dyDescent="0.35">
      <c r="A95" s="3">
        <v>1998</v>
      </c>
      <c r="B95" s="4" t="s">
        <v>1282</v>
      </c>
      <c r="C95" s="4" t="s">
        <v>3898</v>
      </c>
      <c r="D95" t="str">
        <f>IF(COUNTIFS(Sheet1!$D$2:$D$3203, A95, Sheet1!$C$2:$C$3203, B95) &gt; 0, "Sudah", "Belum")</f>
        <v>Sudah</v>
      </c>
    </row>
    <row r="96" spans="1:4" hidden="1" x14ac:dyDescent="0.35">
      <c r="A96" s="3">
        <v>2010</v>
      </c>
      <c r="B96" s="4" t="s">
        <v>1978</v>
      </c>
      <c r="C96" s="4" t="s">
        <v>5911</v>
      </c>
      <c r="D96" t="str">
        <f>IF(COUNTIFS(Sheet1!$D$2:$D$3203, A96, Sheet1!$C$2:$C$3203, B96) &gt; 0, "Sudah", "Belum")</f>
        <v>Sudah</v>
      </c>
    </row>
    <row r="97" spans="1:4" hidden="1" x14ac:dyDescent="0.35">
      <c r="A97" s="3">
        <v>1990</v>
      </c>
      <c r="B97" s="4" t="s">
        <v>807</v>
      </c>
      <c r="C97" s="4" t="s">
        <v>3662</v>
      </c>
      <c r="D97" t="str">
        <f>IF(COUNTIFS(Sheet1!$D$2:$D$3203, A97, Sheet1!$C$2:$C$3203, B97) &gt; 0, "Sudah", "Belum")</f>
        <v>Sudah</v>
      </c>
    </row>
    <row r="98" spans="1:4" hidden="1" x14ac:dyDescent="0.35">
      <c r="A98" s="3">
        <v>2009</v>
      </c>
      <c r="B98" s="4" t="s">
        <v>1862</v>
      </c>
      <c r="C98" s="4" t="s">
        <v>5912</v>
      </c>
      <c r="D98" t="str">
        <f>IF(COUNTIFS(Sheet1!$D$2:$D$3203, A98, Sheet1!$C$2:$C$3203, B98) &gt; 0, "Sudah", "Belum")</f>
        <v>Sudah</v>
      </c>
    </row>
    <row r="99" spans="1:4" hidden="1" x14ac:dyDescent="0.35">
      <c r="A99" s="3">
        <v>1998</v>
      </c>
      <c r="B99" s="4" t="s">
        <v>1373</v>
      </c>
      <c r="C99" s="4" t="s">
        <v>5913</v>
      </c>
      <c r="D99" t="str">
        <f>IF(COUNTIFS(Sheet1!$D$2:$D$3203, A99, Sheet1!$C$2:$C$3203, B99) &gt; 0, "Sudah", "Belum")</f>
        <v>Sudah</v>
      </c>
    </row>
    <row r="100" spans="1:4" hidden="1" x14ac:dyDescent="0.35">
      <c r="A100" s="3">
        <v>2003</v>
      </c>
      <c r="B100" s="4" t="s">
        <v>2946</v>
      </c>
      <c r="C100" s="4" t="s">
        <v>5914</v>
      </c>
      <c r="D100" t="str">
        <f>IF(COUNTIFS(Sheet1!$D$2:$D$3203, A100, Sheet1!$C$2:$C$3203, B100) &gt; 0, "Sudah", "Belum")</f>
        <v>Sudah</v>
      </c>
    </row>
    <row r="101" spans="1:4" hidden="1" x14ac:dyDescent="0.35">
      <c r="A101" s="3">
        <v>2006</v>
      </c>
      <c r="B101" s="4" t="s">
        <v>2906</v>
      </c>
      <c r="C101" s="4" t="s">
        <v>5915</v>
      </c>
      <c r="D101" t="str">
        <f>IF(COUNTIFS(Sheet1!$D$2:$D$3203, A101, Sheet1!$C$2:$C$3203, B101) &gt; 0, "Sudah", "Belum")</f>
        <v>Sudah</v>
      </c>
    </row>
    <row r="102" spans="1:4" hidden="1" x14ac:dyDescent="0.35">
      <c r="A102" s="3">
        <v>1983</v>
      </c>
      <c r="B102" s="4" t="s">
        <v>393</v>
      </c>
      <c r="C102" s="4" t="s">
        <v>4136</v>
      </c>
      <c r="D102" t="str">
        <f>IF(COUNTIFS(Sheet1!$D$2:$D$3203, A102, Sheet1!$C$2:$C$3203, B102) &gt; 0, "Sudah", "Belum")</f>
        <v>Sudah</v>
      </c>
    </row>
    <row r="103" spans="1:4" hidden="1" x14ac:dyDescent="0.35">
      <c r="A103" s="3">
        <v>2013</v>
      </c>
      <c r="B103" s="4" t="s">
        <v>2200</v>
      </c>
      <c r="C103" s="4" t="s">
        <v>5916</v>
      </c>
      <c r="D103" t="str">
        <f>IF(COUNTIFS(Sheet1!$D$2:$D$3203, A103, Sheet1!$C$2:$C$3203, B103) &gt; 0, "Sudah", "Belum")</f>
        <v>Sudah</v>
      </c>
    </row>
    <row r="104" spans="1:4" hidden="1" x14ac:dyDescent="0.35">
      <c r="A104" s="3">
        <v>1998</v>
      </c>
      <c r="B104" s="4" t="s">
        <v>1284</v>
      </c>
      <c r="C104" s="4" t="s">
        <v>5917</v>
      </c>
      <c r="D104" t="str">
        <f>IF(COUNTIFS(Sheet1!$D$2:$D$3203, A104, Sheet1!$C$2:$C$3203, B104) &gt; 0, "Sudah", "Belum")</f>
        <v>Sudah</v>
      </c>
    </row>
    <row r="105" spans="1:4" hidden="1" x14ac:dyDescent="0.35">
      <c r="A105" s="3">
        <v>2018</v>
      </c>
      <c r="B105" s="4" t="s">
        <v>2487</v>
      </c>
      <c r="C105" s="4" t="s">
        <v>3219</v>
      </c>
      <c r="D105" t="str">
        <f>IF(COUNTIFS(Sheet1!$D$2:$D$3203, A105, Sheet1!$C$2:$C$3203, B105) &gt; 0, "Sudah", "Belum")</f>
        <v>Sudah</v>
      </c>
    </row>
    <row r="106" spans="1:4" hidden="1" x14ac:dyDescent="0.35">
      <c r="A106" s="3">
        <v>1989</v>
      </c>
      <c r="B106" s="4" t="s">
        <v>5918</v>
      </c>
      <c r="C106" s="4" t="s">
        <v>3680</v>
      </c>
      <c r="D106" t="str">
        <f>IF(COUNTIFS(Sheet1!$D$2:$D$3203, A106, Sheet1!$C$2:$C$3203, B106) &gt; 0, "Sudah", "Belum")</f>
        <v>Sudah</v>
      </c>
    </row>
    <row r="107" spans="1:4" hidden="1" x14ac:dyDescent="0.35">
      <c r="A107" s="3">
        <v>1989</v>
      </c>
      <c r="B107" s="4" t="s">
        <v>5919</v>
      </c>
      <c r="C107" s="4" t="s">
        <v>3680</v>
      </c>
      <c r="D107" t="str">
        <f>IF(COUNTIFS(Sheet1!$D$2:$D$3203, A107, Sheet1!$C$2:$C$3203, B107) &gt; 0, "Sudah", "Belum")</f>
        <v>Sudah</v>
      </c>
    </row>
    <row r="108" spans="1:4" hidden="1" x14ac:dyDescent="0.35">
      <c r="A108" s="3">
        <v>2009</v>
      </c>
      <c r="B108" s="4" t="s">
        <v>1986</v>
      </c>
      <c r="C108" s="4" t="s">
        <v>5920</v>
      </c>
      <c r="D108" t="str">
        <f>IF(COUNTIFS(Sheet1!$D$2:$D$3203, A108, Sheet1!$C$2:$C$3203, B108) &gt; 0, "Sudah", "Belum")</f>
        <v>Sudah</v>
      </c>
    </row>
    <row r="109" spans="1:4" hidden="1" x14ac:dyDescent="0.35">
      <c r="A109" s="3">
        <v>2000</v>
      </c>
      <c r="B109" s="4" t="s">
        <v>1495</v>
      </c>
      <c r="C109" s="4" t="s">
        <v>5921</v>
      </c>
      <c r="D109" t="str">
        <f>IF(COUNTIFS(Sheet1!$D$2:$D$3203, A109, Sheet1!$C$2:$C$3203, B109) &gt; 0, "Sudah", "Belum")</f>
        <v>Sudah</v>
      </c>
    </row>
    <row r="110" spans="1:4" hidden="1" x14ac:dyDescent="0.35">
      <c r="A110" s="3">
        <v>1987</v>
      </c>
      <c r="B110" s="4" t="s">
        <v>630</v>
      </c>
      <c r="C110" s="4" t="s">
        <v>3781</v>
      </c>
      <c r="D110" t="str">
        <f>IF(COUNTIFS(Sheet1!$D$2:$D$3203, A110, Sheet1!$C$2:$C$3203, B110) &gt; 0, "Sudah", "Belum")</f>
        <v>Sudah</v>
      </c>
    </row>
    <row r="111" spans="1:4" hidden="1" x14ac:dyDescent="0.35">
      <c r="A111" s="3">
        <v>1995</v>
      </c>
      <c r="B111" s="4" t="s">
        <v>1028</v>
      </c>
      <c r="C111" s="4" t="s">
        <v>3425</v>
      </c>
      <c r="D111" t="str">
        <f>IF(COUNTIFS(Sheet1!$D$2:$D$3203, A111, Sheet1!$C$2:$C$3203, B111) &gt; 0, "Sudah", "Belum")</f>
        <v>Sudah</v>
      </c>
    </row>
    <row r="112" spans="1:4" hidden="1" x14ac:dyDescent="0.35">
      <c r="A112" s="3">
        <v>1999</v>
      </c>
      <c r="B112" s="4" t="s">
        <v>1359</v>
      </c>
      <c r="C112" s="4" t="s">
        <v>4813</v>
      </c>
      <c r="D112" t="str">
        <f>IF(COUNTIFS(Sheet1!$D$2:$D$3203, A112, Sheet1!$C$2:$C$3203, B112) &gt; 0, "Sudah", "Belum")</f>
        <v>Sudah</v>
      </c>
    </row>
    <row r="113" spans="1:4" hidden="1" x14ac:dyDescent="0.35">
      <c r="A113" s="3">
        <v>1998</v>
      </c>
      <c r="B113" s="4" t="s">
        <v>1288</v>
      </c>
      <c r="C113" s="4" t="s">
        <v>5922</v>
      </c>
      <c r="D113" t="str">
        <f>IF(COUNTIFS(Sheet1!$D$2:$D$3203, A113, Sheet1!$C$2:$C$3203, B113) &gt; 0, "Sudah", "Belum")</f>
        <v>Sudah</v>
      </c>
    </row>
    <row r="114" spans="1:4" hidden="1" x14ac:dyDescent="0.35">
      <c r="A114" s="3">
        <v>2006</v>
      </c>
      <c r="B114" s="4" t="s">
        <v>2952</v>
      </c>
      <c r="C114" s="4" t="s">
        <v>5923</v>
      </c>
      <c r="D114" t="str">
        <f>IF(COUNTIFS(Sheet1!$D$2:$D$3203, A114, Sheet1!$C$2:$C$3203, B114) &gt; 0, "Sudah", "Belum")</f>
        <v>Sudah</v>
      </c>
    </row>
    <row r="115" spans="1:4" hidden="1" x14ac:dyDescent="0.35">
      <c r="A115" s="3">
        <v>2017</v>
      </c>
      <c r="B115" s="4" t="s">
        <v>2416</v>
      </c>
      <c r="C115" s="4" t="s">
        <v>5632</v>
      </c>
      <c r="D115" t="str">
        <f>IF(COUNTIFS(Sheet1!$D$2:$D$3203, A115, Sheet1!$C$2:$C$3203, B115) &gt; 0, "Sudah", "Belum")</f>
        <v>Sudah</v>
      </c>
    </row>
    <row r="116" spans="1:4" hidden="1" x14ac:dyDescent="0.35">
      <c r="A116" s="3">
        <v>2001</v>
      </c>
      <c r="B116" s="4" t="s">
        <v>1652</v>
      </c>
      <c r="C116" s="4" t="s">
        <v>5924</v>
      </c>
      <c r="D116" t="str">
        <f>IF(COUNTIFS(Sheet1!$D$2:$D$3203, A116, Sheet1!$C$2:$C$3203, B116) &gt; 0, "Sudah", "Belum")</f>
        <v>Sudah</v>
      </c>
    </row>
    <row r="117" spans="1:4" hidden="1" x14ac:dyDescent="0.35">
      <c r="A117" s="3">
        <v>1995</v>
      </c>
      <c r="B117" s="4" t="s">
        <v>1290</v>
      </c>
      <c r="C117" s="4" t="s">
        <v>4652</v>
      </c>
      <c r="D117" t="str">
        <f>IF(COUNTIFS(Sheet1!$D$2:$D$3203, A117, Sheet1!$C$2:$C$3203, B117) &gt; 0, "Sudah", "Belum")</f>
        <v>Sudah</v>
      </c>
    </row>
    <row r="118" spans="1:4" hidden="1" x14ac:dyDescent="0.35">
      <c r="A118" s="3">
        <v>1989</v>
      </c>
      <c r="B118" s="4" t="s">
        <v>871</v>
      </c>
      <c r="C118" s="4" t="s">
        <v>5925</v>
      </c>
      <c r="D118" t="str">
        <f>IF(COUNTIFS(Sheet1!$D$2:$D$3203, A118, Sheet1!$C$2:$C$3203, B118) &gt; 0, "Sudah", "Belum")</f>
        <v>Sudah</v>
      </c>
    </row>
    <row r="119" spans="1:4" hidden="1" x14ac:dyDescent="0.35">
      <c r="A119" s="3">
        <v>2001</v>
      </c>
      <c r="B119" s="4" t="s">
        <v>5834</v>
      </c>
      <c r="C119" s="4" t="s">
        <v>3853</v>
      </c>
      <c r="D119" t="str">
        <f>IF(COUNTIFS(Sheet1!$D$2:$D$3203, A119, Sheet1!$C$2:$C$3203, B119) &gt; 0, "Sudah", "Belum")</f>
        <v>Sudah</v>
      </c>
    </row>
    <row r="120" spans="1:4" hidden="1" x14ac:dyDescent="0.35">
      <c r="A120" s="3">
        <v>1998</v>
      </c>
      <c r="B120" s="4" t="s">
        <v>1370</v>
      </c>
      <c r="C120" s="4" t="s">
        <v>5926</v>
      </c>
      <c r="D120" t="str">
        <f>IF(COUNTIFS(Sheet1!$D$2:$D$3203, A120, Sheet1!$C$2:$C$3203, B120) &gt; 0, "Sudah", "Belum")</f>
        <v>Sudah</v>
      </c>
    </row>
    <row r="121" spans="1:4" hidden="1" x14ac:dyDescent="0.35">
      <c r="A121" s="3">
        <v>1998</v>
      </c>
      <c r="B121" s="4" t="s">
        <v>1723</v>
      </c>
      <c r="C121" s="4" t="s">
        <v>4486</v>
      </c>
      <c r="D121" t="str">
        <f>IF(COUNTIFS(Sheet1!$D$2:$D$3203, A121, Sheet1!$C$2:$C$3203, B121) &gt; 0, "Sudah", "Belum")</f>
        <v>Sudah</v>
      </c>
    </row>
    <row r="122" spans="1:4" hidden="1" x14ac:dyDescent="0.35">
      <c r="A122" s="3">
        <v>2000</v>
      </c>
      <c r="B122" s="4" t="s">
        <v>5927</v>
      </c>
      <c r="C122" s="4" t="s">
        <v>5803</v>
      </c>
      <c r="D122" t="str">
        <f>IF(COUNTIFS(Sheet1!$D$2:$D$3203, A122, Sheet1!$C$2:$C$3203, B122) &gt; 0, "Sudah", "Belum")</f>
        <v>Sudah</v>
      </c>
    </row>
    <row r="123" spans="1:4" hidden="1" x14ac:dyDescent="0.35">
      <c r="A123" s="3">
        <v>1989</v>
      </c>
      <c r="B123" s="4" t="s">
        <v>780</v>
      </c>
      <c r="C123" s="4" t="s">
        <v>4990</v>
      </c>
      <c r="D123" t="str">
        <f>IF(COUNTIFS(Sheet1!$D$2:$D$3203, A123, Sheet1!$C$2:$C$3203, B123) &gt; 0, "Sudah", "Belum")</f>
        <v>Sudah</v>
      </c>
    </row>
    <row r="124" spans="1:4" hidden="1" x14ac:dyDescent="0.35">
      <c r="A124" s="3">
        <v>1998</v>
      </c>
      <c r="B124" s="4" t="s">
        <v>1305</v>
      </c>
      <c r="C124" s="4" t="s">
        <v>5928</v>
      </c>
      <c r="D124" t="str">
        <f>IF(COUNTIFS(Sheet1!$D$2:$D$3203, A124, Sheet1!$C$2:$C$3203, B124) &gt; 0, "Sudah", "Belum")</f>
        <v>Sudah</v>
      </c>
    </row>
    <row r="125" spans="1:4" hidden="1" x14ac:dyDescent="0.35">
      <c r="A125" s="3">
        <v>2005</v>
      </c>
      <c r="B125" s="4" t="s">
        <v>1813</v>
      </c>
      <c r="C125" s="4" t="s">
        <v>5929</v>
      </c>
      <c r="D125" t="str">
        <f>IF(COUNTIFS(Sheet1!$D$2:$D$3203, A125, Sheet1!$C$2:$C$3203, B125) &gt; 0, "Sudah", "Belum")</f>
        <v>Sudah</v>
      </c>
    </row>
    <row r="126" spans="1:4" hidden="1" x14ac:dyDescent="0.35">
      <c r="A126" s="3">
        <v>2008</v>
      </c>
      <c r="B126" s="4" t="s">
        <v>1911</v>
      </c>
      <c r="C126" s="4" t="s">
        <v>4311</v>
      </c>
      <c r="D126" t="str">
        <f>IF(COUNTIFS(Sheet1!$D$2:$D$3203, A126, Sheet1!$C$2:$C$3203, B126) &gt; 0, "Sudah", "Belum")</f>
        <v>Sudah</v>
      </c>
    </row>
    <row r="127" spans="1:4" hidden="1" x14ac:dyDescent="0.35">
      <c r="A127" s="3">
        <v>2010</v>
      </c>
      <c r="B127" s="4" t="s">
        <v>1919</v>
      </c>
      <c r="C127" s="4" t="s">
        <v>5930</v>
      </c>
      <c r="D127" t="str">
        <f>IF(COUNTIFS(Sheet1!$D$2:$D$3203, A127, Sheet1!$C$2:$C$3203, B127) &gt; 0, "Sudah", "Belum")</f>
        <v>Sudah</v>
      </c>
    </row>
    <row r="128" spans="1:4" hidden="1" x14ac:dyDescent="0.35">
      <c r="A128" s="3">
        <v>2000</v>
      </c>
      <c r="B128" s="4" t="s">
        <v>1494</v>
      </c>
      <c r="C128" s="4" t="s">
        <v>5931</v>
      </c>
      <c r="D128" t="str">
        <f>IF(COUNTIFS(Sheet1!$D$2:$D$3203, A128, Sheet1!$C$2:$C$3203, B128) &gt; 0, "Sudah", "Belum")</f>
        <v>Sudah</v>
      </c>
    </row>
    <row r="129" spans="1:4" hidden="1" x14ac:dyDescent="0.35">
      <c r="A129" s="3">
        <v>2016</v>
      </c>
      <c r="B129" s="4" t="s">
        <v>3120</v>
      </c>
      <c r="C129" s="4" t="s">
        <v>5932</v>
      </c>
      <c r="D129" t="str">
        <f>IF(COUNTIFS(Sheet1!$D$2:$D$3203, A129, Sheet1!$C$2:$C$3203, B129) &gt; 0, "Sudah", "Belum")</f>
        <v>Sudah</v>
      </c>
    </row>
    <row r="130" spans="1:4" hidden="1" x14ac:dyDescent="0.35">
      <c r="A130" s="3">
        <v>1995</v>
      </c>
      <c r="B130" s="4" t="s">
        <v>5825</v>
      </c>
      <c r="C130" s="4" t="s">
        <v>3294</v>
      </c>
      <c r="D130" t="str">
        <f>IF(COUNTIFS(Sheet1!$D$2:$D$3203, A130, Sheet1!$C$2:$C$3203, B130) &gt; 0, "Sudah", "Belum")</f>
        <v>Sudah</v>
      </c>
    </row>
    <row r="131" spans="1:4" hidden="1" x14ac:dyDescent="0.35">
      <c r="A131" s="3">
        <v>1991</v>
      </c>
      <c r="B131" s="4" t="s">
        <v>813</v>
      </c>
      <c r="C131" s="4" t="s">
        <v>5933</v>
      </c>
      <c r="D131" t="str">
        <f>IF(COUNTIFS(Sheet1!$D$2:$D$3203, A131, Sheet1!$C$2:$C$3203, B131) &gt; 0, "Sudah", "Belum")</f>
        <v>Sudah</v>
      </c>
    </row>
    <row r="132" spans="1:4" hidden="1" x14ac:dyDescent="0.35">
      <c r="A132" s="3">
        <v>2004</v>
      </c>
      <c r="B132" s="4" t="s">
        <v>5934</v>
      </c>
      <c r="C132" s="4" t="s">
        <v>5935</v>
      </c>
      <c r="D132" t="str">
        <f>IF(COUNTIFS(Sheet1!$D$2:$D$3203, A132, Sheet1!$C$2:$C$3203, B132) &gt; 0, "Sudah", "Belum")</f>
        <v>Sudah</v>
      </c>
    </row>
    <row r="133" spans="1:4" hidden="1" x14ac:dyDescent="0.35">
      <c r="A133" s="3">
        <v>2004</v>
      </c>
      <c r="B133" s="4" t="s">
        <v>1482</v>
      </c>
      <c r="C133" s="4" t="s">
        <v>4116</v>
      </c>
      <c r="D133" t="str">
        <f>IF(COUNTIFS(Sheet1!$D$2:$D$3203, A133, Sheet1!$C$2:$C$3203, B133) &gt; 0, "Sudah", "Belum")</f>
        <v>Sudah</v>
      </c>
    </row>
    <row r="134" spans="1:4" hidden="1" x14ac:dyDescent="0.35">
      <c r="A134" s="3">
        <v>2013</v>
      </c>
      <c r="B134" s="4" t="s">
        <v>2231</v>
      </c>
      <c r="C134" s="4" t="s">
        <v>5936</v>
      </c>
      <c r="D134" t="str">
        <f>IF(COUNTIFS(Sheet1!$D$2:$D$3203, A134, Sheet1!$C$2:$C$3203, B134) &gt; 0, "Sudah", "Belum")</f>
        <v>Sudah</v>
      </c>
    </row>
    <row r="135" spans="1:4" hidden="1" x14ac:dyDescent="0.35">
      <c r="A135" s="3">
        <v>2011</v>
      </c>
      <c r="B135" s="4" t="s">
        <v>2022</v>
      </c>
      <c r="C135" s="4" t="s">
        <v>5937</v>
      </c>
      <c r="D135" t="str">
        <f>IF(COUNTIFS(Sheet1!$D$2:$D$3203, A135, Sheet1!$C$2:$C$3203, B135) &gt; 0, "Sudah", "Belum")</f>
        <v>Sudah</v>
      </c>
    </row>
    <row r="136" spans="1:4" hidden="1" x14ac:dyDescent="0.35">
      <c r="A136" s="3">
        <v>2010</v>
      </c>
      <c r="B136" s="4" t="s">
        <v>2084</v>
      </c>
      <c r="C136" s="4" t="s">
        <v>5938</v>
      </c>
      <c r="D136" t="str">
        <f>IF(COUNTIFS(Sheet1!$D$2:$D$3203, A136, Sheet1!$C$2:$C$3203, B136) &gt; 0, "Sudah", "Belum")</f>
        <v>Sudah</v>
      </c>
    </row>
    <row r="137" spans="1:4" hidden="1" x14ac:dyDescent="0.35">
      <c r="A137" s="3">
        <v>1988</v>
      </c>
      <c r="B137" s="4" t="s">
        <v>825</v>
      </c>
      <c r="C137" s="4" t="s">
        <v>5939</v>
      </c>
      <c r="D137" t="str">
        <f>IF(COUNTIFS(Sheet1!$D$2:$D$3203, A137, Sheet1!$C$2:$C$3203, B137) &gt; 0, "Sudah", "Belum")</f>
        <v>Sudah</v>
      </c>
    </row>
    <row r="138" spans="1:4" hidden="1" x14ac:dyDescent="0.35">
      <c r="A138" s="3">
        <v>2000</v>
      </c>
      <c r="B138" s="4" t="s">
        <v>1541</v>
      </c>
      <c r="C138" s="4" t="s">
        <v>4348</v>
      </c>
      <c r="D138" t="str">
        <f>IF(COUNTIFS(Sheet1!$D$2:$D$3203, A138, Sheet1!$C$2:$C$3203, B138) &gt; 0, "Sudah", "Belum")</f>
        <v>Sudah</v>
      </c>
    </row>
    <row r="139" spans="1:4" hidden="1" x14ac:dyDescent="0.35">
      <c r="A139" s="3">
        <v>2003</v>
      </c>
      <c r="B139" s="4" t="s">
        <v>1744</v>
      </c>
      <c r="C139" s="4" t="s">
        <v>3837</v>
      </c>
      <c r="D139" t="str">
        <f>IF(COUNTIFS(Sheet1!$D$2:$D$3203, A139, Sheet1!$C$2:$C$3203, B139) &gt; 0, "Sudah", "Belum")</f>
        <v>Sudah</v>
      </c>
    </row>
    <row r="140" spans="1:4" hidden="1" x14ac:dyDescent="0.35">
      <c r="A140" s="3">
        <v>2007</v>
      </c>
      <c r="B140" s="4" t="s">
        <v>5940</v>
      </c>
      <c r="C140" s="4" t="s">
        <v>5941</v>
      </c>
      <c r="D140" t="str">
        <f>IF(COUNTIFS(Sheet1!$D$2:$D$3203, A140, Sheet1!$C$2:$C$3203, B140) &gt; 0, "Sudah", "Belum")</f>
        <v>Sudah</v>
      </c>
    </row>
    <row r="141" spans="1:4" hidden="1" x14ac:dyDescent="0.35">
      <c r="A141" s="3">
        <v>1988</v>
      </c>
      <c r="B141" s="4" t="s">
        <v>752</v>
      </c>
      <c r="C141" s="4" t="s">
        <v>4203</v>
      </c>
      <c r="D141" t="str">
        <f>IF(COUNTIFS(Sheet1!$D$2:$D$3203, A141, Sheet1!$C$2:$C$3203, B141) &gt; 0, "Sudah", "Belum")</f>
        <v>Sudah</v>
      </c>
    </row>
    <row r="142" spans="1:4" hidden="1" x14ac:dyDescent="0.35">
      <c r="A142" s="3">
        <v>1988</v>
      </c>
      <c r="B142" s="4" t="s">
        <v>752</v>
      </c>
      <c r="C142" s="4" t="s">
        <v>4203</v>
      </c>
      <c r="D142" t="str">
        <f>IF(COUNTIFS(Sheet1!$D$2:$D$3203, A142, Sheet1!$C$2:$C$3203, B142) &gt; 0, "Sudah", "Belum")</f>
        <v>Sudah</v>
      </c>
    </row>
    <row r="143" spans="1:4" hidden="1" x14ac:dyDescent="0.35">
      <c r="A143" s="3">
        <v>1998</v>
      </c>
      <c r="B143" s="4" t="s">
        <v>1300</v>
      </c>
      <c r="C143" s="4" t="s">
        <v>5294</v>
      </c>
      <c r="D143" t="str">
        <f>IF(COUNTIFS(Sheet1!$D$2:$D$3203, A143, Sheet1!$C$2:$C$3203, B143) &gt; 0, "Sudah", "Belum")</f>
        <v>Sudah</v>
      </c>
    </row>
    <row r="144" spans="1:4" hidden="1" x14ac:dyDescent="0.35">
      <c r="A144" s="3">
        <v>2015</v>
      </c>
      <c r="B144" s="4" t="s">
        <v>3077</v>
      </c>
      <c r="C144" s="4" t="s">
        <v>5942</v>
      </c>
      <c r="D144" t="str">
        <f>IF(COUNTIFS(Sheet1!$D$2:$D$3203, A144, Sheet1!$C$2:$C$3203, B144) &gt; 0, "Sudah", "Belum")</f>
        <v>Sudah</v>
      </c>
    </row>
    <row r="145" spans="1:4" hidden="1" x14ac:dyDescent="0.35">
      <c r="A145" s="3">
        <v>1997</v>
      </c>
      <c r="B145" s="4" t="s">
        <v>1177</v>
      </c>
      <c r="C145" s="4" t="s">
        <v>5943</v>
      </c>
      <c r="D145" t="str">
        <f>IF(COUNTIFS(Sheet1!$D$2:$D$3203, A145, Sheet1!$C$2:$C$3203, B145) &gt; 0, "Sudah", "Belum")</f>
        <v>Sudah</v>
      </c>
    </row>
    <row r="146" spans="1:4" hidden="1" x14ac:dyDescent="0.35">
      <c r="A146" s="3">
        <v>1997</v>
      </c>
      <c r="B146" s="4" t="s">
        <v>1177</v>
      </c>
      <c r="C146" s="4" t="s">
        <v>5943</v>
      </c>
      <c r="D146" t="str">
        <f>IF(COUNTIFS(Sheet1!$D$2:$D$3203, A146, Sheet1!$C$2:$C$3203, B146) &gt; 0, "Sudah", "Belum")</f>
        <v>Sudah</v>
      </c>
    </row>
    <row r="147" spans="1:4" hidden="1" x14ac:dyDescent="0.35">
      <c r="A147" s="3">
        <v>1993</v>
      </c>
      <c r="B147" s="4" t="s">
        <v>1139</v>
      </c>
      <c r="C147" s="4" t="s">
        <v>5944</v>
      </c>
      <c r="D147" t="str">
        <f>IF(COUNTIFS(Sheet1!$D$2:$D$3203, A147, Sheet1!$C$2:$C$3203, B147) &gt; 0, "Sudah", "Belum")</f>
        <v>Sudah</v>
      </c>
    </row>
    <row r="148" spans="1:4" hidden="1" x14ac:dyDescent="0.35">
      <c r="A148" s="3">
        <v>2009</v>
      </c>
      <c r="B148" s="4" t="s">
        <v>5945</v>
      </c>
      <c r="C148" s="4" t="s">
        <v>5274</v>
      </c>
      <c r="D148" t="str">
        <f>IF(COUNTIFS(Sheet1!$D$2:$D$3203, A148, Sheet1!$C$2:$C$3203, B148) &gt; 0, "Sudah", "Belum")</f>
        <v>Sudah</v>
      </c>
    </row>
    <row r="149" spans="1:4" hidden="1" x14ac:dyDescent="0.35">
      <c r="A149" s="3">
        <v>2011</v>
      </c>
      <c r="B149" s="4" t="s">
        <v>2015</v>
      </c>
      <c r="C149" s="4" t="s">
        <v>5946</v>
      </c>
      <c r="D149" t="str">
        <f>IF(COUNTIFS(Sheet1!$D$2:$D$3203, A149, Sheet1!$C$2:$C$3203, B149) &gt; 0, "Sudah", "Belum")</f>
        <v>Sudah</v>
      </c>
    </row>
    <row r="150" spans="1:4" hidden="1" x14ac:dyDescent="0.35">
      <c r="A150" s="3">
        <v>1993</v>
      </c>
      <c r="B150" s="4" t="s">
        <v>892</v>
      </c>
      <c r="C150" s="4" t="s">
        <v>3752</v>
      </c>
      <c r="D150" t="str">
        <f>IF(COUNTIFS(Sheet1!$D$2:$D$3203, A150, Sheet1!$C$2:$C$3203, B150) &gt; 0, "Sudah", "Belum")</f>
        <v>Sudah</v>
      </c>
    </row>
    <row r="151" spans="1:4" hidden="1" x14ac:dyDescent="0.35">
      <c r="A151" s="3">
        <v>1989</v>
      </c>
      <c r="B151" s="4" t="s">
        <v>5947</v>
      </c>
      <c r="C151" s="4" t="s">
        <v>5948</v>
      </c>
      <c r="D151" t="str">
        <f>IF(COUNTIFS(Sheet1!$D$2:$D$3203, A151, Sheet1!$C$2:$C$3203, B151) &gt; 0, "Sudah", "Belum")</f>
        <v>Sudah</v>
      </c>
    </row>
    <row r="152" spans="1:4" hidden="1" x14ac:dyDescent="0.35">
      <c r="A152" s="3">
        <v>1998</v>
      </c>
      <c r="B152" s="4" t="s">
        <v>5949</v>
      </c>
      <c r="C152" s="4" t="s">
        <v>5950</v>
      </c>
      <c r="D152" t="str">
        <f>IF(COUNTIFS(Sheet1!$D$2:$D$3203, A152, Sheet1!$C$2:$C$3203, B152) &gt; 0, "Sudah", "Belum")</f>
        <v>Sudah</v>
      </c>
    </row>
    <row r="153" spans="1:4" hidden="1" x14ac:dyDescent="0.35">
      <c r="A153" s="3">
        <v>2010</v>
      </c>
      <c r="B153" s="4" t="s">
        <v>2065</v>
      </c>
      <c r="C153" s="4" t="s">
        <v>3979</v>
      </c>
      <c r="D153" t="str">
        <f>IF(COUNTIFS(Sheet1!$D$2:$D$3203, A153, Sheet1!$C$2:$C$3203, B153) &gt; 0, "Sudah", "Belum")</f>
        <v>Sudah</v>
      </c>
    </row>
    <row r="154" spans="1:4" hidden="1" x14ac:dyDescent="0.35">
      <c r="A154" s="3">
        <v>2001</v>
      </c>
      <c r="B154" s="4" t="s">
        <v>1676</v>
      </c>
      <c r="C154" s="4" t="s">
        <v>5951</v>
      </c>
      <c r="D154" t="str">
        <f>IF(COUNTIFS(Sheet1!$D$2:$D$3203, A154, Sheet1!$C$2:$C$3203, B154) &gt; 0, "Sudah", "Belum")</f>
        <v>Sudah</v>
      </c>
    </row>
    <row r="155" spans="1:4" hidden="1" x14ac:dyDescent="0.35">
      <c r="A155" s="3">
        <v>1999</v>
      </c>
      <c r="B155" s="4" t="s">
        <v>1470</v>
      </c>
      <c r="C155" s="4" t="s">
        <v>5952</v>
      </c>
      <c r="D155" t="str">
        <f>IF(COUNTIFS(Sheet1!$D$2:$D$3203, A155, Sheet1!$C$2:$C$3203, B155) &gt; 0, "Sudah", "Belum")</f>
        <v>Sudah</v>
      </c>
    </row>
    <row r="156" spans="1:4" hidden="1" x14ac:dyDescent="0.35">
      <c r="A156" s="3">
        <v>2003</v>
      </c>
      <c r="B156" s="4" t="s">
        <v>5826</v>
      </c>
      <c r="C156" s="4" t="s">
        <v>3305</v>
      </c>
      <c r="D156" t="str">
        <f>IF(COUNTIFS(Sheet1!$D$2:$D$3203, A156, Sheet1!$C$2:$C$3203, B156) &gt; 0, "Sudah", "Belum")</f>
        <v>Sudah</v>
      </c>
    </row>
    <row r="157" spans="1:4" hidden="1" x14ac:dyDescent="0.35">
      <c r="A157" s="3">
        <v>1998</v>
      </c>
      <c r="B157" s="4" t="s">
        <v>1329</v>
      </c>
      <c r="C157" s="4" t="s">
        <v>5078</v>
      </c>
      <c r="D157" t="str">
        <f>IF(COUNTIFS(Sheet1!$D$2:$D$3203, A157, Sheet1!$C$2:$C$3203, B157) &gt; 0, "Sudah", "Belum")</f>
        <v>Sudah</v>
      </c>
    </row>
    <row r="158" spans="1:4" hidden="1" x14ac:dyDescent="0.35">
      <c r="A158" s="3">
        <v>2003</v>
      </c>
      <c r="B158" s="4" t="s">
        <v>1743</v>
      </c>
      <c r="C158" s="4" t="s">
        <v>5765</v>
      </c>
      <c r="D158" t="str">
        <f>IF(COUNTIFS(Sheet1!$D$2:$D$3203, A158, Sheet1!$C$2:$C$3203, B158) &gt; 0, "Sudah", "Belum")</f>
        <v>Sudah</v>
      </c>
    </row>
    <row r="159" spans="1:4" hidden="1" x14ac:dyDescent="0.35">
      <c r="A159" s="3">
        <v>2010</v>
      </c>
      <c r="B159" s="4" t="s">
        <v>1918</v>
      </c>
      <c r="C159" s="4" t="s">
        <v>5953</v>
      </c>
      <c r="D159" t="str">
        <f>IF(COUNTIFS(Sheet1!$D$2:$D$3203, A159, Sheet1!$C$2:$C$3203, B159) &gt; 0, "Sudah", "Belum")</f>
        <v>Sudah</v>
      </c>
    </row>
    <row r="160" spans="1:4" hidden="1" x14ac:dyDescent="0.35">
      <c r="A160" s="3">
        <v>1989</v>
      </c>
      <c r="B160" s="4" t="s">
        <v>695</v>
      </c>
      <c r="C160" s="4" t="s">
        <v>5954</v>
      </c>
      <c r="D160" t="str">
        <f>IF(COUNTIFS(Sheet1!$D$2:$D$3203, A160, Sheet1!$C$2:$C$3203, B160) &gt; 0, "Sudah", "Belum")</f>
        <v>Sudah</v>
      </c>
    </row>
    <row r="161" spans="1:4" hidden="1" x14ac:dyDescent="0.35">
      <c r="A161" s="3">
        <v>1986</v>
      </c>
      <c r="B161" s="4" t="s">
        <v>612</v>
      </c>
      <c r="C161" s="4" t="s">
        <v>4358</v>
      </c>
      <c r="D161" t="str">
        <f>IF(COUNTIFS(Sheet1!$D$2:$D$3203, A161, Sheet1!$C$2:$C$3203, B161) &gt; 0, "Sudah", "Belum")</f>
        <v>Sudah</v>
      </c>
    </row>
    <row r="162" spans="1:4" hidden="1" x14ac:dyDescent="0.35">
      <c r="A162" s="3">
        <v>2005</v>
      </c>
      <c r="B162" s="4" t="s">
        <v>1843</v>
      </c>
      <c r="C162" s="4" t="s">
        <v>5955</v>
      </c>
      <c r="D162" t="str">
        <f>IF(COUNTIFS(Sheet1!$D$2:$D$3203, A162, Sheet1!$C$2:$C$3203, B162) &gt; 0, "Sudah", "Belum")</f>
        <v>Sudah</v>
      </c>
    </row>
    <row r="163" spans="1:4" hidden="1" x14ac:dyDescent="0.35">
      <c r="A163" s="3">
        <v>2013</v>
      </c>
      <c r="B163" s="4" t="s">
        <v>2198</v>
      </c>
      <c r="C163" s="4" t="s">
        <v>5956</v>
      </c>
      <c r="D163" t="str">
        <f>IF(COUNTIFS(Sheet1!$D$2:$D$3203, A163, Sheet1!$C$2:$C$3203, B163) &gt; 0, "Sudah", "Belum")</f>
        <v>Sudah</v>
      </c>
    </row>
    <row r="164" spans="1:4" hidden="1" x14ac:dyDescent="0.35">
      <c r="A164" s="3">
        <v>1996</v>
      </c>
      <c r="B164" s="4" t="s">
        <v>1192</v>
      </c>
      <c r="C164" s="4" t="s">
        <v>5957</v>
      </c>
      <c r="D164" t="str">
        <f>IF(COUNTIFS(Sheet1!$D$2:$D$3203, A164, Sheet1!$C$2:$C$3203, B164) &gt; 0, "Sudah", "Belum")</f>
        <v>Sudah</v>
      </c>
    </row>
    <row r="165" spans="1:4" hidden="1" x14ac:dyDescent="0.35">
      <c r="A165" s="3">
        <v>1991</v>
      </c>
      <c r="B165" s="4" t="s">
        <v>874</v>
      </c>
      <c r="C165" s="4" t="s">
        <v>3406</v>
      </c>
      <c r="D165" t="str">
        <f>IF(COUNTIFS(Sheet1!$D$2:$D$3203, A165, Sheet1!$C$2:$C$3203, B165) &gt; 0, "Sudah", "Belum")</f>
        <v>Sudah</v>
      </c>
    </row>
    <row r="166" spans="1:4" hidden="1" x14ac:dyDescent="0.35">
      <c r="A166" s="3">
        <v>2013</v>
      </c>
      <c r="B166" s="4" t="s">
        <v>2201</v>
      </c>
      <c r="C166" s="4" t="s">
        <v>5958</v>
      </c>
      <c r="D166" t="str">
        <f>IF(COUNTIFS(Sheet1!$D$2:$D$3203, A166, Sheet1!$C$2:$C$3203, B166) &gt; 0, "Sudah", "Belum")</f>
        <v>Sudah</v>
      </c>
    </row>
    <row r="167" spans="1:4" hidden="1" x14ac:dyDescent="0.35">
      <c r="A167" s="3">
        <v>1998</v>
      </c>
      <c r="B167" s="4" t="s">
        <v>1390</v>
      </c>
      <c r="C167" s="4" t="s">
        <v>4245</v>
      </c>
      <c r="D167" t="str">
        <f>IF(COUNTIFS(Sheet1!$D$2:$D$3203, A167, Sheet1!$C$2:$C$3203, B167) &gt; 0, "Sudah", "Belum")</f>
        <v>Sudah</v>
      </c>
    </row>
    <row r="168" spans="1:4" hidden="1" x14ac:dyDescent="0.35">
      <c r="A168" s="3">
        <v>1980</v>
      </c>
      <c r="B168" s="4" t="s">
        <v>264</v>
      </c>
      <c r="C168" s="4" t="s">
        <v>5959</v>
      </c>
      <c r="D168" t="str">
        <f>IF(COUNTIFS(Sheet1!$D$2:$D$3203, A168, Sheet1!$C$2:$C$3203, B168) &gt; 0, "Sudah", "Belum")</f>
        <v>Sudah</v>
      </c>
    </row>
    <row r="169" spans="1:4" hidden="1" x14ac:dyDescent="0.35">
      <c r="A169" s="3">
        <v>2011</v>
      </c>
      <c r="B169" s="4" t="s">
        <v>2076</v>
      </c>
      <c r="C169" s="4" t="s">
        <v>4023</v>
      </c>
      <c r="D169" t="str">
        <f>IF(COUNTIFS(Sheet1!$D$2:$D$3203, A169, Sheet1!$C$2:$C$3203, B169) &gt; 0, "Sudah", "Belum")</f>
        <v>Sudah</v>
      </c>
    </row>
    <row r="170" spans="1:4" hidden="1" x14ac:dyDescent="0.35">
      <c r="A170" s="3">
        <v>1998</v>
      </c>
      <c r="B170" s="4" t="s">
        <v>1630</v>
      </c>
      <c r="C170" s="4" t="s">
        <v>5157</v>
      </c>
      <c r="D170" t="str">
        <f>IF(COUNTIFS(Sheet1!$D$2:$D$3203, A170, Sheet1!$C$2:$C$3203, B170) &gt; 0, "Sudah", "Belum")</f>
        <v>Sudah</v>
      </c>
    </row>
    <row r="171" spans="1:4" hidden="1" x14ac:dyDescent="0.35">
      <c r="A171" s="3">
        <v>2015</v>
      </c>
      <c r="B171" s="4" t="s">
        <v>2334</v>
      </c>
      <c r="C171" s="4" t="s">
        <v>4042</v>
      </c>
      <c r="D171" t="str">
        <f>IF(COUNTIFS(Sheet1!$D$2:$D$3203, A171, Sheet1!$C$2:$C$3203, B171) &gt; 0, "Sudah", "Belum")</f>
        <v>Sudah</v>
      </c>
    </row>
    <row r="172" spans="1:4" hidden="1" x14ac:dyDescent="0.35">
      <c r="A172" s="3">
        <v>2010</v>
      </c>
      <c r="B172" s="4" t="s">
        <v>1922</v>
      </c>
      <c r="C172" s="4" t="s">
        <v>5960</v>
      </c>
      <c r="D172" t="str">
        <f>IF(COUNTIFS(Sheet1!$D$2:$D$3203, A172, Sheet1!$C$2:$C$3203, B172) &gt; 0, "Sudah", "Belum")</f>
        <v>Sudah</v>
      </c>
    </row>
    <row r="173" spans="1:4" hidden="1" x14ac:dyDescent="0.35">
      <c r="A173" s="3">
        <v>2009</v>
      </c>
      <c r="B173" s="4" t="s">
        <v>3049</v>
      </c>
      <c r="C173" s="4" t="s">
        <v>5712</v>
      </c>
      <c r="D173" t="str">
        <f>IF(COUNTIFS(Sheet1!$D$2:$D$3203, A173, Sheet1!$C$2:$C$3203, B173) &gt; 0, "Sudah", "Belum")</f>
        <v>Sudah</v>
      </c>
    </row>
    <row r="174" spans="1:4" hidden="1" x14ac:dyDescent="0.35">
      <c r="A174" s="3">
        <v>2003</v>
      </c>
      <c r="B174" s="4" t="s">
        <v>3373</v>
      </c>
      <c r="C174" s="4" t="s">
        <v>3374</v>
      </c>
      <c r="D174" t="str">
        <f>IF(COUNTIFS(Sheet1!$D$2:$D$3203, A174, Sheet1!$C$2:$C$3203, B174) &gt; 0, "Sudah", "Belum")</f>
        <v>Sudah</v>
      </c>
    </row>
    <row r="175" spans="1:4" x14ac:dyDescent="0.35">
      <c r="A175" s="3">
        <v>1993</v>
      </c>
      <c r="B175" s="4" t="s">
        <v>5961</v>
      </c>
      <c r="C175" s="4" t="s">
        <v>5962</v>
      </c>
      <c r="D175" t="str">
        <f>IF(COUNTIFS(Sheet1!$D$2:$D$3203, A175, Sheet1!$C$2:$C$3203, B175) &gt; 0, "Sudah", "Belum")</f>
        <v>Belum</v>
      </c>
    </row>
    <row r="176" spans="1:4" hidden="1" x14ac:dyDescent="0.35">
      <c r="A176" s="3">
        <v>2017</v>
      </c>
      <c r="B176" s="4" t="s">
        <v>2439</v>
      </c>
      <c r="C176" s="4" t="s">
        <v>5783</v>
      </c>
      <c r="D176" t="str">
        <f>IF(COUNTIFS(Sheet1!$D$2:$D$3203, A176, Sheet1!$C$2:$C$3203, B176) &gt; 0, "Sudah", "Belum")</f>
        <v>Sudah</v>
      </c>
    </row>
    <row r="177" spans="1:4" hidden="1" x14ac:dyDescent="0.35">
      <c r="A177" s="3">
        <v>2008</v>
      </c>
      <c r="B177" s="4" t="s">
        <v>1849</v>
      </c>
      <c r="C177" s="4" t="s">
        <v>5963</v>
      </c>
      <c r="D177" t="str">
        <f>IF(COUNTIFS(Sheet1!$D$2:$D$3203, A177, Sheet1!$C$2:$C$3203, B177) &gt; 0, "Sudah", "Belum")</f>
        <v>Sudah</v>
      </c>
    </row>
    <row r="178" spans="1:4" hidden="1" x14ac:dyDescent="0.35">
      <c r="A178" s="3">
        <v>1996</v>
      </c>
      <c r="B178" s="4" t="s">
        <v>1270</v>
      </c>
      <c r="C178" s="4" t="s">
        <v>3367</v>
      </c>
      <c r="D178" t="str">
        <f>IF(COUNTIFS(Sheet1!$D$2:$D$3203, A178, Sheet1!$C$2:$C$3203, B178) &gt; 0, "Sudah", "Belum")</f>
        <v>Sudah</v>
      </c>
    </row>
    <row r="179" spans="1:4" hidden="1" x14ac:dyDescent="0.35">
      <c r="A179" s="3">
        <v>2013</v>
      </c>
      <c r="B179" s="4" t="s">
        <v>2211</v>
      </c>
      <c r="C179" s="4" t="s">
        <v>5964</v>
      </c>
      <c r="D179" t="str">
        <f>IF(COUNTIFS(Sheet1!$D$2:$D$3203, A179, Sheet1!$C$2:$C$3203, B179) &gt; 0, "Sudah", "Belum")</f>
        <v>Sudah</v>
      </c>
    </row>
    <row r="180" spans="1:4" hidden="1" x14ac:dyDescent="0.35">
      <c r="A180" s="3">
        <v>2005</v>
      </c>
      <c r="B180" s="4" t="s">
        <v>2981</v>
      </c>
      <c r="C180" s="4" t="s">
        <v>5965</v>
      </c>
      <c r="D180" t="str">
        <f>IF(COUNTIFS(Sheet1!$D$2:$D$3203, A180, Sheet1!$C$2:$C$3203, B180) &gt; 0, "Sudah", "Belum")</f>
        <v>Sudah</v>
      </c>
    </row>
    <row r="181" spans="1:4" hidden="1" x14ac:dyDescent="0.35">
      <c r="A181" s="3">
        <v>1989</v>
      </c>
      <c r="B181" s="4" t="s">
        <v>770</v>
      </c>
      <c r="C181" s="4" t="s">
        <v>5966</v>
      </c>
      <c r="D181" t="str">
        <f>IF(COUNTIFS(Sheet1!$D$2:$D$3203, A181, Sheet1!$C$2:$C$3203, B181) &gt; 0, "Sudah", "Belum")</f>
        <v>Sudah</v>
      </c>
    </row>
    <row r="182" spans="1:4" hidden="1" x14ac:dyDescent="0.35">
      <c r="A182" s="3">
        <v>1991</v>
      </c>
      <c r="B182" s="4" t="s">
        <v>797</v>
      </c>
      <c r="C182" s="4" t="s">
        <v>5967</v>
      </c>
      <c r="D182" t="str">
        <f>IF(COUNTIFS(Sheet1!$D$2:$D$3203, A182, Sheet1!$C$2:$C$3203, B182) &gt; 0, "Sudah", "Belum")</f>
        <v>Sudah</v>
      </c>
    </row>
    <row r="183" spans="1:4" hidden="1" x14ac:dyDescent="0.35">
      <c r="A183" s="3">
        <v>2004</v>
      </c>
      <c r="B183" s="4" t="s">
        <v>1778</v>
      </c>
      <c r="C183" s="4" t="s">
        <v>5968</v>
      </c>
      <c r="D183" t="str">
        <f>IF(COUNTIFS(Sheet1!$D$2:$D$3203, A183, Sheet1!$C$2:$C$3203, B183) &gt; 0, "Sudah", "Belum")</f>
        <v>Sudah</v>
      </c>
    </row>
    <row r="184" spans="1:4" hidden="1" x14ac:dyDescent="0.35">
      <c r="A184" s="3">
        <v>1997</v>
      </c>
      <c r="B184" s="4" t="s">
        <v>1167</v>
      </c>
      <c r="C184" s="4" t="s">
        <v>5969</v>
      </c>
      <c r="D184" t="str">
        <f>IF(COUNTIFS(Sheet1!$D$2:$D$3203, A184, Sheet1!$C$2:$C$3203, B184) &gt; 0, "Sudah", "Belum")</f>
        <v>Sudah</v>
      </c>
    </row>
    <row r="185" spans="1:4" hidden="1" x14ac:dyDescent="0.35">
      <c r="A185" s="3">
        <v>1993</v>
      </c>
      <c r="B185" s="4" t="s">
        <v>1180</v>
      </c>
      <c r="C185" s="4" t="s">
        <v>3629</v>
      </c>
      <c r="D185" t="str">
        <f>IF(COUNTIFS(Sheet1!$D$2:$D$3203, A185, Sheet1!$C$2:$C$3203, B185) &gt; 0, "Sudah", "Belum")</f>
        <v>Sudah</v>
      </c>
    </row>
    <row r="186" spans="1:4" hidden="1" x14ac:dyDescent="0.35">
      <c r="A186" s="3">
        <v>2013</v>
      </c>
      <c r="B186" s="4" t="s">
        <v>5970</v>
      </c>
      <c r="C186" s="4" t="s">
        <v>5971</v>
      </c>
      <c r="D186" t="str">
        <f>IF(COUNTIFS(Sheet1!$D$2:$D$3203, A186, Sheet1!$C$2:$C$3203, B186) &gt; 0, "Sudah", "Belum")</f>
        <v>Sudah</v>
      </c>
    </row>
    <row r="187" spans="1:4" hidden="1" x14ac:dyDescent="0.35">
      <c r="A187" s="3">
        <v>2017</v>
      </c>
      <c r="B187" s="4" t="s">
        <v>5972</v>
      </c>
      <c r="C187" s="4" t="s">
        <v>5973</v>
      </c>
      <c r="D187" t="str">
        <f>IF(COUNTIFS(Sheet1!$D$2:$D$3203, A187, Sheet1!$C$2:$C$3203, B187) &gt; 0, "Sudah", "Belum")</f>
        <v>Sudah</v>
      </c>
    </row>
    <row r="188" spans="1:4" hidden="1" x14ac:dyDescent="0.35">
      <c r="A188" s="3">
        <v>2015</v>
      </c>
      <c r="B188" s="4" t="s">
        <v>3121</v>
      </c>
      <c r="C188" s="4" t="s">
        <v>5974</v>
      </c>
      <c r="D188" t="str">
        <f>IF(COUNTIFS(Sheet1!$D$2:$D$3203, A188, Sheet1!$C$2:$C$3203, B188) &gt; 0, "Sudah", "Belum")</f>
        <v>Sudah</v>
      </c>
    </row>
    <row r="189" spans="1:4" hidden="1" x14ac:dyDescent="0.35">
      <c r="A189" s="3">
        <v>2003</v>
      </c>
      <c r="B189" s="4" t="s">
        <v>1703</v>
      </c>
      <c r="C189" s="4" t="s">
        <v>5975</v>
      </c>
      <c r="D189" t="str">
        <f>IF(COUNTIFS(Sheet1!$D$2:$D$3203, A189, Sheet1!$C$2:$C$3203, B189) &gt; 0, "Sudah", "Belum")</f>
        <v>Sudah</v>
      </c>
    </row>
    <row r="190" spans="1:4" hidden="1" x14ac:dyDescent="0.35">
      <c r="A190" s="3">
        <v>2009</v>
      </c>
      <c r="B190" s="4" t="s">
        <v>1870</v>
      </c>
      <c r="C190" s="4" t="s">
        <v>5976</v>
      </c>
      <c r="D190" t="str">
        <f>IF(COUNTIFS(Sheet1!$D$2:$D$3203, A190, Sheet1!$C$2:$C$3203, B190) &gt; 0, "Sudah", "Belum")</f>
        <v>Sudah</v>
      </c>
    </row>
    <row r="191" spans="1:4" hidden="1" x14ac:dyDescent="0.35">
      <c r="A191" s="3">
        <v>1998</v>
      </c>
      <c r="B191" s="4" t="s">
        <v>5977</v>
      </c>
      <c r="C191" s="4" t="s">
        <v>5229</v>
      </c>
      <c r="D191" t="str">
        <f>IF(COUNTIFS(Sheet1!$D$2:$D$3203, A191, Sheet1!$C$2:$C$3203, B191) &gt; 0, "Sudah", "Belum")</f>
        <v>Sudah</v>
      </c>
    </row>
    <row r="192" spans="1:4" hidden="1" x14ac:dyDescent="0.35">
      <c r="A192" s="3">
        <v>2007</v>
      </c>
      <c r="B192" s="4" t="s">
        <v>2988</v>
      </c>
      <c r="C192" s="4" t="s">
        <v>4884</v>
      </c>
      <c r="D192" t="str">
        <f>IF(COUNTIFS(Sheet1!$D$2:$D$3203, A192, Sheet1!$C$2:$C$3203, B192) &gt; 0, "Sudah", "Belum")</f>
        <v>Sudah</v>
      </c>
    </row>
    <row r="193" spans="1:4" x14ac:dyDescent="0.35">
      <c r="A193" s="3">
        <v>2017</v>
      </c>
      <c r="B193" s="4" t="s">
        <v>5978</v>
      </c>
      <c r="C193" s="4" t="s">
        <v>5979</v>
      </c>
      <c r="D193" t="str">
        <f>IF(COUNTIFS(Sheet1!$D$2:$D$3203, A193, Sheet1!$C$2:$C$3203, B193) &gt; 0, "Sudah", "Belum")</f>
        <v>Belum</v>
      </c>
    </row>
    <row r="194" spans="1:4" x14ac:dyDescent="0.35">
      <c r="A194" s="3">
        <v>1998</v>
      </c>
      <c r="B194" s="4" t="s">
        <v>5980</v>
      </c>
      <c r="C194" s="4" t="s">
        <v>5981</v>
      </c>
      <c r="D194" t="str">
        <f>IF(COUNTIFS(Sheet1!$D$2:$D$3203, A194, Sheet1!$C$2:$C$3203, B194) &gt; 0, "Sudah", "Belum")</f>
        <v>Belum</v>
      </c>
    </row>
    <row r="195" spans="1:4" hidden="1" x14ac:dyDescent="0.35">
      <c r="A195" s="3">
        <v>2015</v>
      </c>
      <c r="B195" s="4" t="s">
        <v>2331</v>
      </c>
      <c r="C195" s="4" t="s">
        <v>5982</v>
      </c>
      <c r="D195" t="str">
        <f>IF(COUNTIFS(Sheet1!$D$2:$D$3203, A195, Sheet1!$C$2:$C$3203, B195) &gt; 0, "Sudah", "Belum")</f>
        <v>Sudah</v>
      </c>
    </row>
    <row r="196" spans="1:4" hidden="1" x14ac:dyDescent="0.35">
      <c r="A196" s="3">
        <v>2015</v>
      </c>
      <c r="B196" s="4" t="s">
        <v>2331</v>
      </c>
      <c r="C196" s="4" t="s">
        <v>5982</v>
      </c>
      <c r="D196" t="str">
        <f>IF(COUNTIFS(Sheet1!$D$2:$D$3203, A196, Sheet1!$C$2:$C$3203, B196) &gt; 0, "Sudah", "Belum")</f>
        <v>Sudah</v>
      </c>
    </row>
    <row r="197" spans="1:4" hidden="1" x14ac:dyDescent="0.35">
      <c r="A197" s="3">
        <v>1993</v>
      </c>
      <c r="B197" s="4" t="s">
        <v>919</v>
      </c>
      <c r="C197" s="4" t="s">
        <v>3730</v>
      </c>
      <c r="D197" t="str">
        <f>IF(COUNTIFS(Sheet1!$D$2:$D$3203, A197, Sheet1!$C$2:$C$3203, B197) &gt; 0, "Sudah", "Belum")</f>
        <v>Sudah</v>
      </c>
    </row>
    <row r="198" spans="1:4" hidden="1" x14ac:dyDescent="0.35">
      <c r="A198" s="3">
        <v>2005</v>
      </c>
      <c r="B198" s="4" t="s">
        <v>2866</v>
      </c>
      <c r="C198" s="4" t="s">
        <v>5983</v>
      </c>
      <c r="D198" t="str">
        <f>IF(COUNTIFS(Sheet1!$D$2:$D$3203, A198, Sheet1!$C$2:$C$3203, B198) &gt; 0, "Sudah", "Belum")</f>
        <v>Sudah</v>
      </c>
    </row>
    <row r="199" spans="1:4" hidden="1" x14ac:dyDescent="0.35">
      <c r="A199" s="3">
        <v>2000</v>
      </c>
      <c r="B199" s="4" t="s">
        <v>1438</v>
      </c>
      <c r="C199" s="4" t="s">
        <v>5597</v>
      </c>
      <c r="D199" t="str">
        <f>IF(COUNTIFS(Sheet1!$D$2:$D$3203, A199, Sheet1!$C$2:$C$3203, B199) &gt; 0, "Sudah", "Belum")</f>
        <v>Sudah</v>
      </c>
    </row>
    <row r="200" spans="1:4" hidden="1" x14ac:dyDescent="0.35">
      <c r="A200" s="3">
        <v>2009</v>
      </c>
      <c r="B200" s="4" t="s">
        <v>1857</v>
      </c>
      <c r="C200" s="4" t="s">
        <v>5270</v>
      </c>
      <c r="D200" t="str">
        <f>IF(COUNTIFS(Sheet1!$D$2:$D$3203, A200, Sheet1!$C$2:$C$3203, B200) &gt; 0, "Sudah", "Belum")</f>
        <v>Sudah</v>
      </c>
    </row>
    <row r="201" spans="1:4" hidden="1" x14ac:dyDescent="0.35">
      <c r="A201" s="3">
        <v>2017</v>
      </c>
      <c r="B201" s="4" t="s">
        <v>2396</v>
      </c>
      <c r="C201" s="4" t="s">
        <v>5984</v>
      </c>
      <c r="D201" t="str">
        <f>IF(COUNTIFS(Sheet1!$D$2:$D$3203, A201, Sheet1!$C$2:$C$3203, B201) &gt; 0, "Sudah", "Belum")</f>
        <v>Sudah</v>
      </c>
    </row>
    <row r="202" spans="1:4" hidden="1" x14ac:dyDescent="0.35">
      <c r="A202" s="3">
        <v>2013</v>
      </c>
      <c r="B202" s="4" t="s">
        <v>2220</v>
      </c>
      <c r="C202" s="4" t="s">
        <v>5985</v>
      </c>
      <c r="D202" t="str">
        <f>IF(COUNTIFS(Sheet1!$D$2:$D$3203, A202, Sheet1!$C$2:$C$3203, B202) &gt; 0, "Sudah", "Belum")</f>
        <v>Sudah</v>
      </c>
    </row>
    <row r="203" spans="1:4" hidden="1" x14ac:dyDescent="0.35">
      <c r="A203" s="3">
        <v>2007</v>
      </c>
      <c r="B203" s="4" t="s">
        <v>1908</v>
      </c>
      <c r="C203" s="4" t="s">
        <v>5986</v>
      </c>
      <c r="D203" t="str">
        <f>IF(COUNTIFS(Sheet1!$D$2:$D$3203, A203, Sheet1!$C$2:$C$3203, B203) &gt; 0, "Sudah", "Belum")</f>
        <v>Sudah</v>
      </c>
    </row>
    <row r="204" spans="1:4" hidden="1" x14ac:dyDescent="0.35">
      <c r="A204" s="3">
        <v>2009</v>
      </c>
      <c r="B204" s="4" t="s">
        <v>1859</v>
      </c>
      <c r="C204" s="4" t="s">
        <v>5484</v>
      </c>
      <c r="D204" t="str">
        <f>IF(COUNTIFS(Sheet1!$D$2:$D$3203, A204, Sheet1!$C$2:$C$3203, B204) &gt; 0, "Sudah", "Belum")</f>
        <v>Sudah</v>
      </c>
    </row>
    <row r="205" spans="1:4" hidden="1" x14ac:dyDescent="0.35">
      <c r="A205" s="3">
        <v>2009</v>
      </c>
      <c r="B205" s="4" t="s">
        <v>1941</v>
      </c>
      <c r="C205" s="4" t="s">
        <v>5987</v>
      </c>
      <c r="D205" t="str">
        <f>IF(COUNTIFS(Sheet1!$D$2:$D$3203, A205, Sheet1!$C$2:$C$3203, B205) &gt; 0, "Sudah", "Belum")</f>
        <v>Sudah</v>
      </c>
    </row>
    <row r="206" spans="1:4" hidden="1" x14ac:dyDescent="0.35">
      <c r="A206" s="3">
        <v>2009</v>
      </c>
      <c r="B206" s="4" t="s">
        <v>3046</v>
      </c>
      <c r="C206" s="4" t="s">
        <v>5988</v>
      </c>
      <c r="D206" t="str">
        <f>IF(COUNTIFS(Sheet1!$D$2:$D$3203, A206, Sheet1!$C$2:$C$3203, B206) &gt; 0, "Sudah", "Belum")</f>
        <v>Sudah</v>
      </c>
    </row>
    <row r="207" spans="1:4" hidden="1" x14ac:dyDescent="0.35">
      <c r="A207" s="3">
        <v>2000</v>
      </c>
      <c r="B207" s="4" t="s">
        <v>1503</v>
      </c>
      <c r="C207" s="4" t="s">
        <v>4313</v>
      </c>
      <c r="D207" t="str">
        <f>IF(COUNTIFS(Sheet1!$D$2:$D$3203, A207, Sheet1!$C$2:$C$3203, B207) &gt; 0, "Sudah", "Belum")</f>
        <v>Sudah</v>
      </c>
    </row>
    <row r="208" spans="1:4" hidden="1" x14ac:dyDescent="0.35">
      <c r="A208" s="3">
        <v>2017</v>
      </c>
      <c r="B208" s="4" t="s">
        <v>2445</v>
      </c>
      <c r="C208" s="4" t="s">
        <v>5989</v>
      </c>
      <c r="D208" t="str">
        <f>IF(COUNTIFS(Sheet1!$D$2:$D$3203, A208, Sheet1!$C$2:$C$3203, B208) &gt; 0, "Sudah", "Belum")</f>
        <v>Sudah</v>
      </c>
    </row>
    <row r="209" spans="1:4" hidden="1" x14ac:dyDescent="0.35">
      <c r="A209" s="3">
        <v>2016</v>
      </c>
      <c r="B209" s="4" t="s">
        <v>3115</v>
      </c>
      <c r="C209" s="4" t="s">
        <v>5990</v>
      </c>
      <c r="D209" t="str">
        <f>IF(COUNTIFS(Sheet1!$D$2:$D$3203, A209, Sheet1!$C$2:$C$3203, B209) &gt; 0, "Sudah", "Belum")</f>
        <v>Sudah</v>
      </c>
    </row>
    <row r="210" spans="1:4" x14ac:dyDescent="0.35">
      <c r="A210" s="3">
        <v>1990</v>
      </c>
      <c r="B210" s="4" t="s">
        <v>5991</v>
      </c>
      <c r="C210" s="4" t="s">
        <v>4100</v>
      </c>
      <c r="D210" t="str">
        <f>IF(COUNTIFS(Sheet1!$D$2:$D$3203, A210, Sheet1!$C$2:$C$3203, B210) &gt; 0, "Sudah", "Belum")</f>
        <v>Belum</v>
      </c>
    </row>
    <row r="211" spans="1:4" hidden="1" x14ac:dyDescent="0.35">
      <c r="A211" s="3">
        <v>2011</v>
      </c>
      <c r="B211" s="4" t="s">
        <v>2038</v>
      </c>
      <c r="C211" s="4" t="s">
        <v>5992</v>
      </c>
      <c r="D211" t="str">
        <f>IF(COUNTIFS(Sheet1!$D$2:$D$3203, A211, Sheet1!$C$2:$C$3203, B211) &gt; 0, "Sudah", "Belum")</f>
        <v>Sudah</v>
      </c>
    </row>
    <row r="212" spans="1:4" x14ac:dyDescent="0.35">
      <c r="A212" s="3">
        <v>1998</v>
      </c>
      <c r="B212" s="4" t="s">
        <v>5993</v>
      </c>
      <c r="C212" s="4" t="s">
        <v>5994</v>
      </c>
      <c r="D212" t="str">
        <f>IF(COUNTIFS(Sheet1!$D$2:$D$3203, A212, Sheet1!$C$2:$C$3203, B212) &gt; 0, "Sudah", "Belum")</f>
        <v>Belum</v>
      </c>
    </row>
    <row r="213" spans="1:4" hidden="1" x14ac:dyDescent="0.35">
      <c r="A213" s="3">
        <v>2001</v>
      </c>
      <c r="B213" s="4" t="s">
        <v>1594</v>
      </c>
      <c r="C213" s="4" t="s">
        <v>3867</v>
      </c>
      <c r="D213" t="str">
        <f>IF(COUNTIFS(Sheet1!$D$2:$D$3203, A213, Sheet1!$C$2:$C$3203, B213) &gt; 0, "Sudah", "Belum")</f>
        <v>Sudah</v>
      </c>
    </row>
    <row r="214" spans="1:4" hidden="1" x14ac:dyDescent="0.35">
      <c r="A214" s="3">
        <v>1991</v>
      </c>
      <c r="B214" s="4" t="s">
        <v>872</v>
      </c>
      <c r="C214" s="4" t="s">
        <v>5995</v>
      </c>
      <c r="D214" t="str">
        <f>IF(COUNTIFS(Sheet1!$D$2:$D$3203, A214, Sheet1!$C$2:$C$3203, B214) &gt; 0, "Sudah", "Belum")</f>
        <v>Sudah</v>
      </c>
    </row>
    <row r="215" spans="1:4" hidden="1" x14ac:dyDescent="0.35">
      <c r="A215" s="3">
        <v>2013</v>
      </c>
      <c r="B215" s="4" t="s">
        <v>2197</v>
      </c>
      <c r="C215" s="4" t="s">
        <v>5996</v>
      </c>
      <c r="D215" t="str">
        <f>IF(COUNTIFS(Sheet1!$D$2:$D$3203, A215, Sheet1!$C$2:$C$3203, B215) &gt; 0, "Sudah", "Belum")</f>
        <v>Sudah</v>
      </c>
    </row>
    <row r="216" spans="1:4" hidden="1" x14ac:dyDescent="0.35">
      <c r="A216" s="3">
        <v>2000</v>
      </c>
      <c r="B216" s="4" t="s">
        <v>1578</v>
      </c>
      <c r="C216" s="4" t="s">
        <v>4520</v>
      </c>
      <c r="D216" t="str">
        <f>IF(COUNTIFS(Sheet1!$D$2:$D$3203, A216, Sheet1!$C$2:$C$3203, B216) &gt; 0, "Sudah", "Belum")</f>
        <v>Sudah</v>
      </c>
    </row>
    <row r="217" spans="1:4" hidden="1" x14ac:dyDescent="0.35">
      <c r="A217" s="3">
        <v>1998</v>
      </c>
      <c r="B217" s="4" t="s">
        <v>1338</v>
      </c>
      <c r="C217" s="4" t="s">
        <v>5997</v>
      </c>
      <c r="D217" t="str">
        <f>IF(COUNTIFS(Sheet1!$D$2:$D$3203, A217, Sheet1!$C$2:$C$3203, B217) &gt; 0, "Sudah", "Belum")</f>
        <v>Sudah</v>
      </c>
    </row>
    <row r="218" spans="1:4" hidden="1" x14ac:dyDescent="0.35">
      <c r="A218" s="3">
        <v>1999</v>
      </c>
      <c r="B218" s="4" t="s">
        <v>1429</v>
      </c>
      <c r="C218" s="4" t="s">
        <v>3544</v>
      </c>
      <c r="D218" t="str">
        <f>IF(COUNTIFS(Sheet1!$D$2:$D$3203, A218, Sheet1!$C$2:$C$3203, B218) &gt; 0, "Sudah", "Belum")</f>
        <v>Sudah</v>
      </c>
    </row>
    <row r="219" spans="1:4" hidden="1" x14ac:dyDescent="0.35">
      <c r="A219" s="3">
        <v>1998</v>
      </c>
      <c r="B219" s="4" t="s">
        <v>1330</v>
      </c>
      <c r="C219" s="4" t="s">
        <v>4594</v>
      </c>
      <c r="D219" t="str">
        <f>IF(COUNTIFS(Sheet1!$D$2:$D$3203, A219, Sheet1!$C$2:$C$3203, B219) &gt; 0, "Sudah", "Belum")</f>
        <v>Sudah</v>
      </c>
    </row>
    <row r="220" spans="1:4" hidden="1" x14ac:dyDescent="0.35">
      <c r="A220" s="3">
        <v>2011</v>
      </c>
      <c r="B220" s="4" t="s">
        <v>423</v>
      </c>
      <c r="C220" s="4" t="s">
        <v>5998</v>
      </c>
      <c r="D220" t="str">
        <f>IF(COUNTIFS(Sheet1!$D$2:$D$3203, A220, Sheet1!$C$2:$C$3203, B220) &gt; 0, "Sudah", "Belum")</f>
        <v>Sudah</v>
      </c>
    </row>
    <row r="221" spans="1:4" hidden="1" x14ac:dyDescent="0.35">
      <c r="A221" s="3">
        <v>2006</v>
      </c>
      <c r="B221" s="4" t="s">
        <v>2903</v>
      </c>
      <c r="C221" s="4" t="s">
        <v>5999</v>
      </c>
      <c r="D221" t="str">
        <f>IF(COUNTIFS(Sheet1!$D$2:$D$3203, A221, Sheet1!$C$2:$C$3203, B221) &gt; 0, "Sudah", "Belum")</f>
        <v>Sudah</v>
      </c>
    </row>
    <row r="222" spans="1:4" hidden="1" x14ac:dyDescent="0.35">
      <c r="A222" s="3">
        <v>1998</v>
      </c>
      <c r="B222" s="4" t="s">
        <v>1335</v>
      </c>
      <c r="C222" s="4" t="s">
        <v>4262</v>
      </c>
      <c r="D222" t="str">
        <f>IF(COUNTIFS(Sheet1!$D$2:$D$3203, A222, Sheet1!$C$2:$C$3203, B222) &gt; 0, "Sudah", "Belum")</f>
        <v>Sudah</v>
      </c>
    </row>
    <row r="223" spans="1:4" hidden="1" x14ac:dyDescent="0.35">
      <c r="A223" s="3">
        <v>1998</v>
      </c>
      <c r="B223" s="4" t="s">
        <v>1304</v>
      </c>
      <c r="C223" s="4" t="s">
        <v>4807</v>
      </c>
      <c r="D223" t="str">
        <f>IF(COUNTIFS(Sheet1!$D$2:$D$3203, A223, Sheet1!$C$2:$C$3203, B223) &gt; 0, "Sudah", "Belum")</f>
        <v>Sudah</v>
      </c>
    </row>
    <row r="224" spans="1:4" hidden="1" x14ac:dyDescent="0.35">
      <c r="A224" s="3">
        <v>1988</v>
      </c>
      <c r="B224" s="4" t="s">
        <v>687</v>
      </c>
      <c r="C224" s="4" t="s">
        <v>6000</v>
      </c>
      <c r="D224" t="str">
        <f>IF(COUNTIFS(Sheet1!$D$2:$D$3203, A224, Sheet1!$C$2:$C$3203, B224) &gt; 0, "Sudah", "Belum")</f>
        <v>Sudah</v>
      </c>
    </row>
    <row r="225" spans="1:4" hidden="1" x14ac:dyDescent="0.35">
      <c r="A225" s="3">
        <v>1998</v>
      </c>
      <c r="B225" s="4" t="s">
        <v>1411</v>
      </c>
      <c r="C225" s="4" t="s">
        <v>4257</v>
      </c>
      <c r="D225" t="str">
        <f>IF(COUNTIFS(Sheet1!$D$2:$D$3203, A225, Sheet1!$C$2:$C$3203, B225) &gt; 0, "Sudah", "Belum")</f>
        <v>Sudah</v>
      </c>
    </row>
    <row r="226" spans="1:4" hidden="1" x14ac:dyDescent="0.35">
      <c r="A226" s="3">
        <v>2013</v>
      </c>
      <c r="B226" s="4" t="s">
        <v>2310</v>
      </c>
      <c r="C226" s="4" t="s">
        <v>6001</v>
      </c>
      <c r="D226" t="str">
        <f>IF(COUNTIFS(Sheet1!$D$2:$D$3203, A226, Sheet1!$C$2:$C$3203, B226) &gt; 0, "Sudah", "Belum")</f>
        <v>Sudah</v>
      </c>
    </row>
    <row r="227" spans="1:4" hidden="1" x14ac:dyDescent="0.35">
      <c r="A227" s="3">
        <v>1989</v>
      </c>
      <c r="B227" s="4" t="s">
        <v>783</v>
      </c>
      <c r="C227" s="4" t="s">
        <v>4449</v>
      </c>
      <c r="D227" t="str">
        <f>IF(COUNTIFS(Sheet1!$D$2:$D$3203, A227, Sheet1!$C$2:$C$3203, B227) &gt; 0, "Sudah", "Belum")</f>
        <v>Sudah</v>
      </c>
    </row>
    <row r="228" spans="1:4" hidden="1" x14ac:dyDescent="0.35">
      <c r="A228" s="3">
        <v>2008</v>
      </c>
      <c r="B228" s="4" t="s">
        <v>3027</v>
      </c>
      <c r="C228" s="4" t="s">
        <v>6002</v>
      </c>
      <c r="D228" t="str">
        <f>IF(COUNTIFS(Sheet1!$D$2:$D$3203, A228, Sheet1!$C$2:$C$3203, B228) &gt; 0, "Sudah", "Belum")</f>
        <v>Sudah</v>
      </c>
    </row>
    <row r="229" spans="1:4" hidden="1" x14ac:dyDescent="0.35">
      <c r="A229" s="3">
        <v>1986</v>
      </c>
      <c r="B229" s="4" t="s">
        <v>614</v>
      </c>
      <c r="C229" s="4" t="s">
        <v>4061</v>
      </c>
      <c r="D229" t="str">
        <f>IF(COUNTIFS(Sheet1!$D$2:$D$3203, A229, Sheet1!$C$2:$C$3203, B229) &gt; 0, "Sudah", "Belum")</f>
        <v>Sudah</v>
      </c>
    </row>
    <row r="230" spans="1:4" hidden="1" x14ac:dyDescent="0.35">
      <c r="A230" s="3">
        <v>1999</v>
      </c>
      <c r="B230" s="4" t="s">
        <v>6003</v>
      </c>
      <c r="C230" s="4" t="s">
        <v>4598</v>
      </c>
      <c r="D230" t="str">
        <f>IF(COUNTIFS(Sheet1!$D$2:$D$3203, A230, Sheet1!$C$2:$C$3203, B230) &gt; 0, "Sudah", "Belum")</f>
        <v>Sudah</v>
      </c>
    </row>
    <row r="231" spans="1:4" hidden="1" x14ac:dyDescent="0.35">
      <c r="A231" s="3">
        <v>2006</v>
      </c>
      <c r="B231" s="4" t="s">
        <v>2880</v>
      </c>
      <c r="C231" s="4" t="s">
        <v>3885</v>
      </c>
      <c r="D231" t="str">
        <f>IF(COUNTIFS(Sheet1!$D$2:$D$3203, A231, Sheet1!$C$2:$C$3203, B231) &gt; 0, "Sudah", "Belum")</f>
        <v>Sudah</v>
      </c>
    </row>
    <row r="232" spans="1:4" hidden="1" x14ac:dyDescent="0.35">
      <c r="A232" s="3">
        <v>2006</v>
      </c>
      <c r="B232" s="4" t="s">
        <v>2878</v>
      </c>
      <c r="C232" s="4" t="s">
        <v>4177</v>
      </c>
      <c r="D232" t="str">
        <f>IF(COUNTIFS(Sheet1!$D$2:$D$3203, A232, Sheet1!$C$2:$C$3203, B232) &gt; 0, "Sudah", "Belum")</f>
        <v>Sudah</v>
      </c>
    </row>
    <row r="233" spans="1:4" hidden="1" x14ac:dyDescent="0.35">
      <c r="A233" s="3">
        <v>1989</v>
      </c>
      <c r="B233" s="4" t="s">
        <v>812</v>
      </c>
      <c r="C233" s="4" t="s">
        <v>6004</v>
      </c>
      <c r="D233" t="str">
        <f>IF(COUNTIFS(Sheet1!$D$2:$D$3203, A233, Sheet1!$C$2:$C$3203, B233) &gt; 0, "Sudah", "Belum")</f>
        <v>Sudah</v>
      </c>
    </row>
    <row r="234" spans="1:4" hidden="1" x14ac:dyDescent="0.35">
      <c r="A234" s="3">
        <v>2015</v>
      </c>
      <c r="B234" s="4" t="s">
        <v>2374</v>
      </c>
      <c r="C234" s="4" t="s">
        <v>4356</v>
      </c>
      <c r="D234" t="str">
        <f>IF(COUNTIFS(Sheet1!$D$2:$D$3203, A234, Sheet1!$C$2:$C$3203, B234) &gt; 0, "Sudah", "Belum")</f>
        <v>Sudah</v>
      </c>
    </row>
    <row r="235" spans="1:4" hidden="1" x14ac:dyDescent="0.35">
      <c r="A235" s="3">
        <v>2016</v>
      </c>
      <c r="B235" s="4" t="s">
        <v>2384</v>
      </c>
      <c r="C235" s="4" t="s">
        <v>4205</v>
      </c>
      <c r="D235" t="str">
        <f>IF(COUNTIFS(Sheet1!$D$2:$D$3203, A235, Sheet1!$C$2:$C$3203, B235) &gt; 0, "Sudah", "Belum")</f>
        <v>Sudah</v>
      </c>
    </row>
    <row r="236" spans="1:4" hidden="1" x14ac:dyDescent="0.35">
      <c r="A236" s="3">
        <v>2004</v>
      </c>
      <c r="B236" s="4" t="s">
        <v>1762</v>
      </c>
      <c r="C236" s="4" t="s">
        <v>4620</v>
      </c>
      <c r="D236" t="str">
        <f>IF(COUNTIFS(Sheet1!$D$2:$D$3203, A236, Sheet1!$C$2:$C$3203, B236) &gt; 0, "Sudah", "Belum")</f>
        <v>Sudah</v>
      </c>
    </row>
    <row r="237" spans="1:4" hidden="1" x14ac:dyDescent="0.35">
      <c r="A237" s="3">
        <v>1998</v>
      </c>
      <c r="B237" s="4" t="s">
        <v>1443</v>
      </c>
      <c r="C237" s="4" t="s">
        <v>6005</v>
      </c>
      <c r="D237" t="str">
        <f>IF(COUNTIFS(Sheet1!$D$2:$D$3203, A237, Sheet1!$C$2:$C$3203, B237) &gt; 0, "Sudah", "Belum")</f>
        <v>Sudah</v>
      </c>
    </row>
    <row r="238" spans="1:4" hidden="1" x14ac:dyDescent="0.35">
      <c r="A238" s="3">
        <v>2015</v>
      </c>
      <c r="B238" s="4" t="s">
        <v>2370</v>
      </c>
      <c r="C238" s="4" t="s">
        <v>6006</v>
      </c>
      <c r="D238" t="str">
        <f>IF(COUNTIFS(Sheet1!$D$2:$D$3203, A238, Sheet1!$C$2:$C$3203, B238) &gt; 0, "Sudah", "Belum")</f>
        <v>Sudah</v>
      </c>
    </row>
    <row r="239" spans="1:4" hidden="1" x14ac:dyDescent="0.35">
      <c r="A239" s="3">
        <v>2001</v>
      </c>
      <c r="B239" s="4" t="s">
        <v>1544</v>
      </c>
      <c r="C239" s="4" t="s">
        <v>5036</v>
      </c>
      <c r="D239" t="str">
        <f>IF(COUNTIFS(Sheet1!$D$2:$D$3203, A239, Sheet1!$C$2:$C$3203, B239) &gt; 0, "Sudah", "Belum")</f>
        <v>Sudah</v>
      </c>
    </row>
    <row r="240" spans="1:4" hidden="1" x14ac:dyDescent="0.35">
      <c r="A240" s="3">
        <v>2002</v>
      </c>
      <c r="B240" s="4" t="s">
        <v>1663</v>
      </c>
      <c r="C240" s="4" t="s">
        <v>3690</v>
      </c>
      <c r="D240" t="str">
        <f>IF(COUNTIFS(Sheet1!$D$2:$D$3203, A240, Sheet1!$C$2:$C$3203, B240) &gt; 0, "Sudah", "Belum")</f>
        <v>Sudah</v>
      </c>
    </row>
    <row r="241" spans="1:4" hidden="1" x14ac:dyDescent="0.35">
      <c r="A241" s="3">
        <v>2006</v>
      </c>
      <c r="B241" s="4" t="s">
        <v>2895</v>
      </c>
      <c r="C241" s="4" t="s">
        <v>6007</v>
      </c>
      <c r="D241" t="str">
        <f>IF(COUNTIFS(Sheet1!$D$2:$D$3203, A241, Sheet1!$C$2:$C$3203, B241) &gt; 0, "Sudah", "Belum")</f>
        <v>Sudah</v>
      </c>
    </row>
    <row r="242" spans="1:4" hidden="1" x14ac:dyDescent="0.35">
      <c r="A242" s="3">
        <v>2003</v>
      </c>
      <c r="B242" s="4" t="s">
        <v>5824</v>
      </c>
      <c r="C242" s="4" t="s">
        <v>3281</v>
      </c>
      <c r="D242" t="str">
        <f>IF(COUNTIFS(Sheet1!$D$2:$D$3203, A242, Sheet1!$C$2:$C$3203, B242) &gt; 0, "Sudah", "Belum")</f>
        <v>Sudah</v>
      </c>
    </row>
    <row r="243" spans="1:4" hidden="1" x14ac:dyDescent="0.35">
      <c r="A243" s="3">
        <v>1998</v>
      </c>
      <c r="B243" s="4" t="s">
        <v>1327</v>
      </c>
      <c r="C243" s="4" t="s">
        <v>5770</v>
      </c>
      <c r="D243" t="str">
        <f>IF(COUNTIFS(Sheet1!$D$2:$D$3203, A243, Sheet1!$C$2:$C$3203, B243) &gt; 0, "Sudah", "Belum")</f>
        <v>Sudah</v>
      </c>
    </row>
    <row r="244" spans="1:4" hidden="1" x14ac:dyDescent="0.35">
      <c r="A244" s="3">
        <v>1998</v>
      </c>
      <c r="B244" s="4" t="s">
        <v>1327</v>
      </c>
      <c r="C244" s="4" t="s">
        <v>5770</v>
      </c>
      <c r="D244" t="str">
        <f>IF(COUNTIFS(Sheet1!$D$2:$D$3203, A244, Sheet1!$C$2:$C$3203, B244) &gt; 0, "Sudah", "Belum")</f>
        <v>Sudah</v>
      </c>
    </row>
    <row r="245" spans="1:4" hidden="1" x14ac:dyDescent="0.35">
      <c r="A245" s="3">
        <v>2011</v>
      </c>
      <c r="B245" s="4" t="s">
        <v>2077</v>
      </c>
      <c r="C245" s="4" t="s">
        <v>6008</v>
      </c>
      <c r="D245" t="str">
        <f>IF(COUNTIFS(Sheet1!$D$2:$D$3203, A245, Sheet1!$C$2:$C$3203, B245) &gt; 0, "Sudah", "Belum")</f>
        <v>Sudah</v>
      </c>
    </row>
    <row r="246" spans="1:4" hidden="1" x14ac:dyDescent="0.35">
      <c r="A246" s="3">
        <v>1998</v>
      </c>
      <c r="B246" s="4" t="s">
        <v>5843</v>
      </c>
      <c r="C246" s="4" t="s">
        <v>6009</v>
      </c>
      <c r="D246" t="str">
        <f>IF(COUNTIFS(Sheet1!$D$2:$D$3203, A246, Sheet1!$C$2:$C$3203, B246) &gt; 0, "Sudah", "Belum")</f>
        <v>Sudah</v>
      </c>
    </row>
    <row r="247" spans="1:4" hidden="1" x14ac:dyDescent="0.35">
      <c r="A247" s="3">
        <v>2007</v>
      </c>
      <c r="B247" s="4" t="s">
        <v>1968</v>
      </c>
      <c r="C247" s="4" t="s">
        <v>6010</v>
      </c>
      <c r="D247" t="str">
        <f>IF(COUNTIFS(Sheet1!$D$2:$D$3203, A247, Sheet1!$C$2:$C$3203, B247) &gt; 0, "Sudah", "Belum")</f>
        <v>Sudah</v>
      </c>
    </row>
    <row r="248" spans="1:4" hidden="1" x14ac:dyDescent="0.35">
      <c r="A248" s="3">
        <v>2009</v>
      </c>
      <c r="B248" s="4" t="s">
        <v>5643</v>
      </c>
      <c r="C248" s="4" t="s">
        <v>5644</v>
      </c>
      <c r="D248" t="str">
        <f>IF(COUNTIFS(Sheet1!$D$2:$D$3203, A248, Sheet1!$C$2:$C$3203, B248) &gt; 0, "Sudah", "Belum")</f>
        <v>Sudah</v>
      </c>
    </row>
    <row r="249" spans="1:4" hidden="1" x14ac:dyDescent="0.35">
      <c r="A249" s="3">
        <v>1989</v>
      </c>
      <c r="B249" s="4" t="s">
        <v>742</v>
      </c>
      <c r="C249" s="4" t="s">
        <v>6011</v>
      </c>
      <c r="D249" t="str">
        <f>IF(COUNTIFS(Sheet1!$D$2:$D$3203, A249, Sheet1!$C$2:$C$3203, B249) &gt; 0, "Sudah", "Belum")</f>
        <v>Sudah</v>
      </c>
    </row>
    <row r="250" spans="1:4" hidden="1" x14ac:dyDescent="0.35">
      <c r="A250" s="3">
        <v>2000</v>
      </c>
      <c r="B250" s="4" t="s">
        <v>1507</v>
      </c>
      <c r="C250" s="4" t="s">
        <v>4508</v>
      </c>
      <c r="D250" t="str">
        <f>IF(COUNTIFS(Sheet1!$D$2:$D$3203, A250, Sheet1!$C$2:$C$3203, B250) &gt; 0, "Sudah", "Belum")</f>
        <v>Sudah</v>
      </c>
    </row>
    <row r="251" spans="1:4" hidden="1" x14ac:dyDescent="0.35">
      <c r="A251" s="3">
        <v>1997</v>
      </c>
      <c r="B251" s="4" t="s">
        <v>1170</v>
      </c>
      <c r="C251" s="4" t="s">
        <v>6012</v>
      </c>
      <c r="D251" t="str">
        <f>IF(COUNTIFS(Sheet1!$D$2:$D$3203, A251, Sheet1!$C$2:$C$3203, B251) &gt; 0, "Sudah", "Belum")</f>
        <v>Sudah</v>
      </c>
    </row>
    <row r="252" spans="1:4" hidden="1" x14ac:dyDescent="0.35">
      <c r="A252" s="3">
        <v>2009</v>
      </c>
      <c r="B252" s="4" t="s">
        <v>2045</v>
      </c>
      <c r="C252" s="4" t="s">
        <v>5368</v>
      </c>
      <c r="D252" t="str">
        <f>IF(COUNTIFS(Sheet1!$D$2:$D$3203, A252, Sheet1!$C$2:$C$3203, B252) &gt; 0, "Sudah", "Belum")</f>
        <v>Sudah</v>
      </c>
    </row>
    <row r="253" spans="1:4" hidden="1" x14ac:dyDescent="0.35">
      <c r="A253" s="3">
        <v>2017</v>
      </c>
      <c r="B253" s="4" t="s">
        <v>2446</v>
      </c>
      <c r="C253" s="4" t="s">
        <v>6013</v>
      </c>
      <c r="D253" t="str">
        <f>IF(COUNTIFS(Sheet1!$D$2:$D$3203, A253, Sheet1!$C$2:$C$3203, B253) &gt; 0, "Sudah", "Belum")</f>
        <v>Sudah</v>
      </c>
    </row>
    <row r="254" spans="1:4" hidden="1" x14ac:dyDescent="0.35">
      <c r="A254" s="3">
        <v>1998</v>
      </c>
      <c r="B254" s="4" t="s">
        <v>1349</v>
      </c>
      <c r="C254" s="4" t="s">
        <v>6014</v>
      </c>
      <c r="D254" t="str">
        <f>IF(COUNTIFS(Sheet1!$D$2:$D$3203, A254, Sheet1!$C$2:$C$3203, B254) &gt; 0, "Sudah", "Belum")</f>
        <v>Sudah</v>
      </c>
    </row>
    <row r="255" spans="1:4" hidden="1" x14ac:dyDescent="0.35">
      <c r="A255" s="3">
        <v>2000</v>
      </c>
      <c r="B255" s="4" t="s">
        <v>1497</v>
      </c>
      <c r="C255" s="4" t="s">
        <v>6015</v>
      </c>
      <c r="D255" t="str">
        <f>IF(COUNTIFS(Sheet1!$D$2:$D$3203, A255, Sheet1!$C$2:$C$3203, B255) &gt; 0, "Sudah", "Belum")</f>
        <v>Sudah</v>
      </c>
    </row>
    <row r="256" spans="1:4" hidden="1" x14ac:dyDescent="0.35">
      <c r="A256" s="3">
        <v>1998</v>
      </c>
      <c r="B256" s="4" t="s">
        <v>1306</v>
      </c>
      <c r="C256" s="4" t="s">
        <v>6016</v>
      </c>
      <c r="D256" t="str">
        <f>IF(COUNTIFS(Sheet1!$D$2:$D$3203, A256, Sheet1!$C$2:$C$3203, B256) &gt; 0, "Sudah", "Belum")</f>
        <v>Sudah</v>
      </c>
    </row>
    <row r="257" spans="1:4" hidden="1" x14ac:dyDescent="0.35">
      <c r="A257" s="3">
        <v>1990</v>
      </c>
      <c r="B257" s="4" t="s">
        <v>6017</v>
      </c>
      <c r="C257" s="4" t="s">
        <v>4909</v>
      </c>
      <c r="D257" t="str">
        <f>IF(COUNTIFS(Sheet1!$D$2:$D$3203, A257, Sheet1!$C$2:$C$3203, B257) &gt; 0, "Sudah", "Belum")</f>
        <v>Sudah</v>
      </c>
    </row>
    <row r="258" spans="1:4" hidden="1" x14ac:dyDescent="0.35">
      <c r="A258" s="3">
        <v>1990</v>
      </c>
      <c r="B258" s="4" t="s">
        <v>1106</v>
      </c>
      <c r="C258" s="4" t="s">
        <v>4909</v>
      </c>
      <c r="D258" t="str">
        <f>IF(COUNTIFS(Sheet1!$D$2:$D$3203, A258, Sheet1!$C$2:$C$3203, B258) &gt; 0, "Sudah", "Belum")</f>
        <v>Sudah</v>
      </c>
    </row>
    <row r="259" spans="1:4" hidden="1" x14ac:dyDescent="0.35">
      <c r="A259" s="3">
        <v>1990</v>
      </c>
      <c r="B259" s="4" t="s">
        <v>1106</v>
      </c>
      <c r="C259" s="4" t="s">
        <v>4909</v>
      </c>
      <c r="D259" t="str">
        <f>IF(COUNTIFS(Sheet1!$D$2:$D$3203, A259, Sheet1!$C$2:$C$3203, B259) &gt; 0, "Sudah", "Belum")</f>
        <v>Sudah</v>
      </c>
    </row>
    <row r="260" spans="1:4" hidden="1" x14ac:dyDescent="0.35">
      <c r="A260" s="3">
        <v>1993</v>
      </c>
      <c r="B260" s="4" t="s">
        <v>1179</v>
      </c>
      <c r="C260" s="4" t="s">
        <v>3551</v>
      </c>
      <c r="D260" t="str">
        <f>IF(COUNTIFS(Sheet1!$D$2:$D$3203, A260, Sheet1!$C$2:$C$3203, B260) &gt; 0, "Sudah", "Belum")</f>
        <v>Sudah</v>
      </c>
    </row>
    <row r="261" spans="1:4" hidden="1" x14ac:dyDescent="0.35">
      <c r="A261" s="3">
        <v>2007</v>
      </c>
      <c r="B261" s="4" t="s">
        <v>2971</v>
      </c>
      <c r="C261" s="4" t="s">
        <v>6018</v>
      </c>
      <c r="D261" t="str">
        <f>IF(COUNTIFS(Sheet1!$D$2:$D$3203, A261, Sheet1!$C$2:$C$3203, B261) &gt; 0, "Sudah", "Belum")</f>
        <v>Sudah</v>
      </c>
    </row>
    <row r="262" spans="1:4" hidden="1" x14ac:dyDescent="0.35">
      <c r="A262" s="3">
        <v>2006</v>
      </c>
      <c r="B262" s="4" t="s">
        <v>2954</v>
      </c>
      <c r="C262" s="4" t="s">
        <v>6019</v>
      </c>
      <c r="D262" t="str">
        <f>IF(COUNTIFS(Sheet1!$D$2:$D$3203, A262, Sheet1!$C$2:$C$3203, B262) &gt; 0, "Sudah", "Belum")</f>
        <v>Sudah</v>
      </c>
    </row>
    <row r="263" spans="1:4" hidden="1" x14ac:dyDescent="0.35">
      <c r="A263" s="3">
        <v>1998</v>
      </c>
      <c r="B263" s="4" t="s">
        <v>5838</v>
      </c>
      <c r="C263" s="4" t="s">
        <v>6020</v>
      </c>
      <c r="D263" t="str">
        <f>IF(COUNTIFS(Sheet1!$D$2:$D$3203, A263, Sheet1!$C$2:$C$3203, B263) &gt; 0, "Sudah", "Belum")</f>
        <v>Sudah</v>
      </c>
    </row>
    <row r="264" spans="1:4" hidden="1" x14ac:dyDescent="0.35">
      <c r="A264" s="3">
        <v>2001</v>
      </c>
      <c r="B264" s="4" t="s">
        <v>1668</v>
      </c>
      <c r="C264" s="4" t="s">
        <v>6021</v>
      </c>
      <c r="D264" t="str">
        <f>IF(COUNTIFS(Sheet1!$D$2:$D$3203, A264, Sheet1!$C$2:$C$3203, B264) &gt; 0, "Sudah", "Belum")</f>
        <v>Sudah</v>
      </c>
    </row>
    <row r="265" spans="1:4" hidden="1" x14ac:dyDescent="0.35">
      <c r="A265" s="3">
        <v>1998</v>
      </c>
      <c r="B265" s="4" t="s">
        <v>1693</v>
      </c>
      <c r="C265" s="4" t="s">
        <v>6022</v>
      </c>
      <c r="D265" t="str">
        <f>IF(COUNTIFS(Sheet1!$D$2:$D$3203, A265, Sheet1!$C$2:$C$3203, B265) &gt; 0, "Sudah", "Belum")</f>
        <v>Sudah</v>
      </c>
    </row>
    <row r="266" spans="1:4" hidden="1" x14ac:dyDescent="0.35">
      <c r="A266" s="3">
        <v>1998</v>
      </c>
      <c r="B266" s="4" t="s">
        <v>1415</v>
      </c>
      <c r="C266" s="4" t="s">
        <v>6023</v>
      </c>
      <c r="D266" t="str">
        <f>IF(COUNTIFS(Sheet1!$D$2:$D$3203, A266, Sheet1!$C$2:$C$3203, B266) &gt; 0, "Sudah", "Belum")</f>
        <v>Sudah</v>
      </c>
    </row>
    <row r="267" spans="1:4" hidden="1" x14ac:dyDescent="0.35">
      <c r="A267" s="3">
        <v>2013</v>
      </c>
      <c r="B267" s="4" t="s">
        <v>6024</v>
      </c>
      <c r="C267" s="4" t="s">
        <v>6025</v>
      </c>
      <c r="D267" t="str">
        <f>IF(COUNTIFS(Sheet1!$D$2:$D$3203, A267, Sheet1!$C$2:$C$3203, B267) &gt; 0, "Sudah", "Belum")</f>
        <v>Sudah</v>
      </c>
    </row>
    <row r="268" spans="1:4" hidden="1" x14ac:dyDescent="0.35">
      <c r="A268" s="3">
        <v>2008</v>
      </c>
      <c r="B268" s="4" t="s">
        <v>6026</v>
      </c>
      <c r="C268" s="4" t="s">
        <v>6027</v>
      </c>
      <c r="D268" t="str">
        <f>IF(COUNTIFS(Sheet1!$D$2:$D$3203, A268, Sheet1!$C$2:$C$3203, B268) &gt; 0, "Sudah", "Belum")</f>
        <v>Sudah</v>
      </c>
    </row>
    <row r="269" spans="1:4" hidden="1" x14ac:dyDescent="0.35">
      <c r="A269" s="3">
        <v>1998</v>
      </c>
      <c r="B269" s="4" t="s">
        <v>1333</v>
      </c>
      <c r="C269" s="4" t="s">
        <v>5809</v>
      </c>
      <c r="D269" t="str">
        <f>IF(COUNTIFS(Sheet1!$D$2:$D$3203, A269, Sheet1!$C$2:$C$3203, B269) &gt; 0, "Sudah", "Belum")</f>
        <v>Sudah</v>
      </c>
    </row>
    <row r="270" spans="1:4" hidden="1" x14ac:dyDescent="0.35">
      <c r="A270" s="3">
        <v>2003</v>
      </c>
      <c r="B270" s="4" t="s">
        <v>1746</v>
      </c>
      <c r="C270" s="4" t="s">
        <v>6028</v>
      </c>
      <c r="D270" t="str">
        <f>IF(COUNTIFS(Sheet1!$D$2:$D$3203, A270, Sheet1!$C$2:$C$3203, B270) &gt; 0, "Sudah", "Belum")</f>
        <v>Sudah</v>
      </c>
    </row>
    <row r="271" spans="1:4" hidden="1" x14ac:dyDescent="0.35">
      <c r="A271" s="3">
        <v>1995</v>
      </c>
      <c r="B271" s="4" t="s">
        <v>1109</v>
      </c>
      <c r="C271" s="4" t="s">
        <v>3804</v>
      </c>
      <c r="D271" t="str">
        <f>IF(COUNTIFS(Sheet1!$D$2:$D$3203, A271, Sheet1!$C$2:$C$3203, B271) &gt; 0, "Sudah", "Belum")</f>
        <v>Sudah</v>
      </c>
    </row>
    <row r="272" spans="1:4" hidden="1" x14ac:dyDescent="0.35">
      <c r="A272" s="3">
        <v>2000</v>
      </c>
      <c r="B272" s="4" t="s">
        <v>1576</v>
      </c>
      <c r="C272" s="4" t="s">
        <v>4272</v>
      </c>
      <c r="D272" t="str">
        <f>IF(COUNTIFS(Sheet1!$D$2:$D$3203, A272, Sheet1!$C$2:$C$3203, B272) &gt; 0, "Sudah", "Belum")</f>
        <v>Sudah</v>
      </c>
    </row>
    <row r="273" spans="1:4" x14ac:dyDescent="0.35">
      <c r="A273" s="3">
        <v>2009</v>
      </c>
      <c r="B273" s="4" t="s">
        <v>6029</v>
      </c>
      <c r="C273" s="4" t="s">
        <v>6030</v>
      </c>
      <c r="D273" t="str">
        <f>IF(COUNTIFS(Sheet1!$D$2:$D$3203, A273, Sheet1!$C$2:$C$3203, B273) &gt; 0, "Sudah", "Belum")</f>
        <v>Belum</v>
      </c>
    </row>
    <row r="274" spans="1:4" hidden="1" x14ac:dyDescent="0.35">
      <c r="A274" s="3">
        <v>2003</v>
      </c>
      <c r="B274" s="4" t="s">
        <v>2983</v>
      </c>
      <c r="C274" s="4" t="s">
        <v>6031</v>
      </c>
      <c r="D274" t="str">
        <f>IF(COUNTIFS(Sheet1!$D$2:$D$3203, A274, Sheet1!$C$2:$C$3203, B274) &gt; 0, "Sudah", "Belum")</f>
        <v>Sudah</v>
      </c>
    </row>
    <row r="275" spans="1:4" hidden="1" x14ac:dyDescent="0.35">
      <c r="A275" s="3">
        <v>2013</v>
      </c>
      <c r="B275" s="4" t="s">
        <v>2323</v>
      </c>
      <c r="C275" s="4" t="s">
        <v>6032</v>
      </c>
      <c r="D275" t="str">
        <f>IF(COUNTIFS(Sheet1!$D$2:$D$3203, A275, Sheet1!$C$2:$C$3203, B275) &gt; 0, "Sudah", "Belum")</f>
        <v>Sudah</v>
      </c>
    </row>
    <row r="276" spans="1:4" hidden="1" x14ac:dyDescent="0.35">
      <c r="A276" s="3">
        <v>2013</v>
      </c>
      <c r="B276" s="4" t="s">
        <v>2219</v>
      </c>
      <c r="C276" s="4" t="s">
        <v>6033</v>
      </c>
      <c r="D276" t="str">
        <f>IF(COUNTIFS(Sheet1!$D$2:$D$3203, A276, Sheet1!$C$2:$C$3203, B276) &gt; 0, "Sudah", "Belum")</f>
        <v>Sudah</v>
      </c>
    </row>
    <row r="277" spans="1:4" hidden="1" x14ac:dyDescent="0.35">
      <c r="A277" s="3">
        <v>2009</v>
      </c>
      <c r="B277" s="4" t="s">
        <v>1872</v>
      </c>
      <c r="C277" s="4" t="s">
        <v>6034</v>
      </c>
      <c r="D277" t="str">
        <f>IF(COUNTIFS(Sheet1!$D$2:$D$3203, A277, Sheet1!$C$2:$C$3203, B277) &gt; 0, "Sudah", "Belum")</f>
        <v>Sudah</v>
      </c>
    </row>
    <row r="278" spans="1:4" hidden="1" x14ac:dyDescent="0.35">
      <c r="A278" s="3">
        <v>1999</v>
      </c>
      <c r="B278" s="4" t="s">
        <v>1381</v>
      </c>
      <c r="C278" s="4" t="s">
        <v>6035</v>
      </c>
      <c r="D278" t="str">
        <f>IF(COUNTIFS(Sheet1!$D$2:$D$3203, A278, Sheet1!$C$2:$C$3203, B278) &gt; 0, "Sudah", "Belum")</f>
        <v>Sudah</v>
      </c>
    </row>
    <row r="279" spans="1:4" hidden="1" x14ac:dyDescent="0.35">
      <c r="A279" s="3">
        <v>1986</v>
      </c>
      <c r="B279" s="4" t="s">
        <v>647</v>
      </c>
      <c r="C279" s="4" t="s">
        <v>3451</v>
      </c>
      <c r="D279" t="str">
        <f>IF(COUNTIFS(Sheet1!$D$2:$D$3203, A279, Sheet1!$C$2:$C$3203, B279) &gt; 0, "Sudah", "Belum")</f>
        <v>Sudah</v>
      </c>
    </row>
    <row r="280" spans="1:4" ht="15.5" hidden="1" x14ac:dyDescent="0.35">
      <c r="A280" s="3">
        <v>1998</v>
      </c>
      <c r="B280" s="11" t="s">
        <v>1312</v>
      </c>
      <c r="C280" s="4" t="s">
        <v>5304</v>
      </c>
      <c r="D280" t="str">
        <f>IF(COUNTIFS(Sheet1!$D$2:$D$3203, A280, Sheet1!$C$2:$C$3203, B280) &gt; 0, "Sudah", "Belum")</f>
        <v>Sudah</v>
      </c>
    </row>
    <row r="281" spans="1:4" hidden="1" x14ac:dyDescent="0.35">
      <c r="A281" s="3">
        <v>2013</v>
      </c>
      <c r="B281" s="4" t="s">
        <v>3163</v>
      </c>
      <c r="C281" s="4" t="s">
        <v>6036</v>
      </c>
      <c r="D281" t="str">
        <f>IF(COUNTIFS(Sheet1!$D$2:$D$3203, A281, Sheet1!$C$2:$C$3203, B281) &gt; 0, "Sudah", "Belum")</f>
        <v>Sudah</v>
      </c>
    </row>
    <row r="282" spans="1:4" ht="15.5" hidden="1" x14ac:dyDescent="0.35">
      <c r="A282" s="3">
        <v>2008</v>
      </c>
      <c r="B282" s="13" t="s">
        <v>3019</v>
      </c>
      <c r="C282" s="4" t="s">
        <v>3857</v>
      </c>
      <c r="D282" t="str">
        <f>IF(COUNTIFS(Sheet1!$D$2:$D$3203, A282, Sheet1!$C$2:$C$3203, B282) &gt; 0, "Sudah", "Belum")</f>
        <v>Sudah</v>
      </c>
    </row>
    <row r="283" spans="1:4" ht="15.5" hidden="1" x14ac:dyDescent="0.35">
      <c r="A283" s="3">
        <v>1990</v>
      </c>
      <c r="B283" s="31" t="s">
        <v>838</v>
      </c>
      <c r="C283" s="4" t="s">
        <v>6037</v>
      </c>
      <c r="D283" t="str">
        <f>IF(COUNTIFS(Sheet1!$D$2:$D$3203, A283, Sheet1!$C$2:$C$3203, B283) &gt; 0, "Sudah", "Belum")</f>
        <v>Sudah</v>
      </c>
    </row>
    <row r="284" spans="1:4" x14ac:dyDescent="0.35">
      <c r="A284" s="3">
        <v>1984</v>
      </c>
      <c r="B284" s="4" t="s">
        <v>6038</v>
      </c>
      <c r="C284" s="4" t="s">
        <v>3669</v>
      </c>
      <c r="D284" t="str">
        <f>IF(COUNTIFS(Sheet1!$D$2:$D$3203, A284, Sheet1!$C$2:$C$3203, B284) &gt; 0, "Sudah", "Belum")</f>
        <v>Belum</v>
      </c>
    </row>
    <row r="285" spans="1:4" hidden="1" x14ac:dyDescent="0.35">
      <c r="A285" s="3">
        <v>1987</v>
      </c>
      <c r="B285" s="4" t="s">
        <v>824</v>
      </c>
      <c r="C285" s="4" t="s">
        <v>6039</v>
      </c>
      <c r="D285" t="str">
        <f>IF(COUNTIFS(Sheet1!$D$2:$D$3203, A285, Sheet1!$C$2:$C$3203, B285) &gt; 0, "Sudah", "Belum")</f>
        <v>Sudah</v>
      </c>
    </row>
    <row r="286" spans="1:4" ht="15.5" hidden="1" x14ac:dyDescent="0.35">
      <c r="A286" s="3">
        <v>1999</v>
      </c>
      <c r="B286" s="11" t="s">
        <v>1428</v>
      </c>
      <c r="C286" s="4" t="s">
        <v>6040</v>
      </c>
      <c r="D286" t="str">
        <f>IF(COUNTIFS(Sheet1!$D$2:$D$3203, A286, Sheet1!$C$2:$C$3203, B286) &gt; 0, "Sudah", "Belum")</f>
        <v>Sudah</v>
      </c>
    </row>
    <row r="287" spans="1:4" x14ac:dyDescent="0.35">
      <c r="A287" s="3">
        <v>1998</v>
      </c>
      <c r="B287" s="4" t="s">
        <v>6041</v>
      </c>
      <c r="C287" s="4" t="s">
        <v>6042</v>
      </c>
      <c r="D287" t="str">
        <f>IF(COUNTIFS(Sheet1!$D$2:$D$3203, A287, Sheet1!$C$2:$C$3203, B287) &gt; 0, "Sudah", "Belum")</f>
        <v>Belum</v>
      </c>
    </row>
    <row r="288" spans="1:4" hidden="1" x14ac:dyDescent="0.35">
      <c r="A288" s="3">
        <v>1998</v>
      </c>
      <c r="B288" s="4" t="s">
        <v>1445</v>
      </c>
      <c r="C288" s="4" t="s">
        <v>6043</v>
      </c>
      <c r="D288" t="str">
        <f>IF(COUNTIFS(Sheet1!$D$2:$D$3203, A288, Sheet1!$C$2:$C$3203, B288) &gt; 0, "Sudah", "Belum")</f>
        <v>Sudah</v>
      </c>
    </row>
    <row r="289" spans="1:4" hidden="1" x14ac:dyDescent="0.35">
      <c r="A289" s="3">
        <v>1998</v>
      </c>
      <c r="B289" s="4" t="s">
        <v>1302</v>
      </c>
      <c r="C289" s="4" t="s">
        <v>5768</v>
      </c>
      <c r="D289" t="str">
        <f>IF(COUNTIFS(Sheet1!$D$2:$D$3203, A289, Sheet1!$C$2:$C$3203, B289) &gt; 0, "Sudah", "Belum")</f>
        <v>Sudah</v>
      </c>
    </row>
    <row r="290" spans="1:4" hidden="1" x14ac:dyDescent="0.35">
      <c r="A290" s="3">
        <v>1999</v>
      </c>
      <c r="B290" s="4" t="s">
        <v>6044</v>
      </c>
      <c r="C290" s="4" t="s">
        <v>6045</v>
      </c>
      <c r="D290" t="str">
        <f>IF(COUNTIFS(Sheet1!$D$2:$D$3203, A290, Sheet1!$C$2:$C$3203, B290) &gt; 0, "Sudah", "Belum")</f>
        <v>Sudah</v>
      </c>
    </row>
    <row r="291" spans="1:4" hidden="1" x14ac:dyDescent="0.35">
      <c r="A291" s="3">
        <v>1999</v>
      </c>
      <c r="B291" s="4" t="s">
        <v>1440</v>
      </c>
      <c r="C291" s="4" t="s">
        <v>6046</v>
      </c>
      <c r="D291" t="str">
        <f>IF(COUNTIFS(Sheet1!$D$2:$D$3203, A291, Sheet1!$C$2:$C$3203, B291) &gt; 0, "Sudah", "Belum")</f>
        <v>Sudah</v>
      </c>
    </row>
    <row r="292" spans="1:4" hidden="1" x14ac:dyDescent="0.35">
      <c r="A292" s="3">
        <v>2007</v>
      </c>
      <c r="B292" s="4" t="s">
        <v>2993</v>
      </c>
      <c r="C292" s="4" t="s">
        <v>6047</v>
      </c>
      <c r="D292" t="str">
        <f>IF(COUNTIFS(Sheet1!$D$2:$D$3203, A292, Sheet1!$C$2:$C$3203, B292) &gt; 0, "Sudah", "Belum")</f>
        <v>Sudah</v>
      </c>
    </row>
    <row r="293" spans="1:4" x14ac:dyDescent="0.35">
      <c r="A293" s="3">
        <v>2003</v>
      </c>
      <c r="B293" s="4" t="s">
        <v>6048</v>
      </c>
      <c r="C293" s="4" t="s">
        <v>6049</v>
      </c>
      <c r="D293" t="str">
        <f>IF(COUNTIFS(Sheet1!$D$2:$D$3203, A293, Sheet1!$C$2:$C$3203, B293) &gt; 0, "Sudah", "Belum")</f>
        <v>Belum</v>
      </c>
    </row>
    <row r="294" spans="1:4" hidden="1" x14ac:dyDescent="0.35">
      <c r="A294" s="3">
        <v>2007</v>
      </c>
      <c r="B294" s="4" t="s">
        <v>2930</v>
      </c>
      <c r="C294" s="4" t="s">
        <v>6050</v>
      </c>
      <c r="D294" t="str">
        <f>IF(COUNTIFS(Sheet1!$D$2:$D$3203, A294, Sheet1!$C$2:$C$3203, B294) &gt; 0, "Sudah", "Belum")</f>
        <v>Sudah</v>
      </c>
    </row>
    <row r="295" spans="1:4" hidden="1" x14ac:dyDescent="0.35">
      <c r="A295" s="3">
        <v>2008</v>
      </c>
      <c r="B295" s="4" t="s">
        <v>1853</v>
      </c>
      <c r="C295" s="4" t="s">
        <v>3564</v>
      </c>
      <c r="D295" t="str">
        <f>IF(COUNTIFS(Sheet1!$D$2:$D$3203, A295, Sheet1!$C$2:$C$3203, B295) &gt; 0, "Sudah", "Belum")</f>
        <v>Sudah</v>
      </c>
    </row>
    <row r="296" spans="1:4" hidden="1" x14ac:dyDescent="0.35">
      <c r="A296" s="3">
        <v>1971</v>
      </c>
      <c r="B296" s="4" t="s">
        <v>107</v>
      </c>
      <c r="C296" s="4" t="s">
        <v>6051</v>
      </c>
      <c r="D296" t="str">
        <f>IF(COUNTIFS(Sheet1!$D$2:$D$3203, A296, Sheet1!$C$2:$C$3203, B296) &gt; 0, "Sudah", "Belum")</f>
        <v>Sudah</v>
      </c>
    </row>
    <row r="297" spans="1:4" hidden="1" x14ac:dyDescent="0.35">
      <c r="A297" s="3">
        <v>2000</v>
      </c>
      <c r="B297" s="4" t="s">
        <v>1493</v>
      </c>
      <c r="C297" s="4" t="s">
        <v>5405</v>
      </c>
      <c r="D297" t="str">
        <f>IF(COUNTIFS(Sheet1!$D$2:$D$3203, A297, Sheet1!$C$2:$C$3203, B297) &gt; 0, "Sudah", "Belum")</f>
        <v>Sudah</v>
      </c>
    </row>
    <row r="298" spans="1:4" hidden="1" x14ac:dyDescent="0.35">
      <c r="A298" s="3">
        <v>1989</v>
      </c>
      <c r="B298" s="4" t="s">
        <v>862</v>
      </c>
      <c r="C298" s="4" t="s">
        <v>3361</v>
      </c>
      <c r="D298" t="str">
        <f>IF(COUNTIFS(Sheet1!$D$2:$D$3203, A298, Sheet1!$C$2:$C$3203, B298) &gt; 0, "Sudah", "Belum")</f>
        <v>Sudah</v>
      </c>
    </row>
    <row r="299" spans="1:4" ht="15.5" hidden="1" x14ac:dyDescent="0.35">
      <c r="A299" s="3">
        <v>2009</v>
      </c>
      <c r="B299" s="24" t="s">
        <v>3052</v>
      </c>
      <c r="C299" s="4" t="s">
        <v>6052</v>
      </c>
      <c r="D299" t="str">
        <f>IF(COUNTIFS(Sheet1!$D$2:$D$3203, A299, Sheet1!$C$2:$C$3203, B299) &gt; 0, "Sudah", "Belum")</f>
        <v>Sudah</v>
      </c>
    </row>
    <row r="300" spans="1:4" hidden="1" x14ac:dyDescent="0.35">
      <c r="A300" s="3">
        <v>1998</v>
      </c>
      <c r="B300" s="4" t="s">
        <v>1323</v>
      </c>
      <c r="C300" s="4" t="s">
        <v>6053</v>
      </c>
      <c r="D300" t="str">
        <f>IF(COUNTIFS(Sheet1!$D$2:$D$3203, A300, Sheet1!$C$2:$C$3203, B300) &gt; 0, "Sudah", "Belum")</f>
        <v>Sudah</v>
      </c>
    </row>
    <row r="301" spans="1:4" hidden="1" x14ac:dyDescent="0.35">
      <c r="A301" s="3">
        <v>2017</v>
      </c>
      <c r="B301" s="4" t="s">
        <v>2389</v>
      </c>
      <c r="C301" s="4" t="s">
        <v>6054</v>
      </c>
      <c r="D301" t="str">
        <f>IF(COUNTIFS(Sheet1!$D$2:$D$3203, A301, Sheet1!$C$2:$C$3203, B301) &gt; 0, "Sudah", "Belum")</f>
        <v>Sudah</v>
      </c>
    </row>
    <row r="302" spans="1:4" ht="15.5" hidden="1" x14ac:dyDescent="0.35">
      <c r="A302" s="3">
        <v>2009</v>
      </c>
      <c r="B302" s="24" t="s">
        <v>3047</v>
      </c>
      <c r="C302" s="4" t="s">
        <v>6055</v>
      </c>
      <c r="D302" t="str">
        <f>IF(COUNTIFS(Sheet1!$D$2:$D$3203, A302, Sheet1!$C$2:$C$3203, B302) &gt; 0, "Sudah", "Belum")</f>
        <v>Sudah</v>
      </c>
    </row>
    <row r="303" spans="1:4" ht="15.5" hidden="1" x14ac:dyDescent="0.35">
      <c r="A303" s="3">
        <v>2011</v>
      </c>
      <c r="B303" s="13" t="s">
        <v>2023</v>
      </c>
      <c r="C303" s="4" t="s">
        <v>6056</v>
      </c>
      <c r="D303" t="str">
        <f>IF(COUNTIFS(Sheet1!$D$2:$D$3203, A303, Sheet1!$C$2:$C$3203, B303) &gt; 0, "Sudah", "Belum")</f>
        <v>Sudah</v>
      </c>
    </row>
    <row r="304" spans="1:4" hidden="1" x14ac:dyDescent="0.35">
      <c r="A304" s="3">
        <v>2001</v>
      </c>
      <c r="B304" s="4" t="s">
        <v>6057</v>
      </c>
      <c r="C304" s="4" t="s">
        <v>6058</v>
      </c>
      <c r="D304" t="str">
        <f>IF(COUNTIFS(Sheet1!$D$2:$D$3203, A304, Sheet1!$C$2:$C$3203, B304) &gt; 0, "Sudah", "Belum")</f>
        <v>Sudah</v>
      </c>
    </row>
    <row r="305" spans="1:4" hidden="1" x14ac:dyDescent="0.35">
      <c r="A305" s="3">
        <v>1991</v>
      </c>
      <c r="B305" s="4" t="s">
        <v>3233</v>
      </c>
      <c r="C305" s="4" t="s">
        <v>6059</v>
      </c>
      <c r="D305" t="str">
        <f>IF(COUNTIFS(Sheet1!$D$2:$D$3203, A305, Sheet1!$C$2:$C$3203, B305) &gt; 0, "Sudah", "Belum")</f>
        <v>Sudah</v>
      </c>
    </row>
    <row r="306" spans="1:4" x14ac:dyDescent="0.35">
      <c r="A306" s="3">
        <v>1989</v>
      </c>
      <c r="B306" s="4" t="s">
        <v>6060</v>
      </c>
      <c r="C306" s="4" t="s">
        <v>6061</v>
      </c>
      <c r="D306" t="str">
        <f>IF(COUNTIFS(Sheet1!$D$2:$D$3203, A306, Sheet1!$C$2:$C$3203, B306) &gt; 0, "Sudah", "Belum")</f>
        <v>Belum</v>
      </c>
    </row>
    <row r="307" spans="1:4" hidden="1" x14ac:dyDescent="0.35">
      <c r="A307" s="3">
        <v>2011</v>
      </c>
      <c r="B307" s="4" t="s">
        <v>2016</v>
      </c>
      <c r="C307" s="4" t="s">
        <v>4647</v>
      </c>
      <c r="D307" t="str">
        <f>IF(COUNTIFS(Sheet1!$D$2:$D$3203, A307, Sheet1!$C$2:$C$3203, B307) &gt; 0, "Sudah", "Belum")</f>
        <v>Sudah</v>
      </c>
    </row>
    <row r="308" spans="1:4" hidden="1" x14ac:dyDescent="0.35">
      <c r="A308" s="3">
        <v>2007</v>
      </c>
      <c r="B308" s="4" t="s">
        <v>1964</v>
      </c>
      <c r="C308" s="4" t="s">
        <v>3321</v>
      </c>
      <c r="D308" t="str">
        <f>IF(COUNTIFS(Sheet1!$D$2:$D$3203, A308, Sheet1!$C$2:$C$3203, B308) &gt; 0, "Sudah", "Belum")</f>
        <v>Sudah</v>
      </c>
    </row>
    <row r="309" spans="1:4" hidden="1" x14ac:dyDescent="0.35">
      <c r="A309" s="3">
        <v>2007</v>
      </c>
      <c r="B309" s="4" t="s">
        <v>1964</v>
      </c>
      <c r="C309" s="4" t="s">
        <v>3321</v>
      </c>
      <c r="D309" t="str">
        <f>IF(COUNTIFS(Sheet1!$D$2:$D$3203, A309, Sheet1!$C$2:$C$3203, B309) &gt; 0, "Sudah", "Belum")</f>
        <v>Sudah</v>
      </c>
    </row>
    <row r="310" spans="1:4" hidden="1" x14ac:dyDescent="0.35">
      <c r="A310" s="3">
        <v>2011</v>
      </c>
      <c r="B310" s="4" t="s">
        <v>2033</v>
      </c>
      <c r="C310" s="4" t="s">
        <v>4215</v>
      </c>
      <c r="D310" t="str">
        <f>IF(COUNTIFS(Sheet1!$D$2:$D$3203, A310, Sheet1!$C$2:$C$3203, B310) &gt; 0, "Sudah", "Belum")</f>
        <v>Sudah</v>
      </c>
    </row>
    <row r="311" spans="1:4" hidden="1" x14ac:dyDescent="0.35">
      <c r="A311" s="3">
        <v>2009</v>
      </c>
      <c r="B311" s="4" t="s">
        <v>3038</v>
      </c>
      <c r="C311" s="4" t="s">
        <v>5276</v>
      </c>
      <c r="D311" t="str">
        <f>IF(COUNTIFS(Sheet1!$D$2:$D$3203, A311, Sheet1!$C$2:$C$3203, B311) &gt; 0, "Sudah", "Belum")</f>
        <v>Sudah</v>
      </c>
    </row>
    <row r="312" spans="1:4" hidden="1" x14ac:dyDescent="0.35">
      <c r="A312" s="3">
        <v>1995</v>
      </c>
      <c r="B312" s="4" t="s">
        <v>1000</v>
      </c>
      <c r="C312" s="4" t="s">
        <v>6062</v>
      </c>
      <c r="D312" t="str">
        <f>IF(COUNTIFS(Sheet1!$D$2:$D$3203, A312, Sheet1!$C$2:$C$3203, B312) &gt; 0, "Sudah", "Belum")</f>
        <v>Sudah</v>
      </c>
    </row>
    <row r="313" spans="1:4" hidden="1" x14ac:dyDescent="0.35">
      <c r="A313" s="3">
        <v>2007</v>
      </c>
      <c r="B313" s="4" t="s">
        <v>3057</v>
      </c>
      <c r="C313" s="4" t="s">
        <v>3221</v>
      </c>
      <c r="D313" t="str">
        <f>IF(COUNTIFS(Sheet1!$D$2:$D$3203, A313, Sheet1!$C$2:$C$3203, B313) &gt; 0, "Sudah", "Belum")</f>
        <v>Sudah</v>
      </c>
    </row>
    <row r="314" spans="1:4" hidden="1" x14ac:dyDescent="0.35">
      <c r="A314" s="3">
        <v>1989</v>
      </c>
      <c r="B314" s="4" t="s">
        <v>3949</v>
      </c>
      <c r="C314" s="4" t="s">
        <v>6063</v>
      </c>
      <c r="D314" t="str">
        <f>IF(COUNTIFS(Sheet1!$D$2:$D$3203, A314, Sheet1!$C$2:$C$3203, B314) &gt; 0, "Sudah", "Belum")</f>
        <v>Sudah</v>
      </c>
    </row>
    <row r="315" spans="1:4" hidden="1" x14ac:dyDescent="0.35">
      <c r="A315" s="3">
        <v>2008</v>
      </c>
      <c r="B315" s="4" t="s">
        <v>3022</v>
      </c>
      <c r="C315" s="4" t="s">
        <v>6064</v>
      </c>
      <c r="D315" t="str">
        <f>IF(COUNTIFS(Sheet1!$D$2:$D$3203, A315, Sheet1!$C$2:$C$3203, B315) &gt; 0, "Sudah", "Belum")</f>
        <v>Sudah</v>
      </c>
    </row>
    <row r="316" spans="1:4" x14ac:dyDescent="0.35">
      <c r="A316" s="3">
        <v>1998</v>
      </c>
      <c r="B316" s="4" t="s">
        <v>6065</v>
      </c>
      <c r="C316" s="4" t="s">
        <v>6066</v>
      </c>
      <c r="D316" t="str">
        <f>IF(COUNTIFS(Sheet1!$D$2:$D$3203, A316, Sheet1!$C$2:$C$3203, B316) &gt; 0, "Sudah", "Belum")</f>
        <v>Belum</v>
      </c>
    </row>
    <row r="317" spans="1:4" hidden="1" x14ac:dyDescent="0.35">
      <c r="A317" s="3">
        <v>1990</v>
      </c>
      <c r="B317" s="4" t="s">
        <v>865</v>
      </c>
      <c r="C317" s="4" t="s">
        <v>6067</v>
      </c>
      <c r="D317" t="str">
        <f>IF(COUNTIFS(Sheet1!$D$2:$D$3203, A317, Sheet1!$C$2:$C$3203, B317) &gt; 0, "Sudah", "Belum")</f>
        <v>Sudah</v>
      </c>
    </row>
    <row r="318" spans="1:4" ht="15.5" hidden="1" x14ac:dyDescent="0.35">
      <c r="A318" s="3">
        <v>1998</v>
      </c>
      <c r="B318" s="11" t="s">
        <v>1629</v>
      </c>
      <c r="C318" s="4" t="s">
        <v>4453</v>
      </c>
      <c r="D318" t="str">
        <f>IF(COUNTIFS(Sheet1!$D$2:$D$3203, A318, Sheet1!$C$2:$C$3203, B318) &gt; 0, "Sudah", "Belum")</f>
        <v>Sudah</v>
      </c>
    </row>
    <row r="319" spans="1:4" hidden="1" x14ac:dyDescent="0.35">
      <c r="A319" s="3">
        <v>2008</v>
      </c>
      <c r="B319" s="4" t="s">
        <v>6068</v>
      </c>
      <c r="C319" s="4" t="s">
        <v>3355</v>
      </c>
      <c r="D319" t="str">
        <f>IF(COUNTIFS(Sheet1!$D$2:$D$3203, A319, Sheet1!$C$2:$C$3203, B319) &gt; 0, "Sudah", "Belum")</f>
        <v>Sudah</v>
      </c>
    </row>
    <row r="320" spans="1:4" hidden="1" x14ac:dyDescent="0.35">
      <c r="A320" s="3">
        <v>2008</v>
      </c>
      <c r="B320" s="4" t="s">
        <v>6068</v>
      </c>
      <c r="C320" s="4" t="s">
        <v>3355</v>
      </c>
      <c r="D320" t="str">
        <f>IF(COUNTIFS(Sheet1!$D$2:$D$3203, A320, Sheet1!$C$2:$C$3203, B320) &gt; 0, "Sudah", "Belum")</f>
        <v>Sudah</v>
      </c>
    </row>
    <row r="321" spans="1:4" ht="15.5" hidden="1" x14ac:dyDescent="0.35">
      <c r="A321" s="3">
        <v>2008</v>
      </c>
      <c r="B321" s="13" t="s">
        <v>3017</v>
      </c>
      <c r="C321" s="4" t="s">
        <v>6069</v>
      </c>
      <c r="D321" t="str">
        <f>IF(COUNTIFS(Sheet1!$D$2:$D$3203, A321, Sheet1!$C$2:$C$3203, B321) &gt; 0, "Sudah", "Belum")</f>
        <v>Sudah</v>
      </c>
    </row>
    <row r="322" spans="1:4" hidden="1" x14ac:dyDescent="0.35">
      <c r="A322" s="3">
        <v>2003</v>
      </c>
      <c r="B322" s="4" t="s">
        <v>6070</v>
      </c>
      <c r="C322" s="4" t="s">
        <v>3359</v>
      </c>
      <c r="D322" t="str">
        <f>IF(COUNTIFS(Sheet1!$D$2:$D$3203, A322, Sheet1!$C$2:$C$3203, B322) &gt; 0, "Sudah", "Belum")</f>
        <v>Sudah</v>
      </c>
    </row>
    <row r="323" spans="1:4" ht="15.5" hidden="1" x14ac:dyDescent="0.35">
      <c r="A323" s="3">
        <v>1983</v>
      </c>
      <c r="B323" s="31" t="s">
        <v>5828</v>
      </c>
      <c r="C323" s="4" t="s">
        <v>3431</v>
      </c>
      <c r="D323" t="str">
        <f>IF(COUNTIFS(Sheet1!$D$2:$D$3203, A323, Sheet1!$C$2:$C$3203, B323) &gt; 0, "Sudah", "Belum")</f>
        <v>Sudah</v>
      </c>
    </row>
    <row r="324" spans="1:4" ht="15.5" hidden="1" x14ac:dyDescent="0.35">
      <c r="A324" s="3">
        <v>2004</v>
      </c>
      <c r="B324" s="11" t="s">
        <v>1794</v>
      </c>
      <c r="C324" s="4" t="s">
        <v>3213</v>
      </c>
      <c r="D324" t="str">
        <f>IF(COUNTIFS(Sheet1!$D$2:$D$3203, A324, Sheet1!$C$2:$C$3203, B324) &gt; 0, "Sudah", "Belum")</f>
        <v>Sudah</v>
      </c>
    </row>
    <row r="325" spans="1:4" hidden="1" x14ac:dyDescent="0.35">
      <c r="A325" s="3">
        <v>2010</v>
      </c>
      <c r="B325" s="4" t="s">
        <v>6071</v>
      </c>
      <c r="C325" s="4" t="s">
        <v>6072</v>
      </c>
      <c r="D325" t="str">
        <f>IF(COUNTIFS(Sheet1!$D$2:$D$3203, A325, Sheet1!$C$2:$C$3203, B325) &gt; 0, "Sudah", "Belum")</f>
        <v>Sudah</v>
      </c>
    </row>
    <row r="326" spans="1:4" hidden="1" x14ac:dyDescent="0.35">
      <c r="A326" s="3">
        <v>2001</v>
      </c>
      <c r="B326" s="4" t="s">
        <v>1567</v>
      </c>
      <c r="C326" s="4" t="s">
        <v>6073</v>
      </c>
      <c r="D326" t="str">
        <f>IF(COUNTIFS(Sheet1!$D$2:$D$3203, A326, Sheet1!$C$2:$C$3203, B326) &gt; 0, "Sudah", "Belum")</f>
        <v>Sudah</v>
      </c>
    </row>
    <row r="327" spans="1:4" hidden="1" x14ac:dyDescent="0.35">
      <c r="A327" s="3">
        <v>2010</v>
      </c>
      <c r="B327" s="4" t="s">
        <v>1930</v>
      </c>
      <c r="C327" s="4" t="s">
        <v>5376</v>
      </c>
      <c r="D327" t="str">
        <f>IF(COUNTIFS(Sheet1!$D$2:$D$3203, A327, Sheet1!$C$2:$C$3203, B327) &gt; 0, "Sudah", "Belum")</f>
        <v>Sudah</v>
      </c>
    </row>
    <row r="328" spans="1:4" hidden="1" x14ac:dyDescent="0.35">
      <c r="A328" s="3">
        <v>2010</v>
      </c>
      <c r="B328" s="4" t="s">
        <v>1950</v>
      </c>
      <c r="C328" s="4" t="s">
        <v>4376</v>
      </c>
      <c r="D328" t="str">
        <f>IF(COUNTIFS(Sheet1!$D$2:$D$3203, A328, Sheet1!$C$2:$C$3203, B328) &gt; 0, "Sudah", "Belum")</f>
        <v>Sudah</v>
      </c>
    </row>
    <row r="329" spans="1:4" hidden="1" x14ac:dyDescent="0.35">
      <c r="A329" s="3">
        <v>2016</v>
      </c>
      <c r="B329" s="4" t="s">
        <v>3124</v>
      </c>
      <c r="C329" s="4" t="s">
        <v>6074</v>
      </c>
      <c r="D329" t="str">
        <f>IF(COUNTIFS(Sheet1!$D$2:$D$3203, A329, Sheet1!$C$2:$C$3203, B329) &gt; 0, "Sudah", "Belum")</f>
        <v>Sudah</v>
      </c>
    </row>
    <row r="330" spans="1:4" hidden="1" x14ac:dyDescent="0.35">
      <c r="A330" s="3">
        <v>2003</v>
      </c>
      <c r="B330" s="4" t="s">
        <v>3566</v>
      </c>
      <c r="C330" s="4" t="s">
        <v>3567</v>
      </c>
      <c r="D330" t="str">
        <f>IF(COUNTIFS(Sheet1!$D$2:$D$3203, A330, Sheet1!$C$2:$C$3203, B330) &gt; 0, "Sudah", "Belum")</f>
        <v>Sudah</v>
      </c>
    </row>
    <row r="331" spans="1:4" hidden="1" x14ac:dyDescent="0.35">
      <c r="A331" s="3">
        <v>2013</v>
      </c>
      <c r="B331" s="4" t="s">
        <v>2203</v>
      </c>
      <c r="C331" s="4" t="s">
        <v>6075</v>
      </c>
      <c r="D331" t="str">
        <f>IF(COUNTIFS(Sheet1!$D$2:$D$3203, A331, Sheet1!$C$2:$C$3203, B331) &gt; 0, "Sudah", "Belum")</f>
        <v>Sudah</v>
      </c>
    </row>
    <row r="332" spans="1:4" hidden="1" x14ac:dyDescent="0.35">
      <c r="A332" s="3">
        <v>2003</v>
      </c>
      <c r="B332" s="4" t="s">
        <v>1732</v>
      </c>
      <c r="C332" s="4" t="s">
        <v>5072</v>
      </c>
      <c r="D332" t="str">
        <f>IF(COUNTIFS(Sheet1!$D$2:$D$3203, A332, Sheet1!$C$2:$C$3203, B332) &gt; 0, "Sudah", "Belum")</f>
        <v>Sudah</v>
      </c>
    </row>
    <row r="333" spans="1:4" hidden="1" x14ac:dyDescent="0.35">
      <c r="A333" s="3">
        <v>2000</v>
      </c>
      <c r="B333" s="4" t="s">
        <v>1554</v>
      </c>
      <c r="C333" s="4" t="s">
        <v>3485</v>
      </c>
      <c r="D333" t="str">
        <f>IF(COUNTIFS(Sheet1!$D$2:$D$3203, A333, Sheet1!$C$2:$C$3203, B333) &gt; 0, "Sudah", "Belum")</f>
        <v>Sudah</v>
      </c>
    </row>
    <row r="334" spans="1:4" hidden="1" x14ac:dyDescent="0.35">
      <c r="A334" s="3">
        <v>2000</v>
      </c>
      <c r="B334" s="4" t="s">
        <v>1554</v>
      </c>
      <c r="C334" s="4" t="s">
        <v>3485</v>
      </c>
      <c r="D334" t="str">
        <f>IF(COUNTIFS(Sheet1!$D$2:$D$3203, A334, Sheet1!$C$2:$C$3203, B334) &gt; 0, "Sudah", "Belum")</f>
        <v>Sudah</v>
      </c>
    </row>
    <row r="335" spans="1:4" hidden="1" x14ac:dyDescent="0.35">
      <c r="A335" s="3">
        <v>2016</v>
      </c>
      <c r="B335" s="4" t="s">
        <v>3118</v>
      </c>
      <c r="C335" s="4" t="s">
        <v>6076</v>
      </c>
      <c r="D335" t="str">
        <f>IF(COUNTIFS(Sheet1!$D$2:$D$3203, A335, Sheet1!$C$2:$C$3203, B335) &gt; 0, "Sudah", "Belum")</f>
        <v>Sudah</v>
      </c>
    </row>
    <row r="336" spans="1:4" hidden="1" x14ac:dyDescent="0.35">
      <c r="A336" s="3">
        <v>2001</v>
      </c>
      <c r="B336" s="4" t="s">
        <v>1616</v>
      </c>
      <c r="C336" s="4" t="s">
        <v>6077</v>
      </c>
      <c r="D336" t="str">
        <f>IF(COUNTIFS(Sheet1!$D$2:$D$3203, A336, Sheet1!$C$2:$C$3203, B336) &gt; 0, "Sudah", "Belum")</f>
        <v>Sudah</v>
      </c>
    </row>
    <row r="337" spans="1:4" hidden="1" x14ac:dyDescent="0.35">
      <c r="A337" s="3">
        <v>1998</v>
      </c>
      <c r="B337" s="4" t="s">
        <v>1407</v>
      </c>
      <c r="C337" s="4" t="s">
        <v>4528</v>
      </c>
      <c r="D337" t="str">
        <f>IF(COUNTIFS(Sheet1!$D$2:$D$3203, A337, Sheet1!$C$2:$C$3203, B337) &gt; 0, "Sudah", "Belum")</f>
        <v>Sudah</v>
      </c>
    </row>
    <row r="338" spans="1:4" hidden="1" x14ac:dyDescent="0.35">
      <c r="A338" s="3">
        <v>2009</v>
      </c>
      <c r="B338" s="4" t="s">
        <v>3037</v>
      </c>
      <c r="C338" s="4" t="s">
        <v>5380</v>
      </c>
      <c r="D338" t="str">
        <f>IF(COUNTIFS(Sheet1!$D$2:$D$3203, A338, Sheet1!$C$2:$C$3203, B338) &gt; 0, "Sudah", "Belum")</f>
        <v>Sudah</v>
      </c>
    </row>
    <row r="339" spans="1:4" ht="15.5" hidden="1" x14ac:dyDescent="0.35">
      <c r="A339" s="3">
        <v>1991</v>
      </c>
      <c r="B339" s="32" t="s">
        <v>997</v>
      </c>
      <c r="C339" s="4" t="s">
        <v>3328</v>
      </c>
      <c r="D339" t="str">
        <f>IF(COUNTIFS(Sheet1!$D$2:$D$3203, A339, Sheet1!$C$2:$C$3203, B339) &gt; 0, "Sudah", "Belum")</f>
        <v>Sudah</v>
      </c>
    </row>
    <row r="340" spans="1:4" hidden="1" x14ac:dyDescent="0.35">
      <c r="A340" s="3">
        <v>1994</v>
      </c>
      <c r="B340" s="4" t="s">
        <v>954</v>
      </c>
      <c r="C340" s="4" t="s">
        <v>6078</v>
      </c>
      <c r="D340" t="str">
        <f>IF(COUNTIFS(Sheet1!$D$2:$D$3203, A340, Sheet1!$C$2:$C$3203, B340) &gt; 0, "Sudah", "Belum")</f>
        <v>Sudah</v>
      </c>
    </row>
    <row r="341" spans="1:4" ht="15.5" hidden="1" x14ac:dyDescent="0.35">
      <c r="A341" s="3">
        <v>2003</v>
      </c>
      <c r="B341" s="11" t="s">
        <v>1718</v>
      </c>
      <c r="C341" s="4" t="s">
        <v>3851</v>
      </c>
      <c r="D341" t="str">
        <f>IF(COUNTIFS(Sheet1!$D$2:$D$3203, A341, Sheet1!$C$2:$C$3203, B341) &gt; 0, "Sudah", "Belum")</f>
        <v>Sudah</v>
      </c>
    </row>
    <row r="342" spans="1:4" hidden="1" x14ac:dyDescent="0.35">
      <c r="A342" s="3">
        <v>1998</v>
      </c>
      <c r="B342" s="4" t="s">
        <v>1299</v>
      </c>
      <c r="C342" s="4" t="s">
        <v>6079</v>
      </c>
      <c r="D342" t="str">
        <f>IF(COUNTIFS(Sheet1!$D$2:$D$3203, A342, Sheet1!$C$2:$C$3203, B342) &gt; 0, "Sudah", "Belum")</f>
        <v>Sudah</v>
      </c>
    </row>
    <row r="343" spans="1:4" ht="15.5" hidden="1" x14ac:dyDescent="0.35">
      <c r="A343" s="3">
        <v>1988</v>
      </c>
      <c r="B343" s="31" t="s">
        <v>724</v>
      </c>
      <c r="C343" s="4" t="s">
        <v>4030</v>
      </c>
      <c r="D343" t="str">
        <f>IF(COUNTIFS(Sheet1!$D$2:$D$3203, A343, Sheet1!$C$2:$C$3203, B343) &gt; 0, "Sudah", "Belum")</f>
        <v>Sudah</v>
      </c>
    </row>
    <row r="344" spans="1:4" ht="15.5" hidden="1" x14ac:dyDescent="0.35">
      <c r="A344" s="3">
        <v>2009</v>
      </c>
      <c r="B344" s="13" t="s">
        <v>1868</v>
      </c>
      <c r="C344" s="4" t="s">
        <v>5543</v>
      </c>
      <c r="D344" t="str">
        <f>IF(COUNTIFS(Sheet1!$D$2:$D$3203, A344, Sheet1!$C$2:$C$3203, B344) &gt; 0, "Sudah", "Belum")</f>
        <v>Sudah</v>
      </c>
    </row>
    <row r="345" spans="1:4" hidden="1" x14ac:dyDescent="0.35">
      <c r="A345" s="3">
        <v>1986</v>
      </c>
      <c r="B345" s="4" t="s">
        <v>6080</v>
      </c>
      <c r="C345" s="4" t="s">
        <v>6081</v>
      </c>
      <c r="D345" t="str">
        <f>IF(COUNTIFS(Sheet1!$D$2:$D$3203, A345, Sheet1!$C$2:$C$3203, B345) &gt; 0, "Sudah", "Belum")</f>
        <v>Sudah</v>
      </c>
    </row>
    <row r="346" spans="1:4" hidden="1" x14ac:dyDescent="0.35">
      <c r="A346" s="3">
        <v>1989</v>
      </c>
      <c r="B346" s="4" t="s">
        <v>805</v>
      </c>
      <c r="C346" s="4" t="s">
        <v>3204</v>
      </c>
      <c r="D346" t="str">
        <f>IF(COUNTIFS(Sheet1!$D$2:$D$3203, A346, Sheet1!$C$2:$C$3203, B346) &gt; 0, "Sudah", "Belum")</f>
        <v>Sudah</v>
      </c>
    </row>
    <row r="347" spans="1:4" hidden="1" x14ac:dyDescent="0.35">
      <c r="A347" s="3">
        <v>2007</v>
      </c>
      <c r="B347" s="4" t="s">
        <v>2960</v>
      </c>
      <c r="C347" s="4" t="s">
        <v>3312</v>
      </c>
      <c r="D347" t="str">
        <f>IF(COUNTIFS(Sheet1!$D$2:$D$3203, A347, Sheet1!$C$2:$C$3203, B347) &gt; 0, "Sudah", "Belum")</f>
        <v>Sudah</v>
      </c>
    </row>
    <row r="348" spans="1:4" hidden="1" x14ac:dyDescent="0.35">
      <c r="A348" s="3">
        <v>2007</v>
      </c>
      <c r="B348" s="4" t="s">
        <v>2975</v>
      </c>
      <c r="C348" s="4" t="s">
        <v>6082</v>
      </c>
      <c r="D348" t="str">
        <f>IF(COUNTIFS(Sheet1!$D$2:$D$3203, A348, Sheet1!$C$2:$C$3203, B348) &gt; 0, "Sudah", "Belum")</f>
        <v>Sudah</v>
      </c>
    </row>
    <row r="349" spans="1:4" hidden="1" x14ac:dyDescent="0.35">
      <c r="A349" s="3">
        <v>1995</v>
      </c>
      <c r="B349" s="4" t="s">
        <v>6083</v>
      </c>
      <c r="C349" s="4" t="s">
        <v>3577</v>
      </c>
      <c r="D349" t="str">
        <f>IF(COUNTIFS(Sheet1!$D$2:$D$3203, A349, Sheet1!$C$2:$C$3203, B349) &gt; 0, "Sudah", "Belum")</f>
        <v>Sudah</v>
      </c>
    </row>
    <row r="350" spans="1:4" hidden="1" x14ac:dyDescent="0.35">
      <c r="A350" s="3">
        <v>2007</v>
      </c>
      <c r="B350" s="4" t="s">
        <v>2995</v>
      </c>
      <c r="C350" s="4" t="s">
        <v>5429</v>
      </c>
      <c r="D350" t="str">
        <f>IF(COUNTIFS(Sheet1!$D$2:$D$3203, A350, Sheet1!$C$2:$C$3203, B350) &gt; 0, "Sudah", "Belum")</f>
        <v>Sudah</v>
      </c>
    </row>
    <row r="351" spans="1:4" hidden="1" x14ac:dyDescent="0.35">
      <c r="A351" s="3">
        <v>2009</v>
      </c>
      <c r="B351" s="4" t="s">
        <v>1955</v>
      </c>
      <c r="C351" s="4" t="s">
        <v>6084</v>
      </c>
      <c r="D351" t="str">
        <f>IF(COUNTIFS(Sheet1!$D$2:$D$3203, A351, Sheet1!$C$2:$C$3203, B351) &gt; 0, "Sudah", "Belum")</f>
        <v>Sudah</v>
      </c>
    </row>
    <row r="352" spans="1:4" hidden="1" x14ac:dyDescent="0.35">
      <c r="A352" s="3">
        <v>2007</v>
      </c>
      <c r="B352" s="4" t="s">
        <v>2978</v>
      </c>
      <c r="C352" s="4" t="s">
        <v>6085</v>
      </c>
      <c r="D352" t="str">
        <f>IF(COUNTIFS(Sheet1!$D$2:$D$3203, A352, Sheet1!$C$2:$C$3203, B352) &gt; 0, "Sudah", "Belum")</f>
        <v>Sudah</v>
      </c>
    </row>
    <row r="353" spans="1:4" hidden="1" x14ac:dyDescent="0.35">
      <c r="A353" s="3">
        <v>2001</v>
      </c>
      <c r="B353" s="4" t="s">
        <v>1565</v>
      </c>
      <c r="C353" s="4" t="s">
        <v>6086</v>
      </c>
      <c r="D353" t="str">
        <f>IF(COUNTIFS(Sheet1!$D$2:$D$3203, A353, Sheet1!$C$2:$C$3203, B353) &gt; 0, "Sudah", "Belum")</f>
        <v>Sudah</v>
      </c>
    </row>
    <row r="354" spans="1:4" hidden="1" x14ac:dyDescent="0.35">
      <c r="A354" s="3">
        <v>1997</v>
      </c>
      <c r="B354" s="4" t="s">
        <v>1172</v>
      </c>
      <c r="C354" s="4" t="s">
        <v>4092</v>
      </c>
      <c r="D354" t="str">
        <f>IF(COUNTIFS(Sheet1!$D$2:$D$3203, A354, Sheet1!$C$2:$C$3203, B354) &gt; 0, "Sudah", "Belum")</f>
        <v>Sudah</v>
      </c>
    </row>
    <row r="355" spans="1:4" hidden="1" x14ac:dyDescent="0.35">
      <c r="A355" s="3">
        <v>2000</v>
      </c>
      <c r="B355" s="4" t="s">
        <v>1534</v>
      </c>
      <c r="C355" s="4" t="s">
        <v>4283</v>
      </c>
      <c r="D355" t="str">
        <f>IF(COUNTIFS(Sheet1!$D$2:$D$3203, A355, Sheet1!$C$2:$C$3203, B355) &gt; 0, "Sudah", "Belum")</f>
        <v>Sudah</v>
      </c>
    </row>
    <row r="356" spans="1:4" hidden="1" x14ac:dyDescent="0.35">
      <c r="A356" s="3">
        <v>1995</v>
      </c>
      <c r="B356" s="4" t="s">
        <v>1117</v>
      </c>
      <c r="C356" s="4" t="s">
        <v>3455</v>
      </c>
      <c r="D356" t="str">
        <f>IF(COUNTIFS(Sheet1!$D$2:$D$3203, A356, Sheet1!$C$2:$C$3203, B356) &gt; 0, "Sudah", "Belum")</f>
        <v>Sudah</v>
      </c>
    </row>
    <row r="357" spans="1:4" hidden="1" x14ac:dyDescent="0.35">
      <c r="A357" s="3">
        <v>1995</v>
      </c>
      <c r="B357" s="4" t="s">
        <v>1120</v>
      </c>
      <c r="C357" s="4" t="s">
        <v>6087</v>
      </c>
      <c r="D357" t="str">
        <f>IF(COUNTIFS(Sheet1!$D$2:$D$3203, A357, Sheet1!$C$2:$C$3203, B357) &gt; 0, "Sudah", "Belum")</f>
        <v>Sudah</v>
      </c>
    </row>
    <row r="358" spans="1:4" x14ac:dyDescent="0.35">
      <c r="A358" s="3">
        <v>2016</v>
      </c>
      <c r="B358" s="4" t="s">
        <v>6088</v>
      </c>
      <c r="C358" s="4" t="s">
        <v>4889</v>
      </c>
      <c r="D358" t="str">
        <f>IF(COUNTIFS(Sheet1!$D$2:$D$3203, A358, Sheet1!$C$2:$C$3203, B358) &gt; 0, "Sudah", "Belum")</f>
        <v>Belum</v>
      </c>
    </row>
    <row r="359" spans="1:4" hidden="1" x14ac:dyDescent="0.35">
      <c r="A359" s="3">
        <v>2003</v>
      </c>
      <c r="B359" s="4" t="s">
        <v>1827</v>
      </c>
      <c r="C359" s="4" t="s">
        <v>3206</v>
      </c>
      <c r="D359" t="str">
        <f>IF(COUNTIFS(Sheet1!$D$2:$D$3203, A359, Sheet1!$C$2:$C$3203, B359) &gt; 0, "Sudah", "Belum")</f>
        <v>Sudah</v>
      </c>
    </row>
    <row r="360" spans="1:4" hidden="1" x14ac:dyDescent="0.35">
      <c r="A360" s="3">
        <v>1977</v>
      </c>
      <c r="B360" s="4" t="s">
        <v>170</v>
      </c>
      <c r="C360" s="4" t="s">
        <v>4001</v>
      </c>
      <c r="D360" t="str">
        <f>IF(COUNTIFS(Sheet1!$D$2:$D$3203, A360, Sheet1!$C$2:$C$3203, B360) &gt; 0, "Sudah", "Belum")</f>
        <v>Sudah</v>
      </c>
    </row>
    <row r="361" spans="1:4" hidden="1" x14ac:dyDescent="0.35">
      <c r="A361" s="3">
        <v>2001</v>
      </c>
      <c r="B361" s="4" t="s">
        <v>1680</v>
      </c>
      <c r="C361" s="4" t="s">
        <v>6089</v>
      </c>
      <c r="D361" t="str">
        <f>IF(COUNTIFS(Sheet1!$D$2:$D$3203, A361, Sheet1!$C$2:$C$3203, B361) &gt; 0, "Sudah", "Belum")</f>
        <v>Sudah</v>
      </c>
    </row>
    <row r="362" spans="1:4" hidden="1" x14ac:dyDescent="0.35">
      <c r="A362" s="3">
        <v>2010</v>
      </c>
      <c r="B362" s="4" t="s">
        <v>1984</v>
      </c>
      <c r="C362" s="4" t="s">
        <v>3671</v>
      </c>
      <c r="D362" t="str">
        <f>IF(COUNTIFS(Sheet1!$D$2:$D$3203, A362, Sheet1!$C$2:$C$3203, B362) &gt; 0, "Sudah", "Belum")</f>
        <v>Sudah</v>
      </c>
    </row>
    <row r="363" spans="1:4" hidden="1" x14ac:dyDescent="0.35">
      <c r="A363" s="3">
        <v>2010</v>
      </c>
      <c r="B363" s="4" t="s">
        <v>1984</v>
      </c>
      <c r="C363" s="4" t="s">
        <v>3671</v>
      </c>
      <c r="D363" t="str">
        <f>IF(COUNTIFS(Sheet1!$D$2:$D$3203, A363, Sheet1!$C$2:$C$3203, B363) &gt; 0, "Sudah", "Belum")</f>
        <v>Sudah</v>
      </c>
    </row>
    <row r="364" spans="1:4" hidden="1" x14ac:dyDescent="0.35">
      <c r="A364" s="3">
        <v>2013</v>
      </c>
      <c r="B364" s="4" t="s">
        <v>2188</v>
      </c>
      <c r="C364" s="4" t="s">
        <v>6090</v>
      </c>
      <c r="D364" t="str">
        <f>IF(COUNTIFS(Sheet1!$D$2:$D$3203, A364, Sheet1!$C$2:$C$3203, B364) &gt; 0, "Sudah", "Belum")</f>
        <v>Sudah</v>
      </c>
    </row>
    <row r="365" spans="1:4" hidden="1" x14ac:dyDescent="0.35">
      <c r="A365" s="3">
        <v>1980</v>
      </c>
      <c r="B365" s="4" t="s">
        <v>289</v>
      </c>
      <c r="C365" s="4" t="s">
        <v>5482</v>
      </c>
      <c r="D365" t="str">
        <f>IF(COUNTIFS(Sheet1!$D$2:$D$3203, A365, Sheet1!$C$2:$C$3203, B365) &gt; 0, "Sudah", "Belum")</f>
        <v>Sudah</v>
      </c>
    </row>
    <row r="366" spans="1:4" hidden="1" x14ac:dyDescent="0.35">
      <c r="A366" s="3">
        <v>2017</v>
      </c>
      <c r="B366" s="4" t="s">
        <v>2415</v>
      </c>
      <c r="C366" s="4" t="s">
        <v>6091</v>
      </c>
      <c r="D366" t="str">
        <f>IF(COUNTIFS(Sheet1!$D$2:$D$3203, A366, Sheet1!$C$2:$C$3203, B366) &gt; 0, "Sudah", "Belum")</f>
        <v>Sudah</v>
      </c>
    </row>
    <row r="367" spans="1:4" hidden="1" x14ac:dyDescent="0.35">
      <c r="A367" s="3">
        <v>2004</v>
      </c>
      <c r="B367" s="4" t="s">
        <v>2859</v>
      </c>
      <c r="C367" s="4" t="s">
        <v>6092</v>
      </c>
      <c r="D367" t="str">
        <f>IF(COUNTIFS(Sheet1!$D$2:$D$3203, A367, Sheet1!$C$2:$C$3203, B367) &gt; 0, "Sudah", "Belum")</f>
        <v>Sudah</v>
      </c>
    </row>
    <row r="368" spans="1:4" hidden="1" x14ac:dyDescent="0.35">
      <c r="A368" s="3">
        <v>2006</v>
      </c>
      <c r="B368" s="4" t="s">
        <v>2876</v>
      </c>
      <c r="C368" s="4" t="s">
        <v>6093</v>
      </c>
      <c r="D368" t="str">
        <f>IF(COUNTIFS(Sheet1!$D$2:$D$3203, A368, Sheet1!$C$2:$C$3203, B368) &gt; 0, "Sudah", "Belum")</f>
        <v>Sudah</v>
      </c>
    </row>
    <row r="369" spans="1:4" hidden="1" x14ac:dyDescent="0.35">
      <c r="A369" s="3">
        <v>2013</v>
      </c>
      <c r="B369" s="4" t="s">
        <v>2212</v>
      </c>
      <c r="C369" s="4" t="s">
        <v>6094</v>
      </c>
      <c r="D369" t="str">
        <f>IF(COUNTIFS(Sheet1!$D$2:$D$3203, A369, Sheet1!$C$2:$C$3203, B369) &gt; 0, "Sudah", "Belum")</f>
        <v>Sudah</v>
      </c>
    </row>
    <row r="370" spans="1:4" hidden="1" x14ac:dyDescent="0.35">
      <c r="A370" s="3">
        <v>2009</v>
      </c>
      <c r="B370" s="4" t="s">
        <v>3062</v>
      </c>
      <c r="C370" s="4" t="s">
        <v>5338</v>
      </c>
      <c r="D370" t="str">
        <f>IF(COUNTIFS(Sheet1!$D$2:$D$3203, A370, Sheet1!$C$2:$C$3203, B370) &gt; 0, "Sudah", "Belum")</f>
        <v>Sudah</v>
      </c>
    </row>
    <row r="371" spans="1:4" hidden="1" x14ac:dyDescent="0.35">
      <c r="A371" s="3">
        <v>1989</v>
      </c>
      <c r="B371" s="4" t="s">
        <v>729</v>
      </c>
      <c r="C371" s="4" t="s">
        <v>6095</v>
      </c>
      <c r="D371" t="str">
        <f>IF(COUNTIFS(Sheet1!$D$2:$D$3203, A371, Sheet1!$C$2:$C$3203, B371) &gt; 0, "Sudah", "Belum")</f>
        <v>Sudah</v>
      </c>
    </row>
    <row r="372" spans="1:4" hidden="1" x14ac:dyDescent="0.35">
      <c r="A372" s="3">
        <v>2007</v>
      </c>
      <c r="B372" s="4" t="s">
        <v>6096</v>
      </c>
      <c r="C372" s="4" t="s">
        <v>4390</v>
      </c>
      <c r="D372" t="str">
        <f>IF(COUNTIFS(Sheet1!$D$2:$D$3203, A372, Sheet1!$C$2:$C$3203, B372) &gt; 0, "Sudah", "Belum")</f>
        <v>Sudah</v>
      </c>
    </row>
    <row r="373" spans="1:4" hidden="1" x14ac:dyDescent="0.35">
      <c r="A373" s="3">
        <v>2009</v>
      </c>
      <c r="B373" s="4" t="s">
        <v>1878</v>
      </c>
      <c r="C373" s="4" t="s">
        <v>6097</v>
      </c>
      <c r="D373" t="str">
        <f>IF(COUNTIFS(Sheet1!$D$2:$D$3203, A373, Sheet1!$C$2:$C$3203, B373) &gt; 0, "Sudah", "Belum")</f>
        <v>Sudah</v>
      </c>
    </row>
    <row r="374" spans="1:4" hidden="1" x14ac:dyDescent="0.35">
      <c r="A374" s="3">
        <v>2009</v>
      </c>
      <c r="B374" s="4" t="s">
        <v>6098</v>
      </c>
      <c r="C374" s="4" t="s">
        <v>6099</v>
      </c>
      <c r="D374" t="str">
        <f>IF(COUNTIFS(Sheet1!$D$2:$D$3203, A374, Sheet1!$C$2:$C$3203, B374) &gt; 0, "Sudah", "Belum")</f>
        <v>Sudah</v>
      </c>
    </row>
    <row r="375" spans="1:4" hidden="1" x14ac:dyDescent="0.35">
      <c r="A375" s="3">
        <v>2017</v>
      </c>
      <c r="B375" s="4" t="s">
        <v>2395</v>
      </c>
      <c r="C375" s="4" t="s">
        <v>5054</v>
      </c>
      <c r="D375" t="str">
        <f>IF(COUNTIFS(Sheet1!$D$2:$D$3203, A375, Sheet1!$C$2:$C$3203, B375) &gt; 0, "Sudah", "Belum")</f>
        <v>Sudah</v>
      </c>
    </row>
    <row r="376" spans="1:4" hidden="1" x14ac:dyDescent="0.35">
      <c r="A376" s="3">
        <v>1997</v>
      </c>
      <c r="B376" s="4" t="s">
        <v>1231</v>
      </c>
      <c r="C376" s="4" t="s">
        <v>6100</v>
      </c>
      <c r="D376" t="str">
        <f>IF(COUNTIFS(Sheet1!$D$2:$D$3203, A376, Sheet1!$C$2:$C$3203, B376) &gt; 0, "Sudah", "Belum")</f>
        <v>Sudah</v>
      </c>
    </row>
    <row r="377" spans="1:4" hidden="1" x14ac:dyDescent="0.35">
      <c r="A377" s="3">
        <v>2009</v>
      </c>
      <c r="B377" s="4" t="s">
        <v>3042</v>
      </c>
      <c r="C377" s="4" t="s">
        <v>6101</v>
      </c>
      <c r="D377" t="str">
        <f>IF(COUNTIFS(Sheet1!$D$2:$D$3203, A377, Sheet1!$C$2:$C$3203, B377) &gt; 0, "Sudah", "Belum")</f>
        <v>Sudah</v>
      </c>
    </row>
    <row r="378" spans="1:4" hidden="1" x14ac:dyDescent="0.35">
      <c r="A378" s="3">
        <v>1998</v>
      </c>
      <c r="B378" s="4" t="s">
        <v>1374</v>
      </c>
      <c r="C378" s="4" t="s">
        <v>4720</v>
      </c>
      <c r="D378" t="str">
        <f>IF(COUNTIFS(Sheet1!$D$2:$D$3203, A378, Sheet1!$C$2:$C$3203, B378) &gt; 0, "Sudah", "Belum")</f>
        <v>Sudah</v>
      </c>
    </row>
    <row r="379" spans="1:4" hidden="1" x14ac:dyDescent="0.35">
      <c r="A379" s="3">
        <v>2004</v>
      </c>
      <c r="B379" s="4" t="s">
        <v>1826</v>
      </c>
      <c r="C379" s="4" t="s">
        <v>6102</v>
      </c>
      <c r="D379" t="str">
        <f>IF(COUNTIFS(Sheet1!$D$2:$D$3203, A379, Sheet1!$C$2:$C$3203, B379) &gt; 0, "Sudah", "Belum")</f>
        <v>Sudah</v>
      </c>
    </row>
    <row r="380" spans="1:4" hidden="1" x14ac:dyDescent="0.35">
      <c r="A380" s="3">
        <v>2011</v>
      </c>
      <c r="B380" s="4" t="s">
        <v>1997</v>
      </c>
      <c r="C380" s="4" t="s">
        <v>6103</v>
      </c>
      <c r="D380" t="str">
        <f>IF(COUNTIFS(Sheet1!$D$2:$D$3203, A380, Sheet1!$C$2:$C$3203, B380) &gt; 0, "Sudah", "Belum")</f>
        <v>Sudah</v>
      </c>
    </row>
    <row r="381" spans="1:4" hidden="1" x14ac:dyDescent="0.35">
      <c r="A381" s="3">
        <v>1998</v>
      </c>
      <c r="B381" s="4" t="s">
        <v>1414</v>
      </c>
      <c r="C381" s="4" t="s">
        <v>6104</v>
      </c>
      <c r="D381" t="str">
        <f>IF(COUNTIFS(Sheet1!$D$2:$D$3203, A381, Sheet1!$C$2:$C$3203, B381) &gt; 0, "Sudah", "Belum")</f>
        <v>Sudah</v>
      </c>
    </row>
    <row r="382" spans="1:4" hidden="1" x14ac:dyDescent="0.35">
      <c r="A382" s="3">
        <v>1997</v>
      </c>
      <c r="B382" s="4" t="s">
        <v>1232</v>
      </c>
      <c r="C382" s="4" t="s">
        <v>4682</v>
      </c>
      <c r="D382" t="str">
        <f>IF(COUNTIFS(Sheet1!$D$2:$D$3203, A382, Sheet1!$C$2:$C$3203, B382) &gt; 0, "Sudah", "Belum")</f>
        <v>Sudah</v>
      </c>
    </row>
    <row r="383" spans="1:4" hidden="1" x14ac:dyDescent="0.35">
      <c r="A383" s="3">
        <v>2000</v>
      </c>
      <c r="B383" s="4" t="s">
        <v>1539</v>
      </c>
      <c r="C383" s="4" t="s">
        <v>4266</v>
      </c>
      <c r="D383" t="str">
        <f>IF(COUNTIFS(Sheet1!$D$2:$D$3203, A383, Sheet1!$C$2:$C$3203, B383) &gt; 0, "Sudah", "Belum")</f>
        <v>Sudah</v>
      </c>
    </row>
    <row r="384" spans="1:4" hidden="1" x14ac:dyDescent="0.35">
      <c r="A384" s="3">
        <v>1989</v>
      </c>
      <c r="B384" s="4" t="s">
        <v>765</v>
      </c>
      <c r="C384" s="4" t="s">
        <v>6105</v>
      </c>
      <c r="D384" t="str">
        <f>IF(COUNTIFS(Sheet1!$D$2:$D$3203, A384, Sheet1!$C$2:$C$3203, B384) &gt; 0, "Sudah", "Belum")</f>
        <v>Sudah</v>
      </c>
    </row>
    <row r="385" spans="1:4" hidden="1" x14ac:dyDescent="0.35">
      <c r="A385" s="3">
        <v>1989</v>
      </c>
      <c r="B385" s="4" t="s">
        <v>765</v>
      </c>
      <c r="C385" s="4" t="s">
        <v>3698</v>
      </c>
      <c r="D385" t="str">
        <f>IF(COUNTIFS(Sheet1!$D$2:$D$3203, A385, Sheet1!$C$2:$C$3203, B385) &gt; 0, "Sudah", "Belum")</f>
        <v>Sudah</v>
      </c>
    </row>
    <row r="386" spans="1:4" hidden="1" x14ac:dyDescent="0.35">
      <c r="A386" s="3">
        <v>2001</v>
      </c>
      <c r="B386" s="4" t="s">
        <v>1695</v>
      </c>
      <c r="C386" s="4" t="s">
        <v>6106</v>
      </c>
      <c r="D386" t="str">
        <f>IF(COUNTIFS(Sheet1!$D$2:$D$3203, A386, Sheet1!$C$2:$C$3203, B386) &gt; 0, "Sudah", "Belum")</f>
        <v>Sudah</v>
      </c>
    </row>
    <row r="387" spans="1:4" hidden="1" x14ac:dyDescent="0.35">
      <c r="A387" s="3">
        <v>1993</v>
      </c>
      <c r="B387" s="4" t="s">
        <v>903</v>
      </c>
      <c r="C387" s="4" t="s">
        <v>3599</v>
      </c>
      <c r="D387" t="str">
        <f>IF(COUNTIFS(Sheet1!$D$2:$D$3203, A387, Sheet1!$C$2:$C$3203, B387) &gt; 0, "Sudah", "Belum")</f>
        <v>Sudah</v>
      </c>
    </row>
    <row r="388" spans="1:4" hidden="1" x14ac:dyDescent="0.35">
      <c r="A388" s="3">
        <v>2013</v>
      </c>
      <c r="B388" s="4" t="s">
        <v>2229</v>
      </c>
      <c r="C388" s="4" t="s">
        <v>6107</v>
      </c>
      <c r="D388" t="str">
        <f>IF(COUNTIFS(Sheet1!$D$2:$D$3203, A388, Sheet1!$C$2:$C$3203, B388) &gt; 0, "Sudah", "Belum")</f>
        <v>Sudah</v>
      </c>
    </row>
    <row r="389" spans="1:4" hidden="1" x14ac:dyDescent="0.35">
      <c r="A389" s="3">
        <v>2005</v>
      </c>
      <c r="B389" s="4" t="s">
        <v>2916</v>
      </c>
      <c r="C389" s="4" t="s">
        <v>6108</v>
      </c>
      <c r="D389" t="str">
        <f>IF(COUNTIFS(Sheet1!$D$2:$D$3203, A389, Sheet1!$C$2:$C$3203, B389) &gt; 0, "Sudah", "Belum")</f>
        <v>Sudah</v>
      </c>
    </row>
    <row r="390" spans="1:4" hidden="1" x14ac:dyDescent="0.35">
      <c r="A390" s="3">
        <v>2005</v>
      </c>
      <c r="B390" s="4" t="s">
        <v>2864</v>
      </c>
      <c r="C390" s="4" t="s">
        <v>6109</v>
      </c>
      <c r="D390" t="str">
        <f>IF(COUNTIFS(Sheet1!$D$2:$D$3203, A390, Sheet1!$C$2:$C$3203, B390) &gt; 0, "Sudah", "Belum")</f>
        <v>Sudah</v>
      </c>
    </row>
    <row r="391" spans="1:4" hidden="1" x14ac:dyDescent="0.35">
      <c r="A391" s="3">
        <v>2000</v>
      </c>
      <c r="B391" s="4" t="s">
        <v>1574</v>
      </c>
      <c r="C391" s="4" t="s">
        <v>4431</v>
      </c>
      <c r="D391" t="str">
        <f>IF(COUNTIFS(Sheet1!$D$2:$D$3203, A391, Sheet1!$C$2:$C$3203, B391) &gt; 0, "Sudah", "Belum")</f>
        <v>Sudah</v>
      </c>
    </row>
    <row r="392" spans="1:4" hidden="1" x14ac:dyDescent="0.35">
      <c r="A392" s="3">
        <v>2009</v>
      </c>
      <c r="B392" s="4" t="s">
        <v>6110</v>
      </c>
      <c r="C392" s="4" t="s">
        <v>5371</v>
      </c>
      <c r="D392" t="str">
        <f>IF(COUNTIFS(Sheet1!$D$2:$D$3203, A392, Sheet1!$C$2:$C$3203, B392) &gt; 0, "Sudah", "Belum")</f>
        <v>Sudah</v>
      </c>
    </row>
    <row r="393" spans="1:4" ht="15.5" hidden="1" x14ac:dyDescent="0.35">
      <c r="A393" s="3">
        <v>2009</v>
      </c>
      <c r="B393" s="13" t="s">
        <v>1858</v>
      </c>
      <c r="C393" s="4" t="s">
        <v>6111</v>
      </c>
      <c r="D393" t="str">
        <f>IF(COUNTIFS(Sheet1!$D$2:$D$3203, A393, Sheet1!$C$2:$C$3203, B393) &gt; 0, "Sudah", "Belum")</f>
        <v>Sudah</v>
      </c>
    </row>
    <row r="394" spans="1:4" hidden="1" x14ac:dyDescent="0.35">
      <c r="A394" s="3">
        <v>2007</v>
      </c>
      <c r="B394" s="4" t="s">
        <v>2990</v>
      </c>
      <c r="C394" s="4" t="s">
        <v>6112</v>
      </c>
      <c r="D394" t="str">
        <f>IF(COUNTIFS(Sheet1!$D$2:$D$3203, A394, Sheet1!$C$2:$C$3203, B394) &gt; 0, "Sudah", "Belum")</f>
        <v>Sudah</v>
      </c>
    </row>
    <row r="395" spans="1:4" hidden="1" x14ac:dyDescent="0.35">
      <c r="A395" s="3">
        <v>2000</v>
      </c>
      <c r="B395" s="4" t="s">
        <v>1500</v>
      </c>
      <c r="C395" s="4" t="s">
        <v>4260</v>
      </c>
      <c r="D395" t="str">
        <f>IF(COUNTIFS(Sheet1!$D$2:$D$3203, A395, Sheet1!$C$2:$C$3203, B395) &gt; 0, "Sudah", "Belum")</f>
        <v>Sudah</v>
      </c>
    </row>
    <row r="396" spans="1:4" hidden="1" x14ac:dyDescent="0.35">
      <c r="A396" s="3">
        <v>2017</v>
      </c>
      <c r="B396" s="4" t="s">
        <v>2411</v>
      </c>
      <c r="C396" s="4" t="s">
        <v>6113</v>
      </c>
      <c r="D396" t="str">
        <f>IF(COUNTIFS(Sheet1!$D$2:$D$3203, A396, Sheet1!$C$2:$C$3203, B396) &gt; 0, "Sudah", "Belum")</f>
        <v>Sudah</v>
      </c>
    </row>
    <row r="397" spans="1:4" x14ac:dyDescent="0.35">
      <c r="A397" s="3">
        <v>1998</v>
      </c>
      <c r="B397" s="4" t="s">
        <v>6114</v>
      </c>
      <c r="C397" s="4" t="s">
        <v>4301</v>
      </c>
      <c r="D397" t="str">
        <f>IF(COUNTIFS(Sheet1!$D$2:$D$3203, A397, Sheet1!$C$2:$C$3203, B397) &gt; 0, "Sudah", "Belum")</f>
        <v>Belum</v>
      </c>
    </row>
    <row r="398" spans="1:4" hidden="1" x14ac:dyDescent="0.35">
      <c r="A398" s="3">
        <v>1983</v>
      </c>
      <c r="B398" s="4" t="s">
        <v>543</v>
      </c>
      <c r="C398" s="4" t="s">
        <v>6115</v>
      </c>
      <c r="D398" t="str">
        <f>IF(COUNTIFS(Sheet1!$D$2:$D$3203, A398, Sheet1!$C$2:$C$3203, B398) &gt; 0, "Sudah", "Belum")</f>
        <v>Sudah</v>
      </c>
    </row>
    <row r="399" spans="1:4" hidden="1" x14ac:dyDescent="0.35">
      <c r="A399" s="3">
        <v>2007</v>
      </c>
      <c r="B399" s="4" t="s">
        <v>2925</v>
      </c>
      <c r="C399" s="4" t="s">
        <v>6116</v>
      </c>
      <c r="D399" t="str">
        <f>IF(COUNTIFS(Sheet1!$D$2:$D$3203, A399, Sheet1!$C$2:$C$3203, B399) &gt; 0, "Sudah", "Belum")</f>
        <v>Sudah</v>
      </c>
    </row>
    <row r="400" spans="1:4" hidden="1" x14ac:dyDescent="0.35">
      <c r="A400" s="3">
        <v>1998</v>
      </c>
      <c r="B400" s="4" t="s">
        <v>1392</v>
      </c>
      <c r="C400" s="4" t="s">
        <v>4679</v>
      </c>
      <c r="D400" t="str">
        <f>IF(COUNTIFS(Sheet1!$D$2:$D$3203, A400, Sheet1!$C$2:$C$3203, B400) &gt; 0, "Sudah", "Belum")</f>
        <v>Sudah</v>
      </c>
    </row>
    <row r="401" spans="1:4" hidden="1" x14ac:dyDescent="0.35">
      <c r="A401" s="3">
        <v>2013</v>
      </c>
      <c r="B401" s="4" t="s">
        <v>2245</v>
      </c>
      <c r="C401" s="4" t="s">
        <v>6117</v>
      </c>
      <c r="D401" t="str">
        <f>IF(COUNTIFS(Sheet1!$D$2:$D$3203, A401, Sheet1!$C$2:$C$3203, B401) &gt; 0, "Sudah", "Belum")</f>
        <v>Sudah</v>
      </c>
    </row>
    <row r="402" spans="1:4" hidden="1" x14ac:dyDescent="0.35">
      <c r="A402" s="3">
        <v>1987</v>
      </c>
      <c r="B402" s="4" t="s">
        <v>662</v>
      </c>
      <c r="C402" s="4" t="s">
        <v>6118</v>
      </c>
      <c r="D402" t="str">
        <f>IF(COUNTIFS(Sheet1!$D$2:$D$3203, A402, Sheet1!$C$2:$C$3203, B402) &gt; 0, "Sudah", "Belum")</f>
        <v>Sudah</v>
      </c>
    </row>
    <row r="403" spans="1:4" hidden="1" x14ac:dyDescent="0.35">
      <c r="A403" s="3">
        <v>1998</v>
      </c>
      <c r="B403" s="4" t="s">
        <v>6119</v>
      </c>
      <c r="C403" s="4" t="s">
        <v>6120</v>
      </c>
      <c r="D403" t="str">
        <f>IF(COUNTIFS(Sheet1!$D$2:$D$3203, A403, Sheet1!$C$2:$C$3203, B403) &gt; 0, "Sudah", "Belum")</f>
        <v>Sudah</v>
      </c>
    </row>
    <row r="404" spans="1:4" hidden="1" x14ac:dyDescent="0.35">
      <c r="A404" s="3">
        <v>2009</v>
      </c>
      <c r="B404" s="4" t="s">
        <v>5281</v>
      </c>
      <c r="C404" s="4" t="s">
        <v>5282</v>
      </c>
      <c r="D404" t="str">
        <f>IF(COUNTIFS(Sheet1!$D$2:$D$3203, A404, Sheet1!$C$2:$C$3203, B404) &gt; 0, "Sudah", "Belum")</f>
        <v>Sudah</v>
      </c>
    </row>
    <row r="405" spans="1:4" hidden="1" x14ac:dyDescent="0.35">
      <c r="A405" s="3">
        <v>2001</v>
      </c>
      <c r="B405" s="4" t="s">
        <v>1593</v>
      </c>
      <c r="C405" s="4" t="s">
        <v>5066</v>
      </c>
      <c r="D405" t="str">
        <f>IF(COUNTIFS(Sheet1!$D$2:$D$3203, A405, Sheet1!$C$2:$C$3203, B405) &gt; 0, "Sudah", "Belum")</f>
        <v>Sudah</v>
      </c>
    </row>
    <row r="406" spans="1:4" hidden="1" x14ac:dyDescent="0.35">
      <c r="A406" s="3">
        <v>2013</v>
      </c>
      <c r="B406" s="4" t="s">
        <v>2205</v>
      </c>
      <c r="C406" s="4" t="s">
        <v>4868</v>
      </c>
      <c r="D406" t="str">
        <f>IF(COUNTIFS(Sheet1!$D$2:$D$3203, A406, Sheet1!$C$2:$C$3203, B406) &gt; 0, "Sudah", "Belum")</f>
        <v>Sudah</v>
      </c>
    </row>
    <row r="407" spans="1:4" hidden="1" x14ac:dyDescent="0.35">
      <c r="A407" s="3">
        <v>1990</v>
      </c>
      <c r="B407" s="4" t="s">
        <v>847</v>
      </c>
      <c r="C407" s="4" t="s">
        <v>6121</v>
      </c>
      <c r="D407" t="str">
        <f>IF(COUNTIFS(Sheet1!$D$2:$D$3203, A407, Sheet1!$C$2:$C$3203, B407) &gt; 0, "Sudah", "Belum")</f>
        <v>Sudah</v>
      </c>
    </row>
    <row r="408" spans="1:4" hidden="1" x14ac:dyDescent="0.35">
      <c r="A408" s="3">
        <v>2013</v>
      </c>
      <c r="B408" s="4" t="s">
        <v>2206</v>
      </c>
      <c r="C408" s="4" t="s">
        <v>3692</v>
      </c>
      <c r="D408" t="str">
        <f>IF(COUNTIFS(Sheet1!$D$2:$D$3203, A408, Sheet1!$C$2:$C$3203, B408) &gt; 0, "Sudah", "Belum")</f>
        <v>Sudah</v>
      </c>
    </row>
    <row r="409" spans="1:4" hidden="1" x14ac:dyDescent="0.35">
      <c r="A409" s="3">
        <v>1989</v>
      </c>
      <c r="B409" s="4" t="s">
        <v>870</v>
      </c>
      <c r="C409" s="4" t="s">
        <v>6122</v>
      </c>
      <c r="D409" t="str">
        <f>IF(COUNTIFS(Sheet1!$D$2:$D$3203, A409, Sheet1!$C$2:$C$3203, B409) &gt; 0, "Sudah", "Belum")</f>
        <v>Sudah</v>
      </c>
    </row>
    <row r="410" spans="1:4" hidden="1" x14ac:dyDescent="0.35">
      <c r="A410" s="3">
        <v>1989</v>
      </c>
      <c r="B410" s="4" t="s">
        <v>876</v>
      </c>
      <c r="C410" s="4" t="s">
        <v>4235</v>
      </c>
      <c r="D410" t="str">
        <f>IF(COUNTIFS(Sheet1!$D$2:$D$3203, A410, Sheet1!$C$2:$C$3203, B410) &gt; 0, "Sudah", "Belum")</f>
        <v>Sudah</v>
      </c>
    </row>
    <row r="411" spans="1:4" hidden="1" x14ac:dyDescent="0.35">
      <c r="A411" s="3">
        <v>2007</v>
      </c>
      <c r="B411" s="4" t="s">
        <v>2962</v>
      </c>
      <c r="C411" s="4" t="s">
        <v>4441</v>
      </c>
      <c r="D411" t="str">
        <f>IF(COUNTIFS(Sheet1!$D$2:$D$3203, A411, Sheet1!$C$2:$C$3203, B411) &gt; 0, "Sudah", "Belum")</f>
        <v>Sudah</v>
      </c>
    </row>
    <row r="412" spans="1:4" hidden="1" x14ac:dyDescent="0.35">
      <c r="A412" s="3">
        <v>2009</v>
      </c>
      <c r="B412" s="4" t="s">
        <v>1860</v>
      </c>
      <c r="C412" s="4" t="s">
        <v>6123</v>
      </c>
      <c r="D412" t="str">
        <f>IF(COUNTIFS(Sheet1!$D$2:$D$3203, A412, Sheet1!$C$2:$C$3203, B412) &gt; 0, "Sudah", "Belum")</f>
        <v>Sudah</v>
      </c>
    </row>
    <row r="413" spans="1:4" hidden="1" x14ac:dyDescent="0.35">
      <c r="A413" s="3">
        <v>2007</v>
      </c>
      <c r="B413" s="4" t="s">
        <v>2969</v>
      </c>
      <c r="C413" s="4" t="s">
        <v>6124</v>
      </c>
      <c r="D413" t="str">
        <f>IF(COUNTIFS(Sheet1!$D$2:$D$3203, A413, Sheet1!$C$2:$C$3203, B413) &gt; 0, "Sudah", "Belum")</f>
        <v>Sudah</v>
      </c>
    </row>
    <row r="414" spans="1:4" hidden="1" x14ac:dyDescent="0.35">
      <c r="A414" s="3">
        <v>2000</v>
      </c>
      <c r="B414" s="4" t="s">
        <v>1501</v>
      </c>
      <c r="C414" s="4" t="s">
        <v>6125</v>
      </c>
      <c r="D414" t="str">
        <f>IF(COUNTIFS(Sheet1!$D$2:$D$3203, A414, Sheet1!$C$2:$C$3203, B414) &gt; 0, "Sudah", "Belum")</f>
        <v>Sudah</v>
      </c>
    </row>
    <row r="415" spans="1:4" x14ac:dyDescent="0.35">
      <c r="A415" s="3">
        <v>2009</v>
      </c>
      <c r="B415" s="4" t="s">
        <v>6126</v>
      </c>
      <c r="C415" s="4" t="s">
        <v>6127</v>
      </c>
      <c r="D415" t="str">
        <f>IF(COUNTIFS(Sheet1!$D$2:$D$3203, A415, Sheet1!$C$2:$C$3203, B415) &gt; 0, "Sudah", "Belum")</f>
        <v>Belum</v>
      </c>
    </row>
    <row r="416" spans="1:4" hidden="1" x14ac:dyDescent="0.35">
      <c r="A416" s="3">
        <v>1998</v>
      </c>
      <c r="B416" s="4" t="s">
        <v>1412</v>
      </c>
      <c r="C416" s="4" t="s">
        <v>6128</v>
      </c>
      <c r="D416" t="str">
        <f>IF(COUNTIFS(Sheet1!$D$2:$D$3203, A416, Sheet1!$C$2:$C$3203, B416) &gt; 0, "Sudah", "Belum")</f>
        <v>Sudah</v>
      </c>
    </row>
    <row r="417" spans="1:4" hidden="1" x14ac:dyDescent="0.35">
      <c r="A417" s="3">
        <v>2013</v>
      </c>
      <c r="B417" s="4" t="s">
        <v>6129</v>
      </c>
      <c r="C417" s="4" t="s">
        <v>4751</v>
      </c>
      <c r="D417" t="str">
        <f>IF(COUNTIFS(Sheet1!$D$2:$D$3203, A417, Sheet1!$C$2:$C$3203, B417) &gt; 0, "Sudah", "Belum")</f>
        <v>Sudah</v>
      </c>
    </row>
    <row r="418" spans="1:4" hidden="1" x14ac:dyDescent="0.35">
      <c r="A418" s="3">
        <v>2001</v>
      </c>
      <c r="B418" s="4" t="s">
        <v>1618</v>
      </c>
      <c r="C418" s="4" t="s">
        <v>6130</v>
      </c>
      <c r="D418" t="str">
        <f>IF(COUNTIFS(Sheet1!$D$2:$D$3203, A418, Sheet1!$C$2:$C$3203, B418) &gt; 0, "Sudah", "Belum")</f>
        <v>Sudah</v>
      </c>
    </row>
    <row r="419" spans="1:4" hidden="1" x14ac:dyDescent="0.35">
      <c r="A419" s="3">
        <v>2000</v>
      </c>
      <c r="B419" s="4" t="s">
        <v>1582</v>
      </c>
      <c r="C419" s="4" t="s">
        <v>6131</v>
      </c>
      <c r="D419" t="str">
        <f>IF(COUNTIFS(Sheet1!$D$2:$D$3203, A419, Sheet1!$C$2:$C$3203, B419) &gt; 0, "Sudah", "Belum")</f>
        <v>Sudah</v>
      </c>
    </row>
    <row r="420" spans="1:4" hidden="1" x14ac:dyDescent="0.35">
      <c r="A420" s="3">
        <v>1988</v>
      </c>
      <c r="B420" s="4" t="s">
        <v>658</v>
      </c>
      <c r="C420" s="4" t="s">
        <v>4737</v>
      </c>
      <c r="D420" t="str">
        <f>IF(COUNTIFS(Sheet1!$D$2:$D$3203, A420, Sheet1!$C$2:$C$3203, B420) &gt; 0, "Sudah", "Belum")</f>
        <v>Sudah</v>
      </c>
    </row>
    <row r="421" spans="1:4" hidden="1" x14ac:dyDescent="0.35">
      <c r="A421" s="3">
        <v>1999</v>
      </c>
      <c r="B421" s="4" t="s">
        <v>579</v>
      </c>
      <c r="C421" s="4" t="s">
        <v>4484</v>
      </c>
      <c r="D421" t="str">
        <f>IF(COUNTIFS(Sheet1!$D$2:$D$3203, A421, Sheet1!$C$2:$C$3203, B421) &gt; 0, "Sudah", "Belum")</f>
        <v>Sudah</v>
      </c>
    </row>
    <row r="422" spans="1:4" hidden="1" x14ac:dyDescent="0.35">
      <c r="A422" s="3">
        <v>2003</v>
      </c>
      <c r="B422" s="4" t="s">
        <v>1822</v>
      </c>
      <c r="C422" s="4" t="s">
        <v>4459</v>
      </c>
      <c r="D422" t="str">
        <f>IF(COUNTIFS(Sheet1!$D$2:$D$3203, A422, Sheet1!$C$2:$C$3203, B422) &gt; 0, "Sudah", "Belum")</f>
        <v>Sudah</v>
      </c>
    </row>
    <row r="423" spans="1:4" hidden="1" x14ac:dyDescent="0.35">
      <c r="A423" s="3">
        <v>2008</v>
      </c>
      <c r="B423" s="4" t="s">
        <v>1882</v>
      </c>
      <c r="C423" s="4" t="s">
        <v>3965</v>
      </c>
      <c r="D423" t="str">
        <f>IF(COUNTIFS(Sheet1!$D$2:$D$3203, A423, Sheet1!$C$2:$C$3203, B423) &gt; 0, "Sudah", "Belum")</f>
        <v>Sudah</v>
      </c>
    </row>
    <row r="424" spans="1:4" hidden="1" x14ac:dyDescent="0.35">
      <c r="A424" s="3">
        <v>2008</v>
      </c>
      <c r="B424" s="4" t="s">
        <v>1882</v>
      </c>
      <c r="C424" s="4" t="s">
        <v>3965</v>
      </c>
      <c r="D424" t="str">
        <f>IF(COUNTIFS(Sheet1!$D$2:$D$3203, A424, Sheet1!$C$2:$C$3203, B424) &gt; 0, "Sudah", "Belum")</f>
        <v>Sudah</v>
      </c>
    </row>
    <row r="425" spans="1:4" hidden="1" x14ac:dyDescent="0.35">
      <c r="A425" s="3">
        <v>1998</v>
      </c>
      <c r="B425" s="4" t="s">
        <v>1287</v>
      </c>
      <c r="C425" s="4" t="s">
        <v>5394</v>
      </c>
      <c r="D425" t="str">
        <f>IF(COUNTIFS(Sheet1!$D$2:$D$3203, A425, Sheet1!$C$2:$C$3203, B425) &gt; 0, "Sudah", "Belum")</f>
        <v>Sudah</v>
      </c>
    </row>
    <row r="426" spans="1:4" hidden="1" x14ac:dyDescent="0.35">
      <c r="A426" s="3">
        <v>2010</v>
      </c>
      <c r="B426" s="4" t="s">
        <v>6132</v>
      </c>
      <c r="C426" s="4" t="s">
        <v>6133</v>
      </c>
      <c r="D426" t="str">
        <f>IF(COUNTIFS(Sheet1!$D$2:$D$3203, A426, Sheet1!$C$2:$C$3203, B426) &gt; 0, "Sudah", "Belum")</f>
        <v>Sudah</v>
      </c>
    </row>
    <row r="427" spans="1:4" hidden="1" x14ac:dyDescent="0.35">
      <c r="A427" s="3">
        <v>1998</v>
      </c>
      <c r="B427" s="4" t="s">
        <v>1350</v>
      </c>
      <c r="C427" s="4" t="s">
        <v>6134</v>
      </c>
      <c r="D427" t="str">
        <f>IF(COUNTIFS(Sheet1!$D$2:$D$3203, A427, Sheet1!$C$2:$C$3203, B427) &gt; 0, "Sudah", "Belum")</f>
        <v>Sudah</v>
      </c>
    </row>
    <row r="428" spans="1:4" hidden="1" x14ac:dyDescent="0.35">
      <c r="A428" s="3">
        <v>1990</v>
      </c>
      <c r="B428" s="4" t="s">
        <v>914</v>
      </c>
      <c r="C428" s="4" t="s">
        <v>3802</v>
      </c>
      <c r="D428" t="str">
        <f>IF(COUNTIFS(Sheet1!$D$2:$D$3203, A428, Sheet1!$C$2:$C$3203, B428) &gt; 0, "Sudah", "Belum")</f>
        <v>Sudah</v>
      </c>
    </row>
    <row r="429" spans="1:4" hidden="1" x14ac:dyDescent="0.35">
      <c r="A429" s="3">
        <v>2004</v>
      </c>
      <c r="B429" s="4" t="s">
        <v>6135</v>
      </c>
      <c r="C429" s="4" t="s">
        <v>6136</v>
      </c>
      <c r="D429" t="str">
        <f>IF(COUNTIFS(Sheet1!$D$2:$D$3203, A429, Sheet1!$C$2:$C$3203, B429) &gt; 0, "Sudah", "Belum")</f>
        <v>Sudah</v>
      </c>
    </row>
    <row r="430" spans="1:4" hidden="1" x14ac:dyDescent="0.35">
      <c r="A430" s="3">
        <v>1988</v>
      </c>
      <c r="B430" s="4" t="s">
        <v>4088</v>
      </c>
      <c r="C430" s="4" t="s">
        <v>4089</v>
      </c>
      <c r="D430" t="str">
        <f>IF(COUNTIFS(Sheet1!$D$2:$D$3203, A430, Sheet1!$C$2:$C$3203, B430) &gt; 0, "Sudah", "Belum")</f>
        <v>Sudah</v>
      </c>
    </row>
    <row r="431" spans="1:4" hidden="1" x14ac:dyDescent="0.35">
      <c r="A431" s="3">
        <v>1988</v>
      </c>
      <c r="B431" s="4" t="s">
        <v>804</v>
      </c>
      <c r="C431" s="4" t="s">
        <v>4014</v>
      </c>
      <c r="D431" t="str">
        <f>IF(COUNTIFS(Sheet1!$D$2:$D$3203, A431, Sheet1!$C$2:$C$3203, B431) &gt; 0, "Sudah", "Belum")</f>
        <v>Sudah</v>
      </c>
    </row>
    <row r="432" spans="1:4" hidden="1" x14ac:dyDescent="0.35">
      <c r="A432" s="3">
        <v>1986</v>
      </c>
      <c r="B432" s="4" t="s">
        <v>337</v>
      </c>
      <c r="C432" s="4" t="s">
        <v>6137</v>
      </c>
      <c r="D432" t="str">
        <f>IF(COUNTIFS(Sheet1!$D$2:$D$3203, A432, Sheet1!$C$2:$C$3203, B432) &gt; 0, "Sudah", "Belum")</f>
        <v>Sudah</v>
      </c>
    </row>
    <row r="433" spans="1:4" hidden="1" x14ac:dyDescent="0.35">
      <c r="A433" s="3">
        <v>2000</v>
      </c>
      <c r="B433" s="4" t="s">
        <v>6138</v>
      </c>
      <c r="C433" s="4" t="s">
        <v>6139</v>
      </c>
      <c r="D433" t="str">
        <f>IF(COUNTIFS(Sheet1!$D$2:$D$3203, A433, Sheet1!$C$2:$C$3203, B433) &gt; 0, "Sudah", "Belum")</f>
        <v>Sudah</v>
      </c>
    </row>
    <row r="434" spans="1:4" hidden="1" x14ac:dyDescent="0.35">
      <c r="A434" s="3">
        <v>2006</v>
      </c>
      <c r="B434" s="4" t="s">
        <v>2887</v>
      </c>
      <c r="C434" s="4" t="s">
        <v>4745</v>
      </c>
      <c r="D434" t="str">
        <f>IF(COUNTIFS(Sheet1!$D$2:$D$3203, A434, Sheet1!$C$2:$C$3203, B434) &gt; 0, "Sudah", "Belum")</f>
        <v>Sudah</v>
      </c>
    </row>
    <row r="435" spans="1:4" hidden="1" x14ac:dyDescent="0.35">
      <c r="A435" s="3">
        <v>2010</v>
      </c>
      <c r="B435" s="4" t="s">
        <v>1989</v>
      </c>
      <c r="C435" s="4" t="s">
        <v>6140</v>
      </c>
      <c r="D435" t="str">
        <f>IF(COUNTIFS(Sheet1!$D$2:$D$3203, A435, Sheet1!$C$2:$C$3203, B435) &gt; 0, "Sudah", "Belum")</f>
        <v>Sudah</v>
      </c>
    </row>
    <row r="436" spans="1:4" hidden="1" x14ac:dyDescent="0.35">
      <c r="A436" s="3">
        <v>2005</v>
      </c>
      <c r="B436" s="4" t="s">
        <v>1792</v>
      </c>
      <c r="C436" s="4" t="s">
        <v>6141</v>
      </c>
      <c r="D436" t="str">
        <f>IF(COUNTIFS(Sheet1!$D$2:$D$3203, A436, Sheet1!$C$2:$C$3203, B436) &gt; 0, "Sudah", "Belum")</f>
        <v>Sudah</v>
      </c>
    </row>
    <row r="437" spans="1:4" hidden="1" x14ac:dyDescent="0.35">
      <c r="A437" s="3">
        <v>1993</v>
      </c>
      <c r="B437" s="4" t="s">
        <v>882</v>
      </c>
      <c r="C437" s="4" t="s">
        <v>6142</v>
      </c>
      <c r="D437" t="str">
        <f>IF(COUNTIFS(Sheet1!$D$2:$D$3203, A437, Sheet1!$C$2:$C$3203, B437) &gt; 0, "Sudah", "Belum")</f>
        <v>Sudah</v>
      </c>
    </row>
    <row r="438" spans="1:4" hidden="1" x14ac:dyDescent="0.35">
      <c r="A438" s="3">
        <v>2011</v>
      </c>
      <c r="B438" s="4" t="s">
        <v>2003</v>
      </c>
      <c r="C438" s="4" t="s">
        <v>4576</v>
      </c>
      <c r="D438" t="str">
        <f>IF(COUNTIFS(Sheet1!$D$2:$D$3203, A438, Sheet1!$C$2:$C$3203, B438) &gt; 0, "Sudah", "Belum")</f>
        <v>Sudah</v>
      </c>
    </row>
    <row r="439" spans="1:4" hidden="1" x14ac:dyDescent="0.35">
      <c r="A439" s="3">
        <v>2013</v>
      </c>
      <c r="B439" s="4" t="s">
        <v>2339</v>
      </c>
      <c r="C439" s="4" t="s">
        <v>6143</v>
      </c>
      <c r="D439" t="str">
        <f>IF(COUNTIFS(Sheet1!$D$2:$D$3203, A439, Sheet1!$C$2:$C$3203, B439) &gt; 0, "Sudah", "Belum")</f>
        <v>Sudah</v>
      </c>
    </row>
    <row r="440" spans="1:4" hidden="1" x14ac:dyDescent="0.35">
      <c r="A440" s="3">
        <v>2000</v>
      </c>
      <c r="B440" s="4" t="s">
        <v>6144</v>
      </c>
      <c r="C440" s="4" t="s">
        <v>4604</v>
      </c>
      <c r="D440" t="str">
        <f>IF(COUNTIFS(Sheet1!$D$2:$D$3203, A440, Sheet1!$C$2:$C$3203, B440) &gt; 0, "Sudah", "Belum")</f>
        <v>Sudah</v>
      </c>
    </row>
    <row r="441" spans="1:4" hidden="1" x14ac:dyDescent="0.35">
      <c r="A441" s="3">
        <v>2005</v>
      </c>
      <c r="B441" s="4" t="s">
        <v>2883</v>
      </c>
      <c r="C441" s="4" t="s">
        <v>6145</v>
      </c>
      <c r="D441" t="str">
        <f>IF(COUNTIFS(Sheet1!$D$2:$D$3203, A441, Sheet1!$C$2:$C$3203, B441) &gt; 0, "Sudah", "Belum")</f>
        <v>Sudah</v>
      </c>
    </row>
    <row r="442" spans="1:4" hidden="1" x14ac:dyDescent="0.35">
      <c r="A442" s="3">
        <v>2010</v>
      </c>
      <c r="B442" s="4" t="s">
        <v>2232</v>
      </c>
      <c r="C442" s="4" t="s">
        <v>6146</v>
      </c>
      <c r="D442" t="str">
        <f>IF(COUNTIFS(Sheet1!$D$2:$D$3203, A442, Sheet1!$C$2:$C$3203, B442) &gt; 0, "Sudah", "Belum")</f>
        <v>Sudah</v>
      </c>
    </row>
    <row r="443" spans="1:4" hidden="1" x14ac:dyDescent="0.35">
      <c r="A443" s="3">
        <v>1986</v>
      </c>
      <c r="B443" s="4" t="s">
        <v>622</v>
      </c>
      <c r="C443" s="4" t="s">
        <v>6147</v>
      </c>
      <c r="D443" t="str">
        <f>IF(COUNTIFS(Sheet1!$D$2:$D$3203, A443, Sheet1!$C$2:$C$3203, B443) &gt; 0, "Sudah", "Belum")</f>
        <v>Sudah</v>
      </c>
    </row>
    <row r="444" spans="1:4" hidden="1" x14ac:dyDescent="0.35">
      <c r="A444" s="3">
        <v>1995</v>
      </c>
      <c r="B444" s="4" t="s">
        <v>6148</v>
      </c>
      <c r="C444" s="4" t="s">
        <v>3726</v>
      </c>
      <c r="D444" t="str">
        <f>IF(COUNTIFS(Sheet1!$D$2:$D$3203, A444, Sheet1!$C$2:$C$3203, B444) &gt; 0, "Sudah", "Belum")</f>
        <v>Sudah</v>
      </c>
    </row>
    <row r="445" spans="1:4" hidden="1" x14ac:dyDescent="0.35">
      <c r="A445" s="3">
        <v>2011</v>
      </c>
      <c r="B445" s="4" t="s">
        <v>2047</v>
      </c>
      <c r="C445" s="4" t="s">
        <v>6149</v>
      </c>
      <c r="D445" t="str">
        <f>IF(COUNTIFS(Sheet1!$D$2:$D$3203, A445, Sheet1!$C$2:$C$3203, B445) &gt; 0, "Sudah", "Belum")</f>
        <v>Sudah</v>
      </c>
    </row>
    <row r="446" spans="1:4" hidden="1" x14ac:dyDescent="0.35">
      <c r="A446" s="3">
        <v>2015</v>
      </c>
      <c r="B446" s="4" t="s">
        <v>2352</v>
      </c>
      <c r="C446" s="4" t="s">
        <v>3319</v>
      </c>
      <c r="D446" t="str">
        <f>IF(COUNTIFS(Sheet1!$D$2:$D$3203, A446, Sheet1!$C$2:$C$3203, B446) &gt; 0, "Sudah", "Belum")</f>
        <v>Sudah</v>
      </c>
    </row>
    <row r="447" spans="1:4" hidden="1" x14ac:dyDescent="0.35">
      <c r="A447" s="3">
        <v>1999</v>
      </c>
      <c r="B447" s="4" t="s">
        <v>1380</v>
      </c>
      <c r="C447" s="4" t="s">
        <v>4162</v>
      </c>
      <c r="D447" t="str">
        <f>IF(COUNTIFS(Sheet1!$D$2:$D$3203, A447, Sheet1!$C$2:$C$3203, B447) &gt; 0, "Sudah", "Belum")</f>
        <v>Sudah</v>
      </c>
    </row>
    <row r="448" spans="1:4" hidden="1" x14ac:dyDescent="0.35">
      <c r="A448" s="3">
        <v>2017</v>
      </c>
      <c r="B448" s="4" t="s">
        <v>6150</v>
      </c>
      <c r="C448" s="4" t="s">
        <v>6151</v>
      </c>
      <c r="D448" t="str">
        <f>IF(COUNTIFS(Sheet1!$D$2:$D$3203, A448, Sheet1!$C$2:$C$3203, B448) &gt; 0, "Sudah", "Belum")</f>
        <v>Sudah</v>
      </c>
    </row>
    <row r="449" spans="1:4" hidden="1" x14ac:dyDescent="0.35">
      <c r="A449" s="3">
        <v>2001</v>
      </c>
      <c r="B449" s="4" t="s">
        <v>1621</v>
      </c>
      <c r="C449" s="4" t="s">
        <v>6152</v>
      </c>
      <c r="D449" t="str">
        <f>IF(COUNTIFS(Sheet1!$D$2:$D$3203, A449, Sheet1!$C$2:$C$3203, B449) &gt; 0, "Sudah", "Belum")</f>
        <v>Sudah</v>
      </c>
    </row>
    <row r="450" spans="1:4" hidden="1" x14ac:dyDescent="0.35">
      <c r="A450" s="3">
        <v>2013</v>
      </c>
      <c r="B450" s="4" t="s">
        <v>6153</v>
      </c>
      <c r="C450" s="4" t="s">
        <v>6154</v>
      </c>
      <c r="D450" t="str">
        <f>IF(COUNTIFS(Sheet1!$D$2:$D$3203, A450, Sheet1!$C$2:$C$3203, B450) &gt; 0, "Sudah", "Belum")</f>
        <v>Sudah</v>
      </c>
    </row>
    <row r="451" spans="1:4" hidden="1" x14ac:dyDescent="0.35">
      <c r="A451" s="3">
        <v>1989</v>
      </c>
      <c r="B451" s="4" t="s">
        <v>6155</v>
      </c>
      <c r="C451" s="4" t="s">
        <v>6156</v>
      </c>
      <c r="D451" t="str">
        <f>IF(COUNTIFS(Sheet1!$D$2:$D$3203, A451, Sheet1!$C$2:$C$3203, B451) &gt; 0, "Sudah", "Belum")</f>
        <v>Sudah</v>
      </c>
    </row>
    <row r="452" spans="1:4" hidden="1" x14ac:dyDescent="0.35">
      <c r="A452" s="3">
        <v>2011</v>
      </c>
      <c r="B452" s="4" t="s">
        <v>2031</v>
      </c>
      <c r="C452" s="4" t="s">
        <v>5520</v>
      </c>
      <c r="D452" t="str">
        <f>IF(COUNTIFS(Sheet1!$D$2:$D$3203, A452, Sheet1!$C$2:$C$3203, B452) &gt; 0, "Sudah", "Belum")</f>
        <v>Sudah</v>
      </c>
    </row>
    <row r="453" spans="1:4" hidden="1" x14ac:dyDescent="0.35">
      <c r="A453" s="3">
        <v>1989</v>
      </c>
      <c r="B453" s="4" t="s">
        <v>697</v>
      </c>
      <c r="C453" s="4" t="s">
        <v>5497</v>
      </c>
      <c r="D453" t="str">
        <f>IF(COUNTIFS(Sheet1!$D$2:$D$3203, A453, Sheet1!$C$2:$C$3203, B453) &gt; 0, "Sudah", "Belum")</f>
        <v>Sudah</v>
      </c>
    </row>
    <row r="454" spans="1:4" hidden="1" x14ac:dyDescent="0.35">
      <c r="A454" s="3">
        <v>1989</v>
      </c>
      <c r="B454" s="4" t="s">
        <v>697</v>
      </c>
      <c r="C454" s="4" t="s">
        <v>5497</v>
      </c>
      <c r="D454" t="str">
        <f>IF(COUNTIFS(Sheet1!$D$2:$D$3203, A454, Sheet1!$C$2:$C$3203, B454) &gt; 0, "Sudah", "Belum")</f>
        <v>Sudah</v>
      </c>
    </row>
    <row r="455" spans="1:4" hidden="1" x14ac:dyDescent="0.35">
      <c r="A455" s="3">
        <v>2007</v>
      </c>
      <c r="B455" s="4" t="s">
        <v>3003</v>
      </c>
      <c r="C455" s="4" t="s">
        <v>6157</v>
      </c>
      <c r="D455" t="str">
        <f>IF(COUNTIFS(Sheet1!$D$2:$D$3203, A455, Sheet1!$C$2:$C$3203, B455) &gt; 0, "Sudah", "Belum")</f>
        <v>Sudah</v>
      </c>
    </row>
    <row r="456" spans="1:4" hidden="1" x14ac:dyDescent="0.35">
      <c r="A456" s="3">
        <v>1998</v>
      </c>
      <c r="B456" s="4" t="s">
        <v>1444</v>
      </c>
      <c r="C456" s="4" t="s">
        <v>6158</v>
      </c>
      <c r="D456" t="str">
        <f>IF(COUNTIFS(Sheet1!$D$2:$D$3203, A456, Sheet1!$C$2:$C$3203, B456) &gt; 0, "Sudah", "Belum")</f>
        <v>Sudah</v>
      </c>
    </row>
    <row r="457" spans="1:4" hidden="1" x14ac:dyDescent="0.35">
      <c r="A457" s="3">
        <v>2000</v>
      </c>
      <c r="B457" s="4" t="s">
        <v>6159</v>
      </c>
      <c r="C457" s="4" t="s">
        <v>6160</v>
      </c>
      <c r="D457" t="str">
        <f>IF(COUNTIFS(Sheet1!$D$2:$D$3203, A457, Sheet1!$C$2:$C$3203, B457) &gt; 0, "Sudah", "Belum")</f>
        <v>Sudah</v>
      </c>
    </row>
    <row r="458" spans="1:4" hidden="1" x14ac:dyDescent="0.35">
      <c r="A458" s="3">
        <v>2011</v>
      </c>
      <c r="B458" s="4" t="s">
        <v>6161</v>
      </c>
      <c r="C458" s="4" t="s">
        <v>6162</v>
      </c>
      <c r="D458" t="str">
        <f>IF(COUNTIFS(Sheet1!$D$2:$D$3203, A458, Sheet1!$C$2:$C$3203, B458) &gt; 0, "Sudah", "Belum")</f>
        <v>Sudah</v>
      </c>
    </row>
    <row r="459" spans="1:4" x14ac:dyDescent="0.35">
      <c r="A459" s="3">
        <v>2015</v>
      </c>
      <c r="B459" s="4" t="s">
        <v>6163</v>
      </c>
      <c r="C459" s="4" t="s">
        <v>6164</v>
      </c>
      <c r="D459" t="str">
        <f>IF(COUNTIFS(Sheet1!$D$2:$D$3203, A459, Sheet1!$C$2:$C$3203, B459) &gt; 0, "Sudah", "Belum")</f>
        <v>Belum</v>
      </c>
    </row>
    <row r="460" spans="1:4" hidden="1" x14ac:dyDescent="0.35">
      <c r="A460" s="3">
        <v>2007</v>
      </c>
      <c r="B460" s="4" t="s">
        <v>2989</v>
      </c>
      <c r="C460" s="4" t="s">
        <v>6165</v>
      </c>
      <c r="D460" t="str">
        <f>IF(COUNTIFS(Sheet1!$D$2:$D$3203, A460, Sheet1!$C$2:$C$3203, B460) &gt; 0, "Sudah", "Belum")</f>
        <v>Sudah</v>
      </c>
    </row>
    <row r="461" spans="1:4" hidden="1" x14ac:dyDescent="0.35">
      <c r="A461" s="3">
        <v>1998</v>
      </c>
      <c r="B461" s="4" t="s">
        <v>1266</v>
      </c>
      <c r="C461" s="4" t="s">
        <v>4411</v>
      </c>
      <c r="D461" t="str">
        <f>IF(COUNTIFS(Sheet1!$D$2:$D$3203, A461, Sheet1!$C$2:$C$3203, B461) &gt; 0, "Sudah", "Belum")</f>
        <v>Sudah</v>
      </c>
    </row>
    <row r="462" spans="1:4" hidden="1" x14ac:dyDescent="0.35">
      <c r="A462" s="3">
        <v>2011</v>
      </c>
      <c r="B462" s="4" t="s">
        <v>2068</v>
      </c>
      <c r="C462" s="4" t="s">
        <v>6166</v>
      </c>
      <c r="D462" t="str">
        <f>IF(COUNTIFS(Sheet1!$D$2:$D$3203, A462, Sheet1!$C$2:$C$3203, B462) &gt; 0, "Sudah", "Belum")</f>
        <v>Sudah</v>
      </c>
    </row>
    <row r="463" spans="1:4" hidden="1" x14ac:dyDescent="0.35">
      <c r="A463" s="3">
        <v>1998</v>
      </c>
      <c r="B463" s="4" t="s">
        <v>1283</v>
      </c>
      <c r="C463" s="4" t="s">
        <v>4547</v>
      </c>
      <c r="D463" t="str">
        <f>IF(COUNTIFS(Sheet1!$D$2:$D$3203, A463, Sheet1!$C$2:$C$3203, B463) &gt; 0, "Sudah", "Belum")</f>
        <v>Sudah</v>
      </c>
    </row>
    <row r="464" spans="1:4" hidden="1" x14ac:dyDescent="0.35">
      <c r="A464" s="3">
        <v>1998</v>
      </c>
      <c r="B464" s="4" t="s">
        <v>1307</v>
      </c>
      <c r="C464" s="4" t="s">
        <v>6167</v>
      </c>
      <c r="D464" t="str">
        <f>IF(COUNTIFS(Sheet1!$D$2:$D$3203, A464, Sheet1!$C$2:$C$3203, B464) &gt; 0, "Sudah", "Belum")</f>
        <v>Sudah</v>
      </c>
    </row>
    <row r="465" spans="1:4" hidden="1" x14ac:dyDescent="0.35">
      <c r="A465" s="3">
        <v>1983</v>
      </c>
      <c r="B465" s="4" t="s">
        <v>469</v>
      </c>
      <c r="C465" s="4" t="s">
        <v>6168</v>
      </c>
      <c r="D465" t="str">
        <f>IF(COUNTIFS(Sheet1!$D$2:$D$3203, A465, Sheet1!$C$2:$C$3203, B465) &gt; 0, "Sudah", "Belum")</f>
        <v>Sudah</v>
      </c>
    </row>
    <row r="466" spans="1:4" hidden="1" x14ac:dyDescent="0.35">
      <c r="A466" s="3">
        <v>2009</v>
      </c>
      <c r="B466" s="4" t="s">
        <v>3050</v>
      </c>
      <c r="C466" s="4" t="s">
        <v>6169</v>
      </c>
      <c r="D466" t="str">
        <f>IF(COUNTIFS(Sheet1!$D$2:$D$3203, A466, Sheet1!$C$2:$C$3203, B466) &gt; 0, "Sudah", "Belum")</f>
        <v>Sudah</v>
      </c>
    </row>
    <row r="467" spans="1:4" hidden="1" x14ac:dyDescent="0.35">
      <c r="A467" s="3">
        <v>1986</v>
      </c>
      <c r="B467" s="4" t="s">
        <v>681</v>
      </c>
      <c r="C467" s="4" t="s">
        <v>4231</v>
      </c>
      <c r="D467" t="str">
        <f>IF(COUNTIFS(Sheet1!$D$2:$D$3203, A467, Sheet1!$C$2:$C$3203, B467) &gt; 0, "Sudah", "Belum")</f>
        <v>Sudah</v>
      </c>
    </row>
    <row r="468" spans="1:4" hidden="1" x14ac:dyDescent="0.35">
      <c r="A468" s="3">
        <v>1986</v>
      </c>
      <c r="B468" s="4" t="s">
        <v>6170</v>
      </c>
      <c r="C468" s="4" t="s">
        <v>4231</v>
      </c>
      <c r="D468" t="str">
        <f>IF(COUNTIFS(Sheet1!$D$2:$D$3203, A468, Sheet1!$C$2:$C$3203, B468) &gt; 0, "Sudah", "Belum")</f>
        <v>Sudah</v>
      </c>
    </row>
    <row r="469" spans="1:4" hidden="1" x14ac:dyDescent="0.35">
      <c r="A469" s="3">
        <v>1999</v>
      </c>
      <c r="B469" s="4" t="s">
        <v>1401</v>
      </c>
      <c r="C469" s="4" t="s">
        <v>6171</v>
      </c>
      <c r="D469" t="str">
        <f>IF(COUNTIFS(Sheet1!$D$2:$D$3203, A469, Sheet1!$C$2:$C$3203, B469) &gt; 0, "Sudah", "Belum")</f>
        <v>Sudah</v>
      </c>
    </row>
    <row r="470" spans="1:4" hidden="1" x14ac:dyDescent="0.35">
      <c r="A470" s="3">
        <v>1998</v>
      </c>
      <c r="B470" s="4" t="s">
        <v>1340</v>
      </c>
      <c r="C470" s="4" t="s">
        <v>5819</v>
      </c>
      <c r="D470" t="str">
        <f>IF(COUNTIFS(Sheet1!$D$2:$D$3203, A470, Sheet1!$C$2:$C$3203, B470) &gt; 0, "Sudah", "Belum")</f>
        <v>Sudah</v>
      </c>
    </row>
    <row r="471" spans="1:4" hidden="1" x14ac:dyDescent="0.35">
      <c r="A471" s="3">
        <v>1998</v>
      </c>
      <c r="B471" s="4" t="s">
        <v>1675</v>
      </c>
      <c r="C471" s="4" t="s">
        <v>6172</v>
      </c>
      <c r="D471" t="str">
        <f>IF(COUNTIFS(Sheet1!$D$2:$D$3203, A471, Sheet1!$C$2:$C$3203, B471) &gt; 0, "Sudah", "Belum")</f>
        <v>Sudah</v>
      </c>
    </row>
    <row r="472" spans="1:4" hidden="1" x14ac:dyDescent="0.35">
      <c r="A472" s="3">
        <v>1973</v>
      </c>
      <c r="B472" s="4" t="s">
        <v>98</v>
      </c>
      <c r="C472" s="4" t="s">
        <v>4187</v>
      </c>
      <c r="D472" t="str">
        <f>IF(COUNTIFS(Sheet1!$D$2:$D$3203, A472, Sheet1!$C$2:$C$3203, B472) &gt; 0, "Sudah", "Belum")</f>
        <v>Sudah</v>
      </c>
    </row>
    <row r="473" spans="1:4" hidden="1" x14ac:dyDescent="0.35">
      <c r="A473" s="3">
        <v>2010</v>
      </c>
      <c r="B473" s="4" t="s">
        <v>1981</v>
      </c>
      <c r="C473" s="4" t="s">
        <v>6173</v>
      </c>
      <c r="D473" t="str">
        <f>IF(COUNTIFS(Sheet1!$D$2:$D$3203, A473, Sheet1!$C$2:$C$3203, B473) &gt; 0, "Sudah", "Belum")</f>
        <v>Sudah</v>
      </c>
    </row>
    <row r="474" spans="1:4" hidden="1" x14ac:dyDescent="0.35">
      <c r="A474" s="3">
        <v>2010</v>
      </c>
      <c r="B474" s="4" t="s">
        <v>6174</v>
      </c>
      <c r="C474" s="4" t="s">
        <v>6173</v>
      </c>
      <c r="D474" t="str">
        <f>IF(COUNTIFS(Sheet1!$D$2:$D$3203, A474, Sheet1!$C$2:$C$3203, B474) &gt; 0, "Sudah", "Belum")</f>
        <v>Sudah</v>
      </c>
    </row>
    <row r="475" spans="1:4" hidden="1" x14ac:dyDescent="0.35">
      <c r="A475" s="3">
        <v>2007</v>
      </c>
      <c r="B475" s="4" t="s">
        <v>2956</v>
      </c>
      <c r="C475" s="4" t="s">
        <v>6175</v>
      </c>
      <c r="D475" t="str">
        <f>IF(COUNTIFS(Sheet1!$D$2:$D$3203, A475, Sheet1!$C$2:$C$3203, B475) &gt; 0, "Sudah", "Belum")</f>
        <v>Sudah</v>
      </c>
    </row>
    <row r="476" spans="1:4" hidden="1" x14ac:dyDescent="0.35">
      <c r="A476" s="3">
        <v>2007</v>
      </c>
      <c r="B476" s="4" t="s">
        <v>2956</v>
      </c>
      <c r="C476" s="4" t="s">
        <v>6175</v>
      </c>
      <c r="D476" t="str">
        <f>IF(COUNTIFS(Sheet1!$D$2:$D$3203, A476, Sheet1!$C$2:$C$3203, B476) &gt; 0, "Sudah", "Belum")</f>
        <v>Sudah</v>
      </c>
    </row>
    <row r="477" spans="1:4" hidden="1" x14ac:dyDescent="0.35">
      <c r="A477" s="3">
        <v>1995</v>
      </c>
      <c r="B477" s="4" t="s">
        <v>992</v>
      </c>
      <c r="C477" s="4" t="s">
        <v>3398</v>
      </c>
      <c r="D477" t="str">
        <f>IF(COUNTIFS(Sheet1!$D$2:$D$3203, A477, Sheet1!$C$2:$C$3203, B477) &gt; 0, "Sudah", "Belum")</f>
        <v>Sudah</v>
      </c>
    </row>
    <row r="478" spans="1:4" hidden="1" x14ac:dyDescent="0.35">
      <c r="A478" s="3">
        <v>1998</v>
      </c>
      <c r="B478" s="4" t="s">
        <v>1326</v>
      </c>
      <c r="C478" s="4" t="s">
        <v>6176</v>
      </c>
      <c r="D478" t="str">
        <f>IF(COUNTIFS(Sheet1!$D$2:$D$3203, A478, Sheet1!$C$2:$C$3203, B478) &gt; 0, "Sudah", "Belum")</f>
        <v>Sudah</v>
      </c>
    </row>
    <row r="479" spans="1:4" hidden="1" x14ac:dyDescent="0.35">
      <c r="A479" s="3">
        <v>2003</v>
      </c>
      <c r="B479" s="4" t="s">
        <v>6177</v>
      </c>
      <c r="C479" s="4" t="s">
        <v>5096</v>
      </c>
      <c r="D479" t="str">
        <f>IF(COUNTIFS(Sheet1!$D$2:$D$3203, A479, Sheet1!$C$2:$C$3203, B479) &gt; 0, "Sudah", "Belum")</f>
        <v>Sudah</v>
      </c>
    </row>
    <row r="480" spans="1:4" hidden="1" x14ac:dyDescent="0.35">
      <c r="A480" s="3">
        <v>2017</v>
      </c>
      <c r="B480" s="4" t="s">
        <v>2409</v>
      </c>
      <c r="C480" s="4" t="s">
        <v>6178</v>
      </c>
      <c r="D480" t="str">
        <f>IF(COUNTIFS(Sheet1!$D$2:$D$3203, A480, Sheet1!$C$2:$C$3203, B480) &gt; 0, "Sudah", "Belum")</f>
        <v>Sudah</v>
      </c>
    </row>
    <row r="481" spans="1:4" hidden="1" x14ac:dyDescent="0.35">
      <c r="A481" s="3">
        <v>2004</v>
      </c>
      <c r="B481" s="4" t="s">
        <v>1800</v>
      </c>
      <c r="C481" s="4" t="s">
        <v>5248</v>
      </c>
      <c r="D481" t="str">
        <f>IF(COUNTIFS(Sheet1!$D$2:$D$3203, A481, Sheet1!$C$2:$C$3203, B481) &gt; 0, "Sudah", "Belum")</f>
        <v>Sudah</v>
      </c>
    </row>
    <row r="482" spans="1:4" hidden="1" x14ac:dyDescent="0.35">
      <c r="A482" s="3">
        <v>1988</v>
      </c>
      <c r="B482" s="4" t="s">
        <v>841</v>
      </c>
      <c r="C482" s="4" t="s">
        <v>6179</v>
      </c>
      <c r="D482" t="str">
        <f>IF(COUNTIFS(Sheet1!$D$2:$D$3203, A482, Sheet1!$C$2:$C$3203, B482) &gt; 0, "Sudah", "Belum")</f>
        <v>Sudah</v>
      </c>
    </row>
    <row r="483" spans="1:4" hidden="1" x14ac:dyDescent="0.35">
      <c r="A483" s="3">
        <v>2008</v>
      </c>
      <c r="B483" s="4" t="s">
        <v>1874</v>
      </c>
      <c r="C483" s="4" t="s">
        <v>5572</v>
      </c>
      <c r="D483" t="str">
        <f>IF(COUNTIFS(Sheet1!$D$2:$D$3203, A483, Sheet1!$C$2:$C$3203, B483) &gt; 0, "Sudah", "Belum")</f>
        <v>Sudah</v>
      </c>
    </row>
    <row r="484" spans="1:4" hidden="1" x14ac:dyDescent="0.35">
      <c r="A484" s="3">
        <v>1999</v>
      </c>
      <c r="B484" s="4" t="s">
        <v>1398</v>
      </c>
      <c r="C484" s="4" t="s">
        <v>6180</v>
      </c>
      <c r="D484" t="str">
        <f>IF(COUNTIFS(Sheet1!$D$2:$D$3203, A484, Sheet1!$C$2:$C$3203, B484) &gt; 0, "Sudah", "Belum")</f>
        <v>Sudah</v>
      </c>
    </row>
    <row r="485" spans="1:4" hidden="1" x14ac:dyDescent="0.35">
      <c r="A485" s="3">
        <v>1986</v>
      </c>
      <c r="B485" s="4" t="s">
        <v>671</v>
      </c>
      <c r="C485" s="4" t="s">
        <v>4182</v>
      </c>
      <c r="D485" t="str">
        <f>IF(COUNTIFS(Sheet1!$D$2:$D$3203, A485, Sheet1!$C$2:$C$3203, B485) &gt; 0, "Sudah", "Belum")</f>
        <v>Sudah</v>
      </c>
    </row>
    <row r="486" spans="1:4" hidden="1" x14ac:dyDescent="0.35">
      <c r="A486" s="3">
        <v>2005</v>
      </c>
      <c r="B486" s="4" t="s">
        <v>1811</v>
      </c>
      <c r="C486" s="4" t="s">
        <v>6181</v>
      </c>
      <c r="D486" t="str">
        <f>IF(COUNTIFS(Sheet1!$D$2:$D$3203, A486, Sheet1!$C$2:$C$3203, B486) &gt; 0, "Sudah", "Belum")</f>
        <v>Sudah</v>
      </c>
    </row>
    <row r="487" spans="1:4" hidden="1" x14ac:dyDescent="0.35">
      <c r="A487" s="3">
        <v>2011</v>
      </c>
      <c r="B487" s="4" t="s">
        <v>2032</v>
      </c>
      <c r="C487" s="4" t="s">
        <v>4421</v>
      </c>
      <c r="D487" t="str">
        <f>IF(COUNTIFS(Sheet1!$D$2:$D$3203, A487, Sheet1!$C$2:$C$3203, B487) &gt; 0, "Sudah", "Belum")</f>
        <v>Sudah</v>
      </c>
    </row>
    <row r="488" spans="1:4" hidden="1" x14ac:dyDescent="0.35">
      <c r="A488" s="3">
        <v>1998</v>
      </c>
      <c r="B488" s="4" t="s">
        <v>1280</v>
      </c>
      <c r="C488" s="4" t="s">
        <v>6182</v>
      </c>
      <c r="D488" t="str">
        <f>IF(COUNTIFS(Sheet1!$D$2:$D$3203, A488, Sheet1!$C$2:$C$3203, B488) &gt; 0, "Sudah", "Belum")</f>
        <v>Sudah</v>
      </c>
    </row>
    <row r="489" spans="1:4" hidden="1" x14ac:dyDescent="0.35">
      <c r="A489" s="3">
        <v>1990</v>
      </c>
      <c r="B489" s="4" t="s">
        <v>843</v>
      </c>
      <c r="C489" s="4" t="s">
        <v>4417</v>
      </c>
      <c r="D489" t="str">
        <f>IF(COUNTIFS(Sheet1!$D$2:$D$3203, A489, Sheet1!$C$2:$C$3203, B489) &gt; 0, "Sudah", "Belum")</f>
        <v>Sudah</v>
      </c>
    </row>
    <row r="490" spans="1:4" hidden="1" x14ac:dyDescent="0.35">
      <c r="A490" s="3">
        <v>2001</v>
      </c>
      <c r="B490" s="4" t="s">
        <v>1635</v>
      </c>
      <c r="C490" s="4" t="s">
        <v>6183</v>
      </c>
      <c r="D490" t="str">
        <f>IF(COUNTIFS(Sheet1!$D$2:$D$3203, A490, Sheet1!$C$2:$C$3203, B490) &gt; 0, "Sudah", "Belum")</f>
        <v>Sudah</v>
      </c>
    </row>
    <row r="491" spans="1:4" hidden="1" x14ac:dyDescent="0.35">
      <c r="A491" s="3">
        <v>1995</v>
      </c>
      <c r="B491" s="4" t="s">
        <v>1011</v>
      </c>
      <c r="C491" s="4" t="s">
        <v>6184</v>
      </c>
      <c r="D491" t="str">
        <f>IF(COUNTIFS(Sheet1!$D$2:$D$3203, A491, Sheet1!$C$2:$C$3203, B491) &gt; 0, "Sudah", "Belum")</f>
        <v>Sudah</v>
      </c>
    </row>
    <row r="492" spans="1:4" hidden="1" x14ac:dyDescent="0.35">
      <c r="A492" s="3">
        <v>1986</v>
      </c>
      <c r="B492" s="4" t="s">
        <v>727</v>
      </c>
      <c r="C492" s="4" t="s">
        <v>6185</v>
      </c>
      <c r="D492" t="str">
        <f>IF(COUNTIFS(Sheet1!$D$2:$D$3203, A492, Sheet1!$C$2:$C$3203, B492) &gt; 0, "Sudah", "Belum")</f>
        <v>Sudah</v>
      </c>
    </row>
    <row r="493" spans="1:4" hidden="1" x14ac:dyDescent="0.35">
      <c r="A493" s="3">
        <v>2000</v>
      </c>
      <c r="B493" s="4" t="s">
        <v>1536</v>
      </c>
      <c r="C493" s="4" t="s">
        <v>3491</v>
      </c>
      <c r="D493" t="str">
        <f>IF(COUNTIFS(Sheet1!$D$2:$D$3203, A493, Sheet1!$C$2:$C$3203, B493) &gt; 0, "Sudah", "Belum")</f>
        <v>Sudah</v>
      </c>
    </row>
    <row r="494" spans="1:4" hidden="1" x14ac:dyDescent="0.35">
      <c r="A494" s="3">
        <v>2000</v>
      </c>
      <c r="B494" s="4" t="s">
        <v>1525</v>
      </c>
      <c r="C494" s="4" t="s">
        <v>4289</v>
      </c>
      <c r="D494" t="str">
        <f>IF(COUNTIFS(Sheet1!$D$2:$D$3203, A494, Sheet1!$C$2:$C$3203, B494) &gt; 0, "Sudah", "Belum")</f>
        <v>Sudah</v>
      </c>
    </row>
    <row r="495" spans="1:4" hidden="1" x14ac:dyDescent="0.35">
      <c r="A495" s="3">
        <v>2000</v>
      </c>
      <c r="B495" s="4" t="s">
        <v>1562</v>
      </c>
      <c r="C495" s="4" t="s">
        <v>3985</v>
      </c>
      <c r="D495" t="str">
        <f>IF(COUNTIFS(Sheet1!$D$2:$D$3203, A495, Sheet1!$C$2:$C$3203, B495) &gt; 0, "Sudah", "Belum")</f>
        <v>Sudah</v>
      </c>
    </row>
    <row r="496" spans="1:4" hidden="1" x14ac:dyDescent="0.35">
      <c r="A496" s="3">
        <v>2001</v>
      </c>
      <c r="B496" s="4" t="s">
        <v>1587</v>
      </c>
      <c r="C496" s="4" t="s">
        <v>6186</v>
      </c>
      <c r="D496" t="str">
        <f>IF(COUNTIFS(Sheet1!$D$2:$D$3203, A496, Sheet1!$C$2:$C$3203, B496) &gt; 0, "Sudah", "Belum")</f>
        <v>Sudah</v>
      </c>
    </row>
    <row r="497" spans="1:4" hidden="1" x14ac:dyDescent="0.35">
      <c r="A497" s="3">
        <v>1995</v>
      </c>
      <c r="B497" s="4" t="s">
        <v>978</v>
      </c>
      <c r="C497" s="4" t="s">
        <v>5058</v>
      </c>
      <c r="D497" t="str">
        <f>IF(COUNTIFS(Sheet1!$D$2:$D$3203, A497, Sheet1!$C$2:$C$3203, B497) &gt; 0, "Sudah", "Belum")</f>
        <v>Sudah</v>
      </c>
    </row>
    <row r="498" spans="1:4" hidden="1" x14ac:dyDescent="0.35">
      <c r="A498" s="3">
        <v>2009</v>
      </c>
      <c r="B498" s="4" t="s">
        <v>6187</v>
      </c>
      <c r="C498" s="4" t="s">
        <v>5262</v>
      </c>
      <c r="D498" t="str">
        <f>IF(COUNTIFS(Sheet1!$D$2:$D$3203, A498, Sheet1!$C$2:$C$3203, B498) &gt; 0, "Sudah", "Belum")</f>
        <v>Sudah</v>
      </c>
    </row>
    <row r="499" spans="1:4" hidden="1" x14ac:dyDescent="0.35">
      <c r="A499" s="3">
        <v>1998</v>
      </c>
      <c r="B499" s="4" t="s">
        <v>6188</v>
      </c>
      <c r="C499" s="4" t="s">
        <v>4380</v>
      </c>
      <c r="D499" t="str">
        <f>IF(COUNTIFS(Sheet1!$D$2:$D$3203, A499, Sheet1!$C$2:$C$3203, B499) &gt; 0, "Sudah", "Belum")</f>
        <v>Sudah</v>
      </c>
    </row>
    <row r="500" spans="1:4" hidden="1" x14ac:dyDescent="0.35">
      <c r="A500" s="3">
        <v>1986</v>
      </c>
      <c r="B500" s="4" t="s">
        <v>564</v>
      </c>
      <c r="C500" s="4" t="s">
        <v>3750</v>
      </c>
      <c r="D500" t="str">
        <f>IF(COUNTIFS(Sheet1!$D$2:$D$3203, A500, Sheet1!$C$2:$C$3203, B500) &gt; 0, "Sudah", "Belum")</f>
        <v>Sudah</v>
      </c>
    </row>
    <row r="501" spans="1:4" hidden="1" x14ac:dyDescent="0.35">
      <c r="A501" s="3">
        <v>1991</v>
      </c>
      <c r="B501" s="4" t="s">
        <v>1083</v>
      </c>
      <c r="C501" s="4" t="s">
        <v>3635</v>
      </c>
      <c r="D501" t="str">
        <f>IF(COUNTIFS(Sheet1!$D$2:$D$3203, A501, Sheet1!$C$2:$C$3203, B501) &gt; 0, "Sudah", "Belum")</f>
        <v>Sudah</v>
      </c>
    </row>
    <row r="502" spans="1:4" hidden="1" x14ac:dyDescent="0.35">
      <c r="A502" s="3">
        <v>1998</v>
      </c>
      <c r="B502" s="4" t="s">
        <v>1301</v>
      </c>
      <c r="C502" s="4" t="s">
        <v>5019</v>
      </c>
      <c r="D502" t="str">
        <f>IF(COUNTIFS(Sheet1!$D$2:$D$3203, A502, Sheet1!$C$2:$C$3203, B502) &gt; 0, "Sudah", "Belum")</f>
        <v>Sudah</v>
      </c>
    </row>
    <row r="503" spans="1:4" hidden="1" x14ac:dyDescent="0.35">
      <c r="A503" s="3">
        <v>2009</v>
      </c>
      <c r="B503" s="4" t="s">
        <v>1885</v>
      </c>
      <c r="C503" s="4" t="s">
        <v>6189</v>
      </c>
      <c r="D503" t="str">
        <f>IF(COUNTIFS(Sheet1!$D$2:$D$3203, A503, Sheet1!$C$2:$C$3203, B503) &gt; 0, "Sudah", "Belum")</f>
        <v>Sudah</v>
      </c>
    </row>
    <row r="504" spans="1:4" hidden="1" x14ac:dyDescent="0.35">
      <c r="A504" s="3">
        <v>2010</v>
      </c>
      <c r="B504" s="4" t="s">
        <v>2050</v>
      </c>
      <c r="C504" s="4" t="s">
        <v>6190</v>
      </c>
      <c r="D504" t="str">
        <f>IF(COUNTIFS(Sheet1!$D$2:$D$3203, A504, Sheet1!$C$2:$C$3203, B504) &gt; 0, "Sudah", "Belum")</f>
        <v>Sudah</v>
      </c>
    </row>
    <row r="505" spans="1:4" hidden="1" x14ac:dyDescent="0.35">
      <c r="A505" s="3">
        <v>2007</v>
      </c>
      <c r="B505" s="4" t="s">
        <v>3002</v>
      </c>
      <c r="C505" s="4" t="s">
        <v>6191</v>
      </c>
      <c r="D505" t="str">
        <f>IF(COUNTIFS(Sheet1!$D$2:$D$3203, A505, Sheet1!$C$2:$C$3203, B505) &gt; 0, "Sudah", "Belum")</f>
        <v>Sudah</v>
      </c>
    </row>
    <row r="506" spans="1:4" hidden="1" x14ac:dyDescent="0.35">
      <c r="A506" s="3">
        <v>1990</v>
      </c>
      <c r="B506" s="4" t="s">
        <v>866</v>
      </c>
      <c r="C506" s="4" t="s">
        <v>6192</v>
      </c>
      <c r="D506" t="str">
        <f>IF(COUNTIFS(Sheet1!$D$2:$D$3203, A506, Sheet1!$C$2:$C$3203, B506) &gt; 0, "Sudah", "Belum")</f>
        <v>Sudah</v>
      </c>
    </row>
    <row r="507" spans="1:4" hidden="1" x14ac:dyDescent="0.35">
      <c r="A507" s="3">
        <v>1998</v>
      </c>
      <c r="B507" s="4" t="s">
        <v>1368</v>
      </c>
      <c r="C507" s="4" t="s">
        <v>6193</v>
      </c>
      <c r="D507" t="str">
        <f>IF(COUNTIFS(Sheet1!$D$2:$D$3203, A507, Sheet1!$C$2:$C$3203, B507) &gt; 0, "Sudah", "Belum")</f>
        <v>Sudah</v>
      </c>
    </row>
    <row r="508" spans="1:4" hidden="1" x14ac:dyDescent="0.35">
      <c r="A508" s="3">
        <v>1998</v>
      </c>
      <c r="B508" s="4" t="s">
        <v>1408</v>
      </c>
      <c r="C508" s="4" t="s">
        <v>6194</v>
      </c>
      <c r="D508" t="str">
        <f>IF(COUNTIFS(Sheet1!$D$2:$D$3203, A508, Sheet1!$C$2:$C$3203, B508) &gt; 0, "Sudah", "Belum")</f>
        <v>Sudah</v>
      </c>
    </row>
    <row r="509" spans="1:4" hidden="1" x14ac:dyDescent="0.35">
      <c r="A509" s="3">
        <v>1998</v>
      </c>
      <c r="B509" s="4" t="s">
        <v>1408</v>
      </c>
      <c r="C509" s="4" t="s">
        <v>6194</v>
      </c>
      <c r="D509" t="str">
        <f>IF(COUNTIFS(Sheet1!$D$2:$D$3203, A509, Sheet1!$C$2:$C$3203, B509) &gt; 0, "Sudah", "Belum")</f>
        <v>Sudah</v>
      </c>
    </row>
    <row r="510" spans="1:4" hidden="1" x14ac:dyDescent="0.35">
      <c r="A510" s="3">
        <v>2011</v>
      </c>
      <c r="B510" s="4" t="s">
        <v>2005</v>
      </c>
      <c r="C510" s="4" t="s">
        <v>5151</v>
      </c>
      <c r="D510" t="str">
        <f>IF(COUNTIFS(Sheet1!$D$2:$D$3203, A510, Sheet1!$C$2:$C$3203, B510) &gt; 0, "Sudah", "Belum")</f>
        <v>Sudah</v>
      </c>
    </row>
    <row r="511" spans="1:4" hidden="1" x14ac:dyDescent="0.35">
      <c r="A511" s="3">
        <v>2009</v>
      </c>
      <c r="B511" s="4" t="s">
        <v>3044</v>
      </c>
      <c r="C511" s="4" t="s">
        <v>6195</v>
      </c>
      <c r="D511" t="str">
        <f>IF(COUNTIFS(Sheet1!$D$2:$D$3203, A511, Sheet1!$C$2:$C$3203, B511) &gt; 0, "Sudah", "Belum")</f>
        <v>Sudah</v>
      </c>
    </row>
    <row r="512" spans="1:4" hidden="1" x14ac:dyDescent="0.35">
      <c r="A512" s="3">
        <v>2009</v>
      </c>
      <c r="B512" s="4" t="s">
        <v>3039</v>
      </c>
      <c r="C512" s="4" t="s">
        <v>5268</v>
      </c>
      <c r="D512" t="str">
        <f>IF(COUNTIFS(Sheet1!$D$2:$D$3203, A512, Sheet1!$C$2:$C$3203, B512) &gt; 0, "Sudah", "Belum")</f>
        <v>Sudah</v>
      </c>
    </row>
    <row r="513" spans="1:4" hidden="1" x14ac:dyDescent="0.35">
      <c r="A513" s="3">
        <v>1995</v>
      </c>
      <c r="B513" s="4" t="s">
        <v>976</v>
      </c>
      <c r="C513" s="4" t="s">
        <v>4882</v>
      </c>
      <c r="D513" t="str">
        <f>IF(COUNTIFS(Sheet1!$D$2:$D$3203, A513, Sheet1!$C$2:$C$3203, B513) &gt; 0, "Sudah", "Belum")</f>
        <v>Sudah</v>
      </c>
    </row>
    <row r="514" spans="1:4" hidden="1" x14ac:dyDescent="0.35">
      <c r="A514" s="3">
        <v>1988</v>
      </c>
      <c r="B514" s="4" t="s">
        <v>761</v>
      </c>
      <c r="C514" s="4" t="s">
        <v>4171</v>
      </c>
      <c r="D514" t="str">
        <f>IF(COUNTIFS(Sheet1!$D$2:$D$3203, A514, Sheet1!$C$2:$C$3203, B514) &gt; 0, "Sudah", "Belum")</f>
        <v>Sudah</v>
      </c>
    </row>
    <row r="515" spans="1:4" hidden="1" x14ac:dyDescent="0.35">
      <c r="A515" s="3">
        <v>1998</v>
      </c>
      <c r="B515" s="4" t="s">
        <v>1548</v>
      </c>
      <c r="C515" s="4" t="s">
        <v>6196</v>
      </c>
      <c r="D515" t="str">
        <f>IF(COUNTIFS(Sheet1!$D$2:$D$3203, A515, Sheet1!$C$2:$C$3203, B515) &gt; 0, "Sudah", "Belum")</f>
        <v>Sudah</v>
      </c>
    </row>
    <row r="516" spans="1:4" hidden="1" x14ac:dyDescent="0.35">
      <c r="A516" s="3">
        <v>1996</v>
      </c>
      <c r="B516" s="4" t="s">
        <v>5835</v>
      </c>
      <c r="C516" s="4" t="s">
        <v>6197</v>
      </c>
      <c r="D516" t="str">
        <f>IF(COUNTIFS(Sheet1!$D$2:$D$3203, A516, Sheet1!$C$2:$C$3203, B516) &gt; 0, "Sudah", "Belum")</f>
        <v>Sudah</v>
      </c>
    </row>
    <row r="517" spans="1:4" hidden="1" x14ac:dyDescent="0.35">
      <c r="A517" s="3">
        <v>1996</v>
      </c>
      <c r="B517" s="4" t="s">
        <v>5835</v>
      </c>
      <c r="C517" s="4" t="s">
        <v>6197</v>
      </c>
      <c r="D517" t="str">
        <f>IF(COUNTIFS(Sheet1!$D$2:$D$3203, A517, Sheet1!$C$2:$C$3203, B517) &gt; 0, "Sudah", "Belum")</f>
        <v>Sudah</v>
      </c>
    </row>
    <row r="518" spans="1:4" hidden="1" x14ac:dyDescent="0.35">
      <c r="A518" s="3">
        <v>2001</v>
      </c>
      <c r="B518" s="4" t="s">
        <v>1597</v>
      </c>
      <c r="C518" s="4" t="s">
        <v>3891</v>
      </c>
      <c r="D518" t="str">
        <f>IF(COUNTIFS(Sheet1!$D$2:$D$3203, A518, Sheet1!$C$2:$C$3203, B518) &gt; 0, "Sudah", "Belum")</f>
        <v>Sudah</v>
      </c>
    </row>
    <row r="519" spans="1:4" hidden="1" x14ac:dyDescent="0.35">
      <c r="A519" s="3">
        <v>2007</v>
      </c>
      <c r="B519" s="4" t="s">
        <v>1893</v>
      </c>
      <c r="C519" s="4" t="s">
        <v>4492</v>
      </c>
      <c r="D519" t="str">
        <f>IF(COUNTIFS(Sheet1!$D$2:$D$3203, A519, Sheet1!$C$2:$C$3203, B519) &gt; 0, "Sudah", "Belum")</f>
        <v>Sudah</v>
      </c>
    </row>
    <row r="520" spans="1:4" hidden="1" x14ac:dyDescent="0.35">
      <c r="A520" s="3">
        <v>2009</v>
      </c>
      <c r="B520" s="4" t="s">
        <v>1899</v>
      </c>
      <c r="C520" s="4" t="s">
        <v>6198</v>
      </c>
      <c r="D520" t="str">
        <f>IF(COUNTIFS(Sheet1!$D$2:$D$3203, A520, Sheet1!$C$2:$C$3203, B520) &gt; 0, "Sudah", "Belum")</f>
        <v>Sudah</v>
      </c>
    </row>
    <row r="521" spans="1:4" hidden="1" x14ac:dyDescent="0.35">
      <c r="A521" s="3">
        <v>2009</v>
      </c>
      <c r="B521" s="4" t="s">
        <v>6199</v>
      </c>
      <c r="C521" s="4" t="s">
        <v>6200</v>
      </c>
      <c r="D521" t="str">
        <f>IF(COUNTIFS(Sheet1!$D$2:$D$3203, A521, Sheet1!$C$2:$C$3203, B521) &gt; 0, "Sudah", "Belum")</f>
        <v>Sudah</v>
      </c>
    </row>
    <row r="522" spans="1:4" hidden="1" x14ac:dyDescent="0.35">
      <c r="A522" s="3">
        <v>2010</v>
      </c>
      <c r="B522" s="4" t="s">
        <v>6201</v>
      </c>
      <c r="C522" s="4" t="s">
        <v>3979</v>
      </c>
      <c r="D522" t="str">
        <f>IF(COUNTIFS(Sheet1!$D$2:$D$3203, A522, Sheet1!$C$2:$C$3203, B522) &gt; 0, "Sudah", "Belum")</f>
        <v>Sudah</v>
      </c>
    </row>
    <row r="523" spans="1:4" hidden="1" x14ac:dyDescent="0.35">
      <c r="A523" s="3">
        <v>2003</v>
      </c>
      <c r="B523" s="4" t="s">
        <v>6202</v>
      </c>
      <c r="C523" s="4" t="s">
        <v>6203</v>
      </c>
      <c r="D523" t="str">
        <f>IF(COUNTIFS(Sheet1!$D$2:$D$3203, A523, Sheet1!$C$2:$C$3203, B523) &gt; 0, "Sudah", "Belum")</f>
        <v>Sudah</v>
      </c>
    </row>
    <row r="524" spans="1:4" hidden="1" x14ac:dyDescent="0.35">
      <c r="A524" s="3">
        <v>2003</v>
      </c>
      <c r="B524" s="4" t="s">
        <v>1708</v>
      </c>
      <c r="C524" s="4" t="s">
        <v>3843</v>
      </c>
      <c r="D524" t="str">
        <f>IF(COUNTIFS(Sheet1!$D$2:$D$3203, A524, Sheet1!$C$2:$C$3203, B524) &gt; 0, "Sudah", "Belum")</f>
        <v>Sudah</v>
      </c>
    </row>
    <row r="525" spans="1:4" hidden="1" x14ac:dyDescent="0.35">
      <c r="A525" s="3">
        <v>2003</v>
      </c>
      <c r="B525" s="4" t="s">
        <v>6204</v>
      </c>
      <c r="C525" s="4" t="s">
        <v>4553</v>
      </c>
      <c r="D525" t="str">
        <f>IF(COUNTIFS(Sheet1!$D$2:$D$3203, A525, Sheet1!$C$2:$C$3203, B525) &gt; 0, "Sudah", "Belum")</f>
        <v>Sudah</v>
      </c>
    </row>
    <row r="526" spans="1:4" hidden="1" x14ac:dyDescent="0.35">
      <c r="A526" s="3">
        <v>2003</v>
      </c>
      <c r="B526" s="4" t="s">
        <v>1808</v>
      </c>
      <c r="C526" s="4" t="s">
        <v>3503</v>
      </c>
      <c r="D526" t="str">
        <f>IF(COUNTIFS(Sheet1!$D$2:$D$3203, A526, Sheet1!$C$2:$C$3203, B526) &gt; 0, "Sudah", "Belum")</f>
        <v>Sudah</v>
      </c>
    </row>
    <row r="527" spans="1:4" hidden="1" x14ac:dyDescent="0.35">
      <c r="A527" s="3">
        <v>2003</v>
      </c>
      <c r="B527" s="4" t="s">
        <v>1717</v>
      </c>
      <c r="C527" s="4" t="s">
        <v>3265</v>
      </c>
      <c r="D527" t="str">
        <f>IF(COUNTIFS(Sheet1!$D$2:$D$3203, A527, Sheet1!$C$2:$C$3203, B527) &gt; 0, "Sudah", "Belum")</f>
        <v>Sudah</v>
      </c>
    </row>
    <row r="528" spans="1:4" hidden="1" x14ac:dyDescent="0.35">
      <c r="A528" s="3">
        <v>1990</v>
      </c>
      <c r="B528" s="4" t="s">
        <v>6205</v>
      </c>
      <c r="C528" s="4" t="s">
        <v>3772</v>
      </c>
      <c r="D528" t="str">
        <f>IF(COUNTIFS(Sheet1!$D$2:$D$3203, A528, Sheet1!$C$2:$C$3203, B528) &gt; 0, "Sudah", "Belum")</f>
        <v>Sudah</v>
      </c>
    </row>
    <row r="529" spans="1:4" hidden="1" x14ac:dyDescent="0.35">
      <c r="A529" s="3">
        <v>2013</v>
      </c>
      <c r="B529" s="4" t="s">
        <v>2242</v>
      </c>
      <c r="C529" s="4" t="s">
        <v>6206</v>
      </c>
      <c r="D529" t="str">
        <f>IF(COUNTIFS(Sheet1!$D$2:$D$3203, A529, Sheet1!$C$2:$C$3203, B529) &gt; 0, "Sudah", "Belum")</f>
        <v>Sudah</v>
      </c>
    </row>
    <row r="530" spans="1:4" x14ac:dyDescent="0.35">
      <c r="A530" s="3" t="s">
        <v>6207</v>
      </c>
      <c r="B530" s="4" t="s">
        <v>6208</v>
      </c>
      <c r="C530" s="4" t="s">
        <v>6209</v>
      </c>
      <c r="D530" t="str">
        <f>IF(COUNTIFS(Sheet1!$D$2:$D$3203, A530, Sheet1!$C$2:$C$3203, B530) &gt; 0, "Sudah", "Belum")</f>
        <v>Belum</v>
      </c>
    </row>
    <row r="531" spans="1:4" hidden="1" x14ac:dyDescent="0.35">
      <c r="A531" s="3">
        <v>1998</v>
      </c>
      <c r="B531" s="4" t="s">
        <v>1339</v>
      </c>
      <c r="C531" s="4" t="s">
        <v>6210</v>
      </c>
      <c r="D531" t="str">
        <f>IF(COUNTIFS(Sheet1!$D$2:$D$3203, A531, Sheet1!$C$2:$C$3203, B531) &gt; 0, "Sudah", "Belum")</f>
        <v>Sudah</v>
      </c>
    </row>
    <row r="532" spans="1:4" hidden="1" x14ac:dyDescent="0.35">
      <c r="A532" s="3">
        <v>2019</v>
      </c>
      <c r="B532" s="4" t="s">
        <v>2579</v>
      </c>
      <c r="C532" s="4" t="s">
        <v>6211</v>
      </c>
      <c r="D532" t="str">
        <f>IF(COUNTIFS(Sheet1!$D$2:$D$3203, A532, Sheet1!$C$2:$C$3203, B532) &gt; 0, "Sudah", "Belum")</f>
        <v>Sudah</v>
      </c>
    </row>
    <row r="533" spans="1:4" x14ac:dyDescent="0.35">
      <c r="A533" s="3">
        <v>2019</v>
      </c>
      <c r="B533" s="4" t="s">
        <v>6212</v>
      </c>
      <c r="C533" s="4" t="s">
        <v>6213</v>
      </c>
      <c r="D533" t="str">
        <f>IF(COUNTIFS(Sheet1!$D$2:$D$3203, A533, Sheet1!$C$2:$C$3203, B533) &gt; 0, "Sudah", "Belum")</f>
        <v>Belum</v>
      </c>
    </row>
    <row r="534" spans="1:4" x14ac:dyDescent="0.35">
      <c r="A534" s="3">
        <v>2020</v>
      </c>
      <c r="B534" s="4" t="s">
        <v>6214</v>
      </c>
      <c r="C534" s="4" t="s">
        <v>6215</v>
      </c>
      <c r="D534" t="str">
        <f>IF(COUNTIFS(Sheet1!$D$2:$D$3203, A534, Sheet1!$C$2:$C$3203, B534) &gt; 0, "Sudah", "Belum")</f>
        <v>Belum</v>
      </c>
    </row>
    <row r="535" spans="1:4" hidden="1" x14ac:dyDescent="0.35">
      <c r="A535" s="3">
        <v>2020</v>
      </c>
      <c r="B535" s="4" t="s">
        <v>2702</v>
      </c>
      <c r="C535" s="4" t="s">
        <v>6216</v>
      </c>
      <c r="D535" t="str">
        <f>IF(COUNTIFS(Sheet1!$D$2:$D$3203, A535, Sheet1!$C$2:$C$3203, B535) &gt; 0, "Sudah", "Belum")</f>
        <v>Sudah</v>
      </c>
    </row>
    <row r="536" spans="1:4" hidden="1" x14ac:dyDescent="0.35">
      <c r="A536" s="3">
        <v>2019</v>
      </c>
      <c r="B536" s="4" t="s">
        <v>2578</v>
      </c>
      <c r="C536" s="4" t="s">
        <v>6217</v>
      </c>
      <c r="D536" t="str">
        <f>IF(COUNTIFS(Sheet1!$D$2:$D$3203, A536, Sheet1!$C$2:$C$3203, B536) &gt; 0, "Sudah", "Belum")</f>
        <v>Sudah</v>
      </c>
    </row>
    <row r="537" spans="1:4" hidden="1" x14ac:dyDescent="0.35">
      <c r="A537" s="3">
        <v>2019</v>
      </c>
      <c r="B537" s="4" t="s">
        <v>2642</v>
      </c>
      <c r="C537" s="4" t="s">
        <v>6218</v>
      </c>
      <c r="D537" t="str">
        <f>IF(COUNTIFS(Sheet1!$D$2:$D$3203, A537, Sheet1!$C$2:$C$3203, B537) &gt; 0, "Sudah", "Belum")</f>
        <v>Sudah</v>
      </c>
    </row>
    <row r="538" spans="1:4" hidden="1" x14ac:dyDescent="0.35">
      <c r="A538" s="3">
        <v>2020</v>
      </c>
      <c r="B538" s="4" t="s">
        <v>2732</v>
      </c>
      <c r="C538" s="4" t="s">
        <v>6219</v>
      </c>
      <c r="D538" t="str">
        <f>IF(COUNTIFS(Sheet1!$D$2:$D$3203, A538, Sheet1!$C$2:$C$3203, B538) &gt; 0, "Sudah", "Belum")</f>
        <v>Sudah</v>
      </c>
    </row>
    <row r="539" spans="1:4" hidden="1" x14ac:dyDescent="0.35">
      <c r="A539" s="3">
        <v>2015</v>
      </c>
      <c r="B539" s="4" t="s">
        <v>2338</v>
      </c>
      <c r="C539" s="4" t="s">
        <v>3713</v>
      </c>
      <c r="D539" t="str">
        <f>IF(COUNTIFS(Sheet1!$D$2:$D$3203, A539, Sheet1!$C$2:$C$3203, B539) &gt; 0, "Sudah", "Belum")</f>
        <v>Sudah</v>
      </c>
    </row>
    <row r="540" spans="1:4" hidden="1" x14ac:dyDescent="0.35">
      <c r="A540" s="3">
        <v>1995</v>
      </c>
      <c r="B540" s="4" t="s">
        <v>1010</v>
      </c>
      <c r="C540" s="4" t="s">
        <v>4378</v>
      </c>
      <c r="D540" t="str">
        <f>IF(COUNTIFS(Sheet1!$D$2:$D$3203, A540, Sheet1!$C$2:$C$3203, B540) &gt; 0, "Sudah", "Belum")</f>
        <v>Sudah</v>
      </c>
    </row>
    <row r="541" spans="1:4" hidden="1" x14ac:dyDescent="0.35">
      <c r="A541" s="3">
        <v>1991</v>
      </c>
      <c r="B541" s="4" t="s">
        <v>797</v>
      </c>
      <c r="C541" s="4" t="s">
        <v>6220</v>
      </c>
      <c r="D541" t="str">
        <f>IF(COUNTIFS(Sheet1!$D$2:$D$3203, A541, Sheet1!$C$2:$C$3203, B541) &gt; 0, "Sudah", "Belum")</f>
        <v>Sudah</v>
      </c>
    </row>
    <row r="542" spans="1:4" hidden="1" x14ac:dyDescent="0.35">
      <c r="A542" s="3">
        <v>1995</v>
      </c>
      <c r="B542" s="4" t="s">
        <v>992</v>
      </c>
      <c r="C542" s="4" t="s">
        <v>3398</v>
      </c>
      <c r="D542" t="str">
        <f>IF(COUNTIFS(Sheet1!$D$2:$D$3203, A542, Sheet1!$C$2:$C$3203, B542) &gt; 0, "Sudah", "Belum")</f>
        <v>Sudah</v>
      </c>
    </row>
    <row r="543" spans="1:4" hidden="1" x14ac:dyDescent="0.35">
      <c r="A543" s="3">
        <v>1995</v>
      </c>
      <c r="B543" s="4" t="s">
        <v>6221</v>
      </c>
      <c r="C543" s="4" t="s">
        <v>4429</v>
      </c>
      <c r="D543" t="str">
        <f>IF(COUNTIFS(Sheet1!$D$2:$D$3203, A543, Sheet1!$C$2:$C$3203, B543) &gt; 0, "Sudah", "Belum")</f>
        <v>Sudah</v>
      </c>
    </row>
    <row r="544" spans="1:4" x14ac:dyDescent="0.35">
      <c r="A544" s="3">
        <v>1995</v>
      </c>
      <c r="B544" s="4" t="s">
        <v>6222</v>
      </c>
      <c r="C544" s="4" t="s">
        <v>4556</v>
      </c>
      <c r="D544" t="str">
        <f>IF(COUNTIFS(Sheet1!$D$2:$D$3203, A544, Sheet1!$C$2:$C$3203, B544) &gt; 0, "Sudah", "Belum")</f>
        <v>Belum</v>
      </c>
    </row>
    <row r="545" spans="1:4" x14ac:dyDescent="0.35">
      <c r="A545" s="3">
        <v>1995</v>
      </c>
      <c r="B545" s="4" t="s">
        <v>6223</v>
      </c>
      <c r="C545" s="4" t="s">
        <v>4556</v>
      </c>
      <c r="D545" t="str">
        <f>IF(COUNTIFS(Sheet1!$D$2:$D$3203, A545, Sheet1!$C$2:$C$3203, B545) &gt; 0, "Sudah", "Belum")</f>
        <v>Belum</v>
      </c>
    </row>
    <row r="546" spans="1:4" hidden="1" x14ac:dyDescent="0.35">
      <c r="A546" s="3">
        <v>2013</v>
      </c>
      <c r="B546" s="4" t="s">
        <v>2241</v>
      </c>
      <c r="C546" s="4" t="s">
        <v>6224</v>
      </c>
      <c r="D546" t="str">
        <f>IF(COUNTIFS(Sheet1!$D$2:$D$3203, A546, Sheet1!$C$2:$C$3203, B546) &gt; 0, "Sudah", "Belum")</f>
        <v>Sudah</v>
      </c>
    </row>
    <row r="547" spans="1:4" hidden="1" x14ac:dyDescent="0.35">
      <c r="A547" s="3">
        <v>1996</v>
      </c>
      <c r="B547" s="4" t="s">
        <v>1124</v>
      </c>
      <c r="C547" s="4" t="s">
        <v>3590</v>
      </c>
      <c r="D547" t="str">
        <f>IF(COUNTIFS(Sheet1!$D$2:$D$3203, A547, Sheet1!$C$2:$C$3203, B547) &gt; 0, "Sudah", "Belum")</f>
        <v>Sudah</v>
      </c>
    </row>
    <row r="548" spans="1:4" x14ac:dyDescent="0.35">
      <c r="A548" s="3">
        <v>2005</v>
      </c>
      <c r="B548" s="4" t="s">
        <v>6225</v>
      </c>
      <c r="C548" s="4" t="s">
        <v>6226</v>
      </c>
      <c r="D548" t="str">
        <f>IF(COUNTIFS(Sheet1!$D$2:$D$3203, A548, Sheet1!$C$2:$C$3203, B548) &gt; 0, "Sudah", "Belum")</f>
        <v>Belum</v>
      </c>
    </row>
    <row r="549" spans="1:4" hidden="1" x14ac:dyDescent="0.35">
      <c r="A549" s="3">
        <v>2021</v>
      </c>
      <c r="B549" s="4" t="s">
        <v>2799</v>
      </c>
      <c r="C549" s="4" t="s">
        <v>6227</v>
      </c>
      <c r="D549" t="str">
        <f>IF(COUNTIFS(Sheet1!$D$2:$D$3203, A549, Sheet1!$C$2:$C$3203, B549) &gt; 0, "Sudah", "Belum")</f>
        <v>Sudah</v>
      </c>
    </row>
    <row r="550" spans="1:4" hidden="1" x14ac:dyDescent="0.35">
      <c r="A550" s="3">
        <v>2010</v>
      </c>
      <c r="B550" s="4" t="s">
        <v>1989</v>
      </c>
      <c r="C550" s="4" t="s">
        <v>6140</v>
      </c>
      <c r="D550" t="str">
        <f>IF(COUNTIFS(Sheet1!$D$2:$D$3203, A550, Sheet1!$C$2:$C$3203, B550) &gt; 0, "Sudah", "Belum")</f>
        <v>Sudah</v>
      </c>
    </row>
    <row r="551" spans="1:4" x14ac:dyDescent="0.35">
      <c r="A551" s="3">
        <v>1996</v>
      </c>
      <c r="B551" s="4" t="s">
        <v>6228</v>
      </c>
      <c r="C551" s="4" t="s">
        <v>3247</v>
      </c>
      <c r="D551" t="str">
        <f>IF(COUNTIFS(Sheet1!$D$2:$D$3203, A551, Sheet1!$C$2:$C$3203, B551) &gt; 0, "Sudah", "Belum")</f>
        <v>Belum</v>
      </c>
    </row>
    <row r="552" spans="1:4" hidden="1" x14ac:dyDescent="0.35">
      <c r="A552" s="3">
        <v>1993</v>
      </c>
      <c r="B552" s="4" t="s">
        <v>903</v>
      </c>
      <c r="C552" s="4" t="s">
        <v>3599</v>
      </c>
      <c r="D552" t="str">
        <f>IF(COUNTIFS(Sheet1!$D$2:$D$3203, A552, Sheet1!$C$2:$C$3203, B552) &gt; 0, "Sudah", "Belum")</f>
        <v>Sudah</v>
      </c>
    </row>
    <row r="553" spans="1:4" hidden="1" x14ac:dyDescent="0.35">
      <c r="A553" s="3">
        <v>1998</v>
      </c>
      <c r="B553" s="4" t="s">
        <v>1415</v>
      </c>
      <c r="C553" s="4" t="s">
        <v>6023</v>
      </c>
      <c r="D553" t="str">
        <f>IF(COUNTIFS(Sheet1!$D$2:$D$3203, A553, Sheet1!$C$2:$C$3203, B553) &gt; 0, "Sudah", "Belum")</f>
        <v>Sudah</v>
      </c>
    </row>
    <row r="554" spans="1:4" hidden="1" x14ac:dyDescent="0.35">
      <c r="A554" s="3">
        <v>2018</v>
      </c>
      <c r="B554" s="4" t="s">
        <v>2498</v>
      </c>
      <c r="C554" s="4" t="s">
        <v>6229</v>
      </c>
      <c r="D554" t="str">
        <f>IF(COUNTIFS(Sheet1!$D$2:$D$3203, A554, Sheet1!$C$2:$C$3203, B554) &gt; 0, "Sudah", "Belum")</f>
        <v>Sudah</v>
      </c>
    </row>
    <row r="555" spans="1:4" hidden="1" x14ac:dyDescent="0.35">
      <c r="A555" s="3">
        <v>2002</v>
      </c>
      <c r="B555" s="4" t="s">
        <v>3289</v>
      </c>
      <c r="C555" s="4" t="s">
        <v>3290</v>
      </c>
      <c r="D555" t="str">
        <f>IF(COUNTIFS(Sheet1!$D$2:$D$3203, A555, Sheet1!$C$2:$C$3203, B555) &gt; 0, "Sudah", "Belum")</f>
        <v>Sudah</v>
      </c>
    </row>
    <row r="556" spans="1:4" hidden="1" x14ac:dyDescent="0.35">
      <c r="A556" s="3">
        <v>1996</v>
      </c>
      <c r="B556" s="4" t="s">
        <v>1155</v>
      </c>
      <c r="C556" s="39" t="s">
        <v>4075</v>
      </c>
      <c r="D556" t="str">
        <f>IF(COUNTIFS(Sheet1!$D$2:$D$3203, A556, Sheet1!$C$2:$C$3203, B556) &gt; 0, "Sudah", "Belum")</f>
        <v>Sudah</v>
      </c>
    </row>
    <row r="557" spans="1:4" hidden="1" x14ac:dyDescent="0.35">
      <c r="A557" s="3">
        <v>1997</v>
      </c>
      <c r="B557" s="4" t="s">
        <v>1366</v>
      </c>
      <c r="C557" s="4" t="s">
        <v>3660</v>
      </c>
      <c r="D557" t="str">
        <f>IF(COUNTIFS(Sheet1!$D$2:$D$3203, A557, Sheet1!$C$2:$C$3203, B557) &gt; 0, "Sudah", "Belum")</f>
        <v>Sudah</v>
      </c>
    </row>
    <row r="558" spans="1:4" hidden="1" x14ac:dyDescent="0.35">
      <c r="A558" s="3">
        <v>1998</v>
      </c>
      <c r="B558" s="4" t="s">
        <v>1393</v>
      </c>
      <c r="C558" s="4" t="s">
        <v>4213</v>
      </c>
      <c r="D558" t="str">
        <f>IF(COUNTIFS(Sheet1!$D$2:$D$3203, A558, Sheet1!$C$2:$C$3203, B558) &gt; 0, "Sudah", "Belum")</f>
        <v>Sudah</v>
      </c>
    </row>
  </sheetData>
  <conditionalFormatting sqref="C142">
    <cfRule type="notContainsBlanks" dxfId="5" priority="5">
      <formula>LEN(TRIM(C142))&gt;0</formula>
    </cfRule>
  </conditionalFormatting>
  <conditionalFormatting sqref="D1:D1048576">
    <cfRule type="containsText" dxfId="4" priority="1" operator="containsText" text="Belum">
      <formula>NOT(ISERROR(SEARCH("Belum",D1)))</formula>
    </cfRule>
    <cfRule type="containsText" dxfId="3" priority="2" operator="containsText" text="&quot;Belum&quot;">
      <formula>NOT(ISERROR(SEARCH("""Belum""",D1)))</formula>
    </cfRule>
    <cfRule type="cellIs" dxfId="2" priority="3" operator="equal">
      <formula>"""Belum"""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5C1B-36D8-4B62-977B-93B5EE8C2EC5}">
  <dimension ref="A1:F1228"/>
  <sheetViews>
    <sheetView tabSelected="1" topLeftCell="A1157" workbookViewId="0">
      <selection activeCell="H1210" sqref="H1210"/>
    </sheetView>
  </sheetViews>
  <sheetFormatPr defaultRowHeight="14.5" x14ac:dyDescent="0.35"/>
  <cols>
    <col min="2" max="2" width="43.54296875" bestFit="1" customWidth="1"/>
    <col min="4" max="4" width="19" customWidth="1"/>
    <col min="5" max="5" width="30.90625" hidden="1" customWidth="1"/>
  </cols>
  <sheetData>
    <row r="1" spans="1:6" x14ac:dyDescent="0.35">
      <c r="B1" s="34" t="s">
        <v>1</v>
      </c>
      <c r="C1" s="33" t="s">
        <v>3196</v>
      </c>
      <c r="D1" s="34" t="s">
        <v>3195</v>
      </c>
      <c r="E1" s="34" t="s">
        <v>3197</v>
      </c>
      <c r="F1" s="34" t="s">
        <v>5821</v>
      </c>
    </row>
    <row r="2" spans="1:6" hidden="1" x14ac:dyDescent="0.35">
      <c r="A2">
        <v>1</v>
      </c>
      <c r="B2" s="4" t="s">
        <v>955</v>
      </c>
      <c r="C2" s="3">
        <v>1994</v>
      </c>
      <c r="D2" s="4" t="s">
        <v>3198</v>
      </c>
      <c r="E2" s="35" t="s">
        <v>3199</v>
      </c>
      <c r="F2" s="4" t="str">
        <f>IF(COUNTIFS(Sheet1!$D$2:$D$3203, C2, Sheet1!$C$2:$C$3203, B2) &gt; 0, "Sudah", "Belum")</f>
        <v>Sudah</v>
      </c>
    </row>
    <row r="3" spans="1:6" hidden="1" x14ac:dyDescent="0.35">
      <c r="A3">
        <v>2</v>
      </c>
      <c r="B3" s="4" t="s">
        <v>820</v>
      </c>
      <c r="C3" s="3">
        <v>1990</v>
      </c>
      <c r="D3" s="4" t="s">
        <v>3200</v>
      </c>
      <c r="E3" s="35" t="s">
        <v>3201</v>
      </c>
      <c r="F3" s="4" t="str">
        <f>IF(COUNTIFS(Sheet1!$D$2:$D$3203, C3, Sheet1!$C$2:$C$3203, B3) &gt; 0, "Sudah", "Belum")</f>
        <v>Sudah</v>
      </c>
    </row>
    <row r="4" spans="1:6" hidden="1" x14ac:dyDescent="0.35">
      <c r="A4">
        <v>3</v>
      </c>
      <c r="B4" s="4" t="s">
        <v>954</v>
      </c>
      <c r="C4" s="3">
        <v>1994</v>
      </c>
      <c r="D4" s="4" t="s">
        <v>3202</v>
      </c>
      <c r="E4" s="35" t="s">
        <v>3203</v>
      </c>
      <c r="F4" s="4" t="str">
        <f>IF(COUNTIFS(Sheet1!$D$2:$D$3203, C4, Sheet1!$C$2:$C$3203, B4) &gt; 0, "Sudah", "Belum")</f>
        <v>Sudah</v>
      </c>
    </row>
    <row r="5" spans="1:6" hidden="1" x14ac:dyDescent="0.35">
      <c r="A5">
        <v>4</v>
      </c>
      <c r="B5" s="4" t="s">
        <v>805</v>
      </c>
      <c r="C5" s="3">
        <v>1989</v>
      </c>
      <c r="D5" s="4" t="s">
        <v>3204</v>
      </c>
      <c r="E5" s="35" t="s">
        <v>3205</v>
      </c>
      <c r="F5" s="4" t="str">
        <f>IF(COUNTIFS(Sheet1!$D$2:$D$3203, C5, Sheet1!$C$2:$C$3203, B5) &gt; 0, "Sudah", "Belum")</f>
        <v>Sudah</v>
      </c>
    </row>
    <row r="6" spans="1:6" hidden="1" x14ac:dyDescent="0.35">
      <c r="A6">
        <v>5</v>
      </c>
      <c r="B6" s="4" t="s">
        <v>1827</v>
      </c>
      <c r="C6" s="3">
        <v>2003</v>
      </c>
      <c r="D6" s="4" t="s">
        <v>3206</v>
      </c>
      <c r="E6" s="35" t="s">
        <v>3207</v>
      </c>
      <c r="F6" s="4" t="str">
        <f>IF(COUNTIFS(Sheet1!$D$2:$D$3203, C6, Sheet1!$C$2:$C$3203, B6) &gt; 0, "Sudah", "Belum")</f>
        <v>Sudah</v>
      </c>
    </row>
    <row r="7" spans="1:6" hidden="1" x14ac:dyDescent="0.35">
      <c r="A7">
        <v>6</v>
      </c>
      <c r="B7" s="4" t="s">
        <v>828</v>
      </c>
      <c r="C7" s="3">
        <v>1990</v>
      </c>
      <c r="D7" s="4" t="s">
        <v>3208</v>
      </c>
      <c r="E7" s="35" t="s">
        <v>3209</v>
      </c>
      <c r="F7" s="4" t="str">
        <f>IF(COUNTIFS(Sheet1!$D$2:$D$3203, C7, Sheet1!$C$2:$C$3203, B7) &gt; 0, "Sudah", "Belum")</f>
        <v>Sudah</v>
      </c>
    </row>
    <row r="8" spans="1:6" hidden="1" x14ac:dyDescent="0.35">
      <c r="A8">
        <v>7</v>
      </c>
      <c r="B8" s="4" t="s">
        <v>3210</v>
      </c>
      <c r="C8" s="3">
        <v>1994</v>
      </c>
      <c r="D8" s="4" t="s">
        <v>3211</v>
      </c>
      <c r="E8" s="35" t="s">
        <v>3212</v>
      </c>
      <c r="F8" s="4" t="str">
        <f>IF(COUNTIFS(Sheet1!$D$2:$D$3203, C8, Sheet1!$C$2:$C$3203, B8) &gt; 0, "Sudah", "Belum")</f>
        <v>Sudah</v>
      </c>
    </row>
    <row r="9" spans="1:6" hidden="1" x14ac:dyDescent="0.35">
      <c r="A9">
        <v>8</v>
      </c>
      <c r="B9" s="4" t="s">
        <v>1794</v>
      </c>
      <c r="C9" s="3">
        <v>2004</v>
      </c>
      <c r="D9" s="4" t="s">
        <v>3213</v>
      </c>
      <c r="E9" s="35" t="s">
        <v>3214</v>
      </c>
      <c r="F9" s="4" t="str">
        <f>IF(COUNTIFS(Sheet1!$D$2:$D$3203, C9, Sheet1!$C$2:$C$3203, B9) &gt; 0, "Sudah", "Belum")</f>
        <v>Sudah</v>
      </c>
    </row>
    <row r="10" spans="1:6" hidden="1" x14ac:dyDescent="0.35">
      <c r="A10">
        <v>9</v>
      </c>
      <c r="B10" s="4" t="s">
        <v>972</v>
      </c>
      <c r="C10" s="3">
        <v>1994</v>
      </c>
      <c r="D10" s="4" t="s">
        <v>3215</v>
      </c>
      <c r="E10" s="35" t="s">
        <v>3216</v>
      </c>
      <c r="F10" s="4" t="str">
        <f>IF(COUNTIFS(Sheet1!$D$2:$D$3203, C10, Sheet1!$C$2:$C$3203, B10) &gt; 0, "Sudah", "Belum")</f>
        <v>Sudah</v>
      </c>
    </row>
    <row r="11" spans="1:6" hidden="1" x14ac:dyDescent="0.35">
      <c r="A11">
        <v>10</v>
      </c>
      <c r="B11" s="4" t="s">
        <v>2487</v>
      </c>
      <c r="C11" s="3">
        <v>2018</v>
      </c>
      <c r="D11" s="4" t="s">
        <v>3219</v>
      </c>
      <c r="E11" s="35" t="s">
        <v>3220</v>
      </c>
      <c r="F11" s="4" t="str">
        <f>IF(COUNTIFS(Sheet1!$D$2:$D$3203, C11, Sheet1!$C$2:$C$3203, B11) &gt; 0, "Sudah", "Belum")</f>
        <v>Sudah</v>
      </c>
    </row>
    <row r="12" spans="1:6" hidden="1" x14ac:dyDescent="0.35">
      <c r="A12">
        <v>11</v>
      </c>
      <c r="B12" s="4" t="s">
        <v>1856</v>
      </c>
      <c r="C12" s="3">
        <v>2007</v>
      </c>
      <c r="D12" s="4" t="s">
        <v>3221</v>
      </c>
      <c r="E12" s="35" t="s">
        <v>3222</v>
      </c>
      <c r="F12" s="4" t="str">
        <f>IF(COUNTIFS(Sheet1!$D$2:$D$3203, C12, Sheet1!$C$2:$C$3203, B12) &gt; 0, "Sudah", "Belum")</f>
        <v>Sudah</v>
      </c>
    </row>
    <row r="13" spans="1:6" hidden="1" x14ac:dyDescent="0.35">
      <c r="A13">
        <v>12</v>
      </c>
      <c r="B13" s="4" t="s">
        <v>3223</v>
      </c>
      <c r="C13" s="3">
        <v>1997</v>
      </c>
      <c r="D13" s="4" t="s">
        <v>3224</v>
      </c>
      <c r="E13" s="35" t="s">
        <v>3225</v>
      </c>
      <c r="F13" s="4" t="str">
        <f>IF(COUNTIFS(Sheet1!$D$2:$D$3203, C13, Sheet1!$C$2:$C$3203, B13) &gt; 0, "Sudah", "Belum")</f>
        <v>Sudah</v>
      </c>
    </row>
    <row r="14" spans="1:6" hidden="1" x14ac:dyDescent="0.35">
      <c r="A14">
        <v>13</v>
      </c>
      <c r="B14" s="4" t="s">
        <v>2281</v>
      </c>
      <c r="C14" s="3">
        <v>2014</v>
      </c>
      <c r="D14" s="4" t="s">
        <v>3226</v>
      </c>
      <c r="E14" s="35" t="s">
        <v>3227</v>
      </c>
      <c r="F14" s="4" t="str">
        <f>IF(COUNTIFS(Sheet1!$D$2:$D$3203, C14, Sheet1!$C$2:$C$3203, B14) &gt; 0, "Sudah", "Belum")</f>
        <v>Sudah</v>
      </c>
    </row>
    <row r="15" spans="1:6" hidden="1" x14ac:dyDescent="0.35">
      <c r="A15">
        <v>14</v>
      </c>
      <c r="B15" s="4" t="s">
        <v>3228</v>
      </c>
      <c r="C15" s="3">
        <v>1996</v>
      </c>
      <c r="D15" s="4" t="s">
        <v>3229</v>
      </c>
      <c r="E15" s="35" t="s">
        <v>3230</v>
      </c>
      <c r="F15" s="4" t="str">
        <f>IF(COUNTIFS(Sheet1!$D$2:$D$3203, C15, Sheet1!$C$2:$C$3203, B15) &gt; 0, "Sudah", "Belum")</f>
        <v>Sudah</v>
      </c>
    </row>
    <row r="16" spans="1:6" hidden="1" x14ac:dyDescent="0.35">
      <c r="A16">
        <v>15</v>
      </c>
      <c r="B16" s="4" t="s">
        <v>3034</v>
      </c>
      <c r="C16" s="3">
        <v>2007</v>
      </c>
      <c r="D16" s="4" t="s">
        <v>3231</v>
      </c>
      <c r="E16" s="35" t="s">
        <v>3232</v>
      </c>
      <c r="F16" s="4" t="str">
        <f>IF(COUNTIFS(Sheet1!$D$2:$D$3203, C16, Sheet1!$C$2:$C$3203, B16) &gt; 0, "Sudah", "Belum")</f>
        <v>Sudah</v>
      </c>
    </row>
    <row r="17" spans="1:6" hidden="1" x14ac:dyDescent="0.35">
      <c r="A17">
        <v>16</v>
      </c>
      <c r="B17" s="4" t="s">
        <v>3233</v>
      </c>
      <c r="C17" s="3">
        <v>1991</v>
      </c>
      <c r="D17" s="4" t="s">
        <v>3234</v>
      </c>
      <c r="E17" s="35" t="s">
        <v>3235</v>
      </c>
      <c r="F17" s="4" t="str">
        <f>IF(COUNTIFS(Sheet1!$D$2:$D$3203, C17, Sheet1!$C$2:$C$3203, B17) &gt; 0, "Sudah", "Belum")</f>
        <v>Sudah</v>
      </c>
    </row>
    <row r="18" spans="1:6" hidden="1" x14ac:dyDescent="0.35">
      <c r="A18">
        <v>17</v>
      </c>
      <c r="B18" s="4" t="s">
        <v>550</v>
      </c>
      <c r="C18" s="3">
        <v>1985</v>
      </c>
      <c r="D18" s="4" t="s">
        <v>3236</v>
      </c>
      <c r="E18" s="35" t="s">
        <v>3237</v>
      </c>
      <c r="F18" s="4" t="str">
        <f>IF(COUNTIFS(Sheet1!$D$2:$D$3203, C18, Sheet1!$C$2:$C$3203, B18) &gt; 0, "Sudah", "Belum")</f>
        <v>Sudah</v>
      </c>
    </row>
    <row r="19" spans="1:6" hidden="1" x14ac:dyDescent="0.35">
      <c r="A19">
        <v>18</v>
      </c>
      <c r="B19" s="4" t="s">
        <v>2519</v>
      </c>
      <c r="C19" s="3">
        <v>2018</v>
      </c>
      <c r="D19" s="4" t="s">
        <v>3238</v>
      </c>
      <c r="E19" s="35" t="s">
        <v>3239</v>
      </c>
      <c r="F19" s="4" t="str">
        <f>IF(COUNTIFS(Sheet1!$D$2:$D$3203, C19, Sheet1!$C$2:$C$3203, B19) &gt; 0, "Sudah", "Belum")</f>
        <v>Sudah</v>
      </c>
    </row>
    <row r="20" spans="1:6" hidden="1" x14ac:dyDescent="0.35">
      <c r="A20">
        <v>19</v>
      </c>
      <c r="B20" s="4" t="s">
        <v>2010</v>
      </c>
      <c r="C20" s="3">
        <v>2008</v>
      </c>
      <c r="D20" s="4" t="s">
        <v>3240</v>
      </c>
      <c r="E20" s="35" t="s">
        <v>3241</v>
      </c>
      <c r="F20" s="4" t="str">
        <f>IF(COUNTIFS(Sheet1!$D$2:$D$3203, C20, Sheet1!$C$2:$C$3203, B20) &gt; 0, "Sudah", "Belum")</f>
        <v>Sudah</v>
      </c>
    </row>
    <row r="21" spans="1:6" hidden="1" x14ac:dyDescent="0.35">
      <c r="A21">
        <v>20</v>
      </c>
      <c r="B21" s="4" t="s">
        <v>880</v>
      </c>
      <c r="C21" s="3">
        <v>1992</v>
      </c>
      <c r="D21" s="4" t="s">
        <v>3242</v>
      </c>
      <c r="E21" s="35" t="s">
        <v>3243</v>
      </c>
      <c r="F21" s="4" t="str">
        <f>IF(COUNTIFS(Sheet1!$D$2:$D$3203, C21, Sheet1!$C$2:$C$3203, B21) &gt; 0, "Sudah", "Belum")</f>
        <v>Sudah</v>
      </c>
    </row>
    <row r="22" spans="1:6" hidden="1" x14ac:dyDescent="0.35">
      <c r="A22">
        <v>21</v>
      </c>
      <c r="B22" s="4" t="s">
        <v>1096</v>
      </c>
      <c r="C22" s="3">
        <v>1996</v>
      </c>
      <c r="D22" s="4" t="s">
        <v>3244</v>
      </c>
      <c r="E22" s="35" t="s">
        <v>3245</v>
      </c>
      <c r="F22" s="4" t="str">
        <f>IF(COUNTIFS(Sheet1!$D$2:$D$3203, C22, Sheet1!$C$2:$C$3203, B22) &gt; 0, "Sudah", "Belum")</f>
        <v>Sudah</v>
      </c>
    </row>
    <row r="23" spans="1:6" hidden="1" x14ac:dyDescent="0.35">
      <c r="A23">
        <v>22</v>
      </c>
      <c r="B23" s="4" t="s">
        <v>3246</v>
      </c>
      <c r="C23" s="3">
        <v>1996</v>
      </c>
      <c r="D23" s="4" t="s">
        <v>3247</v>
      </c>
      <c r="E23" s="35" t="s">
        <v>3248</v>
      </c>
      <c r="F23" s="4" t="str">
        <f>IF(COUNTIFS(Sheet1!$D$2:$D$3203, C23, Sheet1!$C$2:$C$3203, B23) &gt; 0, "Sudah", "Belum")</f>
        <v>Sudah</v>
      </c>
    </row>
    <row r="24" spans="1:6" hidden="1" x14ac:dyDescent="0.35">
      <c r="A24">
        <v>23</v>
      </c>
      <c r="B24" s="4" t="s">
        <v>3249</v>
      </c>
      <c r="C24" s="3">
        <v>1991</v>
      </c>
      <c r="D24" s="4" t="s">
        <v>3250</v>
      </c>
      <c r="E24" s="35" t="s">
        <v>3251</v>
      </c>
      <c r="F24" s="4" t="str">
        <f>IF(COUNTIFS(Sheet1!$D$2:$D$3203, C24, Sheet1!$C$2:$C$3203, B24) &gt; 0, "Sudah", "Belum")</f>
        <v>Sudah</v>
      </c>
    </row>
    <row r="25" spans="1:6" hidden="1" x14ac:dyDescent="0.35">
      <c r="A25">
        <v>24</v>
      </c>
      <c r="B25" s="4" t="s">
        <v>2061</v>
      </c>
      <c r="C25" s="3">
        <v>2011</v>
      </c>
      <c r="D25" s="4" t="s">
        <v>3252</v>
      </c>
      <c r="E25" s="35" t="s">
        <v>3253</v>
      </c>
      <c r="F25" s="4" t="str">
        <f>IF(COUNTIFS(Sheet1!$D$2:$D$3203, C25, Sheet1!$C$2:$C$3203, B25) &gt; 0, "Sudah", "Belum")</f>
        <v>Sudah</v>
      </c>
    </row>
    <row r="26" spans="1:6" hidden="1" x14ac:dyDescent="0.35">
      <c r="A26">
        <v>25</v>
      </c>
      <c r="B26" s="4" t="s">
        <v>646</v>
      </c>
      <c r="C26" s="3">
        <v>1988</v>
      </c>
      <c r="D26" s="4" t="s">
        <v>3254</v>
      </c>
      <c r="E26" s="35" t="s">
        <v>3255</v>
      </c>
      <c r="F26" s="4" t="str">
        <f>IF(COUNTIFS(Sheet1!$D$2:$D$3203, C26, Sheet1!$C$2:$C$3203, B26) &gt; 0, "Sudah", "Belum")</f>
        <v>Sudah</v>
      </c>
    </row>
    <row r="27" spans="1:6" hidden="1" x14ac:dyDescent="0.35">
      <c r="A27">
        <v>26</v>
      </c>
      <c r="B27" s="4" t="s">
        <v>2910</v>
      </c>
      <c r="C27" s="3">
        <v>2003</v>
      </c>
      <c r="D27" s="4" t="s">
        <v>3256</v>
      </c>
      <c r="E27" s="35" t="s">
        <v>3257</v>
      </c>
      <c r="F27" s="4" t="str">
        <f>IF(COUNTIFS(Sheet1!$D$2:$D$3203, C27, Sheet1!$C$2:$C$3203, B27) &gt; 0, "Sudah", "Belum")</f>
        <v>Sudah</v>
      </c>
    </row>
    <row r="28" spans="1:6" hidden="1" x14ac:dyDescent="0.35">
      <c r="A28">
        <v>27</v>
      </c>
      <c r="B28" s="4" t="s">
        <v>1159</v>
      </c>
      <c r="C28" s="3">
        <v>1996</v>
      </c>
      <c r="D28" s="4" t="s">
        <v>3258</v>
      </c>
      <c r="E28" s="35" t="s">
        <v>3259</v>
      </c>
      <c r="F28" s="4" t="str">
        <f>IF(COUNTIFS(Sheet1!$D$2:$D$3203, C28, Sheet1!$C$2:$C$3203, B28) &gt; 0, "Sudah", "Belum")</f>
        <v>Sudah</v>
      </c>
    </row>
    <row r="29" spans="1:6" x14ac:dyDescent="0.35">
      <c r="A29">
        <v>28</v>
      </c>
      <c r="B29" s="4" t="s">
        <v>3260</v>
      </c>
      <c r="C29" s="3">
        <v>1979</v>
      </c>
      <c r="D29" s="4" t="s">
        <v>3261</v>
      </c>
      <c r="E29" s="35" t="s">
        <v>3262</v>
      </c>
      <c r="F29" s="4" t="str">
        <f>IF(COUNTIFS(Sheet1!$D$2:$D$3203, C29, Sheet1!$C$2:$C$3203, B29) &gt; 0, "Sudah", "Belum")</f>
        <v>Belum</v>
      </c>
    </row>
    <row r="30" spans="1:6" hidden="1" x14ac:dyDescent="0.35">
      <c r="A30">
        <v>29</v>
      </c>
      <c r="B30" s="4" t="s">
        <v>1254</v>
      </c>
      <c r="C30" s="3">
        <v>1997</v>
      </c>
      <c r="D30" s="4" t="s">
        <v>3263</v>
      </c>
      <c r="E30" s="35" t="s">
        <v>3264</v>
      </c>
      <c r="F30" s="4" t="str">
        <f>IF(COUNTIFS(Sheet1!$D$2:$D$3203, C30, Sheet1!$C$2:$C$3203, B30) &gt; 0, "Sudah", "Belum")</f>
        <v>Sudah</v>
      </c>
    </row>
    <row r="31" spans="1:6" hidden="1" x14ac:dyDescent="0.35">
      <c r="A31">
        <v>30</v>
      </c>
      <c r="B31" s="4" t="s">
        <v>1717</v>
      </c>
      <c r="C31" s="3">
        <v>2003</v>
      </c>
      <c r="D31" s="4" t="s">
        <v>3265</v>
      </c>
      <c r="E31" s="35" t="s">
        <v>3266</v>
      </c>
      <c r="F31" s="4" t="str">
        <f>IF(COUNTIFS(Sheet1!$D$2:$D$3203, C31, Sheet1!$C$2:$C$3203, B31) &gt; 0, "Sudah", "Belum")</f>
        <v>Sudah</v>
      </c>
    </row>
    <row r="32" spans="1:6" hidden="1" x14ac:dyDescent="0.35">
      <c r="A32">
        <v>31</v>
      </c>
      <c r="B32" s="4" t="s">
        <v>2134</v>
      </c>
      <c r="C32" s="3">
        <v>2012</v>
      </c>
      <c r="D32" s="4" t="s">
        <v>3267</v>
      </c>
      <c r="E32" s="35" t="s">
        <v>3268</v>
      </c>
      <c r="F32" s="4" t="str">
        <f>IF(COUNTIFS(Sheet1!$D$2:$D$3203, C32, Sheet1!$C$2:$C$3203, B32) &gt; 0, "Sudah", "Belum")</f>
        <v>Sudah</v>
      </c>
    </row>
    <row r="33" spans="1:6" hidden="1" x14ac:dyDescent="0.35">
      <c r="A33">
        <v>32</v>
      </c>
      <c r="B33" s="4" t="s">
        <v>1103</v>
      </c>
      <c r="C33" s="3">
        <v>1996</v>
      </c>
      <c r="D33" s="4" t="s">
        <v>3269</v>
      </c>
      <c r="E33" s="35" t="s">
        <v>3270</v>
      </c>
      <c r="F33" s="4" t="str">
        <f>IF(COUNTIFS(Sheet1!$D$2:$D$3203, C33, Sheet1!$C$2:$C$3203, B33) &gt; 0, "Sudah", "Belum")</f>
        <v>Sudah</v>
      </c>
    </row>
    <row r="34" spans="1:6" hidden="1" x14ac:dyDescent="0.35">
      <c r="A34">
        <v>33</v>
      </c>
      <c r="B34" s="4" t="s">
        <v>1029</v>
      </c>
      <c r="C34" s="3">
        <v>1992</v>
      </c>
      <c r="D34" s="4" t="s">
        <v>3271</v>
      </c>
      <c r="E34" s="35" t="s">
        <v>3272</v>
      </c>
      <c r="F34" s="4" t="str">
        <f>IF(COUNTIFS(Sheet1!$D$2:$D$3203, C34, Sheet1!$C$2:$C$3203, B34) &gt; 0, "Sudah", "Belum")</f>
        <v>Sudah</v>
      </c>
    </row>
    <row r="35" spans="1:6" hidden="1" x14ac:dyDescent="0.35">
      <c r="A35">
        <v>34</v>
      </c>
      <c r="B35" s="4" t="s">
        <v>1776</v>
      </c>
      <c r="C35" s="3">
        <v>2004</v>
      </c>
      <c r="D35" s="4" t="s">
        <v>3273</v>
      </c>
      <c r="E35" s="35" t="s">
        <v>3274</v>
      </c>
      <c r="F35" s="4" t="str">
        <f>IF(COUNTIFS(Sheet1!$D$2:$D$3203, C35, Sheet1!$C$2:$C$3203, B35) &gt; 0, "Sudah", "Belum")</f>
        <v>Sudah</v>
      </c>
    </row>
    <row r="36" spans="1:6" hidden="1" x14ac:dyDescent="0.35">
      <c r="A36">
        <v>35</v>
      </c>
      <c r="B36" s="4" t="s">
        <v>920</v>
      </c>
      <c r="C36" s="3">
        <v>1992</v>
      </c>
      <c r="D36" s="4" t="s">
        <v>3275</v>
      </c>
      <c r="E36" s="35" t="s">
        <v>3276</v>
      </c>
      <c r="F36" s="4" t="str">
        <f>IF(COUNTIFS(Sheet1!$D$2:$D$3203, C36, Sheet1!$C$2:$C$3203, B36) &gt; 0, "Sudah", "Belum")</f>
        <v>Sudah</v>
      </c>
    </row>
    <row r="37" spans="1:6" hidden="1" x14ac:dyDescent="0.35">
      <c r="A37">
        <v>36</v>
      </c>
      <c r="B37" s="4" t="s">
        <v>1269</v>
      </c>
      <c r="C37" s="3">
        <v>1998</v>
      </c>
      <c r="D37" s="4" t="s">
        <v>3279</v>
      </c>
      <c r="E37" s="35" t="s">
        <v>3280</v>
      </c>
      <c r="F37" s="4" t="str">
        <f>IF(COUNTIFS(Sheet1!$D$2:$D$3203, C37, Sheet1!$C$2:$C$3203, B37) &gt; 0, "Sudah", "Belum")</f>
        <v>Sudah</v>
      </c>
    </row>
    <row r="38" spans="1:6" hidden="1" x14ac:dyDescent="0.35">
      <c r="A38">
        <v>37</v>
      </c>
      <c r="B38" s="4" t="s">
        <v>5824</v>
      </c>
      <c r="C38" s="3">
        <v>2003</v>
      </c>
      <c r="D38" s="4" t="s">
        <v>3281</v>
      </c>
      <c r="E38" s="35" t="s">
        <v>3282</v>
      </c>
      <c r="F38" s="4" t="str">
        <f>IF(COUNTIFS(Sheet1!$D$2:$D$3203, C38, Sheet1!$C$2:$C$3203, B38) &gt; 0, "Sudah", "Belum")</f>
        <v>Sudah</v>
      </c>
    </row>
    <row r="39" spans="1:6" hidden="1" x14ac:dyDescent="0.35">
      <c r="A39">
        <v>38</v>
      </c>
      <c r="B39" s="4" t="s">
        <v>1026</v>
      </c>
      <c r="C39" s="3">
        <v>1991</v>
      </c>
      <c r="D39" s="4" t="s">
        <v>3285</v>
      </c>
      <c r="E39" s="35" t="s">
        <v>3286</v>
      </c>
      <c r="F39" s="4" t="str">
        <f>IF(COUNTIFS(Sheet1!$D$2:$D$3203, C39, Sheet1!$C$2:$C$3203, B39) &gt; 0, "Sudah", "Belum")</f>
        <v>Sudah</v>
      </c>
    </row>
    <row r="40" spans="1:6" hidden="1" x14ac:dyDescent="0.35">
      <c r="A40">
        <v>39</v>
      </c>
      <c r="B40" s="4" t="s">
        <v>869</v>
      </c>
      <c r="C40" s="3">
        <v>1992</v>
      </c>
      <c r="D40" s="4" t="s">
        <v>3287</v>
      </c>
      <c r="E40" s="35" t="s">
        <v>3288</v>
      </c>
      <c r="F40" s="4" t="str">
        <f>IF(COUNTIFS(Sheet1!$D$2:$D$3203, C40, Sheet1!$C$2:$C$3203, B40) &gt; 0, "Sudah", "Belum")</f>
        <v>Sudah</v>
      </c>
    </row>
    <row r="41" spans="1:6" hidden="1" x14ac:dyDescent="0.35">
      <c r="A41">
        <v>40</v>
      </c>
      <c r="B41" s="4" t="s">
        <v>3289</v>
      </c>
      <c r="C41" s="3">
        <v>2002</v>
      </c>
      <c r="D41" s="4" t="s">
        <v>3290</v>
      </c>
      <c r="E41" s="35" t="s">
        <v>3291</v>
      </c>
      <c r="F41" s="4" t="str">
        <f>IF(COUNTIFS(Sheet1!$D$2:$D$3203, C41, Sheet1!$C$2:$C$3203, B41) &gt; 0, "Sudah", "Belum")</f>
        <v>Sudah</v>
      </c>
    </row>
    <row r="42" spans="1:6" hidden="1" x14ac:dyDescent="0.35">
      <c r="A42">
        <v>41</v>
      </c>
      <c r="B42" s="4" t="s">
        <v>1484</v>
      </c>
      <c r="C42" s="3">
        <v>2003</v>
      </c>
      <c r="D42" s="4" t="s">
        <v>3277</v>
      </c>
      <c r="E42" s="35" t="s">
        <v>3278</v>
      </c>
      <c r="F42" s="4" t="str">
        <f>IF(COUNTIFS(Sheet1!$D$2:$D$3203, C42, Sheet1!$C$2:$C$3203, B42) &gt; 0, "Sudah", "Belum")</f>
        <v>Sudah</v>
      </c>
    </row>
    <row r="43" spans="1:6" hidden="1" x14ac:dyDescent="0.35">
      <c r="A43">
        <v>42</v>
      </c>
      <c r="B43" s="4" t="s">
        <v>2124</v>
      </c>
      <c r="C43" s="3">
        <v>2012</v>
      </c>
      <c r="D43" s="4" t="s">
        <v>3292</v>
      </c>
      <c r="E43" s="35" t="s">
        <v>3293</v>
      </c>
      <c r="F43" s="4" t="str">
        <f>IF(COUNTIFS(Sheet1!$D$2:$D$3203, C43, Sheet1!$C$2:$C$3203, B43) &gt; 0, "Sudah", "Belum")</f>
        <v>Sudah</v>
      </c>
    </row>
    <row r="44" spans="1:6" hidden="1" x14ac:dyDescent="0.35">
      <c r="A44">
        <v>43</v>
      </c>
      <c r="B44" s="4" t="s">
        <v>5825</v>
      </c>
      <c r="C44" s="3">
        <v>1995</v>
      </c>
      <c r="D44" s="4" t="s">
        <v>3294</v>
      </c>
      <c r="E44" s="35" t="s">
        <v>3295</v>
      </c>
      <c r="F44" s="4" t="str">
        <f>IF(COUNTIFS(Sheet1!$D$2:$D$3203, C44, Sheet1!$C$2:$C$3203, B44) &gt; 0, "Sudah", "Belum")</f>
        <v>Sudah</v>
      </c>
    </row>
    <row r="45" spans="1:6" hidden="1" x14ac:dyDescent="0.35">
      <c r="A45">
        <v>44</v>
      </c>
      <c r="B45" s="4" t="s">
        <v>1125</v>
      </c>
      <c r="C45" s="3">
        <v>1996</v>
      </c>
      <c r="D45" s="4" t="s">
        <v>3296</v>
      </c>
      <c r="E45" s="35" t="s">
        <v>3297</v>
      </c>
      <c r="F45" s="4" t="str">
        <f>IF(COUNTIFS(Sheet1!$D$2:$D$3203, C45, Sheet1!$C$2:$C$3203, B45) &gt; 0, "Sudah", "Belum")</f>
        <v>Sudah</v>
      </c>
    </row>
    <row r="46" spans="1:6" hidden="1" x14ac:dyDescent="0.35">
      <c r="A46">
        <v>45</v>
      </c>
      <c r="B46" s="4" t="s">
        <v>1343</v>
      </c>
      <c r="C46" s="3">
        <v>1997</v>
      </c>
      <c r="D46" s="4" t="s">
        <v>3298</v>
      </c>
      <c r="E46" s="35" t="s">
        <v>3299</v>
      </c>
      <c r="F46" s="4" t="str">
        <f>IF(COUNTIFS(Sheet1!$D$2:$D$3203, C46, Sheet1!$C$2:$C$3203, B46) &gt; 0, "Sudah", "Belum")</f>
        <v>Sudah</v>
      </c>
    </row>
    <row r="47" spans="1:6" hidden="1" x14ac:dyDescent="0.35">
      <c r="A47">
        <v>46</v>
      </c>
      <c r="B47" s="4" t="s">
        <v>981</v>
      </c>
      <c r="C47" s="3">
        <v>1994</v>
      </c>
      <c r="D47" s="4" t="s">
        <v>3300</v>
      </c>
      <c r="E47" s="35" t="s">
        <v>3301</v>
      </c>
      <c r="F47" s="4" t="str">
        <f>IF(COUNTIFS(Sheet1!$D$2:$D$3203, C47, Sheet1!$C$2:$C$3203, B47) &gt; 0, "Sudah", "Belum")</f>
        <v>Sudah</v>
      </c>
    </row>
    <row r="48" spans="1:6" hidden="1" x14ac:dyDescent="0.35">
      <c r="A48">
        <v>47</v>
      </c>
      <c r="B48" s="4" t="s">
        <v>1863</v>
      </c>
      <c r="C48" s="3">
        <v>2008</v>
      </c>
      <c r="D48" s="4" t="s">
        <v>3302</v>
      </c>
      <c r="E48" s="35" t="s">
        <v>3303</v>
      </c>
      <c r="F48" s="4" t="str">
        <f>IF(COUNTIFS(Sheet1!$D$2:$D$3203, C48, Sheet1!$C$2:$C$3203, B48) &gt; 0, "Sudah", "Belum")</f>
        <v>Sudah</v>
      </c>
    </row>
    <row r="49" spans="1:6" hidden="1" x14ac:dyDescent="0.35">
      <c r="A49">
        <v>48</v>
      </c>
      <c r="B49" s="4" t="s">
        <v>3304</v>
      </c>
      <c r="C49" s="3">
        <v>2003</v>
      </c>
      <c r="D49" s="4" t="s">
        <v>3305</v>
      </c>
      <c r="E49" s="35" t="s">
        <v>3306</v>
      </c>
      <c r="F49" s="4" t="str">
        <f>IF(COUNTIFS(Sheet1!$D$2:$D$3203, C49, Sheet1!$C$2:$C$3203, B49) &gt; 0, "Sudah", "Belum")</f>
        <v>Sudah</v>
      </c>
    </row>
    <row r="50" spans="1:6" hidden="1" x14ac:dyDescent="0.35">
      <c r="A50">
        <v>49</v>
      </c>
      <c r="B50" s="4" t="s">
        <v>3307</v>
      </c>
      <c r="C50" s="3">
        <v>1996</v>
      </c>
      <c r="D50" s="4" t="s">
        <v>3308</v>
      </c>
      <c r="E50" s="35" t="s">
        <v>3309</v>
      </c>
      <c r="F50" s="4" t="str">
        <f>IF(COUNTIFS(Sheet1!$D$2:$D$3203, C50, Sheet1!$C$2:$C$3203, B50) &gt; 0, "Sudah", "Belum")</f>
        <v>Sudah</v>
      </c>
    </row>
    <row r="51" spans="1:6" hidden="1" x14ac:dyDescent="0.35">
      <c r="A51">
        <v>50</v>
      </c>
      <c r="B51" s="4" t="s">
        <v>2111</v>
      </c>
      <c r="C51" s="3">
        <v>2012</v>
      </c>
      <c r="D51" s="4" t="s">
        <v>3310</v>
      </c>
      <c r="E51" s="35" t="s">
        <v>3311</v>
      </c>
      <c r="F51" s="4" t="str">
        <f>IF(COUNTIFS(Sheet1!$D$2:$D$3203, C51, Sheet1!$C$2:$C$3203, B51) &gt; 0, "Sudah", "Belum")</f>
        <v>Sudah</v>
      </c>
    </row>
    <row r="52" spans="1:6" hidden="1" x14ac:dyDescent="0.35">
      <c r="A52">
        <v>51</v>
      </c>
      <c r="B52" s="4" t="s">
        <v>2960</v>
      </c>
      <c r="C52" s="3">
        <v>2007</v>
      </c>
      <c r="D52" s="4" t="s">
        <v>3312</v>
      </c>
      <c r="E52" s="35" t="s">
        <v>3313</v>
      </c>
      <c r="F52" s="4" t="str">
        <f>IF(COUNTIFS(Sheet1!$D$2:$D$3203, C52, Sheet1!$C$2:$C$3203, B52) &gt; 0, "Sudah", "Belum")</f>
        <v>Sudah</v>
      </c>
    </row>
    <row r="53" spans="1:6" hidden="1" x14ac:dyDescent="0.35">
      <c r="A53">
        <v>52</v>
      </c>
      <c r="B53" s="4" t="s">
        <v>2340</v>
      </c>
      <c r="C53" s="3">
        <v>2015</v>
      </c>
      <c r="D53" s="4" t="s">
        <v>3314</v>
      </c>
      <c r="E53" s="35" t="s">
        <v>3315</v>
      </c>
      <c r="F53" s="4" t="str">
        <f>IF(COUNTIFS(Sheet1!$D$2:$D$3203, C53, Sheet1!$C$2:$C$3203, B53) &gt; 0, "Sudah", "Belum")</f>
        <v>Sudah</v>
      </c>
    </row>
    <row r="54" spans="1:6" hidden="1" x14ac:dyDescent="0.35">
      <c r="A54">
        <v>53</v>
      </c>
      <c r="B54" s="4" t="s">
        <v>1098</v>
      </c>
      <c r="C54" s="3">
        <v>1996</v>
      </c>
      <c r="D54" s="4" t="s">
        <v>3316</v>
      </c>
      <c r="E54" s="35" t="s">
        <v>3317</v>
      </c>
      <c r="F54" s="4" t="str">
        <f>IF(COUNTIFS(Sheet1!$D$2:$D$3203, C54, Sheet1!$C$2:$C$3203, B54) &gt; 0, "Sudah", "Belum")</f>
        <v>Sudah</v>
      </c>
    </row>
    <row r="55" spans="1:6" hidden="1" x14ac:dyDescent="0.35">
      <c r="A55">
        <v>54</v>
      </c>
      <c r="B55" s="4" t="s">
        <v>3318</v>
      </c>
      <c r="C55" s="3">
        <v>2015</v>
      </c>
      <c r="D55" s="4" t="s">
        <v>3319</v>
      </c>
      <c r="E55" s="35" t="s">
        <v>3320</v>
      </c>
      <c r="F55" s="4" t="str">
        <f>IF(COUNTIFS(Sheet1!$D$2:$D$3203, C55, Sheet1!$C$2:$C$3203, B55) &gt; 0, "Sudah", "Belum")</f>
        <v>Sudah</v>
      </c>
    </row>
    <row r="56" spans="1:6" hidden="1" x14ac:dyDescent="0.35">
      <c r="A56">
        <v>55</v>
      </c>
      <c r="B56" s="4" t="s">
        <v>1964</v>
      </c>
      <c r="C56" s="3">
        <v>2007</v>
      </c>
      <c r="D56" s="4" t="s">
        <v>3321</v>
      </c>
      <c r="E56" s="35" t="s">
        <v>3322</v>
      </c>
      <c r="F56" s="4" t="str">
        <f>IF(COUNTIFS(Sheet1!$D$2:$D$3203, C56, Sheet1!$C$2:$C$3203, B56) &gt; 0, "Sudah", "Belum")</f>
        <v>Sudah</v>
      </c>
    </row>
    <row r="57" spans="1:6" hidden="1" x14ac:dyDescent="0.35">
      <c r="A57">
        <v>56</v>
      </c>
      <c r="B57" s="4" t="s">
        <v>1191</v>
      </c>
      <c r="C57" s="3">
        <v>1996</v>
      </c>
      <c r="D57" s="4" t="s">
        <v>3323</v>
      </c>
      <c r="E57" s="35" t="s">
        <v>3324</v>
      </c>
      <c r="F57" s="4" t="str">
        <f>IF(COUNTIFS(Sheet1!$D$2:$D$3203, C57, Sheet1!$C$2:$C$3203, B57) &gt; 0, "Sudah", "Belum")</f>
        <v>Sudah</v>
      </c>
    </row>
    <row r="58" spans="1:6" hidden="1" x14ac:dyDescent="0.35">
      <c r="A58">
        <v>57</v>
      </c>
      <c r="B58" s="4" t="s">
        <v>3325</v>
      </c>
      <c r="C58" s="3">
        <v>1996</v>
      </c>
      <c r="D58" s="4" t="s">
        <v>3326</v>
      </c>
      <c r="E58" s="35" t="s">
        <v>3327</v>
      </c>
      <c r="F58" s="4" t="str">
        <f>IF(COUNTIFS(Sheet1!$D$2:$D$3203, C58, Sheet1!$C$2:$C$3203, B58) &gt; 0, "Sudah", "Belum")</f>
        <v>Sudah</v>
      </c>
    </row>
    <row r="59" spans="1:6" hidden="1" x14ac:dyDescent="0.35">
      <c r="A59">
        <v>58</v>
      </c>
      <c r="B59" s="4" t="s">
        <v>997</v>
      </c>
      <c r="C59" s="3">
        <v>1991</v>
      </c>
      <c r="D59" s="4" t="s">
        <v>3328</v>
      </c>
      <c r="E59" s="35" t="s">
        <v>3329</v>
      </c>
      <c r="F59" s="4" t="str">
        <f>IF(COUNTIFS(Sheet1!$D$2:$D$3203, C59, Sheet1!$C$2:$C$3203, B59) &gt; 0, "Sudah", "Belum")</f>
        <v>Sudah</v>
      </c>
    </row>
    <row r="60" spans="1:6" hidden="1" x14ac:dyDescent="0.35">
      <c r="A60">
        <v>59</v>
      </c>
      <c r="B60" s="4" t="s">
        <v>2357</v>
      </c>
      <c r="C60" s="3">
        <v>2015</v>
      </c>
      <c r="D60" s="4" t="s">
        <v>3330</v>
      </c>
      <c r="E60" s="35" t="s">
        <v>3331</v>
      </c>
      <c r="F60" s="4" t="str">
        <f>IF(COUNTIFS(Sheet1!$D$2:$D$3203, C60, Sheet1!$C$2:$C$3203, B60) &gt; 0, "Sudah", "Belum")</f>
        <v>Sudah</v>
      </c>
    </row>
    <row r="61" spans="1:6" hidden="1" x14ac:dyDescent="0.35">
      <c r="A61">
        <v>60</v>
      </c>
      <c r="B61" s="4" t="s">
        <v>2132</v>
      </c>
      <c r="C61" s="3">
        <v>2012</v>
      </c>
      <c r="D61" s="4" t="s">
        <v>3332</v>
      </c>
      <c r="E61" s="35" t="s">
        <v>3333</v>
      </c>
      <c r="F61" s="4" t="str">
        <f>IF(COUNTIFS(Sheet1!$D$2:$D$3203, C61, Sheet1!$C$2:$C$3203, B61) &gt; 0, "Sudah", "Belum")</f>
        <v>Sudah</v>
      </c>
    </row>
    <row r="62" spans="1:6" hidden="1" x14ac:dyDescent="0.35">
      <c r="A62">
        <v>61</v>
      </c>
      <c r="B62" s="4" t="s">
        <v>971</v>
      </c>
      <c r="C62" s="3">
        <v>1994</v>
      </c>
      <c r="D62" s="4" t="s">
        <v>3334</v>
      </c>
      <c r="E62" s="35" t="s">
        <v>3335</v>
      </c>
      <c r="F62" s="4" t="str">
        <f>IF(COUNTIFS(Sheet1!$D$2:$D$3203, C62, Sheet1!$C$2:$C$3203, B62) &gt; 0, "Sudah", "Belum")</f>
        <v>Sudah</v>
      </c>
    </row>
    <row r="63" spans="1:6" hidden="1" x14ac:dyDescent="0.35">
      <c r="A63">
        <v>62</v>
      </c>
      <c r="B63" s="4" t="s">
        <v>1189</v>
      </c>
      <c r="C63" s="3">
        <v>1996</v>
      </c>
      <c r="D63" s="4" t="s">
        <v>3336</v>
      </c>
      <c r="E63" s="35" t="s">
        <v>3337</v>
      </c>
      <c r="F63" s="4" t="str">
        <f>IF(COUNTIFS(Sheet1!$D$2:$D$3203, C63, Sheet1!$C$2:$C$3203, B63) &gt; 0, "Sudah", "Belum")</f>
        <v>Sudah</v>
      </c>
    </row>
    <row r="64" spans="1:6" hidden="1" x14ac:dyDescent="0.35">
      <c r="A64">
        <v>63</v>
      </c>
      <c r="B64" s="4" t="s">
        <v>3338</v>
      </c>
      <c r="C64" s="3">
        <v>1979</v>
      </c>
      <c r="D64" s="4" t="s">
        <v>3339</v>
      </c>
      <c r="E64" s="35" t="s">
        <v>3340</v>
      </c>
      <c r="F64" s="4" t="str">
        <f>IF(COUNTIFS(Sheet1!$D$2:$D$3203, C64, Sheet1!$C$2:$C$3203, B64) &gt; 0, "Sudah", "Belum")</f>
        <v>Sudah</v>
      </c>
    </row>
    <row r="65" spans="1:6" hidden="1" x14ac:dyDescent="0.35">
      <c r="A65">
        <v>64</v>
      </c>
      <c r="B65" s="4" t="s">
        <v>2139</v>
      </c>
      <c r="C65" s="3">
        <v>2012</v>
      </c>
      <c r="D65" s="4" t="s">
        <v>3341</v>
      </c>
      <c r="E65" s="35" t="s">
        <v>3342</v>
      </c>
      <c r="F65" s="4" t="str">
        <f>IF(COUNTIFS(Sheet1!$D$2:$D$3203, C65, Sheet1!$C$2:$C$3203, B65) &gt; 0, "Sudah", "Belum")</f>
        <v>Sudah</v>
      </c>
    </row>
    <row r="66" spans="1:6" hidden="1" x14ac:dyDescent="0.35">
      <c r="A66">
        <v>65</v>
      </c>
      <c r="B66" s="4" t="s">
        <v>2131</v>
      </c>
      <c r="C66" s="3">
        <v>2012</v>
      </c>
      <c r="D66" s="4" t="s">
        <v>3343</v>
      </c>
      <c r="E66" s="35" t="s">
        <v>3344</v>
      </c>
      <c r="F66" s="4" t="str">
        <f>IF(COUNTIFS(Sheet1!$D$2:$D$3203, C66, Sheet1!$C$2:$C$3203, B66) &gt; 0, "Sudah", "Belum")</f>
        <v>Sudah</v>
      </c>
    </row>
    <row r="67" spans="1:6" hidden="1" x14ac:dyDescent="0.35">
      <c r="A67">
        <v>66</v>
      </c>
      <c r="B67" s="4" t="s">
        <v>3082</v>
      </c>
      <c r="C67" s="3">
        <v>2015</v>
      </c>
      <c r="D67" s="4" t="s">
        <v>3345</v>
      </c>
      <c r="E67" s="35" t="s">
        <v>3346</v>
      </c>
      <c r="F67" s="4" t="str">
        <f>IF(COUNTIFS(Sheet1!$D$2:$D$3203, C67, Sheet1!$C$2:$C$3203, B67) &gt; 0, "Sudah", "Belum")</f>
        <v>Sudah</v>
      </c>
    </row>
    <row r="68" spans="1:6" hidden="1" x14ac:dyDescent="0.35">
      <c r="A68">
        <v>67</v>
      </c>
      <c r="B68" s="4" t="s">
        <v>1983</v>
      </c>
      <c r="C68" s="3">
        <v>2010</v>
      </c>
      <c r="D68" s="4" t="s">
        <v>3347</v>
      </c>
      <c r="E68" s="35" t="s">
        <v>3348</v>
      </c>
      <c r="F68" s="4" t="str">
        <f>IF(COUNTIFS(Sheet1!$D$2:$D$3203, C68, Sheet1!$C$2:$C$3203, B68) &gt; 0, "Sudah", "Belum")</f>
        <v>Sudah</v>
      </c>
    </row>
    <row r="69" spans="1:6" hidden="1" x14ac:dyDescent="0.35">
      <c r="A69">
        <v>68</v>
      </c>
      <c r="B69" s="4" t="s">
        <v>842</v>
      </c>
      <c r="C69" s="3">
        <v>1992</v>
      </c>
      <c r="D69" s="4" t="s">
        <v>3349</v>
      </c>
      <c r="E69" s="35" t="s">
        <v>3350</v>
      </c>
      <c r="F69" s="4" t="str">
        <f>IF(COUNTIFS(Sheet1!$D$2:$D$3203, C69, Sheet1!$C$2:$C$3203, B69) &gt; 0, "Sudah", "Belum")</f>
        <v>Sudah</v>
      </c>
    </row>
    <row r="70" spans="1:6" hidden="1" x14ac:dyDescent="0.35">
      <c r="A70">
        <v>69</v>
      </c>
      <c r="B70" s="4" t="s">
        <v>2207</v>
      </c>
      <c r="C70" s="3">
        <v>2013</v>
      </c>
      <c r="D70" s="4" t="s">
        <v>3351</v>
      </c>
      <c r="E70" s="35" t="s">
        <v>3352</v>
      </c>
      <c r="F70" s="4" t="str">
        <f>IF(COUNTIFS(Sheet1!$D$2:$D$3203, C70, Sheet1!$C$2:$C$3203, B70) &gt; 0, "Sudah", "Belum")</f>
        <v>Sudah</v>
      </c>
    </row>
    <row r="71" spans="1:6" hidden="1" x14ac:dyDescent="0.35">
      <c r="A71">
        <v>70</v>
      </c>
      <c r="B71" s="4" t="s">
        <v>839</v>
      </c>
      <c r="C71" s="3">
        <v>1991</v>
      </c>
      <c r="D71" s="4" t="s">
        <v>3353</v>
      </c>
      <c r="E71" s="35" t="s">
        <v>3354</v>
      </c>
      <c r="F71" s="4" t="str">
        <f>IF(COUNTIFS(Sheet1!$D$2:$D$3203, C71, Sheet1!$C$2:$C$3203, B71) &gt; 0, "Sudah", "Belum")</f>
        <v>Sudah</v>
      </c>
    </row>
    <row r="72" spans="1:6" hidden="1" x14ac:dyDescent="0.35">
      <c r="A72">
        <v>71</v>
      </c>
      <c r="B72" s="4" t="s">
        <v>1867</v>
      </c>
      <c r="C72" s="3">
        <v>2008</v>
      </c>
      <c r="D72" s="4" t="s">
        <v>3355</v>
      </c>
      <c r="E72" s="35" t="s">
        <v>3356</v>
      </c>
      <c r="F72" s="4" t="str">
        <f>IF(COUNTIFS(Sheet1!$D$2:$D$3203, C72, Sheet1!$C$2:$C$3203, B72) &gt; 0, "Sudah", "Belum")</f>
        <v>Sudah</v>
      </c>
    </row>
    <row r="73" spans="1:6" hidden="1" x14ac:dyDescent="0.35">
      <c r="A73">
        <v>72</v>
      </c>
      <c r="B73" s="4" t="s">
        <v>1146</v>
      </c>
      <c r="C73" s="3">
        <v>1996</v>
      </c>
      <c r="D73" s="4" t="s">
        <v>3357</v>
      </c>
      <c r="E73" s="35" t="s">
        <v>3358</v>
      </c>
      <c r="F73" s="4" t="str">
        <f>IF(COUNTIFS(Sheet1!$D$2:$D$3203, C73, Sheet1!$C$2:$C$3203, B73) &gt; 0, "Sudah", "Belum")</f>
        <v>Sudah</v>
      </c>
    </row>
    <row r="74" spans="1:6" hidden="1" x14ac:dyDescent="0.35">
      <c r="A74">
        <v>73</v>
      </c>
      <c r="B74" s="4" t="s">
        <v>1702</v>
      </c>
      <c r="C74" s="3">
        <v>2003</v>
      </c>
      <c r="D74" s="4" t="s">
        <v>3359</v>
      </c>
      <c r="E74" s="35" t="s">
        <v>3360</v>
      </c>
      <c r="F74" s="4" t="str">
        <f>IF(COUNTIFS(Sheet1!$D$2:$D$3203, C74, Sheet1!$C$2:$C$3203, B74) &gt; 0, "Sudah", "Belum")</f>
        <v>Sudah</v>
      </c>
    </row>
    <row r="75" spans="1:6" hidden="1" x14ac:dyDescent="0.35">
      <c r="A75">
        <v>74</v>
      </c>
      <c r="B75" s="4" t="s">
        <v>862</v>
      </c>
      <c r="C75" s="3">
        <v>1989</v>
      </c>
      <c r="D75" s="4" t="s">
        <v>3361</v>
      </c>
      <c r="E75" s="35" t="s">
        <v>3362</v>
      </c>
      <c r="F75" s="4" t="str">
        <f>IF(COUNTIFS(Sheet1!$D$2:$D$3203, C75, Sheet1!$C$2:$C$3203, B75) &gt; 0, "Sudah", "Belum")</f>
        <v>Sudah</v>
      </c>
    </row>
    <row r="76" spans="1:6" hidden="1" x14ac:dyDescent="0.35">
      <c r="A76">
        <v>75</v>
      </c>
      <c r="B76" s="4" t="s">
        <v>788</v>
      </c>
      <c r="C76" s="3">
        <v>1991</v>
      </c>
      <c r="D76" s="4" t="s">
        <v>3363</v>
      </c>
      <c r="E76" s="35" t="s">
        <v>3364</v>
      </c>
      <c r="F76" s="4" t="str">
        <f>IF(COUNTIFS(Sheet1!$D$2:$D$3203, C76, Sheet1!$C$2:$C$3203, B76) &gt; 0, "Sudah", "Belum")</f>
        <v>Sudah</v>
      </c>
    </row>
    <row r="77" spans="1:6" hidden="1" x14ac:dyDescent="0.35">
      <c r="A77">
        <v>76</v>
      </c>
      <c r="B77" s="4" t="s">
        <v>1195</v>
      </c>
      <c r="C77" s="3">
        <v>1996</v>
      </c>
      <c r="D77" s="4" t="s">
        <v>3365</v>
      </c>
      <c r="E77" s="35" t="s">
        <v>3366</v>
      </c>
      <c r="F77" s="4" t="str">
        <f>IF(COUNTIFS(Sheet1!$D$2:$D$3203, C77, Sheet1!$C$2:$C$3203, B77) &gt; 0, "Sudah", "Belum")</f>
        <v>Sudah</v>
      </c>
    </row>
    <row r="78" spans="1:6" hidden="1" x14ac:dyDescent="0.35">
      <c r="A78">
        <v>77</v>
      </c>
      <c r="B78" s="4" t="s">
        <v>1270</v>
      </c>
      <c r="C78" s="3">
        <v>1996</v>
      </c>
      <c r="D78" s="4" t="s">
        <v>3367</v>
      </c>
      <c r="E78" s="35" t="s">
        <v>3368</v>
      </c>
      <c r="F78" s="4" t="str">
        <f>IF(COUNTIFS(Sheet1!$D$2:$D$3203, C78, Sheet1!$C$2:$C$3203, B78) &gt; 0, "Sudah", "Belum")</f>
        <v>Sudah</v>
      </c>
    </row>
    <row r="79" spans="1:6" hidden="1" x14ac:dyDescent="0.35">
      <c r="A79">
        <v>78</v>
      </c>
      <c r="B79" s="4" t="s">
        <v>1960</v>
      </c>
      <c r="C79" s="3">
        <v>2010</v>
      </c>
      <c r="D79" s="4" t="s">
        <v>3369</v>
      </c>
      <c r="E79" s="35" t="s">
        <v>3370</v>
      </c>
      <c r="F79" s="4" t="str">
        <f>IF(COUNTIFS(Sheet1!$D$2:$D$3203, C79, Sheet1!$C$2:$C$3203, B79) &gt; 0, "Sudah", "Belum")</f>
        <v>Sudah</v>
      </c>
    </row>
    <row r="80" spans="1:6" hidden="1" x14ac:dyDescent="0.35">
      <c r="A80">
        <v>79</v>
      </c>
      <c r="B80" s="4" t="s">
        <v>2969</v>
      </c>
      <c r="C80" s="3">
        <v>2007</v>
      </c>
      <c r="D80" s="4" t="s">
        <v>3371</v>
      </c>
      <c r="E80" s="35" t="s">
        <v>3372</v>
      </c>
      <c r="F80" s="4" t="str">
        <f>IF(COUNTIFS(Sheet1!$D$2:$D$3203, C80, Sheet1!$C$2:$C$3203, B80) &gt; 0, "Sudah", "Belum")</f>
        <v>Sudah</v>
      </c>
    </row>
    <row r="81" spans="1:6" hidden="1" x14ac:dyDescent="0.35">
      <c r="A81">
        <v>80</v>
      </c>
      <c r="B81" s="4" t="s">
        <v>3373</v>
      </c>
      <c r="C81" s="3">
        <v>2003</v>
      </c>
      <c r="D81" s="4" t="s">
        <v>3374</v>
      </c>
      <c r="E81" s="35" t="s">
        <v>3375</v>
      </c>
      <c r="F81" s="4" t="str">
        <f>IF(COUNTIFS(Sheet1!$D$2:$D$3203, C81, Sheet1!$C$2:$C$3203, B81) &gt; 0, "Sudah", "Belum")</f>
        <v>Sudah</v>
      </c>
    </row>
    <row r="82" spans="1:6" hidden="1" x14ac:dyDescent="0.35">
      <c r="A82">
        <v>81</v>
      </c>
      <c r="B82" s="4" t="s">
        <v>947</v>
      </c>
      <c r="C82" s="3">
        <v>1992</v>
      </c>
      <c r="D82" s="4" t="s">
        <v>3376</v>
      </c>
      <c r="E82" s="35" t="s">
        <v>3377</v>
      </c>
      <c r="F82" s="4" t="str">
        <f>IF(COUNTIFS(Sheet1!$D$2:$D$3203, C82, Sheet1!$C$2:$C$3203, B82) &gt; 0, "Sudah", "Belum")</f>
        <v>Sudah</v>
      </c>
    </row>
    <row r="83" spans="1:6" hidden="1" x14ac:dyDescent="0.35">
      <c r="A83">
        <v>82</v>
      </c>
      <c r="B83" s="4" t="s">
        <v>3378</v>
      </c>
      <c r="C83" s="3">
        <v>1992</v>
      </c>
      <c r="D83" s="4" t="s">
        <v>3379</v>
      </c>
      <c r="E83" s="35" t="s">
        <v>3380</v>
      </c>
      <c r="F83" s="4" t="str">
        <f>IF(COUNTIFS(Sheet1!$D$2:$D$3203, C83, Sheet1!$C$2:$C$3203, B83) &gt; 0, "Sudah", "Belum")</f>
        <v>Sudah</v>
      </c>
    </row>
    <row r="84" spans="1:6" hidden="1" x14ac:dyDescent="0.35">
      <c r="A84">
        <v>83</v>
      </c>
      <c r="B84" s="4" t="s">
        <v>2145</v>
      </c>
      <c r="C84" s="3">
        <v>2012</v>
      </c>
      <c r="D84" s="4" t="s">
        <v>3381</v>
      </c>
      <c r="E84" s="35" t="s">
        <v>3382</v>
      </c>
      <c r="F84" s="4" t="str">
        <f>IF(COUNTIFS(Sheet1!$D$2:$D$3203, C84, Sheet1!$C$2:$C$3203, B84) &gt; 0, "Sudah", "Belum")</f>
        <v>Sudah</v>
      </c>
    </row>
    <row r="85" spans="1:6" hidden="1" x14ac:dyDescent="0.35">
      <c r="A85">
        <v>84</v>
      </c>
      <c r="B85" s="4" t="s">
        <v>1433</v>
      </c>
      <c r="C85" s="3">
        <v>1996</v>
      </c>
      <c r="D85" s="4" t="s">
        <v>3383</v>
      </c>
      <c r="E85" s="35" t="s">
        <v>3384</v>
      </c>
      <c r="F85" s="4" t="str">
        <f>IF(COUNTIFS(Sheet1!$D$2:$D$3203, C85, Sheet1!$C$2:$C$3203, B85) &gt; 0, "Sudah", "Belum")</f>
        <v>Sudah</v>
      </c>
    </row>
    <row r="86" spans="1:6" hidden="1" x14ac:dyDescent="0.35">
      <c r="A86">
        <v>85</v>
      </c>
      <c r="B86" s="4" t="s">
        <v>1132</v>
      </c>
      <c r="C86" s="3">
        <v>1996</v>
      </c>
      <c r="D86" s="4" t="s">
        <v>3385</v>
      </c>
      <c r="E86" s="35" t="s">
        <v>3386</v>
      </c>
      <c r="F86" s="4" t="str">
        <f>IF(COUNTIFS(Sheet1!$D$2:$D$3203, C86, Sheet1!$C$2:$C$3203, B86) &gt; 0, "Sudah", "Belum")</f>
        <v>Sudah</v>
      </c>
    </row>
    <row r="87" spans="1:6" hidden="1" x14ac:dyDescent="0.35">
      <c r="A87">
        <v>86</v>
      </c>
      <c r="B87" s="4" t="s">
        <v>1126</v>
      </c>
      <c r="C87" s="3">
        <v>1996</v>
      </c>
      <c r="D87" s="4" t="s">
        <v>3387</v>
      </c>
      <c r="E87" s="35" t="s">
        <v>3388</v>
      </c>
      <c r="F87" s="4" t="str">
        <f>IF(COUNTIFS(Sheet1!$D$2:$D$3203, C87, Sheet1!$C$2:$C$3203, B87) &gt; 0, "Sudah", "Belum")</f>
        <v>Sudah</v>
      </c>
    </row>
    <row r="88" spans="1:6" hidden="1" x14ac:dyDescent="0.35">
      <c r="A88">
        <v>87</v>
      </c>
      <c r="B88" s="4" t="s">
        <v>940</v>
      </c>
      <c r="C88" s="3">
        <v>1991</v>
      </c>
      <c r="D88" s="4" t="s">
        <v>3389</v>
      </c>
      <c r="E88" s="35" t="s">
        <v>3390</v>
      </c>
      <c r="F88" s="4" t="str">
        <f>IF(COUNTIFS(Sheet1!$D$2:$D$3203, C88, Sheet1!$C$2:$C$3203, B88) &gt; 0, "Sudah", "Belum")</f>
        <v>Sudah</v>
      </c>
    </row>
    <row r="89" spans="1:6" x14ac:dyDescent="0.35">
      <c r="A89">
        <v>88</v>
      </c>
      <c r="B89" s="4" t="s">
        <v>3391</v>
      </c>
      <c r="C89" s="3">
        <v>1996</v>
      </c>
      <c r="D89" s="4" t="s">
        <v>3392</v>
      </c>
      <c r="E89" s="35" t="s">
        <v>3393</v>
      </c>
      <c r="F89" s="4" t="str">
        <f>IF(COUNTIFS(Sheet1!$D$2:$D$3203, C89, Sheet1!$C$2:$C$3203, B89) &gt; 0, "Sudah", "Belum")</f>
        <v>Belum</v>
      </c>
    </row>
    <row r="90" spans="1:6" hidden="1" x14ac:dyDescent="0.35">
      <c r="A90">
        <v>89</v>
      </c>
      <c r="B90" s="4" t="s">
        <v>1998</v>
      </c>
      <c r="C90" s="3">
        <v>2010</v>
      </c>
      <c r="D90" s="4" t="s">
        <v>3394</v>
      </c>
      <c r="E90" s="35" t="s">
        <v>3395</v>
      </c>
      <c r="F90" s="4" t="str">
        <f>IF(COUNTIFS(Sheet1!$D$2:$D$3203, C90, Sheet1!$C$2:$C$3203, B90) &gt; 0, "Sudah", "Belum")</f>
        <v>Sudah</v>
      </c>
    </row>
    <row r="91" spans="1:6" hidden="1" x14ac:dyDescent="0.35">
      <c r="A91">
        <v>90</v>
      </c>
      <c r="B91" s="4" t="s">
        <v>1406</v>
      </c>
      <c r="C91" s="3">
        <v>1997</v>
      </c>
      <c r="D91" s="4" t="s">
        <v>3396</v>
      </c>
      <c r="E91" s="35" t="s">
        <v>3397</v>
      </c>
      <c r="F91" s="4" t="str">
        <f>IF(COUNTIFS(Sheet1!$D$2:$D$3203, C91, Sheet1!$C$2:$C$3203, B91) &gt; 0, "Sudah", "Belum")</f>
        <v>Sudah</v>
      </c>
    </row>
    <row r="92" spans="1:6" hidden="1" x14ac:dyDescent="0.35">
      <c r="A92">
        <v>91</v>
      </c>
      <c r="B92" s="4" t="s">
        <v>992</v>
      </c>
      <c r="C92" s="3">
        <v>1995</v>
      </c>
      <c r="D92" s="4" t="s">
        <v>3398</v>
      </c>
      <c r="E92" s="35" t="s">
        <v>3399</v>
      </c>
      <c r="F92" s="4" t="str">
        <f>IF(COUNTIFS(Sheet1!$D$2:$D$3203, C92, Sheet1!$C$2:$C$3203, B92) &gt; 0, "Sudah", "Belum")</f>
        <v>Sudah</v>
      </c>
    </row>
    <row r="93" spans="1:6" x14ac:dyDescent="0.35">
      <c r="A93">
        <v>92</v>
      </c>
      <c r="B93" s="4" t="s">
        <v>3400</v>
      </c>
      <c r="C93" s="3">
        <v>1992</v>
      </c>
      <c r="D93" s="4" t="s">
        <v>3401</v>
      </c>
      <c r="E93" s="35" t="s">
        <v>3402</v>
      </c>
      <c r="F93" s="4" t="str">
        <f>IF(COUNTIFS(Sheet1!$D$2:$D$3203, C93, Sheet1!$C$2:$C$3203, B93) &gt; 0, "Sudah", "Belum")</f>
        <v>Belum</v>
      </c>
    </row>
    <row r="94" spans="1:6" hidden="1" x14ac:dyDescent="0.35">
      <c r="A94">
        <v>93</v>
      </c>
      <c r="B94" s="4" t="s">
        <v>3403</v>
      </c>
      <c r="C94" s="3">
        <v>1983</v>
      </c>
      <c r="D94" s="4" t="s">
        <v>3404</v>
      </c>
      <c r="E94" s="35" t="s">
        <v>3405</v>
      </c>
      <c r="F94" s="4" t="str">
        <f>IF(COUNTIFS(Sheet1!$D$2:$D$3203, C94, Sheet1!$C$2:$C$3203, B94) &gt; 0, "Sudah", "Belum")</f>
        <v>Sudah</v>
      </c>
    </row>
    <row r="95" spans="1:6" hidden="1" x14ac:dyDescent="0.35">
      <c r="A95">
        <v>94</v>
      </c>
      <c r="B95" s="4" t="s">
        <v>874</v>
      </c>
      <c r="C95" s="3">
        <v>1991</v>
      </c>
      <c r="D95" s="4" t="s">
        <v>3406</v>
      </c>
      <c r="E95" s="35" t="s">
        <v>3407</v>
      </c>
      <c r="F95" s="4" t="str">
        <f>IF(COUNTIFS(Sheet1!$D$2:$D$3203, C95, Sheet1!$C$2:$C$3203, B95) &gt; 0, "Sudah", "Belum")</f>
        <v>Sudah</v>
      </c>
    </row>
    <row r="96" spans="1:6" hidden="1" x14ac:dyDescent="0.35">
      <c r="A96">
        <v>95</v>
      </c>
      <c r="B96" s="4" t="s">
        <v>1170</v>
      </c>
      <c r="C96" s="3">
        <v>1997</v>
      </c>
      <c r="D96" s="4" t="s">
        <v>3408</v>
      </c>
      <c r="E96" s="35" t="s">
        <v>3409</v>
      </c>
      <c r="F96" s="4" t="str">
        <f>IF(COUNTIFS(Sheet1!$D$2:$D$3203, C96, Sheet1!$C$2:$C$3203, B96) &gt; 0, "Sudah", "Belum")</f>
        <v>Sudah</v>
      </c>
    </row>
    <row r="97" spans="1:6" x14ac:dyDescent="0.35">
      <c r="A97">
        <v>96</v>
      </c>
      <c r="B97" s="4" t="s">
        <v>3410</v>
      </c>
      <c r="C97" s="3">
        <v>1997</v>
      </c>
      <c r="D97" s="4" t="s">
        <v>3411</v>
      </c>
      <c r="E97" s="35" t="s">
        <v>3412</v>
      </c>
      <c r="F97" s="4" t="str">
        <f>IF(COUNTIFS(Sheet1!$D$2:$D$3203, C97, Sheet1!$C$2:$C$3203, B97) &gt; 0, "Sudah", "Belum")</f>
        <v>Belum</v>
      </c>
    </row>
    <row r="98" spans="1:6" hidden="1" x14ac:dyDescent="0.35">
      <c r="A98">
        <v>97</v>
      </c>
      <c r="B98" s="4" t="s">
        <v>989</v>
      </c>
      <c r="C98" s="3">
        <v>1995</v>
      </c>
      <c r="D98" s="4" t="s">
        <v>3413</v>
      </c>
      <c r="E98" s="35" t="s">
        <v>3414</v>
      </c>
      <c r="F98" s="4" t="str">
        <f>IF(COUNTIFS(Sheet1!$D$2:$D$3203, C98, Sheet1!$C$2:$C$3203, B98) &gt; 0, "Sudah", "Belum")</f>
        <v>Sudah</v>
      </c>
    </row>
    <row r="99" spans="1:6" hidden="1" x14ac:dyDescent="0.35">
      <c r="A99">
        <v>98</v>
      </c>
      <c r="B99" s="4" t="s">
        <v>873</v>
      </c>
      <c r="C99" s="3">
        <v>1992</v>
      </c>
      <c r="D99" s="4" t="s">
        <v>3415</v>
      </c>
      <c r="E99" s="35" t="s">
        <v>3416</v>
      </c>
      <c r="F99" s="4" t="str">
        <f>IF(COUNTIFS(Sheet1!$D$2:$D$3203, C99, Sheet1!$C$2:$C$3203, B99) &gt; 0, "Sudah", "Belum")</f>
        <v>Sudah</v>
      </c>
    </row>
    <row r="100" spans="1:6" hidden="1" x14ac:dyDescent="0.35">
      <c r="A100">
        <v>99</v>
      </c>
      <c r="B100" s="4" t="s">
        <v>1175</v>
      </c>
      <c r="C100" s="3">
        <v>1997</v>
      </c>
      <c r="D100" s="4" t="s">
        <v>3417</v>
      </c>
      <c r="E100" s="35" t="s">
        <v>3418</v>
      </c>
      <c r="F100" s="4" t="str">
        <f>IF(COUNTIFS(Sheet1!$D$2:$D$3203, C100, Sheet1!$C$2:$C$3203, B100) &gt; 0, "Sudah", "Belum")</f>
        <v>Sudah</v>
      </c>
    </row>
    <row r="101" spans="1:6" hidden="1" x14ac:dyDescent="0.35">
      <c r="A101">
        <v>100</v>
      </c>
      <c r="B101" s="4" t="s">
        <v>821</v>
      </c>
      <c r="C101" s="3">
        <v>1991</v>
      </c>
      <c r="D101" s="4" t="s">
        <v>3421</v>
      </c>
      <c r="E101" s="35" t="s">
        <v>3422</v>
      </c>
      <c r="F101" s="4" t="str">
        <f>IF(COUNTIFS(Sheet1!$D$2:$D$3203, C101, Sheet1!$C$2:$C$3203, B101) &gt; 0, "Sudah", "Belum")</f>
        <v>Sudah</v>
      </c>
    </row>
    <row r="102" spans="1:6" x14ac:dyDescent="0.35">
      <c r="A102">
        <v>101</v>
      </c>
      <c r="B102" s="4" t="s">
        <v>186</v>
      </c>
      <c r="C102" s="3">
        <v>1979</v>
      </c>
      <c r="D102" s="4" t="s">
        <v>3423</v>
      </c>
      <c r="E102" s="35" t="s">
        <v>3424</v>
      </c>
      <c r="F102" s="4" t="str">
        <f>IF(COUNTIFS(Sheet1!$D$2:$D$3203, C102, Sheet1!$C$2:$C$3203, B102) &gt; 0, "Sudah", "Belum")</f>
        <v>Belum</v>
      </c>
    </row>
    <row r="103" spans="1:6" hidden="1" x14ac:dyDescent="0.35">
      <c r="A103">
        <v>102</v>
      </c>
      <c r="B103" s="4" t="s">
        <v>1028</v>
      </c>
      <c r="C103" s="3">
        <v>1995</v>
      </c>
      <c r="D103" s="4" t="s">
        <v>3425</v>
      </c>
      <c r="E103" s="35" t="s">
        <v>3426</v>
      </c>
      <c r="F103" s="4" t="str">
        <f>IF(COUNTIFS(Sheet1!$D$2:$D$3203, C103, Sheet1!$C$2:$C$3203, B103) &gt; 0, "Sudah", "Belum")</f>
        <v>Sudah</v>
      </c>
    </row>
    <row r="104" spans="1:6" hidden="1" x14ac:dyDescent="0.35">
      <c r="A104">
        <v>103</v>
      </c>
      <c r="B104" s="4" t="s">
        <v>1164</v>
      </c>
      <c r="C104" s="3">
        <v>1996</v>
      </c>
      <c r="D104" s="4" t="s">
        <v>3427</v>
      </c>
      <c r="E104" s="35" t="s">
        <v>3428</v>
      </c>
      <c r="F104" s="4" t="str">
        <f>IF(COUNTIFS(Sheet1!$D$2:$D$3203, C104, Sheet1!$C$2:$C$3203, B104) &gt; 0, "Sudah", "Belum")</f>
        <v>Sudah</v>
      </c>
    </row>
    <row r="105" spans="1:6" hidden="1" x14ac:dyDescent="0.35">
      <c r="A105">
        <v>104</v>
      </c>
      <c r="B105" s="4" t="s">
        <v>1136</v>
      </c>
      <c r="C105" s="3">
        <v>1996</v>
      </c>
      <c r="D105" s="4" t="s">
        <v>3429</v>
      </c>
      <c r="E105" s="35" t="s">
        <v>3430</v>
      </c>
      <c r="F105" s="4" t="str">
        <f>IF(COUNTIFS(Sheet1!$D$2:$D$3203, C105, Sheet1!$C$2:$C$3203, B105) &gt; 0, "Sudah", "Belum")</f>
        <v>Sudah</v>
      </c>
    </row>
    <row r="106" spans="1:6" hidden="1" x14ac:dyDescent="0.35">
      <c r="A106">
        <v>105</v>
      </c>
      <c r="B106" s="4" t="s">
        <v>5828</v>
      </c>
      <c r="C106" s="3">
        <v>1983</v>
      </c>
      <c r="D106" s="4" t="s">
        <v>3431</v>
      </c>
      <c r="E106" s="35" t="s">
        <v>3432</v>
      </c>
      <c r="F106" s="4" t="str">
        <f>IF(COUNTIFS(Sheet1!$D$2:$D$3203, C106, Sheet1!$C$2:$C$3203, B106) &gt; 0, "Sudah", "Belum")</f>
        <v>Sudah</v>
      </c>
    </row>
    <row r="107" spans="1:6" hidden="1" x14ac:dyDescent="0.35">
      <c r="A107">
        <v>106</v>
      </c>
      <c r="B107" s="4" t="s">
        <v>2964</v>
      </c>
      <c r="C107" s="3">
        <v>2007</v>
      </c>
      <c r="D107" s="4" t="s">
        <v>3433</v>
      </c>
      <c r="E107" s="35" t="s">
        <v>3434</v>
      </c>
      <c r="F107" s="4" t="str">
        <f>IF(COUNTIFS(Sheet1!$D$2:$D$3203, C107, Sheet1!$C$2:$C$3203, B107) &gt; 0, "Sudah", "Belum")</f>
        <v>Sudah</v>
      </c>
    </row>
    <row r="108" spans="1:6" hidden="1" x14ac:dyDescent="0.35">
      <c r="A108">
        <v>107</v>
      </c>
      <c r="B108" s="4" t="s">
        <v>1274</v>
      </c>
      <c r="C108" s="3">
        <v>1997</v>
      </c>
      <c r="D108" s="4" t="s">
        <v>3435</v>
      </c>
      <c r="E108" s="35" t="s">
        <v>3436</v>
      </c>
      <c r="F108" s="4" t="str">
        <f>IF(COUNTIFS(Sheet1!$D$2:$D$3203, C108, Sheet1!$C$2:$C$3203, B108) &gt; 0, "Sudah", "Belum")</f>
        <v>Sudah</v>
      </c>
    </row>
    <row r="109" spans="1:6" hidden="1" x14ac:dyDescent="0.35">
      <c r="A109">
        <v>108</v>
      </c>
      <c r="B109" s="4" t="s">
        <v>1220</v>
      </c>
      <c r="C109" s="3">
        <v>1996</v>
      </c>
      <c r="D109" s="4" t="s">
        <v>3437</v>
      </c>
      <c r="E109" s="35" t="s">
        <v>3438</v>
      </c>
      <c r="F109" s="4" t="str">
        <f>IF(COUNTIFS(Sheet1!$D$2:$D$3203, C109, Sheet1!$C$2:$C$3203, B109) &gt; 0, "Sudah", "Belum")</f>
        <v>Sudah</v>
      </c>
    </row>
    <row r="110" spans="1:6" hidden="1" x14ac:dyDescent="0.35">
      <c r="A110">
        <v>109</v>
      </c>
      <c r="B110" s="4" t="s">
        <v>441</v>
      </c>
      <c r="C110" s="3">
        <v>1984</v>
      </c>
      <c r="D110" s="4" t="s">
        <v>3439</v>
      </c>
      <c r="E110" s="35" t="s">
        <v>3440</v>
      </c>
      <c r="F110" s="4" t="str">
        <f>IF(COUNTIFS(Sheet1!$D$2:$D$3203, C110, Sheet1!$C$2:$C$3203, B110) &gt; 0, "Sudah", "Belum")</f>
        <v>Sudah</v>
      </c>
    </row>
    <row r="111" spans="1:6" hidden="1" x14ac:dyDescent="0.35">
      <c r="A111">
        <v>110</v>
      </c>
      <c r="B111" s="4" t="s">
        <v>1113</v>
      </c>
      <c r="C111" s="3">
        <v>1996</v>
      </c>
      <c r="D111" s="4" t="s">
        <v>3441</v>
      </c>
      <c r="E111" s="35" t="s">
        <v>3442</v>
      </c>
      <c r="F111" s="4" t="str">
        <f>IF(COUNTIFS(Sheet1!$D$2:$D$3203, C111, Sheet1!$C$2:$C$3203, B111) &gt; 0, "Sudah", "Belum")</f>
        <v>Sudah</v>
      </c>
    </row>
    <row r="112" spans="1:6" hidden="1" x14ac:dyDescent="0.35">
      <c r="A112">
        <v>111</v>
      </c>
      <c r="B112" s="4" t="s">
        <v>594</v>
      </c>
      <c r="C112" s="3">
        <v>1984</v>
      </c>
      <c r="D112" s="4" t="s">
        <v>3443</v>
      </c>
      <c r="E112" s="35" t="s">
        <v>3444</v>
      </c>
      <c r="F112" s="4" t="str">
        <f>IF(COUNTIFS(Sheet1!$D$2:$D$3203, C112, Sheet1!$C$2:$C$3203, B112) &gt; 0, "Sudah", "Belum")</f>
        <v>Sudah</v>
      </c>
    </row>
    <row r="113" spans="1:6" hidden="1" x14ac:dyDescent="0.35">
      <c r="A113">
        <v>112</v>
      </c>
      <c r="B113" s="4" t="s">
        <v>1185</v>
      </c>
      <c r="C113" s="3">
        <v>1996</v>
      </c>
      <c r="D113" s="4" t="s">
        <v>3445</v>
      </c>
      <c r="E113" s="35" t="s">
        <v>3446</v>
      </c>
      <c r="F113" s="4" t="str">
        <f>IF(COUNTIFS(Sheet1!$D$2:$D$3203, C113, Sheet1!$C$2:$C$3203, B113) &gt; 0, "Sudah", "Belum")</f>
        <v>Sudah</v>
      </c>
    </row>
    <row r="114" spans="1:6" hidden="1" x14ac:dyDescent="0.35">
      <c r="A114">
        <v>113</v>
      </c>
      <c r="B114" s="4" t="s">
        <v>2122</v>
      </c>
      <c r="C114" s="3">
        <v>2012</v>
      </c>
      <c r="D114" s="4" t="s">
        <v>3447</v>
      </c>
      <c r="E114" s="35" t="s">
        <v>3448</v>
      </c>
      <c r="F114" s="4" t="str">
        <f>IF(COUNTIFS(Sheet1!$D$2:$D$3203, C114, Sheet1!$C$2:$C$3203, B114) &gt; 0, "Sudah", "Belum")</f>
        <v>Sudah</v>
      </c>
    </row>
    <row r="115" spans="1:6" hidden="1" x14ac:dyDescent="0.35">
      <c r="A115">
        <v>114</v>
      </c>
      <c r="B115" s="4" t="s">
        <v>2123</v>
      </c>
      <c r="C115" s="3">
        <v>2012</v>
      </c>
      <c r="D115" s="4" t="s">
        <v>3449</v>
      </c>
      <c r="E115" s="35" t="s">
        <v>3450</v>
      </c>
      <c r="F115" s="4" t="str">
        <f>IF(COUNTIFS(Sheet1!$D$2:$D$3203, C115, Sheet1!$C$2:$C$3203, B115) &gt; 0, "Sudah", "Belum")</f>
        <v>Sudah</v>
      </c>
    </row>
    <row r="116" spans="1:6" hidden="1" x14ac:dyDescent="0.35">
      <c r="A116">
        <v>115</v>
      </c>
      <c r="B116" s="4" t="s">
        <v>647</v>
      </c>
      <c r="C116" s="3">
        <v>1986</v>
      </c>
      <c r="D116" s="4" t="s">
        <v>3451</v>
      </c>
      <c r="E116" s="35" t="s">
        <v>3452</v>
      </c>
      <c r="F116" s="4" t="str">
        <f>IF(COUNTIFS(Sheet1!$D$2:$D$3203, C116, Sheet1!$C$2:$C$3203, B116) &gt; 0, "Sudah", "Belum")</f>
        <v>Sudah</v>
      </c>
    </row>
    <row r="117" spans="1:6" hidden="1" x14ac:dyDescent="0.35">
      <c r="A117">
        <v>116</v>
      </c>
      <c r="B117" s="4" t="s">
        <v>912</v>
      </c>
      <c r="C117" s="3">
        <v>1992</v>
      </c>
      <c r="D117" s="4" t="s">
        <v>3453</v>
      </c>
      <c r="E117" s="35" t="s">
        <v>3454</v>
      </c>
      <c r="F117" s="4" t="str">
        <f>IF(COUNTIFS(Sheet1!$D$2:$D$3203, C117, Sheet1!$C$2:$C$3203, B117) &gt; 0, "Sudah", "Belum")</f>
        <v>Sudah</v>
      </c>
    </row>
    <row r="118" spans="1:6" hidden="1" x14ac:dyDescent="0.35">
      <c r="A118">
        <v>117</v>
      </c>
      <c r="B118" s="4" t="s">
        <v>1117</v>
      </c>
      <c r="C118" s="3">
        <v>1995</v>
      </c>
      <c r="D118" s="4" t="s">
        <v>3455</v>
      </c>
      <c r="E118" s="35" t="s">
        <v>3456</v>
      </c>
      <c r="F118" s="4" t="str">
        <f>IF(COUNTIFS(Sheet1!$D$2:$D$3203, C118, Sheet1!$C$2:$C$3203, B118) &gt; 0, "Sudah", "Belum")</f>
        <v>Sudah</v>
      </c>
    </row>
    <row r="119" spans="1:6" hidden="1" x14ac:dyDescent="0.35">
      <c r="A119">
        <v>118</v>
      </c>
      <c r="B119" s="4" t="s">
        <v>1104</v>
      </c>
      <c r="C119" s="3">
        <v>1996</v>
      </c>
      <c r="D119" s="4" t="s">
        <v>3457</v>
      </c>
      <c r="E119" s="35" t="s">
        <v>3458</v>
      </c>
      <c r="F119" s="4" t="str">
        <f>IF(COUNTIFS(Sheet1!$D$2:$D$3203, C119, Sheet1!$C$2:$C$3203, B119) &gt; 0, "Sudah", "Belum")</f>
        <v>Sudah</v>
      </c>
    </row>
    <row r="120" spans="1:6" hidden="1" x14ac:dyDescent="0.35">
      <c r="A120">
        <v>119</v>
      </c>
      <c r="B120" s="4" t="s">
        <v>561</v>
      </c>
      <c r="C120" s="3">
        <v>1984</v>
      </c>
      <c r="D120" s="4" t="s">
        <v>3459</v>
      </c>
      <c r="E120" s="35" t="s">
        <v>3460</v>
      </c>
      <c r="F120" s="4" t="str">
        <f>IF(COUNTIFS(Sheet1!$D$2:$D$3203, C120, Sheet1!$C$2:$C$3203, B120) &gt; 0, "Sudah", "Belum")</f>
        <v>Sudah</v>
      </c>
    </row>
    <row r="121" spans="1:6" hidden="1" x14ac:dyDescent="0.35">
      <c r="A121">
        <v>120</v>
      </c>
      <c r="B121" s="4" t="s">
        <v>979</v>
      </c>
      <c r="C121" s="3">
        <v>1992</v>
      </c>
      <c r="D121" s="4" t="s">
        <v>3461</v>
      </c>
      <c r="E121" s="35" t="s">
        <v>3462</v>
      </c>
      <c r="F121" s="4" t="str">
        <f>IF(COUNTIFS(Sheet1!$D$2:$D$3203, C121, Sheet1!$C$2:$C$3203, B121) &gt; 0, "Sudah", "Belum")</f>
        <v>Sudah</v>
      </c>
    </row>
    <row r="122" spans="1:6" hidden="1" x14ac:dyDescent="0.35">
      <c r="A122">
        <v>121</v>
      </c>
      <c r="B122" s="4" t="s">
        <v>1193</v>
      </c>
      <c r="C122" s="3">
        <v>1996</v>
      </c>
      <c r="D122" s="4" t="s">
        <v>3463</v>
      </c>
      <c r="E122" s="35" t="s">
        <v>3464</v>
      </c>
      <c r="F122" s="4" t="str">
        <f>IF(COUNTIFS(Sheet1!$D$2:$D$3203, C122, Sheet1!$C$2:$C$3203, B122) &gt; 0, "Sudah", "Belum")</f>
        <v>Sudah</v>
      </c>
    </row>
    <row r="123" spans="1:6" hidden="1" x14ac:dyDescent="0.35">
      <c r="A123">
        <v>122</v>
      </c>
      <c r="B123" s="4" t="s">
        <v>950</v>
      </c>
      <c r="C123" s="3">
        <v>1992</v>
      </c>
      <c r="D123" s="4" t="s">
        <v>3465</v>
      </c>
      <c r="E123" s="35" t="s">
        <v>3466</v>
      </c>
      <c r="F123" s="4" t="str">
        <f>IF(COUNTIFS(Sheet1!$D$2:$D$3203, C123, Sheet1!$C$2:$C$3203, B123) &gt; 0, "Sudah", "Belum")</f>
        <v>Sudah</v>
      </c>
    </row>
    <row r="124" spans="1:6" hidden="1" x14ac:dyDescent="0.35">
      <c r="A124">
        <v>123</v>
      </c>
      <c r="B124" s="4" t="s">
        <v>2319</v>
      </c>
      <c r="C124" s="3">
        <v>2014</v>
      </c>
      <c r="D124" s="4" t="s">
        <v>3467</v>
      </c>
      <c r="E124" s="35" t="s">
        <v>3468</v>
      </c>
      <c r="F124" s="4" t="str">
        <f>IF(COUNTIFS(Sheet1!$D$2:$D$3203, C124, Sheet1!$C$2:$C$3203, B124) &gt; 0, "Sudah", "Belum")</f>
        <v>Sudah</v>
      </c>
    </row>
    <row r="125" spans="1:6" hidden="1" x14ac:dyDescent="0.35">
      <c r="A125">
        <v>124</v>
      </c>
      <c r="B125" s="4" t="s">
        <v>1216</v>
      </c>
      <c r="C125" s="3">
        <v>1996</v>
      </c>
      <c r="D125" s="4" t="s">
        <v>3469</v>
      </c>
      <c r="E125" s="35" t="s">
        <v>3470</v>
      </c>
      <c r="F125" s="4" t="str">
        <f>IF(COUNTIFS(Sheet1!$D$2:$D$3203, C125, Sheet1!$C$2:$C$3203, B125) &gt; 0, "Sudah", "Belum")</f>
        <v>Sudah</v>
      </c>
    </row>
    <row r="126" spans="1:6" x14ac:dyDescent="0.35">
      <c r="A126">
        <v>125</v>
      </c>
      <c r="B126" s="4" t="s">
        <v>923</v>
      </c>
      <c r="C126" s="3">
        <v>1991</v>
      </c>
      <c r="D126" s="4" t="s">
        <v>3471</v>
      </c>
      <c r="E126" s="35" t="s">
        <v>3472</v>
      </c>
      <c r="F126" s="4" t="str">
        <f>IF(COUNTIFS(Sheet1!$D$2:$D$3203, C126, Sheet1!$C$2:$C$3203, B126) &gt; 0, "Sudah", "Belum")</f>
        <v>Belum</v>
      </c>
    </row>
    <row r="127" spans="1:6" hidden="1" x14ac:dyDescent="0.35">
      <c r="A127">
        <v>126</v>
      </c>
      <c r="B127" s="4" t="s">
        <v>509</v>
      </c>
      <c r="C127" s="3">
        <v>1997</v>
      </c>
      <c r="D127" s="4" t="s">
        <v>3476</v>
      </c>
      <c r="E127" s="35" t="s">
        <v>3477</v>
      </c>
      <c r="F127" s="4" t="str">
        <f>IF(COUNTIFS(Sheet1!$D$2:$D$3203, C127, Sheet1!$C$2:$C$3203, B127) &gt; 0, "Sudah", "Belum")</f>
        <v>Sudah</v>
      </c>
    </row>
    <row r="128" spans="1:6" hidden="1" x14ac:dyDescent="0.35">
      <c r="A128">
        <v>127</v>
      </c>
      <c r="B128" s="4" t="s">
        <v>2127</v>
      </c>
      <c r="C128" s="3">
        <v>2012</v>
      </c>
      <c r="D128" s="4" t="s">
        <v>3478</v>
      </c>
      <c r="E128" s="35" t="s">
        <v>3479</v>
      </c>
      <c r="F128" s="4" t="str">
        <f>IF(COUNTIFS(Sheet1!$D$2:$D$3203, C128, Sheet1!$C$2:$C$3203, B128) &gt; 0, "Sudah", "Belum")</f>
        <v>Sudah</v>
      </c>
    </row>
    <row r="129" spans="1:6" x14ac:dyDescent="0.35">
      <c r="A129">
        <v>128</v>
      </c>
      <c r="B129" s="4" t="s">
        <v>3473</v>
      </c>
      <c r="C129" s="3">
        <v>1995</v>
      </c>
      <c r="D129" s="4" t="s">
        <v>3474</v>
      </c>
      <c r="E129" s="35" t="s">
        <v>3475</v>
      </c>
      <c r="F129" s="4" t="str">
        <f>IF(COUNTIFS(Sheet1!$D$2:$D$3203, C129, Sheet1!$C$2:$C$3203, B129) &gt; 0, "Sudah", "Belum")</f>
        <v>Belum</v>
      </c>
    </row>
    <row r="130" spans="1:6" hidden="1" x14ac:dyDescent="0.35">
      <c r="A130">
        <v>129</v>
      </c>
      <c r="B130" s="4" t="s">
        <v>1209</v>
      </c>
      <c r="C130" s="3">
        <v>1997</v>
      </c>
      <c r="D130" s="4" t="s">
        <v>3480</v>
      </c>
      <c r="E130" s="35" t="s">
        <v>3481</v>
      </c>
      <c r="F130" s="4" t="str">
        <f>IF(COUNTIFS(Sheet1!$D$2:$D$3203, C130, Sheet1!$C$2:$C$3203, B130) &gt; 0, "Sudah", "Belum")</f>
        <v>Sudah</v>
      </c>
    </row>
    <row r="131" spans="1:6" hidden="1" x14ac:dyDescent="0.35">
      <c r="A131">
        <v>130</v>
      </c>
      <c r="B131" s="4" t="s">
        <v>3482</v>
      </c>
      <c r="C131" s="3">
        <v>1992</v>
      </c>
      <c r="D131" s="4" t="s">
        <v>3483</v>
      </c>
      <c r="E131" s="35" t="s">
        <v>3484</v>
      </c>
      <c r="F131" s="4" t="str">
        <f>IF(COUNTIFS(Sheet1!$D$2:$D$3203, C131, Sheet1!$C$2:$C$3203, B131) &gt; 0, "Sudah", "Belum")</f>
        <v>Sudah</v>
      </c>
    </row>
    <row r="132" spans="1:6" hidden="1" x14ac:dyDescent="0.35">
      <c r="A132">
        <v>131</v>
      </c>
      <c r="B132" s="4" t="s">
        <v>1554</v>
      </c>
      <c r="C132" s="3">
        <v>2000</v>
      </c>
      <c r="D132" s="4" t="s">
        <v>3485</v>
      </c>
      <c r="E132" s="35" t="s">
        <v>3486</v>
      </c>
      <c r="F132" s="4" t="str">
        <f>IF(COUNTIFS(Sheet1!$D$2:$D$3203, C132, Sheet1!$C$2:$C$3203, B132) &gt; 0, "Sudah", "Belum")</f>
        <v>Sudah</v>
      </c>
    </row>
    <row r="133" spans="1:6" hidden="1" x14ac:dyDescent="0.35">
      <c r="A133">
        <v>132</v>
      </c>
      <c r="B133" s="4" t="s">
        <v>1138</v>
      </c>
      <c r="C133" s="3">
        <v>1997</v>
      </c>
      <c r="D133" s="4" t="s">
        <v>3487</v>
      </c>
      <c r="E133" s="35" t="s">
        <v>3488</v>
      </c>
      <c r="F133" s="4" t="str">
        <f>IF(COUNTIFS(Sheet1!$D$2:$D$3203, C133, Sheet1!$C$2:$C$3203, B133) &gt; 0, "Sudah", "Belum")</f>
        <v>Sudah</v>
      </c>
    </row>
    <row r="134" spans="1:6" hidden="1" x14ac:dyDescent="0.35">
      <c r="A134">
        <v>133</v>
      </c>
      <c r="B134" s="4" t="s">
        <v>1479</v>
      </c>
      <c r="C134" s="3">
        <v>2000</v>
      </c>
      <c r="D134" s="4" t="s">
        <v>3489</v>
      </c>
      <c r="E134" s="35" t="s">
        <v>3490</v>
      </c>
      <c r="F134" s="4" t="str">
        <f>IF(COUNTIFS(Sheet1!$D$2:$D$3203, C134, Sheet1!$C$2:$C$3203, B134) &gt; 0, "Sudah", "Belum")</f>
        <v>Sudah</v>
      </c>
    </row>
    <row r="135" spans="1:6" hidden="1" x14ac:dyDescent="0.35">
      <c r="A135">
        <v>134</v>
      </c>
      <c r="B135" s="4" t="s">
        <v>1536</v>
      </c>
      <c r="C135" s="3">
        <v>2000</v>
      </c>
      <c r="D135" s="4" t="s">
        <v>3491</v>
      </c>
      <c r="E135" s="35" t="s">
        <v>3492</v>
      </c>
      <c r="F135" s="4" t="str">
        <f>IF(COUNTIFS(Sheet1!$D$2:$D$3203, C135, Sheet1!$C$2:$C$3203, B135) &gt; 0, "Sudah", "Belum")</f>
        <v>Sudah</v>
      </c>
    </row>
    <row r="136" spans="1:6" hidden="1" x14ac:dyDescent="0.35">
      <c r="A136">
        <v>135</v>
      </c>
      <c r="B136" s="4" t="s">
        <v>1003</v>
      </c>
      <c r="C136" s="3">
        <v>1994</v>
      </c>
      <c r="D136" s="4" t="s">
        <v>3495</v>
      </c>
      <c r="E136" s="35" t="s">
        <v>3496</v>
      </c>
      <c r="F136" s="4" t="str">
        <f>IF(COUNTIFS(Sheet1!$D$2:$D$3203, C136, Sheet1!$C$2:$C$3203, B136) &gt; 0, "Sudah", "Belum")</f>
        <v>Sudah</v>
      </c>
    </row>
    <row r="137" spans="1:6" hidden="1" x14ac:dyDescent="0.35">
      <c r="A137">
        <v>136</v>
      </c>
      <c r="B137" s="4" t="s">
        <v>1253</v>
      </c>
      <c r="C137" s="3">
        <v>1997</v>
      </c>
      <c r="D137" s="4" t="s">
        <v>3493</v>
      </c>
      <c r="E137" s="35" t="s">
        <v>3494</v>
      </c>
      <c r="F137" s="4" t="str">
        <f>IF(COUNTIFS(Sheet1!$D$2:$D$3203, C137, Sheet1!$C$2:$C$3203, B137) &gt; 0, "Sudah", "Belum")</f>
        <v>Sudah</v>
      </c>
    </row>
    <row r="138" spans="1:6" hidden="1" x14ac:dyDescent="0.35">
      <c r="A138">
        <v>137</v>
      </c>
      <c r="B138" s="4" t="s">
        <v>1024</v>
      </c>
      <c r="C138" s="3">
        <v>1995</v>
      </c>
      <c r="D138" s="4" t="s">
        <v>3497</v>
      </c>
      <c r="E138" s="35" t="s">
        <v>3498</v>
      </c>
      <c r="F138" s="4" t="str">
        <f>IF(COUNTIFS(Sheet1!$D$2:$D$3203, C138, Sheet1!$C$2:$C$3203, B138) &gt; 0, "Sudah", "Belum")</f>
        <v>Sudah</v>
      </c>
    </row>
    <row r="139" spans="1:6" hidden="1" x14ac:dyDescent="0.35">
      <c r="A139">
        <v>138</v>
      </c>
      <c r="B139" s="4" t="s">
        <v>3092</v>
      </c>
      <c r="C139" s="3">
        <v>2014</v>
      </c>
      <c r="D139" s="4" t="s">
        <v>3499</v>
      </c>
      <c r="E139" s="35" t="s">
        <v>3500</v>
      </c>
      <c r="F139" s="4" t="str">
        <f>IF(COUNTIFS(Sheet1!$D$2:$D$3203, C139, Sheet1!$C$2:$C$3203, B139) &gt; 0, "Sudah", "Belum")</f>
        <v>Sudah</v>
      </c>
    </row>
    <row r="140" spans="1:6" hidden="1" x14ac:dyDescent="0.35">
      <c r="A140">
        <v>139</v>
      </c>
      <c r="B140" s="4" t="s">
        <v>1742</v>
      </c>
      <c r="C140" s="3">
        <v>2003</v>
      </c>
      <c r="D140" s="4" t="s">
        <v>3501</v>
      </c>
      <c r="E140" s="35" t="s">
        <v>3502</v>
      </c>
      <c r="F140" s="4" t="str">
        <f>IF(COUNTIFS(Sheet1!$D$2:$D$3203, C140, Sheet1!$C$2:$C$3203, B140) &gt; 0, "Sudah", "Belum")</f>
        <v>Sudah</v>
      </c>
    </row>
    <row r="141" spans="1:6" hidden="1" x14ac:dyDescent="0.35">
      <c r="A141">
        <v>140</v>
      </c>
      <c r="B141" s="4" t="s">
        <v>1808</v>
      </c>
      <c r="C141" s="3">
        <v>2003</v>
      </c>
      <c r="D141" s="4" t="s">
        <v>3503</v>
      </c>
      <c r="E141" s="35" t="s">
        <v>3504</v>
      </c>
      <c r="F141" s="4" t="str">
        <f>IF(COUNTIFS(Sheet1!$D$2:$D$3203, C141, Sheet1!$C$2:$C$3203, B141) &gt; 0, "Sudah", "Belum")</f>
        <v>Sudah</v>
      </c>
    </row>
    <row r="142" spans="1:6" hidden="1" x14ac:dyDescent="0.35">
      <c r="A142">
        <v>141</v>
      </c>
      <c r="B142" s="4" t="s">
        <v>3505</v>
      </c>
      <c r="C142" s="3">
        <v>2014</v>
      </c>
      <c r="D142" s="4" t="s">
        <v>3506</v>
      </c>
      <c r="E142" s="35" t="s">
        <v>3507</v>
      </c>
      <c r="F142" s="4" t="str">
        <f>IF(COUNTIFS(Sheet1!$D$2:$D$3203, C142, Sheet1!$C$2:$C$3203, B142) &gt; 0, "Sudah", "Belum")</f>
        <v>Sudah</v>
      </c>
    </row>
    <row r="143" spans="1:6" hidden="1" x14ac:dyDescent="0.35">
      <c r="A143">
        <v>142</v>
      </c>
      <c r="B143" s="4" t="s">
        <v>2267</v>
      </c>
      <c r="C143" s="3">
        <v>2014</v>
      </c>
      <c r="D143" s="4" t="s">
        <v>3508</v>
      </c>
      <c r="E143" s="35" t="s">
        <v>3509</v>
      </c>
      <c r="F143" s="4" t="str">
        <f>IF(COUNTIFS(Sheet1!$D$2:$D$3203, C143, Sheet1!$C$2:$C$3203, B143) &gt; 0, "Sudah", "Belum")</f>
        <v>Sudah</v>
      </c>
    </row>
    <row r="144" spans="1:6" hidden="1" x14ac:dyDescent="0.35">
      <c r="A144">
        <v>143</v>
      </c>
      <c r="B144" s="4" t="s">
        <v>3510</v>
      </c>
      <c r="C144" s="3">
        <v>1991</v>
      </c>
      <c r="D144" s="4" t="s">
        <v>3511</v>
      </c>
      <c r="E144" s="35" t="s">
        <v>3512</v>
      </c>
      <c r="F144" s="4" t="str">
        <f>IF(COUNTIFS(Sheet1!$D$2:$D$3203, C144, Sheet1!$C$2:$C$3203, B144) &gt; 0, "Sudah", "Belum")</f>
        <v>Sudah</v>
      </c>
    </row>
    <row r="145" spans="1:6" hidden="1" x14ac:dyDescent="0.35">
      <c r="A145">
        <v>144</v>
      </c>
      <c r="B145" s="4" t="s">
        <v>1716</v>
      </c>
      <c r="C145" s="3">
        <v>2003</v>
      </c>
      <c r="D145" s="4" t="s">
        <v>3513</v>
      </c>
      <c r="E145" s="35" t="s">
        <v>3514</v>
      </c>
      <c r="F145" s="4" t="str">
        <f>IF(COUNTIFS(Sheet1!$D$2:$D$3203, C145, Sheet1!$C$2:$C$3203, B145) &gt; 0, "Sudah", "Belum")</f>
        <v>Sudah</v>
      </c>
    </row>
    <row r="146" spans="1:6" hidden="1" x14ac:dyDescent="0.35">
      <c r="A146">
        <v>145</v>
      </c>
      <c r="B146" s="4" t="s">
        <v>2236</v>
      </c>
      <c r="C146" s="3">
        <v>2012</v>
      </c>
      <c r="D146" s="4" t="s">
        <v>3515</v>
      </c>
      <c r="E146" s="35" t="s">
        <v>3516</v>
      </c>
      <c r="F146" s="4" t="str">
        <f>IF(COUNTIFS(Sheet1!$D$2:$D$3203, C146, Sheet1!$C$2:$C$3203, B146) &gt; 0, "Sudah", "Belum")</f>
        <v>Sudah</v>
      </c>
    </row>
    <row r="147" spans="1:6" hidden="1" x14ac:dyDescent="0.35">
      <c r="A147">
        <v>146</v>
      </c>
      <c r="B147" s="4" t="s">
        <v>2214</v>
      </c>
      <c r="C147" s="3">
        <v>2012</v>
      </c>
      <c r="D147" s="4" t="s">
        <v>3517</v>
      </c>
      <c r="E147" s="35" t="s">
        <v>3518</v>
      </c>
      <c r="F147" s="4" t="str">
        <f>IF(COUNTIFS(Sheet1!$D$2:$D$3203, C147, Sheet1!$C$2:$C$3203, B147) &gt; 0, "Sudah", "Belum")</f>
        <v>Sudah</v>
      </c>
    </row>
    <row r="148" spans="1:6" hidden="1" x14ac:dyDescent="0.35">
      <c r="A148">
        <v>147</v>
      </c>
      <c r="B148" s="4" t="s">
        <v>1401</v>
      </c>
      <c r="C148" s="3">
        <v>1999</v>
      </c>
      <c r="D148" s="4" t="s">
        <v>3519</v>
      </c>
      <c r="E148" s="35" t="s">
        <v>3520</v>
      </c>
      <c r="F148" s="4" t="str">
        <f>IF(COUNTIFS(Sheet1!$D$2:$D$3203, C148, Sheet1!$C$2:$C$3203, B148) &gt; 0, "Sudah", "Belum")</f>
        <v>Sudah</v>
      </c>
    </row>
    <row r="149" spans="1:6" hidden="1" x14ac:dyDescent="0.35">
      <c r="A149">
        <v>148</v>
      </c>
      <c r="B149" s="4" t="s">
        <v>3521</v>
      </c>
      <c r="C149" s="3">
        <v>2010</v>
      </c>
      <c r="D149" s="4" t="s">
        <v>3522</v>
      </c>
      <c r="E149" s="35" t="s">
        <v>3523</v>
      </c>
      <c r="F149" s="4" t="str">
        <f>IF(COUNTIFS(Sheet1!$D$2:$D$3203, C149, Sheet1!$C$2:$C$3203, B149) &gt; 0, "Sudah", "Belum")</f>
        <v>Sudah</v>
      </c>
    </row>
    <row r="150" spans="1:6" hidden="1" x14ac:dyDescent="0.35">
      <c r="A150">
        <v>149</v>
      </c>
      <c r="B150" s="4" t="s">
        <v>1294</v>
      </c>
      <c r="C150" s="3">
        <v>1997</v>
      </c>
      <c r="D150" s="4" t="s">
        <v>3524</v>
      </c>
      <c r="E150" s="35" t="s">
        <v>3525</v>
      </c>
      <c r="F150" s="4" t="str">
        <f>IF(COUNTIFS(Sheet1!$D$2:$D$3203, C150, Sheet1!$C$2:$C$3203, B150) &gt; 0, "Sudah", "Belum")</f>
        <v>Sudah</v>
      </c>
    </row>
    <row r="151" spans="1:6" hidden="1" x14ac:dyDescent="0.35">
      <c r="A151">
        <v>150</v>
      </c>
      <c r="B151" s="4" t="s">
        <v>2099</v>
      </c>
      <c r="C151" s="3">
        <v>2012</v>
      </c>
      <c r="D151" s="4" t="s">
        <v>3526</v>
      </c>
      <c r="E151" s="35" t="s">
        <v>3527</v>
      </c>
      <c r="F151" s="4" t="str">
        <f>IF(COUNTIFS(Sheet1!$D$2:$D$3203, C151, Sheet1!$C$2:$C$3203, B151) &gt; 0, "Sudah", "Belum")</f>
        <v>Sudah</v>
      </c>
    </row>
    <row r="152" spans="1:6" x14ac:dyDescent="0.35">
      <c r="A152">
        <v>151</v>
      </c>
      <c r="B152" s="4" t="s">
        <v>3528</v>
      </c>
      <c r="C152" s="3">
        <v>1992</v>
      </c>
      <c r="D152" s="4" t="s">
        <v>3529</v>
      </c>
      <c r="E152" s="35" t="s">
        <v>3530</v>
      </c>
      <c r="F152" s="4" t="str">
        <f>IF(COUNTIFS(Sheet1!$D$2:$D$3203, C152, Sheet1!$C$2:$C$3203, B152) &gt; 0, "Sudah", "Belum")</f>
        <v>Belum</v>
      </c>
    </row>
    <row r="153" spans="1:6" hidden="1" x14ac:dyDescent="0.35">
      <c r="A153">
        <v>152</v>
      </c>
      <c r="B153" s="4" t="s">
        <v>1020</v>
      </c>
      <c r="C153" s="3">
        <v>1991</v>
      </c>
      <c r="D153" s="4" t="s">
        <v>3531</v>
      </c>
      <c r="E153" s="35" t="s">
        <v>3532</v>
      </c>
      <c r="F153" s="4" t="str">
        <f>IF(COUNTIFS(Sheet1!$D$2:$D$3203, C153, Sheet1!$C$2:$C$3203, B153) &gt; 0, "Sudah", "Belum")</f>
        <v>Sudah</v>
      </c>
    </row>
    <row r="154" spans="1:6" hidden="1" x14ac:dyDescent="0.35">
      <c r="A154">
        <v>153</v>
      </c>
      <c r="B154" s="4" t="s">
        <v>1704</v>
      </c>
      <c r="C154" s="3">
        <v>2003</v>
      </c>
      <c r="D154" s="4" t="s">
        <v>3533</v>
      </c>
      <c r="E154" s="35" t="s">
        <v>3534</v>
      </c>
      <c r="F154" s="4" t="str">
        <f>IF(COUNTIFS(Sheet1!$D$2:$D$3203, C154, Sheet1!$C$2:$C$3203, B154) &gt; 0, "Sudah", "Belum")</f>
        <v>Sudah</v>
      </c>
    </row>
    <row r="155" spans="1:6" hidden="1" x14ac:dyDescent="0.35">
      <c r="A155">
        <v>154</v>
      </c>
      <c r="B155" s="4" t="s">
        <v>2255</v>
      </c>
      <c r="C155" s="3">
        <v>2014</v>
      </c>
      <c r="D155" s="4" t="s">
        <v>3535</v>
      </c>
      <c r="E155" s="35" t="s">
        <v>3536</v>
      </c>
      <c r="F155" s="4" t="str">
        <f>IF(COUNTIFS(Sheet1!$D$2:$D$3203, C155, Sheet1!$C$2:$C$3203, B155) &gt; 0, "Sudah", "Belum")</f>
        <v>Sudah</v>
      </c>
    </row>
    <row r="156" spans="1:6" hidden="1" x14ac:dyDescent="0.35">
      <c r="A156">
        <v>155</v>
      </c>
      <c r="B156" s="4" t="s">
        <v>3537</v>
      </c>
      <c r="C156" s="3">
        <v>2014</v>
      </c>
      <c r="D156" s="4" t="s">
        <v>3538</v>
      </c>
      <c r="E156" s="35" t="s">
        <v>3539</v>
      </c>
      <c r="F156" s="4" t="str">
        <f>IF(COUNTIFS(Sheet1!$D$2:$D$3203, C156, Sheet1!$C$2:$C$3203, B156) &gt; 0, "Sudah", "Belum")</f>
        <v>Sudah</v>
      </c>
    </row>
    <row r="157" spans="1:6" hidden="1" x14ac:dyDescent="0.35">
      <c r="A157">
        <v>156</v>
      </c>
      <c r="B157" s="4" t="s">
        <v>2259</v>
      </c>
      <c r="C157" s="3">
        <v>2014</v>
      </c>
      <c r="D157" s="4" t="s">
        <v>3540</v>
      </c>
      <c r="E157" s="35" t="s">
        <v>3541</v>
      </c>
      <c r="F157" s="4" t="str">
        <f>IF(COUNTIFS(Sheet1!$D$2:$D$3203, C157, Sheet1!$C$2:$C$3203, B157) &gt; 0, "Sudah", "Belum")</f>
        <v>Sudah</v>
      </c>
    </row>
    <row r="158" spans="1:6" hidden="1" x14ac:dyDescent="0.35">
      <c r="A158">
        <v>157</v>
      </c>
      <c r="B158" s="4" t="s">
        <v>2300</v>
      </c>
      <c r="C158" s="3">
        <v>2014</v>
      </c>
      <c r="D158" s="4" t="s">
        <v>3542</v>
      </c>
      <c r="E158" s="35" t="s">
        <v>3543</v>
      </c>
      <c r="F158" s="4" t="str">
        <f>IF(COUNTIFS(Sheet1!$D$2:$D$3203, C158, Sheet1!$C$2:$C$3203, B158) &gt; 0, "Sudah", "Belum")</f>
        <v>Sudah</v>
      </c>
    </row>
    <row r="159" spans="1:6" hidden="1" x14ac:dyDescent="0.35">
      <c r="A159">
        <v>158</v>
      </c>
      <c r="B159" s="4" t="s">
        <v>1429</v>
      </c>
      <c r="C159" s="3">
        <v>1999</v>
      </c>
      <c r="D159" s="4" t="s">
        <v>3544</v>
      </c>
      <c r="E159" s="35" t="s">
        <v>3545</v>
      </c>
      <c r="F159" s="4" t="str">
        <f>IF(COUNTIFS(Sheet1!$D$2:$D$3203, C159, Sheet1!$C$2:$C$3203, B159) &gt; 0, "Sudah", "Belum")</f>
        <v>Sudah</v>
      </c>
    </row>
    <row r="160" spans="1:6" hidden="1" x14ac:dyDescent="0.35">
      <c r="A160">
        <v>159</v>
      </c>
      <c r="B160" s="4" t="s">
        <v>3546</v>
      </c>
      <c r="C160" s="3">
        <v>1992</v>
      </c>
      <c r="D160" s="4" t="s">
        <v>3547</v>
      </c>
      <c r="E160" s="35" t="s">
        <v>3548</v>
      </c>
      <c r="F160" s="4" t="str">
        <f>IF(COUNTIFS(Sheet1!$D$2:$D$3203, C160, Sheet1!$C$2:$C$3203, B160) &gt; 0, "Sudah", "Belum")</f>
        <v>Sudah</v>
      </c>
    </row>
    <row r="161" spans="1:6" hidden="1" x14ac:dyDescent="0.35">
      <c r="A161">
        <v>160</v>
      </c>
      <c r="B161" s="4" t="s">
        <v>867</v>
      </c>
      <c r="C161" s="3">
        <v>1992</v>
      </c>
      <c r="D161" s="4" t="s">
        <v>3549</v>
      </c>
      <c r="E161" s="35" t="s">
        <v>3550</v>
      </c>
      <c r="F161" s="4" t="str">
        <f>IF(COUNTIFS(Sheet1!$D$2:$D$3203, C161, Sheet1!$C$2:$C$3203, B161) &gt; 0, "Sudah", "Belum")</f>
        <v>Sudah</v>
      </c>
    </row>
    <row r="162" spans="1:6" hidden="1" x14ac:dyDescent="0.35">
      <c r="A162">
        <v>161</v>
      </c>
      <c r="B162" s="4" t="s">
        <v>1179</v>
      </c>
      <c r="C162" s="3">
        <v>1993</v>
      </c>
      <c r="D162" s="4" t="s">
        <v>3551</v>
      </c>
      <c r="E162" s="35" t="s">
        <v>3552</v>
      </c>
      <c r="F162" s="4" t="str">
        <f>IF(COUNTIFS(Sheet1!$D$2:$D$3203, C162, Sheet1!$C$2:$C$3203, B162) &gt; 0, "Sudah", "Belum")</f>
        <v>Sudah</v>
      </c>
    </row>
    <row r="163" spans="1:6" hidden="1" x14ac:dyDescent="0.35">
      <c r="A163">
        <v>162</v>
      </c>
      <c r="B163" s="4" t="s">
        <v>1802</v>
      </c>
      <c r="C163" s="3">
        <v>2003</v>
      </c>
      <c r="D163" s="4" t="s">
        <v>3553</v>
      </c>
      <c r="E163" s="35" t="s">
        <v>3554</v>
      </c>
      <c r="F163" s="4" t="str">
        <f>IF(COUNTIFS(Sheet1!$D$2:$D$3203, C163, Sheet1!$C$2:$C$3203, B163) &gt; 0, "Sudah", "Belum")</f>
        <v>Sudah</v>
      </c>
    </row>
    <row r="164" spans="1:6" hidden="1" x14ac:dyDescent="0.35">
      <c r="A164">
        <v>163</v>
      </c>
      <c r="B164" s="4" t="s">
        <v>2118</v>
      </c>
      <c r="C164" s="3">
        <v>2012</v>
      </c>
      <c r="D164" s="4" t="s">
        <v>3555</v>
      </c>
      <c r="E164" s="35" t="s">
        <v>3556</v>
      </c>
      <c r="F164" s="4" t="str">
        <f>IF(COUNTIFS(Sheet1!$D$2:$D$3203, C164, Sheet1!$C$2:$C$3203, B164) &gt; 0, "Sudah", "Belum")</f>
        <v>Sudah</v>
      </c>
    </row>
    <row r="165" spans="1:6" hidden="1" x14ac:dyDescent="0.35">
      <c r="A165">
        <v>164</v>
      </c>
      <c r="B165" s="4" t="s">
        <v>854</v>
      </c>
      <c r="C165" s="3">
        <v>1991</v>
      </c>
      <c r="D165" s="4" t="s">
        <v>3557</v>
      </c>
      <c r="E165" s="35" t="s">
        <v>3558</v>
      </c>
      <c r="F165" s="4" t="str">
        <f>IF(COUNTIFS(Sheet1!$D$2:$D$3203, C165, Sheet1!$C$2:$C$3203, B165) &gt; 0, "Sudah", "Belum")</f>
        <v>Sudah</v>
      </c>
    </row>
    <row r="166" spans="1:6" hidden="1" x14ac:dyDescent="0.35">
      <c r="A166">
        <v>165</v>
      </c>
      <c r="B166" s="4" t="s">
        <v>2235</v>
      </c>
      <c r="C166" s="3">
        <v>2012</v>
      </c>
      <c r="D166" s="4" t="s">
        <v>3559</v>
      </c>
      <c r="E166" s="35" t="s">
        <v>3560</v>
      </c>
      <c r="F166" s="4" t="str">
        <f>IF(COUNTIFS(Sheet1!$D$2:$D$3203, C166, Sheet1!$C$2:$C$3203, B166) &gt; 0, "Sudah", "Belum")</f>
        <v>Sudah</v>
      </c>
    </row>
    <row r="167" spans="1:6" hidden="1" x14ac:dyDescent="0.35">
      <c r="A167">
        <v>166</v>
      </c>
      <c r="B167" s="4" t="s">
        <v>1672</v>
      </c>
      <c r="C167" s="3">
        <v>2002</v>
      </c>
      <c r="D167" s="4" t="s">
        <v>3561</v>
      </c>
      <c r="E167" s="35" t="s">
        <v>3562</v>
      </c>
      <c r="F167" s="4" t="str">
        <f>IF(COUNTIFS(Sheet1!$D$2:$D$3203, C167, Sheet1!$C$2:$C$3203, B167) &gt; 0, "Sudah", "Belum")</f>
        <v>Sudah</v>
      </c>
    </row>
    <row r="168" spans="1:6" hidden="1" x14ac:dyDescent="0.35">
      <c r="A168">
        <v>167</v>
      </c>
      <c r="B168" s="4" t="s">
        <v>3563</v>
      </c>
      <c r="C168" s="3">
        <v>2008</v>
      </c>
      <c r="D168" s="4" t="s">
        <v>3564</v>
      </c>
      <c r="E168" s="35" t="s">
        <v>3565</v>
      </c>
      <c r="F168" s="4" t="str">
        <f>IF(COUNTIFS(Sheet1!$D$2:$D$3203, C168, Sheet1!$C$2:$C$3203, B168) &gt; 0, "Sudah", "Belum")</f>
        <v>Sudah</v>
      </c>
    </row>
    <row r="169" spans="1:6" hidden="1" x14ac:dyDescent="0.35">
      <c r="A169">
        <v>168</v>
      </c>
      <c r="B169" s="4" t="s">
        <v>3566</v>
      </c>
      <c r="C169" s="3">
        <v>2003</v>
      </c>
      <c r="D169" s="4" t="s">
        <v>3567</v>
      </c>
      <c r="E169" s="35" t="s">
        <v>3568</v>
      </c>
      <c r="F169" s="4" t="str">
        <f>IF(COUNTIFS(Sheet1!$D$2:$D$3203, C169, Sheet1!$C$2:$C$3203, B169) &gt; 0, "Sudah", "Belum")</f>
        <v>Sudah</v>
      </c>
    </row>
    <row r="170" spans="1:6" hidden="1" x14ac:dyDescent="0.35">
      <c r="A170">
        <v>169</v>
      </c>
      <c r="B170" s="4" t="s">
        <v>2318</v>
      </c>
      <c r="C170" s="3">
        <v>2014</v>
      </c>
      <c r="D170" s="4" t="s">
        <v>3569</v>
      </c>
      <c r="E170" s="35" t="s">
        <v>3570</v>
      </c>
      <c r="F170" s="4" t="str">
        <f>IF(COUNTIFS(Sheet1!$D$2:$D$3203, C170, Sheet1!$C$2:$C$3203, B170) &gt; 0, "Sudah", "Belum")</f>
        <v>Sudah</v>
      </c>
    </row>
    <row r="171" spans="1:6" hidden="1" x14ac:dyDescent="0.35">
      <c r="A171">
        <v>170</v>
      </c>
      <c r="B171" s="4" t="s">
        <v>5830</v>
      </c>
      <c r="C171" s="3">
        <v>1993</v>
      </c>
      <c r="D171" s="4" t="s">
        <v>3571</v>
      </c>
      <c r="E171" s="35" t="s">
        <v>3572</v>
      </c>
      <c r="F171" s="4" t="str">
        <f>IF(COUNTIFS(Sheet1!$D$2:$D$3203, C171, Sheet1!$C$2:$C$3203, B171) &gt; 0, "Sudah", "Belum")</f>
        <v>Sudah</v>
      </c>
    </row>
    <row r="172" spans="1:6" hidden="1" x14ac:dyDescent="0.35">
      <c r="A172">
        <v>171</v>
      </c>
      <c r="B172" s="4" t="s">
        <v>1342</v>
      </c>
      <c r="C172" s="3">
        <v>1995</v>
      </c>
      <c r="D172" s="4" t="s">
        <v>3573</v>
      </c>
      <c r="E172" s="35" t="s">
        <v>3574</v>
      </c>
      <c r="F172" s="4" t="str">
        <f>IF(COUNTIFS(Sheet1!$D$2:$D$3203, C172, Sheet1!$C$2:$C$3203, B172) &gt; 0, "Sudah", "Belum")</f>
        <v>Sudah</v>
      </c>
    </row>
    <row r="173" spans="1:6" x14ac:dyDescent="0.35">
      <c r="A173">
        <v>172</v>
      </c>
      <c r="B173" s="4" t="s">
        <v>1014</v>
      </c>
      <c r="C173" s="3">
        <v>1995</v>
      </c>
      <c r="D173" s="4" t="s">
        <v>3575</v>
      </c>
      <c r="E173" s="35" t="s">
        <v>3576</v>
      </c>
      <c r="F173" s="4" t="str">
        <f>IF(COUNTIFS(Sheet1!$D$2:$D$3203, C173, Sheet1!$C$2:$C$3203, B173) &gt; 0, "Sudah", "Belum")</f>
        <v>Belum</v>
      </c>
    </row>
    <row r="174" spans="1:6" hidden="1" x14ac:dyDescent="0.35">
      <c r="A174">
        <v>173</v>
      </c>
      <c r="B174" s="4" t="s">
        <v>1111</v>
      </c>
      <c r="C174" s="3">
        <v>1995</v>
      </c>
      <c r="D174" s="4" t="s">
        <v>3577</v>
      </c>
      <c r="E174" s="35" t="s">
        <v>3578</v>
      </c>
      <c r="F174" s="4" t="str">
        <f>IF(COUNTIFS(Sheet1!$D$2:$D$3203, C174, Sheet1!$C$2:$C$3203, B174) &gt; 0, "Sudah", "Belum")</f>
        <v>Sudah</v>
      </c>
    </row>
    <row r="175" spans="1:6" hidden="1" x14ac:dyDescent="0.35">
      <c r="A175">
        <v>174</v>
      </c>
      <c r="B175" s="4" t="s">
        <v>626</v>
      </c>
      <c r="C175" s="3">
        <v>1984</v>
      </c>
      <c r="D175" s="4" t="s">
        <v>3579</v>
      </c>
      <c r="E175" s="35" t="s">
        <v>3580</v>
      </c>
      <c r="F175" s="4" t="str">
        <f>IF(COUNTIFS(Sheet1!$D$2:$D$3203, C175, Sheet1!$C$2:$C$3203, B175) &gt; 0, "Sudah", "Belum")</f>
        <v>Sudah</v>
      </c>
    </row>
    <row r="176" spans="1:6" hidden="1" x14ac:dyDescent="0.35">
      <c r="A176">
        <v>175</v>
      </c>
      <c r="B176" s="4" t="s">
        <v>637</v>
      </c>
      <c r="C176" s="3">
        <v>1985</v>
      </c>
      <c r="D176" s="4" t="s">
        <v>3581</v>
      </c>
      <c r="E176" s="35" t="s">
        <v>3582</v>
      </c>
      <c r="F176" s="4" t="str">
        <f>IF(COUNTIFS(Sheet1!$D$2:$D$3203, C176, Sheet1!$C$2:$C$3203, B176) &gt; 0, "Sudah", "Belum")</f>
        <v>Sudah</v>
      </c>
    </row>
    <row r="177" spans="1:6" hidden="1" x14ac:dyDescent="0.35">
      <c r="A177">
        <v>176</v>
      </c>
      <c r="B177" s="4" t="s">
        <v>1947</v>
      </c>
      <c r="C177" s="3">
        <v>2010</v>
      </c>
      <c r="D177" s="4" t="s">
        <v>3583</v>
      </c>
      <c r="E177" s="35" t="s">
        <v>3584</v>
      </c>
      <c r="F177" s="4" t="str">
        <f>IF(COUNTIFS(Sheet1!$D$2:$D$3203, C177, Sheet1!$C$2:$C$3203, B177) &gt; 0, "Sudah", "Belum")</f>
        <v>Sudah</v>
      </c>
    </row>
    <row r="178" spans="1:6" hidden="1" x14ac:dyDescent="0.35">
      <c r="A178">
        <v>177</v>
      </c>
      <c r="B178" s="4" t="s">
        <v>3585</v>
      </c>
      <c r="C178" s="3">
        <v>2012</v>
      </c>
      <c r="D178" s="4" t="s">
        <v>3586</v>
      </c>
      <c r="E178" s="35" t="s">
        <v>3587</v>
      </c>
      <c r="F178" s="4" t="str">
        <f>IF(COUNTIFS(Sheet1!$D$2:$D$3203, C178, Sheet1!$C$2:$C$3203, B178) &gt; 0, "Sudah", "Belum")</f>
        <v>Sudah</v>
      </c>
    </row>
    <row r="179" spans="1:6" hidden="1" x14ac:dyDescent="0.35">
      <c r="A179">
        <v>178</v>
      </c>
      <c r="B179" s="4" t="s">
        <v>786</v>
      </c>
      <c r="C179" s="3">
        <v>1990</v>
      </c>
      <c r="D179" s="4" t="s">
        <v>3588</v>
      </c>
      <c r="E179" s="35" t="s">
        <v>3589</v>
      </c>
      <c r="F179" s="4" t="str">
        <f>IF(COUNTIFS(Sheet1!$D$2:$D$3203, C179, Sheet1!$C$2:$C$3203, B179) &gt; 0, "Sudah", "Belum")</f>
        <v>Sudah</v>
      </c>
    </row>
    <row r="180" spans="1:6" hidden="1" x14ac:dyDescent="0.35">
      <c r="A180">
        <v>179</v>
      </c>
      <c r="B180" s="4" t="s">
        <v>1124</v>
      </c>
      <c r="C180" s="3">
        <v>1996</v>
      </c>
      <c r="D180" s="4" t="s">
        <v>3590</v>
      </c>
      <c r="E180" s="35" t="s">
        <v>3591</v>
      </c>
      <c r="F180" s="4" t="str">
        <f>IF(COUNTIFS(Sheet1!$D$2:$D$3203, C180, Sheet1!$C$2:$C$3203, B180) &gt; 0, "Sudah", "Belum")</f>
        <v>Sudah</v>
      </c>
    </row>
    <row r="181" spans="1:6" hidden="1" x14ac:dyDescent="0.35">
      <c r="A181">
        <v>180</v>
      </c>
      <c r="B181" s="4" t="s">
        <v>3076</v>
      </c>
      <c r="C181" s="3">
        <v>2015</v>
      </c>
      <c r="D181" s="4" t="s">
        <v>3592</v>
      </c>
      <c r="E181" s="35" t="s">
        <v>3593</v>
      </c>
      <c r="F181" s="4" t="str">
        <f>IF(COUNTIFS(Sheet1!$D$2:$D$3203, C181, Sheet1!$C$2:$C$3203, B181) &gt; 0, "Sudah", "Belum")</f>
        <v>Sudah</v>
      </c>
    </row>
    <row r="182" spans="1:6" hidden="1" x14ac:dyDescent="0.35">
      <c r="A182">
        <v>181</v>
      </c>
      <c r="B182" s="4" t="s">
        <v>1105</v>
      </c>
      <c r="C182" s="3">
        <v>1996</v>
      </c>
      <c r="D182" s="4" t="s">
        <v>3597</v>
      </c>
      <c r="E182" s="35" t="s">
        <v>3598</v>
      </c>
      <c r="F182" s="4" t="str">
        <f>IF(COUNTIFS(Sheet1!$D$2:$D$3203, C182, Sheet1!$C$2:$C$3203, B182) &gt; 0, "Sudah", "Belum")</f>
        <v>Sudah</v>
      </c>
    </row>
    <row r="183" spans="1:6" hidden="1" x14ac:dyDescent="0.35">
      <c r="A183">
        <v>182</v>
      </c>
      <c r="B183" s="4" t="s">
        <v>903</v>
      </c>
      <c r="C183" s="3">
        <v>1993</v>
      </c>
      <c r="D183" s="4" t="s">
        <v>3599</v>
      </c>
      <c r="E183" s="35" t="s">
        <v>3600</v>
      </c>
      <c r="F183" s="4" t="str">
        <f>IF(COUNTIFS(Sheet1!$D$2:$D$3203, C183, Sheet1!$C$2:$C$3203, B183) &gt; 0, "Sudah", "Belum")</f>
        <v>Sudah</v>
      </c>
    </row>
    <row r="184" spans="1:6" hidden="1" x14ac:dyDescent="0.35">
      <c r="A184">
        <v>183</v>
      </c>
      <c r="B184" s="4" t="s">
        <v>3601</v>
      </c>
      <c r="C184" s="3">
        <v>2003</v>
      </c>
      <c r="D184" s="4" t="s">
        <v>3602</v>
      </c>
      <c r="E184" s="35" t="s">
        <v>3603</v>
      </c>
      <c r="F184" s="4" t="str">
        <f>IF(COUNTIFS(Sheet1!$D$2:$D$3203, C184, Sheet1!$C$2:$C$3203, B184) &gt; 0, "Sudah", "Belum")</f>
        <v>Sudah</v>
      </c>
    </row>
    <row r="185" spans="1:6" hidden="1" x14ac:dyDescent="0.35">
      <c r="A185">
        <v>184</v>
      </c>
      <c r="B185" s="4" t="s">
        <v>1881</v>
      </c>
      <c r="C185" s="3">
        <v>2008</v>
      </c>
      <c r="D185" s="4" t="s">
        <v>3604</v>
      </c>
      <c r="E185" s="35" t="s">
        <v>3605</v>
      </c>
      <c r="F185" s="4" t="str">
        <f>IF(COUNTIFS(Sheet1!$D$2:$D$3203, C185, Sheet1!$C$2:$C$3203, B185) &gt; 0, "Sudah", "Belum")</f>
        <v>Sudah</v>
      </c>
    </row>
    <row r="186" spans="1:6" hidden="1" x14ac:dyDescent="0.35">
      <c r="A186">
        <v>185</v>
      </c>
      <c r="B186" s="4" t="s">
        <v>1980</v>
      </c>
      <c r="C186" s="3">
        <v>2010</v>
      </c>
      <c r="D186" s="4" t="s">
        <v>3606</v>
      </c>
      <c r="E186" s="35" t="s">
        <v>3607</v>
      </c>
      <c r="F186" s="4" t="str">
        <f>IF(COUNTIFS(Sheet1!$D$2:$D$3203, C186, Sheet1!$C$2:$C$3203, B186) &gt; 0, "Sudah", "Belum")</f>
        <v>Sudah</v>
      </c>
    </row>
    <row r="187" spans="1:6" hidden="1" x14ac:dyDescent="0.35">
      <c r="A187">
        <v>186</v>
      </c>
      <c r="B187" s="4" t="s">
        <v>2302</v>
      </c>
      <c r="C187" s="3">
        <v>2014</v>
      </c>
      <c r="D187" s="4" t="s">
        <v>3608</v>
      </c>
      <c r="E187" s="35" t="s">
        <v>3609</v>
      </c>
      <c r="F187" s="4" t="str">
        <f>IF(COUNTIFS(Sheet1!$D$2:$D$3203, C187, Sheet1!$C$2:$C$3203, B187) &gt; 0, "Sudah", "Belum")</f>
        <v>Sudah</v>
      </c>
    </row>
    <row r="188" spans="1:6" hidden="1" x14ac:dyDescent="0.35">
      <c r="A188">
        <v>187</v>
      </c>
      <c r="B188" s="4" t="s">
        <v>987</v>
      </c>
      <c r="C188" s="3">
        <v>1994</v>
      </c>
      <c r="D188" s="4" t="s">
        <v>3610</v>
      </c>
      <c r="E188" s="35" t="s">
        <v>3611</v>
      </c>
      <c r="F188" s="4" t="str">
        <f>IF(COUNTIFS(Sheet1!$D$2:$D$3203, C188, Sheet1!$C$2:$C$3203, B188) &gt; 0, "Sudah", "Belum")</f>
        <v>Sudah</v>
      </c>
    </row>
    <row r="189" spans="1:6" hidden="1" x14ac:dyDescent="0.35">
      <c r="A189">
        <v>188</v>
      </c>
      <c r="B189" s="4" t="s">
        <v>1963</v>
      </c>
      <c r="C189" s="3">
        <v>2010</v>
      </c>
      <c r="D189" s="4" t="s">
        <v>3612</v>
      </c>
      <c r="E189" s="35" t="s">
        <v>3613</v>
      </c>
      <c r="F189" s="4" t="str">
        <f>IF(COUNTIFS(Sheet1!$D$2:$D$3203, C189, Sheet1!$C$2:$C$3203, B189) &gt; 0, "Sudah", "Belum")</f>
        <v>Sudah</v>
      </c>
    </row>
    <row r="190" spans="1:6" hidden="1" x14ac:dyDescent="0.35">
      <c r="A190">
        <v>189</v>
      </c>
      <c r="B190" s="4" t="s">
        <v>2159</v>
      </c>
      <c r="C190" s="3">
        <v>2012</v>
      </c>
      <c r="D190" s="4" t="s">
        <v>3615</v>
      </c>
      <c r="E190" s="35" t="s">
        <v>3616</v>
      </c>
      <c r="F190" s="4" t="str">
        <f>IF(COUNTIFS(Sheet1!$D$2:$D$3203, C190, Sheet1!$C$2:$C$3203, B190) &gt; 0, "Sudah", "Belum")</f>
        <v>Sudah</v>
      </c>
    </row>
    <row r="191" spans="1:6" hidden="1" x14ac:dyDescent="0.35">
      <c r="A191">
        <v>190</v>
      </c>
      <c r="B191" s="4" t="s">
        <v>2114</v>
      </c>
      <c r="C191" s="3">
        <v>2012</v>
      </c>
      <c r="D191" s="4" t="s">
        <v>3617</v>
      </c>
      <c r="E191" s="35" t="s">
        <v>3618</v>
      </c>
      <c r="F191" s="4" t="str">
        <f>IF(COUNTIFS(Sheet1!$D$2:$D$3203, C191, Sheet1!$C$2:$C$3203, B191) &gt; 0, "Sudah", "Belum")</f>
        <v>Sudah</v>
      </c>
    </row>
    <row r="192" spans="1:6" hidden="1" x14ac:dyDescent="0.35">
      <c r="A192">
        <v>191</v>
      </c>
      <c r="B192" s="4" t="s">
        <v>1118</v>
      </c>
      <c r="C192" s="3">
        <v>1995</v>
      </c>
      <c r="D192" s="4" t="s">
        <v>3619</v>
      </c>
      <c r="E192" s="35" t="s">
        <v>3620</v>
      </c>
      <c r="F192" s="4" t="str">
        <f>IF(COUNTIFS(Sheet1!$D$2:$D$3203, C192, Sheet1!$C$2:$C$3203, B192) &gt; 0, "Sudah", "Belum")</f>
        <v>Sudah</v>
      </c>
    </row>
    <row r="193" spans="1:6" hidden="1" x14ac:dyDescent="0.35">
      <c r="A193">
        <v>192</v>
      </c>
      <c r="B193" s="4" t="s">
        <v>3621</v>
      </c>
      <c r="C193" s="3">
        <v>1990</v>
      </c>
      <c r="D193" s="4" t="s">
        <v>3622</v>
      </c>
      <c r="E193" s="35" t="s">
        <v>3623</v>
      </c>
      <c r="F193" s="4" t="str">
        <f>IF(COUNTIFS(Sheet1!$D$2:$D$3203, C193, Sheet1!$C$2:$C$3203, B193) &gt; 0, "Sudah", "Belum")</f>
        <v>Sudah</v>
      </c>
    </row>
    <row r="194" spans="1:6" hidden="1" x14ac:dyDescent="0.35">
      <c r="A194">
        <v>193</v>
      </c>
      <c r="B194" s="4" t="s">
        <v>3624</v>
      </c>
      <c r="C194" s="3">
        <v>1991</v>
      </c>
      <c r="D194" s="4" t="s">
        <v>3625</v>
      </c>
      <c r="E194" s="35" t="s">
        <v>3626</v>
      </c>
      <c r="F194" s="4" t="str">
        <f>IF(COUNTIFS(Sheet1!$D$2:$D$3203, C194, Sheet1!$C$2:$C$3203, B194) &gt; 0, "Sudah", "Belum")</f>
        <v>Sudah</v>
      </c>
    </row>
    <row r="195" spans="1:6" hidden="1" x14ac:dyDescent="0.35">
      <c r="A195">
        <v>194</v>
      </c>
      <c r="B195" s="4" t="s">
        <v>2160</v>
      </c>
      <c r="C195" s="3">
        <v>2012</v>
      </c>
      <c r="D195" s="4" t="s">
        <v>3627</v>
      </c>
      <c r="E195" s="35" t="s">
        <v>3628</v>
      </c>
      <c r="F195" s="4" t="str">
        <f>IF(COUNTIFS(Sheet1!$D$2:$D$3203, C195, Sheet1!$C$2:$C$3203, B195) &gt; 0, "Sudah", "Belum")</f>
        <v>Sudah</v>
      </c>
    </row>
    <row r="196" spans="1:6" hidden="1" x14ac:dyDescent="0.35">
      <c r="A196">
        <v>195</v>
      </c>
      <c r="B196" s="4" t="s">
        <v>1180</v>
      </c>
      <c r="C196" s="3">
        <v>1993</v>
      </c>
      <c r="D196" s="4" t="s">
        <v>3629</v>
      </c>
      <c r="E196" s="35" t="s">
        <v>3614</v>
      </c>
      <c r="F196" s="4" t="str">
        <f>IF(COUNTIFS(Sheet1!$D$2:$D$3203, C196, Sheet1!$C$2:$C$3203, B196) &gt; 0, "Sudah", "Belum")</f>
        <v>Sudah</v>
      </c>
    </row>
    <row r="197" spans="1:6" hidden="1" x14ac:dyDescent="0.35">
      <c r="A197">
        <v>196</v>
      </c>
      <c r="B197" s="4" t="s">
        <v>3630</v>
      </c>
      <c r="C197" s="3">
        <v>1995</v>
      </c>
      <c r="D197" s="4" t="s">
        <v>3631</v>
      </c>
      <c r="E197" s="35" t="s">
        <v>3632</v>
      </c>
      <c r="F197" s="4" t="str">
        <f>IF(COUNTIFS(Sheet1!$D$2:$D$3203, C197, Sheet1!$C$2:$C$3203, B197) &gt; 0, "Sudah", "Belum")</f>
        <v>Sudah</v>
      </c>
    </row>
    <row r="198" spans="1:6" hidden="1" x14ac:dyDescent="0.35">
      <c r="A198">
        <v>197</v>
      </c>
      <c r="B198" s="4" t="s">
        <v>1358</v>
      </c>
      <c r="C198" s="3">
        <v>1999</v>
      </c>
      <c r="D198" s="4" t="s">
        <v>3633</v>
      </c>
      <c r="E198" s="35" t="s">
        <v>3634</v>
      </c>
      <c r="F198" s="4" t="str">
        <f>IF(COUNTIFS(Sheet1!$D$2:$D$3203, C198, Sheet1!$C$2:$C$3203, B198) &gt; 0, "Sudah", "Belum")</f>
        <v>Sudah</v>
      </c>
    </row>
    <row r="199" spans="1:6" hidden="1" x14ac:dyDescent="0.35">
      <c r="A199">
        <v>198</v>
      </c>
      <c r="B199" s="4" t="s">
        <v>1083</v>
      </c>
      <c r="C199" s="3">
        <v>1991</v>
      </c>
      <c r="D199" s="4" t="s">
        <v>3635</v>
      </c>
      <c r="E199" s="35" t="s">
        <v>3636</v>
      </c>
      <c r="F199" s="4" t="str">
        <f>IF(COUNTIFS(Sheet1!$D$2:$D$3203, C199, Sheet1!$C$2:$C$3203, B199) &gt; 0, "Sudah", "Belum")</f>
        <v>Sudah</v>
      </c>
    </row>
    <row r="200" spans="1:6" hidden="1" x14ac:dyDescent="0.35">
      <c r="A200">
        <v>199</v>
      </c>
      <c r="B200" s="4" t="s">
        <v>2279</v>
      </c>
      <c r="C200" s="3">
        <v>2012</v>
      </c>
      <c r="D200" s="4" t="s">
        <v>3637</v>
      </c>
      <c r="E200" s="35" t="s">
        <v>3638</v>
      </c>
      <c r="F200" s="4" t="str">
        <f>IF(COUNTIFS(Sheet1!$D$2:$D$3203, C200, Sheet1!$C$2:$C$3203, B200) &gt; 0, "Sudah", "Belum")</f>
        <v>Sudah</v>
      </c>
    </row>
    <row r="201" spans="1:6" hidden="1" x14ac:dyDescent="0.35">
      <c r="A201">
        <v>200</v>
      </c>
      <c r="B201" s="4" t="s">
        <v>2186</v>
      </c>
      <c r="C201" s="3">
        <v>2013</v>
      </c>
      <c r="D201" s="4" t="s">
        <v>3639</v>
      </c>
      <c r="E201" s="35" t="s">
        <v>3640</v>
      </c>
      <c r="F201" s="4" t="str">
        <f>IF(COUNTIFS(Sheet1!$D$2:$D$3203, C201, Sheet1!$C$2:$C$3203, B201) &gt; 0, "Sudah", "Belum")</f>
        <v>Sudah</v>
      </c>
    </row>
    <row r="202" spans="1:6" hidden="1" x14ac:dyDescent="0.35">
      <c r="A202">
        <v>201</v>
      </c>
      <c r="B202" s="4" t="s">
        <v>2890</v>
      </c>
      <c r="C202" s="3">
        <v>2006</v>
      </c>
      <c r="D202" s="4" t="s">
        <v>3641</v>
      </c>
      <c r="E202" s="35" t="s">
        <v>3642</v>
      </c>
      <c r="F202" s="4" t="str">
        <f>IF(COUNTIFS(Sheet1!$D$2:$D$3203, C202, Sheet1!$C$2:$C$3203, B202) &gt; 0, "Sudah", "Belum")</f>
        <v>Sudah</v>
      </c>
    </row>
    <row r="203" spans="1:6" hidden="1" x14ac:dyDescent="0.35">
      <c r="A203">
        <v>202</v>
      </c>
      <c r="B203" s="4" t="s">
        <v>937</v>
      </c>
      <c r="C203" s="3">
        <v>1992</v>
      </c>
      <c r="D203" s="4" t="s">
        <v>3643</v>
      </c>
      <c r="E203" s="35" t="s">
        <v>3644</v>
      </c>
      <c r="F203" s="4" t="str">
        <f>IF(COUNTIFS(Sheet1!$D$2:$D$3203, C203, Sheet1!$C$2:$C$3203, B203) &gt; 0, "Sudah", "Belum")</f>
        <v>Sudah</v>
      </c>
    </row>
    <row r="204" spans="1:6" hidden="1" x14ac:dyDescent="0.35">
      <c r="A204">
        <v>203</v>
      </c>
      <c r="B204" s="4" t="s">
        <v>2212</v>
      </c>
      <c r="C204" s="3">
        <v>2013</v>
      </c>
      <c r="D204" s="4" t="s">
        <v>3645</v>
      </c>
      <c r="E204" s="35" t="s">
        <v>3646</v>
      </c>
      <c r="F204" s="4" t="str">
        <f>IF(COUNTIFS(Sheet1!$D$2:$D$3203, C204, Sheet1!$C$2:$C$3203, B204) &gt; 0, "Sudah", "Belum")</f>
        <v>Sudah</v>
      </c>
    </row>
    <row r="205" spans="1:6" hidden="1" x14ac:dyDescent="0.35">
      <c r="A205">
        <v>204</v>
      </c>
      <c r="B205" s="4" t="s">
        <v>897</v>
      </c>
      <c r="C205" s="3">
        <v>1990</v>
      </c>
      <c r="D205" s="4" t="s">
        <v>3647</v>
      </c>
      <c r="E205" s="35" t="s">
        <v>3648</v>
      </c>
      <c r="F205" s="4" t="str">
        <f>IF(COUNTIFS(Sheet1!$D$2:$D$3203, C205, Sheet1!$C$2:$C$3203, B205) &gt; 0, "Sudah", "Belum")</f>
        <v>Sudah</v>
      </c>
    </row>
    <row r="206" spans="1:6" hidden="1" x14ac:dyDescent="0.35">
      <c r="A206">
        <v>205</v>
      </c>
      <c r="B206" s="4" t="s">
        <v>2208</v>
      </c>
      <c r="C206" s="3">
        <v>2013</v>
      </c>
      <c r="D206" s="4" t="s">
        <v>3649</v>
      </c>
      <c r="E206" s="35" t="s">
        <v>3650</v>
      </c>
      <c r="F206" s="4" t="str">
        <f>IF(COUNTIFS(Sheet1!$D$2:$D$3203, C206, Sheet1!$C$2:$C$3203, B206) &gt; 0, "Sudah", "Belum")</f>
        <v>Sudah</v>
      </c>
    </row>
    <row r="207" spans="1:6" hidden="1" x14ac:dyDescent="0.35">
      <c r="A207">
        <v>206</v>
      </c>
      <c r="B207" s="4" t="s">
        <v>169</v>
      </c>
      <c r="C207" s="3">
        <v>1977</v>
      </c>
      <c r="D207" s="4" t="s">
        <v>3651</v>
      </c>
      <c r="E207" s="35" t="s">
        <v>3652</v>
      </c>
      <c r="F207" s="4" t="str">
        <f>IF(COUNTIFS(Sheet1!$D$2:$D$3203, C207, Sheet1!$C$2:$C$3203, B207) &gt; 0, "Sudah", "Belum")</f>
        <v>Sudah</v>
      </c>
    </row>
    <row r="208" spans="1:6" hidden="1" x14ac:dyDescent="0.35">
      <c r="A208">
        <v>207</v>
      </c>
      <c r="B208" s="4" t="s">
        <v>3653</v>
      </c>
      <c r="C208" s="3">
        <v>2002</v>
      </c>
      <c r="D208" s="4" t="s">
        <v>3654</v>
      </c>
      <c r="E208" s="35" t="s">
        <v>3655</v>
      </c>
      <c r="F208" s="4" t="str">
        <f>IF(COUNTIFS(Sheet1!$D$2:$D$3203, C208, Sheet1!$C$2:$C$3203, B208) &gt; 0, "Sudah", "Belum")</f>
        <v>Sudah</v>
      </c>
    </row>
    <row r="209" spans="1:6" hidden="1" x14ac:dyDescent="0.35">
      <c r="A209">
        <v>208</v>
      </c>
      <c r="B209" s="4" t="s">
        <v>717</v>
      </c>
      <c r="C209" s="3">
        <v>1989</v>
      </c>
      <c r="D209" s="4" t="s">
        <v>3656</v>
      </c>
      <c r="E209" s="35" t="s">
        <v>3657</v>
      </c>
      <c r="F209" s="4" t="str">
        <f>IF(COUNTIFS(Sheet1!$D$2:$D$3203, C209, Sheet1!$C$2:$C$3203, B209) &gt; 0, "Sudah", "Belum")</f>
        <v>Sudah</v>
      </c>
    </row>
    <row r="210" spans="1:6" hidden="1" x14ac:dyDescent="0.35">
      <c r="A210">
        <v>209</v>
      </c>
      <c r="B210" s="4" t="s">
        <v>1711</v>
      </c>
      <c r="C210" s="3">
        <v>2002</v>
      </c>
      <c r="D210" s="4" t="s">
        <v>3658</v>
      </c>
      <c r="E210" s="35" t="s">
        <v>3659</v>
      </c>
      <c r="F210" s="4" t="str">
        <f>IF(COUNTIFS(Sheet1!$D$2:$D$3203, C210, Sheet1!$C$2:$C$3203, B210) &gt; 0, "Sudah", "Belum")</f>
        <v>Sudah</v>
      </c>
    </row>
    <row r="211" spans="1:6" hidden="1" x14ac:dyDescent="0.35">
      <c r="A211">
        <v>210</v>
      </c>
      <c r="B211" s="4" t="s">
        <v>1366</v>
      </c>
      <c r="C211" s="3">
        <v>1997</v>
      </c>
      <c r="D211" s="4" t="s">
        <v>3660</v>
      </c>
      <c r="E211" s="35" t="s">
        <v>3661</v>
      </c>
      <c r="F211" s="4" t="str">
        <f>IF(COUNTIFS(Sheet1!$D$2:$D$3203, C211, Sheet1!$C$2:$C$3203, B211) &gt; 0, "Sudah", "Belum")</f>
        <v>Sudah</v>
      </c>
    </row>
    <row r="212" spans="1:6" hidden="1" x14ac:dyDescent="0.35">
      <c r="A212">
        <v>211</v>
      </c>
      <c r="B212" s="4" t="s">
        <v>807</v>
      </c>
      <c r="C212" s="3">
        <v>1990</v>
      </c>
      <c r="D212" s="4" t="s">
        <v>3662</v>
      </c>
      <c r="E212" s="35" t="s">
        <v>3663</v>
      </c>
      <c r="F212" s="4" t="str">
        <f>IF(COUNTIFS(Sheet1!$D$2:$D$3203, C212, Sheet1!$C$2:$C$3203, B212) &gt; 0, "Sudah", "Belum")</f>
        <v>Sudah</v>
      </c>
    </row>
    <row r="213" spans="1:6" hidden="1" x14ac:dyDescent="0.35">
      <c r="A213">
        <v>212</v>
      </c>
      <c r="B213" s="4" t="s">
        <v>5901</v>
      </c>
      <c r="C213" s="3">
        <v>1995</v>
      </c>
      <c r="D213" s="4" t="s">
        <v>3664</v>
      </c>
      <c r="E213" s="35" t="s">
        <v>3665</v>
      </c>
      <c r="F213" s="4" t="str">
        <f>IF(COUNTIFS(Sheet1!$D$2:$D$3203, C213, Sheet1!$C$2:$C$3203, B213) &gt; 0, "Sudah", "Belum")</f>
        <v>Sudah</v>
      </c>
    </row>
    <row r="214" spans="1:6" hidden="1" x14ac:dyDescent="0.35">
      <c r="A214">
        <v>213</v>
      </c>
      <c r="B214" s="4" t="s">
        <v>3666</v>
      </c>
      <c r="C214" s="3">
        <v>2010</v>
      </c>
      <c r="D214" s="4" t="s">
        <v>3667</v>
      </c>
      <c r="E214" s="35" t="s">
        <v>3668</v>
      </c>
      <c r="F214" s="4" t="str">
        <f>IF(COUNTIFS(Sheet1!$D$2:$D$3203, C214, Sheet1!$C$2:$C$3203, B214) &gt; 0, "Sudah", "Belum")</f>
        <v>Sudah</v>
      </c>
    </row>
    <row r="215" spans="1:6" hidden="1" x14ac:dyDescent="0.35">
      <c r="A215">
        <v>214</v>
      </c>
      <c r="B215" s="4" t="s">
        <v>496</v>
      </c>
      <c r="C215" s="3">
        <v>1984</v>
      </c>
      <c r="D215" s="4" t="s">
        <v>3669</v>
      </c>
      <c r="E215" s="35" t="s">
        <v>3670</v>
      </c>
      <c r="F215" s="4" t="str">
        <f>IF(COUNTIFS(Sheet1!$D$2:$D$3203, C215, Sheet1!$C$2:$C$3203, B215) &gt; 0, "Sudah", "Belum")</f>
        <v>Sudah</v>
      </c>
    </row>
    <row r="216" spans="1:6" hidden="1" x14ac:dyDescent="0.35">
      <c r="A216">
        <v>215</v>
      </c>
      <c r="B216" s="4" t="s">
        <v>1984</v>
      </c>
      <c r="C216" s="3">
        <v>2010</v>
      </c>
      <c r="D216" s="4" t="s">
        <v>3671</v>
      </c>
      <c r="E216" s="35" t="s">
        <v>3672</v>
      </c>
      <c r="F216" s="4" t="str">
        <f>IF(COUNTIFS(Sheet1!$D$2:$D$3203, C216, Sheet1!$C$2:$C$3203, B216) &gt; 0, "Sudah", "Belum")</f>
        <v>Sudah</v>
      </c>
    </row>
    <row r="217" spans="1:6" hidden="1" x14ac:dyDescent="0.35">
      <c r="A217">
        <v>216</v>
      </c>
      <c r="B217" s="4" t="s">
        <v>5832</v>
      </c>
      <c r="C217" s="3">
        <v>2007</v>
      </c>
      <c r="D217" s="4" t="s">
        <v>3673</v>
      </c>
      <c r="E217" s="35" t="s">
        <v>3674</v>
      </c>
      <c r="F217" s="4" t="str">
        <f>IF(COUNTIFS(Sheet1!$D$2:$D$3203, C217, Sheet1!$C$2:$C$3203, B217) &gt; 0, "Sudah", "Belum")</f>
        <v>Sudah</v>
      </c>
    </row>
    <row r="218" spans="1:6" hidden="1" x14ac:dyDescent="0.35">
      <c r="A218">
        <v>217</v>
      </c>
      <c r="B218" s="4" t="s">
        <v>3675</v>
      </c>
      <c r="C218" s="3">
        <v>2002</v>
      </c>
      <c r="D218" s="4" t="s">
        <v>3676</v>
      </c>
      <c r="E218" s="35" t="s">
        <v>3677</v>
      </c>
      <c r="F218" s="4" t="str">
        <f>IF(COUNTIFS(Sheet1!$D$2:$D$3203, C218, Sheet1!$C$2:$C$3203, B218) &gt; 0, "Sudah", "Belum")</f>
        <v>Sudah</v>
      </c>
    </row>
    <row r="219" spans="1:6" hidden="1" x14ac:dyDescent="0.35">
      <c r="A219">
        <v>218</v>
      </c>
      <c r="B219" s="4" t="s">
        <v>877</v>
      </c>
      <c r="C219" s="3">
        <v>1992</v>
      </c>
      <c r="D219" s="4" t="s">
        <v>3678</v>
      </c>
      <c r="E219" s="35" t="s">
        <v>3679</v>
      </c>
      <c r="F219" s="4" t="str">
        <f>IF(COUNTIFS(Sheet1!$D$2:$D$3203, C219, Sheet1!$C$2:$C$3203, B219) &gt; 0, "Sudah", "Belum")</f>
        <v>Sudah</v>
      </c>
    </row>
    <row r="220" spans="1:6" hidden="1" x14ac:dyDescent="0.35">
      <c r="A220">
        <v>219</v>
      </c>
      <c r="B220" s="4" t="s">
        <v>699</v>
      </c>
      <c r="C220" s="3">
        <v>1989</v>
      </c>
      <c r="D220" s="4" t="s">
        <v>3680</v>
      </c>
      <c r="E220" s="35" t="s">
        <v>3681</v>
      </c>
      <c r="F220" s="4" t="str">
        <f>IF(COUNTIFS(Sheet1!$D$2:$D$3203, C220, Sheet1!$C$2:$C$3203, B220) &gt; 0, "Sudah", "Belum")</f>
        <v>Sudah</v>
      </c>
    </row>
    <row r="221" spans="1:6" hidden="1" x14ac:dyDescent="0.35">
      <c r="A221">
        <v>220</v>
      </c>
      <c r="B221" s="4" t="s">
        <v>1864</v>
      </c>
      <c r="C221" s="3">
        <v>2008</v>
      </c>
      <c r="D221" s="4" t="s">
        <v>3682</v>
      </c>
      <c r="E221" s="35" t="s">
        <v>3683</v>
      </c>
      <c r="F221" s="4" t="str">
        <f>IF(COUNTIFS(Sheet1!$D$2:$D$3203, C221, Sheet1!$C$2:$C$3203, B221) &gt; 0, "Sudah", "Belum")</f>
        <v>Sudah</v>
      </c>
    </row>
    <row r="222" spans="1:6" hidden="1" x14ac:dyDescent="0.35">
      <c r="A222">
        <v>221</v>
      </c>
      <c r="B222" s="4" t="s">
        <v>902</v>
      </c>
      <c r="C222" s="3">
        <v>1990</v>
      </c>
      <c r="D222" s="4" t="s">
        <v>3684</v>
      </c>
      <c r="E222" s="35" t="s">
        <v>3685</v>
      </c>
      <c r="F222" s="4" t="str">
        <f>IF(COUNTIFS(Sheet1!$D$2:$D$3203, C222, Sheet1!$C$2:$C$3203, B222) &gt; 0, "Sudah", "Belum")</f>
        <v>Sudah</v>
      </c>
    </row>
    <row r="223" spans="1:6" hidden="1" x14ac:dyDescent="0.35">
      <c r="A223">
        <v>222</v>
      </c>
      <c r="B223" s="4" t="s">
        <v>1709</v>
      </c>
      <c r="C223" s="3">
        <v>2002</v>
      </c>
      <c r="D223" s="4" t="s">
        <v>3686</v>
      </c>
      <c r="E223" s="35" t="s">
        <v>3687</v>
      </c>
      <c r="F223" s="4" t="str">
        <f>IF(COUNTIFS(Sheet1!$D$2:$D$3203, C223, Sheet1!$C$2:$C$3203, B223) &gt; 0, "Sudah", "Belum")</f>
        <v>Sudah</v>
      </c>
    </row>
    <row r="224" spans="1:6" hidden="1" x14ac:dyDescent="0.35">
      <c r="A224">
        <v>223</v>
      </c>
      <c r="B224" s="4" t="s">
        <v>1663</v>
      </c>
      <c r="C224" s="3">
        <v>2002</v>
      </c>
      <c r="D224" s="4" t="s">
        <v>3690</v>
      </c>
      <c r="E224" s="35" t="s">
        <v>3691</v>
      </c>
      <c r="F224" s="4" t="str">
        <f>IF(COUNTIFS(Sheet1!$D$2:$D$3203, C224, Sheet1!$C$2:$C$3203, B224) &gt; 0, "Sudah", "Belum")</f>
        <v>Sudah</v>
      </c>
    </row>
    <row r="225" spans="1:6" hidden="1" x14ac:dyDescent="0.35">
      <c r="A225">
        <v>224</v>
      </c>
      <c r="B225" s="4" t="s">
        <v>1084</v>
      </c>
      <c r="C225" s="3">
        <v>1991</v>
      </c>
      <c r="D225" s="4" t="s">
        <v>3688</v>
      </c>
      <c r="E225" s="35" t="s">
        <v>3689</v>
      </c>
      <c r="F225" s="4" t="str">
        <f>IF(COUNTIFS(Sheet1!$D$2:$D$3203, C225, Sheet1!$C$2:$C$3203, B225) &gt; 0, "Sudah", "Belum")</f>
        <v>Sudah</v>
      </c>
    </row>
    <row r="226" spans="1:6" hidden="1" x14ac:dyDescent="0.35">
      <c r="A226">
        <v>225</v>
      </c>
      <c r="B226" s="4" t="s">
        <v>2206</v>
      </c>
      <c r="C226" s="3">
        <v>2013</v>
      </c>
      <c r="D226" s="4" t="s">
        <v>3692</v>
      </c>
      <c r="E226" s="35" t="s">
        <v>3693</v>
      </c>
      <c r="F226" s="4" t="str">
        <f>IF(COUNTIFS(Sheet1!$D$2:$D$3203, C226, Sheet1!$C$2:$C$3203, B226) &gt; 0, "Sudah", "Belum")</f>
        <v>Sudah</v>
      </c>
    </row>
    <row r="227" spans="1:6" hidden="1" x14ac:dyDescent="0.35">
      <c r="A227">
        <v>226</v>
      </c>
      <c r="B227" s="4" t="s">
        <v>1481</v>
      </c>
      <c r="C227" s="3">
        <v>2002</v>
      </c>
      <c r="D227" s="4" t="s">
        <v>3694</v>
      </c>
      <c r="E227" s="35" t="s">
        <v>3695</v>
      </c>
      <c r="F227" s="4" t="str">
        <f>IF(COUNTIFS(Sheet1!$D$2:$D$3203, C227, Sheet1!$C$2:$C$3203, B227) &gt; 0, "Sudah", "Belum")</f>
        <v>Sudah</v>
      </c>
    </row>
    <row r="228" spans="1:6" hidden="1" x14ac:dyDescent="0.35">
      <c r="A228">
        <v>227</v>
      </c>
      <c r="B228" s="4" t="s">
        <v>922</v>
      </c>
      <c r="C228" s="3">
        <v>1994</v>
      </c>
      <c r="D228" s="4" t="s">
        <v>3696</v>
      </c>
      <c r="E228" s="35" t="s">
        <v>3697</v>
      </c>
      <c r="F228" s="4" t="str">
        <f>IF(COUNTIFS(Sheet1!$D$2:$D$3203, C228, Sheet1!$C$2:$C$3203, B228) &gt; 0, "Sudah", "Belum")</f>
        <v>Sudah</v>
      </c>
    </row>
    <row r="229" spans="1:6" hidden="1" x14ac:dyDescent="0.35">
      <c r="A229">
        <v>228</v>
      </c>
      <c r="B229" s="4" t="s">
        <v>765</v>
      </c>
      <c r="C229" s="3">
        <v>1989</v>
      </c>
      <c r="D229" s="4" t="s">
        <v>3698</v>
      </c>
      <c r="E229" s="35" t="s">
        <v>3699</v>
      </c>
      <c r="F229" s="4" t="str">
        <f>IF(COUNTIFS(Sheet1!$D$2:$D$3203, C229, Sheet1!$C$2:$C$3203, B229) &gt; 0, "Sudah", "Belum")</f>
        <v>Sudah</v>
      </c>
    </row>
    <row r="230" spans="1:6" hidden="1" x14ac:dyDescent="0.35">
      <c r="A230">
        <v>229</v>
      </c>
      <c r="B230" s="4" t="s">
        <v>853</v>
      </c>
      <c r="C230" s="3">
        <v>1991</v>
      </c>
      <c r="D230" s="4" t="s">
        <v>3700</v>
      </c>
      <c r="E230" s="35" t="s">
        <v>3701</v>
      </c>
      <c r="F230" s="4" t="str">
        <f>IF(COUNTIFS(Sheet1!$D$2:$D$3203, C230, Sheet1!$C$2:$C$3203, B230) &gt; 0, "Sudah", "Belum")</f>
        <v>Sudah</v>
      </c>
    </row>
    <row r="231" spans="1:6" hidden="1" x14ac:dyDescent="0.35">
      <c r="A231">
        <v>230</v>
      </c>
      <c r="B231" s="4" t="s">
        <v>3702</v>
      </c>
      <c r="C231" s="3">
        <v>1999</v>
      </c>
      <c r="D231" s="4" t="s">
        <v>3703</v>
      </c>
      <c r="E231" s="35" t="s">
        <v>3704</v>
      </c>
      <c r="F231" s="4" t="str">
        <f>IF(COUNTIFS(Sheet1!$D$2:$D$3203, C231, Sheet1!$C$2:$C$3203, B231) &gt; 0, "Sudah", "Belum")</f>
        <v>Sudah</v>
      </c>
    </row>
    <row r="232" spans="1:6" hidden="1" x14ac:dyDescent="0.35">
      <c r="A232">
        <v>231</v>
      </c>
      <c r="B232" s="4" t="s">
        <v>2363</v>
      </c>
      <c r="C232" s="3">
        <v>2015</v>
      </c>
      <c r="D232" s="4" t="s">
        <v>3705</v>
      </c>
      <c r="E232" s="35" t="s">
        <v>3706</v>
      </c>
      <c r="F232" s="4" t="str">
        <f>IF(COUNTIFS(Sheet1!$D$2:$D$3203, C232, Sheet1!$C$2:$C$3203, B232) &gt; 0, "Sudah", "Belum")</f>
        <v>Sudah</v>
      </c>
    </row>
    <row r="233" spans="1:6" hidden="1" x14ac:dyDescent="0.35">
      <c r="A233">
        <v>232</v>
      </c>
      <c r="B233" s="4" t="s">
        <v>2192</v>
      </c>
      <c r="C233" s="3">
        <v>2013</v>
      </c>
      <c r="D233" s="4" t="s">
        <v>3707</v>
      </c>
      <c r="E233" s="35" t="s">
        <v>3708</v>
      </c>
      <c r="F233" s="4" t="str">
        <f>IF(COUNTIFS(Sheet1!$D$2:$D$3203, C233, Sheet1!$C$2:$C$3203, B233) &gt; 0, "Sudah", "Belum")</f>
        <v>Sudah</v>
      </c>
    </row>
    <row r="234" spans="1:6" hidden="1" x14ac:dyDescent="0.35">
      <c r="A234">
        <v>233</v>
      </c>
      <c r="B234" s="4" t="s">
        <v>779</v>
      </c>
      <c r="C234" s="3">
        <v>1990</v>
      </c>
      <c r="D234" s="4" t="s">
        <v>3709</v>
      </c>
      <c r="E234" s="35" t="s">
        <v>3710</v>
      </c>
      <c r="F234" s="4" t="str">
        <f>IF(COUNTIFS(Sheet1!$D$2:$D$3203, C234, Sheet1!$C$2:$C$3203, B234) &gt; 0, "Sudah", "Belum")</f>
        <v>Sudah</v>
      </c>
    </row>
    <row r="235" spans="1:6" hidden="1" x14ac:dyDescent="0.35">
      <c r="A235">
        <v>234</v>
      </c>
      <c r="B235" s="4" t="s">
        <v>1449</v>
      </c>
      <c r="C235" s="3">
        <v>1999</v>
      </c>
      <c r="D235" s="4" t="s">
        <v>3711</v>
      </c>
      <c r="E235" s="35" t="s">
        <v>3712</v>
      </c>
      <c r="F235" s="4" t="str">
        <f>IF(COUNTIFS(Sheet1!$D$2:$D$3203, C235, Sheet1!$C$2:$C$3203, B235) &gt; 0, "Sudah", "Belum")</f>
        <v>Sudah</v>
      </c>
    </row>
    <row r="236" spans="1:6" hidden="1" x14ac:dyDescent="0.35">
      <c r="A236">
        <v>235</v>
      </c>
      <c r="B236" s="4" t="s">
        <v>2338</v>
      </c>
      <c r="C236" s="3">
        <v>2015</v>
      </c>
      <c r="D236" s="4" t="s">
        <v>3713</v>
      </c>
      <c r="E236" s="35" t="s">
        <v>3714</v>
      </c>
      <c r="F236" s="4" t="str">
        <f>IF(COUNTIFS(Sheet1!$D$2:$D$3203, C236, Sheet1!$C$2:$C$3203, B236) &gt; 0, "Sudah", "Belum")</f>
        <v>Sudah</v>
      </c>
    </row>
    <row r="237" spans="1:6" hidden="1" x14ac:dyDescent="0.35">
      <c r="A237">
        <v>236</v>
      </c>
      <c r="B237" s="4" t="s">
        <v>2136</v>
      </c>
      <c r="C237" s="3">
        <v>2012</v>
      </c>
      <c r="D237" s="4" t="s">
        <v>3715</v>
      </c>
      <c r="E237" s="35" t="s">
        <v>3716</v>
      </c>
      <c r="F237" s="4" t="str">
        <f>IF(COUNTIFS(Sheet1!$D$2:$D$3203, C237, Sheet1!$C$2:$C$3203, B237) &gt; 0, "Sudah", "Belum")</f>
        <v>Sudah</v>
      </c>
    </row>
    <row r="238" spans="1:6" hidden="1" x14ac:dyDescent="0.35">
      <c r="A238">
        <v>237</v>
      </c>
      <c r="B238" s="4" t="s">
        <v>2161</v>
      </c>
      <c r="C238" s="3">
        <v>2012</v>
      </c>
      <c r="D238" s="4" t="s">
        <v>3718</v>
      </c>
      <c r="E238" s="35" t="s">
        <v>3719</v>
      </c>
      <c r="F238" s="4" t="str">
        <f>IF(COUNTIFS(Sheet1!$D$2:$D$3203, C238, Sheet1!$C$2:$C$3203, B238) &gt; 0, "Sudah", "Belum")</f>
        <v>Sudah</v>
      </c>
    </row>
    <row r="239" spans="1:6" hidden="1" x14ac:dyDescent="0.35">
      <c r="A239">
        <v>238</v>
      </c>
      <c r="B239" s="4" t="s">
        <v>1623</v>
      </c>
      <c r="C239" s="3">
        <v>1999</v>
      </c>
      <c r="D239" s="4" t="s">
        <v>3720</v>
      </c>
      <c r="E239" s="35" t="s">
        <v>3721</v>
      </c>
      <c r="F239" s="4" t="str">
        <f>IF(COUNTIFS(Sheet1!$D$2:$D$3203, C239, Sheet1!$C$2:$C$3203, B239) &gt; 0, "Sudah", "Belum")</f>
        <v>Sudah</v>
      </c>
    </row>
    <row r="240" spans="1:6" hidden="1" x14ac:dyDescent="0.35">
      <c r="A240">
        <v>239</v>
      </c>
      <c r="B240" s="4" t="s">
        <v>1187</v>
      </c>
      <c r="C240" s="3">
        <v>1996</v>
      </c>
      <c r="D240" s="4" t="s">
        <v>3722</v>
      </c>
      <c r="E240" s="35" t="s">
        <v>3723</v>
      </c>
      <c r="F240" s="4" t="str">
        <f>IF(COUNTIFS(Sheet1!$D$2:$D$3203, C240, Sheet1!$C$2:$C$3203, B240) &gt; 0, "Sudah", "Belum")</f>
        <v>Sudah</v>
      </c>
    </row>
    <row r="241" spans="1:6" hidden="1" x14ac:dyDescent="0.35">
      <c r="A241">
        <v>240</v>
      </c>
      <c r="B241" s="4" t="s">
        <v>836</v>
      </c>
      <c r="C241" s="3">
        <v>1992</v>
      </c>
      <c r="D241" s="4" t="s">
        <v>3724</v>
      </c>
      <c r="E241" s="35" t="s">
        <v>3725</v>
      </c>
      <c r="F241" s="4" t="str">
        <f>IF(COUNTIFS(Sheet1!$D$2:$D$3203, C241, Sheet1!$C$2:$C$3203, B241) &gt; 0, "Sudah", "Belum")</f>
        <v>Sudah</v>
      </c>
    </row>
    <row r="242" spans="1:6" hidden="1" x14ac:dyDescent="0.35">
      <c r="A242">
        <v>241</v>
      </c>
      <c r="B242" s="4" t="s">
        <v>1272</v>
      </c>
      <c r="C242" s="3">
        <v>1996</v>
      </c>
      <c r="D242" s="4" t="s">
        <v>3728</v>
      </c>
      <c r="E242" s="35" t="s">
        <v>3729</v>
      </c>
      <c r="F242" s="4" t="str">
        <f>IF(COUNTIFS(Sheet1!$D$2:$D$3203, C242, Sheet1!$C$2:$C$3203, B242) &gt; 0, "Sudah", "Belum")</f>
        <v>Sudah</v>
      </c>
    </row>
    <row r="243" spans="1:6" hidden="1" x14ac:dyDescent="0.35">
      <c r="A243">
        <v>242</v>
      </c>
      <c r="B243" s="4" t="s">
        <v>919</v>
      </c>
      <c r="C243" s="3">
        <v>1993</v>
      </c>
      <c r="D243" s="4" t="s">
        <v>3730</v>
      </c>
      <c r="E243" s="35" t="s">
        <v>3731</v>
      </c>
      <c r="F243" s="4" t="str">
        <f>IF(COUNTIFS(Sheet1!$D$2:$D$3203, C243, Sheet1!$C$2:$C$3203, B243) &gt; 0, "Sudah", "Belum")</f>
        <v>Sudah</v>
      </c>
    </row>
    <row r="244" spans="1:6" hidden="1" x14ac:dyDescent="0.35">
      <c r="A244">
        <v>243</v>
      </c>
      <c r="B244" s="4" t="s">
        <v>448</v>
      </c>
      <c r="C244" s="3">
        <v>1983</v>
      </c>
      <c r="D244" s="4" t="s">
        <v>3732</v>
      </c>
      <c r="E244" s="35" t="s">
        <v>3733</v>
      </c>
      <c r="F244" s="4" t="str">
        <f>IF(COUNTIFS(Sheet1!$D$2:$D$3203, C244, Sheet1!$C$2:$C$3203, B244) &gt; 0, "Sudah", "Belum")</f>
        <v>Sudah</v>
      </c>
    </row>
    <row r="245" spans="1:6" hidden="1" x14ac:dyDescent="0.35">
      <c r="A245">
        <v>244</v>
      </c>
      <c r="B245" s="4" t="s">
        <v>1004</v>
      </c>
      <c r="C245" s="3">
        <v>1995</v>
      </c>
      <c r="D245" s="4" t="s">
        <v>3734</v>
      </c>
      <c r="E245" s="35" t="s">
        <v>3735</v>
      </c>
      <c r="F245" s="4" t="str">
        <f>IF(COUNTIFS(Sheet1!$D$2:$D$3203, C245, Sheet1!$C$2:$C$3203, B245) &gt; 0, "Sudah", "Belum")</f>
        <v>Sudah</v>
      </c>
    </row>
    <row r="246" spans="1:6" hidden="1" x14ac:dyDescent="0.35">
      <c r="A246">
        <v>245</v>
      </c>
      <c r="B246" s="4" t="s">
        <v>1478</v>
      </c>
      <c r="C246" s="3">
        <v>2000</v>
      </c>
      <c r="D246" s="4" t="s">
        <v>3736</v>
      </c>
      <c r="E246" s="35" t="s">
        <v>3737</v>
      </c>
      <c r="F246" s="4" t="str">
        <f>IF(COUNTIFS(Sheet1!$D$2:$D$3203, C246, Sheet1!$C$2:$C$3203, B246) &gt; 0, "Sudah", "Belum")</f>
        <v>Sudah</v>
      </c>
    </row>
    <row r="247" spans="1:6" hidden="1" x14ac:dyDescent="0.35">
      <c r="A247">
        <v>246</v>
      </c>
      <c r="B247" s="4" t="s">
        <v>750</v>
      </c>
      <c r="C247" s="3">
        <v>1990</v>
      </c>
      <c r="D247" s="4" t="s">
        <v>3738</v>
      </c>
      <c r="E247" s="35" t="s">
        <v>3739</v>
      </c>
      <c r="F247" s="4" t="str">
        <f>IF(COUNTIFS(Sheet1!$D$2:$D$3203, C247, Sheet1!$C$2:$C$3203, B247) &gt; 0, "Sudah", "Belum")</f>
        <v>Sudah</v>
      </c>
    </row>
    <row r="248" spans="1:6" hidden="1" x14ac:dyDescent="0.35">
      <c r="A248">
        <v>247</v>
      </c>
      <c r="B248" s="4" t="s">
        <v>1697</v>
      </c>
      <c r="C248" s="3">
        <v>2002</v>
      </c>
      <c r="D248" s="4" t="s">
        <v>3740</v>
      </c>
      <c r="E248" s="35" t="s">
        <v>3741</v>
      </c>
      <c r="F248" s="4" t="str">
        <f>IF(COUNTIFS(Sheet1!$D$2:$D$3203, C248, Sheet1!$C$2:$C$3203, B248) &gt; 0, "Sudah", "Belum")</f>
        <v>Sudah</v>
      </c>
    </row>
    <row r="249" spans="1:6" hidden="1" x14ac:dyDescent="0.35">
      <c r="A249">
        <v>248</v>
      </c>
      <c r="B249" s="4" t="s">
        <v>3004</v>
      </c>
      <c r="C249" s="3">
        <v>2008</v>
      </c>
      <c r="D249" s="4" t="s">
        <v>3742</v>
      </c>
      <c r="E249" s="35" t="s">
        <v>3743</v>
      </c>
      <c r="F249" s="4" t="str">
        <f>IF(COUNTIFS(Sheet1!$D$2:$D$3203, C249, Sheet1!$C$2:$C$3203, B249) &gt; 0, "Sudah", "Belum")</f>
        <v>Sudah</v>
      </c>
    </row>
    <row r="250" spans="1:6" hidden="1" x14ac:dyDescent="0.35">
      <c r="A250">
        <v>249</v>
      </c>
      <c r="B250" s="4" t="s">
        <v>2036</v>
      </c>
      <c r="C250" s="3">
        <v>2011</v>
      </c>
      <c r="D250" s="4" t="s">
        <v>3744</v>
      </c>
      <c r="E250" s="35" t="s">
        <v>3745</v>
      </c>
      <c r="F250" s="4" t="str">
        <f>IF(COUNTIFS(Sheet1!$D$2:$D$3203, C250, Sheet1!$C$2:$C$3203, B250) &gt; 0, "Sudah", "Belum")</f>
        <v>Sudah</v>
      </c>
    </row>
    <row r="251" spans="1:6" hidden="1" x14ac:dyDescent="0.35">
      <c r="A251">
        <v>250</v>
      </c>
      <c r="B251" s="4" t="s">
        <v>400</v>
      </c>
      <c r="C251" s="3">
        <v>1982</v>
      </c>
      <c r="D251" s="4" t="s">
        <v>3746</v>
      </c>
      <c r="E251" s="35" t="s">
        <v>3747</v>
      </c>
      <c r="F251" s="4" t="str">
        <f>IF(COUNTIFS(Sheet1!$D$2:$D$3203, C251, Sheet1!$C$2:$C$3203, B251) &gt; 0, "Sudah", "Belum")</f>
        <v>Sudah</v>
      </c>
    </row>
    <row r="252" spans="1:6" hidden="1" x14ac:dyDescent="0.35">
      <c r="A252">
        <v>251</v>
      </c>
      <c r="B252" s="4" t="s">
        <v>983</v>
      </c>
      <c r="C252" s="3">
        <v>1994</v>
      </c>
      <c r="D252" s="4" t="s">
        <v>3748</v>
      </c>
      <c r="E252" s="35" t="s">
        <v>3749</v>
      </c>
      <c r="F252" s="4" t="str">
        <f>IF(COUNTIFS(Sheet1!$D$2:$D$3203, C252, Sheet1!$C$2:$C$3203, B252) &gt; 0, "Sudah", "Belum")</f>
        <v>Sudah</v>
      </c>
    </row>
    <row r="253" spans="1:6" hidden="1" x14ac:dyDescent="0.35">
      <c r="A253">
        <v>252</v>
      </c>
      <c r="B253" s="4" t="s">
        <v>564</v>
      </c>
      <c r="C253" s="3">
        <v>1986</v>
      </c>
      <c r="D253" s="4" t="s">
        <v>3750</v>
      </c>
      <c r="E253" s="35" t="s">
        <v>3751</v>
      </c>
      <c r="F253" s="4" t="str">
        <f>IF(COUNTIFS(Sheet1!$D$2:$D$3203, C253, Sheet1!$C$2:$C$3203, B253) &gt; 0, "Sudah", "Belum")</f>
        <v>Sudah</v>
      </c>
    </row>
    <row r="254" spans="1:6" hidden="1" x14ac:dyDescent="0.35">
      <c r="A254">
        <v>253</v>
      </c>
      <c r="B254" s="4" t="s">
        <v>892</v>
      </c>
      <c r="C254" s="3">
        <v>1993</v>
      </c>
      <c r="D254" s="4" t="s">
        <v>3752</v>
      </c>
      <c r="E254" s="35" t="s">
        <v>3753</v>
      </c>
      <c r="F254" s="4" t="str">
        <f>IF(COUNTIFS(Sheet1!$D$2:$D$3203, C254, Sheet1!$C$2:$C$3203, B254) &gt; 0, "Sudah", "Belum")</f>
        <v>Sudah</v>
      </c>
    </row>
    <row r="255" spans="1:6" hidden="1" x14ac:dyDescent="0.35">
      <c r="A255">
        <v>254</v>
      </c>
      <c r="B255" s="4" t="s">
        <v>863</v>
      </c>
      <c r="C255" s="3">
        <v>1992</v>
      </c>
      <c r="D255" s="4" t="s">
        <v>3754</v>
      </c>
      <c r="E255" s="35" t="s">
        <v>3755</v>
      </c>
      <c r="F255" s="4" t="str">
        <f>IF(COUNTIFS(Sheet1!$D$2:$D$3203, C255, Sheet1!$C$2:$C$3203, B255) &gt; 0, "Sudah", "Belum")</f>
        <v>Sudah</v>
      </c>
    </row>
    <row r="256" spans="1:6" hidden="1" x14ac:dyDescent="0.35">
      <c r="A256">
        <v>255</v>
      </c>
      <c r="B256" s="4" t="s">
        <v>3756</v>
      </c>
      <c r="C256" s="3">
        <v>2010</v>
      </c>
      <c r="D256" s="4" t="s">
        <v>3757</v>
      </c>
      <c r="E256" s="35" t="s">
        <v>3758</v>
      </c>
      <c r="F256" s="4" t="str">
        <f>IF(COUNTIFS(Sheet1!$D$2:$D$3203, C256, Sheet1!$C$2:$C$3203, B256) &gt; 0, "Sudah", "Belum")</f>
        <v>Sudah</v>
      </c>
    </row>
    <row r="257" spans="1:6" x14ac:dyDescent="0.35">
      <c r="A257">
        <v>256</v>
      </c>
      <c r="B257" s="4" t="s">
        <v>3759</v>
      </c>
      <c r="C257" s="3">
        <v>1990</v>
      </c>
      <c r="D257" s="4" t="s">
        <v>3760</v>
      </c>
      <c r="E257" s="35" t="s">
        <v>3761</v>
      </c>
      <c r="F257" s="4" t="str">
        <f>IF(COUNTIFS(Sheet1!$D$2:$D$3203, C257, Sheet1!$C$2:$C$3203, B257) &gt; 0, "Sudah", "Belum")</f>
        <v>Belum</v>
      </c>
    </row>
    <row r="258" spans="1:6" hidden="1" x14ac:dyDescent="0.35">
      <c r="A258">
        <v>257</v>
      </c>
      <c r="B258" s="4" t="s">
        <v>1006</v>
      </c>
      <c r="C258" s="3">
        <v>1995</v>
      </c>
      <c r="D258" s="4" t="s">
        <v>3762</v>
      </c>
      <c r="E258" s="35" t="s">
        <v>3763</v>
      </c>
      <c r="F258" s="4" t="str">
        <f>IF(COUNTIFS(Sheet1!$D$2:$D$3203, C258, Sheet1!$C$2:$C$3203, B258) &gt; 0, "Sudah", "Belum")</f>
        <v>Sudah</v>
      </c>
    </row>
    <row r="259" spans="1:6" hidden="1" x14ac:dyDescent="0.35">
      <c r="A259">
        <v>258</v>
      </c>
      <c r="B259" s="4" t="s">
        <v>2133</v>
      </c>
      <c r="C259" s="3">
        <v>2012</v>
      </c>
      <c r="D259" s="4" t="s">
        <v>3764</v>
      </c>
      <c r="E259" s="35" t="s">
        <v>3765</v>
      </c>
      <c r="F259" s="4" t="str">
        <f>IF(COUNTIFS(Sheet1!$D$2:$D$3203, C259, Sheet1!$C$2:$C$3203, B259) &gt; 0, "Sudah", "Belum")</f>
        <v>Sudah</v>
      </c>
    </row>
    <row r="260" spans="1:6" hidden="1" x14ac:dyDescent="0.35">
      <c r="A260">
        <v>259</v>
      </c>
      <c r="B260" s="4" t="s">
        <v>2356</v>
      </c>
      <c r="C260" s="3">
        <v>2015</v>
      </c>
      <c r="D260" s="4" t="s">
        <v>3766</v>
      </c>
      <c r="E260" s="35" t="s">
        <v>3767</v>
      </c>
      <c r="F260" s="4" t="str">
        <f>IF(COUNTIFS(Sheet1!$D$2:$D$3203, C260, Sheet1!$C$2:$C$3203, B260) &gt; 0, "Sudah", "Belum")</f>
        <v>Sudah</v>
      </c>
    </row>
    <row r="261" spans="1:6" hidden="1" x14ac:dyDescent="0.35">
      <c r="A261">
        <v>260</v>
      </c>
      <c r="B261" s="4" t="s">
        <v>960</v>
      </c>
      <c r="C261" s="3">
        <v>1994</v>
      </c>
      <c r="D261" s="4" t="s">
        <v>3768</v>
      </c>
      <c r="E261" s="35" t="s">
        <v>3769</v>
      </c>
      <c r="F261" s="4" t="str">
        <f>IF(COUNTIFS(Sheet1!$D$2:$D$3203, C261, Sheet1!$C$2:$C$3203, B261) &gt; 0, "Sudah", "Belum")</f>
        <v>Sudah</v>
      </c>
    </row>
    <row r="262" spans="1:6" hidden="1" x14ac:dyDescent="0.35">
      <c r="A262">
        <v>261</v>
      </c>
      <c r="B262" s="4" t="s">
        <v>2154</v>
      </c>
      <c r="C262" s="3">
        <v>2012</v>
      </c>
      <c r="D262" s="4" t="s">
        <v>3770</v>
      </c>
      <c r="E262" s="35" t="s">
        <v>3771</v>
      </c>
      <c r="F262" s="4" t="str">
        <f>IF(COUNTIFS(Sheet1!$D$2:$D$3203, C262, Sheet1!$C$2:$C$3203, B262) &gt; 0, "Sudah", "Belum")</f>
        <v>Sudah</v>
      </c>
    </row>
    <row r="263" spans="1:6" hidden="1" x14ac:dyDescent="0.35">
      <c r="A263">
        <v>262</v>
      </c>
      <c r="B263" s="4" t="s">
        <v>5833</v>
      </c>
      <c r="C263" s="3">
        <v>1989</v>
      </c>
      <c r="D263" s="4" t="s">
        <v>3774</v>
      </c>
      <c r="E263" s="35" t="s">
        <v>3775</v>
      </c>
      <c r="F263" s="4" t="str">
        <f>IF(COUNTIFS(Sheet1!$D$2:$D$3203, C263, Sheet1!$C$2:$C$3203, B263) &gt; 0, "Sudah", "Belum")</f>
        <v>Sudah</v>
      </c>
    </row>
    <row r="264" spans="1:6" hidden="1" x14ac:dyDescent="0.35">
      <c r="A264">
        <v>263</v>
      </c>
      <c r="B264" s="4" t="s">
        <v>253</v>
      </c>
      <c r="C264" s="3">
        <v>1979</v>
      </c>
      <c r="D264" s="4" t="s">
        <v>3776</v>
      </c>
      <c r="E264" s="35" t="s">
        <v>3777</v>
      </c>
      <c r="F264" s="4" t="str">
        <f>IF(COUNTIFS(Sheet1!$D$2:$D$3203, C264, Sheet1!$C$2:$C$3203, B264) &gt; 0, "Sudah", "Belum")</f>
        <v>Sudah</v>
      </c>
    </row>
    <row r="265" spans="1:6" x14ac:dyDescent="0.35">
      <c r="A265">
        <v>264</v>
      </c>
      <c r="B265" s="4" t="s">
        <v>3778</v>
      </c>
      <c r="C265" s="3">
        <v>1996</v>
      </c>
      <c r="D265" s="4" t="s">
        <v>3779</v>
      </c>
      <c r="E265" s="35" t="s">
        <v>3780</v>
      </c>
      <c r="F265" s="4" t="str">
        <f>IF(COUNTIFS(Sheet1!$D$2:$D$3203, C265, Sheet1!$C$2:$C$3203, B265) &gt; 0, "Sudah", "Belum")</f>
        <v>Belum</v>
      </c>
    </row>
    <row r="266" spans="1:6" hidden="1" x14ac:dyDescent="0.35">
      <c r="A266">
        <v>265</v>
      </c>
      <c r="B266" s="4" t="s">
        <v>630</v>
      </c>
      <c r="C266" s="3">
        <v>1987</v>
      </c>
      <c r="D266" s="4" t="s">
        <v>3781</v>
      </c>
      <c r="E266" s="35" t="s">
        <v>3782</v>
      </c>
      <c r="F266" s="4" t="str">
        <f>IF(COUNTIFS(Sheet1!$D$2:$D$3203, C266, Sheet1!$C$2:$C$3203, B266) &gt; 0, "Sudah", "Belum")</f>
        <v>Sudah</v>
      </c>
    </row>
    <row r="267" spans="1:6" hidden="1" x14ac:dyDescent="0.35">
      <c r="A267">
        <v>266</v>
      </c>
      <c r="B267" s="4" t="s">
        <v>3783</v>
      </c>
      <c r="C267" s="3">
        <v>1994</v>
      </c>
      <c r="D267" s="4" t="s">
        <v>3784</v>
      </c>
      <c r="E267" s="35" t="s">
        <v>3785</v>
      </c>
      <c r="F267" s="4" t="str">
        <f>IF(COUNTIFS(Sheet1!$D$2:$D$3203, C267, Sheet1!$C$2:$C$3203, B267) &gt; 0, "Sudah", "Belum")</f>
        <v>Sudah</v>
      </c>
    </row>
    <row r="268" spans="1:6" hidden="1" x14ac:dyDescent="0.35">
      <c r="A268">
        <v>267</v>
      </c>
      <c r="B268" s="4" t="s">
        <v>2130</v>
      </c>
      <c r="C268" s="3">
        <v>2012</v>
      </c>
      <c r="D268" s="4" t="s">
        <v>3786</v>
      </c>
      <c r="E268" s="35" t="s">
        <v>3787</v>
      </c>
      <c r="F268" s="4" t="str">
        <f>IF(COUNTIFS(Sheet1!$D$2:$D$3203, C268, Sheet1!$C$2:$C$3203, B268) &gt; 0, "Sudah", "Belum")</f>
        <v>Sudah</v>
      </c>
    </row>
    <row r="269" spans="1:6" hidden="1" x14ac:dyDescent="0.35">
      <c r="A269">
        <v>268</v>
      </c>
      <c r="B269" s="4" t="s">
        <v>1157</v>
      </c>
      <c r="C269" s="3">
        <v>1996</v>
      </c>
      <c r="D269" s="4" t="s">
        <v>3788</v>
      </c>
      <c r="E269" s="35" t="s">
        <v>3789</v>
      </c>
      <c r="F269" s="4" t="str">
        <f>IF(COUNTIFS(Sheet1!$D$2:$D$3203, C269, Sheet1!$C$2:$C$3203, B269) &gt; 0, "Sudah", "Belum")</f>
        <v>Sudah</v>
      </c>
    </row>
    <row r="270" spans="1:6" hidden="1" x14ac:dyDescent="0.35">
      <c r="A270">
        <v>269</v>
      </c>
      <c r="B270" s="4" t="s">
        <v>909</v>
      </c>
      <c r="C270" s="3">
        <v>1992</v>
      </c>
      <c r="D270" s="4" t="s">
        <v>3790</v>
      </c>
      <c r="E270" s="35" t="s">
        <v>3791</v>
      </c>
      <c r="F270" s="4" t="str">
        <f>IF(COUNTIFS(Sheet1!$D$2:$D$3203, C270, Sheet1!$C$2:$C$3203, B270) &gt; 0, "Sudah", "Belum")</f>
        <v>Sudah</v>
      </c>
    </row>
    <row r="271" spans="1:6" hidden="1" x14ac:dyDescent="0.35">
      <c r="A271">
        <v>270</v>
      </c>
      <c r="B271" s="4" t="s">
        <v>2138</v>
      </c>
      <c r="C271" s="3">
        <v>2012</v>
      </c>
      <c r="D271" s="4" t="s">
        <v>3792</v>
      </c>
      <c r="E271" s="35" t="s">
        <v>3793</v>
      </c>
      <c r="F271" s="4" t="str">
        <f>IF(COUNTIFS(Sheet1!$D$2:$D$3203, C271, Sheet1!$C$2:$C$3203, B271) &gt; 0, "Sudah", "Belum")</f>
        <v>Sudah</v>
      </c>
    </row>
    <row r="272" spans="1:6" hidden="1" x14ac:dyDescent="0.35">
      <c r="A272">
        <v>271</v>
      </c>
      <c r="B272" s="4" t="s">
        <v>3794</v>
      </c>
      <c r="C272" s="3">
        <v>2003</v>
      </c>
      <c r="D272" s="4" t="s">
        <v>3795</v>
      </c>
      <c r="E272" s="35" t="s">
        <v>3796</v>
      </c>
      <c r="F272" s="4" t="str">
        <f>IF(COUNTIFS(Sheet1!$D$2:$D$3203, C272, Sheet1!$C$2:$C$3203, B272) &gt; 0, "Sudah", "Belum")</f>
        <v>Sudah</v>
      </c>
    </row>
    <row r="273" spans="1:6" hidden="1" x14ac:dyDescent="0.35">
      <c r="A273">
        <v>272</v>
      </c>
      <c r="B273" s="4" t="s">
        <v>1036</v>
      </c>
      <c r="C273" s="3">
        <v>1991</v>
      </c>
      <c r="D273" s="4" t="s">
        <v>3797</v>
      </c>
      <c r="E273" s="35" t="s">
        <v>3798</v>
      </c>
      <c r="F273" s="4" t="str">
        <f>IF(COUNTIFS(Sheet1!$D$2:$D$3203, C273, Sheet1!$C$2:$C$3203, B273) &gt; 0, "Sudah", "Belum")</f>
        <v>Sudah</v>
      </c>
    </row>
    <row r="274" spans="1:6" hidden="1" x14ac:dyDescent="0.35">
      <c r="A274">
        <v>273</v>
      </c>
      <c r="B274" s="4" t="s">
        <v>2141</v>
      </c>
      <c r="C274" s="3">
        <v>2012</v>
      </c>
      <c r="D274" s="4" t="s">
        <v>3799</v>
      </c>
      <c r="E274" s="35" t="s">
        <v>3800</v>
      </c>
      <c r="F274" s="4" t="str">
        <f>IF(COUNTIFS(Sheet1!$D$2:$D$3203, C274, Sheet1!$C$2:$C$3203, B274) &gt; 0, "Sudah", "Belum")</f>
        <v>Sudah</v>
      </c>
    </row>
    <row r="275" spans="1:6" x14ac:dyDescent="0.35">
      <c r="A275">
        <v>274</v>
      </c>
      <c r="B275" s="4" t="s">
        <v>3801</v>
      </c>
      <c r="C275" s="3">
        <v>1990</v>
      </c>
      <c r="D275" s="4" t="s">
        <v>3802</v>
      </c>
      <c r="E275" s="35" t="s">
        <v>3803</v>
      </c>
      <c r="F275" s="4" t="str">
        <f>IF(COUNTIFS(Sheet1!$D$2:$D$3203, C275, Sheet1!$C$2:$C$3203, B275) &gt; 0, "Sudah", "Belum")</f>
        <v>Belum</v>
      </c>
    </row>
    <row r="276" spans="1:6" hidden="1" x14ac:dyDescent="0.35">
      <c r="A276">
        <v>275</v>
      </c>
      <c r="B276" s="4" t="s">
        <v>1109</v>
      </c>
      <c r="C276" s="3">
        <v>1995</v>
      </c>
      <c r="D276" s="4" t="s">
        <v>3804</v>
      </c>
      <c r="E276" s="35" t="s">
        <v>3805</v>
      </c>
      <c r="F276" s="4" t="str">
        <f>IF(COUNTIFS(Sheet1!$D$2:$D$3203, C276, Sheet1!$C$2:$C$3203, B276) &gt; 0, "Sudah", "Belum")</f>
        <v>Sudah</v>
      </c>
    </row>
    <row r="277" spans="1:6" hidden="1" x14ac:dyDescent="0.35">
      <c r="A277">
        <v>276</v>
      </c>
      <c r="B277" s="4" t="s">
        <v>329</v>
      </c>
      <c r="C277" s="3">
        <v>1979</v>
      </c>
      <c r="D277" s="4" t="s">
        <v>3806</v>
      </c>
      <c r="E277" s="35" t="s">
        <v>3807</v>
      </c>
      <c r="F277" s="4" t="str">
        <f>IF(COUNTIFS(Sheet1!$D$2:$D$3203, C277, Sheet1!$C$2:$C$3203, B277) &gt; 0, "Sudah", "Belum")</f>
        <v>Sudah</v>
      </c>
    </row>
    <row r="278" spans="1:6" hidden="1" x14ac:dyDescent="0.35">
      <c r="A278">
        <v>277</v>
      </c>
      <c r="B278" s="4" t="s">
        <v>1217</v>
      </c>
      <c r="C278" s="3">
        <v>1996</v>
      </c>
      <c r="D278" s="4" t="s">
        <v>3808</v>
      </c>
      <c r="E278" s="35" t="s">
        <v>3809</v>
      </c>
      <c r="F278" s="4" t="str">
        <f>IF(COUNTIFS(Sheet1!$D$2:$D$3203, C278, Sheet1!$C$2:$C$3203, B278) &gt; 0, "Sudah", "Belum")</f>
        <v>Sudah</v>
      </c>
    </row>
    <row r="279" spans="1:6" x14ac:dyDescent="0.35">
      <c r="A279">
        <v>278</v>
      </c>
      <c r="B279" s="4" t="s">
        <v>3810</v>
      </c>
      <c r="C279" s="3">
        <v>1984</v>
      </c>
      <c r="D279" s="4" t="s">
        <v>3811</v>
      </c>
      <c r="E279" s="35" t="s">
        <v>3812</v>
      </c>
      <c r="F279" s="4" t="str">
        <f>IF(COUNTIFS(Sheet1!$D$2:$D$3203, C279, Sheet1!$C$2:$C$3203, B279) &gt; 0, "Sudah", "Belum")</f>
        <v>Belum</v>
      </c>
    </row>
    <row r="280" spans="1:6" hidden="1" x14ac:dyDescent="0.35">
      <c r="A280">
        <v>279</v>
      </c>
      <c r="B280" s="4" t="s">
        <v>3813</v>
      </c>
      <c r="C280" s="3">
        <v>1991</v>
      </c>
      <c r="D280" s="4" t="s">
        <v>3814</v>
      </c>
      <c r="E280" s="35" t="s">
        <v>3815</v>
      </c>
      <c r="F280" s="4" t="str">
        <f>IF(COUNTIFS(Sheet1!$D$2:$D$3203, C280, Sheet1!$C$2:$C$3203, B280) &gt; 0, "Sudah", "Belum")</f>
        <v>Sudah</v>
      </c>
    </row>
    <row r="281" spans="1:6" hidden="1" x14ac:dyDescent="0.35">
      <c r="A281">
        <v>280</v>
      </c>
      <c r="B281" s="4" t="s">
        <v>3816</v>
      </c>
      <c r="C281" s="3">
        <v>1996</v>
      </c>
      <c r="D281" s="4" t="s">
        <v>3817</v>
      </c>
      <c r="E281" s="35" t="s">
        <v>3818</v>
      </c>
      <c r="F281" s="4" t="str">
        <f>IF(COUNTIFS(Sheet1!$D$2:$D$3203, C281, Sheet1!$C$2:$C$3203, B281) &gt; 0, "Sudah", "Belum")</f>
        <v>Sudah</v>
      </c>
    </row>
    <row r="282" spans="1:6" hidden="1" x14ac:dyDescent="0.35">
      <c r="A282">
        <v>281</v>
      </c>
      <c r="B282" s="4" t="s">
        <v>1247</v>
      </c>
      <c r="C282" s="3">
        <v>1996</v>
      </c>
      <c r="D282" s="4" t="s">
        <v>3819</v>
      </c>
      <c r="E282" s="35" t="s">
        <v>3820</v>
      </c>
      <c r="F282" s="4" t="str">
        <f>IF(COUNTIFS(Sheet1!$D$2:$D$3203, C282, Sheet1!$C$2:$C$3203, B282) &gt; 0, "Sudah", "Belum")</f>
        <v>Sudah</v>
      </c>
    </row>
    <row r="283" spans="1:6" hidden="1" x14ac:dyDescent="0.35">
      <c r="A283">
        <v>282</v>
      </c>
      <c r="B283" s="4" t="s">
        <v>3065</v>
      </c>
      <c r="C283" s="3">
        <v>2010</v>
      </c>
      <c r="D283" s="4" t="s">
        <v>3823</v>
      </c>
      <c r="E283" s="35" t="s">
        <v>3824</v>
      </c>
      <c r="F283" s="4" t="str">
        <f>IF(COUNTIFS(Sheet1!$D$2:$D$3203, C283, Sheet1!$C$2:$C$3203, B283) &gt; 0, "Sudah", "Belum")</f>
        <v>Sudah</v>
      </c>
    </row>
    <row r="284" spans="1:6" hidden="1" x14ac:dyDescent="0.35">
      <c r="A284">
        <v>283</v>
      </c>
      <c r="B284" s="4" t="s">
        <v>3825</v>
      </c>
      <c r="C284" s="3">
        <v>2004</v>
      </c>
      <c r="D284" s="4" t="s">
        <v>3826</v>
      </c>
      <c r="E284" s="35" t="s">
        <v>3827</v>
      </c>
      <c r="F284" s="4" t="str">
        <f>IF(COUNTIFS(Sheet1!$D$2:$D$3203, C284, Sheet1!$C$2:$C$3203, B284) &gt; 0, "Sudah", "Belum")</f>
        <v>Sudah</v>
      </c>
    </row>
    <row r="285" spans="1:6" hidden="1" x14ac:dyDescent="0.35">
      <c r="A285">
        <v>284</v>
      </c>
      <c r="B285" s="4" t="s">
        <v>2322</v>
      </c>
      <c r="C285" s="3">
        <v>2014</v>
      </c>
      <c r="D285" s="4" t="s">
        <v>3828</v>
      </c>
      <c r="E285" s="35" t="s">
        <v>3829</v>
      </c>
      <c r="F285" s="4" t="str">
        <f>IF(COUNTIFS(Sheet1!$D$2:$D$3203, C285, Sheet1!$C$2:$C$3203, B285) &gt; 0, "Sudah", "Belum")</f>
        <v>Sudah</v>
      </c>
    </row>
    <row r="286" spans="1:6" hidden="1" x14ac:dyDescent="0.35">
      <c r="A286">
        <v>285</v>
      </c>
      <c r="B286" s="4" t="s">
        <v>3830</v>
      </c>
      <c r="C286" s="3">
        <v>2003</v>
      </c>
      <c r="D286" s="4" t="s">
        <v>3831</v>
      </c>
      <c r="E286" s="35" t="s">
        <v>3832</v>
      </c>
      <c r="F286" s="4" t="str">
        <f>IF(COUNTIFS(Sheet1!$D$2:$D$3203, C286, Sheet1!$C$2:$C$3203, B286) &gt; 0, "Sudah", "Belum")</f>
        <v>Sudah</v>
      </c>
    </row>
    <row r="287" spans="1:6" hidden="1" x14ac:dyDescent="0.35">
      <c r="A287">
        <v>286</v>
      </c>
      <c r="B287" s="4" t="s">
        <v>994</v>
      </c>
      <c r="C287" s="3">
        <v>1994</v>
      </c>
      <c r="D287" s="4" t="s">
        <v>3833</v>
      </c>
      <c r="E287" s="35" t="s">
        <v>3834</v>
      </c>
      <c r="F287" s="4" t="str">
        <f>IF(COUNTIFS(Sheet1!$D$2:$D$3203, C287, Sheet1!$C$2:$C$3203, B287) &gt; 0, "Sudah", "Belum")</f>
        <v>Sudah</v>
      </c>
    </row>
    <row r="288" spans="1:6" hidden="1" x14ac:dyDescent="0.35">
      <c r="A288">
        <v>287</v>
      </c>
      <c r="B288" s="4" t="s">
        <v>1652</v>
      </c>
      <c r="C288" s="3">
        <v>2001</v>
      </c>
      <c r="D288" s="4" t="s">
        <v>3835</v>
      </c>
      <c r="E288" s="35" t="s">
        <v>3836</v>
      </c>
      <c r="F288" s="4" t="str">
        <f>IF(COUNTIFS(Sheet1!$D$2:$D$3203, C288, Sheet1!$C$2:$C$3203, B288) &gt; 0, "Sudah", "Belum")</f>
        <v>Sudah</v>
      </c>
    </row>
    <row r="289" spans="1:6" hidden="1" x14ac:dyDescent="0.35">
      <c r="A289">
        <v>288</v>
      </c>
      <c r="B289" s="4" t="s">
        <v>1744</v>
      </c>
      <c r="C289" s="3">
        <v>2003</v>
      </c>
      <c r="D289" s="4" t="s">
        <v>3837</v>
      </c>
      <c r="E289" s="35" t="s">
        <v>3838</v>
      </c>
      <c r="F289" s="4" t="str">
        <f>IF(COUNTIFS(Sheet1!$D$2:$D$3203, C289, Sheet1!$C$2:$C$3203, B289) &gt; 0, "Sudah", "Belum")</f>
        <v>Sudah</v>
      </c>
    </row>
    <row r="290" spans="1:6" hidden="1" x14ac:dyDescent="0.35">
      <c r="A290">
        <v>289</v>
      </c>
      <c r="B290" s="4" t="s">
        <v>2305</v>
      </c>
      <c r="C290" s="3">
        <v>2014</v>
      </c>
      <c r="D290" s="4" t="s">
        <v>3841</v>
      </c>
      <c r="E290" s="35" t="s">
        <v>3842</v>
      </c>
      <c r="F290" s="4" t="str">
        <f>IF(COUNTIFS(Sheet1!$D$2:$D$3203, C290, Sheet1!$C$2:$C$3203, B290) &gt; 0, "Sudah", "Belum")</f>
        <v>Sudah</v>
      </c>
    </row>
    <row r="291" spans="1:6" hidden="1" x14ac:dyDescent="0.35">
      <c r="A291">
        <v>290</v>
      </c>
      <c r="B291" s="4" t="s">
        <v>1708</v>
      </c>
      <c r="C291" s="3">
        <v>2003</v>
      </c>
      <c r="D291" s="4" t="s">
        <v>3843</v>
      </c>
      <c r="E291" s="35" t="s">
        <v>3844</v>
      </c>
      <c r="F291" s="4" t="str">
        <f>IF(COUNTIFS(Sheet1!$D$2:$D$3203, C291, Sheet1!$C$2:$C$3203, B291) &gt; 0, "Sudah", "Belum")</f>
        <v>Sudah</v>
      </c>
    </row>
    <row r="292" spans="1:6" hidden="1" x14ac:dyDescent="0.35">
      <c r="A292">
        <v>291</v>
      </c>
      <c r="B292" s="4" t="s">
        <v>1173</v>
      </c>
      <c r="C292" s="3">
        <v>1997</v>
      </c>
      <c r="D292" s="4" t="s">
        <v>3845</v>
      </c>
      <c r="E292" s="35" t="s">
        <v>3846</v>
      </c>
      <c r="F292" s="4" t="str">
        <f>IF(COUNTIFS(Sheet1!$D$2:$D$3203, C292, Sheet1!$C$2:$C$3203, B292) &gt; 0, "Sudah", "Belum")</f>
        <v>Sudah</v>
      </c>
    </row>
    <row r="293" spans="1:6" hidden="1" x14ac:dyDescent="0.35">
      <c r="A293">
        <v>292</v>
      </c>
      <c r="B293" s="4" t="s">
        <v>2144</v>
      </c>
      <c r="C293" s="3">
        <v>2012</v>
      </c>
      <c r="D293" s="4" t="s">
        <v>3839</v>
      </c>
      <c r="E293" s="35" t="s">
        <v>3840</v>
      </c>
      <c r="F293" s="4" t="str">
        <f>IF(COUNTIFS(Sheet1!$D$2:$D$3203, C293, Sheet1!$C$2:$C$3203, B293) &gt; 0, "Sudah", "Belum")</f>
        <v>Sudah</v>
      </c>
    </row>
    <row r="294" spans="1:6" hidden="1" x14ac:dyDescent="0.35">
      <c r="A294">
        <v>293</v>
      </c>
      <c r="B294" s="4" t="s">
        <v>387</v>
      </c>
      <c r="C294" s="3">
        <v>1982</v>
      </c>
      <c r="D294" s="4" t="s">
        <v>3847</v>
      </c>
      <c r="E294" s="35" t="s">
        <v>3848</v>
      </c>
      <c r="F294" s="4" t="str">
        <f>IF(COUNTIFS(Sheet1!$D$2:$D$3203, C294, Sheet1!$C$2:$C$3203, B294) &gt; 0, "Sudah", "Belum")</f>
        <v>Sudah</v>
      </c>
    </row>
    <row r="295" spans="1:6" hidden="1" x14ac:dyDescent="0.35">
      <c r="A295">
        <v>294</v>
      </c>
      <c r="B295" s="4" t="s">
        <v>895</v>
      </c>
      <c r="C295" s="3">
        <v>1992</v>
      </c>
      <c r="D295" s="4" t="s">
        <v>3849</v>
      </c>
      <c r="E295" s="35" t="s">
        <v>3850</v>
      </c>
      <c r="F295" s="4" t="str">
        <f>IF(COUNTIFS(Sheet1!$D$2:$D$3203, C295, Sheet1!$C$2:$C$3203, B295) &gt; 0, "Sudah", "Belum")</f>
        <v>Sudah</v>
      </c>
    </row>
    <row r="296" spans="1:6" hidden="1" x14ac:dyDescent="0.35">
      <c r="A296">
        <v>295</v>
      </c>
      <c r="B296" s="4" t="s">
        <v>1718</v>
      </c>
      <c r="C296" s="3">
        <v>2003</v>
      </c>
      <c r="D296" s="4" t="s">
        <v>3851</v>
      </c>
      <c r="E296" s="35" t="s">
        <v>3852</v>
      </c>
      <c r="F296" s="4" t="str">
        <f>IF(COUNTIFS(Sheet1!$D$2:$D$3203, C296, Sheet1!$C$2:$C$3203, B296) &gt; 0, "Sudah", "Belum")</f>
        <v>Sudah</v>
      </c>
    </row>
    <row r="297" spans="1:6" hidden="1" x14ac:dyDescent="0.35">
      <c r="A297">
        <v>296</v>
      </c>
      <c r="B297" s="4" t="s">
        <v>5834</v>
      </c>
      <c r="C297" s="3">
        <v>2001</v>
      </c>
      <c r="D297" s="4" t="s">
        <v>3853</v>
      </c>
      <c r="E297" s="35" t="s">
        <v>3854</v>
      </c>
      <c r="F297" s="4" t="str">
        <f>IF(COUNTIFS(Sheet1!$D$2:$D$3203, C297, Sheet1!$C$2:$C$3203, B297) &gt; 0, "Sudah", "Belum")</f>
        <v>Sudah</v>
      </c>
    </row>
    <row r="298" spans="1:6" hidden="1" x14ac:dyDescent="0.35">
      <c r="A298">
        <v>297</v>
      </c>
      <c r="B298" s="4" t="s">
        <v>860</v>
      </c>
      <c r="C298" s="3">
        <v>1991</v>
      </c>
      <c r="D298" s="4" t="s">
        <v>3855</v>
      </c>
      <c r="E298" s="35" t="s">
        <v>3856</v>
      </c>
      <c r="F298" s="4" t="str">
        <f>IF(COUNTIFS(Sheet1!$D$2:$D$3203, C298, Sheet1!$C$2:$C$3203, B298) &gt; 0, "Sudah", "Belum")</f>
        <v>Sudah</v>
      </c>
    </row>
    <row r="299" spans="1:6" hidden="1" x14ac:dyDescent="0.35">
      <c r="A299">
        <v>298</v>
      </c>
      <c r="B299" s="4" t="s">
        <v>3019</v>
      </c>
      <c r="C299" s="3">
        <v>2008</v>
      </c>
      <c r="D299" s="4" t="s">
        <v>3857</v>
      </c>
      <c r="E299" s="35" t="s">
        <v>3858</v>
      </c>
      <c r="F299" s="4" t="str">
        <f>IF(COUNTIFS(Sheet1!$D$2:$D$3203, C299, Sheet1!$C$2:$C$3203, B299) &gt; 0, "Sudah", "Belum")</f>
        <v>Sudah</v>
      </c>
    </row>
    <row r="300" spans="1:6" hidden="1" x14ac:dyDescent="0.35">
      <c r="A300">
        <v>299</v>
      </c>
      <c r="B300" s="4" t="s">
        <v>2126</v>
      </c>
      <c r="C300" s="3">
        <v>2012</v>
      </c>
      <c r="D300" s="4" t="s">
        <v>3859</v>
      </c>
      <c r="E300" s="35" t="s">
        <v>3860</v>
      </c>
      <c r="F300" s="4" t="str">
        <f>IF(COUNTIFS(Sheet1!$D$2:$D$3203, C300, Sheet1!$C$2:$C$3203, B300) &gt; 0, "Sudah", "Belum")</f>
        <v>Sudah</v>
      </c>
    </row>
    <row r="301" spans="1:6" hidden="1" x14ac:dyDescent="0.35">
      <c r="A301">
        <v>300</v>
      </c>
      <c r="B301" s="4" t="s">
        <v>1509</v>
      </c>
      <c r="C301" s="3">
        <v>2000</v>
      </c>
      <c r="D301" s="4" t="s">
        <v>3861</v>
      </c>
      <c r="E301" s="35" t="s">
        <v>3862</v>
      </c>
      <c r="F301" s="4" t="str">
        <f>IF(COUNTIFS(Sheet1!$D$2:$D$3203, C301, Sheet1!$C$2:$C$3203, B301) &gt; 0, "Sudah", "Belum")</f>
        <v>Sudah</v>
      </c>
    </row>
    <row r="302" spans="1:6" hidden="1" x14ac:dyDescent="0.35">
      <c r="A302">
        <v>301</v>
      </c>
      <c r="B302" s="4" t="s">
        <v>1830</v>
      </c>
      <c r="C302" s="3">
        <v>2003</v>
      </c>
      <c r="D302" s="4" t="s">
        <v>3863</v>
      </c>
      <c r="E302" s="35" t="s">
        <v>3864</v>
      </c>
      <c r="F302" s="4" t="str">
        <f>IF(COUNTIFS(Sheet1!$D$2:$D$3203, C302, Sheet1!$C$2:$C$3203, B302) &gt; 0, "Sudah", "Belum")</f>
        <v>Sudah</v>
      </c>
    </row>
    <row r="303" spans="1:6" hidden="1" x14ac:dyDescent="0.35">
      <c r="A303">
        <v>302</v>
      </c>
      <c r="B303" s="4" t="s">
        <v>1640</v>
      </c>
      <c r="C303" s="3">
        <v>2002</v>
      </c>
      <c r="D303" s="4" t="s">
        <v>3865</v>
      </c>
      <c r="E303" s="35" t="s">
        <v>3866</v>
      </c>
      <c r="F303" s="4" t="str">
        <f>IF(COUNTIFS(Sheet1!$D$2:$D$3203, C303, Sheet1!$C$2:$C$3203, B303) &gt; 0, "Sudah", "Belum")</f>
        <v>Sudah</v>
      </c>
    </row>
    <row r="304" spans="1:6" hidden="1" x14ac:dyDescent="0.35">
      <c r="A304">
        <v>303</v>
      </c>
      <c r="B304" s="4" t="s">
        <v>1594</v>
      </c>
      <c r="C304" s="3">
        <v>2001</v>
      </c>
      <c r="D304" s="4" t="s">
        <v>3867</v>
      </c>
      <c r="E304" s="35" t="s">
        <v>3868</v>
      </c>
      <c r="F304" s="4" t="str">
        <f>IF(COUNTIFS(Sheet1!$D$2:$D$3203, C304, Sheet1!$C$2:$C$3203, B304) &gt; 0, "Sudah", "Belum")</f>
        <v>Sudah</v>
      </c>
    </row>
    <row r="305" spans="1:6" hidden="1" x14ac:dyDescent="0.35">
      <c r="A305">
        <v>304</v>
      </c>
      <c r="B305" s="4" t="s">
        <v>1671</v>
      </c>
      <c r="C305" s="3">
        <v>2001</v>
      </c>
      <c r="D305" s="4" t="s">
        <v>3869</v>
      </c>
      <c r="E305" s="35" t="s">
        <v>3870</v>
      </c>
      <c r="F305" s="4" t="str">
        <f>IF(COUNTIFS(Sheet1!$D$2:$D$3203, C305, Sheet1!$C$2:$C$3203, B305) &gt; 0, "Sudah", "Belum")</f>
        <v>Sudah</v>
      </c>
    </row>
    <row r="306" spans="1:6" hidden="1" x14ac:dyDescent="0.35">
      <c r="A306">
        <v>305</v>
      </c>
      <c r="B306" s="4" t="s">
        <v>1477</v>
      </c>
      <c r="C306" s="3">
        <v>1999</v>
      </c>
      <c r="D306" s="4" t="s">
        <v>3871</v>
      </c>
      <c r="E306" s="35" t="s">
        <v>3872</v>
      </c>
      <c r="F306" s="4" t="str">
        <f>IF(COUNTIFS(Sheet1!$D$2:$D$3203, C306, Sheet1!$C$2:$C$3203, B306) &gt; 0, "Sudah", "Belum")</f>
        <v>Sudah</v>
      </c>
    </row>
    <row r="307" spans="1:6" hidden="1" x14ac:dyDescent="0.35">
      <c r="A307">
        <v>306</v>
      </c>
      <c r="B307" s="4" t="s">
        <v>3873</v>
      </c>
      <c r="C307" s="3">
        <v>1985</v>
      </c>
      <c r="D307" s="4" t="s">
        <v>3874</v>
      </c>
      <c r="E307" s="35" t="s">
        <v>3875</v>
      </c>
      <c r="F307" s="4" t="str">
        <f>IF(COUNTIFS(Sheet1!$D$2:$D$3203, C307, Sheet1!$C$2:$C$3203, B307) &gt; 0, "Sudah", "Belum")</f>
        <v>Sudah</v>
      </c>
    </row>
    <row r="308" spans="1:6" hidden="1" x14ac:dyDescent="0.35">
      <c r="A308">
        <v>307</v>
      </c>
      <c r="B308" s="4" t="s">
        <v>437</v>
      </c>
      <c r="C308" s="3">
        <v>1982</v>
      </c>
      <c r="D308" s="4" t="s">
        <v>3876</v>
      </c>
      <c r="E308" s="35" t="s">
        <v>3877</v>
      </c>
      <c r="F308" s="4" t="str">
        <f>IF(COUNTIFS(Sheet1!$D$2:$D$3203, C308, Sheet1!$C$2:$C$3203, B308) &gt; 0, "Sudah", "Belum")</f>
        <v>Sudah</v>
      </c>
    </row>
    <row r="309" spans="1:6" hidden="1" x14ac:dyDescent="0.35">
      <c r="A309">
        <v>308</v>
      </c>
      <c r="B309" s="4" t="s">
        <v>1611</v>
      </c>
      <c r="C309" s="3">
        <v>2001</v>
      </c>
      <c r="D309" s="4" t="s">
        <v>3878</v>
      </c>
      <c r="E309" s="35" t="s">
        <v>3879</v>
      </c>
      <c r="F309" s="4" t="str">
        <f>IF(COUNTIFS(Sheet1!$D$2:$D$3203, C309, Sheet1!$C$2:$C$3203, B309) &gt; 0, "Sudah", "Belum")</f>
        <v>Sudah</v>
      </c>
    </row>
    <row r="310" spans="1:6" hidden="1" x14ac:dyDescent="0.35">
      <c r="A310">
        <v>309</v>
      </c>
      <c r="B310" s="4" t="s">
        <v>399</v>
      </c>
      <c r="C310" s="3">
        <v>1982</v>
      </c>
      <c r="D310" s="4" t="s">
        <v>3880</v>
      </c>
      <c r="E310" s="35" t="s">
        <v>3881</v>
      </c>
      <c r="F310" s="4" t="str">
        <f>IF(COUNTIFS(Sheet1!$D$2:$D$3203, C310, Sheet1!$C$2:$C$3203, B310) &gt; 0, "Sudah", "Belum")</f>
        <v>Sudah</v>
      </c>
    </row>
    <row r="311" spans="1:6" hidden="1" x14ac:dyDescent="0.35">
      <c r="A311">
        <v>310</v>
      </c>
      <c r="B311" s="4" t="s">
        <v>3882</v>
      </c>
      <c r="C311" s="3">
        <v>2006</v>
      </c>
      <c r="D311" s="4" t="s">
        <v>3883</v>
      </c>
      <c r="E311" s="35" t="s">
        <v>3884</v>
      </c>
      <c r="F311" s="4" t="str">
        <f>IF(COUNTIFS(Sheet1!$D$2:$D$3203, C311, Sheet1!$C$2:$C$3203, B311) &gt; 0, "Sudah", "Belum")</f>
        <v>Sudah</v>
      </c>
    </row>
    <row r="312" spans="1:6" hidden="1" x14ac:dyDescent="0.35">
      <c r="A312">
        <v>311</v>
      </c>
      <c r="B312" s="4" t="s">
        <v>1337</v>
      </c>
      <c r="C312" s="3">
        <v>1998</v>
      </c>
      <c r="D312" s="4" t="s">
        <v>3887</v>
      </c>
      <c r="E312" s="35" t="s">
        <v>3888</v>
      </c>
      <c r="F312" s="4" t="str">
        <f>IF(COUNTIFS(Sheet1!$D$2:$D$3203, C312, Sheet1!$C$2:$C$3203, B312) &gt; 0, "Sudah", "Belum")</f>
        <v>Sudah</v>
      </c>
    </row>
    <row r="313" spans="1:6" hidden="1" x14ac:dyDescent="0.35">
      <c r="A313">
        <v>312</v>
      </c>
      <c r="B313" s="4" t="s">
        <v>2378</v>
      </c>
      <c r="C313" s="3">
        <v>2015</v>
      </c>
      <c r="D313" s="4" t="s">
        <v>3889</v>
      </c>
      <c r="E313" s="35" t="s">
        <v>3890</v>
      </c>
      <c r="F313" s="4" t="str">
        <f>IF(COUNTIFS(Sheet1!$D$2:$D$3203, C313, Sheet1!$C$2:$C$3203, B313) &gt; 0, "Sudah", "Belum")</f>
        <v>Sudah</v>
      </c>
    </row>
    <row r="314" spans="1:6" hidden="1" x14ac:dyDescent="0.35">
      <c r="A314">
        <v>313</v>
      </c>
      <c r="B314" s="4" t="s">
        <v>1597</v>
      </c>
      <c r="C314" s="3">
        <v>2001</v>
      </c>
      <c r="D314" s="4" t="s">
        <v>3891</v>
      </c>
      <c r="E314" s="35" t="s">
        <v>3892</v>
      </c>
      <c r="F314" s="4" t="str">
        <f>IF(COUNTIFS(Sheet1!$D$2:$D$3203, C314, Sheet1!$C$2:$C$3203, B314) &gt; 0, "Sudah", "Belum")</f>
        <v>Sudah</v>
      </c>
    </row>
    <row r="315" spans="1:6" hidden="1" x14ac:dyDescent="0.35">
      <c r="A315">
        <v>314</v>
      </c>
      <c r="B315" s="4" t="s">
        <v>2100</v>
      </c>
      <c r="C315" s="3">
        <v>2012</v>
      </c>
      <c r="D315" s="4" t="s">
        <v>3893</v>
      </c>
      <c r="E315" s="35" t="s">
        <v>3894</v>
      </c>
      <c r="F315" s="4" t="str">
        <f>IF(COUNTIFS(Sheet1!$D$2:$D$3203, C315, Sheet1!$C$2:$C$3203, B315) &gt; 0, "Sudah", "Belum")</f>
        <v>Sudah</v>
      </c>
    </row>
    <row r="316" spans="1:6" hidden="1" x14ac:dyDescent="0.35">
      <c r="A316">
        <v>315</v>
      </c>
      <c r="B316" s="4" t="s">
        <v>3895</v>
      </c>
      <c r="C316" s="3">
        <v>2002</v>
      </c>
      <c r="D316" s="4" t="s">
        <v>3896</v>
      </c>
      <c r="E316" s="35" t="s">
        <v>3897</v>
      </c>
      <c r="F316" s="4" t="str">
        <f>IF(COUNTIFS(Sheet1!$D$2:$D$3203, C316, Sheet1!$C$2:$C$3203, B316) &gt; 0, "Sudah", "Belum")</f>
        <v>Sudah</v>
      </c>
    </row>
    <row r="317" spans="1:6" hidden="1" x14ac:dyDescent="0.35">
      <c r="A317">
        <v>316</v>
      </c>
      <c r="B317" s="4" t="s">
        <v>1282</v>
      </c>
      <c r="C317" s="3">
        <v>1998</v>
      </c>
      <c r="D317" s="4" t="s">
        <v>3898</v>
      </c>
      <c r="E317" s="35" t="s">
        <v>3899</v>
      </c>
      <c r="F317" s="4" t="str">
        <f>IF(COUNTIFS(Sheet1!$D$2:$D$3203, C317, Sheet1!$C$2:$C$3203, B317) &gt; 0, "Sudah", "Belum")</f>
        <v>Sudah</v>
      </c>
    </row>
    <row r="318" spans="1:6" hidden="1" x14ac:dyDescent="0.35">
      <c r="A318">
        <v>317</v>
      </c>
      <c r="B318" s="4" t="s">
        <v>631</v>
      </c>
      <c r="C318" s="3">
        <v>1986</v>
      </c>
      <c r="D318" s="4" t="s">
        <v>3900</v>
      </c>
      <c r="E318" s="35" t="s">
        <v>3901</v>
      </c>
      <c r="F318" s="4" t="str">
        <f>IF(COUNTIFS(Sheet1!$D$2:$D$3203, C318, Sheet1!$C$2:$C$3203, B318) &gt; 0, "Sudah", "Belum")</f>
        <v>Sudah</v>
      </c>
    </row>
    <row r="319" spans="1:6" hidden="1" x14ac:dyDescent="0.35">
      <c r="A319">
        <v>318</v>
      </c>
      <c r="B319" s="4" t="s">
        <v>2137</v>
      </c>
      <c r="C319" s="3">
        <v>2012</v>
      </c>
      <c r="D319" s="4" t="s">
        <v>3902</v>
      </c>
      <c r="E319" s="35" t="s">
        <v>3903</v>
      </c>
      <c r="F319" s="4" t="str">
        <f>IF(COUNTIFS(Sheet1!$D$2:$D$3203, C319, Sheet1!$C$2:$C$3203, B319) &gt; 0, "Sudah", "Belum")</f>
        <v>Sudah</v>
      </c>
    </row>
    <row r="320" spans="1:6" hidden="1" x14ac:dyDescent="0.35">
      <c r="A320">
        <v>319</v>
      </c>
      <c r="B320" s="4" t="s">
        <v>178</v>
      </c>
      <c r="C320" s="3">
        <v>1977</v>
      </c>
      <c r="D320" s="4" t="s">
        <v>3904</v>
      </c>
      <c r="E320" s="35" t="s">
        <v>3905</v>
      </c>
      <c r="F320" s="4" t="str">
        <f>IF(COUNTIFS(Sheet1!$D$2:$D$3203, C320, Sheet1!$C$2:$C$3203, B320) &gt; 0, "Sudah", "Belum")</f>
        <v>Sudah</v>
      </c>
    </row>
    <row r="321" spans="1:6" hidden="1" x14ac:dyDescent="0.35">
      <c r="A321">
        <v>320</v>
      </c>
      <c r="B321" s="4" t="s">
        <v>683</v>
      </c>
      <c r="C321" s="3">
        <v>1988</v>
      </c>
      <c r="D321" s="4" t="s">
        <v>3906</v>
      </c>
      <c r="E321" s="35" t="s">
        <v>3907</v>
      </c>
      <c r="F321" s="4" t="str">
        <f>IF(COUNTIFS(Sheet1!$D$2:$D$3203, C321, Sheet1!$C$2:$C$3203, B321) &gt; 0, "Sudah", "Belum")</f>
        <v>Sudah</v>
      </c>
    </row>
    <row r="322" spans="1:6" hidden="1" x14ac:dyDescent="0.35">
      <c r="A322">
        <v>321</v>
      </c>
      <c r="B322" s="4" t="s">
        <v>1873</v>
      </c>
      <c r="C322" s="3">
        <v>2006</v>
      </c>
      <c r="D322" s="4" t="s">
        <v>3908</v>
      </c>
      <c r="E322" s="35" t="s">
        <v>3909</v>
      </c>
      <c r="F322" s="4" t="str">
        <f>IF(COUNTIFS(Sheet1!$D$2:$D$3203, C322, Sheet1!$C$2:$C$3203, B322) &gt; 0, "Sudah", "Belum")</f>
        <v>Sudah</v>
      </c>
    </row>
    <row r="323" spans="1:6" hidden="1" x14ac:dyDescent="0.35">
      <c r="A323">
        <v>322</v>
      </c>
      <c r="B323" s="4" t="s">
        <v>3126</v>
      </c>
      <c r="C323" s="3">
        <v>2016</v>
      </c>
      <c r="D323" s="4" t="s">
        <v>3910</v>
      </c>
      <c r="E323" s="35" t="s">
        <v>3911</v>
      </c>
      <c r="F323" s="4" t="str">
        <f>IF(COUNTIFS(Sheet1!$D$2:$D$3203, C323, Sheet1!$C$2:$C$3203, B323) &gt; 0, "Sudah", "Belum")</f>
        <v>Sudah</v>
      </c>
    </row>
    <row r="324" spans="1:6" hidden="1" x14ac:dyDescent="0.35">
      <c r="A324">
        <v>323</v>
      </c>
      <c r="B324" s="4" t="s">
        <v>2306</v>
      </c>
      <c r="C324" s="3">
        <v>2014</v>
      </c>
      <c r="D324" s="4" t="s">
        <v>3912</v>
      </c>
      <c r="E324" s="35" t="s">
        <v>3913</v>
      </c>
      <c r="F324" s="4" t="str">
        <f>IF(COUNTIFS(Sheet1!$D$2:$D$3203, C324, Sheet1!$C$2:$C$3203, B324) &gt; 0, "Sudah", "Belum")</f>
        <v>Sudah</v>
      </c>
    </row>
    <row r="325" spans="1:6" hidden="1" x14ac:dyDescent="0.35">
      <c r="A325">
        <v>324</v>
      </c>
      <c r="B325" s="4" t="s">
        <v>3162</v>
      </c>
      <c r="C325" s="3">
        <v>2016</v>
      </c>
      <c r="D325" s="4" t="s">
        <v>3914</v>
      </c>
      <c r="E325" s="35" t="s">
        <v>3915</v>
      </c>
      <c r="F325" s="4" t="str">
        <f>IF(COUNTIFS(Sheet1!$D$2:$D$3203, C325, Sheet1!$C$2:$C$3203, B325) &gt; 0, "Sudah", "Belum")</f>
        <v>Sudah</v>
      </c>
    </row>
    <row r="326" spans="1:6" hidden="1" x14ac:dyDescent="0.35">
      <c r="A326">
        <v>325</v>
      </c>
      <c r="B326" s="4" t="s">
        <v>3174</v>
      </c>
      <c r="C326" s="3">
        <v>2016</v>
      </c>
      <c r="D326" s="4" t="s">
        <v>3916</v>
      </c>
      <c r="E326" s="35" t="s">
        <v>3917</v>
      </c>
      <c r="F326" s="4" t="str">
        <f>IF(COUNTIFS(Sheet1!$D$2:$D$3203, C326, Sheet1!$C$2:$C$3203, B326) &gt; 0, "Sudah", "Belum")</f>
        <v>Sudah</v>
      </c>
    </row>
    <row r="327" spans="1:6" hidden="1" x14ac:dyDescent="0.35">
      <c r="A327">
        <v>326</v>
      </c>
      <c r="B327" s="4" t="s">
        <v>1666</v>
      </c>
      <c r="C327" s="3">
        <v>2002</v>
      </c>
      <c r="D327" s="4" t="s">
        <v>3918</v>
      </c>
      <c r="E327" s="35" t="s">
        <v>3919</v>
      </c>
      <c r="F327" s="4" t="str">
        <f>IF(COUNTIFS(Sheet1!$D$2:$D$3203, C327, Sheet1!$C$2:$C$3203, B327) &gt; 0, "Sudah", "Belum")</f>
        <v>Sudah</v>
      </c>
    </row>
    <row r="328" spans="1:6" hidden="1" x14ac:dyDescent="0.35">
      <c r="A328">
        <v>327</v>
      </c>
      <c r="B328" s="4" t="s">
        <v>460</v>
      </c>
      <c r="C328" s="3">
        <v>1982</v>
      </c>
      <c r="D328" s="4" t="s">
        <v>3920</v>
      </c>
      <c r="E328" s="35" t="s">
        <v>3921</v>
      </c>
      <c r="F328" s="4" t="str">
        <f>IF(COUNTIFS(Sheet1!$D$2:$D$3203, C328, Sheet1!$C$2:$C$3203, B328) &gt; 0, "Sudah", "Belum")</f>
        <v>Sudah</v>
      </c>
    </row>
    <row r="329" spans="1:6" hidden="1" x14ac:dyDescent="0.35">
      <c r="A329">
        <v>328</v>
      </c>
      <c r="B329" s="4" t="s">
        <v>3924</v>
      </c>
      <c r="C329" s="3">
        <v>2001</v>
      </c>
      <c r="D329" s="4" t="s">
        <v>3925</v>
      </c>
      <c r="E329" s="35" t="s">
        <v>3926</v>
      </c>
      <c r="F329" s="4" t="str">
        <f>IF(COUNTIFS(Sheet1!$D$2:$D$3203, C329, Sheet1!$C$2:$C$3203, B329) &gt; 0, "Sudah", "Belum")</f>
        <v>Sudah</v>
      </c>
    </row>
    <row r="330" spans="1:6" hidden="1" x14ac:dyDescent="0.35">
      <c r="A330">
        <v>329</v>
      </c>
      <c r="B330" s="4" t="s">
        <v>1213</v>
      </c>
      <c r="C330" s="3">
        <v>1992</v>
      </c>
      <c r="D330" s="4" t="s">
        <v>3927</v>
      </c>
      <c r="E330" s="35" t="s">
        <v>3928</v>
      </c>
      <c r="F330" s="4" t="str">
        <f>IF(COUNTIFS(Sheet1!$D$2:$D$3203, C330, Sheet1!$C$2:$C$3203, B330) &gt; 0, "Sudah", "Belum")</f>
        <v>Sudah</v>
      </c>
    </row>
    <row r="331" spans="1:6" hidden="1" x14ac:dyDescent="0.35">
      <c r="A331">
        <v>330</v>
      </c>
      <c r="B331" s="4" t="s">
        <v>2958</v>
      </c>
      <c r="C331" s="3">
        <v>2007</v>
      </c>
      <c r="D331" s="4" t="s">
        <v>3932</v>
      </c>
      <c r="E331" s="35" t="s">
        <v>3933</v>
      </c>
      <c r="F331" s="4" t="str">
        <f>IF(COUNTIFS(Sheet1!$D$2:$D$3203, C331, Sheet1!$C$2:$C$3203, B331) &gt; 0, "Sudah", "Belum")</f>
        <v>Sudah</v>
      </c>
    </row>
    <row r="332" spans="1:6" hidden="1" x14ac:dyDescent="0.35">
      <c r="A332">
        <v>331</v>
      </c>
      <c r="B332" s="4" t="s">
        <v>355</v>
      </c>
      <c r="C332" s="3">
        <v>1980</v>
      </c>
      <c r="D332" s="4" t="s">
        <v>3934</v>
      </c>
      <c r="E332" s="35" t="s">
        <v>3923</v>
      </c>
      <c r="F332" s="4" t="str">
        <f>IF(COUNTIFS(Sheet1!$D$2:$D$3203, C332, Sheet1!$C$2:$C$3203, B332) &gt; 0, "Sudah", "Belum")</f>
        <v>Sudah</v>
      </c>
    </row>
    <row r="333" spans="1:6" hidden="1" x14ac:dyDescent="0.35">
      <c r="A333">
        <v>332</v>
      </c>
      <c r="B333" s="4" t="s">
        <v>1152</v>
      </c>
      <c r="C333" s="3">
        <v>1996</v>
      </c>
      <c r="D333" s="4" t="s">
        <v>3935</v>
      </c>
      <c r="E333" s="35" t="s">
        <v>3936</v>
      </c>
      <c r="F333" s="4" t="str">
        <f>IF(COUNTIFS(Sheet1!$D$2:$D$3203, C333, Sheet1!$C$2:$C$3203, B333) &gt; 0, "Sudah", "Belum")</f>
        <v>Sudah</v>
      </c>
    </row>
    <row r="334" spans="1:6" hidden="1" x14ac:dyDescent="0.35">
      <c r="A334">
        <v>333</v>
      </c>
      <c r="B334" s="4" t="s">
        <v>2155</v>
      </c>
      <c r="C334" s="3">
        <v>2010</v>
      </c>
      <c r="D334" s="4" t="s">
        <v>3937</v>
      </c>
      <c r="E334" s="35" t="s">
        <v>3938</v>
      </c>
      <c r="F334" s="4" t="str">
        <f>IF(COUNTIFS(Sheet1!$D$2:$D$3203, C334, Sheet1!$C$2:$C$3203, B334) &gt; 0, "Sudah", "Belum")</f>
        <v>Sudah</v>
      </c>
    </row>
    <row r="335" spans="1:6" hidden="1" x14ac:dyDescent="0.35">
      <c r="A335">
        <v>334</v>
      </c>
      <c r="B335" s="4" t="s">
        <v>2906</v>
      </c>
      <c r="C335" s="3">
        <v>2006</v>
      </c>
      <c r="D335" s="4" t="s">
        <v>3939</v>
      </c>
      <c r="E335" s="35" t="s">
        <v>3940</v>
      </c>
      <c r="F335" s="4" t="str">
        <f>IF(COUNTIFS(Sheet1!$D$2:$D$3203, C335, Sheet1!$C$2:$C$3203, B335) &gt; 0, "Sudah", "Belum")</f>
        <v>Sudah</v>
      </c>
    </row>
    <row r="336" spans="1:6" hidden="1" x14ac:dyDescent="0.35">
      <c r="A336">
        <v>335</v>
      </c>
      <c r="B336" s="4" t="s">
        <v>2284</v>
      </c>
      <c r="C336" s="3">
        <v>2014</v>
      </c>
      <c r="D336" s="4" t="s">
        <v>3943</v>
      </c>
      <c r="E336" s="35" t="s">
        <v>3944</v>
      </c>
      <c r="F336" s="4" t="str">
        <f>IF(COUNTIFS(Sheet1!$D$2:$D$3203, C336, Sheet1!$C$2:$C$3203, B336) &gt; 0, "Sudah", "Belum")</f>
        <v>Sudah</v>
      </c>
    </row>
    <row r="337" spans="1:6" hidden="1" x14ac:dyDescent="0.35">
      <c r="A337">
        <v>336</v>
      </c>
      <c r="B337" s="4" t="s">
        <v>5835</v>
      </c>
      <c r="C337" s="3">
        <v>1996</v>
      </c>
      <c r="D337" s="4" t="s">
        <v>3945</v>
      </c>
      <c r="E337" s="35" t="s">
        <v>3946</v>
      </c>
      <c r="F337" s="4" t="str">
        <f>IF(COUNTIFS(Sheet1!$D$2:$D$3203, C337, Sheet1!$C$2:$C$3203, B337) &gt; 0, "Sudah", "Belum")</f>
        <v>Sudah</v>
      </c>
    </row>
    <row r="338" spans="1:6" hidden="1" x14ac:dyDescent="0.35">
      <c r="A338">
        <v>337</v>
      </c>
      <c r="B338" s="4" t="s">
        <v>3107</v>
      </c>
      <c r="C338" s="3">
        <v>2016</v>
      </c>
      <c r="D338" s="4" t="s">
        <v>3947</v>
      </c>
      <c r="E338" s="35" t="s">
        <v>3948</v>
      </c>
      <c r="F338" s="4" t="str">
        <f>IF(COUNTIFS(Sheet1!$D$2:$D$3203, C338, Sheet1!$C$2:$C$3203, B338) &gt; 0, "Sudah", "Belum")</f>
        <v>Sudah</v>
      </c>
    </row>
    <row r="339" spans="1:6" hidden="1" x14ac:dyDescent="0.35">
      <c r="A339">
        <v>338</v>
      </c>
      <c r="B339" s="4" t="s">
        <v>3949</v>
      </c>
      <c r="C339" s="3">
        <v>1989</v>
      </c>
      <c r="D339" s="4" t="s">
        <v>3950</v>
      </c>
      <c r="E339" s="35" t="s">
        <v>3951</v>
      </c>
      <c r="F339" s="4" t="str">
        <f>IF(COUNTIFS(Sheet1!$D$2:$D$3203, C339, Sheet1!$C$2:$C$3203, B339) &gt; 0, "Sudah", "Belum")</f>
        <v>Sudah</v>
      </c>
    </row>
    <row r="340" spans="1:6" hidden="1" x14ac:dyDescent="0.35">
      <c r="A340">
        <v>339</v>
      </c>
      <c r="B340" s="4" t="s">
        <v>2570</v>
      </c>
      <c r="C340" s="3">
        <v>2016</v>
      </c>
      <c r="D340" s="4" t="s">
        <v>3952</v>
      </c>
      <c r="E340" s="35" t="s">
        <v>3953</v>
      </c>
      <c r="F340" s="4" t="str">
        <f>IF(COUNTIFS(Sheet1!$D$2:$D$3203, C340, Sheet1!$C$2:$C$3203, B340) &gt; 0, "Sudah", "Belum")</f>
        <v>Sudah</v>
      </c>
    </row>
    <row r="341" spans="1:6" hidden="1" x14ac:dyDescent="0.35">
      <c r="A341">
        <v>340</v>
      </c>
      <c r="B341" s="4" t="s">
        <v>2231</v>
      </c>
      <c r="C341" s="3">
        <v>2013</v>
      </c>
      <c r="D341" s="4" t="s">
        <v>3954</v>
      </c>
      <c r="E341" s="35" t="s">
        <v>3955</v>
      </c>
      <c r="F341" s="4" t="str">
        <f>IF(COUNTIFS(Sheet1!$D$2:$D$3203, C341, Sheet1!$C$2:$C$3203, B341) &gt; 0, "Sudah", "Belum")</f>
        <v>Sudah</v>
      </c>
    </row>
    <row r="342" spans="1:6" hidden="1" x14ac:dyDescent="0.35">
      <c r="A342">
        <v>341</v>
      </c>
      <c r="B342" s="4" t="s">
        <v>505</v>
      </c>
      <c r="C342" s="3">
        <v>1982</v>
      </c>
      <c r="D342" s="4" t="s">
        <v>3941</v>
      </c>
      <c r="E342" s="35" t="s">
        <v>3942</v>
      </c>
      <c r="F342" s="4" t="str">
        <f>IF(COUNTIFS(Sheet1!$D$2:$D$3203, C342, Sheet1!$C$2:$C$3203, B342) &gt; 0, "Sudah", "Belum")</f>
        <v>Sudah</v>
      </c>
    </row>
    <row r="343" spans="1:6" hidden="1" x14ac:dyDescent="0.35">
      <c r="A343">
        <v>342</v>
      </c>
      <c r="B343" s="4" t="s">
        <v>3117</v>
      </c>
      <c r="C343" s="3">
        <v>2016</v>
      </c>
      <c r="D343" s="4" t="s">
        <v>3956</v>
      </c>
      <c r="E343" s="35" t="s">
        <v>3957</v>
      </c>
      <c r="F343" s="4" t="str">
        <f>IF(COUNTIFS(Sheet1!$D$2:$D$3203, C343, Sheet1!$C$2:$C$3203, B343) &gt; 0, "Sudah", "Belum")</f>
        <v>Sudah</v>
      </c>
    </row>
    <row r="344" spans="1:6" hidden="1" x14ac:dyDescent="0.35">
      <c r="A344">
        <v>343</v>
      </c>
      <c r="B344" s="4" t="s">
        <v>3958</v>
      </c>
      <c r="C344" s="3">
        <v>2001</v>
      </c>
      <c r="D344" s="4" t="s">
        <v>3959</v>
      </c>
      <c r="E344" s="35" t="s">
        <v>3960</v>
      </c>
      <c r="F344" s="4" t="str">
        <f>IF(COUNTIFS(Sheet1!$D$2:$D$3203, C344, Sheet1!$C$2:$C$3203, B344) &gt; 0, "Sudah", "Belum")</f>
        <v>Sudah</v>
      </c>
    </row>
    <row r="345" spans="1:6" hidden="1" x14ac:dyDescent="0.35">
      <c r="A345">
        <v>344</v>
      </c>
      <c r="B345" s="4" t="s">
        <v>2220</v>
      </c>
      <c r="C345" s="3">
        <v>2013</v>
      </c>
      <c r="D345" s="4" t="s">
        <v>3961</v>
      </c>
      <c r="E345" s="35" t="s">
        <v>3962</v>
      </c>
      <c r="F345" s="4" t="str">
        <f>IF(COUNTIFS(Sheet1!$D$2:$D$3203, C345, Sheet1!$C$2:$C$3203, B345) &gt; 0, "Sudah", "Belum")</f>
        <v>Sudah</v>
      </c>
    </row>
    <row r="346" spans="1:6" hidden="1" x14ac:dyDescent="0.35">
      <c r="A346">
        <v>345</v>
      </c>
      <c r="B346" s="4" t="s">
        <v>945</v>
      </c>
      <c r="C346" s="3">
        <v>1988</v>
      </c>
      <c r="D346" s="4" t="s">
        <v>3963</v>
      </c>
      <c r="E346" s="35" t="s">
        <v>3964</v>
      </c>
      <c r="F346" s="4" t="str">
        <f>IF(COUNTIFS(Sheet1!$D$2:$D$3203, C346, Sheet1!$C$2:$C$3203, B346) &gt; 0, "Sudah", "Belum")</f>
        <v>Sudah</v>
      </c>
    </row>
    <row r="347" spans="1:6" hidden="1" x14ac:dyDescent="0.35">
      <c r="A347">
        <v>346</v>
      </c>
      <c r="B347" s="4" t="s">
        <v>1882</v>
      </c>
      <c r="C347" s="3">
        <v>2008</v>
      </c>
      <c r="D347" s="4" t="s">
        <v>3965</v>
      </c>
      <c r="E347" s="35" t="s">
        <v>3966</v>
      </c>
      <c r="F347" s="4" t="str">
        <f>IF(COUNTIFS(Sheet1!$D$2:$D$3203, C347, Sheet1!$C$2:$C$3203, B347) &gt; 0, "Sudah", "Belum")</f>
        <v>Sudah</v>
      </c>
    </row>
    <row r="348" spans="1:6" hidden="1" x14ac:dyDescent="0.35">
      <c r="A348">
        <v>347</v>
      </c>
      <c r="B348" s="4" t="s">
        <v>1221</v>
      </c>
      <c r="C348" s="3">
        <v>1996</v>
      </c>
      <c r="D348" s="4" t="s">
        <v>3967</v>
      </c>
      <c r="E348" s="35" t="s">
        <v>3968</v>
      </c>
      <c r="F348" s="4" t="str">
        <f>IF(COUNTIFS(Sheet1!$D$2:$D$3203, C348, Sheet1!$C$2:$C$3203, B348) &gt; 0, "Sudah", "Belum")</f>
        <v>Sudah</v>
      </c>
    </row>
    <row r="349" spans="1:6" hidden="1" x14ac:dyDescent="0.35">
      <c r="A349">
        <v>348</v>
      </c>
      <c r="B349" s="4" t="s">
        <v>3176</v>
      </c>
      <c r="C349" s="3">
        <v>2016</v>
      </c>
      <c r="D349" s="4" t="s">
        <v>3969</v>
      </c>
      <c r="E349" s="35" t="s">
        <v>3970</v>
      </c>
      <c r="F349" s="4" t="str">
        <f>IF(COUNTIFS(Sheet1!$D$2:$D$3203, C349, Sheet1!$C$2:$C$3203, B349) &gt; 0, "Sudah", "Belum")</f>
        <v>Sudah</v>
      </c>
    </row>
    <row r="350" spans="1:6" hidden="1" x14ac:dyDescent="0.35">
      <c r="A350">
        <v>349</v>
      </c>
      <c r="B350" s="4" t="s">
        <v>1829</v>
      </c>
      <c r="C350" s="3">
        <v>2002</v>
      </c>
      <c r="D350" s="4" t="s">
        <v>3971</v>
      </c>
      <c r="E350" s="35" t="s">
        <v>3972</v>
      </c>
      <c r="F350" s="4" t="str">
        <f>IF(COUNTIFS(Sheet1!$D$2:$D$3203, C350, Sheet1!$C$2:$C$3203, B350) &gt; 0, "Sudah", "Belum")</f>
        <v>Sudah</v>
      </c>
    </row>
    <row r="351" spans="1:6" hidden="1" x14ac:dyDescent="0.35">
      <c r="A351">
        <v>350</v>
      </c>
      <c r="B351" s="4" t="s">
        <v>3119</v>
      </c>
      <c r="C351" s="3">
        <v>2016</v>
      </c>
      <c r="D351" s="4" t="s">
        <v>3973</v>
      </c>
      <c r="E351" s="35" t="s">
        <v>3974</v>
      </c>
      <c r="F351" s="4" t="str">
        <f>IF(COUNTIFS(Sheet1!$D$2:$D$3203, C351, Sheet1!$C$2:$C$3203, B351) &gt; 0, "Sudah", "Belum")</f>
        <v>Sudah</v>
      </c>
    </row>
    <row r="352" spans="1:6" hidden="1" x14ac:dyDescent="0.35">
      <c r="A352">
        <v>351</v>
      </c>
      <c r="B352" s="4" t="s">
        <v>875</v>
      </c>
      <c r="C352" s="3">
        <v>1989</v>
      </c>
      <c r="D352" s="4" t="s">
        <v>3975</v>
      </c>
      <c r="E352" s="35" t="s">
        <v>3976</v>
      </c>
      <c r="F352" s="4" t="str">
        <f>IF(COUNTIFS(Sheet1!$D$2:$D$3203, C352, Sheet1!$C$2:$C$3203, B352) &gt; 0, "Sudah", "Belum")</f>
        <v>Sudah</v>
      </c>
    </row>
    <row r="353" spans="1:6" hidden="1" x14ac:dyDescent="0.35">
      <c r="A353">
        <v>352</v>
      </c>
      <c r="B353" s="4" t="s">
        <v>3041</v>
      </c>
      <c r="C353" s="3">
        <v>2008</v>
      </c>
      <c r="D353" s="4" t="s">
        <v>3977</v>
      </c>
      <c r="E353" s="35" t="s">
        <v>3978</v>
      </c>
      <c r="F353" s="4" t="str">
        <f>IF(COUNTIFS(Sheet1!$D$2:$D$3203, C353, Sheet1!$C$2:$C$3203, B353) &gt; 0, "Sudah", "Belum")</f>
        <v>Sudah</v>
      </c>
    </row>
    <row r="354" spans="1:6" hidden="1" x14ac:dyDescent="0.35">
      <c r="A354">
        <v>353</v>
      </c>
      <c r="B354" s="4" t="s">
        <v>2065</v>
      </c>
      <c r="C354" s="3">
        <v>2010</v>
      </c>
      <c r="D354" s="4" t="s">
        <v>3979</v>
      </c>
      <c r="E354" s="35" t="s">
        <v>3980</v>
      </c>
      <c r="F354" s="4" t="str">
        <f>IF(COUNTIFS(Sheet1!$D$2:$D$3203, C354, Sheet1!$C$2:$C$3203, B354) &gt; 0, "Sudah", "Belum")</f>
        <v>Sudah</v>
      </c>
    </row>
    <row r="355" spans="1:6" hidden="1" x14ac:dyDescent="0.35">
      <c r="A355">
        <v>354</v>
      </c>
      <c r="B355" s="4" t="s">
        <v>767</v>
      </c>
      <c r="C355" s="3">
        <v>1988</v>
      </c>
      <c r="D355" s="4" t="s">
        <v>3981</v>
      </c>
      <c r="E355" s="35" t="s">
        <v>3982</v>
      </c>
      <c r="F355" s="4" t="str">
        <f>IF(COUNTIFS(Sheet1!$D$2:$D$3203, C355, Sheet1!$C$2:$C$3203, B355) &gt; 0, "Sudah", "Belum")</f>
        <v>Sudah</v>
      </c>
    </row>
    <row r="356" spans="1:6" hidden="1" x14ac:dyDescent="0.35">
      <c r="A356">
        <v>355</v>
      </c>
      <c r="B356" s="4" t="s">
        <v>3170</v>
      </c>
      <c r="C356" s="3">
        <v>2016</v>
      </c>
      <c r="D356" s="4" t="s">
        <v>3983</v>
      </c>
      <c r="E356" s="35" t="s">
        <v>3984</v>
      </c>
      <c r="F356" s="4" t="str">
        <f>IF(COUNTIFS(Sheet1!$D$2:$D$3203, C356, Sheet1!$C$2:$C$3203, B356) &gt; 0, "Sudah", "Belum")</f>
        <v>Sudah</v>
      </c>
    </row>
    <row r="357" spans="1:6" hidden="1" x14ac:dyDescent="0.35">
      <c r="A357">
        <v>356</v>
      </c>
      <c r="B357" s="4" t="s">
        <v>1562</v>
      </c>
      <c r="C357" s="3">
        <v>2000</v>
      </c>
      <c r="D357" s="4" t="s">
        <v>3985</v>
      </c>
      <c r="E357" s="35" t="s">
        <v>3986</v>
      </c>
      <c r="F357" s="4" t="str">
        <f>IF(COUNTIFS(Sheet1!$D$2:$D$3203, C357, Sheet1!$C$2:$C$3203, B357) &gt; 0, "Sudah", "Belum")</f>
        <v>Sudah</v>
      </c>
    </row>
    <row r="358" spans="1:6" hidden="1" x14ac:dyDescent="0.35">
      <c r="A358">
        <v>357</v>
      </c>
      <c r="B358" s="4" t="s">
        <v>846</v>
      </c>
      <c r="C358" s="3">
        <v>1988</v>
      </c>
      <c r="D358" s="4" t="s">
        <v>3987</v>
      </c>
      <c r="E358" s="35" t="s">
        <v>3988</v>
      </c>
      <c r="F358" s="4" t="str">
        <f>IF(COUNTIFS(Sheet1!$D$2:$D$3203, C358, Sheet1!$C$2:$C$3203, B358) &gt; 0, "Sudah", "Belum")</f>
        <v>Sudah</v>
      </c>
    </row>
    <row r="359" spans="1:6" hidden="1" x14ac:dyDescent="0.35">
      <c r="A359">
        <v>358</v>
      </c>
      <c r="B359" s="4" t="s">
        <v>621</v>
      </c>
      <c r="C359" s="3">
        <v>1984</v>
      </c>
      <c r="D359" s="4" t="s">
        <v>3989</v>
      </c>
      <c r="E359" s="35" t="s">
        <v>3990</v>
      </c>
      <c r="F359" s="4" t="str">
        <f>IF(COUNTIFS(Sheet1!$D$2:$D$3203, C359, Sheet1!$C$2:$C$3203, B359) &gt; 0, "Sudah", "Belum")</f>
        <v>Sudah</v>
      </c>
    </row>
    <row r="360" spans="1:6" hidden="1" x14ac:dyDescent="0.35">
      <c r="A360">
        <v>359</v>
      </c>
      <c r="B360" s="4" t="s">
        <v>1896</v>
      </c>
      <c r="C360" s="3">
        <v>2008</v>
      </c>
      <c r="D360" s="4" t="s">
        <v>3991</v>
      </c>
      <c r="E360" s="35" t="s">
        <v>3992</v>
      </c>
      <c r="F360" s="4" t="str">
        <f>IF(COUNTIFS(Sheet1!$D$2:$D$3203, C360, Sheet1!$C$2:$C$3203, B360) &gt; 0, "Sudah", "Belum")</f>
        <v>Sudah</v>
      </c>
    </row>
    <row r="361" spans="1:6" hidden="1" x14ac:dyDescent="0.35">
      <c r="A361">
        <v>360</v>
      </c>
      <c r="B361" s="4" t="s">
        <v>1683</v>
      </c>
      <c r="C361" s="3">
        <v>2002</v>
      </c>
      <c r="D361" s="4" t="s">
        <v>3993</v>
      </c>
      <c r="E361" s="35" t="s">
        <v>3994</v>
      </c>
      <c r="F361" s="4" t="str">
        <f>IF(COUNTIFS(Sheet1!$D$2:$D$3203, C361, Sheet1!$C$2:$C$3203, B361) &gt; 0, "Sudah", "Belum")</f>
        <v>Sudah</v>
      </c>
    </row>
    <row r="362" spans="1:6" hidden="1" x14ac:dyDescent="0.35">
      <c r="A362">
        <v>361</v>
      </c>
      <c r="B362" s="4" t="s">
        <v>1621</v>
      </c>
      <c r="C362" s="3">
        <v>2001</v>
      </c>
      <c r="D362" s="4" t="s">
        <v>3995</v>
      </c>
      <c r="E362" s="35" t="s">
        <v>3996</v>
      </c>
      <c r="F362" s="4" t="str">
        <f>IF(COUNTIFS(Sheet1!$D$2:$D$3203, C362, Sheet1!$C$2:$C$3203, B362) &gt; 0, "Sudah", "Belum")</f>
        <v>Sudah</v>
      </c>
    </row>
    <row r="363" spans="1:6" hidden="1" x14ac:dyDescent="0.35">
      <c r="A363">
        <v>362</v>
      </c>
      <c r="B363" s="4" t="s">
        <v>570</v>
      </c>
      <c r="C363" s="3">
        <v>1983</v>
      </c>
      <c r="D363" s="4" t="s">
        <v>3997</v>
      </c>
      <c r="E363" s="35" t="s">
        <v>3998</v>
      </c>
      <c r="F363" s="4" t="str">
        <f>IF(COUNTIFS(Sheet1!$D$2:$D$3203, C363, Sheet1!$C$2:$C$3203, B363) &gt; 0, "Sudah", "Belum")</f>
        <v>Sudah</v>
      </c>
    </row>
    <row r="364" spans="1:6" hidden="1" x14ac:dyDescent="0.35">
      <c r="A364">
        <v>363</v>
      </c>
      <c r="B364" s="4" t="s">
        <v>1936</v>
      </c>
      <c r="C364" s="3">
        <v>2010</v>
      </c>
      <c r="D364" s="4" t="s">
        <v>3999</v>
      </c>
      <c r="E364" s="35" t="s">
        <v>4000</v>
      </c>
      <c r="F364" s="4" t="str">
        <f>IF(COUNTIFS(Sheet1!$D$2:$D$3203, C364, Sheet1!$C$2:$C$3203, B364) &gt; 0, "Sudah", "Belum")</f>
        <v>Sudah</v>
      </c>
    </row>
    <row r="365" spans="1:6" hidden="1" x14ac:dyDescent="0.35">
      <c r="A365">
        <v>364</v>
      </c>
      <c r="B365" s="4" t="s">
        <v>170</v>
      </c>
      <c r="C365" s="3">
        <v>1977</v>
      </c>
      <c r="D365" s="4" t="s">
        <v>4001</v>
      </c>
      <c r="E365" s="35" t="s">
        <v>4002</v>
      </c>
      <c r="F365" s="4" t="str">
        <f>IF(COUNTIFS(Sheet1!$D$2:$D$3203, C365, Sheet1!$C$2:$C$3203, B365) &gt; 0, "Sudah", "Belum")</f>
        <v>Sudah</v>
      </c>
    </row>
    <row r="366" spans="1:6" x14ac:dyDescent="0.35">
      <c r="A366">
        <v>365</v>
      </c>
      <c r="B366" s="4" t="s">
        <v>4003</v>
      </c>
      <c r="C366" s="3">
        <v>1990</v>
      </c>
      <c r="D366" s="4" t="s">
        <v>4004</v>
      </c>
      <c r="E366" s="35" t="s">
        <v>4005</v>
      </c>
      <c r="F366" s="4" t="str">
        <f>IF(COUNTIFS(Sheet1!$D$2:$D$3203, C366, Sheet1!$C$2:$C$3203, B366) &gt; 0, "Sudah", "Belum")</f>
        <v>Belum</v>
      </c>
    </row>
    <row r="367" spans="1:6" hidden="1" x14ac:dyDescent="0.35">
      <c r="A367">
        <v>366</v>
      </c>
      <c r="B367" s="4" t="s">
        <v>2348</v>
      </c>
      <c r="C367" s="3">
        <v>2015</v>
      </c>
      <c r="D367" s="4" t="s">
        <v>4006</v>
      </c>
      <c r="E367" s="35" t="s">
        <v>4007</v>
      </c>
      <c r="F367" s="4" t="str">
        <f>IF(COUNTIFS(Sheet1!$D$2:$D$3203, C367, Sheet1!$C$2:$C$3203, B367) &gt; 0, "Sudah", "Belum")</f>
        <v>Sudah</v>
      </c>
    </row>
    <row r="368" spans="1:6" hidden="1" x14ac:dyDescent="0.35">
      <c r="A368">
        <v>367</v>
      </c>
      <c r="B368" s="4" t="s">
        <v>333</v>
      </c>
      <c r="C368" s="3">
        <v>1980</v>
      </c>
      <c r="D368" s="4" t="s">
        <v>4008</v>
      </c>
      <c r="E368" s="35" t="s">
        <v>4009</v>
      </c>
      <c r="F368" s="4" t="str">
        <f>IF(COUNTIFS(Sheet1!$D$2:$D$3203, C368, Sheet1!$C$2:$C$3203, B368) &gt; 0, "Sudah", "Belum")</f>
        <v>Sudah</v>
      </c>
    </row>
    <row r="369" spans="1:6" hidden="1" x14ac:dyDescent="0.35">
      <c r="A369">
        <v>368</v>
      </c>
      <c r="B369" s="4" t="s">
        <v>3122</v>
      </c>
      <c r="C369" s="3">
        <v>2015</v>
      </c>
      <c r="D369" s="4" t="s">
        <v>4010</v>
      </c>
      <c r="E369" s="35" t="s">
        <v>4011</v>
      </c>
      <c r="F369" s="4" t="str">
        <f>IF(COUNTIFS(Sheet1!$D$2:$D$3203, C369, Sheet1!$C$2:$C$3203, B369) &gt; 0, "Sudah", "Belum")</f>
        <v>Sudah</v>
      </c>
    </row>
    <row r="370" spans="1:6" hidden="1" x14ac:dyDescent="0.35">
      <c r="A370">
        <v>369</v>
      </c>
      <c r="B370" s="4" t="s">
        <v>2179</v>
      </c>
      <c r="C370" s="3">
        <v>2013</v>
      </c>
      <c r="D370" s="4" t="s">
        <v>4012</v>
      </c>
      <c r="E370" s="35" t="s">
        <v>4013</v>
      </c>
      <c r="F370" s="4" t="str">
        <f>IF(COUNTIFS(Sheet1!$D$2:$D$3203, C370, Sheet1!$C$2:$C$3203, B370) &gt; 0, "Sudah", "Belum")</f>
        <v>Sudah</v>
      </c>
    </row>
    <row r="371" spans="1:6" hidden="1" x14ac:dyDescent="0.35">
      <c r="A371">
        <v>370</v>
      </c>
      <c r="B371" s="4" t="s">
        <v>804</v>
      </c>
      <c r="C371" s="3">
        <v>1988</v>
      </c>
      <c r="D371" s="4" t="s">
        <v>4014</v>
      </c>
      <c r="E371" s="35" t="s">
        <v>4015</v>
      </c>
      <c r="F371" s="4" t="str">
        <f>IF(COUNTIFS(Sheet1!$D$2:$D$3203, C371, Sheet1!$C$2:$C$3203, B371) &gt; 0, "Sudah", "Belum")</f>
        <v>Sudah</v>
      </c>
    </row>
    <row r="372" spans="1:6" hidden="1" x14ac:dyDescent="0.35">
      <c r="A372">
        <v>371</v>
      </c>
      <c r="B372" s="4" t="s">
        <v>1773</v>
      </c>
      <c r="C372" s="3">
        <v>2003</v>
      </c>
      <c r="D372" s="4" t="s">
        <v>4016</v>
      </c>
      <c r="E372" s="35" t="s">
        <v>4017</v>
      </c>
      <c r="F372" s="4" t="str">
        <f>IF(COUNTIFS(Sheet1!$D$2:$D$3203, C372, Sheet1!$C$2:$C$3203, B372) &gt; 0, "Sudah", "Belum")</f>
        <v>Sudah</v>
      </c>
    </row>
    <row r="373" spans="1:6" hidden="1" x14ac:dyDescent="0.35">
      <c r="A373">
        <v>372</v>
      </c>
      <c r="B373" s="4" t="s">
        <v>1635</v>
      </c>
      <c r="C373" s="3">
        <v>2001</v>
      </c>
      <c r="D373" s="4" t="s">
        <v>4018</v>
      </c>
      <c r="E373" s="35" t="s">
        <v>4019</v>
      </c>
      <c r="F373" s="4" t="str">
        <f>IF(COUNTIFS(Sheet1!$D$2:$D$3203, C373, Sheet1!$C$2:$C$3203, B373) &gt; 0, "Sudah", "Belum")</f>
        <v>Sudah</v>
      </c>
    </row>
    <row r="374" spans="1:6" x14ac:dyDescent="0.35">
      <c r="A374">
        <v>373</v>
      </c>
      <c r="B374" s="4" t="s">
        <v>4020</v>
      </c>
      <c r="C374" s="3">
        <v>1984</v>
      </c>
      <c r="D374" s="4" t="s">
        <v>4021</v>
      </c>
      <c r="E374" s="35" t="s">
        <v>4022</v>
      </c>
      <c r="F374" s="4" t="str">
        <f>IF(COUNTIFS(Sheet1!$D$2:$D$3203, C374, Sheet1!$C$2:$C$3203, B374) &gt; 0, "Sudah", "Belum")</f>
        <v>Belum</v>
      </c>
    </row>
    <row r="375" spans="1:6" hidden="1" x14ac:dyDescent="0.35">
      <c r="A375">
        <v>374</v>
      </c>
      <c r="B375" s="4" t="s">
        <v>2076</v>
      </c>
      <c r="C375" s="3">
        <v>2011</v>
      </c>
      <c r="D375" s="4" t="s">
        <v>4023</v>
      </c>
      <c r="E375" s="35" t="s">
        <v>4024</v>
      </c>
      <c r="F375" s="4" t="str">
        <f>IF(COUNTIFS(Sheet1!$D$2:$D$3203, C375, Sheet1!$C$2:$C$3203, B375) &gt; 0, "Sudah", "Belum")</f>
        <v>Sudah</v>
      </c>
    </row>
    <row r="376" spans="1:6" hidden="1" x14ac:dyDescent="0.35">
      <c r="A376">
        <v>375</v>
      </c>
      <c r="B376" s="4" t="s">
        <v>3077</v>
      </c>
      <c r="C376" s="3">
        <v>2015</v>
      </c>
      <c r="D376" s="4" t="s">
        <v>4025</v>
      </c>
      <c r="E376" s="35" t="s">
        <v>4026</v>
      </c>
      <c r="F376" s="4" t="str">
        <f>IF(COUNTIFS(Sheet1!$D$2:$D$3203, C376, Sheet1!$C$2:$C$3203, B376) &gt; 0, "Sudah", "Belum")</f>
        <v>Sudah</v>
      </c>
    </row>
    <row r="377" spans="1:6" hidden="1" x14ac:dyDescent="0.35">
      <c r="A377">
        <v>376</v>
      </c>
      <c r="B377" s="4" t="s">
        <v>4027</v>
      </c>
      <c r="C377" s="3">
        <v>1996</v>
      </c>
      <c r="D377" s="4" t="s">
        <v>4028</v>
      </c>
      <c r="E377" s="35" t="s">
        <v>4029</v>
      </c>
      <c r="F377" s="4" t="str">
        <f>IF(COUNTIFS(Sheet1!$D$2:$D$3203, C377, Sheet1!$C$2:$C$3203, B377) &gt; 0, "Sudah", "Belum")</f>
        <v>Sudah</v>
      </c>
    </row>
    <row r="378" spans="1:6" hidden="1" x14ac:dyDescent="0.35">
      <c r="A378">
        <v>377</v>
      </c>
      <c r="B378" s="4" t="s">
        <v>1114</v>
      </c>
      <c r="C378" s="3">
        <v>1996</v>
      </c>
      <c r="D378" s="4" t="s">
        <v>4032</v>
      </c>
      <c r="E378" s="35" t="s">
        <v>4033</v>
      </c>
      <c r="F378" s="4" t="str">
        <f>IF(COUNTIFS(Sheet1!$D$2:$D$3203, C378, Sheet1!$C$2:$C$3203, B378) &gt; 0, "Sudah", "Belum")</f>
        <v>Sudah</v>
      </c>
    </row>
    <row r="379" spans="1:6" hidden="1" x14ac:dyDescent="0.35">
      <c r="A379">
        <v>378</v>
      </c>
      <c r="B379" s="4" t="s">
        <v>1188</v>
      </c>
      <c r="C379" s="3">
        <v>1996</v>
      </c>
      <c r="D379" s="4" t="s">
        <v>4034</v>
      </c>
      <c r="E379" s="35" t="s">
        <v>4035</v>
      </c>
      <c r="F379" s="4" t="str">
        <f>IF(COUNTIFS(Sheet1!$D$2:$D$3203, C379, Sheet1!$C$2:$C$3203, B379) &gt; 0, "Sudah", "Belum")</f>
        <v>Sudah</v>
      </c>
    </row>
    <row r="380" spans="1:6" hidden="1" x14ac:dyDescent="0.35">
      <c r="A380">
        <v>379</v>
      </c>
      <c r="B380" s="4" t="s">
        <v>2332</v>
      </c>
      <c r="C380" s="3">
        <v>2015</v>
      </c>
      <c r="D380" s="4" t="s">
        <v>4036</v>
      </c>
      <c r="E380" s="35" t="s">
        <v>4037</v>
      </c>
      <c r="F380" s="4" t="str">
        <f>IF(COUNTIFS(Sheet1!$D$2:$D$3203, C380, Sheet1!$C$2:$C$3203, B380) &gt; 0, "Sudah", "Belum")</f>
        <v>Sudah</v>
      </c>
    </row>
    <row r="381" spans="1:6" hidden="1" x14ac:dyDescent="0.35">
      <c r="A381">
        <v>380</v>
      </c>
      <c r="B381" s="4" t="s">
        <v>879</v>
      </c>
      <c r="C381" s="3">
        <v>1992</v>
      </c>
      <c r="D381" s="4" t="s">
        <v>4038</v>
      </c>
      <c r="E381" s="35" t="s">
        <v>4039</v>
      </c>
      <c r="F381" s="4" t="str">
        <f>IF(COUNTIFS(Sheet1!$D$2:$D$3203, C381, Sheet1!$C$2:$C$3203, B381) &gt; 0, "Sudah", "Belum")</f>
        <v>Sudah</v>
      </c>
    </row>
    <row r="382" spans="1:6" hidden="1" x14ac:dyDescent="0.35">
      <c r="A382">
        <v>381</v>
      </c>
      <c r="B382" s="4" t="s">
        <v>1215</v>
      </c>
      <c r="C382" s="3">
        <v>1996</v>
      </c>
      <c r="D382" s="4" t="s">
        <v>4040</v>
      </c>
      <c r="E382" s="35" t="s">
        <v>4041</v>
      </c>
      <c r="F382" s="4" t="str">
        <f>IF(COUNTIFS(Sheet1!$D$2:$D$3203, C382, Sheet1!$C$2:$C$3203, B382) &gt; 0, "Sudah", "Belum")</f>
        <v>Sudah</v>
      </c>
    </row>
    <row r="383" spans="1:6" hidden="1" x14ac:dyDescent="0.35">
      <c r="A383">
        <v>382</v>
      </c>
      <c r="B383" s="4" t="s">
        <v>2334</v>
      </c>
      <c r="C383" s="3">
        <v>2015</v>
      </c>
      <c r="D383" s="4" t="s">
        <v>4042</v>
      </c>
      <c r="E383" s="35" t="s">
        <v>4043</v>
      </c>
      <c r="F383" s="4" t="str">
        <f>IF(COUNTIFS(Sheet1!$D$2:$D$3203, C383, Sheet1!$C$2:$C$3203, B383) &gt; 0, "Sudah", "Belum")</f>
        <v>Sudah</v>
      </c>
    </row>
    <row r="384" spans="1:6" hidden="1" x14ac:dyDescent="0.35">
      <c r="A384">
        <v>383</v>
      </c>
      <c r="B384" s="4" t="s">
        <v>2367</v>
      </c>
      <c r="C384" s="3">
        <v>2015</v>
      </c>
      <c r="D384" s="4" t="s">
        <v>4044</v>
      </c>
      <c r="E384" s="35" t="s">
        <v>4045</v>
      </c>
      <c r="F384" s="4" t="str">
        <f>IF(COUNTIFS(Sheet1!$D$2:$D$3203, C384, Sheet1!$C$2:$C$3203, B384) &gt; 0, "Sudah", "Belum")</f>
        <v>Sudah</v>
      </c>
    </row>
    <row r="385" spans="1:6" hidden="1" x14ac:dyDescent="0.35">
      <c r="A385">
        <v>384</v>
      </c>
      <c r="B385" s="4" t="s">
        <v>906</v>
      </c>
      <c r="C385" s="3">
        <v>1993</v>
      </c>
      <c r="D385" s="4" t="s">
        <v>4046</v>
      </c>
      <c r="E385" s="35" t="s">
        <v>4047</v>
      </c>
      <c r="F385" s="4" t="str">
        <f>IF(COUNTIFS(Sheet1!$D$2:$D$3203, C385, Sheet1!$C$2:$C$3203, B385) &gt; 0, "Sudah", "Belum")</f>
        <v>Sudah</v>
      </c>
    </row>
    <row r="386" spans="1:6" hidden="1" x14ac:dyDescent="0.35">
      <c r="A386">
        <v>385</v>
      </c>
      <c r="B386" s="4" t="s">
        <v>4048</v>
      </c>
      <c r="C386" s="3">
        <v>1995</v>
      </c>
      <c r="D386" s="4" t="s">
        <v>4049</v>
      </c>
      <c r="E386" s="35" t="s">
        <v>4050</v>
      </c>
      <c r="F386" s="4" t="str">
        <f>IF(COUNTIFS(Sheet1!$D$2:$D$3203, C386, Sheet1!$C$2:$C$3203, B386) &gt; 0, "Sudah", "Belum")</f>
        <v>Sudah</v>
      </c>
    </row>
    <row r="387" spans="1:6" hidden="1" x14ac:dyDescent="0.35">
      <c r="A387">
        <v>386</v>
      </c>
      <c r="B387" s="4" t="s">
        <v>1584</v>
      </c>
      <c r="C387" s="3">
        <v>2000</v>
      </c>
      <c r="D387" s="4" t="s">
        <v>4051</v>
      </c>
      <c r="E387" s="35" t="s">
        <v>4052</v>
      </c>
      <c r="F387" s="4" t="str">
        <f>IF(COUNTIFS(Sheet1!$D$2:$D$3203, C387, Sheet1!$C$2:$C$3203, B387) &gt; 0, "Sudah", "Belum")</f>
        <v>Sudah</v>
      </c>
    </row>
    <row r="388" spans="1:6" hidden="1" x14ac:dyDescent="0.35">
      <c r="A388">
        <v>387</v>
      </c>
      <c r="B388" s="4" t="s">
        <v>963</v>
      </c>
      <c r="C388" s="3">
        <v>1993</v>
      </c>
      <c r="D388" s="4" t="s">
        <v>4053</v>
      </c>
      <c r="E388" s="35" t="s">
        <v>4054</v>
      </c>
      <c r="F388" s="4" t="str">
        <f>IF(COUNTIFS(Sheet1!$D$2:$D$3203, C388, Sheet1!$C$2:$C$3203, B388) &gt; 0, "Sudah", "Belum")</f>
        <v>Sudah</v>
      </c>
    </row>
    <row r="389" spans="1:6" hidden="1" x14ac:dyDescent="0.35">
      <c r="A389">
        <v>388</v>
      </c>
      <c r="B389" s="4" t="s">
        <v>4055</v>
      </c>
      <c r="C389" s="3">
        <v>1992</v>
      </c>
      <c r="D389" s="4" t="s">
        <v>4056</v>
      </c>
      <c r="E389" s="35" t="s">
        <v>4057</v>
      </c>
      <c r="F389" s="4" t="str">
        <f>IF(COUNTIFS(Sheet1!$D$2:$D$3203, C389, Sheet1!$C$2:$C$3203, B389) &gt; 0, "Sudah", "Belum")</f>
        <v>Sudah</v>
      </c>
    </row>
    <row r="390" spans="1:6" hidden="1" x14ac:dyDescent="0.35">
      <c r="A390">
        <v>389</v>
      </c>
      <c r="B390" s="4" t="s">
        <v>166</v>
      </c>
      <c r="C390" s="3">
        <v>1977</v>
      </c>
      <c r="D390" s="4" t="s">
        <v>4058</v>
      </c>
      <c r="E390" s="35" t="s">
        <v>4059</v>
      </c>
      <c r="F390" s="4" t="str">
        <f>IF(COUNTIFS(Sheet1!$D$2:$D$3203, C390, Sheet1!$C$2:$C$3203, B390) &gt; 0, "Sudah", "Belum")</f>
        <v>Sudah</v>
      </c>
    </row>
    <row r="391" spans="1:6" hidden="1" x14ac:dyDescent="0.35">
      <c r="A391">
        <v>390</v>
      </c>
      <c r="B391" s="4" t="s">
        <v>614</v>
      </c>
      <c r="C391" s="3">
        <v>1986</v>
      </c>
      <c r="D391" s="4" t="s">
        <v>4061</v>
      </c>
      <c r="E391" s="35" t="s">
        <v>4062</v>
      </c>
      <c r="F391" s="4" t="str">
        <f>IF(COUNTIFS(Sheet1!$D$2:$D$3203, C391, Sheet1!$C$2:$C$3203, B391) &gt; 0, "Sudah", "Belum")</f>
        <v>Sudah</v>
      </c>
    </row>
    <row r="392" spans="1:6" hidden="1" x14ac:dyDescent="0.35">
      <c r="A392">
        <v>391</v>
      </c>
      <c r="B392" s="4" t="s">
        <v>408</v>
      </c>
      <c r="C392" s="3">
        <v>1982</v>
      </c>
      <c r="D392" s="4" t="s">
        <v>4063</v>
      </c>
      <c r="E392" s="35" t="s">
        <v>4064</v>
      </c>
      <c r="F392" s="4" t="str">
        <f>IF(COUNTIFS(Sheet1!$D$2:$D$3203, C392, Sheet1!$C$2:$C$3203, B392) &gt; 0, "Sudah", "Belum")</f>
        <v>Sudah</v>
      </c>
    </row>
    <row r="393" spans="1:6" hidden="1" x14ac:dyDescent="0.35">
      <c r="A393">
        <v>392</v>
      </c>
      <c r="B393" s="4" t="s">
        <v>916</v>
      </c>
      <c r="C393" s="3">
        <v>1993</v>
      </c>
      <c r="D393" s="4" t="s">
        <v>4065</v>
      </c>
      <c r="E393" s="35" t="s">
        <v>4066</v>
      </c>
      <c r="F393" s="4" t="str">
        <f>IF(COUNTIFS(Sheet1!$D$2:$D$3203, C393, Sheet1!$C$2:$C$3203, B393) &gt; 0, "Sudah", "Belum")</f>
        <v>Sudah</v>
      </c>
    </row>
    <row r="394" spans="1:6" hidden="1" x14ac:dyDescent="0.35">
      <c r="A394">
        <v>393</v>
      </c>
      <c r="B394" s="4" t="s">
        <v>813</v>
      </c>
      <c r="C394" s="3">
        <v>1991</v>
      </c>
      <c r="D394" s="4" t="s">
        <v>4067</v>
      </c>
      <c r="E394" s="35" t="s">
        <v>4060</v>
      </c>
      <c r="F394" s="4" t="str">
        <f>IF(COUNTIFS(Sheet1!$D$2:$D$3203, C394, Sheet1!$C$2:$C$3203, B394) &gt; 0, "Sudah", "Belum")</f>
        <v>Sudah</v>
      </c>
    </row>
    <row r="395" spans="1:6" hidden="1" x14ac:dyDescent="0.35">
      <c r="A395">
        <v>394</v>
      </c>
      <c r="B395" s="4" t="s">
        <v>4068</v>
      </c>
      <c r="C395" s="3">
        <v>1996</v>
      </c>
      <c r="D395" s="4" t="s">
        <v>4069</v>
      </c>
      <c r="E395" s="35" t="s">
        <v>4070</v>
      </c>
      <c r="F395" s="4" t="str">
        <f>IF(COUNTIFS(Sheet1!$D$2:$D$3203, C395, Sheet1!$C$2:$C$3203, B395) &gt; 0, "Sudah", "Belum")</f>
        <v>Sudah</v>
      </c>
    </row>
    <row r="396" spans="1:6" hidden="1" x14ac:dyDescent="0.35">
      <c r="A396">
        <v>395</v>
      </c>
      <c r="B396" s="4" t="s">
        <v>1139</v>
      </c>
      <c r="C396" s="3">
        <v>1993</v>
      </c>
      <c r="D396" s="4" t="s">
        <v>4071</v>
      </c>
      <c r="E396" s="35" t="s">
        <v>4072</v>
      </c>
      <c r="F396" s="4" t="str">
        <f>IF(COUNTIFS(Sheet1!$D$2:$D$3203, C396, Sheet1!$C$2:$C$3203, B396) &gt; 0, "Sudah", "Belum")</f>
        <v>Sudah</v>
      </c>
    </row>
    <row r="397" spans="1:6" hidden="1" x14ac:dyDescent="0.35">
      <c r="A397">
        <v>396</v>
      </c>
      <c r="B397" s="4" t="s">
        <v>998</v>
      </c>
      <c r="C397" s="3">
        <v>1993</v>
      </c>
      <c r="D397" s="4" t="s">
        <v>4073</v>
      </c>
      <c r="E397" s="35" t="s">
        <v>4074</v>
      </c>
      <c r="F397" s="4" t="str">
        <f>IF(COUNTIFS(Sheet1!$D$2:$D$3203, C397, Sheet1!$C$2:$C$3203, B397) &gt; 0, "Sudah", "Belum")</f>
        <v>Sudah</v>
      </c>
    </row>
    <row r="398" spans="1:6" hidden="1" x14ac:dyDescent="0.35">
      <c r="A398">
        <v>397</v>
      </c>
      <c r="B398" s="4" t="s">
        <v>480</v>
      </c>
      <c r="C398" s="3">
        <v>1983</v>
      </c>
      <c r="D398" s="4" t="s">
        <v>4077</v>
      </c>
      <c r="E398" s="35" t="s">
        <v>4078</v>
      </c>
      <c r="F398" s="4" t="str">
        <f>IF(COUNTIFS(Sheet1!$D$2:$D$3203, C398, Sheet1!$C$2:$C$3203, B398) &gt; 0, "Sudah", "Belum")</f>
        <v>Sudah</v>
      </c>
    </row>
    <row r="399" spans="1:6" hidden="1" x14ac:dyDescent="0.35">
      <c r="A399">
        <v>398</v>
      </c>
      <c r="B399" s="4" t="s">
        <v>622</v>
      </c>
      <c r="C399" s="3">
        <v>1986</v>
      </c>
      <c r="D399" s="4" t="s">
        <v>4079</v>
      </c>
      <c r="E399" s="35" t="s">
        <v>4080</v>
      </c>
      <c r="F399" s="4" t="str">
        <f>IF(COUNTIFS(Sheet1!$D$2:$D$3203, C399, Sheet1!$C$2:$C$3203, B399) &gt; 0, "Sudah", "Belum")</f>
        <v>Sudah</v>
      </c>
    </row>
    <row r="400" spans="1:6" hidden="1" x14ac:dyDescent="0.35">
      <c r="A400">
        <v>399</v>
      </c>
      <c r="B400" s="4" t="s">
        <v>3096</v>
      </c>
      <c r="C400" s="3">
        <v>2015</v>
      </c>
      <c r="D400" s="4" t="s">
        <v>4081</v>
      </c>
      <c r="E400" s="35" t="s">
        <v>4082</v>
      </c>
      <c r="F400" s="4" t="str">
        <f>IF(COUNTIFS(Sheet1!$D$2:$D$3203, C400, Sheet1!$C$2:$C$3203, B400) &gt; 0, "Sudah", "Belum")</f>
        <v>Sudah</v>
      </c>
    </row>
    <row r="401" spans="1:6" hidden="1" x14ac:dyDescent="0.35">
      <c r="A401">
        <v>400</v>
      </c>
      <c r="B401" s="4" t="s">
        <v>4083</v>
      </c>
      <c r="C401" s="3">
        <v>1984</v>
      </c>
      <c r="D401" s="4" t="s">
        <v>4084</v>
      </c>
      <c r="E401" s="35" t="s">
        <v>4085</v>
      </c>
      <c r="F401" s="4" t="str">
        <f>IF(COUNTIFS(Sheet1!$D$2:$D$3203, C401, Sheet1!$C$2:$C$3203, B401) &gt; 0, "Sudah", "Belum")</f>
        <v>Sudah</v>
      </c>
    </row>
    <row r="402" spans="1:6" hidden="1" x14ac:dyDescent="0.35">
      <c r="A402">
        <v>401</v>
      </c>
      <c r="B402" s="4" t="s">
        <v>1779</v>
      </c>
      <c r="C402" s="3">
        <v>2004</v>
      </c>
      <c r="D402" s="4" t="s">
        <v>4086</v>
      </c>
      <c r="E402" s="35" t="s">
        <v>4087</v>
      </c>
      <c r="F402" s="4" t="str">
        <f>IF(COUNTIFS(Sheet1!$D$2:$D$3203, C402, Sheet1!$C$2:$C$3203, B402) &gt; 0, "Sudah", "Belum")</f>
        <v>Sudah</v>
      </c>
    </row>
    <row r="403" spans="1:6" hidden="1" x14ac:dyDescent="0.35">
      <c r="A403">
        <v>402</v>
      </c>
      <c r="B403" s="4" t="s">
        <v>4088</v>
      </c>
      <c r="C403" s="3">
        <v>1988</v>
      </c>
      <c r="D403" s="4" t="s">
        <v>4089</v>
      </c>
      <c r="E403" s="35" t="s">
        <v>4090</v>
      </c>
      <c r="F403" s="4" t="str">
        <f>IF(COUNTIFS(Sheet1!$D$2:$D$3203, C403, Sheet1!$C$2:$C$3203, B403) &gt; 0, "Sudah", "Belum")</f>
        <v>Sudah</v>
      </c>
    </row>
    <row r="404" spans="1:6" hidden="1" x14ac:dyDescent="0.35">
      <c r="A404">
        <v>403</v>
      </c>
      <c r="B404" s="4" t="s">
        <v>4091</v>
      </c>
      <c r="C404" s="3">
        <v>1997</v>
      </c>
      <c r="D404" s="4" t="s">
        <v>4092</v>
      </c>
      <c r="E404" s="35" t="s">
        <v>4093</v>
      </c>
      <c r="F404" s="4" t="str">
        <f>IF(COUNTIFS(Sheet1!$D$2:$D$3203, C404, Sheet1!$C$2:$C$3203, B404) &gt; 0, "Sudah", "Belum")</f>
        <v>Sudah</v>
      </c>
    </row>
    <row r="405" spans="1:6" hidden="1" x14ac:dyDescent="0.35">
      <c r="A405">
        <v>404</v>
      </c>
      <c r="B405" s="4" t="s">
        <v>1289</v>
      </c>
      <c r="C405" s="3">
        <v>1991</v>
      </c>
      <c r="D405" s="4" t="s">
        <v>4094</v>
      </c>
      <c r="E405" s="35" t="s">
        <v>4095</v>
      </c>
      <c r="F405" s="4" t="str">
        <f>IF(COUNTIFS(Sheet1!$D$2:$D$3203, C405, Sheet1!$C$2:$C$3203, B405) &gt; 0, "Sudah", "Belum")</f>
        <v>Sudah</v>
      </c>
    </row>
    <row r="406" spans="1:6" x14ac:dyDescent="0.35">
      <c r="A406">
        <v>405</v>
      </c>
      <c r="B406" s="4" t="s">
        <v>4096</v>
      </c>
      <c r="C406" s="3">
        <v>2019</v>
      </c>
      <c r="D406" s="4" t="s">
        <v>4097</v>
      </c>
      <c r="E406" s="35" t="s">
        <v>4098</v>
      </c>
      <c r="F406" s="4" t="str">
        <f>IF(COUNTIFS(Sheet1!$D$2:$D$3203, C406, Sheet1!$C$2:$C$3203, B406) &gt; 0, "Sudah", "Belum")</f>
        <v>Belum</v>
      </c>
    </row>
    <row r="407" spans="1:6" x14ac:dyDescent="0.35">
      <c r="A407">
        <v>406</v>
      </c>
      <c r="B407" s="4" t="s">
        <v>4099</v>
      </c>
      <c r="C407" s="3">
        <v>1990</v>
      </c>
      <c r="D407" s="4" t="s">
        <v>4100</v>
      </c>
      <c r="E407" s="35" t="s">
        <v>4101</v>
      </c>
      <c r="F407" s="4" t="str">
        <f>IF(COUNTIFS(Sheet1!$D$2:$D$3203, C407, Sheet1!$C$2:$C$3203, B407) &gt; 0, "Sudah", "Belum")</f>
        <v>Belum</v>
      </c>
    </row>
    <row r="408" spans="1:6" hidden="1" x14ac:dyDescent="0.35">
      <c r="A408">
        <v>407</v>
      </c>
      <c r="B408" s="4" t="s">
        <v>969</v>
      </c>
      <c r="C408" s="3">
        <v>1993</v>
      </c>
      <c r="D408" s="4" t="s">
        <v>4102</v>
      </c>
      <c r="E408" s="35" t="s">
        <v>4103</v>
      </c>
      <c r="F408" s="4" t="str">
        <f>IF(COUNTIFS(Sheet1!$D$2:$D$3203, C408, Sheet1!$C$2:$C$3203, B408) &gt; 0, "Sudah", "Belum")</f>
        <v>Sudah</v>
      </c>
    </row>
    <row r="409" spans="1:6" hidden="1" x14ac:dyDescent="0.35">
      <c r="A409">
        <v>408</v>
      </c>
      <c r="B409" s="4" t="s">
        <v>628</v>
      </c>
      <c r="C409" s="3">
        <v>1986</v>
      </c>
      <c r="D409" s="4" t="s">
        <v>4104</v>
      </c>
      <c r="E409" s="35" t="s">
        <v>4105</v>
      </c>
      <c r="F409" s="4" t="str">
        <f>IF(COUNTIFS(Sheet1!$D$2:$D$3203, C409, Sheet1!$C$2:$C$3203, B409) &gt; 0, "Sudah", "Belum")</f>
        <v>Sudah</v>
      </c>
    </row>
    <row r="410" spans="1:6" hidden="1" x14ac:dyDescent="0.35">
      <c r="A410">
        <v>409</v>
      </c>
      <c r="B410" s="4" t="s">
        <v>995</v>
      </c>
      <c r="C410" s="3">
        <v>1993</v>
      </c>
      <c r="D410" s="4" t="s">
        <v>4106</v>
      </c>
      <c r="E410" s="35" t="s">
        <v>4107</v>
      </c>
      <c r="F410" s="4" t="str">
        <f>IF(COUNTIFS(Sheet1!$D$2:$D$3203, C410, Sheet1!$C$2:$C$3203, B410) &gt; 0, "Sudah", "Belum")</f>
        <v>Sudah</v>
      </c>
    </row>
    <row r="411" spans="1:6" ht="15.5" hidden="1" x14ac:dyDescent="0.35">
      <c r="A411">
        <v>410</v>
      </c>
      <c r="B411" s="31" t="s">
        <v>5844</v>
      </c>
      <c r="C411" s="3">
        <v>1991</v>
      </c>
      <c r="D411" s="4" t="s">
        <v>4108</v>
      </c>
      <c r="E411" s="35" t="s">
        <v>4109</v>
      </c>
      <c r="F411" s="4" t="str">
        <f>IF(COUNTIFS(Sheet1!$D$2:$D$3203, C411, Sheet1!$C$2:$C$3203, B411) &gt; 0, "Sudah", "Belum")</f>
        <v>Sudah</v>
      </c>
    </row>
    <row r="412" spans="1:6" hidden="1" x14ac:dyDescent="0.35">
      <c r="A412">
        <v>411</v>
      </c>
      <c r="B412" s="4" t="s">
        <v>2514</v>
      </c>
      <c r="C412" s="3">
        <v>2018</v>
      </c>
      <c r="D412" s="4" t="s">
        <v>4110</v>
      </c>
      <c r="E412" s="35" t="s">
        <v>4111</v>
      </c>
      <c r="F412" s="4" t="str">
        <f>IF(COUNTIFS(Sheet1!$D$2:$D$3203, C412, Sheet1!$C$2:$C$3203, B412) &gt; 0, "Sudah", "Belum")</f>
        <v>Sudah</v>
      </c>
    </row>
    <row r="413" spans="1:6" hidden="1" x14ac:dyDescent="0.35">
      <c r="A413">
        <v>412</v>
      </c>
      <c r="B413" s="4" t="s">
        <v>2346</v>
      </c>
      <c r="C413" s="3">
        <v>2014</v>
      </c>
      <c r="D413" s="4" t="s">
        <v>4112</v>
      </c>
      <c r="E413" s="35" t="s">
        <v>4113</v>
      </c>
      <c r="F413" s="4" t="str">
        <f>IF(COUNTIFS(Sheet1!$D$2:$D$3203, C413, Sheet1!$C$2:$C$3203, B413) &gt; 0, "Sudah", "Belum")</f>
        <v>Sudah</v>
      </c>
    </row>
    <row r="414" spans="1:6" hidden="1" x14ac:dyDescent="0.35">
      <c r="A414">
        <v>413</v>
      </c>
      <c r="B414" s="4" t="s">
        <v>970</v>
      </c>
      <c r="C414" s="3">
        <v>1993</v>
      </c>
      <c r="D414" s="4" t="s">
        <v>4114</v>
      </c>
      <c r="E414" s="35" t="s">
        <v>4115</v>
      </c>
      <c r="F414" s="4" t="str">
        <f>IF(COUNTIFS(Sheet1!$D$2:$D$3203, C414, Sheet1!$C$2:$C$3203, B414) &gt; 0, "Sudah", "Belum")</f>
        <v>Sudah</v>
      </c>
    </row>
    <row r="415" spans="1:6" hidden="1" x14ac:dyDescent="0.35">
      <c r="A415">
        <v>414</v>
      </c>
      <c r="B415" s="4" t="s">
        <v>1482</v>
      </c>
      <c r="C415" s="3">
        <v>2004</v>
      </c>
      <c r="D415" s="4" t="s">
        <v>4116</v>
      </c>
      <c r="E415" s="35" t="s">
        <v>4117</v>
      </c>
      <c r="F415" s="4" t="str">
        <f>IF(COUNTIFS(Sheet1!$D$2:$D$3203, C415, Sheet1!$C$2:$C$3203, B415) &gt; 0, "Sudah", "Belum")</f>
        <v>Sudah</v>
      </c>
    </row>
    <row r="416" spans="1:6" x14ac:dyDescent="0.35">
      <c r="A416">
        <v>415</v>
      </c>
      <c r="B416" s="4" t="s">
        <v>4118</v>
      </c>
      <c r="C416" s="3">
        <v>1998</v>
      </c>
      <c r="D416" s="4" t="s">
        <v>4119</v>
      </c>
      <c r="E416" s="35" t="s">
        <v>4120</v>
      </c>
      <c r="F416" s="4" t="str">
        <f>IF(COUNTIFS(Sheet1!$D$2:$D$3203, C416, Sheet1!$C$2:$C$3203, B416) &gt; 0, "Sudah", "Belum")</f>
        <v>Belum</v>
      </c>
    </row>
    <row r="417" spans="1:6" hidden="1" x14ac:dyDescent="0.35">
      <c r="A417">
        <v>416</v>
      </c>
      <c r="B417" s="4" t="s">
        <v>1155</v>
      </c>
      <c r="C417" s="3">
        <v>1996</v>
      </c>
      <c r="D417" s="4" t="s">
        <v>4075</v>
      </c>
      <c r="E417" s="35" t="s">
        <v>4076</v>
      </c>
      <c r="F417" s="4" t="str">
        <f>IF(COUNTIFS(Sheet1!$D$2:$D$3203, C417, Sheet1!$C$2:$C$3203, B417) &gt; 0, "Sudah", "Belum")</f>
        <v>Sudah</v>
      </c>
    </row>
    <row r="418" spans="1:6" hidden="1" x14ac:dyDescent="0.35">
      <c r="A418">
        <v>417</v>
      </c>
      <c r="B418" s="4" t="s">
        <v>157</v>
      </c>
      <c r="C418" s="3">
        <v>1976</v>
      </c>
      <c r="D418" s="4" t="s">
        <v>4121</v>
      </c>
      <c r="E418" s="35" t="s">
        <v>4122</v>
      </c>
      <c r="F418" s="4" t="str">
        <f>IF(COUNTIFS(Sheet1!$D$2:$D$3203, C418, Sheet1!$C$2:$C$3203, B418) &gt; 0, "Sudah", "Belum")</f>
        <v>Sudah</v>
      </c>
    </row>
    <row r="419" spans="1:6" hidden="1" x14ac:dyDescent="0.35">
      <c r="A419">
        <v>418</v>
      </c>
      <c r="B419" s="4" t="s">
        <v>4123</v>
      </c>
      <c r="C419" s="3">
        <v>1970</v>
      </c>
      <c r="D419" s="4" t="s">
        <v>4124</v>
      </c>
      <c r="E419" s="35" t="s">
        <v>4125</v>
      </c>
      <c r="F419" s="4" t="str">
        <f>IF(COUNTIFS(Sheet1!$D$2:$D$3203, C419, Sheet1!$C$2:$C$3203, B419) &gt; 0, "Sudah", "Belum")</f>
        <v>Sudah</v>
      </c>
    </row>
    <row r="420" spans="1:6" hidden="1" x14ac:dyDescent="0.35">
      <c r="A420">
        <v>419</v>
      </c>
      <c r="B420" s="4" t="s">
        <v>2276</v>
      </c>
      <c r="C420" s="3">
        <v>2014</v>
      </c>
      <c r="D420" s="4" t="s">
        <v>4126</v>
      </c>
      <c r="E420" s="35" t="s">
        <v>4127</v>
      </c>
      <c r="F420" s="4" t="str">
        <f>IF(COUNTIFS(Sheet1!$D$2:$D$3203, C420, Sheet1!$C$2:$C$3203, B420) &gt; 0, "Sudah", "Belum")</f>
        <v>Sudah</v>
      </c>
    </row>
    <row r="421" spans="1:6" hidden="1" x14ac:dyDescent="0.35">
      <c r="A421">
        <v>420</v>
      </c>
      <c r="B421" s="4" t="s">
        <v>1453</v>
      </c>
      <c r="C421" s="3">
        <v>2000</v>
      </c>
      <c r="D421" s="4" t="s">
        <v>4128</v>
      </c>
      <c r="E421" s="35" t="s">
        <v>4129</v>
      </c>
      <c r="F421" s="4" t="str">
        <f>IF(COUNTIFS(Sheet1!$D$2:$D$3203, C421, Sheet1!$C$2:$C$3203, B421) &gt; 0, "Sudah", "Belum")</f>
        <v>Sudah</v>
      </c>
    </row>
    <row r="422" spans="1:6" hidden="1" x14ac:dyDescent="0.35">
      <c r="A422">
        <v>421</v>
      </c>
      <c r="B422" s="4" t="s">
        <v>584</v>
      </c>
      <c r="C422" s="3">
        <v>1988</v>
      </c>
      <c r="D422" s="4" t="s">
        <v>4130</v>
      </c>
      <c r="E422" s="35" t="s">
        <v>4131</v>
      </c>
      <c r="F422" s="4" t="str">
        <f>IF(COUNTIFS(Sheet1!$D$2:$D$3203, C422, Sheet1!$C$2:$C$3203, B422) &gt; 0, "Sudah", "Belum")</f>
        <v>Sudah</v>
      </c>
    </row>
    <row r="423" spans="1:6" hidden="1" x14ac:dyDescent="0.35">
      <c r="A423">
        <v>422</v>
      </c>
      <c r="B423" s="4" t="s">
        <v>3086</v>
      </c>
      <c r="C423" s="3">
        <v>2015</v>
      </c>
      <c r="D423" s="4" t="s">
        <v>4132</v>
      </c>
      <c r="E423" s="35" t="s">
        <v>4133</v>
      </c>
      <c r="F423" s="4" t="str">
        <f>IF(COUNTIFS(Sheet1!$D$2:$D$3203, C423, Sheet1!$C$2:$C$3203, B423) &gt; 0, "Sudah", "Belum")</f>
        <v>Sudah</v>
      </c>
    </row>
    <row r="424" spans="1:6" hidden="1" x14ac:dyDescent="0.35">
      <c r="A424">
        <v>423</v>
      </c>
      <c r="B424" s="4" t="s">
        <v>593</v>
      </c>
      <c r="C424" s="3">
        <v>1986</v>
      </c>
      <c r="D424" s="4" t="s">
        <v>4134</v>
      </c>
      <c r="E424" s="35" t="s">
        <v>4135</v>
      </c>
      <c r="F424" s="4" t="str">
        <f>IF(COUNTIFS(Sheet1!$D$2:$D$3203, C424, Sheet1!$C$2:$C$3203, B424) &gt; 0, "Sudah", "Belum")</f>
        <v>Sudah</v>
      </c>
    </row>
    <row r="425" spans="1:6" hidden="1" x14ac:dyDescent="0.35">
      <c r="A425">
        <v>424</v>
      </c>
      <c r="B425" s="4" t="s">
        <v>393</v>
      </c>
      <c r="C425" s="3">
        <v>1983</v>
      </c>
      <c r="D425" s="4" t="s">
        <v>4136</v>
      </c>
      <c r="E425" s="35" t="s">
        <v>4137</v>
      </c>
      <c r="F425" s="4" t="str">
        <f>IF(COUNTIFS(Sheet1!$D$2:$D$3203, C425, Sheet1!$C$2:$C$3203, B425) &gt; 0, "Sudah", "Belum")</f>
        <v>Sudah</v>
      </c>
    </row>
    <row r="426" spans="1:6" hidden="1" x14ac:dyDescent="0.35">
      <c r="A426">
        <v>425</v>
      </c>
      <c r="B426" s="4" t="s">
        <v>586</v>
      </c>
      <c r="C426" s="3">
        <v>1983</v>
      </c>
      <c r="D426" s="4" t="s">
        <v>4138</v>
      </c>
      <c r="E426" s="35" t="s">
        <v>4139</v>
      </c>
      <c r="F426" s="4" t="str">
        <f>IF(COUNTIFS(Sheet1!$D$2:$D$3203, C426, Sheet1!$C$2:$C$3203, B426) &gt; 0, "Sudah", "Belum")</f>
        <v>Sudah</v>
      </c>
    </row>
    <row r="427" spans="1:6" hidden="1" x14ac:dyDescent="0.35">
      <c r="A427">
        <v>426</v>
      </c>
      <c r="B427" s="4" t="s">
        <v>1513</v>
      </c>
      <c r="C427" s="3">
        <v>2000</v>
      </c>
      <c r="D427" s="4" t="s">
        <v>4140</v>
      </c>
      <c r="E427" s="35" t="s">
        <v>4141</v>
      </c>
      <c r="F427" s="4" t="str">
        <f>IF(COUNTIFS(Sheet1!$D$2:$D$3203, C427, Sheet1!$C$2:$C$3203, B427) &gt; 0, "Sudah", "Belum")</f>
        <v>Sudah</v>
      </c>
    </row>
    <row r="428" spans="1:6" hidden="1" x14ac:dyDescent="0.35">
      <c r="A428">
        <v>427</v>
      </c>
      <c r="B428" s="4" t="s">
        <v>2314</v>
      </c>
      <c r="C428" s="3">
        <v>2014</v>
      </c>
      <c r="D428" s="4" t="s">
        <v>4142</v>
      </c>
      <c r="E428" s="35" t="s">
        <v>4143</v>
      </c>
      <c r="F428" s="4" t="str">
        <f>IF(COUNTIFS(Sheet1!$D$2:$D$3203, C428, Sheet1!$C$2:$C$3203, B428) &gt; 0, "Sudah", "Belum")</f>
        <v>Sudah</v>
      </c>
    </row>
    <row r="429" spans="1:6" hidden="1" x14ac:dyDescent="0.35">
      <c r="A429">
        <v>428</v>
      </c>
      <c r="B429" s="4" t="s">
        <v>2578</v>
      </c>
      <c r="C429" s="3">
        <v>2019</v>
      </c>
      <c r="D429" s="4" t="s">
        <v>4146</v>
      </c>
      <c r="E429" s="35" t="s">
        <v>4147</v>
      </c>
      <c r="F429" s="4" t="str">
        <f>IF(COUNTIFS(Sheet1!$D$2:$D$3203, C429, Sheet1!$C$2:$C$3203, B429) &gt; 0, "Sudah", "Belum")</f>
        <v>Sudah</v>
      </c>
    </row>
    <row r="430" spans="1:6" hidden="1" x14ac:dyDescent="0.35">
      <c r="A430">
        <v>429</v>
      </c>
      <c r="B430" s="4" t="s">
        <v>1656</v>
      </c>
      <c r="C430" s="3">
        <v>2002</v>
      </c>
      <c r="D430" s="4" t="s">
        <v>4148</v>
      </c>
      <c r="E430" s="35" t="s">
        <v>4149</v>
      </c>
      <c r="F430" s="4" t="str">
        <f>IF(COUNTIFS(Sheet1!$D$2:$D$3203, C430, Sheet1!$C$2:$C$3203, B430) &gt; 0, "Sudah", "Belum")</f>
        <v>Sudah</v>
      </c>
    </row>
    <row r="431" spans="1:6" hidden="1" x14ac:dyDescent="0.35">
      <c r="A431">
        <v>430</v>
      </c>
      <c r="B431" s="4" t="s">
        <v>1871</v>
      </c>
      <c r="C431" s="3">
        <v>2008</v>
      </c>
      <c r="D431" s="4" t="s">
        <v>4150</v>
      </c>
      <c r="E431" s="35" t="s">
        <v>4151</v>
      </c>
      <c r="F431" s="4" t="str">
        <f>IF(COUNTIFS(Sheet1!$D$2:$D$3203, C431, Sheet1!$C$2:$C$3203, B431) &gt; 0, "Sudah", "Belum")</f>
        <v>Sudah</v>
      </c>
    </row>
    <row r="432" spans="1:6" hidden="1" x14ac:dyDescent="0.35">
      <c r="A432">
        <v>431</v>
      </c>
      <c r="B432" s="4" t="s">
        <v>1381</v>
      </c>
      <c r="C432" s="3">
        <v>1999</v>
      </c>
      <c r="D432" s="4" t="s">
        <v>4152</v>
      </c>
      <c r="E432" s="35" t="s">
        <v>4153</v>
      </c>
      <c r="F432" s="4" t="str">
        <f>IF(COUNTIFS(Sheet1!$D$2:$D$3203, C432, Sheet1!$C$2:$C$3203, B432) &gt; 0, "Sudah", "Belum")</f>
        <v>Sudah</v>
      </c>
    </row>
    <row r="433" spans="1:6" hidden="1" x14ac:dyDescent="0.35">
      <c r="A433">
        <v>432</v>
      </c>
      <c r="B433" s="4" t="s">
        <v>1712</v>
      </c>
      <c r="C433" s="3">
        <v>2002</v>
      </c>
      <c r="D433" s="4" t="s">
        <v>4154</v>
      </c>
      <c r="E433" s="35" t="s">
        <v>4155</v>
      </c>
      <c r="F433" s="4" t="str">
        <f>IF(COUNTIFS(Sheet1!$D$2:$D$3203, C433, Sheet1!$C$2:$C$3203, B433) &gt; 0, "Sudah", "Belum")</f>
        <v>Sudah</v>
      </c>
    </row>
    <row r="434" spans="1:6" hidden="1" x14ac:dyDescent="0.35">
      <c r="A434">
        <v>433</v>
      </c>
      <c r="B434" s="4" t="s">
        <v>4156</v>
      </c>
      <c r="C434" s="3">
        <v>1999</v>
      </c>
      <c r="D434" s="4" t="s">
        <v>4157</v>
      </c>
      <c r="E434" s="35" t="s">
        <v>4158</v>
      </c>
      <c r="F434" s="4" t="str">
        <f>IF(COUNTIFS(Sheet1!$D$2:$D$3203, C434, Sheet1!$C$2:$C$3203, B434) &gt; 0, "Sudah", "Belum")</f>
        <v>Sudah</v>
      </c>
    </row>
    <row r="435" spans="1:6" hidden="1" x14ac:dyDescent="0.35">
      <c r="A435">
        <v>434</v>
      </c>
      <c r="B435" s="4" t="s">
        <v>226</v>
      </c>
      <c r="C435" s="3">
        <v>1979</v>
      </c>
      <c r="D435" s="4" t="s">
        <v>4160</v>
      </c>
      <c r="E435" s="35" t="s">
        <v>4161</v>
      </c>
      <c r="F435" s="4" t="str">
        <f>IF(COUNTIFS(Sheet1!$D$2:$D$3203, C435, Sheet1!$C$2:$C$3203, B435) &gt; 0, "Sudah", "Belum")</f>
        <v>Sudah</v>
      </c>
    </row>
    <row r="436" spans="1:6" hidden="1" x14ac:dyDescent="0.35">
      <c r="A436">
        <v>435</v>
      </c>
      <c r="B436" s="4" t="s">
        <v>1380</v>
      </c>
      <c r="C436" s="3">
        <v>1999</v>
      </c>
      <c r="D436" s="4" t="s">
        <v>4162</v>
      </c>
      <c r="E436" s="35" t="s">
        <v>4163</v>
      </c>
      <c r="F436" s="4" t="str">
        <f>IF(COUNTIFS(Sheet1!$D$2:$D$3203, C436, Sheet1!$C$2:$C$3203, B436) &gt; 0, "Sudah", "Belum")</f>
        <v>Sudah</v>
      </c>
    </row>
    <row r="437" spans="1:6" hidden="1" x14ac:dyDescent="0.35">
      <c r="A437">
        <v>436</v>
      </c>
      <c r="B437" s="4" t="s">
        <v>1698</v>
      </c>
      <c r="C437" s="3">
        <v>2002</v>
      </c>
      <c r="D437" s="4" t="s">
        <v>4164</v>
      </c>
      <c r="E437" s="35" t="s">
        <v>4165</v>
      </c>
      <c r="F437" s="4" t="str">
        <f>IF(COUNTIFS(Sheet1!$D$2:$D$3203, C437, Sheet1!$C$2:$C$3203, B437) &gt; 0, "Sudah", "Belum")</f>
        <v>Sudah</v>
      </c>
    </row>
    <row r="438" spans="1:6" hidden="1" x14ac:dyDescent="0.35">
      <c r="A438">
        <v>437</v>
      </c>
      <c r="B438" s="4" t="s">
        <v>320</v>
      </c>
      <c r="C438" s="3">
        <v>1982</v>
      </c>
      <c r="D438" s="4" t="s">
        <v>3930</v>
      </c>
      <c r="E438" s="35" t="s">
        <v>3931</v>
      </c>
      <c r="F438" s="4" t="str">
        <f>IF(COUNTIFS(Sheet1!$D$2:$D$3203, C438, Sheet1!$C$2:$C$3203, B438) &gt; 0, "Sudah", "Belum")</f>
        <v>Sudah</v>
      </c>
    </row>
    <row r="439" spans="1:6" hidden="1" x14ac:dyDescent="0.35">
      <c r="A439">
        <v>438</v>
      </c>
      <c r="B439" s="4" t="s">
        <v>531</v>
      </c>
      <c r="C439" s="3">
        <v>1983</v>
      </c>
      <c r="D439" s="4" t="s">
        <v>4166</v>
      </c>
      <c r="E439" s="35" t="s">
        <v>4167</v>
      </c>
      <c r="F439" s="4" t="str">
        <f>IF(COUNTIFS(Sheet1!$D$2:$D$3203, C439, Sheet1!$C$2:$C$3203, B439) &gt; 0, "Sudah", "Belum")</f>
        <v>Sudah</v>
      </c>
    </row>
    <row r="440" spans="1:6" hidden="1" x14ac:dyDescent="0.35">
      <c r="A440">
        <v>439</v>
      </c>
      <c r="B440" s="4" t="s">
        <v>4168</v>
      </c>
      <c r="C440" s="3">
        <v>1994</v>
      </c>
      <c r="D440" s="4" t="s">
        <v>4169</v>
      </c>
      <c r="E440" s="35" t="s">
        <v>4170</v>
      </c>
      <c r="F440" s="4" t="str">
        <f>IF(COUNTIFS(Sheet1!$D$2:$D$3203, C440, Sheet1!$C$2:$C$3203, B440) &gt; 0, "Sudah", "Belum")</f>
        <v>Sudah</v>
      </c>
    </row>
    <row r="441" spans="1:6" hidden="1" x14ac:dyDescent="0.35">
      <c r="A441">
        <v>440</v>
      </c>
      <c r="B441" s="4" t="s">
        <v>761</v>
      </c>
      <c r="C441" s="3">
        <v>1988</v>
      </c>
      <c r="D441" s="4" t="s">
        <v>4171</v>
      </c>
      <c r="E441" s="35" t="s">
        <v>4172</v>
      </c>
      <c r="F441" s="4" t="str">
        <f>IF(COUNTIFS(Sheet1!$D$2:$D$3203, C441, Sheet1!$C$2:$C$3203, B441) &gt; 0, "Sudah", "Belum")</f>
        <v>Sudah</v>
      </c>
    </row>
    <row r="442" spans="1:6" hidden="1" x14ac:dyDescent="0.35">
      <c r="A442">
        <v>441</v>
      </c>
      <c r="B442" s="4" t="s">
        <v>2608</v>
      </c>
      <c r="C442" s="3">
        <v>2019</v>
      </c>
      <c r="D442" s="4" t="s">
        <v>4173</v>
      </c>
      <c r="E442" s="35" t="s">
        <v>4174</v>
      </c>
      <c r="F442" s="4" t="str">
        <f>IF(COUNTIFS(Sheet1!$D$2:$D$3203, C442, Sheet1!$C$2:$C$3203, B442) &gt; 0, "Sudah", "Belum")</f>
        <v>Sudah</v>
      </c>
    </row>
    <row r="443" spans="1:6" hidden="1" x14ac:dyDescent="0.35">
      <c r="A443">
        <v>442</v>
      </c>
      <c r="B443" s="4" t="s">
        <v>1448</v>
      </c>
      <c r="C443" s="3">
        <v>1999</v>
      </c>
      <c r="D443" s="4" t="s">
        <v>4175</v>
      </c>
      <c r="E443" s="35" t="s">
        <v>4176</v>
      </c>
      <c r="F443" s="4" t="str">
        <f>IF(COUNTIFS(Sheet1!$D$2:$D$3203, C443, Sheet1!$C$2:$C$3203, B443) &gt; 0, "Sudah", "Belum")</f>
        <v>Sudah</v>
      </c>
    </row>
    <row r="444" spans="1:6" hidden="1" x14ac:dyDescent="0.35">
      <c r="A444">
        <v>443</v>
      </c>
      <c r="B444" s="4" t="s">
        <v>2878</v>
      </c>
      <c r="C444" s="3">
        <v>2006</v>
      </c>
      <c r="D444" s="4" t="s">
        <v>4177</v>
      </c>
      <c r="E444" s="35" t="s">
        <v>4178</v>
      </c>
      <c r="F444" s="4" t="str">
        <f>IF(COUNTIFS(Sheet1!$D$2:$D$3203, C444, Sheet1!$C$2:$C$3203, B444) &gt; 0, "Sudah", "Belum")</f>
        <v>Sudah</v>
      </c>
    </row>
    <row r="445" spans="1:6" hidden="1" x14ac:dyDescent="0.35">
      <c r="A445">
        <v>444</v>
      </c>
      <c r="B445" s="4" t="s">
        <v>4179</v>
      </c>
      <c r="C445" s="3">
        <v>1982</v>
      </c>
      <c r="D445" s="4" t="s">
        <v>4180</v>
      </c>
      <c r="E445" s="35" t="s">
        <v>4181</v>
      </c>
      <c r="F445" s="4" t="str">
        <f>IF(COUNTIFS(Sheet1!$D$2:$D$3203, C445, Sheet1!$C$2:$C$3203, B445) &gt; 0, "Sudah", "Belum")</f>
        <v>Sudah</v>
      </c>
    </row>
    <row r="446" spans="1:6" hidden="1" x14ac:dyDescent="0.35">
      <c r="A446">
        <v>445</v>
      </c>
      <c r="B446" s="4" t="s">
        <v>2397</v>
      </c>
      <c r="C446" s="3">
        <v>2017</v>
      </c>
      <c r="D446" s="4" t="s">
        <v>4184</v>
      </c>
      <c r="E446" s="35" t="s">
        <v>4159</v>
      </c>
      <c r="F446" s="4" t="str">
        <f>IF(COUNTIFS(Sheet1!$D$2:$D$3203, C446, Sheet1!$C$2:$C$3203, B446) &gt; 0, "Sudah", "Belum")</f>
        <v>Sudah</v>
      </c>
    </row>
    <row r="447" spans="1:6" hidden="1" x14ac:dyDescent="0.35">
      <c r="A447">
        <v>446</v>
      </c>
      <c r="B447" s="4" t="s">
        <v>724</v>
      </c>
      <c r="C447" s="3">
        <v>1988</v>
      </c>
      <c r="D447" s="4" t="s">
        <v>4030</v>
      </c>
      <c r="E447" s="35" t="s">
        <v>4031</v>
      </c>
      <c r="F447" s="4" t="str">
        <f>IF(COUNTIFS(Sheet1!$D$2:$D$3203, C447, Sheet1!$C$2:$C$3203, B447) &gt; 0, "Sudah", "Belum")</f>
        <v>Sudah</v>
      </c>
    </row>
    <row r="448" spans="1:6" hidden="1" x14ac:dyDescent="0.35">
      <c r="A448">
        <v>447</v>
      </c>
      <c r="B448" s="4" t="s">
        <v>2274</v>
      </c>
      <c r="C448" s="3">
        <v>2014</v>
      </c>
      <c r="D448" s="4" t="s">
        <v>4185</v>
      </c>
      <c r="E448" s="35" t="s">
        <v>4186</v>
      </c>
      <c r="F448" s="4" t="str">
        <f>IF(COUNTIFS(Sheet1!$D$2:$D$3203, C448, Sheet1!$C$2:$C$3203, B448) &gt; 0, "Sudah", "Belum")</f>
        <v>Sudah</v>
      </c>
    </row>
    <row r="449" spans="1:6" hidden="1" x14ac:dyDescent="0.35">
      <c r="A449">
        <v>448</v>
      </c>
      <c r="B449" s="4" t="s">
        <v>98</v>
      </c>
      <c r="C449" s="3">
        <v>1973</v>
      </c>
      <c r="D449" s="4" t="s">
        <v>4187</v>
      </c>
      <c r="E449" s="35" t="s">
        <v>4188</v>
      </c>
      <c r="F449" s="4" t="str">
        <f>IF(COUNTIFS(Sheet1!$D$2:$D$3203, C449, Sheet1!$C$2:$C$3203, B449) &gt; 0, "Sudah", "Belum")</f>
        <v>Sudah</v>
      </c>
    </row>
    <row r="450" spans="1:6" hidden="1" x14ac:dyDescent="0.35">
      <c r="A450">
        <v>449</v>
      </c>
      <c r="B450" s="4" t="s">
        <v>691</v>
      </c>
      <c r="C450" s="3">
        <v>1988</v>
      </c>
      <c r="D450" s="4" t="s">
        <v>4189</v>
      </c>
      <c r="E450" s="35" t="s">
        <v>4190</v>
      </c>
      <c r="F450" s="4" t="str">
        <f>IF(COUNTIFS(Sheet1!$D$2:$D$3203, C450, Sheet1!$C$2:$C$3203, B450) &gt; 0, "Sudah", "Belum")</f>
        <v>Sudah</v>
      </c>
    </row>
    <row r="451" spans="1:6" hidden="1" x14ac:dyDescent="0.35">
      <c r="A451">
        <v>450</v>
      </c>
      <c r="B451" s="4" t="s">
        <v>2410</v>
      </c>
      <c r="C451" s="3">
        <v>2017</v>
      </c>
      <c r="D451" s="4" t="s">
        <v>4191</v>
      </c>
      <c r="E451" s="35" t="s">
        <v>4192</v>
      </c>
      <c r="F451" s="4" t="str">
        <f>IF(COUNTIFS(Sheet1!$D$2:$D$3203, C451, Sheet1!$C$2:$C$3203, B451) &gt; 0, "Sudah", "Belum")</f>
        <v>Sudah</v>
      </c>
    </row>
    <row r="452" spans="1:6" hidden="1" x14ac:dyDescent="0.35">
      <c r="A452">
        <v>451</v>
      </c>
      <c r="B452" s="4" t="s">
        <v>2464</v>
      </c>
      <c r="C452" s="3">
        <v>2017</v>
      </c>
      <c r="D452" s="4" t="s">
        <v>4195</v>
      </c>
      <c r="E452" s="35" t="s">
        <v>4196</v>
      </c>
      <c r="F452" s="4" t="str">
        <f>IF(COUNTIFS(Sheet1!$D$2:$D$3203, C452, Sheet1!$C$2:$C$3203, B452) &gt; 0, "Sudah", "Belum")</f>
        <v>Sudah</v>
      </c>
    </row>
    <row r="453" spans="1:6" hidden="1" x14ac:dyDescent="0.35">
      <c r="A453">
        <v>452</v>
      </c>
      <c r="B453" s="4" t="s">
        <v>739</v>
      </c>
      <c r="C453" s="3">
        <v>1988</v>
      </c>
      <c r="D453" s="4" t="s">
        <v>4193</v>
      </c>
      <c r="E453" s="35" t="s">
        <v>4194</v>
      </c>
      <c r="F453" s="4" t="str">
        <f>IF(COUNTIFS(Sheet1!$D$2:$D$3203, C453, Sheet1!$C$2:$C$3203, B453) &gt; 0, "Sudah", "Belum")</f>
        <v>Sudah</v>
      </c>
    </row>
    <row r="454" spans="1:6" hidden="1" x14ac:dyDescent="0.35">
      <c r="A454">
        <v>453</v>
      </c>
      <c r="B454" s="4" t="s">
        <v>753</v>
      </c>
      <c r="C454" s="3">
        <v>1988</v>
      </c>
      <c r="D454" s="4" t="s">
        <v>4197</v>
      </c>
      <c r="E454" s="35" t="s">
        <v>4198</v>
      </c>
      <c r="F454" s="4" t="str">
        <f>IF(COUNTIFS(Sheet1!$D$2:$D$3203, C454, Sheet1!$C$2:$C$3203, B454) &gt; 0, "Sudah", "Belum")</f>
        <v>Sudah</v>
      </c>
    </row>
    <row r="455" spans="1:6" hidden="1" x14ac:dyDescent="0.35">
      <c r="A455">
        <v>454</v>
      </c>
      <c r="B455" s="4" t="s">
        <v>2413</v>
      </c>
      <c r="C455" s="3">
        <v>2017</v>
      </c>
      <c r="D455" s="4" t="s">
        <v>4199</v>
      </c>
      <c r="E455" s="35" t="s">
        <v>4200</v>
      </c>
      <c r="F455" s="4" t="str">
        <f>IF(COUNTIFS(Sheet1!$D$2:$D$3203, C455, Sheet1!$C$2:$C$3203, B455) &gt; 0, "Sudah", "Belum")</f>
        <v>Sudah</v>
      </c>
    </row>
    <row r="456" spans="1:6" hidden="1" x14ac:dyDescent="0.35">
      <c r="A456">
        <v>455</v>
      </c>
      <c r="B456" s="4" t="s">
        <v>106</v>
      </c>
      <c r="C456" s="3">
        <v>1976</v>
      </c>
      <c r="D456" s="4" t="s">
        <v>4201</v>
      </c>
      <c r="E456" s="35" t="s">
        <v>4202</v>
      </c>
      <c r="F456" s="4" t="str">
        <f>IF(COUNTIFS(Sheet1!$D$2:$D$3203, C456, Sheet1!$C$2:$C$3203, B456) &gt; 0, "Sudah", "Belum")</f>
        <v>Sudah</v>
      </c>
    </row>
    <row r="457" spans="1:6" hidden="1" x14ac:dyDescent="0.35">
      <c r="A457">
        <v>456</v>
      </c>
      <c r="B457" s="4" t="s">
        <v>752</v>
      </c>
      <c r="C457" s="3">
        <v>1988</v>
      </c>
      <c r="D457" s="4" t="s">
        <v>4203</v>
      </c>
      <c r="E457" s="35" t="s">
        <v>4204</v>
      </c>
      <c r="F457" s="4" t="str">
        <f>IF(COUNTIFS(Sheet1!$D$2:$D$3203, C457, Sheet1!$C$2:$C$3203, B457) &gt; 0, "Sudah", "Belum")</f>
        <v>Sudah</v>
      </c>
    </row>
    <row r="458" spans="1:6" hidden="1" x14ac:dyDescent="0.35">
      <c r="A458">
        <v>457</v>
      </c>
      <c r="B458" s="4" t="s">
        <v>2384</v>
      </c>
      <c r="C458" s="3">
        <v>2016</v>
      </c>
      <c r="D458" s="4" t="s">
        <v>4205</v>
      </c>
      <c r="E458" s="35" t="s">
        <v>4206</v>
      </c>
      <c r="F458" s="4" t="str">
        <f>IF(COUNTIFS(Sheet1!$D$2:$D$3203, C458, Sheet1!$C$2:$C$3203, B458) &gt; 0, "Sudah", "Belum")</f>
        <v>Sudah</v>
      </c>
    </row>
    <row r="459" spans="1:6" hidden="1" x14ac:dyDescent="0.35">
      <c r="A459">
        <v>458</v>
      </c>
      <c r="B459" s="4" t="s">
        <v>746</v>
      </c>
      <c r="C459" s="3">
        <v>1988</v>
      </c>
      <c r="D459" s="4" t="s">
        <v>4207</v>
      </c>
      <c r="E459" s="35" t="s">
        <v>4208</v>
      </c>
      <c r="F459" s="4" t="str">
        <f>IF(COUNTIFS(Sheet1!$D$2:$D$3203, C459, Sheet1!$C$2:$C$3203, B459) &gt; 0, "Sudah", "Belum")</f>
        <v>Sudah</v>
      </c>
    </row>
    <row r="460" spans="1:6" hidden="1" x14ac:dyDescent="0.35">
      <c r="A460">
        <v>459</v>
      </c>
      <c r="B460" s="4" t="s">
        <v>648</v>
      </c>
      <c r="C460" s="3">
        <v>1988</v>
      </c>
      <c r="D460" s="4" t="s">
        <v>4211</v>
      </c>
      <c r="E460" s="35" t="s">
        <v>4212</v>
      </c>
      <c r="F460" s="4" t="str">
        <f>IF(COUNTIFS(Sheet1!$D$2:$D$3203, C460, Sheet1!$C$2:$C$3203, B460) &gt; 0, "Sudah", "Belum")</f>
        <v>Sudah</v>
      </c>
    </row>
    <row r="461" spans="1:6" hidden="1" x14ac:dyDescent="0.35">
      <c r="A461">
        <v>460</v>
      </c>
      <c r="B461" s="4" t="s">
        <v>965</v>
      </c>
      <c r="C461" s="3">
        <v>1991</v>
      </c>
      <c r="D461" s="4" t="s">
        <v>4209</v>
      </c>
      <c r="E461" s="35" t="s">
        <v>4210</v>
      </c>
      <c r="F461" s="4" t="str">
        <f>IF(COUNTIFS(Sheet1!$D$2:$D$3203, C461, Sheet1!$C$2:$C$3203, B461) &gt; 0, "Sudah", "Belum")</f>
        <v>Sudah</v>
      </c>
    </row>
    <row r="462" spans="1:6" hidden="1" x14ac:dyDescent="0.35">
      <c r="A462">
        <v>461</v>
      </c>
      <c r="B462" s="4" t="s">
        <v>1393</v>
      </c>
      <c r="C462" s="3">
        <v>1998</v>
      </c>
      <c r="D462" s="4" t="s">
        <v>4213</v>
      </c>
      <c r="E462" s="35" t="s">
        <v>4214</v>
      </c>
      <c r="F462" s="4" t="str">
        <f>IF(COUNTIFS(Sheet1!$D$2:$D$3203, C462, Sheet1!$C$2:$C$3203, B462) &gt; 0, "Sudah", "Belum")</f>
        <v>Sudah</v>
      </c>
    </row>
    <row r="463" spans="1:6" hidden="1" x14ac:dyDescent="0.35">
      <c r="A463">
        <v>462</v>
      </c>
      <c r="B463" s="4" t="s">
        <v>2033</v>
      </c>
      <c r="C463" s="3">
        <v>2011</v>
      </c>
      <c r="D463" s="4" t="s">
        <v>4215</v>
      </c>
      <c r="E463" s="35" t="s">
        <v>4216</v>
      </c>
      <c r="F463" s="4" t="str">
        <f>IF(COUNTIFS(Sheet1!$D$2:$D$3203, C463, Sheet1!$C$2:$C$3203, B463) &gt; 0, "Sudah", "Belum")</f>
        <v>Sudah</v>
      </c>
    </row>
    <row r="464" spans="1:6" hidden="1" x14ac:dyDescent="0.35">
      <c r="A464">
        <v>463</v>
      </c>
      <c r="B464" s="4" t="s">
        <v>1345</v>
      </c>
      <c r="C464" s="3">
        <v>1996</v>
      </c>
      <c r="D464" s="4" t="s">
        <v>4217</v>
      </c>
      <c r="E464" s="35" t="s">
        <v>4218</v>
      </c>
      <c r="F464" s="4" t="str">
        <f>IF(COUNTIFS(Sheet1!$D$2:$D$3203, C464, Sheet1!$C$2:$C$3203, B464) &gt; 0, "Sudah", "Belum")</f>
        <v>Sudah</v>
      </c>
    </row>
    <row r="465" spans="1:6" x14ac:dyDescent="0.35">
      <c r="A465">
        <v>464</v>
      </c>
      <c r="B465" s="4" t="s">
        <v>4221</v>
      </c>
      <c r="C465" s="3">
        <v>1998</v>
      </c>
      <c r="D465" s="4" t="s">
        <v>4222</v>
      </c>
      <c r="E465" s="35" t="s">
        <v>4223</v>
      </c>
      <c r="F465" s="4" t="str">
        <f>IF(COUNTIFS(Sheet1!$D$2:$D$3203, C465, Sheet1!$C$2:$C$3203, B465) &gt; 0, "Sudah", "Belum")</f>
        <v>Belum</v>
      </c>
    </row>
    <row r="466" spans="1:6" hidden="1" x14ac:dyDescent="0.35">
      <c r="A466">
        <v>465</v>
      </c>
      <c r="B466" s="4" t="s">
        <v>1223</v>
      </c>
      <c r="C466" s="3">
        <v>1996</v>
      </c>
      <c r="D466" s="4" t="s">
        <v>4226</v>
      </c>
      <c r="E466" s="35" t="s">
        <v>4227</v>
      </c>
      <c r="F466" s="4" t="str">
        <f>IF(COUNTIFS(Sheet1!$D$2:$D$3203, C466, Sheet1!$C$2:$C$3203, B466) &gt; 0, "Sudah", "Belum")</f>
        <v>Sudah</v>
      </c>
    </row>
    <row r="467" spans="1:6" hidden="1" x14ac:dyDescent="0.35">
      <c r="A467">
        <v>466</v>
      </c>
      <c r="B467" s="4" t="s">
        <v>1673</v>
      </c>
      <c r="C467" s="3">
        <v>2002</v>
      </c>
      <c r="D467" s="4" t="s">
        <v>4228</v>
      </c>
      <c r="E467" s="35" t="s">
        <v>4229</v>
      </c>
      <c r="F467" s="4" t="str">
        <f>IF(COUNTIFS(Sheet1!$D$2:$D$3203, C467, Sheet1!$C$2:$C$3203, B467) &gt; 0, "Sudah", "Belum")</f>
        <v>Sudah</v>
      </c>
    </row>
    <row r="468" spans="1:6" hidden="1" x14ac:dyDescent="0.35">
      <c r="A468">
        <v>467</v>
      </c>
      <c r="B468" s="4" t="s">
        <v>4230</v>
      </c>
      <c r="C468" s="3">
        <v>1986</v>
      </c>
      <c r="D468" s="4" t="s">
        <v>4231</v>
      </c>
      <c r="E468" s="35" t="s">
        <v>4232</v>
      </c>
      <c r="F468" s="4" t="str">
        <f>IF(COUNTIFS(Sheet1!$D$2:$D$3203, C468, Sheet1!$C$2:$C$3203, B468) &gt; 0, "Sudah", "Belum")</f>
        <v>Sudah</v>
      </c>
    </row>
    <row r="469" spans="1:6" hidden="1" x14ac:dyDescent="0.35">
      <c r="A469">
        <v>468</v>
      </c>
      <c r="B469" s="4" t="s">
        <v>558</v>
      </c>
      <c r="C469" s="3">
        <v>1986</v>
      </c>
      <c r="D469" s="4" t="s">
        <v>4233</v>
      </c>
      <c r="E469" s="35" t="s">
        <v>4234</v>
      </c>
      <c r="F469" s="4" t="str">
        <f>IF(COUNTIFS(Sheet1!$D$2:$D$3203, C469, Sheet1!$C$2:$C$3203, B469) &gt; 0, "Sudah", "Belum")</f>
        <v>Sudah</v>
      </c>
    </row>
    <row r="470" spans="1:6" hidden="1" x14ac:dyDescent="0.35">
      <c r="A470">
        <v>469</v>
      </c>
      <c r="B470" s="4" t="s">
        <v>89</v>
      </c>
      <c r="C470" s="3">
        <v>2000</v>
      </c>
      <c r="D470" s="4" t="s">
        <v>4237</v>
      </c>
      <c r="E470" s="35" t="s">
        <v>4238</v>
      </c>
      <c r="F470" s="4" t="str">
        <f>IF(COUNTIFS(Sheet1!$D$2:$D$3203, C470, Sheet1!$C$2:$C$3203, B470) &gt; 0, "Sudah", "Belum")</f>
        <v>Sudah</v>
      </c>
    </row>
    <row r="471" spans="1:6" hidden="1" x14ac:dyDescent="0.35">
      <c r="A471">
        <v>470</v>
      </c>
      <c r="B471" s="4" t="s">
        <v>791</v>
      </c>
      <c r="C471" s="3">
        <v>1988</v>
      </c>
      <c r="D471" s="4" t="s">
        <v>4239</v>
      </c>
      <c r="E471" s="35" t="s">
        <v>4240</v>
      </c>
      <c r="F471" s="4" t="str">
        <f>IF(COUNTIFS(Sheet1!$D$2:$D$3203, C471, Sheet1!$C$2:$C$3203, B471) &gt; 0, "Sudah", "Belum")</f>
        <v>Sudah</v>
      </c>
    </row>
    <row r="472" spans="1:6" hidden="1" x14ac:dyDescent="0.35">
      <c r="A472">
        <v>471</v>
      </c>
      <c r="B472" s="4" t="s">
        <v>898</v>
      </c>
      <c r="C472" s="3">
        <v>1988</v>
      </c>
      <c r="D472" s="4" t="s">
        <v>4243</v>
      </c>
      <c r="E472" s="35" t="s">
        <v>4244</v>
      </c>
      <c r="F472" s="4" t="str">
        <f>IF(COUNTIFS(Sheet1!$D$2:$D$3203, C472, Sheet1!$C$2:$C$3203, B472) &gt; 0, "Sudah", "Belum")</f>
        <v>Sudah</v>
      </c>
    </row>
    <row r="473" spans="1:6" hidden="1" x14ac:dyDescent="0.35">
      <c r="A473">
        <v>472</v>
      </c>
      <c r="B473" s="4" t="s">
        <v>1390</v>
      </c>
      <c r="C473" s="3">
        <v>1998</v>
      </c>
      <c r="D473" s="4" t="s">
        <v>4245</v>
      </c>
      <c r="E473" s="35" t="s">
        <v>4246</v>
      </c>
      <c r="F473" s="4" t="str">
        <f>IF(COUNTIFS(Sheet1!$D$2:$D$3203, C473, Sheet1!$C$2:$C$3203, B473) &gt; 0, "Sudah", "Belum")</f>
        <v>Sudah</v>
      </c>
    </row>
    <row r="474" spans="1:6" hidden="1" x14ac:dyDescent="0.35">
      <c r="A474">
        <v>473</v>
      </c>
      <c r="B474" s="4" t="s">
        <v>264</v>
      </c>
      <c r="C474" s="3">
        <v>1980</v>
      </c>
      <c r="D474" s="4" t="s">
        <v>4247</v>
      </c>
      <c r="E474" s="35" t="s">
        <v>4248</v>
      </c>
      <c r="F474" s="4" t="str">
        <f>IF(COUNTIFS(Sheet1!$D$2:$D$3203, C474, Sheet1!$C$2:$C$3203, B474) &gt; 0, "Sudah", "Belum")</f>
        <v>Sudah</v>
      </c>
    </row>
    <row r="475" spans="1:6" hidden="1" x14ac:dyDescent="0.35">
      <c r="A475">
        <v>474</v>
      </c>
      <c r="B475" s="4" t="s">
        <v>1144</v>
      </c>
      <c r="C475" s="3">
        <v>1996</v>
      </c>
      <c r="D475" s="4" t="s">
        <v>4249</v>
      </c>
      <c r="E475" s="35" t="s">
        <v>4250</v>
      </c>
      <c r="F475" s="4" t="str">
        <f>IF(COUNTIFS(Sheet1!$D$2:$D$3203, C475, Sheet1!$C$2:$C$3203, B475) &gt; 0, "Sudah", "Belum")</f>
        <v>Sudah</v>
      </c>
    </row>
    <row r="476" spans="1:6" hidden="1" x14ac:dyDescent="0.35">
      <c r="A476">
        <v>475</v>
      </c>
      <c r="B476" s="4" t="s">
        <v>948</v>
      </c>
      <c r="C476" s="3">
        <v>1994</v>
      </c>
      <c r="D476" s="4" t="s">
        <v>4251</v>
      </c>
      <c r="E476" s="35" t="s">
        <v>4252</v>
      </c>
      <c r="F476" s="4" t="str">
        <f>IF(COUNTIFS(Sheet1!$D$2:$D$3203, C476, Sheet1!$C$2:$C$3203, B476) &gt; 0, "Sudah", "Belum")</f>
        <v>Sudah</v>
      </c>
    </row>
    <row r="477" spans="1:6" hidden="1" x14ac:dyDescent="0.35">
      <c r="A477">
        <v>476</v>
      </c>
      <c r="B477" s="4" t="s">
        <v>525</v>
      </c>
      <c r="C477" s="3">
        <v>1985</v>
      </c>
      <c r="D477" s="4" t="s">
        <v>4253</v>
      </c>
      <c r="E477" s="35" t="s">
        <v>4254</v>
      </c>
      <c r="F477" s="4" t="str">
        <f>IF(COUNTIFS(Sheet1!$D$2:$D$3203, C477, Sheet1!$C$2:$C$3203, B477) &gt; 0, "Sudah", "Belum")</f>
        <v>Sudah</v>
      </c>
    </row>
    <row r="478" spans="1:6" hidden="1" x14ac:dyDescent="0.35">
      <c r="A478">
        <v>477</v>
      </c>
      <c r="B478" s="4" t="s">
        <v>2450</v>
      </c>
      <c r="C478" s="3">
        <v>2017</v>
      </c>
      <c r="D478" s="4" t="s">
        <v>4255</v>
      </c>
      <c r="E478" s="35" t="s">
        <v>4256</v>
      </c>
      <c r="F478" s="4" t="str">
        <f>IF(COUNTIFS(Sheet1!$D$2:$D$3203, C478, Sheet1!$C$2:$C$3203, B478) &gt; 0, "Sudah", "Belum")</f>
        <v>Sudah</v>
      </c>
    </row>
    <row r="479" spans="1:6" hidden="1" x14ac:dyDescent="0.35">
      <c r="A479">
        <v>478</v>
      </c>
      <c r="B479" s="4" t="s">
        <v>1411</v>
      </c>
      <c r="C479" s="3">
        <v>1998</v>
      </c>
      <c r="D479" s="4" t="s">
        <v>4257</v>
      </c>
      <c r="E479" s="35" t="s">
        <v>4258</v>
      </c>
      <c r="F479" s="4" t="str">
        <f>IF(COUNTIFS(Sheet1!$D$2:$D$3203, C479, Sheet1!$C$2:$C$3203, B479) &gt; 0, "Sudah", "Belum")</f>
        <v>Sudah</v>
      </c>
    </row>
    <row r="480" spans="1:6" hidden="1" x14ac:dyDescent="0.35">
      <c r="A480">
        <v>479</v>
      </c>
      <c r="B480" s="4" t="s">
        <v>4259</v>
      </c>
      <c r="C480" s="3">
        <v>2000</v>
      </c>
      <c r="D480" s="4" t="s">
        <v>4260</v>
      </c>
      <c r="E480" s="35" t="s">
        <v>4261</v>
      </c>
      <c r="F480" s="4" t="str">
        <f>IF(COUNTIFS(Sheet1!$D$2:$D$3203, C480, Sheet1!$C$2:$C$3203, B480) &gt; 0, "Sudah", "Belum")</f>
        <v>Sudah</v>
      </c>
    </row>
    <row r="481" spans="1:6" hidden="1" x14ac:dyDescent="0.35">
      <c r="A481">
        <v>480</v>
      </c>
      <c r="B481" s="4" t="s">
        <v>1335</v>
      </c>
      <c r="C481" s="3">
        <v>1998</v>
      </c>
      <c r="D481" s="4" t="s">
        <v>4262</v>
      </c>
      <c r="E481" s="35" t="s">
        <v>4263</v>
      </c>
      <c r="F481" s="4" t="str">
        <f>IF(COUNTIFS(Sheet1!$D$2:$D$3203, C481, Sheet1!$C$2:$C$3203, B481) &gt; 0, "Sudah", "Belum")</f>
        <v>Sudah</v>
      </c>
    </row>
    <row r="482" spans="1:6" hidden="1" x14ac:dyDescent="0.35">
      <c r="A482">
        <v>481</v>
      </c>
      <c r="B482" s="4" t="s">
        <v>2579</v>
      </c>
      <c r="C482" s="3">
        <v>2019</v>
      </c>
      <c r="D482" s="4" t="s">
        <v>4264</v>
      </c>
      <c r="E482" s="35" t="s">
        <v>4265</v>
      </c>
      <c r="F482" s="4" t="str">
        <f>IF(COUNTIFS(Sheet1!$D$2:$D$3203, C482, Sheet1!$C$2:$C$3203, B482) &gt; 0, "Sudah", "Belum")</f>
        <v>Sudah</v>
      </c>
    </row>
    <row r="483" spans="1:6" hidden="1" x14ac:dyDescent="0.35">
      <c r="A483">
        <v>482</v>
      </c>
      <c r="B483" s="4" t="s">
        <v>1539</v>
      </c>
      <c r="C483" s="3">
        <v>2000</v>
      </c>
      <c r="D483" s="4" t="s">
        <v>4266</v>
      </c>
      <c r="E483" s="35" t="s">
        <v>4267</v>
      </c>
      <c r="F483" s="4" t="str">
        <f>IF(COUNTIFS(Sheet1!$D$2:$D$3203, C483, Sheet1!$C$2:$C$3203, B483) &gt; 0, "Sudah", "Belum")</f>
        <v>Sudah</v>
      </c>
    </row>
    <row r="484" spans="1:6" hidden="1" x14ac:dyDescent="0.35">
      <c r="A484">
        <v>483</v>
      </c>
      <c r="B484" s="4" t="s">
        <v>498</v>
      </c>
      <c r="C484" s="3">
        <v>1985</v>
      </c>
      <c r="D484" s="4" t="s">
        <v>4270</v>
      </c>
      <c r="E484" s="35" t="s">
        <v>4271</v>
      </c>
      <c r="F484" s="4" t="str">
        <f>IF(COUNTIFS(Sheet1!$D$2:$D$3203, C484, Sheet1!$C$2:$C$3203, B484) &gt; 0, "Sudah", "Belum")</f>
        <v>Sudah</v>
      </c>
    </row>
    <row r="485" spans="1:6" hidden="1" x14ac:dyDescent="0.35">
      <c r="A485">
        <v>484</v>
      </c>
      <c r="B485" s="4" t="s">
        <v>1576</v>
      </c>
      <c r="C485" s="3">
        <v>2000</v>
      </c>
      <c r="D485" s="4" t="s">
        <v>4272</v>
      </c>
      <c r="E485" s="35" t="s">
        <v>4273</v>
      </c>
      <c r="F485" s="4" t="str">
        <f>IF(COUNTIFS(Sheet1!$D$2:$D$3203, C485, Sheet1!$C$2:$C$3203, B485) &gt; 0, "Sudah", "Belum")</f>
        <v>Sudah</v>
      </c>
    </row>
    <row r="486" spans="1:6" hidden="1" x14ac:dyDescent="0.35">
      <c r="A486">
        <v>485</v>
      </c>
      <c r="B486" s="4" t="s">
        <v>5843</v>
      </c>
      <c r="C486" s="3">
        <v>1998</v>
      </c>
      <c r="D486" s="4" t="s">
        <v>4274</v>
      </c>
      <c r="E486" s="35" t="s">
        <v>4275</v>
      </c>
      <c r="F486" s="4" t="str">
        <f>IF(COUNTIFS(Sheet1!$D$2:$D$3203, C486, Sheet1!$C$2:$C$3203, B486) &gt; 0, "Sudah", "Belum")</f>
        <v>Sudah</v>
      </c>
    </row>
    <row r="487" spans="1:6" hidden="1" x14ac:dyDescent="0.35">
      <c r="A487">
        <v>486</v>
      </c>
      <c r="B487" s="4" t="s">
        <v>4276</v>
      </c>
      <c r="C487" s="3">
        <v>2000</v>
      </c>
      <c r="D487" s="4" t="s">
        <v>4277</v>
      </c>
      <c r="E487" s="35" t="s">
        <v>4278</v>
      </c>
      <c r="F487" s="4" t="str">
        <f>IF(COUNTIFS(Sheet1!$D$2:$D$3203, C487, Sheet1!$C$2:$C$3203, B487) &gt; 0, "Sudah", "Belum")</f>
        <v>Sudah</v>
      </c>
    </row>
    <row r="488" spans="1:6" hidden="1" x14ac:dyDescent="0.35">
      <c r="A488">
        <v>487</v>
      </c>
      <c r="B488" s="4" t="s">
        <v>1346</v>
      </c>
      <c r="C488" s="3">
        <v>1998</v>
      </c>
      <c r="D488" s="4" t="s">
        <v>4279</v>
      </c>
      <c r="E488" s="35" t="s">
        <v>4280</v>
      </c>
      <c r="F488" s="4" t="str">
        <f>IF(COUNTIFS(Sheet1!$D$2:$D$3203, C488, Sheet1!$C$2:$C$3203, B488) &gt; 0, "Sudah", "Belum")</f>
        <v>Sudah</v>
      </c>
    </row>
    <row r="489" spans="1:6" hidden="1" x14ac:dyDescent="0.35">
      <c r="A489">
        <v>488</v>
      </c>
      <c r="B489" s="4" t="s">
        <v>1512</v>
      </c>
      <c r="C489" s="3">
        <v>2000</v>
      </c>
      <c r="D489" s="4" t="s">
        <v>4268</v>
      </c>
      <c r="E489" s="35" t="s">
        <v>4269</v>
      </c>
      <c r="F489" s="4" t="str">
        <f>IF(COUNTIFS(Sheet1!$D$2:$D$3203, C489, Sheet1!$C$2:$C$3203, B489) &gt; 0, "Sudah", "Belum")</f>
        <v>Sudah</v>
      </c>
    </row>
    <row r="490" spans="1:6" hidden="1" x14ac:dyDescent="0.35">
      <c r="A490">
        <v>489</v>
      </c>
      <c r="B490" s="4" t="s">
        <v>1431</v>
      </c>
      <c r="C490" s="3">
        <v>2000</v>
      </c>
      <c r="D490" s="4" t="s">
        <v>4281</v>
      </c>
      <c r="E490" s="35" t="s">
        <v>4282</v>
      </c>
      <c r="F490" s="4" t="str">
        <f>IF(COUNTIFS(Sheet1!$D$2:$D$3203, C490, Sheet1!$C$2:$C$3203, B490) &gt; 0, "Sudah", "Belum")</f>
        <v>Sudah</v>
      </c>
    </row>
    <row r="491" spans="1:6" hidden="1" x14ac:dyDescent="0.35">
      <c r="A491">
        <v>490</v>
      </c>
      <c r="B491" s="4" t="s">
        <v>1534</v>
      </c>
      <c r="C491" s="3">
        <v>2000</v>
      </c>
      <c r="D491" s="4" t="s">
        <v>4283</v>
      </c>
      <c r="E491" s="35" t="s">
        <v>4284</v>
      </c>
      <c r="F491" s="4" t="str">
        <f>IF(COUNTIFS(Sheet1!$D$2:$D$3203, C491, Sheet1!$C$2:$C$3203, B491) &gt; 0, "Sudah", "Belum")</f>
        <v>Sudah</v>
      </c>
    </row>
    <row r="492" spans="1:6" hidden="1" x14ac:dyDescent="0.35">
      <c r="A492">
        <v>491</v>
      </c>
      <c r="B492" s="4" t="s">
        <v>1626</v>
      </c>
      <c r="C492" s="3">
        <v>2000</v>
      </c>
      <c r="D492" s="4" t="s">
        <v>4287</v>
      </c>
      <c r="E492" s="35" t="s">
        <v>4288</v>
      </c>
      <c r="F492" s="4" t="str">
        <f>IF(COUNTIFS(Sheet1!$D$2:$D$3203, C492, Sheet1!$C$2:$C$3203, B492) &gt; 0, "Sudah", "Belum")</f>
        <v>Sudah</v>
      </c>
    </row>
    <row r="493" spans="1:6" hidden="1" x14ac:dyDescent="0.35">
      <c r="A493">
        <v>492</v>
      </c>
      <c r="B493" s="4" t="s">
        <v>1525</v>
      </c>
      <c r="C493" s="3">
        <v>2000</v>
      </c>
      <c r="D493" s="4" t="s">
        <v>4289</v>
      </c>
      <c r="E493" s="35" t="s">
        <v>4290</v>
      </c>
      <c r="F493" s="4" t="str">
        <f>IF(COUNTIFS(Sheet1!$D$2:$D$3203, C493, Sheet1!$C$2:$C$3203, B493) &gt; 0, "Sudah", "Belum")</f>
        <v>Sudah</v>
      </c>
    </row>
    <row r="494" spans="1:6" hidden="1" x14ac:dyDescent="0.35">
      <c r="A494">
        <v>493</v>
      </c>
      <c r="B494" s="4" t="s">
        <v>1538</v>
      </c>
      <c r="C494" s="3">
        <v>2000</v>
      </c>
      <c r="D494" s="4" t="s">
        <v>4291</v>
      </c>
      <c r="E494" s="35" t="s">
        <v>4292</v>
      </c>
      <c r="F494" s="4" t="str">
        <f>IF(COUNTIFS(Sheet1!$D$2:$D$3203, C494, Sheet1!$C$2:$C$3203, B494) &gt; 0, "Sudah", "Belum")</f>
        <v>Sudah</v>
      </c>
    </row>
    <row r="495" spans="1:6" hidden="1" x14ac:dyDescent="0.35">
      <c r="A495">
        <v>494</v>
      </c>
      <c r="B495" s="4" t="s">
        <v>3026</v>
      </c>
      <c r="C495" s="3">
        <v>2006</v>
      </c>
      <c r="D495" s="4" t="s">
        <v>4293</v>
      </c>
      <c r="E495" s="35" t="s">
        <v>4294</v>
      </c>
      <c r="F495" s="4" t="str">
        <f>IF(COUNTIFS(Sheet1!$D$2:$D$3203, C495, Sheet1!$C$2:$C$3203, B495) &gt; 0, "Sudah", "Belum")</f>
        <v>Sudah</v>
      </c>
    </row>
    <row r="496" spans="1:6" hidden="1" x14ac:dyDescent="0.35">
      <c r="A496">
        <v>495</v>
      </c>
      <c r="B496" s="4" t="s">
        <v>4295</v>
      </c>
      <c r="C496" s="3">
        <v>1988</v>
      </c>
      <c r="D496" s="4" t="s">
        <v>4296</v>
      </c>
      <c r="E496" s="35" t="s">
        <v>4297</v>
      </c>
      <c r="F496" s="4" t="str">
        <f>IF(COUNTIFS(Sheet1!$D$2:$D$3203, C496, Sheet1!$C$2:$C$3203, B496) &gt; 0, "Sudah", "Belum")</f>
        <v>Sudah</v>
      </c>
    </row>
    <row r="497" spans="1:6" hidden="1" x14ac:dyDescent="0.35">
      <c r="A497">
        <v>496</v>
      </c>
      <c r="B497" s="4" t="s">
        <v>135</v>
      </c>
      <c r="C497" s="3">
        <v>1973</v>
      </c>
      <c r="D497" s="4" t="s">
        <v>4298</v>
      </c>
      <c r="E497" s="35" t="s">
        <v>4299</v>
      </c>
      <c r="F497" s="4" t="str">
        <f>IF(COUNTIFS(Sheet1!$D$2:$D$3203, C497, Sheet1!$C$2:$C$3203, B497) &gt; 0, "Sudah", "Belum")</f>
        <v>Sudah</v>
      </c>
    </row>
    <row r="498" spans="1:6" x14ac:dyDescent="0.35">
      <c r="A498">
        <v>497</v>
      </c>
      <c r="B498" s="4" t="s">
        <v>4300</v>
      </c>
      <c r="C498" s="3">
        <v>1998</v>
      </c>
      <c r="D498" s="4" t="s">
        <v>4301</v>
      </c>
      <c r="E498" s="35" t="s">
        <v>4302</v>
      </c>
      <c r="F498" s="4" t="str">
        <f>IF(COUNTIFS(Sheet1!$D$2:$D$3203, C498, Sheet1!$C$2:$C$3203, B498) &gt; 0, "Sudah", "Belum")</f>
        <v>Belum</v>
      </c>
    </row>
    <row r="499" spans="1:6" hidden="1" x14ac:dyDescent="0.35">
      <c r="A499">
        <v>498</v>
      </c>
      <c r="B499" s="4" t="s">
        <v>557</v>
      </c>
      <c r="C499" s="3">
        <v>1982</v>
      </c>
      <c r="D499" s="4" t="s">
        <v>4303</v>
      </c>
      <c r="E499" s="35" t="s">
        <v>4304</v>
      </c>
      <c r="F499" s="4" t="str">
        <f>IF(COUNTIFS(Sheet1!$D$2:$D$3203, C499, Sheet1!$C$2:$C$3203, B499) &gt; 0, "Sudah", "Belum")</f>
        <v>Sudah</v>
      </c>
    </row>
    <row r="500" spans="1:6" hidden="1" x14ac:dyDescent="0.35">
      <c r="A500">
        <v>499</v>
      </c>
      <c r="B500" s="4" t="s">
        <v>2462</v>
      </c>
      <c r="C500" s="3">
        <v>2017</v>
      </c>
      <c r="D500" s="4" t="s">
        <v>4305</v>
      </c>
      <c r="E500" s="35" t="s">
        <v>4306</v>
      </c>
      <c r="F500" s="4" t="str">
        <f>IF(COUNTIFS(Sheet1!$D$2:$D$3203, C500, Sheet1!$C$2:$C$3203, B500) &gt; 0, "Sudah", "Belum")</f>
        <v>Sudah</v>
      </c>
    </row>
    <row r="501" spans="1:6" hidden="1" x14ac:dyDescent="0.35">
      <c r="A501">
        <v>500</v>
      </c>
      <c r="B501" s="4" t="s">
        <v>4308</v>
      </c>
      <c r="C501" s="3">
        <v>2000</v>
      </c>
      <c r="D501" s="4" t="s">
        <v>4309</v>
      </c>
      <c r="E501" s="35" t="s">
        <v>4310</v>
      </c>
      <c r="F501" s="4" t="str">
        <f>IF(COUNTIFS(Sheet1!$D$2:$D$3203, C501, Sheet1!$C$2:$C$3203, B501) &gt; 0, "Sudah", "Belum")</f>
        <v>Sudah</v>
      </c>
    </row>
    <row r="502" spans="1:6" hidden="1" x14ac:dyDescent="0.35">
      <c r="A502">
        <v>501</v>
      </c>
      <c r="B502" s="4" t="s">
        <v>1911</v>
      </c>
      <c r="C502" s="3">
        <v>2008</v>
      </c>
      <c r="D502" s="4" t="s">
        <v>4311</v>
      </c>
      <c r="E502" s="35" t="s">
        <v>4312</v>
      </c>
      <c r="F502" s="4" t="str">
        <f>IF(COUNTIFS(Sheet1!$D$2:$D$3203, C502, Sheet1!$C$2:$C$3203, B502) &gt; 0, "Sudah", "Belum")</f>
        <v>Sudah</v>
      </c>
    </row>
    <row r="503" spans="1:6" hidden="1" x14ac:dyDescent="0.35">
      <c r="A503">
        <v>502</v>
      </c>
      <c r="B503" s="4" t="s">
        <v>1503</v>
      </c>
      <c r="C503" s="3">
        <v>2000</v>
      </c>
      <c r="D503" s="4" t="s">
        <v>4313</v>
      </c>
      <c r="E503" s="35" t="s">
        <v>4314</v>
      </c>
      <c r="F503" s="4" t="str">
        <f>IF(COUNTIFS(Sheet1!$D$2:$D$3203, C503, Sheet1!$C$2:$C$3203, B503) &gt; 0, "Sudah", "Belum")</f>
        <v>Sudah</v>
      </c>
    </row>
    <row r="504" spans="1:6" hidden="1" x14ac:dyDescent="0.35">
      <c r="A504">
        <v>503</v>
      </c>
      <c r="B504" s="4" t="s">
        <v>2921</v>
      </c>
      <c r="C504" s="3">
        <v>2006</v>
      </c>
      <c r="D504" s="4" t="s">
        <v>4315</v>
      </c>
      <c r="E504" s="35" t="s">
        <v>4316</v>
      </c>
      <c r="F504" s="4" t="str">
        <f>IF(COUNTIFS(Sheet1!$D$2:$D$3203, C504, Sheet1!$C$2:$C$3203, B504) &gt; 0, "Sudah", "Belum")</f>
        <v>Sudah</v>
      </c>
    </row>
    <row r="505" spans="1:6" hidden="1" x14ac:dyDescent="0.35">
      <c r="A505">
        <v>504</v>
      </c>
      <c r="B505" s="4" t="s">
        <v>2894</v>
      </c>
      <c r="C505" s="3">
        <v>2006</v>
      </c>
      <c r="D505" s="4" t="s">
        <v>4317</v>
      </c>
      <c r="E505" s="35" t="s">
        <v>4318</v>
      </c>
      <c r="F505" s="4" t="str">
        <f>IF(COUNTIFS(Sheet1!$D$2:$D$3203, C505, Sheet1!$C$2:$C$3203, B505) &gt; 0, "Sudah", "Belum")</f>
        <v>Sudah</v>
      </c>
    </row>
    <row r="506" spans="1:6" hidden="1" x14ac:dyDescent="0.35">
      <c r="A506">
        <v>505</v>
      </c>
      <c r="B506" s="4" t="s">
        <v>1869</v>
      </c>
      <c r="C506" s="3">
        <v>2008</v>
      </c>
      <c r="D506" s="4" t="s">
        <v>4319</v>
      </c>
      <c r="E506" s="35" t="s">
        <v>4320</v>
      </c>
      <c r="F506" s="4" t="str">
        <f>IF(COUNTIFS(Sheet1!$D$2:$D$3203, C506, Sheet1!$C$2:$C$3203, B506) &gt; 0, "Sudah", "Belum")</f>
        <v>Sudah</v>
      </c>
    </row>
    <row r="507" spans="1:6" hidden="1" x14ac:dyDescent="0.35">
      <c r="A507">
        <v>506</v>
      </c>
      <c r="B507" s="4" t="s">
        <v>1518</v>
      </c>
      <c r="C507" s="3">
        <v>2000</v>
      </c>
      <c r="D507" s="4" t="s">
        <v>4321</v>
      </c>
      <c r="E507" s="35" t="s">
        <v>4322</v>
      </c>
      <c r="F507" s="4" t="str">
        <f>IF(COUNTIFS(Sheet1!$D$2:$D$3203, C507, Sheet1!$C$2:$C$3203, B507) &gt; 0, "Sudah", "Belum")</f>
        <v>Sudah</v>
      </c>
    </row>
    <row r="508" spans="1:6" x14ac:dyDescent="0.35">
      <c r="A508">
        <v>507</v>
      </c>
      <c r="B508" s="4" t="s">
        <v>4323</v>
      </c>
      <c r="C508" s="3">
        <v>1995</v>
      </c>
      <c r="D508" s="4" t="s">
        <v>4324</v>
      </c>
      <c r="E508" s="35" t="s">
        <v>4325</v>
      </c>
      <c r="F508" s="4" t="str">
        <f>IF(COUNTIFS(Sheet1!$D$2:$D$3203, C508, Sheet1!$C$2:$C$3203, B508) &gt; 0, "Sudah", "Belum")</f>
        <v>Belum</v>
      </c>
    </row>
    <row r="509" spans="1:6" hidden="1" x14ac:dyDescent="0.35">
      <c r="A509">
        <v>508</v>
      </c>
      <c r="B509" s="4" t="s">
        <v>1895</v>
      </c>
      <c r="C509" s="3">
        <v>2006</v>
      </c>
      <c r="D509" s="4" t="s">
        <v>4326</v>
      </c>
      <c r="E509" s="35" t="s">
        <v>4327</v>
      </c>
      <c r="F509" s="4" t="str">
        <f>IF(COUNTIFS(Sheet1!$D$2:$D$3203, C509, Sheet1!$C$2:$C$3203, B509) &gt; 0, "Sudah", "Belum")</f>
        <v>Sudah</v>
      </c>
    </row>
    <row r="510" spans="1:6" hidden="1" x14ac:dyDescent="0.35">
      <c r="A510">
        <v>509</v>
      </c>
      <c r="B510" s="4" t="s">
        <v>2461</v>
      </c>
      <c r="C510" s="3">
        <v>2016</v>
      </c>
      <c r="D510" s="4" t="s">
        <v>4330</v>
      </c>
      <c r="E510" s="35" t="s">
        <v>4331</v>
      </c>
      <c r="F510" s="4" t="str">
        <f>IF(COUNTIFS(Sheet1!$D$2:$D$3203, C510, Sheet1!$C$2:$C$3203, B510) &gt; 0, "Sudah", "Belum")</f>
        <v>Sudah</v>
      </c>
    </row>
    <row r="511" spans="1:6" hidden="1" x14ac:dyDescent="0.35">
      <c r="A511">
        <v>510</v>
      </c>
      <c r="B511" s="4" t="s">
        <v>2150</v>
      </c>
      <c r="C511" s="3">
        <v>2012</v>
      </c>
      <c r="D511" s="4" t="s">
        <v>4332</v>
      </c>
      <c r="E511" s="35" t="s">
        <v>4333</v>
      </c>
      <c r="F511" s="4" t="str">
        <f>IF(COUNTIFS(Sheet1!$D$2:$D$3203, C511, Sheet1!$C$2:$C$3203, B511) &gt; 0, "Sudah", "Belum")</f>
        <v>Sudah</v>
      </c>
    </row>
    <row r="512" spans="1:6" hidden="1" x14ac:dyDescent="0.35">
      <c r="A512">
        <v>511</v>
      </c>
      <c r="B512" s="4" t="s">
        <v>1504</v>
      </c>
      <c r="C512" s="3">
        <v>2000</v>
      </c>
      <c r="D512" s="4" t="s">
        <v>4334</v>
      </c>
      <c r="E512" s="35" t="s">
        <v>4335</v>
      </c>
      <c r="F512" s="4" t="str">
        <f>IF(COUNTIFS(Sheet1!$D$2:$D$3203, C512, Sheet1!$C$2:$C$3203, B512) &gt; 0, "Sudah", "Belum")</f>
        <v>Sudah</v>
      </c>
    </row>
    <row r="513" spans="1:6" hidden="1" x14ac:dyDescent="0.35">
      <c r="A513">
        <v>512</v>
      </c>
      <c r="B513" s="4" t="s">
        <v>1038</v>
      </c>
      <c r="C513" s="3">
        <v>1994</v>
      </c>
      <c r="D513" s="4" t="s">
        <v>4338</v>
      </c>
      <c r="E513" s="35" t="s">
        <v>4339</v>
      </c>
      <c r="F513" s="4" t="str">
        <f>IF(COUNTIFS(Sheet1!$D$2:$D$3203, C513, Sheet1!$C$2:$C$3203, B513) &gt; 0, "Sudah", "Belum")</f>
        <v>Sudah</v>
      </c>
    </row>
    <row r="514" spans="1:6" hidden="1" x14ac:dyDescent="0.35">
      <c r="A514">
        <v>513</v>
      </c>
      <c r="B514" s="4" t="s">
        <v>2892</v>
      </c>
      <c r="C514" s="3">
        <v>2006</v>
      </c>
      <c r="D514" s="4" t="s">
        <v>4340</v>
      </c>
      <c r="E514" s="35" t="s">
        <v>4341</v>
      </c>
      <c r="F514" s="4" t="str">
        <f>IF(COUNTIFS(Sheet1!$D$2:$D$3203, C514, Sheet1!$C$2:$C$3203, B514) &gt; 0, "Sudah", "Belum")</f>
        <v>Sudah</v>
      </c>
    </row>
    <row r="515" spans="1:6" hidden="1" x14ac:dyDescent="0.35">
      <c r="A515">
        <v>514</v>
      </c>
      <c r="B515" s="4" t="s">
        <v>661</v>
      </c>
      <c r="C515" s="3">
        <v>1988</v>
      </c>
      <c r="D515" s="4" t="s">
        <v>4342</v>
      </c>
      <c r="E515" s="35" t="s">
        <v>4343</v>
      </c>
      <c r="F515" s="4" t="str">
        <f>IF(COUNTIFS(Sheet1!$D$2:$D$3203, C515, Sheet1!$C$2:$C$3203, B515) &gt; 0, "Sudah", "Belum")</f>
        <v>Sudah</v>
      </c>
    </row>
    <row r="516" spans="1:6" hidden="1" x14ac:dyDescent="0.35">
      <c r="A516">
        <v>515</v>
      </c>
      <c r="B516" s="4" t="s">
        <v>2877</v>
      </c>
      <c r="C516" s="3">
        <v>2006</v>
      </c>
      <c r="D516" s="4" t="s">
        <v>4344</v>
      </c>
      <c r="E516" s="35" t="s">
        <v>4345</v>
      </c>
      <c r="F516" s="4" t="str">
        <f>IF(COUNTIFS(Sheet1!$D$2:$D$3203, C516, Sheet1!$C$2:$C$3203, B516) &gt; 0, "Sudah", "Belum")</f>
        <v>Sudah</v>
      </c>
    </row>
    <row r="517" spans="1:6" hidden="1" x14ac:dyDescent="0.35">
      <c r="A517">
        <v>516</v>
      </c>
      <c r="B517" s="4" t="s">
        <v>1456</v>
      </c>
      <c r="C517" s="3">
        <v>2000</v>
      </c>
      <c r="D517" s="4" t="s">
        <v>4346</v>
      </c>
      <c r="E517" s="4" t="s">
        <v>4347</v>
      </c>
      <c r="F517" s="4" t="str">
        <f>IF(COUNTIFS(Sheet1!$D$2:$D$3203, C517, Sheet1!$C$2:$C$3203, B517) &gt; 0, "Sudah", "Belum")</f>
        <v>Sudah</v>
      </c>
    </row>
    <row r="518" spans="1:6" hidden="1" x14ac:dyDescent="0.35">
      <c r="A518">
        <v>517</v>
      </c>
      <c r="B518" s="4" t="s">
        <v>1541</v>
      </c>
      <c r="C518" s="3">
        <v>2000</v>
      </c>
      <c r="D518" s="4" t="s">
        <v>4348</v>
      </c>
      <c r="E518" s="35" t="s">
        <v>4349</v>
      </c>
      <c r="F518" s="4" t="str">
        <f>IF(COUNTIFS(Sheet1!$D$2:$D$3203, C518, Sheet1!$C$2:$C$3203, B518) &gt; 0, "Sudah", "Belum")</f>
        <v>Sudah</v>
      </c>
    </row>
    <row r="519" spans="1:6" hidden="1" x14ac:dyDescent="0.35">
      <c r="A519">
        <v>518</v>
      </c>
      <c r="B519" s="4" t="s">
        <v>2902</v>
      </c>
      <c r="C519" s="3">
        <v>2006</v>
      </c>
      <c r="D519" s="4" t="s">
        <v>4350</v>
      </c>
      <c r="E519" s="35" t="s">
        <v>4351</v>
      </c>
      <c r="F519" s="4" t="str">
        <f>IF(COUNTIFS(Sheet1!$D$2:$D$3203, C519, Sheet1!$C$2:$C$3203, B519) &gt; 0, "Sudah", "Belum")</f>
        <v>Sudah</v>
      </c>
    </row>
    <row r="520" spans="1:6" hidden="1" x14ac:dyDescent="0.35">
      <c r="A520">
        <v>519</v>
      </c>
      <c r="B520" s="4" t="s">
        <v>202</v>
      </c>
      <c r="C520" s="3">
        <v>1976</v>
      </c>
      <c r="D520" s="4" t="s">
        <v>4352</v>
      </c>
      <c r="E520" s="35" t="s">
        <v>4353</v>
      </c>
      <c r="F520" s="4" t="str">
        <f>IF(COUNTIFS(Sheet1!$D$2:$D$3203, C520, Sheet1!$C$2:$C$3203, B520) &gt; 0, "Sudah", "Belum")</f>
        <v>Sudah</v>
      </c>
    </row>
    <row r="521" spans="1:6" hidden="1" x14ac:dyDescent="0.35">
      <c r="A521">
        <v>520</v>
      </c>
      <c r="B521" s="4" t="s">
        <v>580</v>
      </c>
      <c r="C521" s="3">
        <v>1986</v>
      </c>
      <c r="D521" s="4" t="s">
        <v>4354</v>
      </c>
      <c r="E521" s="35" t="s">
        <v>4355</v>
      </c>
      <c r="F521" s="4" t="str">
        <f>IF(COUNTIFS(Sheet1!$D$2:$D$3203, C521, Sheet1!$C$2:$C$3203, B521) &gt; 0, "Sudah", "Belum")</f>
        <v>Sudah</v>
      </c>
    </row>
    <row r="522" spans="1:6" hidden="1" x14ac:dyDescent="0.35">
      <c r="A522">
        <v>521</v>
      </c>
      <c r="B522" s="4" t="s">
        <v>2374</v>
      </c>
      <c r="C522" s="3">
        <v>2015</v>
      </c>
      <c r="D522" s="4" t="s">
        <v>4356</v>
      </c>
      <c r="E522" s="35" t="s">
        <v>4357</v>
      </c>
      <c r="F522" s="4" t="str">
        <f>IF(COUNTIFS(Sheet1!$D$2:$D$3203, C522, Sheet1!$C$2:$C$3203, B522) &gt; 0, "Sudah", "Belum")</f>
        <v>Sudah</v>
      </c>
    </row>
    <row r="523" spans="1:6" hidden="1" x14ac:dyDescent="0.35">
      <c r="A523">
        <v>522</v>
      </c>
      <c r="B523" s="4" t="s">
        <v>612</v>
      </c>
      <c r="C523" s="3">
        <v>1986</v>
      </c>
      <c r="D523" s="4" t="s">
        <v>4358</v>
      </c>
      <c r="E523" s="35" t="s">
        <v>4359</v>
      </c>
      <c r="F523" s="4" t="str">
        <f>IF(COUNTIFS(Sheet1!$D$2:$D$3203, C523, Sheet1!$C$2:$C$3203, B523) &gt; 0, "Sudah", "Belum")</f>
        <v>Sudah</v>
      </c>
    </row>
    <row r="524" spans="1:6" hidden="1" x14ac:dyDescent="0.35">
      <c r="A524">
        <v>523</v>
      </c>
      <c r="B524" s="4" t="s">
        <v>592</v>
      </c>
      <c r="C524" s="3">
        <v>1986</v>
      </c>
      <c r="D524" s="4" t="s">
        <v>4360</v>
      </c>
      <c r="E524" s="35" t="s">
        <v>4361</v>
      </c>
      <c r="F524" s="4" t="str">
        <f>IF(COUNTIFS(Sheet1!$D$2:$D$3203, C524, Sheet1!$C$2:$C$3203, B524) &gt; 0, "Sudah", "Belum")</f>
        <v>Sudah</v>
      </c>
    </row>
    <row r="525" spans="1:6" hidden="1" x14ac:dyDescent="0.35">
      <c r="A525">
        <v>524</v>
      </c>
      <c r="B525" s="4" t="s">
        <v>666</v>
      </c>
      <c r="C525" s="3">
        <v>1988</v>
      </c>
      <c r="D525" s="4" t="s">
        <v>4362</v>
      </c>
      <c r="E525" s="35" t="s">
        <v>4363</v>
      </c>
      <c r="F525" s="4" t="str">
        <f>IF(COUNTIFS(Sheet1!$D$2:$D$3203, C525, Sheet1!$C$2:$C$3203, B525) &gt; 0, "Sudah", "Belum")</f>
        <v>Sudah</v>
      </c>
    </row>
    <row r="526" spans="1:6" hidden="1" x14ac:dyDescent="0.35">
      <c r="A526">
        <v>525</v>
      </c>
      <c r="B526" s="4" t="s">
        <v>1430</v>
      </c>
      <c r="C526" s="3">
        <v>2000</v>
      </c>
      <c r="D526" s="4" t="s">
        <v>4364</v>
      </c>
      <c r="E526" s="35" t="s">
        <v>4365</v>
      </c>
      <c r="F526" s="4" t="str">
        <f>IF(COUNTIFS(Sheet1!$D$2:$D$3203, C526, Sheet1!$C$2:$C$3203, B526) &gt; 0, "Sudah", "Belum")</f>
        <v>Sudah</v>
      </c>
    </row>
    <row r="527" spans="1:6" hidden="1" x14ac:dyDescent="0.35">
      <c r="A527">
        <v>526</v>
      </c>
      <c r="B527" s="4" t="s">
        <v>1452</v>
      </c>
      <c r="C527" s="3">
        <v>2000</v>
      </c>
      <c r="D527" s="4" t="s">
        <v>4366</v>
      </c>
      <c r="E527" s="35" t="s">
        <v>4367</v>
      </c>
      <c r="F527" s="4" t="str">
        <f>IF(COUNTIFS(Sheet1!$D$2:$D$3203, C527, Sheet1!$C$2:$C$3203, B527) &gt; 0, "Sudah", "Belum")</f>
        <v>Sudah</v>
      </c>
    </row>
    <row r="528" spans="1:6" hidden="1" x14ac:dyDescent="0.35">
      <c r="A528">
        <v>527</v>
      </c>
      <c r="B528" s="4" t="s">
        <v>1033</v>
      </c>
      <c r="C528" s="3">
        <v>1996</v>
      </c>
      <c r="D528" s="4" t="s">
        <v>4368</v>
      </c>
      <c r="E528" s="35" t="s">
        <v>4369</v>
      </c>
      <c r="F528" s="4" t="str">
        <f>IF(COUNTIFS(Sheet1!$D$2:$D$3203, C528, Sheet1!$C$2:$C$3203, B528) &gt; 0, "Sudah", "Belum")</f>
        <v>Sudah</v>
      </c>
    </row>
    <row r="529" spans="1:6" hidden="1" x14ac:dyDescent="0.35">
      <c r="A529">
        <v>528</v>
      </c>
      <c r="B529" s="4" t="s">
        <v>149</v>
      </c>
      <c r="C529" s="3">
        <v>1975</v>
      </c>
      <c r="D529" s="4" t="s">
        <v>4370</v>
      </c>
      <c r="E529" s="35" t="s">
        <v>4371</v>
      </c>
      <c r="F529" s="4" t="str">
        <f>IF(COUNTIFS(Sheet1!$D$2:$D$3203, C529, Sheet1!$C$2:$C$3203, B529) &gt; 0, "Sudah", "Belum")</f>
        <v>Sudah</v>
      </c>
    </row>
    <row r="530" spans="1:6" hidden="1" x14ac:dyDescent="0.35">
      <c r="A530">
        <v>529</v>
      </c>
      <c r="B530" s="4" t="s">
        <v>1845</v>
      </c>
      <c r="C530" s="3">
        <v>2006</v>
      </c>
      <c r="D530" s="4" t="s">
        <v>4372</v>
      </c>
      <c r="E530" s="35" t="s">
        <v>4373</v>
      </c>
      <c r="F530" s="4" t="str">
        <f>IF(COUNTIFS(Sheet1!$D$2:$D$3203, C530, Sheet1!$C$2:$C$3203, B530) &gt; 0, "Sudah", "Belum")</f>
        <v>Sudah</v>
      </c>
    </row>
    <row r="531" spans="1:6" hidden="1" x14ac:dyDescent="0.35">
      <c r="A531">
        <v>530</v>
      </c>
      <c r="B531" s="4" t="s">
        <v>925</v>
      </c>
      <c r="C531" s="3">
        <v>1994</v>
      </c>
      <c r="D531" s="4" t="s">
        <v>4374</v>
      </c>
      <c r="E531" s="35" t="s">
        <v>4375</v>
      </c>
      <c r="F531" s="4" t="str">
        <f>IF(COUNTIFS(Sheet1!$D$2:$D$3203, C531, Sheet1!$C$2:$C$3203, B531) &gt; 0, "Sudah", "Belum")</f>
        <v>Sudah</v>
      </c>
    </row>
    <row r="532" spans="1:6" hidden="1" x14ac:dyDescent="0.35">
      <c r="A532">
        <v>531</v>
      </c>
      <c r="B532" s="4" t="s">
        <v>1950</v>
      </c>
      <c r="C532" s="3">
        <v>2010</v>
      </c>
      <c r="D532" s="4" t="s">
        <v>4376</v>
      </c>
      <c r="E532" s="35" t="s">
        <v>4377</v>
      </c>
      <c r="F532" s="4" t="str">
        <f>IF(COUNTIFS(Sheet1!$D$2:$D$3203, C532, Sheet1!$C$2:$C$3203, B532) &gt; 0, "Sudah", "Belum")</f>
        <v>Sudah</v>
      </c>
    </row>
    <row r="533" spans="1:6" hidden="1" x14ac:dyDescent="0.35">
      <c r="A533">
        <v>532</v>
      </c>
      <c r="B533" s="4" t="s">
        <v>1010</v>
      </c>
      <c r="C533" s="3">
        <v>1995</v>
      </c>
      <c r="D533" s="4" t="s">
        <v>4378</v>
      </c>
      <c r="E533" s="35" t="s">
        <v>4379</v>
      </c>
      <c r="F533" s="4" t="str">
        <f>IF(COUNTIFS(Sheet1!$D$2:$D$3203, C533, Sheet1!$C$2:$C$3203, B533) &gt; 0, "Sudah", "Belum")</f>
        <v>Sudah</v>
      </c>
    </row>
    <row r="534" spans="1:6" hidden="1" x14ac:dyDescent="0.35">
      <c r="A534">
        <v>533</v>
      </c>
      <c r="B534" s="4" t="s">
        <v>1409</v>
      </c>
      <c r="C534" s="3">
        <v>1998</v>
      </c>
      <c r="D534" s="4" t="s">
        <v>4380</v>
      </c>
      <c r="E534" s="35" t="s">
        <v>4381</v>
      </c>
      <c r="F534" s="4" t="str">
        <f>IF(COUNTIFS(Sheet1!$D$2:$D$3203, C534, Sheet1!$C$2:$C$3203, B534) &gt; 0, "Sudah", "Belum")</f>
        <v>Sudah</v>
      </c>
    </row>
    <row r="535" spans="1:6" hidden="1" x14ac:dyDescent="0.35">
      <c r="A535">
        <v>534</v>
      </c>
      <c r="B535" s="4" t="s">
        <v>2221</v>
      </c>
      <c r="C535" s="3">
        <v>2011</v>
      </c>
      <c r="D535" s="4" t="s">
        <v>4382</v>
      </c>
      <c r="E535" s="35" t="s">
        <v>4383</v>
      </c>
      <c r="F535" s="4" t="str">
        <f>IF(COUNTIFS(Sheet1!$D$2:$D$3203, C535, Sheet1!$C$2:$C$3203, B535) &gt; 0, "Sudah", "Belum")</f>
        <v>Sudah</v>
      </c>
    </row>
    <row r="536" spans="1:6" x14ac:dyDescent="0.35">
      <c r="A536">
        <v>535</v>
      </c>
      <c r="B536" s="4" t="s">
        <v>4384</v>
      </c>
      <c r="C536" s="3">
        <v>1988</v>
      </c>
      <c r="D536" s="4" t="s">
        <v>4385</v>
      </c>
      <c r="E536" s="35" t="s">
        <v>4386</v>
      </c>
      <c r="F536" s="4" t="str">
        <f>IF(COUNTIFS(Sheet1!$D$2:$D$3203, C536, Sheet1!$C$2:$C$3203, B536) &gt; 0, "Sudah", "Belum")</f>
        <v>Belum</v>
      </c>
    </row>
    <row r="537" spans="1:6" hidden="1" x14ac:dyDescent="0.35">
      <c r="A537">
        <v>536</v>
      </c>
      <c r="B537" s="4" t="s">
        <v>1685</v>
      </c>
      <c r="C537" s="3">
        <v>2002</v>
      </c>
      <c r="D537" s="4" t="s">
        <v>4387</v>
      </c>
      <c r="E537" s="35" t="s">
        <v>4388</v>
      </c>
      <c r="F537" s="4" t="str">
        <f>IF(COUNTIFS(Sheet1!$D$2:$D$3203, C537, Sheet1!$C$2:$C$3203, B537) &gt; 0, "Sudah", "Belum")</f>
        <v>Sudah</v>
      </c>
    </row>
    <row r="538" spans="1:6" x14ac:dyDescent="0.35">
      <c r="A538">
        <v>537</v>
      </c>
      <c r="B538" s="4" t="s">
        <v>4389</v>
      </c>
      <c r="C538" s="3">
        <v>2007</v>
      </c>
      <c r="D538" s="4" t="s">
        <v>4390</v>
      </c>
      <c r="E538" s="35" t="s">
        <v>4391</v>
      </c>
      <c r="F538" s="4" t="str">
        <f>IF(COUNTIFS(Sheet1!$D$2:$D$3203, C538, Sheet1!$C$2:$C$3203, B538) &gt; 0, "Sudah", "Belum")</f>
        <v>Belum</v>
      </c>
    </row>
    <row r="539" spans="1:6" hidden="1" x14ac:dyDescent="0.35">
      <c r="A539">
        <v>538</v>
      </c>
      <c r="B539" s="4" t="s">
        <v>1519</v>
      </c>
      <c r="C539" s="3">
        <v>2000</v>
      </c>
      <c r="D539" s="4" t="s">
        <v>4392</v>
      </c>
      <c r="E539" s="35" t="s">
        <v>4393</v>
      </c>
      <c r="F539" s="4" t="str">
        <f>IF(COUNTIFS(Sheet1!$D$2:$D$3203, C539, Sheet1!$C$2:$C$3203, B539) &gt; 0, "Sudah", "Belum")</f>
        <v>Sudah</v>
      </c>
    </row>
    <row r="540" spans="1:6" hidden="1" x14ac:dyDescent="0.35">
      <c r="A540">
        <v>539</v>
      </c>
      <c r="B540" s="4" t="s">
        <v>975</v>
      </c>
      <c r="C540" s="3">
        <v>1995</v>
      </c>
      <c r="D540" s="4" t="s">
        <v>4394</v>
      </c>
      <c r="E540" s="35" t="s">
        <v>4395</v>
      </c>
      <c r="F540" s="4" t="str">
        <f>IF(COUNTIFS(Sheet1!$D$2:$D$3203, C540, Sheet1!$C$2:$C$3203, B540) &gt; 0, "Sudah", "Belum")</f>
        <v>Sudah</v>
      </c>
    </row>
    <row r="541" spans="1:6" x14ac:dyDescent="0.35">
      <c r="A541">
        <v>540</v>
      </c>
      <c r="B541" s="4" t="s">
        <v>4396</v>
      </c>
      <c r="C541" s="3">
        <v>2010</v>
      </c>
      <c r="D541" s="4" t="s">
        <v>4397</v>
      </c>
      <c r="E541" s="35" t="s">
        <v>4398</v>
      </c>
      <c r="F541" s="4" t="str">
        <f>IF(COUNTIFS(Sheet1!$D$2:$D$3203, C541, Sheet1!$C$2:$C$3203, B541) &gt; 0, "Sudah", "Belum")</f>
        <v>Belum</v>
      </c>
    </row>
    <row r="542" spans="1:6" hidden="1" x14ac:dyDescent="0.35">
      <c r="A542">
        <v>541</v>
      </c>
      <c r="B542" s="4" t="s">
        <v>774</v>
      </c>
      <c r="C542" s="3">
        <v>1990</v>
      </c>
      <c r="D542" s="4" t="s">
        <v>4402</v>
      </c>
      <c r="E542" s="35" t="s">
        <v>4403</v>
      </c>
      <c r="F542" s="4" t="str">
        <f>IF(COUNTIFS(Sheet1!$D$2:$D$3203, C542, Sheet1!$C$2:$C$3203, B542) &gt; 0, "Sudah", "Belum")</f>
        <v>Sudah</v>
      </c>
    </row>
    <row r="543" spans="1:6" hidden="1" x14ac:dyDescent="0.35">
      <c r="A543">
        <v>542</v>
      </c>
      <c r="B543" s="4" t="s">
        <v>1372</v>
      </c>
      <c r="C543" s="3">
        <v>1998</v>
      </c>
      <c r="D543" s="4" t="s">
        <v>4404</v>
      </c>
      <c r="E543" s="35" t="s">
        <v>4405</v>
      </c>
      <c r="F543" s="4" t="str">
        <f>IF(COUNTIFS(Sheet1!$D$2:$D$3203, C543, Sheet1!$C$2:$C$3203, B543) &gt; 0, "Sudah", "Belum")</f>
        <v>Sudah</v>
      </c>
    </row>
    <row r="544" spans="1:6" hidden="1" x14ac:dyDescent="0.35">
      <c r="A544">
        <v>543</v>
      </c>
      <c r="B544" s="4" t="s">
        <v>754</v>
      </c>
      <c r="C544" s="3">
        <v>1990</v>
      </c>
      <c r="D544" s="4" t="s">
        <v>4406</v>
      </c>
      <c r="E544" s="35" t="s">
        <v>4407</v>
      </c>
      <c r="F544" s="4" t="str">
        <f>IF(COUNTIFS(Sheet1!$D$2:$D$3203, C544, Sheet1!$C$2:$C$3203, B544) &gt; 0, "Sudah", "Belum")</f>
        <v>Sudah</v>
      </c>
    </row>
    <row r="545" spans="1:6" hidden="1" x14ac:dyDescent="0.35">
      <c r="A545">
        <v>544</v>
      </c>
      <c r="B545" s="4" t="s">
        <v>4408</v>
      </c>
      <c r="C545" s="3">
        <v>1986</v>
      </c>
      <c r="D545" s="4" t="s">
        <v>4409</v>
      </c>
      <c r="E545" s="35" t="s">
        <v>4410</v>
      </c>
      <c r="F545" s="4" t="str">
        <f>IF(COUNTIFS(Sheet1!$D$2:$D$3203, C545, Sheet1!$C$2:$C$3203, B545) &gt; 0, "Sudah", "Belum")</f>
        <v>Sudah</v>
      </c>
    </row>
    <row r="546" spans="1:6" hidden="1" x14ac:dyDescent="0.35">
      <c r="A546">
        <v>545</v>
      </c>
      <c r="B546" s="4" t="s">
        <v>1266</v>
      </c>
      <c r="C546" s="3">
        <v>1998</v>
      </c>
      <c r="D546" s="4" t="s">
        <v>4411</v>
      </c>
      <c r="E546" s="35" t="s">
        <v>4412</v>
      </c>
      <c r="F546" s="4" t="str">
        <f>IF(COUNTIFS(Sheet1!$D$2:$D$3203, C546, Sheet1!$C$2:$C$3203, B546) &gt; 0, "Sudah", "Belum")</f>
        <v>Sudah</v>
      </c>
    </row>
    <row r="547" spans="1:6" hidden="1" x14ac:dyDescent="0.35">
      <c r="A547">
        <v>546</v>
      </c>
      <c r="B547" s="4" t="s">
        <v>1280</v>
      </c>
      <c r="C547" s="3">
        <v>1998</v>
      </c>
      <c r="D547" s="4" t="s">
        <v>4413</v>
      </c>
      <c r="E547" s="35" t="s">
        <v>4414</v>
      </c>
      <c r="F547" s="4" t="str">
        <f>IF(COUNTIFS(Sheet1!$D$2:$D$3203, C547, Sheet1!$C$2:$C$3203, B547) &gt; 0, "Sudah", "Belum")</f>
        <v>Sudah</v>
      </c>
    </row>
    <row r="548" spans="1:6" hidden="1" x14ac:dyDescent="0.35">
      <c r="A548">
        <v>547</v>
      </c>
      <c r="B548" s="4" t="s">
        <v>2128</v>
      </c>
      <c r="C548" s="3">
        <v>2011</v>
      </c>
      <c r="D548" s="4" t="s">
        <v>4415</v>
      </c>
      <c r="E548" s="35" t="s">
        <v>4416</v>
      </c>
      <c r="F548" s="4" t="str">
        <f>IF(COUNTIFS(Sheet1!$D$2:$D$3203, C548, Sheet1!$C$2:$C$3203, B548) &gt; 0, "Sudah", "Belum")</f>
        <v>Sudah</v>
      </c>
    </row>
    <row r="549" spans="1:6" hidden="1" x14ac:dyDescent="0.35">
      <c r="A549">
        <v>548</v>
      </c>
      <c r="B549" s="4" t="s">
        <v>843</v>
      </c>
      <c r="C549" s="3">
        <v>1990</v>
      </c>
      <c r="D549" s="4" t="s">
        <v>4417</v>
      </c>
      <c r="E549" s="35" t="s">
        <v>4418</v>
      </c>
      <c r="F549" s="4" t="str">
        <f>IF(COUNTIFS(Sheet1!$D$2:$D$3203, C549, Sheet1!$C$2:$C$3203, B549) &gt; 0, "Sudah", "Belum")</f>
        <v>Sudah</v>
      </c>
    </row>
    <row r="550" spans="1:6" hidden="1" x14ac:dyDescent="0.35">
      <c r="A550">
        <v>549</v>
      </c>
      <c r="B550" s="4" t="s">
        <v>1831</v>
      </c>
      <c r="C550" s="3">
        <v>2003</v>
      </c>
      <c r="D550" s="4" t="s">
        <v>4419</v>
      </c>
      <c r="E550" s="35" t="s">
        <v>4420</v>
      </c>
      <c r="F550" s="4" t="str">
        <f>IF(COUNTIFS(Sheet1!$D$2:$D$3203, C550, Sheet1!$C$2:$C$3203, B550) &gt; 0, "Sudah", "Belum")</f>
        <v>Sudah</v>
      </c>
    </row>
    <row r="551" spans="1:6" hidden="1" x14ac:dyDescent="0.35">
      <c r="A551">
        <v>550</v>
      </c>
      <c r="B551" s="4" t="s">
        <v>2032</v>
      </c>
      <c r="C551" s="3">
        <v>2011</v>
      </c>
      <c r="D551" s="4" t="s">
        <v>4421</v>
      </c>
      <c r="E551" s="35" t="s">
        <v>4422</v>
      </c>
      <c r="F551" s="4" t="str">
        <f>IF(COUNTIFS(Sheet1!$D$2:$D$3203, C551, Sheet1!$C$2:$C$3203, B551) &gt; 0, "Sudah", "Belum")</f>
        <v>Sudah</v>
      </c>
    </row>
    <row r="552" spans="1:6" hidden="1" x14ac:dyDescent="0.35">
      <c r="A552">
        <v>551</v>
      </c>
      <c r="B552" s="4" t="s">
        <v>2880</v>
      </c>
      <c r="C552" s="3">
        <v>2006</v>
      </c>
      <c r="D552" s="4" t="s">
        <v>3885</v>
      </c>
      <c r="E552" s="35" t="s">
        <v>3886</v>
      </c>
      <c r="F552" s="4" t="str">
        <f>IF(COUNTIFS(Sheet1!$D$2:$D$3203, C552, Sheet1!$C$2:$C$3203, B552) &gt; 0, "Sudah", "Belum")</f>
        <v>Sudah</v>
      </c>
    </row>
    <row r="553" spans="1:6" hidden="1" x14ac:dyDescent="0.35">
      <c r="A553">
        <v>552</v>
      </c>
      <c r="B553" s="4" t="s">
        <v>1690</v>
      </c>
      <c r="C553" s="3">
        <v>2003</v>
      </c>
      <c r="D553" s="4" t="s">
        <v>4423</v>
      </c>
      <c r="E553" s="35" t="s">
        <v>4424</v>
      </c>
      <c r="F553" s="4" t="str">
        <f>IF(COUNTIFS(Sheet1!$D$2:$D$3203, C553, Sheet1!$C$2:$C$3203, B553) &gt; 0, "Sudah", "Belum")</f>
        <v>Sudah</v>
      </c>
    </row>
    <row r="554" spans="1:6" hidden="1" x14ac:dyDescent="0.35">
      <c r="A554">
        <v>553</v>
      </c>
      <c r="B554" s="4" t="s">
        <v>1352</v>
      </c>
      <c r="C554" s="3">
        <v>1999</v>
      </c>
      <c r="D554" s="4" t="s">
        <v>4425</v>
      </c>
      <c r="E554" s="35" t="s">
        <v>4426</v>
      </c>
      <c r="F554" s="4" t="str">
        <f>IF(COUNTIFS(Sheet1!$D$2:$D$3203, C554, Sheet1!$C$2:$C$3203, B554) &gt; 0, "Sudah", "Belum")</f>
        <v>Sudah</v>
      </c>
    </row>
    <row r="555" spans="1:6" hidden="1" x14ac:dyDescent="0.35">
      <c r="A555">
        <v>554</v>
      </c>
      <c r="B555" s="4" t="s">
        <v>2943</v>
      </c>
      <c r="C555" s="3">
        <v>2007</v>
      </c>
      <c r="D555" s="4" t="s">
        <v>4427</v>
      </c>
      <c r="E555" s="35" t="s">
        <v>4428</v>
      </c>
      <c r="F555" s="4" t="str">
        <f>IF(COUNTIFS(Sheet1!$D$2:$D$3203, C555, Sheet1!$C$2:$C$3203, B555) &gt; 0, "Sudah", "Belum")</f>
        <v>Sudah</v>
      </c>
    </row>
    <row r="556" spans="1:6" hidden="1" x14ac:dyDescent="0.35">
      <c r="A556">
        <v>555</v>
      </c>
      <c r="B556" s="4" t="s">
        <v>1150</v>
      </c>
      <c r="C556" s="3">
        <v>1995</v>
      </c>
      <c r="D556" s="4" t="s">
        <v>4429</v>
      </c>
      <c r="E556" s="35" t="s">
        <v>4430</v>
      </c>
      <c r="F556" s="4" t="str">
        <f>IF(COUNTIFS(Sheet1!$D$2:$D$3203, C556, Sheet1!$C$2:$C$3203, B556) &gt; 0, "Sudah", "Belum")</f>
        <v>Sudah</v>
      </c>
    </row>
    <row r="557" spans="1:6" hidden="1" x14ac:dyDescent="0.35">
      <c r="A557">
        <v>556</v>
      </c>
      <c r="B557" s="4" t="s">
        <v>1574</v>
      </c>
      <c r="C557" s="3">
        <v>2000</v>
      </c>
      <c r="D557" s="4" t="s">
        <v>4431</v>
      </c>
      <c r="E557" s="35" t="s">
        <v>4432</v>
      </c>
      <c r="F557" s="4" t="str">
        <f>IF(COUNTIFS(Sheet1!$D$2:$D$3203, C557, Sheet1!$C$2:$C$3203, B557) &gt; 0, "Sudah", "Belum")</f>
        <v>Sudah</v>
      </c>
    </row>
    <row r="558" spans="1:6" hidden="1" x14ac:dyDescent="0.35">
      <c r="A558">
        <v>557</v>
      </c>
      <c r="B558" s="4" t="s">
        <v>2977</v>
      </c>
      <c r="C558" s="3">
        <v>2007</v>
      </c>
      <c r="D558" s="4" t="s">
        <v>4433</v>
      </c>
      <c r="E558" s="35" t="s">
        <v>4434</v>
      </c>
      <c r="F558" s="4" t="str">
        <f>IF(COUNTIFS(Sheet1!$D$2:$D$3203, C558, Sheet1!$C$2:$C$3203, B558) &gt; 0, "Sudah", "Belum")</f>
        <v>Sudah</v>
      </c>
    </row>
    <row r="559" spans="1:6" hidden="1" x14ac:dyDescent="0.35">
      <c r="A559">
        <v>558</v>
      </c>
      <c r="B559" s="4" t="s">
        <v>1891</v>
      </c>
      <c r="C559" s="3">
        <v>2007</v>
      </c>
      <c r="D559" s="4" t="s">
        <v>4435</v>
      </c>
      <c r="E559" s="35" t="s">
        <v>4436</v>
      </c>
      <c r="F559" s="4" t="str">
        <f>IF(COUNTIFS(Sheet1!$D$2:$D$3203, C559, Sheet1!$C$2:$C$3203, B559) &gt; 0, "Sudah", "Belum")</f>
        <v>Sudah</v>
      </c>
    </row>
    <row r="560" spans="1:6" hidden="1" x14ac:dyDescent="0.35">
      <c r="A560">
        <v>559</v>
      </c>
      <c r="B560" s="4" t="s">
        <v>1514</v>
      </c>
      <c r="C560" s="3">
        <v>2006</v>
      </c>
      <c r="D560" s="4" t="s">
        <v>4437</v>
      </c>
      <c r="E560" s="35" t="s">
        <v>4438</v>
      </c>
      <c r="F560" s="4" t="str">
        <f>IF(COUNTIFS(Sheet1!$D$2:$D$3203, C560, Sheet1!$C$2:$C$3203, B560) &gt; 0, "Sudah", "Belum")</f>
        <v>Sudah</v>
      </c>
    </row>
    <row r="561" spans="1:6" x14ac:dyDescent="0.35">
      <c r="A561">
        <v>560</v>
      </c>
      <c r="B561" s="4" t="s">
        <v>2940</v>
      </c>
      <c r="C561" s="3">
        <v>2007</v>
      </c>
      <c r="D561" s="4" t="s">
        <v>4439</v>
      </c>
      <c r="E561" s="35" t="s">
        <v>4440</v>
      </c>
      <c r="F561" s="4" t="str">
        <f>IF(COUNTIFS(Sheet1!$D$2:$D$3203, C561, Sheet1!$C$2:$C$3203, B561) &gt; 0, "Sudah", "Belum")</f>
        <v>Belum</v>
      </c>
    </row>
    <row r="562" spans="1:6" hidden="1" x14ac:dyDescent="0.35">
      <c r="A562">
        <v>561</v>
      </c>
      <c r="B562" s="4" t="s">
        <v>2962</v>
      </c>
      <c r="C562" s="3">
        <v>2007</v>
      </c>
      <c r="D562" s="4" t="s">
        <v>4441</v>
      </c>
      <c r="E562" s="35" t="s">
        <v>4442</v>
      </c>
      <c r="F562" s="4" t="str">
        <f>IF(COUNTIFS(Sheet1!$D$2:$D$3203, C562, Sheet1!$C$2:$C$3203, B562) &gt; 0, "Sudah", "Belum")</f>
        <v>Sudah</v>
      </c>
    </row>
    <row r="563" spans="1:6" hidden="1" x14ac:dyDescent="0.35">
      <c r="A563">
        <v>562</v>
      </c>
      <c r="B563" s="4" t="s">
        <v>759</v>
      </c>
      <c r="C563" s="3">
        <v>1988</v>
      </c>
      <c r="D563" s="4" t="s">
        <v>4241</v>
      </c>
      <c r="E563" s="35" t="s">
        <v>4242</v>
      </c>
      <c r="F563" s="4" t="str">
        <f>IF(COUNTIFS(Sheet1!$D$2:$D$3203, C563, Sheet1!$C$2:$C$3203, B563) &gt; 0, "Sudah", "Belum")</f>
        <v>Sudah</v>
      </c>
    </row>
    <row r="564" spans="1:6" hidden="1" x14ac:dyDescent="0.35">
      <c r="A564">
        <v>563</v>
      </c>
      <c r="B564" s="4" t="s">
        <v>2928</v>
      </c>
      <c r="C564" s="3">
        <v>2007</v>
      </c>
      <c r="D564" s="4" t="s">
        <v>4443</v>
      </c>
      <c r="E564" s="35" t="s">
        <v>4444</v>
      </c>
      <c r="F564" s="4" t="str">
        <f>IF(COUNTIFS(Sheet1!$D$2:$D$3203, C564, Sheet1!$C$2:$C$3203, B564) &gt; 0, "Sudah", "Belum")</f>
        <v>Sudah</v>
      </c>
    </row>
    <row r="565" spans="1:6" hidden="1" x14ac:dyDescent="0.35">
      <c r="A565">
        <v>564</v>
      </c>
      <c r="B565" s="4" t="s">
        <v>4445</v>
      </c>
      <c r="C565" s="3">
        <v>2000</v>
      </c>
      <c r="D565" s="4" t="s">
        <v>4446</v>
      </c>
      <c r="E565" s="35" t="s">
        <v>4447</v>
      </c>
      <c r="F565" s="4" t="str">
        <f>IF(COUNTIFS(Sheet1!$D$2:$D$3203, C565, Sheet1!$C$2:$C$3203, B565) &gt; 0, "Sudah", "Belum")</f>
        <v>Sudah</v>
      </c>
    </row>
    <row r="566" spans="1:6" x14ac:dyDescent="0.35">
      <c r="A566">
        <v>565</v>
      </c>
      <c r="B566" s="4" t="s">
        <v>4448</v>
      </c>
      <c r="C566" s="3">
        <v>1989</v>
      </c>
      <c r="D566" s="4" t="s">
        <v>4449</v>
      </c>
      <c r="E566" s="35" t="s">
        <v>4450</v>
      </c>
      <c r="F566" s="4" t="str">
        <f>IF(COUNTIFS(Sheet1!$D$2:$D$3203, C566, Sheet1!$C$2:$C$3203, B566) &gt; 0, "Sudah", "Belum")</f>
        <v>Belum</v>
      </c>
    </row>
    <row r="567" spans="1:6" hidden="1" x14ac:dyDescent="0.35">
      <c r="A567">
        <v>566</v>
      </c>
      <c r="B567" s="4" t="s">
        <v>2879</v>
      </c>
      <c r="C567" s="3">
        <v>2006</v>
      </c>
      <c r="D567" s="4" t="s">
        <v>4451</v>
      </c>
      <c r="E567" s="35" t="s">
        <v>4452</v>
      </c>
      <c r="F567" s="4" t="str">
        <f>IF(COUNTIFS(Sheet1!$D$2:$D$3203, C567, Sheet1!$C$2:$C$3203, B567) &gt; 0, "Sudah", "Belum")</f>
        <v>Sudah</v>
      </c>
    </row>
    <row r="568" spans="1:6" hidden="1" x14ac:dyDescent="0.35">
      <c r="A568">
        <v>567</v>
      </c>
      <c r="B568" s="4" t="s">
        <v>1629</v>
      </c>
      <c r="C568" s="3">
        <v>1998</v>
      </c>
      <c r="D568" s="4" t="s">
        <v>4453</v>
      </c>
      <c r="E568" s="35" t="s">
        <v>4454</v>
      </c>
      <c r="F568" s="4" t="str">
        <f>IF(COUNTIFS(Sheet1!$D$2:$D$3203, C568, Sheet1!$C$2:$C$3203, B568) &gt; 0, "Sudah", "Belum")</f>
        <v>Sudah</v>
      </c>
    </row>
    <row r="569" spans="1:6" hidden="1" x14ac:dyDescent="0.35">
      <c r="A569">
        <v>568</v>
      </c>
      <c r="B569" s="4" t="s">
        <v>2875</v>
      </c>
      <c r="C569" s="3">
        <v>2006</v>
      </c>
      <c r="D569" s="4" t="s">
        <v>4455</v>
      </c>
      <c r="E569" s="35" t="s">
        <v>4456</v>
      </c>
      <c r="F569" s="4" t="str">
        <f>IF(COUNTIFS(Sheet1!$D$2:$D$3203, C569, Sheet1!$C$2:$C$3203, B569) &gt; 0, "Sudah", "Belum")</f>
        <v>Sudah</v>
      </c>
    </row>
    <row r="570" spans="1:6" hidden="1" x14ac:dyDescent="0.35">
      <c r="A570">
        <v>569</v>
      </c>
      <c r="B570" s="4" t="s">
        <v>1271</v>
      </c>
      <c r="C570" s="3">
        <v>1996</v>
      </c>
      <c r="D570" s="4" t="s">
        <v>4457</v>
      </c>
      <c r="E570" s="35" t="s">
        <v>4458</v>
      </c>
      <c r="F570" s="4" t="str">
        <f>IF(COUNTIFS(Sheet1!$D$2:$D$3203, C570, Sheet1!$C$2:$C$3203, B570) &gt; 0, "Sudah", "Belum")</f>
        <v>Sudah</v>
      </c>
    </row>
    <row r="571" spans="1:6" hidden="1" x14ac:dyDescent="0.35">
      <c r="A571">
        <v>570</v>
      </c>
      <c r="B571" s="4" t="s">
        <v>1485</v>
      </c>
      <c r="C571" s="3">
        <v>2003</v>
      </c>
      <c r="D571" s="4" t="s">
        <v>4459</v>
      </c>
      <c r="E571" s="35" t="s">
        <v>4460</v>
      </c>
      <c r="F571" s="4" t="str">
        <f>IF(COUNTIFS(Sheet1!$D$2:$D$3203, C571, Sheet1!$C$2:$C$3203, B571) &gt; 0, "Sudah", "Belum")</f>
        <v>Sudah</v>
      </c>
    </row>
    <row r="572" spans="1:6" hidden="1" x14ac:dyDescent="0.35">
      <c r="A572">
        <v>571</v>
      </c>
      <c r="B572" s="4" t="s">
        <v>4461</v>
      </c>
      <c r="C572" s="3">
        <v>1994</v>
      </c>
      <c r="D572" s="4" t="s">
        <v>4462</v>
      </c>
      <c r="E572" s="35" t="s">
        <v>4463</v>
      </c>
      <c r="F572" s="4" t="str">
        <f>IF(COUNTIFS(Sheet1!$D$2:$D$3203, C572, Sheet1!$C$2:$C$3203, B572) &gt; 0, "Sudah", "Belum")</f>
        <v>Sudah</v>
      </c>
    </row>
    <row r="573" spans="1:6" x14ac:dyDescent="0.35">
      <c r="A573">
        <v>572</v>
      </c>
      <c r="B573" s="4" t="s">
        <v>4464</v>
      </c>
      <c r="C573" s="3">
        <v>1994</v>
      </c>
      <c r="D573" s="4" t="s">
        <v>4465</v>
      </c>
      <c r="E573" s="35" t="s">
        <v>4466</v>
      </c>
      <c r="F573" s="4" t="str">
        <f>IF(COUNTIFS(Sheet1!$D$2:$D$3203, C573, Sheet1!$C$2:$C$3203, B573) &gt; 0, "Sudah", "Belum")</f>
        <v>Belum</v>
      </c>
    </row>
    <row r="574" spans="1:6" hidden="1" x14ac:dyDescent="0.35">
      <c r="A574">
        <v>573</v>
      </c>
      <c r="B574" s="4" t="s">
        <v>982</v>
      </c>
      <c r="C574" s="3">
        <v>1994</v>
      </c>
      <c r="D574" s="4" t="s">
        <v>4467</v>
      </c>
      <c r="E574" s="35" t="s">
        <v>4468</v>
      </c>
      <c r="F574" s="4" t="str">
        <f>IF(COUNTIFS(Sheet1!$D$2:$D$3203, C574, Sheet1!$C$2:$C$3203, B574) &gt; 0, "Sudah", "Belum")</f>
        <v>Sudah</v>
      </c>
    </row>
    <row r="575" spans="1:6" hidden="1" x14ac:dyDescent="0.35">
      <c r="A575">
        <v>574</v>
      </c>
      <c r="B575" s="4" t="s">
        <v>1844</v>
      </c>
      <c r="C575" s="3">
        <v>2006</v>
      </c>
      <c r="D575" s="4" t="s">
        <v>4469</v>
      </c>
      <c r="E575" s="35" t="s">
        <v>4470</v>
      </c>
      <c r="F575" s="4" t="str">
        <f>IF(COUNTIFS(Sheet1!$D$2:$D$3203, C575, Sheet1!$C$2:$C$3203, B575) &gt; 0, "Sudah", "Belum")</f>
        <v>Sudah</v>
      </c>
    </row>
    <row r="576" spans="1:6" hidden="1" x14ac:dyDescent="0.35">
      <c r="A576">
        <v>575</v>
      </c>
      <c r="B576" s="4" t="s">
        <v>4471</v>
      </c>
      <c r="C576" s="3">
        <v>1993</v>
      </c>
      <c r="D576" s="4" t="s">
        <v>4472</v>
      </c>
      <c r="E576" s="35" t="s">
        <v>4473</v>
      </c>
      <c r="F576" s="4" t="str">
        <f>IF(COUNTIFS(Sheet1!$D$2:$D$3203, C576, Sheet1!$C$2:$C$3203, B576) &gt; 0, "Sudah", "Belum")</f>
        <v>Sudah</v>
      </c>
    </row>
    <row r="577" spans="1:6" hidden="1" x14ac:dyDescent="0.35">
      <c r="A577">
        <v>576</v>
      </c>
      <c r="B577" s="4" t="s">
        <v>191</v>
      </c>
      <c r="C577" s="3">
        <v>1976</v>
      </c>
      <c r="D577" s="4" t="s">
        <v>4474</v>
      </c>
      <c r="E577" s="35" t="s">
        <v>4475</v>
      </c>
      <c r="F577" s="4" t="str">
        <f>IF(COUNTIFS(Sheet1!$D$2:$D$3203, C577, Sheet1!$C$2:$C$3203, B577) &gt; 0, "Sudah", "Belum")</f>
        <v>Sudah</v>
      </c>
    </row>
    <row r="578" spans="1:6" hidden="1" x14ac:dyDescent="0.35">
      <c r="A578">
        <v>577</v>
      </c>
      <c r="B578" s="4" t="s">
        <v>1363</v>
      </c>
      <c r="C578" s="3">
        <v>1999</v>
      </c>
      <c r="D578" s="4" t="s">
        <v>4476</v>
      </c>
      <c r="E578" s="35" t="s">
        <v>4477</v>
      </c>
      <c r="F578" s="4" t="str">
        <f>IF(COUNTIFS(Sheet1!$D$2:$D$3203, C578, Sheet1!$C$2:$C$3203, B578) &gt; 0, "Sudah", "Belum")</f>
        <v>Sudah</v>
      </c>
    </row>
    <row r="579" spans="1:6" hidden="1" x14ac:dyDescent="0.35">
      <c r="A579">
        <v>578</v>
      </c>
      <c r="B579" s="4" t="s">
        <v>926</v>
      </c>
      <c r="C579" s="3">
        <v>1993</v>
      </c>
      <c r="D579" s="4" t="s">
        <v>4478</v>
      </c>
      <c r="E579" s="35" t="s">
        <v>4479</v>
      </c>
      <c r="F579" s="4" t="str">
        <f>IF(COUNTIFS(Sheet1!$D$2:$D$3203, C579, Sheet1!$C$2:$C$3203, B579) &gt; 0, "Sudah", "Belum")</f>
        <v>Sudah</v>
      </c>
    </row>
    <row r="580" spans="1:6" hidden="1" x14ac:dyDescent="0.35">
      <c r="A580">
        <v>579</v>
      </c>
      <c r="B580" s="4" t="s">
        <v>2085</v>
      </c>
      <c r="C580" s="3">
        <v>2011</v>
      </c>
      <c r="D580" s="4" t="s">
        <v>4480</v>
      </c>
      <c r="E580" s="35" t="s">
        <v>4481</v>
      </c>
      <c r="F580" s="4" t="str">
        <f>IF(COUNTIFS(Sheet1!$D$2:$D$3203, C580, Sheet1!$C$2:$C$3203, B580) &gt; 0, "Sudah", "Belum")</f>
        <v>Sudah</v>
      </c>
    </row>
    <row r="581" spans="1:6" hidden="1" x14ac:dyDescent="0.35">
      <c r="A581">
        <v>580</v>
      </c>
      <c r="B581" s="4" t="s">
        <v>1252</v>
      </c>
      <c r="C581" s="3">
        <v>1996</v>
      </c>
      <c r="D581" s="4" t="s">
        <v>4482</v>
      </c>
      <c r="E581" s="35" t="s">
        <v>4483</v>
      </c>
      <c r="F581" s="4" t="str">
        <f>IF(COUNTIFS(Sheet1!$D$2:$D$3203, C581, Sheet1!$C$2:$C$3203, B581) &gt; 0, "Sudah", "Belum")</f>
        <v>Sudah</v>
      </c>
    </row>
    <row r="582" spans="1:6" hidden="1" x14ac:dyDescent="0.35">
      <c r="A582">
        <v>581</v>
      </c>
      <c r="B582" s="4" t="s">
        <v>579</v>
      </c>
      <c r="C582" s="3">
        <v>1999</v>
      </c>
      <c r="D582" s="4" t="s">
        <v>4484</v>
      </c>
      <c r="E582" s="35" t="s">
        <v>4485</v>
      </c>
      <c r="F582" s="4" t="str">
        <f>IF(COUNTIFS(Sheet1!$D$2:$D$3203, C582, Sheet1!$C$2:$C$3203, B582) &gt; 0, "Sudah", "Belum")</f>
        <v>Sudah</v>
      </c>
    </row>
    <row r="583" spans="1:6" hidden="1" x14ac:dyDescent="0.35">
      <c r="A583">
        <v>582</v>
      </c>
      <c r="B583" s="4" t="s">
        <v>1723</v>
      </c>
      <c r="C583" s="3">
        <v>1998</v>
      </c>
      <c r="D583" s="4" t="s">
        <v>4486</v>
      </c>
      <c r="E583" s="35" t="s">
        <v>4487</v>
      </c>
      <c r="F583" s="4" t="str">
        <f>IF(COUNTIFS(Sheet1!$D$2:$D$3203, C583, Sheet1!$C$2:$C$3203, B583) &gt; 0, "Sudah", "Belum")</f>
        <v>Sudah</v>
      </c>
    </row>
    <row r="584" spans="1:6" hidden="1" x14ac:dyDescent="0.35">
      <c r="A584">
        <v>583</v>
      </c>
      <c r="B584" s="4" t="s">
        <v>2064</v>
      </c>
      <c r="C584" s="3">
        <v>2011</v>
      </c>
      <c r="D584" s="4" t="s">
        <v>4488</v>
      </c>
      <c r="E584" s="35" t="s">
        <v>4489</v>
      </c>
      <c r="F584" s="4" t="str">
        <f>IF(COUNTIFS(Sheet1!$D$2:$D$3203, C584, Sheet1!$C$2:$C$3203, B584) &gt; 0, "Sudah", "Belum")</f>
        <v>Sudah</v>
      </c>
    </row>
    <row r="585" spans="1:6" hidden="1" x14ac:dyDescent="0.35">
      <c r="A585">
        <v>584</v>
      </c>
      <c r="B585" s="4" t="s">
        <v>1904</v>
      </c>
      <c r="C585" s="3">
        <v>2007</v>
      </c>
      <c r="D585" s="4" t="s">
        <v>4490</v>
      </c>
      <c r="E585" s="35" t="s">
        <v>4491</v>
      </c>
      <c r="F585" s="4" t="str">
        <f>IF(COUNTIFS(Sheet1!$D$2:$D$3203, C585, Sheet1!$C$2:$C$3203, B585) &gt; 0, "Sudah", "Belum")</f>
        <v>Sudah</v>
      </c>
    </row>
    <row r="586" spans="1:6" hidden="1" x14ac:dyDescent="0.35">
      <c r="A586">
        <v>585</v>
      </c>
      <c r="B586" s="4" t="s">
        <v>1893</v>
      </c>
      <c r="C586" s="3">
        <v>2007</v>
      </c>
      <c r="D586" s="4" t="s">
        <v>4492</v>
      </c>
      <c r="E586" s="35" t="s">
        <v>4493</v>
      </c>
      <c r="F586" s="4" t="str">
        <f>IF(COUNTIFS(Sheet1!$D$2:$D$3203, C586, Sheet1!$C$2:$C$3203, B586) &gt; 0, "Sudah", "Belum")</f>
        <v>Sudah</v>
      </c>
    </row>
    <row r="587" spans="1:6" hidden="1" x14ac:dyDescent="0.35">
      <c r="A587">
        <v>586</v>
      </c>
      <c r="B587" s="4" t="s">
        <v>2927</v>
      </c>
      <c r="C587" s="3">
        <v>2007</v>
      </c>
      <c r="D587" s="4" t="s">
        <v>4494</v>
      </c>
      <c r="E587" s="35" t="s">
        <v>4495</v>
      </c>
      <c r="F587" s="4" t="str">
        <f>IF(COUNTIFS(Sheet1!$D$2:$D$3203, C587, Sheet1!$C$2:$C$3203, B587) &gt; 0, "Sudah", "Belum")</f>
        <v>Sudah</v>
      </c>
    </row>
    <row r="588" spans="1:6" hidden="1" x14ac:dyDescent="0.35">
      <c r="A588">
        <v>587</v>
      </c>
      <c r="B588" s="4" t="s">
        <v>743</v>
      </c>
      <c r="C588" s="3">
        <v>1987</v>
      </c>
      <c r="D588" s="4" t="s">
        <v>4496</v>
      </c>
      <c r="E588" s="35" t="s">
        <v>4497</v>
      </c>
      <c r="F588" s="4" t="str">
        <f>IF(COUNTIFS(Sheet1!$D$2:$D$3203, C588, Sheet1!$C$2:$C$3203, B588) &gt; 0, "Sudah", "Belum")</f>
        <v>Sudah</v>
      </c>
    </row>
    <row r="589" spans="1:6" hidden="1" x14ac:dyDescent="0.35">
      <c r="A589">
        <v>588</v>
      </c>
      <c r="B589" s="4" t="s">
        <v>2053</v>
      </c>
      <c r="C589" s="3">
        <v>2011</v>
      </c>
      <c r="D589" s="4" t="s">
        <v>4500</v>
      </c>
      <c r="E589" s="35" t="s">
        <v>4501</v>
      </c>
      <c r="F589" s="4" t="str">
        <f>IF(COUNTIFS(Sheet1!$D$2:$D$3203, C589, Sheet1!$C$2:$C$3203, B589) &gt; 0, "Sudah", "Belum")</f>
        <v>Sudah</v>
      </c>
    </row>
    <row r="590" spans="1:6" hidden="1" x14ac:dyDescent="0.35">
      <c r="A590">
        <v>589</v>
      </c>
      <c r="B590" s="4" t="s">
        <v>1161</v>
      </c>
      <c r="C590" s="3">
        <v>1996</v>
      </c>
      <c r="D590" s="4" t="s">
        <v>4502</v>
      </c>
      <c r="E590" s="35" t="s">
        <v>4503</v>
      </c>
      <c r="F590" s="4" t="str">
        <f>IF(COUNTIFS(Sheet1!$D$2:$D$3203, C590, Sheet1!$C$2:$C$3203, B590) &gt; 0, "Sudah", "Belum")</f>
        <v>Sudah</v>
      </c>
    </row>
    <row r="591" spans="1:6" hidden="1" x14ac:dyDescent="0.35">
      <c r="A591">
        <v>590</v>
      </c>
      <c r="B591" s="4" t="s">
        <v>1324</v>
      </c>
      <c r="C591" s="3">
        <v>1998</v>
      </c>
      <c r="D591" s="4" t="s">
        <v>4504</v>
      </c>
      <c r="E591" s="35" t="s">
        <v>4505</v>
      </c>
      <c r="F591" s="4" t="str">
        <f>IF(COUNTIFS(Sheet1!$D$2:$D$3203, C591, Sheet1!$C$2:$C$3203, B591) &gt; 0, "Sudah", "Belum")</f>
        <v>Sudah</v>
      </c>
    </row>
    <row r="592" spans="1:6" hidden="1" x14ac:dyDescent="0.35">
      <c r="A592">
        <v>591</v>
      </c>
      <c r="B592" s="4" t="s">
        <v>2685</v>
      </c>
      <c r="C592" s="3">
        <v>2020</v>
      </c>
      <c r="D592" s="4" t="s">
        <v>4506</v>
      </c>
      <c r="E592" s="35" t="s">
        <v>4507</v>
      </c>
      <c r="F592" s="4" t="str">
        <f>IF(COUNTIFS(Sheet1!$D$2:$D$3203, C592, Sheet1!$C$2:$C$3203, B592) &gt; 0, "Sudah", "Belum")</f>
        <v>Sudah</v>
      </c>
    </row>
    <row r="593" spans="1:6" hidden="1" x14ac:dyDescent="0.35">
      <c r="A593">
        <v>592</v>
      </c>
      <c r="B593" s="4" t="s">
        <v>1507</v>
      </c>
      <c r="C593" s="3">
        <v>2000</v>
      </c>
      <c r="D593" s="4" t="s">
        <v>4508</v>
      </c>
      <c r="E593" s="35" t="s">
        <v>4509</v>
      </c>
      <c r="F593" s="4" t="str">
        <f>IF(COUNTIFS(Sheet1!$D$2:$D$3203, C593, Sheet1!$C$2:$C$3203, B593) &gt; 0, "Sudah", "Belum")</f>
        <v>Sudah</v>
      </c>
    </row>
    <row r="594" spans="1:6" hidden="1" x14ac:dyDescent="0.35">
      <c r="A594">
        <v>593</v>
      </c>
      <c r="B594" s="4" t="s">
        <v>326</v>
      </c>
      <c r="C594" s="3">
        <v>1980</v>
      </c>
      <c r="D594" s="4" t="s">
        <v>4510</v>
      </c>
      <c r="E594" s="35" t="s">
        <v>4511</v>
      </c>
      <c r="F594" s="4" t="str">
        <f>IF(COUNTIFS(Sheet1!$D$2:$D$3203, C594, Sheet1!$C$2:$C$3203, B594) &gt; 0, "Sudah", "Belum")</f>
        <v>Sudah</v>
      </c>
    </row>
    <row r="595" spans="1:6" hidden="1" x14ac:dyDescent="0.35">
      <c r="A595">
        <v>594</v>
      </c>
      <c r="B595" s="4" t="s">
        <v>4512</v>
      </c>
      <c r="C595" s="3">
        <v>1996</v>
      </c>
      <c r="D595" s="4" t="s">
        <v>4513</v>
      </c>
      <c r="E595" s="35" t="s">
        <v>4514</v>
      </c>
      <c r="F595" s="4" t="str">
        <f>IF(COUNTIFS(Sheet1!$D$2:$D$3203, C595, Sheet1!$C$2:$C$3203, B595) &gt; 0, "Sudah", "Belum")</f>
        <v>Sudah</v>
      </c>
    </row>
    <row r="596" spans="1:6" hidden="1" x14ac:dyDescent="0.35">
      <c r="A596">
        <v>595</v>
      </c>
      <c r="B596" s="4" t="s">
        <v>1317</v>
      </c>
      <c r="C596" s="3">
        <v>1996</v>
      </c>
      <c r="D596" s="4" t="s">
        <v>4515</v>
      </c>
      <c r="E596" s="35" t="s">
        <v>4516</v>
      </c>
      <c r="F596" s="4" t="str">
        <f>IF(COUNTIFS(Sheet1!$D$2:$D$3203, C596, Sheet1!$C$2:$C$3203, B596) &gt; 0, "Sudah", "Belum")</f>
        <v>Sudah</v>
      </c>
    </row>
    <row r="597" spans="1:6" x14ac:dyDescent="0.35">
      <c r="A597">
        <v>596</v>
      </c>
      <c r="B597" s="4" t="s">
        <v>4517</v>
      </c>
      <c r="C597" s="3">
        <v>2007</v>
      </c>
      <c r="D597" s="4" t="s">
        <v>4518</v>
      </c>
      <c r="E597" s="35" t="s">
        <v>4519</v>
      </c>
      <c r="F597" s="4" t="str">
        <f>IF(COUNTIFS(Sheet1!$D$2:$D$3203, C597, Sheet1!$C$2:$C$3203, B597) &gt; 0, "Sudah", "Belum")</f>
        <v>Belum</v>
      </c>
    </row>
    <row r="598" spans="1:6" hidden="1" x14ac:dyDescent="0.35">
      <c r="A598">
        <v>597</v>
      </c>
      <c r="B598" s="4" t="s">
        <v>1578</v>
      </c>
      <c r="C598" s="3">
        <v>2000</v>
      </c>
      <c r="D598" s="4" t="s">
        <v>4520</v>
      </c>
      <c r="E598" s="35" t="s">
        <v>4521</v>
      </c>
      <c r="F598" s="4" t="str">
        <f>IF(COUNTIFS(Sheet1!$D$2:$D$3203, C598, Sheet1!$C$2:$C$3203, B598) &gt; 0, "Sudah", "Belum")</f>
        <v>Sudah</v>
      </c>
    </row>
    <row r="599" spans="1:6" hidden="1" x14ac:dyDescent="0.35">
      <c r="A599">
        <v>598</v>
      </c>
      <c r="B599" s="4" t="s">
        <v>2266</v>
      </c>
      <c r="C599" s="3">
        <v>2014</v>
      </c>
      <c r="D599" s="4" t="s">
        <v>4522</v>
      </c>
      <c r="E599" s="35" t="s">
        <v>4523</v>
      </c>
      <c r="F599" s="4" t="str">
        <f>IF(COUNTIFS(Sheet1!$D$2:$D$3203, C599, Sheet1!$C$2:$C$3203, B599) &gt; 0, "Sudah", "Belum")</f>
        <v>Sudah</v>
      </c>
    </row>
    <row r="600" spans="1:6" hidden="1" x14ac:dyDescent="0.35">
      <c r="A600">
        <v>599</v>
      </c>
      <c r="B600" s="4" t="s">
        <v>1127</v>
      </c>
      <c r="C600" s="3">
        <v>1996</v>
      </c>
      <c r="D600" s="4" t="s">
        <v>4524</v>
      </c>
      <c r="E600" s="35" t="s">
        <v>4525</v>
      </c>
      <c r="F600" s="4" t="str">
        <f>IF(COUNTIFS(Sheet1!$D$2:$D$3203, C600, Sheet1!$C$2:$C$3203, B600) &gt; 0, "Sudah", "Belum")</f>
        <v>Sudah</v>
      </c>
    </row>
    <row r="601" spans="1:6" hidden="1" x14ac:dyDescent="0.35">
      <c r="A601">
        <v>600</v>
      </c>
      <c r="B601" s="4" t="s">
        <v>1142</v>
      </c>
      <c r="C601" s="3">
        <v>1995</v>
      </c>
      <c r="D601" s="4" t="s">
        <v>4526</v>
      </c>
      <c r="E601" s="35" t="s">
        <v>4527</v>
      </c>
      <c r="F601" s="4" t="str">
        <f>IF(COUNTIFS(Sheet1!$D$2:$D$3203, C601, Sheet1!$C$2:$C$3203, B601) &gt; 0, "Sudah", "Belum")</f>
        <v>Sudah</v>
      </c>
    </row>
    <row r="602" spans="1:6" hidden="1" x14ac:dyDescent="0.35">
      <c r="A602">
        <v>601</v>
      </c>
      <c r="B602" s="4" t="s">
        <v>562</v>
      </c>
      <c r="C602" s="3">
        <v>1985</v>
      </c>
      <c r="D602" s="4" t="s">
        <v>4144</v>
      </c>
      <c r="E602" s="35" t="s">
        <v>4145</v>
      </c>
      <c r="F602" s="4" t="str">
        <f>IF(COUNTIFS(Sheet1!$D$2:$D$3203, C602, Sheet1!$C$2:$C$3203, B602) &gt; 0, "Sudah", "Belum")</f>
        <v>Sudah</v>
      </c>
    </row>
    <row r="603" spans="1:6" hidden="1" x14ac:dyDescent="0.35">
      <c r="A603">
        <v>602</v>
      </c>
      <c r="B603" s="4" t="s">
        <v>1407</v>
      </c>
      <c r="C603" s="3">
        <v>1998</v>
      </c>
      <c r="D603" s="4" t="s">
        <v>4528</v>
      </c>
      <c r="E603" s="35" t="s">
        <v>4529</v>
      </c>
      <c r="F603" s="4" t="str">
        <f>IF(COUNTIFS(Sheet1!$D$2:$D$3203, C603, Sheet1!$C$2:$C$3203, B603) &gt; 0, "Sudah", "Belum")</f>
        <v>Sudah</v>
      </c>
    </row>
    <row r="604" spans="1:6" hidden="1" x14ac:dyDescent="0.35">
      <c r="A604">
        <v>603</v>
      </c>
      <c r="B604" s="4" t="s">
        <v>2808</v>
      </c>
      <c r="C604" s="3">
        <v>2021</v>
      </c>
      <c r="D604" s="4" t="s">
        <v>4530</v>
      </c>
      <c r="E604" s="35" t="s">
        <v>4531</v>
      </c>
      <c r="F604" s="4" t="str">
        <f>IF(COUNTIFS(Sheet1!$D$2:$D$3203, C604, Sheet1!$C$2:$C$3203, B604) &gt; 0, "Sudah", "Belum")</f>
        <v>Sudah</v>
      </c>
    </row>
    <row r="605" spans="1:6" hidden="1" x14ac:dyDescent="0.35">
      <c r="A605">
        <v>604</v>
      </c>
      <c r="B605" s="4" t="s">
        <v>2683</v>
      </c>
      <c r="C605" s="3">
        <v>2020</v>
      </c>
      <c r="D605" s="4" t="s">
        <v>4532</v>
      </c>
      <c r="E605" s="35" t="s">
        <v>4533</v>
      </c>
      <c r="F605" s="4" t="str">
        <f>IF(COUNTIFS(Sheet1!$D$2:$D$3203, C605, Sheet1!$C$2:$C$3203, B605) &gt; 0, "Sudah", "Belum")</f>
        <v>Sudah</v>
      </c>
    </row>
    <row r="606" spans="1:6" hidden="1" x14ac:dyDescent="0.35">
      <c r="A606">
        <v>605</v>
      </c>
      <c r="B606" s="4" t="s">
        <v>2644</v>
      </c>
      <c r="C606" s="3">
        <v>2019</v>
      </c>
      <c r="D606" s="4" t="s">
        <v>4534</v>
      </c>
      <c r="E606" s="35" t="s">
        <v>4535</v>
      </c>
      <c r="F606" s="4" t="str">
        <f>IF(COUNTIFS(Sheet1!$D$2:$D$3203, C606, Sheet1!$C$2:$C$3203, B606) &gt; 0, "Sudah", "Belum")</f>
        <v>Sudah</v>
      </c>
    </row>
    <row r="607" spans="1:6" hidden="1" x14ac:dyDescent="0.35">
      <c r="A607">
        <v>606</v>
      </c>
      <c r="B607" s="4" t="s">
        <v>2947</v>
      </c>
      <c r="C607" s="3">
        <v>2003</v>
      </c>
      <c r="D607" s="4" t="s">
        <v>4536</v>
      </c>
      <c r="E607" s="35" t="s">
        <v>4537</v>
      </c>
      <c r="F607" s="4" t="str">
        <f>IF(COUNTIFS(Sheet1!$D$2:$D$3203, C607, Sheet1!$C$2:$C$3203, B607) &gt; 0, "Sudah", "Belum")</f>
        <v>Sudah</v>
      </c>
    </row>
    <row r="608" spans="1:6" hidden="1" x14ac:dyDescent="0.35">
      <c r="A608">
        <v>607</v>
      </c>
      <c r="B608" s="4" t="s">
        <v>2672</v>
      </c>
      <c r="C608" s="3">
        <v>2019</v>
      </c>
      <c r="D608" s="4" t="s">
        <v>4540</v>
      </c>
      <c r="E608" s="35" t="s">
        <v>4541</v>
      </c>
      <c r="F608" s="4" t="str">
        <f>IF(COUNTIFS(Sheet1!$D$2:$D$3203, C608, Sheet1!$C$2:$C$3203, B608) &gt; 0, "Sudah", "Belum")</f>
        <v>Sudah</v>
      </c>
    </row>
    <row r="609" spans="1:6" hidden="1" x14ac:dyDescent="0.35">
      <c r="A609">
        <v>608</v>
      </c>
      <c r="B609" s="4" t="s">
        <v>2576</v>
      </c>
      <c r="C609" s="3">
        <v>2019</v>
      </c>
      <c r="D609" s="4" t="s">
        <v>4542</v>
      </c>
      <c r="E609" s="35" t="s">
        <v>4543</v>
      </c>
      <c r="F609" s="4" t="str">
        <f>IF(COUNTIFS(Sheet1!$D$2:$D$3203, C609, Sheet1!$C$2:$C$3203, B609) &gt; 0, "Sudah", "Belum")</f>
        <v>Sudah</v>
      </c>
    </row>
    <row r="610" spans="1:6" hidden="1" x14ac:dyDescent="0.35">
      <c r="A610">
        <v>609</v>
      </c>
      <c r="B610" s="4" t="s">
        <v>1502</v>
      </c>
      <c r="C610" s="3">
        <v>2000</v>
      </c>
      <c r="D610" s="4" t="s">
        <v>4538</v>
      </c>
      <c r="E610" s="35" t="s">
        <v>4539</v>
      </c>
      <c r="F610" s="4" t="str">
        <f>IF(COUNTIFS(Sheet1!$D$2:$D$3203, C610, Sheet1!$C$2:$C$3203, B610) &gt; 0, "Sudah", "Belum")</f>
        <v>Sudah</v>
      </c>
    </row>
    <row r="611" spans="1:6" hidden="1" x14ac:dyDescent="0.35">
      <c r="A611">
        <v>610</v>
      </c>
      <c r="B611" s="4" t="s">
        <v>1039</v>
      </c>
      <c r="C611" s="3">
        <v>1996</v>
      </c>
      <c r="D611" s="4" t="s">
        <v>4544</v>
      </c>
      <c r="E611" s="35" t="s">
        <v>4545</v>
      </c>
      <c r="F611" s="4" t="str">
        <f>IF(COUNTIFS(Sheet1!$D$2:$D$3203, C611, Sheet1!$C$2:$C$3203, B611) &gt; 0, "Sudah", "Belum")</f>
        <v>Sudah</v>
      </c>
    </row>
    <row r="612" spans="1:6" x14ac:dyDescent="0.35">
      <c r="A612">
        <v>611</v>
      </c>
      <c r="B612" s="4" t="s">
        <v>4546</v>
      </c>
      <c r="C612" s="3">
        <v>1998</v>
      </c>
      <c r="D612" s="4" t="s">
        <v>4547</v>
      </c>
      <c r="E612" s="35" t="s">
        <v>4548</v>
      </c>
      <c r="F612" s="4" t="str">
        <f>IF(COUNTIFS(Sheet1!$D$2:$D$3203, C612, Sheet1!$C$2:$C$3203, B612) &gt; 0, "Sudah", "Belum")</f>
        <v>Belum</v>
      </c>
    </row>
    <row r="613" spans="1:6" hidden="1" x14ac:dyDescent="0.35">
      <c r="A613">
        <v>612</v>
      </c>
      <c r="B613" s="4" t="s">
        <v>1017</v>
      </c>
      <c r="C613" s="3">
        <v>1995</v>
      </c>
      <c r="D613" s="4" t="s">
        <v>4549</v>
      </c>
      <c r="E613" s="35" t="s">
        <v>4550</v>
      </c>
      <c r="F613" s="4" t="str">
        <f>IF(COUNTIFS(Sheet1!$D$2:$D$3203, C613, Sheet1!$C$2:$C$3203, B613) &gt; 0, "Sudah", "Belum")</f>
        <v>Sudah</v>
      </c>
    </row>
    <row r="614" spans="1:6" hidden="1" x14ac:dyDescent="0.35">
      <c r="A614">
        <v>613</v>
      </c>
      <c r="B614" s="4" t="s">
        <v>2976</v>
      </c>
      <c r="C614" s="3">
        <v>2007</v>
      </c>
      <c r="D614" s="4" t="s">
        <v>4551</v>
      </c>
      <c r="E614" s="35" t="s">
        <v>4552</v>
      </c>
      <c r="F614" s="4" t="str">
        <f>IF(COUNTIFS(Sheet1!$D$2:$D$3203, C614, Sheet1!$C$2:$C$3203, B614) &gt; 0, "Sudah", "Belum")</f>
        <v>Sudah</v>
      </c>
    </row>
    <row r="615" spans="1:6" hidden="1" x14ac:dyDescent="0.35">
      <c r="A615">
        <v>614</v>
      </c>
      <c r="B615" s="4" t="s">
        <v>5842</v>
      </c>
      <c r="C615" s="3">
        <v>2000</v>
      </c>
      <c r="D615" s="4" t="s">
        <v>4328</v>
      </c>
      <c r="E615" s="35" t="s">
        <v>4329</v>
      </c>
      <c r="F615" s="4" t="str">
        <f>IF(COUNTIFS(Sheet1!$D$2:$D$3203, C615, Sheet1!$C$2:$C$3203, B615) &gt; 0, "Sudah", "Belum")</f>
        <v>Sudah</v>
      </c>
    </row>
    <row r="616" spans="1:6" hidden="1" x14ac:dyDescent="0.35">
      <c r="A616">
        <v>615</v>
      </c>
      <c r="B616" s="4" t="s">
        <v>1757</v>
      </c>
      <c r="C616" s="3">
        <v>2003</v>
      </c>
      <c r="D616" s="4" t="s">
        <v>4553</v>
      </c>
      <c r="E616" s="35" t="s">
        <v>4554</v>
      </c>
      <c r="F616" s="4" t="str">
        <f>IF(COUNTIFS(Sheet1!$D$2:$D$3203, C616, Sheet1!$C$2:$C$3203, B616) &gt; 0, "Sudah", "Belum")</f>
        <v>Sudah</v>
      </c>
    </row>
    <row r="617" spans="1:6" hidden="1" x14ac:dyDescent="0.35">
      <c r="A617">
        <v>616</v>
      </c>
      <c r="B617" s="4" t="s">
        <v>2664</v>
      </c>
      <c r="C617" s="3">
        <v>2019</v>
      </c>
      <c r="D617" s="4" t="s">
        <v>4558</v>
      </c>
      <c r="E617" s="35" t="s">
        <v>4559</v>
      </c>
      <c r="F617" s="4" t="str">
        <f>IF(COUNTIFS(Sheet1!$D$2:$D$3203, C617, Sheet1!$C$2:$C$3203, B617) &gt; 0, "Sudah", "Belum")</f>
        <v>Sudah</v>
      </c>
    </row>
    <row r="618" spans="1:6" hidden="1" x14ac:dyDescent="0.35">
      <c r="A618">
        <v>617</v>
      </c>
      <c r="B618" s="4" t="s">
        <v>2708</v>
      </c>
      <c r="C618" s="3">
        <v>2020</v>
      </c>
      <c r="D618" s="4" t="s">
        <v>4560</v>
      </c>
      <c r="E618" s="35" t="s">
        <v>4561</v>
      </c>
      <c r="F618" s="4" t="str">
        <f>IF(COUNTIFS(Sheet1!$D$2:$D$3203, C618, Sheet1!$C$2:$C$3203, B618) &gt; 0, "Sudah", "Belum")</f>
        <v>Sudah</v>
      </c>
    </row>
    <row r="619" spans="1:6" hidden="1" x14ac:dyDescent="0.35">
      <c r="A619">
        <v>618</v>
      </c>
      <c r="B619" s="4" t="s">
        <v>2658</v>
      </c>
      <c r="C619" s="3">
        <v>2019</v>
      </c>
      <c r="D619" s="4" t="s">
        <v>4562</v>
      </c>
      <c r="E619" s="35" t="s">
        <v>4563</v>
      </c>
      <c r="F619" s="4" t="str">
        <f>IF(COUNTIFS(Sheet1!$D$2:$D$3203, C619, Sheet1!$C$2:$C$3203, B619) &gt; 0, "Sudah", "Belum")</f>
        <v>Sudah</v>
      </c>
    </row>
    <row r="620" spans="1:6" hidden="1" x14ac:dyDescent="0.35">
      <c r="A620">
        <v>619</v>
      </c>
      <c r="B620" s="4" t="s">
        <v>2710</v>
      </c>
      <c r="C620" s="3">
        <v>2020</v>
      </c>
      <c r="D620" s="4" t="s">
        <v>4564</v>
      </c>
      <c r="E620" s="35" t="s">
        <v>4565</v>
      </c>
      <c r="F620" s="4" t="str">
        <f>IF(COUNTIFS(Sheet1!$D$2:$D$3203, C620, Sheet1!$C$2:$C$3203, B620) &gt; 0, "Sudah", "Belum")</f>
        <v>Sudah</v>
      </c>
    </row>
    <row r="621" spans="1:6" hidden="1" x14ac:dyDescent="0.35">
      <c r="A621">
        <v>620</v>
      </c>
      <c r="B621" s="4" t="s">
        <v>1197</v>
      </c>
      <c r="C621" s="3">
        <v>1997</v>
      </c>
      <c r="D621" s="4" t="s">
        <v>4566</v>
      </c>
      <c r="E621" s="35" t="s">
        <v>4567</v>
      </c>
      <c r="F621" s="4" t="str">
        <f>IF(COUNTIFS(Sheet1!$D$2:$D$3203, C621, Sheet1!$C$2:$C$3203, B621) &gt; 0, "Sudah", "Belum")</f>
        <v>Sudah</v>
      </c>
    </row>
    <row r="622" spans="1:6" hidden="1" x14ac:dyDescent="0.35">
      <c r="A622">
        <v>621</v>
      </c>
      <c r="B622" s="4" t="s">
        <v>1307</v>
      </c>
      <c r="C622" s="3">
        <v>1998</v>
      </c>
      <c r="D622" s="4" t="s">
        <v>4568</v>
      </c>
      <c r="E622" s="35" t="s">
        <v>4569</v>
      </c>
      <c r="F622" s="4" t="str">
        <f>IF(COUNTIFS(Sheet1!$D$2:$D$3203, C622, Sheet1!$C$2:$C$3203, B622) &gt; 0, "Sudah", "Belum")</f>
        <v>Sudah</v>
      </c>
    </row>
    <row r="623" spans="1:6" hidden="1" x14ac:dyDescent="0.35">
      <c r="A623">
        <v>622</v>
      </c>
      <c r="B623" s="4" t="s">
        <v>2599</v>
      </c>
      <c r="C623" s="3">
        <v>2019</v>
      </c>
      <c r="D623" s="4" t="s">
        <v>4570</v>
      </c>
      <c r="E623" s="35" t="s">
        <v>4571</v>
      </c>
      <c r="F623" s="4" t="str">
        <f>IF(COUNTIFS(Sheet1!$D$2:$D$3203, C623, Sheet1!$C$2:$C$3203, B623) &gt; 0, "Sudah", "Belum")</f>
        <v>Sudah</v>
      </c>
    </row>
    <row r="624" spans="1:6" hidden="1" x14ac:dyDescent="0.35">
      <c r="A624">
        <v>623</v>
      </c>
      <c r="B624" s="4" t="s">
        <v>2651</v>
      </c>
      <c r="C624" s="3">
        <v>2019</v>
      </c>
      <c r="D624" s="4" t="s">
        <v>4572</v>
      </c>
      <c r="E624" s="35" t="s">
        <v>4573</v>
      </c>
      <c r="F624" s="4" t="str">
        <f>IF(COUNTIFS(Sheet1!$D$2:$D$3203, C624, Sheet1!$C$2:$C$3203, B624) &gt; 0, "Sudah", "Belum")</f>
        <v>Sudah</v>
      </c>
    </row>
    <row r="625" spans="1:6" hidden="1" x14ac:dyDescent="0.35">
      <c r="A625">
        <v>624</v>
      </c>
      <c r="B625" s="4" t="s">
        <v>404</v>
      </c>
      <c r="C625" s="3">
        <v>1980</v>
      </c>
      <c r="D625" s="4" t="s">
        <v>4574</v>
      </c>
      <c r="E625" s="35" t="s">
        <v>4575</v>
      </c>
      <c r="F625" s="4" t="str">
        <f>IF(COUNTIFS(Sheet1!$D$2:$D$3203, C625, Sheet1!$C$2:$C$3203, B625) &gt; 0, "Sudah", "Belum")</f>
        <v>Sudah</v>
      </c>
    </row>
    <row r="626" spans="1:6" hidden="1" x14ac:dyDescent="0.35">
      <c r="A626">
        <v>625</v>
      </c>
      <c r="B626" s="4" t="s">
        <v>2003</v>
      </c>
      <c r="C626" s="3">
        <v>2011</v>
      </c>
      <c r="D626" s="4" t="s">
        <v>4576</v>
      </c>
      <c r="E626" s="35" t="s">
        <v>4577</v>
      </c>
      <c r="F626" s="4" t="str">
        <f>IF(COUNTIFS(Sheet1!$D$2:$D$3203, C626, Sheet1!$C$2:$C$3203, B626) &gt; 0, "Sudah", "Belum")</f>
        <v>Sudah</v>
      </c>
    </row>
    <row r="627" spans="1:6" hidden="1" x14ac:dyDescent="0.35">
      <c r="A627">
        <v>626</v>
      </c>
      <c r="B627" s="4" t="s">
        <v>1259</v>
      </c>
      <c r="C627" s="3">
        <v>1997</v>
      </c>
      <c r="D627" s="4" t="s">
        <v>4578</v>
      </c>
      <c r="E627" s="35" t="s">
        <v>4579</v>
      </c>
      <c r="F627" s="4" t="str">
        <f>IF(COUNTIFS(Sheet1!$D$2:$D$3203, C627, Sheet1!$C$2:$C$3203, B627) &gt; 0, "Sudah", "Belum")</f>
        <v>Sudah</v>
      </c>
    </row>
    <row r="628" spans="1:6" hidden="1" x14ac:dyDescent="0.35">
      <c r="A628">
        <v>627</v>
      </c>
      <c r="B628" s="4" t="s">
        <v>2963</v>
      </c>
      <c r="C628" s="3">
        <v>2007</v>
      </c>
      <c r="D628" s="4" t="s">
        <v>4580</v>
      </c>
      <c r="E628" s="35" t="s">
        <v>4581</v>
      </c>
      <c r="F628" s="4" t="str">
        <f>IF(COUNTIFS(Sheet1!$D$2:$D$3203, C628, Sheet1!$C$2:$C$3203, B628) &gt; 0, "Sudah", "Belum")</f>
        <v>Sudah</v>
      </c>
    </row>
    <row r="629" spans="1:6" hidden="1" x14ac:dyDescent="0.35">
      <c r="A629">
        <v>628</v>
      </c>
      <c r="B629" s="4" t="s">
        <v>2593</v>
      </c>
      <c r="C629" s="3">
        <v>2019</v>
      </c>
      <c r="D629" s="4" t="s">
        <v>4582</v>
      </c>
      <c r="E629" s="35" t="s">
        <v>4583</v>
      </c>
      <c r="F629" s="4" t="str">
        <f>IF(COUNTIFS(Sheet1!$D$2:$D$3203, C629, Sheet1!$C$2:$C$3203, B629) &gt; 0, "Sudah", "Belum")</f>
        <v>Sudah</v>
      </c>
    </row>
    <row r="630" spans="1:6" hidden="1" x14ac:dyDescent="0.35">
      <c r="A630">
        <v>629</v>
      </c>
      <c r="B630" s="4" t="s">
        <v>1238</v>
      </c>
      <c r="C630" s="3">
        <v>1997</v>
      </c>
      <c r="D630" s="4" t="s">
        <v>4584</v>
      </c>
      <c r="E630" s="35" t="s">
        <v>4585</v>
      </c>
      <c r="F630" s="4" t="str">
        <f>IF(COUNTIFS(Sheet1!$D$2:$D$3203, C630, Sheet1!$C$2:$C$3203, B630) &gt; 0, "Sudah", "Belum")</f>
        <v>Sudah</v>
      </c>
    </row>
    <row r="631" spans="1:6" hidden="1" x14ac:dyDescent="0.35">
      <c r="A631">
        <v>630</v>
      </c>
      <c r="B631" s="4" t="s">
        <v>1421</v>
      </c>
      <c r="C631" s="3">
        <v>1999</v>
      </c>
      <c r="D631" s="4" t="s">
        <v>4586</v>
      </c>
      <c r="E631" s="35" t="s">
        <v>4587</v>
      </c>
      <c r="F631" s="4" t="str">
        <f>IF(COUNTIFS(Sheet1!$D$2:$D$3203, C631, Sheet1!$C$2:$C$3203, B631) &gt; 0, "Sudah", "Belum")</f>
        <v>Sudah</v>
      </c>
    </row>
    <row r="632" spans="1:6" hidden="1" x14ac:dyDescent="0.35">
      <c r="A632">
        <v>631</v>
      </c>
      <c r="B632" s="4" t="s">
        <v>1627</v>
      </c>
      <c r="C632" s="3">
        <v>1997</v>
      </c>
      <c r="D632" s="4" t="s">
        <v>4588</v>
      </c>
      <c r="E632" s="35" t="s">
        <v>4589</v>
      </c>
      <c r="F632" s="4" t="str">
        <f>IF(COUNTIFS(Sheet1!$D$2:$D$3203, C632, Sheet1!$C$2:$C$3203, B632) &gt; 0, "Sudah", "Belum")</f>
        <v>Sudah</v>
      </c>
    </row>
    <row r="633" spans="1:6" hidden="1" x14ac:dyDescent="0.35">
      <c r="A633">
        <v>632</v>
      </c>
      <c r="B633" s="4" t="s">
        <v>1416</v>
      </c>
      <c r="C633" s="3">
        <v>1999</v>
      </c>
      <c r="D633" s="4" t="s">
        <v>4590</v>
      </c>
      <c r="E633" s="35" t="s">
        <v>4591</v>
      </c>
      <c r="F633" s="4" t="str">
        <f>IF(COUNTIFS(Sheet1!$D$2:$D$3203, C633, Sheet1!$C$2:$C$3203, B633) &gt; 0, "Sudah", "Belum")</f>
        <v>Sudah</v>
      </c>
    </row>
    <row r="634" spans="1:6" hidden="1" x14ac:dyDescent="0.35">
      <c r="A634">
        <v>633</v>
      </c>
      <c r="B634" s="4" t="s">
        <v>1295</v>
      </c>
      <c r="C634" s="3">
        <v>1997</v>
      </c>
      <c r="D634" s="4" t="s">
        <v>4592</v>
      </c>
      <c r="E634" s="35" t="s">
        <v>4593</v>
      </c>
      <c r="F634" s="4" t="str">
        <f>IF(COUNTIFS(Sheet1!$D$2:$D$3203, C634, Sheet1!$C$2:$C$3203, B634) &gt; 0, "Sudah", "Belum")</f>
        <v>Sudah</v>
      </c>
    </row>
    <row r="635" spans="1:6" hidden="1" x14ac:dyDescent="0.35">
      <c r="A635">
        <v>634</v>
      </c>
      <c r="B635" s="4" t="s">
        <v>956</v>
      </c>
      <c r="C635" s="3">
        <v>1995</v>
      </c>
      <c r="D635" s="4" t="s">
        <v>3726</v>
      </c>
      <c r="E635" s="35" t="s">
        <v>3727</v>
      </c>
      <c r="F635" s="4" t="str">
        <f>IF(COUNTIFS(Sheet1!$D$2:$D$3203, C635, Sheet1!$C$2:$C$3203, B635) &gt; 0, "Sudah", "Belum")</f>
        <v>Sudah</v>
      </c>
    </row>
    <row r="636" spans="1:6" hidden="1" x14ac:dyDescent="0.35">
      <c r="A636">
        <v>635</v>
      </c>
      <c r="B636" s="4" t="s">
        <v>1330</v>
      </c>
      <c r="C636" s="3">
        <v>1998</v>
      </c>
      <c r="D636" s="4" t="s">
        <v>4594</v>
      </c>
      <c r="E636" s="35" t="s">
        <v>4595</v>
      </c>
      <c r="F636" s="4" t="str">
        <f>IF(COUNTIFS(Sheet1!$D$2:$D$3203, C636, Sheet1!$C$2:$C$3203, B636) &gt; 0, "Sudah", "Belum")</f>
        <v>Sudah</v>
      </c>
    </row>
    <row r="637" spans="1:6" hidden="1" x14ac:dyDescent="0.35">
      <c r="A637">
        <v>636</v>
      </c>
      <c r="B637" s="4" t="s">
        <v>1207</v>
      </c>
      <c r="C637" s="3">
        <v>1997</v>
      </c>
      <c r="D637" s="4" t="s">
        <v>4596</v>
      </c>
      <c r="E637" s="35" t="s">
        <v>4597</v>
      </c>
      <c r="F637" s="4" t="str">
        <f>IF(COUNTIFS(Sheet1!$D$2:$D$3203, C637, Sheet1!$C$2:$C$3203, B637) &gt; 0, "Sudah", "Belum")</f>
        <v>Sudah</v>
      </c>
    </row>
    <row r="638" spans="1:6" hidden="1" x14ac:dyDescent="0.35">
      <c r="A638">
        <v>637</v>
      </c>
      <c r="B638" s="4" t="s">
        <v>1395</v>
      </c>
      <c r="C638" s="3">
        <v>1999</v>
      </c>
      <c r="D638" s="4" t="s">
        <v>4598</v>
      </c>
      <c r="E638" s="35" t="s">
        <v>4599</v>
      </c>
      <c r="F638" s="4" t="str">
        <f>IF(COUNTIFS(Sheet1!$D$2:$D$3203, C638, Sheet1!$C$2:$C$3203, B638) &gt; 0, "Sudah", "Belum")</f>
        <v>Sudah</v>
      </c>
    </row>
    <row r="639" spans="1:6" hidden="1" x14ac:dyDescent="0.35">
      <c r="A639">
        <v>638</v>
      </c>
      <c r="B639" s="4" t="s">
        <v>650</v>
      </c>
      <c r="C639" s="3">
        <v>1987</v>
      </c>
      <c r="D639" s="4" t="s">
        <v>4602</v>
      </c>
      <c r="E639" s="35" t="s">
        <v>4603</v>
      </c>
      <c r="F639" s="4" t="str">
        <f>IF(COUNTIFS(Sheet1!$D$2:$D$3203, C639, Sheet1!$C$2:$C$3203, B639) &gt; 0, "Sudah", "Belum")</f>
        <v>Sudah</v>
      </c>
    </row>
    <row r="640" spans="1:6" hidden="1" x14ac:dyDescent="0.35">
      <c r="A640">
        <v>639</v>
      </c>
      <c r="B640" s="4" t="s">
        <v>1527</v>
      </c>
      <c r="C640" s="3">
        <v>2000</v>
      </c>
      <c r="D640" s="4" t="s">
        <v>4604</v>
      </c>
      <c r="E640" s="35" t="s">
        <v>4605</v>
      </c>
      <c r="F640" s="4" t="str">
        <f>IF(COUNTIFS(Sheet1!$D$2:$D$3203, C640, Sheet1!$C$2:$C$3203, B640) &gt; 0, "Sudah", "Belum")</f>
        <v>Sudah</v>
      </c>
    </row>
    <row r="641" spans="1:6" hidden="1" x14ac:dyDescent="0.35">
      <c r="A641">
        <v>640</v>
      </c>
      <c r="B641" s="4" t="s">
        <v>1384</v>
      </c>
      <c r="C641" s="3">
        <v>1999</v>
      </c>
      <c r="D641" s="4" t="s">
        <v>4600</v>
      </c>
      <c r="E641" s="35" t="s">
        <v>4601</v>
      </c>
      <c r="F641" s="4" t="str">
        <f>IF(COUNTIFS(Sheet1!$D$2:$D$3203, C641, Sheet1!$C$2:$C$3203, B641) &gt; 0, "Sudah", "Belum")</f>
        <v>Sudah</v>
      </c>
    </row>
    <row r="642" spans="1:6" hidden="1" x14ac:dyDescent="0.35">
      <c r="A642">
        <v>641</v>
      </c>
      <c r="B642" s="4" t="s">
        <v>4606</v>
      </c>
      <c r="C642" s="3">
        <v>1998</v>
      </c>
      <c r="D642" s="4" t="s">
        <v>4607</v>
      </c>
      <c r="E642" s="35" t="s">
        <v>4608</v>
      </c>
      <c r="F642" s="4" t="str">
        <f>IF(COUNTIFS(Sheet1!$D$2:$D$3203, C642, Sheet1!$C$2:$C$3203, B642) &gt; 0, "Sudah", "Belum")</f>
        <v>Sudah</v>
      </c>
    </row>
    <row r="643" spans="1:6" hidden="1" x14ac:dyDescent="0.35">
      <c r="A643">
        <v>642</v>
      </c>
      <c r="B643" s="4" t="s">
        <v>2606</v>
      </c>
      <c r="C643" s="3">
        <v>2019</v>
      </c>
      <c r="D643" s="4" t="s">
        <v>4609</v>
      </c>
      <c r="E643" s="35" t="s">
        <v>4610</v>
      </c>
      <c r="F643" s="4" t="str">
        <f>IF(COUNTIFS(Sheet1!$D$2:$D$3203, C643, Sheet1!$C$2:$C$3203, B643) &gt; 0, "Sudah", "Belum")</f>
        <v>Sudah</v>
      </c>
    </row>
    <row r="644" spans="1:6" hidden="1" x14ac:dyDescent="0.35">
      <c r="A644">
        <v>643</v>
      </c>
      <c r="B644" s="4" t="s">
        <v>2440</v>
      </c>
      <c r="C644" s="3">
        <v>2017</v>
      </c>
      <c r="D644" s="4" t="s">
        <v>4611</v>
      </c>
      <c r="E644" s="35" t="s">
        <v>4612</v>
      </c>
      <c r="F644" s="4" t="str">
        <f>IF(COUNTIFS(Sheet1!$D$2:$D$3203, C644, Sheet1!$C$2:$C$3203, B644) &gt; 0, "Sudah", "Belum")</f>
        <v>Sudah</v>
      </c>
    </row>
    <row r="645" spans="1:6" hidden="1" x14ac:dyDescent="0.35">
      <c r="A645">
        <v>644</v>
      </c>
      <c r="B645" s="4" t="s">
        <v>4613</v>
      </c>
      <c r="C645" s="3">
        <v>1987</v>
      </c>
      <c r="D645" s="4" t="s">
        <v>4614</v>
      </c>
      <c r="E645" s="35" t="s">
        <v>4615</v>
      </c>
      <c r="F645" s="4" t="str">
        <f>IF(COUNTIFS(Sheet1!$D$2:$D$3203, C645, Sheet1!$C$2:$C$3203, B645) &gt; 0, "Sudah", "Belum")</f>
        <v>Sudah</v>
      </c>
    </row>
    <row r="646" spans="1:6" hidden="1" x14ac:dyDescent="0.35">
      <c r="A646">
        <v>645</v>
      </c>
      <c r="B646" s="4" t="s">
        <v>1382</v>
      </c>
      <c r="C646" s="3">
        <v>1999</v>
      </c>
      <c r="D646" s="4" t="s">
        <v>4616</v>
      </c>
      <c r="E646" s="35" t="s">
        <v>4617</v>
      </c>
      <c r="F646" s="4" t="str">
        <f>IF(COUNTIFS(Sheet1!$D$2:$D$3203, C646, Sheet1!$C$2:$C$3203, B646) &gt; 0, "Sudah", "Belum")</f>
        <v>Sudah</v>
      </c>
    </row>
    <row r="647" spans="1:6" hidden="1" x14ac:dyDescent="0.35">
      <c r="A647">
        <v>646</v>
      </c>
      <c r="B647" s="4" t="s">
        <v>1196</v>
      </c>
      <c r="C647" s="3">
        <v>1997</v>
      </c>
      <c r="D647" s="4" t="s">
        <v>4618</v>
      </c>
      <c r="E647" s="35" t="s">
        <v>4619</v>
      </c>
      <c r="F647" s="4" t="str">
        <f>IF(COUNTIFS(Sheet1!$D$2:$D$3203, C647, Sheet1!$C$2:$C$3203, B647) &gt; 0, "Sudah", "Belum")</f>
        <v>Sudah</v>
      </c>
    </row>
    <row r="648" spans="1:6" hidden="1" x14ac:dyDescent="0.35">
      <c r="A648">
        <v>647</v>
      </c>
      <c r="B648" s="4" t="s">
        <v>1762</v>
      </c>
      <c r="C648" s="3">
        <v>2004</v>
      </c>
      <c r="D648" s="4" t="s">
        <v>4620</v>
      </c>
      <c r="E648" s="35" t="s">
        <v>4621</v>
      </c>
      <c r="F648" s="4" t="str">
        <f>IF(COUNTIFS(Sheet1!$D$2:$D$3203, C648, Sheet1!$C$2:$C$3203, B648) &gt; 0, "Sudah", "Belum")</f>
        <v>Sudah</v>
      </c>
    </row>
    <row r="649" spans="1:6" hidden="1" x14ac:dyDescent="0.35">
      <c r="A649">
        <v>648</v>
      </c>
      <c r="B649" s="4" t="s">
        <v>1441</v>
      </c>
      <c r="C649" s="3">
        <v>1999</v>
      </c>
      <c r="D649" s="4" t="s">
        <v>4622</v>
      </c>
      <c r="E649" s="35" t="s">
        <v>4623</v>
      </c>
      <c r="F649" s="4" t="str">
        <f>IF(COUNTIFS(Sheet1!$D$2:$D$3203, C649, Sheet1!$C$2:$C$3203, B649) &gt; 0, "Sudah", "Belum")</f>
        <v>Sudah</v>
      </c>
    </row>
    <row r="650" spans="1:6" hidden="1" x14ac:dyDescent="0.35">
      <c r="A650">
        <v>649</v>
      </c>
      <c r="B650" s="4" t="s">
        <v>2004</v>
      </c>
      <c r="C650" s="3">
        <v>2011</v>
      </c>
      <c r="D650" s="4" t="s">
        <v>4624</v>
      </c>
      <c r="E650" s="35" t="s">
        <v>4625</v>
      </c>
      <c r="F650" s="4" t="str">
        <f>IF(COUNTIFS(Sheet1!$D$2:$D$3203, C650, Sheet1!$C$2:$C$3203, B650) &gt; 0, "Sudah", "Belum")</f>
        <v>Sudah</v>
      </c>
    </row>
    <row r="651" spans="1:6" hidden="1" x14ac:dyDescent="0.35">
      <c r="A651">
        <v>650</v>
      </c>
      <c r="B651" s="4" t="s">
        <v>260</v>
      </c>
      <c r="C651" s="3">
        <v>1980</v>
      </c>
      <c r="D651" s="4" t="s">
        <v>4626</v>
      </c>
      <c r="E651" s="35" t="s">
        <v>4627</v>
      </c>
      <c r="F651" s="4" t="str">
        <f>IF(COUNTIFS(Sheet1!$D$2:$D$3203, C651, Sheet1!$C$2:$C$3203, B651) &gt; 0, "Sudah", "Belum")</f>
        <v>Sudah</v>
      </c>
    </row>
    <row r="652" spans="1:6" hidden="1" x14ac:dyDescent="0.35">
      <c r="A652">
        <v>651</v>
      </c>
      <c r="B652" s="4" t="s">
        <v>4628</v>
      </c>
      <c r="C652" s="3">
        <v>1984</v>
      </c>
      <c r="D652" s="4" t="s">
        <v>4629</v>
      </c>
      <c r="E652" s="35" t="s">
        <v>4630</v>
      </c>
      <c r="F652" s="4" t="str">
        <f>IF(COUNTIFS(Sheet1!$D$2:$D$3203, C652, Sheet1!$C$2:$C$3203, B652) &gt; 0, "Sudah", "Belum")</f>
        <v>Sudah</v>
      </c>
    </row>
    <row r="653" spans="1:6" hidden="1" x14ac:dyDescent="0.35">
      <c r="A653">
        <v>652</v>
      </c>
      <c r="B653" s="4" t="s">
        <v>1198</v>
      </c>
      <c r="C653" s="3">
        <v>1997</v>
      </c>
      <c r="D653" s="4" t="s">
        <v>4631</v>
      </c>
      <c r="E653" s="35" t="s">
        <v>4632</v>
      </c>
      <c r="F653" s="4" t="str">
        <f>IF(COUNTIFS(Sheet1!$D$2:$D$3203, C653, Sheet1!$C$2:$C$3203, B653) &gt; 0, "Sudah", "Belum")</f>
        <v>Sudah</v>
      </c>
    </row>
    <row r="654" spans="1:6" hidden="1" x14ac:dyDescent="0.35">
      <c r="A654">
        <v>653</v>
      </c>
      <c r="B654" s="4" t="s">
        <v>2062</v>
      </c>
      <c r="C654" s="3">
        <v>2011</v>
      </c>
      <c r="D654" s="4" t="s">
        <v>4633</v>
      </c>
      <c r="E654" s="35" t="s">
        <v>4634</v>
      </c>
      <c r="F654" s="4" t="str">
        <f>IF(COUNTIFS(Sheet1!$D$2:$D$3203, C654, Sheet1!$C$2:$C$3203, B654) &gt; 0, "Sudah", "Belum")</f>
        <v>Sudah</v>
      </c>
    </row>
    <row r="655" spans="1:6" hidden="1" x14ac:dyDescent="0.35">
      <c r="A655">
        <v>654</v>
      </c>
      <c r="B655" s="4" t="s">
        <v>2014</v>
      </c>
      <c r="C655" s="3">
        <v>2011</v>
      </c>
      <c r="D655" s="4" t="s">
        <v>4637</v>
      </c>
      <c r="E655" s="35" t="s">
        <v>4638</v>
      </c>
      <c r="F655" s="4" t="str">
        <f>IF(COUNTIFS(Sheet1!$D$2:$D$3203, C655, Sheet1!$C$2:$C$3203, B655) &gt; 0, "Sudah", "Belum")</f>
        <v>Sudah</v>
      </c>
    </row>
    <row r="656" spans="1:6" hidden="1" x14ac:dyDescent="0.35">
      <c r="A656">
        <v>655</v>
      </c>
      <c r="B656" s="4" t="s">
        <v>2989</v>
      </c>
      <c r="C656" s="3">
        <v>2007</v>
      </c>
      <c r="D656" s="4" t="s">
        <v>4639</v>
      </c>
      <c r="E656" s="35" t="s">
        <v>4640</v>
      </c>
      <c r="F656" s="4" t="str">
        <f>IF(COUNTIFS(Sheet1!$D$2:$D$3203, C656, Sheet1!$C$2:$C$3203, B656) &gt; 0, "Sudah", "Belum")</f>
        <v>Sudah</v>
      </c>
    </row>
    <row r="657" spans="1:6" hidden="1" x14ac:dyDescent="0.35">
      <c r="A657">
        <v>656</v>
      </c>
      <c r="B657" s="4" t="s">
        <v>1977</v>
      </c>
      <c r="C657" s="3">
        <v>2010</v>
      </c>
      <c r="D657" s="4" t="s">
        <v>4641</v>
      </c>
      <c r="E657" s="35" t="s">
        <v>4642</v>
      </c>
      <c r="F657" s="4" t="str">
        <f>IF(COUNTIFS(Sheet1!$D$2:$D$3203, C657, Sheet1!$C$2:$C$3203, B657) &gt; 0, "Sudah", "Belum")</f>
        <v>Sudah</v>
      </c>
    </row>
    <row r="658" spans="1:6" hidden="1" x14ac:dyDescent="0.35">
      <c r="A658">
        <v>657</v>
      </c>
      <c r="B658" s="4" t="s">
        <v>2024</v>
      </c>
      <c r="C658" s="3">
        <v>2011</v>
      </c>
      <c r="D658" s="4" t="s">
        <v>4643</v>
      </c>
      <c r="E658" s="35" t="s">
        <v>4644</v>
      </c>
      <c r="F658" s="4" t="str">
        <f>IF(COUNTIFS(Sheet1!$D$2:$D$3203, C658, Sheet1!$C$2:$C$3203, B658) &gt; 0, "Sudah", "Belum")</f>
        <v>Sudah</v>
      </c>
    </row>
    <row r="659" spans="1:6" hidden="1" x14ac:dyDescent="0.35">
      <c r="A659">
        <v>658</v>
      </c>
      <c r="B659" s="4" t="s">
        <v>1550</v>
      </c>
      <c r="C659" s="3">
        <v>1999</v>
      </c>
      <c r="D659" s="4" t="s">
        <v>4645</v>
      </c>
      <c r="E659" s="35" t="s">
        <v>4646</v>
      </c>
      <c r="F659" s="4" t="str">
        <f>IF(COUNTIFS(Sheet1!$D$2:$D$3203, C659, Sheet1!$C$2:$C$3203, B659) &gt; 0, "Sudah", "Belum")</f>
        <v>Sudah</v>
      </c>
    </row>
    <row r="660" spans="1:6" hidden="1" x14ac:dyDescent="0.35">
      <c r="A660">
        <v>659</v>
      </c>
      <c r="B660" s="4" t="s">
        <v>2016</v>
      </c>
      <c r="C660" s="3">
        <v>2011</v>
      </c>
      <c r="D660" s="4" t="s">
        <v>4647</v>
      </c>
      <c r="E660" s="35" t="s">
        <v>4648</v>
      </c>
      <c r="F660" s="4" t="str">
        <f>IF(COUNTIFS(Sheet1!$D$2:$D$3203, C660, Sheet1!$C$2:$C$3203, B660) &gt; 0, "Sudah", "Belum")</f>
        <v>Sudah</v>
      </c>
    </row>
    <row r="661" spans="1:6" hidden="1" x14ac:dyDescent="0.35">
      <c r="A661">
        <v>660</v>
      </c>
      <c r="B661" s="4" t="s">
        <v>672</v>
      </c>
      <c r="C661" s="3">
        <v>1987</v>
      </c>
      <c r="D661" s="4" t="s">
        <v>4649</v>
      </c>
      <c r="E661" s="35" t="s">
        <v>4650</v>
      </c>
      <c r="F661" s="4" t="str">
        <f>IF(COUNTIFS(Sheet1!$D$2:$D$3203, C661, Sheet1!$C$2:$C$3203, B661) &gt; 0, "Sudah", "Belum")</f>
        <v>Sudah</v>
      </c>
    </row>
    <row r="662" spans="1:6" x14ac:dyDescent="0.35">
      <c r="A662">
        <v>661</v>
      </c>
      <c r="B662" s="4" t="s">
        <v>4651</v>
      </c>
      <c r="C662" s="3">
        <v>1995</v>
      </c>
      <c r="D662" s="4" t="s">
        <v>4652</v>
      </c>
      <c r="E662" s="35" t="s">
        <v>4653</v>
      </c>
      <c r="F662" s="4" t="str">
        <f>IF(COUNTIFS(Sheet1!$D$2:$D$3203, C662, Sheet1!$C$2:$C$3203, B662) &gt; 0, "Sudah", "Belum")</f>
        <v>Belum</v>
      </c>
    </row>
    <row r="663" spans="1:6" hidden="1" x14ac:dyDescent="0.35">
      <c r="A663">
        <v>662</v>
      </c>
      <c r="B663" s="4" t="s">
        <v>773</v>
      </c>
      <c r="C663" s="3">
        <v>1990</v>
      </c>
      <c r="D663" s="4" t="s">
        <v>4654</v>
      </c>
      <c r="E663" s="35" t="s">
        <v>4655</v>
      </c>
      <c r="F663" s="4" t="str">
        <f>IF(COUNTIFS(Sheet1!$D$2:$D$3203, C663, Sheet1!$C$2:$C$3203, B663) &gt; 0, "Sudah", "Belum")</f>
        <v>Sudah</v>
      </c>
    </row>
    <row r="664" spans="1:6" hidden="1" x14ac:dyDescent="0.35">
      <c r="A664">
        <v>663</v>
      </c>
      <c r="B664" s="4" t="s">
        <v>1979</v>
      </c>
      <c r="C664" s="3">
        <v>2010</v>
      </c>
      <c r="D664" s="4" t="s">
        <v>4656</v>
      </c>
      <c r="E664" s="35" t="s">
        <v>4657</v>
      </c>
      <c r="F664" s="4" t="str">
        <f>IF(COUNTIFS(Sheet1!$D$2:$D$3203, C664, Sheet1!$C$2:$C$3203, B664) &gt; 0, "Sudah", "Belum")</f>
        <v>Sudah</v>
      </c>
    </row>
    <row r="665" spans="1:6" hidden="1" x14ac:dyDescent="0.35">
      <c r="A665">
        <v>664</v>
      </c>
      <c r="B665" s="4" t="s">
        <v>534</v>
      </c>
      <c r="C665" s="3">
        <v>1984</v>
      </c>
      <c r="D665" s="4" t="s">
        <v>4658</v>
      </c>
      <c r="E665" s="35" t="s">
        <v>4659</v>
      </c>
      <c r="F665" s="4" t="str">
        <f>IF(COUNTIFS(Sheet1!$D$2:$D$3203, C665, Sheet1!$C$2:$C$3203, B665) &gt; 0, "Sudah", "Belum")</f>
        <v>Sudah</v>
      </c>
    </row>
    <row r="666" spans="1:6" hidden="1" x14ac:dyDescent="0.35">
      <c r="A666">
        <v>665</v>
      </c>
      <c r="B666" s="4" t="s">
        <v>962</v>
      </c>
      <c r="C666" s="3">
        <v>1994</v>
      </c>
      <c r="D666" s="4" t="s">
        <v>4660</v>
      </c>
      <c r="E666" s="35" t="s">
        <v>4661</v>
      </c>
      <c r="F666" s="4" t="str">
        <f>IF(COUNTIFS(Sheet1!$D$2:$D$3203, C666, Sheet1!$C$2:$C$3203, B666) &gt; 0, "Sudah", "Belum")</f>
        <v>Sudah</v>
      </c>
    </row>
    <row r="667" spans="1:6" x14ac:dyDescent="0.35">
      <c r="A667">
        <v>666</v>
      </c>
      <c r="B667" s="4" t="s">
        <v>4664</v>
      </c>
      <c r="C667" s="3">
        <v>1987</v>
      </c>
      <c r="D667" s="4" t="s">
        <v>4665</v>
      </c>
      <c r="E667" s="35" t="s">
        <v>4666</v>
      </c>
      <c r="F667" s="4" t="str">
        <f>IF(COUNTIFS(Sheet1!$D$2:$D$3203, C667, Sheet1!$C$2:$C$3203, B667) &gt; 0, "Sudah", "Belum")</f>
        <v>Belum</v>
      </c>
    </row>
    <row r="668" spans="1:6" hidden="1" x14ac:dyDescent="0.35">
      <c r="A668">
        <v>667</v>
      </c>
      <c r="B668" s="4" t="s">
        <v>1498</v>
      </c>
      <c r="C668" s="3">
        <v>2000</v>
      </c>
      <c r="D668" s="4" t="s">
        <v>4667</v>
      </c>
      <c r="E668" s="35" t="s">
        <v>4668</v>
      </c>
      <c r="F668" s="4" t="str">
        <f>IF(COUNTIFS(Sheet1!$D$2:$D$3203, C668, Sheet1!$C$2:$C$3203, B668) &gt; 0, "Sudah", "Belum")</f>
        <v>Sudah</v>
      </c>
    </row>
    <row r="669" spans="1:6" hidden="1" x14ac:dyDescent="0.35">
      <c r="A669">
        <v>668</v>
      </c>
      <c r="B669" s="4" t="s">
        <v>2656</v>
      </c>
      <c r="C669" s="3">
        <v>2019</v>
      </c>
      <c r="D669" s="4" t="s">
        <v>4662</v>
      </c>
      <c r="E669" s="35" t="s">
        <v>4663</v>
      </c>
      <c r="F669" s="4" t="str">
        <f>IF(COUNTIFS(Sheet1!$D$2:$D$3203, C669, Sheet1!$C$2:$C$3203, B669) &gt; 0, "Sudah", "Belum")</f>
        <v>Sudah</v>
      </c>
    </row>
    <row r="670" spans="1:6" hidden="1" x14ac:dyDescent="0.35">
      <c r="A670">
        <v>669</v>
      </c>
      <c r="B670" s="4" t="s">
        <v>1037</v>
      </c>
      <c r="C670" s="3">
        <v>1991</v>
      </c>
      <c r="D670" s="4" t="s">
        <v>4669</v>
      </c>
      <c r="E670" s="35" t="s">
        <v>4670</v>
      </c>
      <c r="F670" s="4" t="str">
        <f>IF(COUNTIFS(Sheet1!$D$2:$D$3203, C670, Sheet1!$C$2:$C$3203, B670) &gt; 0, "Sudah", "Belum")</f>
        <v>Sudah</v>
      </c>
    </row>
    <row r="671" spans="1:6" hidden="1" x14ac:dyDescent="0.35">
      <c r="A671">
        <v>670</v>
      </c>
      <c r="B671" s="4" t="s">
        <v>1176</v>
      </c>
      <c r="C671" s="3">
        <v>1997</v>
      </c>
      <c r="D671" s="4" t="s">
        <v>4671</v>
      </c>
      <c r="E671" s="35" t="s">
        <v>4672</v>
      </c>
      <c r="F671" s="4" t="str">
        <f>IF(COUNTIFS(Sheet1!$D$2:$D$3203, C671, Sheet1!$C$2:$C$3203, B671) &gt; 0, "Sudah", "Belum")</f>
        <v>Sudah</v>
      </c>
    </row>
    <row r="672" spans="1:6" hidden="1" x14ac:dyDescent="0.35">
      <c r="A672">
        <v>671</v>
      </c>
      <c r="B672" s="4" t="s">
        <v>1392</v>
      </c>
      <c r="C672" s="3">
        <v>1998</v>
      </c>
      <c r="D672" s="4" t="s">
        <v>4679</v>
      </c>
      <c r="E672" s="35" t="s">
        <v>4680</v>
      </c>
      <c r="F672" s="4" t="str">
        <f>IF(COUNTIFS(Sheet1!$D$2:$D$3203, C672, Sheet1!$C$2:$C$3203, B672) &gt; 0, "Sudah", "Belum")</f>
        <v>Sudah</v>
      </c>
    </row>
    <row r="673" spans="1:6" hidden="1" x14ac:dyDescent="0.35">
      <c r="A673">
        <v>672</v>
      </c>
      <c r="B673" s="4" t="s">
        <v>4681</v>
      </c>
      <c r="C673" s="3">
        <v>1997</v>
      </c>
      <c r="D673" s="4" t="s">
        <v>4682</v>
      </c>
      <c r="E673" s="35" t="s">
        <v>4683</v>
      </c>
      <c r="F673" s="4" t="str">
        <f>IF(COUNTIFS(Sheet1!$D$2:$D$3203, C673, Sheet1!$C$2:$C$3203, B673) &gt; 0, "Sudah", "Belum")</f>
        <v>Sudah</v>
      </c>
    </row>
    <row r="674" spans="1:6" x14ac:dyDescent="0.35">
      <c r="A674">
        <v>673</v>
      </c>
      <c r="B674" s="4" t="s">
        <v>4684</v>
      </c>
      <c r="C674" s="3">
        <v>1999</v>
      </c>
      <c r="D674" s="4" t="s">
        <v>4685</v>
      </c>
      <c r="E674" s="35" t="s">
        <v>4686</v>
      </c>
      <c r="F674" s="4" t="str">
        <f>IF(COUNTIFS(Sheet1!$D$2:$D$3203, C674, Sheet1!$C$2:$C$3203, B674) &gt; 0, "Sudah", "Belum")</f>
        <v>Belum</v>
      </c>
    </row>
    <row r="675" spans="1:6" hidden="1" x14ac:dyDescent="0.35">
      <c r="A675">
        <v>674</v>
      </c>
      <c r="B675" s="4" t="s">
        <v>5841</v>
      </c>
      <c r="C675" s="3">
        <v>2007</v>
      </c>
      <c r="D675" s="4" t="s">
        <v>4687</v>
      </c>
      <c r="E675" s="35" t="s">
        <v>4688</v>
      </c>
      <c r="F675" s="4" t="str">
        <f>IF(COUNTIFS(Sheet1!$D$2:$D$3203, C675, Sheet1!$C$2:$C$3203, B675) &gt; 0, "Sudah", "Belum")</f>
        <v>Sudah</v>
      </c>
    </row>
    <row r="676" spans="1:6" hidden="1" x14ac:dyDescent="0.35">
      <c r="A676">
        <v>675</v>
      </c>
      <c r="B676" s="4" t="s">
        <v>3104</v>
      </c>
      <c r="C676" s="3">
        <v>2015</v>
      </c>
      <c r="D676" s="4" t="s">
        <v>4689</v>
      </c>
      <c r="E676" s="35" t="s">
        <v>4690</v>
      </c>
      <c r="F676" s="4" t="str">
        <f>IF(COUNTIFS(Sheet1!$D$2:$D$3203, C676, Sheet1!$C$2:$C$3203, B676) &gt; 0, "Sudah", "Belum")</f>
        <v>Sudah</v>
      </c>
    </row>
    <row r="677" spans="1:6" hidden="1" x14ac:dyDescent="0.35">
      <c r="A677">
        <v>676</v>
      </c>
      <c r="B677" s="4" t="s">
        <v>1245</v>
      </c>
      <c r="C677" s="3">
        <v>1995</v>
      </c>
      <c r="D677" s="4" t="s">
        <v>4691</v>
      </c>
      <c r="E677" s="35" t="s">
        <v>4692</v>
      </c>
      <c r="F677" s="4" t="str">
        <f>IF(COUNTIFS(Sheet1!$D$2:$D$3203, C677, Sheet1!$C$2:$C$3203, B677) &gt; 0, "Sudah", "Belum")</f>
        <v>Sudah</v>
      </c>
    </row>
    <row r="678" spans="1:6" hidden="1" x14ac:dyDescent="0.35">
      <c r="A678">
        <v>677</v>
      </c>
      <c r="B678" s="4" t="s">
        <v>1360</v>
      </c>
      <c r="C678" s="3">
        <v>1999</v>
      </c>
      <c r="D678" s="4" t="s">
        <v>4693</v>
      </c>
      <c r="E678" s="35" t="s">
        <v>4694</v>
      </c>
      <c r="F678" s="4" t="str">
        <f>IF(COUNTIFS(Sheet1!$D$2:$D$3203, C678, Sheet1!$C$2:$C$3203, B678) &gt; 0, "Sudah", "Belum")</f>
        <v>Sudah</v>
      </c>
    </row>
    <row r="679" spans="1:6" hidden="1" x14ac:dyDescent="0.35">
      <c r="A679">
        <v>678</v>
      </c>
      <c r="B679" s="4" t="s">
        <v>1912</v>
      </c>
      <c r="C679" s="3">
        <v>2008</v>
      </c>
      <c r="D679" s="4" t="s">
        <v>4695</v>
      </c>
      <c r="E679" s="35" t="s">
        <v>4696</v>
      </c>
      <c r="F679" s="4" t="str">
        <f>IF(COUNTIFS(Sheet1!$D$2:$D$3203, C679, Sheet1!$C$2:$C$3203, B679) &gt; 0, "Sudah", "Belum")</f>
        <v>Sudah</v>
      </c>
    </row>
    <row r="680" spans="1:6" hidden="1" x14ac:dyDescent="0.35">
      <c r="A680">
        <v>679</v>
      </c>
      <c r="B680" s="4" t="s">
        <v>1375</v>
      </c>
      <c r="C680" s="3">
        <v>1998</v>
      </c>
      <c r="D680" s="4" t="s">
        <v>4697</v>
      </c>
      <c r="E680" s="35" t="s">
        <v>4698</v>
      </c>
      <c r="F680" s="4" t="str">
        <f>IF(COUNTIFS(Sheet1!$D$2:$D$3203, C680, Sheet1!$C$2:$C$3203, B680) &gt; 0, "Sudah", "Belum")</f>
        <v>Sudah</v>
      </c>
    </row>
    <row r="681" spans="1:6" hidden="1" x14ac:dyDescent="0.35">
      <c r="A681">
        <v>680</v>
      </c>
      <c r="B681" s="4" t="s">
        <v>1268</v>
      </c>
      <c r="C681" s="3">
        <v>1998</v>
      </c>
      <c r="D681" s="4" t="s">
        <v>4700</v>
      </c>
      <c r="E681" s="35" t="s">
        <v>4699</v>
      </c>
      <c r="F681" s="4" t="str">
        <f>IF(COUNTIFS(Sheet1!$D$2:$D$3203, C681, Sheet1!$C$2:$C$3203, B681) &gt; 0, "Sudah", "Belum")</f>
        <v>Sudah</v>
      </c>
    </row>
    <row r="682" spans="1:6" x14ac:dyDescent="0.35">
      <c r="A682">
        <v>681</v>
      </c>
      <c r="B682" s="4" t="s">
        <v>4701</v>
      </c>
      <c r="C682" s="3">
        <v>2003</v>
      </c>
      <c r="D682" s="4" t="s">
        <v>4702</v>
      </c>
      <c r="E682" s="35" t="s">
        <v>4703</v>
      </c>
      <c r="F682" s="4" t="str">
        <f>IF(COUNTIFS(Sheet1!$D$2:$D$3203, C682, Sheet1!$C$2:$C$3203, B682) &gt; 0, "Sudah", "Belum")</f>
        <v>Belum</v>
      </c>
    </row>
    <row r="683" spans="1:6" hidden="1" x14ac:dyDescent="0.35">
      <c r="A683">
        <v>682</v>
      </c>
      <c r="B683" s="4" t="s">
        <v>4706</v>
      </c>
      <c r="C683" s="3">
        <v>1980</v>
      </c>
      <c r="D683" s="4" t="s">
        <v>4707</v>
      </c>
      <c r="E683" s="35" t="s">
        <v>4708</v>
      </c>
      <c r="F683" s="4" t="str">
        <f>IF(COUNTIFS(Sheet1!$D$2:$D$3203, C683, Sheet1!$C$2:$C$3203, B683) &gt; 0, "Sudah", "Belum")</f>
        <v>Sudah</v>
      </c>
    </row>
    <row r="684" spans="1:6" hidden="1" x14ac:dyDescent="0.35">
      <c r="A684">
        <v>683</v>
      </c>
      <c r="B684" s="4" t="s">
        <v>2428</v>
      </c>
      <c r="C684" s="3">
        <v>2015</v>
      </c>
      <c r="D684" s="4" t="s">
        <v>4709</v>
      </c>
      <c r="E684" s="35" t="s">
        <v>4710</v>
      </c>
      <c r="F684" s="4" t="str">
        <f>IF(COUNTIFS(Sheet1!$D$2:$D$3203, C684, Sheet1!$C$2:$C$3203, B684) &gt; 0, "Sudah", "Belum")</f>
        <v>Sudah</v>
      </c>
    </row>
    <row r="685" spans="1:6" hidden="1" x14ac:dyDescent="0.35">
      <c r="A685">
        <v>684</v>
      </c>
      <c r="B685" s="4" t="s">
        <v>2343</v>
      </c>
      <c r="C685" s="3">
        <v>2015</v>
      </c>
      <c r="D685" s="4" t="s">
        <v>4711</v>
      </c>
      <c r="E685" s="35" t="s">
        <v>4712</v>
      </c>
      <c r="F685" s="4" t="str">
        <f>IF(COUNTIFS(Sheet1!$D$2:$D$3203, C685, Sheet1!$C$2:$C$3203, B685) &gt; 0, "Sudah", "Belum")</f>
        <v>Sudah</v>
      </c>
    </row>
    <row r="686" spans="1:6" hidden="1" x14ac:dyDescent="0.35">
      <c r="A686">
        <v>685</v>
      </c>
      <c r="B686" s="4" t="s">
        <v>1613</v>
      </c>
      <c r="C686" s="3">
        <v>2001</v>
      </c>
      <c r="D686" s="4" t="s">
        <v>4704</v>
      </c>
      <c r="E686" s="35" t="s">
        <v>4705</v>
      </c>
      <c r="F686" s="4" t="str">
        <f>IF(COUNTIFS(Sheet1!$D$2:$D$3203, C686, Sheet1!$C$2:$C$3203, B686) &gt; 0, "Sudah", "Belum")</f>
        <v>Sudah</v>
      </c>
    </row>
    <row r="687" spans="1:6" hidden="1" x14ac:dyDescent="0.35">
      <c r="A687">
        <v>686</v>
      </c>
      <c r="B687" s="4" t="s">
        <v>1165</v>
      </c>
      <c r="C687" s="3">
        <v>1997</v>
      </c>
      <c r="D687" s="4" t="s">
        <v>4713</v>
      </c>
      <c r="E687" s="35" t="s">
        <v>4714</v>
      </c>
      <c r="F687" s="4" t="str">
        <f>IF(COUNTIFS(Sheet1!$D$2:$D$3203, C687, Sheet1!$C$2:$C$3203, B687) &gt; 0, "Sudah", "Belum")</f>
        <v>Sudah</v>
      </c>
    </row>
    <row r="688" spans="1:6" hidden="1" x14ac:dyDescent="0.35">
      <c r="A688">
        <v>687</v>
      </c>
      <c r="B688" s="4" t="s">
        <v>1243</v>
      </c>
      <c r="C688" s="3">
        <v>1998</v>
      </c>
      <c r="D688" s="4" t="s">
        <v>4715</v>
      </c>
      <c r="E688" s="35" t="s">
        <v>4716</v>
      </c>
      <c r="F688" s="4" t="str">
        <f>IF(COUNTIFS(Sheet1!$D$2:$D$3203, C688, Sheet1!$C$2:$C$3203, B688) &gt; 0, "Sudah", "Belum")</f>
        <v>Sudah</v>
      </c>
    </row>
    <row r="689" spans="1:6" hidden="1" x14ac:dyDescent="0.35">
      <c r="A689">
        <v>688</v>
      </c>
      <c r="B689" s="4" t="s">
        <v>4717</v>
      </c>
      <c r="C689" s="3">
        <v>2014</v>
      </c>
      <c r="D689" s="4" t="s">
        <v>4718</v>
      </c>
      <c r="E689" s="35" t="s">
        <v>4719</v>
      </c>
      <c r="F689" s="4" t="str">
        <f>IF(COUNTIFS(Sheet1!$D$2:$D$3203, C689, Sheet1!$C$2:$C$3203, B689) &gt; 0, "Sudah", "Belum")</f>
        <v>Sudah</v>
      </c>
    </row>
    <row r="690" spans="1:6" hidden="1" x14ac:dyDescent="0.35">
      <c r="A690">
        <v>689</v>
      </c>
      <c r="B690" s="4" t="s">
        <v>1374</v>
      </c>
      <c r="C690" s="3">
        <v>1998</v>
      </c>
      <c r="D690" s="4" t="s">
        <v>4720</v>
      </c>
      <c r="E690" s="35" t="s">
        <v>4721</v>
      </c>
      <c r="F690" s="4" t="str">
        <f>IF(COUNTIFS(Sheet1!$D$2:$D$3203, C690, Sheet1!$C$2:$C$3203, B690) &gt; 0, "Sudah", "Belum")</f>
        <v>Sudah</v>
      </c>
    </row>
    <row r="691" spans="1:6" hidden="1" x14ac:dyDescent="0.35">
      <c r="A691">
        <v>690</v>
      </c>
      <c r="B691" s="4" t="s">
        <v>4722</v>
      </c>
      <c r="C691" s="3">
        <v>1986</v>
      </c>
      <c r="D691" s="4" t="s">
        <v>4723</v>
      </c>
      <c r="E691" s="35" t="s">
        <v>4724</v>
      </c>
      <c r="F691" s="4" t="str">
        <f>IF(COUNTIFS(Sheet1!$D$2:$D$3203, C691, Sheet1!$C$2:$C$3203, B691) &gt; 0, "Sudah", "Belum")</f>
        <v>Sudah</v>
      </c>
    </row>
    <row r="692" spans="1:6" hidden="1" x14ac:dyDescent="0.35">
      <c r="A692">
        <v>691</v>
      </c>
      <c r="B692" s="4" t="s">
        <v>2954</v>
      </c>
      <c r="C692" s="3">
        <v>2006</v>
      </c>
      <c r="D692" s="4" t="s">
        <v>4725</v>
      </c>
      <c r="E692" s="35" t="s">
        <v>4726</v>
      </c>
      <c r="F692" s="4" t="str">
        <f>IF(COUNTIFS(Sheet1!$D$2:$D$3203, C692, Sheet1!$C$2:$C$3203, B692) &gt; 0, "Sudah", "Belum")</f>
        <v>Sudah</v>
      </c>
    </row>
    <row r="693" spans="1:6" hidden="1" x14ac:dyDescent="0.35">
      <c r="A693">
        <v>692</v>
      </c>
      <c r="B693" s="4" t="s">
        <v>4727</v>
      </c>
      <c r="C693" s="3">
        <v>2007</v>
      </c>
      <c r="D693" s="4" t="s">
        <v>4728</v>
      </c>
      <c r="E693" s="35" t="s">
        <v>4729</v>
      </c>
      <c r="F693" s="4" t="str">
        <f>IF(COUNTIFS(Sheet1!$D$2:$D$3203, C693, Sheet1!$C$2:$C$3203, B693) &gt; 0, "Sudah", "Belum")</f>
        <v>Sudah</v>
      </c>
    </row>
    <row r="694" spans="1:6" hidden="1" x14ac:dyDescent="0.35">
      <c r="A694">
        <v>693</v>
      </c>
      <c r="B694" s="4" t="s">
        <v>2427</v>
      </c>
      <c r="C694" s="3">
        <v>2017</v>
      </c>
      <c r="D694" s="4" t="s">
        <v>4730</v>
      </c>
      <c r="E694" s="35" t="s">
        <v>4731</v>
      </c>
      <c r="F694" s="4" t="str">
        <f>IF(COUNTIFS(Sheet1!$D$2:$D$3203, C694, Sheet1!$C$2:$C$3203, B694) &gt; 0, "Sudah", "Belum")</f>
        <v>Sudah</v>
      </c>
    </row>
    <row r="695" spans="1:6" hidden="1" x14ac:dyDescent="0.35">
      <c r="A695">
        <v>694</v>
      </c>
      <c r="B695" s="4" t="s">
        <v>2379</v>
      </c>
      <c r="C695" s="3">
        <v>2011</v>
      </c>
      <c r="D695" s="4" t="s">
        <v>4732</v>
      </c>
      <c r="E695" s="35" t="s">
        <v>4733</v>
      </c>
      <c r="F695" s="4" t="str">
        <f>IF(COUNTIFS(Sheet1!$D$2:$D$3203, C695, Sheet1!$C$2:$C$3203, B695) &gt; 0, "Sudah", "Belum")</f>
        <v>Sudah</v>
      </c>
    </row>
    <row r="696" spans="1:6" hidden="1" x14ac:dyDescent="0.35">
      <c r="A696">
        <v>695</v>
      </c>
      <c r="B696" s="4" t="s">
        <v>4734</v>
      </c>
      <c r="C696" s="3">
        <v>2007</v>
      </c>
      <c r="D696" s="4" t="s">
        <v>4735</v>
      </c>
      <c r="E696" s="35" t="s">
        <v>4736</v>
      </c>
      <c r="F696" s="4" t="str">
        <f>IF(COUNTIFS(Sheet1!$D$2:$D$3203, C696, Sheet1!$C$2:$C$3203, B696) &gt; 0, "Sudah", "Belum")</f>
        <v>Sudah</v>
      </c>
    </row>
    <row r="697" spans="1:6" hidden="1" x14ac:dyDescent="0.35">
      <c r="A697">
        <v>696</v>
      </c>
      <c r="B697" s="4" t="s">
        <v>658</v>
      </c>
      <c r="C697" s="3">
        <v>1988</v>
      </c>
      <c r="D697" s="4" t="s">
        <v>4737</v>
      </c>
      <c r="E697" s="35" t="s">
        <v>4738</v>
      </c>
      <c r="F697" s="4" t="str">
        <f>IF(COUNTIFS(Sheet1!$D$2:$D$3203, C697, Sheet1!$C$2:$C$3203, B697) &gt; 0, "Sudah", "Belum")</f>
        <v>Sudah</v>
      </c>
    </row>
    <row r="698" spans="1:6" hidden="1" x14ac:dyDescent="0.35">
      <c r="A698">
        <v>697</v>
      </c>
      <c r="B698" s="4" t="s">
        <v>2312</v>
      </c>
      <c r="C698" s="3">
        <v>2014</v>
      </c>
      <c r="D698" s="4" t="s">
        <v>4741</v>
      </c>
      <c r="E698" s="35" t="s">
        <v>4742</v>
      </c>
      <c r="F698" s="4" t="str">
        <f>IF(COUNTIFS(Sheet1!$D$2:$D$3203, C698, Sheet1!$C$2:$C$3203, B698) &gt; 0, "Sudah", "Belum")</f>
        <v>Sudah</v>
      </c>
    </row>
    <row r="699" spans="1:6" hidden="1" x14ac:dyDescent="0.35">
      <c r="A699">
        <v>698</v>
      </c>
      <c r="B699" s="4" t="s">
        <v>2970</v>
      </c>
      <c r="C699" s="3">
        <v>2007</v>
      </c>
      <c r="D699" s="4" t="s">
        <v>4743</v>
      </c>
      <c r="E699" s="35" t="s">
        <v>4744</v>
      </c>
      <c r="F699" s="4" t="str">
        <f>IF(COUNTIFS(Sheet1!$D$2:$D$3203, C699, Sheet1!$C$2:$C$3203, B699) &gt; 0, "Sudah", "Belum")</f>
        <v>Sudah</v>
      </c>
    </row>
    <row r="700" spans="1:6" hidden="1" x14ac:dyDescent="0.35">
      <c r="A700">
        <v>699</v>
      </c>
      <c r="B700" s="4" t="s">
        <v>1022</v>
      </c>
      <c r="C700" s="3">
        <v>1995</v>
      </c>
      <c r="D700" s="4" t="s">
        <v>4739</v>
      </c>
      <c r="E700" s="35" t="s">
        <v>4740</v>
      </c>
      <c r="F700" s="4" t="str">
        <f>IF(COUNTIFS(Sheet1!$D$2:$D$3203, C700, Sheet1!$C$2:$C$3203, B700) &gt; 0, "Sudah", "Belum")</f>
        <v>Sudah</v>
      </c>
    </row>
    <row r="701" spans="1:6" hidden="1" x14ac:dyDescent="0.35">
      <c r="A701">
        <v>700</v>
      </c>
      <c r="B701" s="4" t="s">
        <v>2887</v>
      </c>
      <c r="C701" s="3">
        <v>2006</v>
      </c>
      <c r="D701" s="4" t="s">
        <v>4745</v>
      </c>
      <c r="E701" s="35" t="s">
        <v>4746</v>
      </c>
      <c r="F701" s="4" t="str">
        <f>IF(COUNTIFS(Sheet1!$D$2:$D$3203, C701, Sheet1!$C$2:$C$3203, B701) &gt; 0, "Sudah", "Belum")</f>
        <v>Sudah</v>
      </c>
    </row>
    <row r="702" spans="1:6" hidden="1" x14ac:dyDescent="0.35">
      <c r="A702">
        <v>701</v>
      </c>
      <c r="B702" s="4" t="s">
        <v>775</v>
      </c>
      <c r="C702" s="3">
        <v>1990</v>
      </c>
      <c r="D702" s="4" t="s">
        <v>4747</v>
      </c>
      <c r="E702" s="35" t="s">
        <v>4748</v>
      </c>
      <c r="F702" s="4" t="str">
        <f>IF(COUNTIFS(Sheet1!$D$2:$D$3203, C702, Sheet1!$C$2:$C$3203, B702) &gt; 0, "Sudah", "Belum")</f>
        <v>Sudah</v>
      </c>
    </row>
    <row r="703" spans="1:6" hidden="1" x14ac:dyDescent="0.35">
      <c r="A703">
        <v>702</v>
      </c>
      <c r="B703" s="4" t="s">
        <v>1087</v>
      </c>
      <c r="C703" s="3">
        <v>1993</v>
      </c>
      <c r="D703" s="4" t="s">
        <v>4749</v>
      </c>
      <c r="E703" s="35" t="s">
        <v>4750</v>
      </c>
      <c r="F703" s="4" t="str">
        <f>IF(COUNTIFS(Sheet1!$D$2:$D$3203, C703, Sheet1!$C$2:$C$3203, B703) &gt; 0, "Sudah", "Belum")</f>
        <v>Sudah</v>
      </c>
    </row>
    <row r="704" spans="1:6" hidden="1" x14ac:dyDescent="0.35">
      <c r="A704">
        <v>703</v>
      </c>
      <c r="B704" s="4" t="s">
        <v>2195</v>
      </c>
      <c r="C704" s="3">
        <v>2013</v>
      </c>
      <c r="D704" s="4" t="s">
        <v>4751</v>
      </c>
      <c r="E704" s="35" t="s">
        <v>4752</v>
      </c>
      <c r="F704" s="4" t="str">
        <f>IF(COUNTIFS(Sheet1!$D$2:$D$3203, C704, Sheet1!$C$2:$C$3203, B704) &gt; 0, "Sudah", "Belum")</f>
        <v>Sudah</v>
      </c>
    </row>
    <row r="705" spans="1:6" hidden="1" x14ac:dyDescent="0.35">
      <c r="A705">
        <v>704</v>
      </c>
      <c r="B705" s="4" t="s">
        <v>2675</v>
      </c>
      <c r="C705" s="3">
        <v>2019</v>
      </c>
      <c r="D705" s="4" t="s">
        <v>4753</v>
      </c>
      <c r="E705" s="35" t="s">
        <v>4754</v>
      </c>
      <c r="F705" s="4" t="str">
        <f>IF(COUNTIFS(Sheet1!$D$2:$D$3203, C705, Sheet1!$C$2:$C$3203, B705) &gt; 0, "Sudah", "Belum")</f>
        <v>Sudah</v>
      </c>
    </row>
    <row r="706" spans="1:6" hidden="1" x14ac:dyDescent="0.35">
      <c r="A706">
        <v>705</v>
      </c>
      <c r="B706" s="4" t="s">
        <v>2313</v>
      </c>
      <c r="C706" s="3">
        <v>2014</v>
      </c>
      <c r="D706" s="4" t="s">
        <v>4755</v>
      </c>
      <c r="E706" s="35" t="s">
        <v>4756</v>
      </c>
      <c r="F706" s="4" t="str">
        <f>IF(COUNTIFS(Sheet1!$D$2:$D$3203, C706, Sheet1!$C$2:$C$3203, B706) &gt; 0, "Sudah", "Belum")</f>
        <v>Sudah</v>
      </c>
    </row>
    <row r="707" spans="1:6" hidden="1" x14ac:dyDescent="0.35">
      <c r="A707">
        <v>706</v>
      </c>
      <c r="B707" s="4" t="s">
        <v>1517</v>
      </c>
      <c r="C707" s="3">
        <v>2000</v>
      </c>
      <c r="D707" s="4" t="s">
        <v>4757</v>
      </c>
      <c r="E707" s="35" t="s">
        <v>4758</v>
      </c>
      <c r="F707" s="4" t="str">
        <f>IF(COUNTIFS(Sheet1!$D$2:$D$3203, C707, Sheet1!$C$2:$C$3203, B707) &gt; 0, "Sudah", "Belum")</f>
        <v>Sudah</v>
      </c>
    </row>
    <row r="708" spans="1:6" hidden="1" x14ac:dyDescent="0.35">
      <c r="A708">
        <v>707</v>
      </c>
      <c r="B708" s="4" t="s">
        <v>4759</v>
      </c>
      <c r="C708" s="3">
        <v>1999</v>
      </c>
      <c r="D708" s="4" t="s">
        <v>4760</v>
      </c>
      <c r="E708" s="35" t="s">
        <v>4761</v>
      </c>
      <c r="F708" s="4" t="str">
        <f>IF(COUNTIFS(Sheet1!$D$2:$D$3203, C708, Sheet1!$C$2:$C$3203, B708) &gt; 0, "Sudah", "Belum")</f>
        <v>Sudah</v>
      </c>
    </row>
    <row r="709" spans="1:6" hidden="1" x14ac:dyDescent="0.35">
      <c r="A709">
        <v>708</v>
      </c>
      <c r="B709" s="4" t="s">
        <v>633</v>
      </c>
      <c r="C709" s="3">
        <v>1985</v>
      </c>
      <c r="D709" s="4" t="s">
        <v>4763</v>
      </c>
      <c r="E709" s="35" t="s">
        <v>4764</v>
      </c>
      <c r="F709" s="4" t="str">
        <f>IF(COUNTIFS(Sheet1!$D$2:$D$3203, C709, Sheet1!$C$2:$C$3203, B709) &gt; 0, "Sudah", "Belum")</f>
        <v>Sudah</v>
      </c>
    </row>
    <row r="710" spans="1:6" hidden="1" x14ac:dyDescent="0.35">
      <c r="A710">
        <v>709</v>
      </c>
      <c r="B710" s="4" t="s">
        <v>3099</v>
      </c>
      <c r="C710" s="3">
        <v>2015</v>
      </c>
      <c r="D710" s="4" t="s">
        <v>4765</v>
      </c>
      <c r="E710" s="35" t="s">
        <v>4766</v>
      </c>
      <c r="F710" s="4" t="str">
        <f>IF(COUNTIFS(Sheet1!$D$2:$D$3203, C710, Sheet1!$C$2:$C$3203, B710) &gt; 0, "Sudah", "Belum")</f>
        <v>Sudah</v>
      </c>
    </row>
    <row r="711" spans="1:6" hidden="1" x14ac:dyDescent="0.35">
      <c r="A711">
        <v>710</v>
      </c>
      <c r="B711" s="4" t="s">
        <v>938</v>
      </c>
      <c r="C711" s="3">
        <v>1990</v>
      </c>
      <c r="D711" s="4" t="s">
        <v>4769</v>
      </c>
      <c r="E711" s="35" t="s">
        <v>4770</v>
      </c>
      <c r="F711" s="4" t="str">
        <f>IF(COUNTIFS(Sheet1!$D$2:$D$3203, C711, Sheet1!$C$2:$C$3203, B711) &gt; 0, "Sudah", "Belum")</f>
        <v>Sudah</v>
      </c>
    </row>
    <row r="712" spans="1:6" x14ac:dyDescent="0.35">
      <c r="A712">
        <v>711</v>
      </c>
      <c r="B712" s="4" t="s">
        <v>4555</v>
      </c>
      <c r="C712" s="3">
        <v>1995</v>
      </c>
      <c r="D712" s="4" t="s">
        <v>4556</v>
      </c>
      <c r="E712" s="35" t="s">
        <v>4557</v>
      </c>
      <c r="F712" s="4" t="str">
        <f>IF(COUNTIFS(Sheet1!$D$2:$D$3203, C712, Sheet1!$C$2:$C$3203, B712) &gt; 0, "Sudah", "Belum")</f>
        <v>Belum</v>
      </c>
    </row>
    <row r="713" spans="1:6" hidden="1" x14ac:dyDescent="0.35">
      <c r="A713">
        <v>712</v>
      </c>
      <c r="B713" s="4" t="s">
        <v>4771</v>
      </c>
      <c r="C713" s="3">
        <v>1983</v>
      </c>
      <c r="D713" s="4" t="s">
        <v>4772</v>
      </c>
      <c r="E713" s="35" t="s">
        <v>4773</v>
      </c>
      <c r="F713" s="4" t="str">
        <f>IF(COUNTIFS(Sheet1!$D$2:$D$3203, C713, Sheet1!$C$2:$C$3203, B713) &gt; 0, "Sudah", "Belum")</f>
        <v>Sudah</v>
      </c>
    </row>
    <row r="714" spans="1:6" hidden="1" x14ac:dyDescent="0.35">
      <c r="A714">
        <v>713</v>
      </c>
      <c r="B714" s="4" t="s">
        <v>2950</v>
      </c>
      <c r="C714" s="3">
        <v>2006</v>
      </c>
      <c r="D714" s="4" t="s">
        <v>4774</v>
      </c>
      <c r="E714" s="35" t="s">
        <v>4775</v>
      </c>
      <c r="F714" s="4" t="str">
        <f>IF(COUNTIFS(Sheet1!$D$2:$D$3203, C714, Sheet1!$C$2:$C$3203, B714) &gt; 0, "Sudah", "Belum")</f>
        <v>Sudah</v>
      </c>
    </row>
    <row r="715" spans="1:6" hidden="1" x14ac:dyDescent="0.35">
      <c r="A715">
        <v>714</v>
      </c>
      <c r="B715" s="4" t="s">
        <v>1008</v>
      </c>
      <c r="C715" s="3">
        <v>1995</v>
      </c>
      <c r="D715" s="4" t="s">
        <v>4776</v>
      </c>
      <c r="E715" s="35" t="s">
        <v>4777</v>
      </c>
      <c r="F715" s="4" t="str">
        <f>IF(COUNTIFS(Sheet1!$D$2:$D$3203, C715, Sheet1!$C$2:$C$3203, B715) &gt; 0, "Sudah", "Belum")</f>
        <v>Sudah</v>
      </c>
    </row>
    <row r="716" spans="1:6" hidden="1" x14ac:dyDescent="0.35">
      <c r="A716">
        <v>715</v>
      </c>
      <c r="B716" s="4" t="s">
        <v>2329</v>
      </c>
      <c r="C716" s="3">
        <v>2015</v>
      </c>
      <c r="D716" s="4" t="s">
        <v>4778</v>
      </c>
      <c r="E716" s="35" t="s">
        <v>4779</v>
      </c>
      <c r="F716" s="4" t="str">
        <f>IF(COUNTIFS(Sheet1!$D$2:$D$3203, C716, Sheet1!$C$2:$C$3203, B716) &gt; 0, "Sudah", "Belum")</f>
        <v>Sudah</v>
      </c>
    </row>
    <row r="717" spans="1:6" hidden="1" x14ac:dyDescent="0.35">
      <c r="A717">
        <v>716</v>
      </c>
      <c r="B717" s="4" t="s">
        <v>984</v>
      </c>
      <c r="C717" s="3">
        <v>1995</v>
      </c>
      <c r="D717" s="4" t="s">
        <v>4767</v>
      </c>
      <c r="E717" s="35" t="s">
        <v>4768</v>
      </c>
      <c r="F717" s="4" t="str">
        <f>IF(COUNTIFS(Sheet1!$D$2:$D$3203, C717, Sheet1!$C$2:$C$3203, B717) &gt; 0, "Sudah", "Belum")</f>
        <v>Sudah</v>
      </c>
    </row>
    <row r="718" spans="1:6" hidden="1" x14ac:dyDescent="0.35">
      <c r="A718">
        <v>717</v>
      </c>
      <c r="B718" s="4" t="s">
        <v>1715</v>
      </c>
      <c r="C718" s="3">
        <v>2003</v>
      </c>
      <c r="D718" s="4" t="s">
        <v>4780</v>
      </c>
      <c r="E718" s="35" t="s">
        <v>4781</v>
      </c>
      <c r="F718" s="4" t="str">
        <f>IF(COUNTIFS(Sheet1!$D$2:$D$3203, C718, Sheet1!$C$2:$C$3203, B718) &gt; 0, "Sudah", "Belum")</f>
        <v>Sudah</v>
      </c>
    </row>
    <row r="719" spans="1:6" hidden="1" x14ac:dyDescent="0.35">
      <c r="A719">
        <v>718</v>
      </c>
      <c r="B719" s="4" t="s">
        <v>1257</v>
      </c>
      <c r="C719" s="3">
        <v>1997</v>
      </c>
      <c r="D719" s="4" t="s">
        <v>4782</v>
      </c>
      <c r="E719" s="35" t="s">
        <v>4783</v>
      </c>
      <c r="F719" s="4" t="str">
        <f>IF(COUNTIFS(Sheet1!$D$2:$D$3203, C719, Sheet1!$C$2:$C$3203, B719) &gt; 0, "Sudah", "Belum")</f>
        <v>Sudah</v>
      </c>
    </row>
    <row r="720" spans="1:6" x14ac:dyDescent="0.35">
      <c r="A720">
        <v>719</v>
      </c>
      <c r="B720" s="4" t="s">
        <v>4784</v>
      </c>
      <c r="C720" s="3">
        <v>1992</v>
      </c>
      <c r="D720" s="4" t="s">
        <v>4785</v>
      </c>
      <c r="E720" s="35" t="s">
        <v>4786</v>
      </c>
      <c r="F720" s="4" t="str">
        <f>IF(COUNTIFS(Sheet1!$D$2:$D$3203, C720, Sheet1!$C$2:$C$3203, B720) &gt; 0, "Sudah", "Belum")</f>
        <v>Belum</v>
      </c>
    </row>
    <row r="721" spans="1:6" hidden="1" x14ac:dyDescent="0.35">
      <c r="A721">
        <v>720</v>
      </c>
      <c r="B721" s="4" t="s">
        <v>575</v>
      </c>
      <c r="C721" s="3">
        <v>1985</v>
      </c>
      <c r="D721" s="4" t="s">
        <v>4675</v>
      </c>
      <c r="E721" s="35" t="s">
        <v>4676</v>
      </c>
      <c r="F721" s="4" t="str">
        <f>IF(COUNTIFS(Sheet1!$D$2:$D$3203, C721, Sheet1!$C$2:$C$3203, B721) &gt; 0, "Sudah", "Belum")</f>
        <v>Sudah</v>
      </c>
    </row>
    <row r="722" spans="1:6" hidden="1" x14ac:dyDescent="0.35">
      <c r="A722">
        <v>721</v>
      </c>
      <c r="B722" s="4" t="s">
        <v>2109</v>
      </c>
      <c r="C722" s="3">
        <v>2012</v>
      </c>
      <c r="D722" s="4" t="s">
        <v>4787</v>
      </c>
      <c r="E722" s="35" t="s">
        <v>4788</v>
      </c>
      <c r="F722" s="4" t="str">
        <f>IF(COUNTIFS(Sheet1!$D$2:$D$3203, C722, Sheet1!$C$2:$C$3203, B722) &gt; 0, "Sudah", "Belum")</f>
        <v>Sudah</v>
      </c>
    </row>
    <row r="723" spans="1:6" hidden="1" x14ac:dyDescent="0.35">
      <c r="A723">
        <v>722</v>
      </c>
      <c r="B723" s="4" t="s">
        <v>669</v>
      </c>
      <c r="C723" s="3">
        <v>1985</v>
      </c>
      <c r="D723" s="4" t="s">
        <v>4789</v>
      </c>
      <c r="E723" s="35" t="s">
        <v>4790</v>
      </c>
      <c r="F723" s="4" t="str">
        <f>IF(COUNTIFS(Sheet1!$D$2:$D$3203, C723, Sheet1!$C$2:$C$3203, B723) &gt; 0, "Sudah", "Belum")</f>
        <v>Sudah</v>
      </c>
    </row>
    <row r="724" spans="1:6" hidden="1" x14ac:dyDescent="0.35">
      <c r="A724">
        <v>723</v>
      </c>
      <c r="B724" s="4" t="s">
        <v>4791</v>
      </c>
      <c r="C724" s="3">
        <v>2012</v>
      </c>
      <c r="D724" s="4" t="s">
        <v>4792</v>
      </c>
      <c r="E724" s="35" t="s">
        <v>4793</v>
      </c>
      <c r="F724" s="4" t="str">
        <f>IF(COUNTIFS(Sheet1!$D$2:$D$3203, C724, Sheet1!$C$2:$C$3203, B724) &gt; 0, "Sudah", "Belum")</f>
        <v>Sudah</v>
      </c>
    </row>
    <row r="725" spans="1:6" hidden="1" x14ac:dyDescent="0.35">
      <c r="A725">
        <v>724</v>
      </c>
      <c r="B725" s="4" t="s">
        <v>487</v>
      </c>
      <c r="C725" s="3">
        <v>1984</v>
      </c>
      <c r="D725" s="4" t="s">
        <v>3217</v>
      </c>
      <c r="E725" s="35" t="s">
        <v>3218</v>
      </c>
      <c r="F725" s="4" t="str">
        <f>IF(COUNTIFS(Sheet1!$D$2:$D$3203, C725, Sheet1!$C$2:$C$3203, B725) &gt; 0, "Sudah", "Belum")</f>
        <v>Sudah</v>
      </c>
    </row>
    <row r="726" spans="1:6" hidden="1" x14ac:dyDescent="0.35">
      <c r="A726">
        <v>725</v>
      </c>
      <c r="B726" s="4" t="s">
        <v>1953</v>
      </c>
      <c r="C726" s="3">
        <v>2010</v>
      </c>
      <c r="D726" s="4" t="s">
        <v>4798</v>
      </c>
      <c r="E726" s="35" t="s">
        <v>4799</v>
      </c>
      <c r="F726" s="4" t="str">
        <f>IF(COUNTIFS(Sheet1!$D$2:$D$3203, C726, Sheet1!$C$2:$C$3203, B726) &gt; 0, "Sudah", "Belum")</f>
        <v>Sudah</v>
      </c>
    </row>
    <row r="727" spans="1:6" hidden="1" x14ac:dyDescent="0.35">
      <c r="A727">
        <v>726</v>
      </c>
      <c r="B727" s="4" t="s">
        <v>2194</v>
      </c>
      <c r="C727" s="3">
        <v>2013</v>
      </c>
      <c r="D727" s="4" t="s">
        <v>4801</v>
      </c>
      <c r="E727" s="35" t="s">
        <v>4800</v>
      </c>
      <c r="F727" s="4" t="str">
        <f>IF(COUNTIFS(Sheet1!$D$2:$D$3203, C727, Sheet1!$C$2:$C$3203, B727) &gt; 0, "Sudah", "Belum")</f>
        <v>Sudah</v>
      </c>
    </row>
    <row r="728" spans="1:6" hidden="1" x14ac:dyDescent="0.35">
      <c r="A728">
        <v>727</v>
      </c>
      <c r="B728" s="4" t="s">
        <v>2951</v>
      </c>
      <c r="C728" s="3">
        <v>2006</v>
      </c>
      <c r="D728" s="4" t="s">
        <v>4802</v>
      </c>
      <c r="E728" s="35" t="s">
        <v>4803</v>
      </c>
      <c r="F728" s="4" t="str">
        <f>IF(COUNTIFS(Sheet1!$D$2:$D$3203, C728, Sheet1!$C$2:$C$3203, B728) &gt; 0, "Sudah", "Belum")</f>
        <v>Sudah</v>
      </c>
    </row>
    <row r="729" spans="1:6" hidden="1" x14ac:dyDescent="0.35">
      <c r="A729">
        <v>728</v>
      </c>
      <c r="B729" s="4" t="s">
        <v>2336</v>
      </c>
      <c r="C729" s="3">
        <v>2015</v>
      </c>
      <c r="D729" s="4" t="s">
        <v>4804</v>
      </c>
      <c r="E729" s="35" t="s">
        <v>4805</v>
      </c>
      <c r="F729" s="4" t="str">
        <f>IF(COUNTIFS(Sheet1!$D$2:$D$3203, C729, Sheet1!$C$2:$C$3203, B729) &gt; 0, "Sudah", "Belum")</f>
        <v>Sudah</v>
      </c>
    </row>
    <row r="730" spans="1:6" hidden="1" x14ac:dyDescent="0.35">
      <c r="A730">
        <v>729</v>
      </c>
      <c r="B730" s="4" t="s">
        <v>3079</v>
      </c>
      <c r="C730" s="3">
        <v>2014</v>
      </c>
      <c r="D730" s="4" t="s">
        <v>4806</v>
      </c>
      <c r="E730" s="35" t="s">
        <v>4719</v>
      </c>
      <c r="F730" s="4" t="str">
        <f>IF(COUNTIFS(Sheet1!$D$2:$D$3203, C730, Sheet1!$C$2:$C$3203, B730) &gt; 0, "Sudah", "Belum")</f>
        <v>Sudah</v>
      </c>
    </row>
    <row r="731" spans="1:6" hidden="1" x14ac:dyDescent="0.35">
      <c r="A731">
        <v>730</v>
      </c>
      <c r="B731" s="4" t="s">
        <v>1304</v>
      </c>
      <c r="C731" s="3">
        <v>1998</v>
      </c>
      <c r="D731" s="4" t="s">
        <v>4807</v>
      </c>
      <c r="E731" s="35" t="s">
        <v>4808</v>
      </c>
      <c r="F731" s="4" t="str">
        <f>IF(COUNTIFS(Sheet1!$D$2:$D$3203, C731, Sheet1!$C$2:$C$3203, B731) &gt; 0, "Sudah", "Belum")</f>
        <v>Sudah</v>
      </c>
    </row>
    <row r="732" spans="1:6" hidden="1" x14ac:dyDescent="0.35">
      <c r="A732">
        <v>731</v>
      </c>
      <c r="B732" s="4" t="s">
        <v>1402</v>
      </c>
      <c r="C732" s="3">
        <v>1999</v>
      </c>
      <c r="D732" s="4" t="s">
        <v>4809</v>
      </c>
      <c r="E732" s="35" t="s">
        <v>4810</v>
      </c>
      <c r="F732" s="4" t="str">
        <f>IF(COUNTIFS(Sheet1!$D$2:$D$3203, C732, Sheet1!$C$2:$C$3203, B732) &gt; 0, "Sudah", "Belum")</f>
        <v>Sudah</v>
      </c>
    </row>
    <row r="733" spans="1:6" hidden="1" x14ac:dyDescent="0.35">
      <c r="A733">
        <v>732</v>
      </c>
      <c r="B733" s="4" t="s">
        <v>2889</v>
      </c>
      <c r="C733" s="3">
        <v>2006</v>
      </c>
      <c r="D733" s="4" t="s">
        <v>4811</v>
      </c>
      <c r="E733" s="35" t="s">
        <v>4812</v>
      </c>
      <c r="F733" s="4" t="str">
        <f>IF(COUNTIFS(Sheet1!$D$2:$D$3203, C733, Sheet1!$C$2:$C$3203, B733) &gt; 0, "Sudah", "Belum")</f>
        <v>Sudah</v>
      </c>
    </row>
    <row r="734" spans="1:6" hidden="1" x14ac:dyDescent="0.35">
      <c r="A734">
        <v>733</v>
      </c>
      <c r="B734" s="4" t="s">
        <v>1359</v>
      </c>
      <c r="C734" s="3">
        <v>1999</v>
      </c>
      <c r="D734" s="4" t="s">
        <v>4813</v>
      </c>
      <c r="E734" s="35" t="s">
        <v>4814</v>
      </c>
      <c r="F734" s="4" t="str">
        <f>IF(COUNTIFS(Sheet1!$D$2:$D$3203, C734, Sheet1!$C$2:$C$3203, B734) &gt; 0, "Sudah", "Belum")</f>
        <v>Sudah</v>
      </c>
    </row>
    <row r="735" spans="1:6" hidden="1" x14ac:dyDescent="0.35">
      <c r="A735">
        <v>734</v>
      </c>
      <c r="B735" s="4" t="s">
        <v>1529</v>
      </c>
      <c r="C735" s="3">
        <v>2000</v>
      </c>
      <c r="D735" s="4" t="s">
        <v>4816</v>
      </c>
      <c r="E735" s="35" t="s">
        <v>4817</v>
      </c>
      <c r="F735" s="4" t="str">
        <f>IF(COUNTIFS(Sheet1!$D$2:$D$3203, C735, Sheet1!$C$2:$C$3203, B735) &gt; 0, "Sudah", "Belum")</f>
        <v>Sudah</v>
      </c>
    </row>
    <row r="736" spans="1:6" hidden="1" x14ac:dyDescent="0.35">
      <c r="A736">
        <v>735</v>
      </c>
      <c r="B736" s="4" t="s">
        <v>2106</v>
      </c>
      <c r="C736" s="3">
        <v>2012</v>
      </c>
      <c r="D736" s="4" t="s">
        <v>4818</v>
      </c>
      <c r="E736" s="35" t="s">
        <v>4815</v>
      </c>
      <c r="F736" s="4" t="str">
        <f>IF(COUNTIFS(Sheet1!$D$2:$D$3203, C736, Sheet1!$C$2:$C$3203, B736) &gt; 0, "Sudah", "Belum")</f>
        <v>Sudah</v>
      </c>
    </row>
    <row r="737" spans="1:6" hidden="1" x14ac:dyDescent="0.35">
      <c r="A737">
        <v>736</v>
      </c>
      <c r="B737" s="4" t="s">
        <v>547</v>
      </c>
      <c r="C737" s="3">
        <v>1982</v>
      </c>
      <c r="D737" s="4" t="s">
        <v>4819</v>
      </c>
      <c r="E737" s="35" t="s">
        <v>4820</v>
      </c>
      <c r="F737" s="4" t="str">
        <f>IF(COUNTIFS(Sheet1!$D$2:$D$3203, C737, Sheet1!$C$2:$C$3203, B737) &gt; 0, "Sudah", "Belum")</f>
        <v>Sudah</v>
      </c>
    </row>
    <row r="738" spans="1:6" hidden="1" x14ac:dyDescent="0.35">
      <c r="A738">
        <v>737</v>
      </c>
      <c r="B738" s="4" t="s">
        <v>1461</v>
      </c>
      <c r="C738" s="3">
        <v>1998</v>
      </c>
      <c r="D738" s="4" t="s">
        <v>4821</v>
      </c>
      <c r="E738" s="35" t="s">
        <v>4822</v>
      </c>
      <c r="F738" s="4" t="str">
        <f>IF(COUNTIFS(Sheet1!$D$2:$D$3203, C738, Sheet1!$C$2:$C$3203, B738) &gt; 0, "Sudah", "Belum")</f>
        <v>Sudah</v>
      </c>
    </row>
    <row r="739" spans="1:6" hidden="1" x14ac:dyDescent="0.35">
      <c r="A739">
        <v>738</v>
      </c>
      <c r="B739" s="4" t="s">
        <v>2707</v>
      </c>
      <c r="C739" s="3">
        <v>2020</v>
      </c>
      <c r="D739" s="4" t="s">
        <v>4823</v>
      </c>
      <c r="E739" s="35" t="s">
        <v>4824</v>
      </c>
      <c r="F739" s="4" t="str">
        <f>IF(COUNTIFS(Sheet1!$D$2:$D$3203, C739, Sheet1!$C$2:$C$3203, B739) &gt; 0, "Sudah", "Belum")</f>
        <v>Sudah</v>
      </c>
    </row>
    <row r="740" spans="1:6" hidden="1" x14ac:dyDescent="0.35">
      <c r="A740">
        <v>739</v>
      </c>
      <c r="B740" s="4" t="s">
        <v>2273</v>
      </c>
      <c r="C740" s="3">
        <v>2014</v>
      </c>
      <c r="D740" s="4" t="s">
        <v>4825</v>
      </c>
      <c r="E740" s="35" t="s">
        <v>4826</v>
      </c>
      <c r="F740" s="4" t="str">
        <f>IF(COUNTIFS(Sheet1!$D$2:$D$3203, C740, Sheet1!$C$2:$C$3203, B740) &gt; 0, "Sudah", "Belum")</f>
        <v>Sudah</v>
      </c>
    </row>
    <row r="741" spans="1:6" hidden="1" x14ac:dyDescent="0.35">
      <c r="A741">
        <v>740</v>
      </c>
      <c r="B741" s="4" t="s">
        <v>2184</v>
      </c>
      <c r="C741" s="3">
        <v>2013</v>
      </c>
      <c r="D741" s="4" t="s">
        <v>4827</v>
      </c>
      <c r="E741" s="35" t="s">
        <v>4828</v>
      </c>
      <c r="F741" s="4" t="str">
        <f>IF(COUNTIFS(Sheet1!$D$2:$D$3203, C741, Sheet1!$C$2:$C$3203, B741) &gt; 0, "Sudah", "Belum")</f>
        <v>Sudah</v>
      </c>
    </row>
    <row r="742" spans="1:6" hidden="1" x14ac:dyDescent="0.35">
      <c r="A742">
        <v>741</v>
      </c>
      <c r="B742" s="4" t="s">
        <v>2798</v>
      </c>
      <c r="C742" s="3">
        <v>2021</v>
      </c>
      <c r="D742" s="4" t="s">
        <v>4829</v>
      </c>
      <c r="E742" s="35" t="s">
        <v>4830</v>
      </c>
      <c r="F742" s="4" t="str">
        <f>IF(COUNTIFS(Sheet1!$D$2:$D$3203, C742, Sheet1!$C$2:$C$3203, B742) &gt; 0, "Sudah", "Belum")</f>
        <v>Sudah</v>
      </c>
    </row>
    <row r="743" spans="1:6" hidden="1" x14ac:dyDescent="0.35">
      <c r="A743">
        <v>742</v>
      </c>
      <c r="B743" s="4" t="s">
        <v>1206</v>
      </c>
      <c r="C743" s="3">
        <v>1997</v>
      </c>
      <c r="D743" s="4" t="s">
        <v>4831</v>
      </c>
      <c r="E743" s="35" t="s">
        <v>4832</v>
      </c>
      <c r="F743" s="4" t="str">
        <f>IF(COUNTIFS(Sheet1!$D$2:$D$3203, C743, Sheet1!$C$2:$C$3203, B743) &gt; 0, "Sudah", "Belum")</f>
        <v>Sudah</v>
      </c>
    </row>
    <row r="744" spans="1:6" hidden="1" x14ac:dyDescent="0.35">
      <c r="A744">
        <v>743</v>
      </c>
      <c r="B744" s="4" t="s">
        <v>2199</v>
      </c>
      <c r="C744" s="3">
        <v>2013</v>
      </c>
      <c r="D744" s="4" t="s">
        <v>4833</v>
      </c>
      <c r="E744" s="35" t="s">
        <v>4834</v>
      </c>
      <c r="F744" s="4" t="str">
        <f>IF(COUNTIFS(Sheet1!$D$2:$D$3203, C744, Sheet1!$C$2:$C$3203, B744) &gt; 0, "Sudah", "Belum")</f>
        <v>Sudah</v>
      </c>
    </row>
    <row r="745" spans="1:6" hidden="1" x14ac:dyDescent="0.35">
      <c r="A745">
        <v>744</v>
      </c>
      <c r="B745" s="4" t="s">
        <v>174</v>
      </c>
      <c r="C745" s="3">
        <v>1976</v>
      </c>
      <c r="D745" s="4" t="s">
        <v>4835</v>
      </c>
      <c r="E745" s="35" t="s">
        <v>4836</v>
      </c>
      <c r="F745" s="4" t="str">
        <f>IF(COUNTIFS(Sheet1!$D$2:$D$3203, C745, Sheet1!$C$2:$C$3203, B745) &gt; 0, "Sudah", "Belum")</f>
        <v>Sudah</v>
      </c>
    </row>
    <row r="746" spans="1:6" x14ac:dyDescent="0.35">
      <c r="A746">
        <v>745</v>
      </c>
      <c r="B746" s="4" t="s">
        <v>4837</v>
      </c>
      <c r="C746" s="3">
        <v>1995</v>
      </c>
      <c r="D746" s="4" t="s">
        <v>4838</v>
      </c>
      <c r="E746" s="35" t="s">
        <v>4839</v>
      </c>
      <c r="F746" s="4" t="str">
        <f>IF(COUNTIFS(Sheet1!$D$2:$D$3203, C746, Sheet1!$C$2:$C$3203, B746) &gt; 0, "Sudah", "Belum")</f>
        <v>Belum</v>
      </c>
    </row>
    <row r="747" spans="1:6" hidden="1" x14ac:dyDescent="0.35">
      <c r="A747">
        <v>746</v>
      </c>
      <c r="B747" s="4" t="s">
        <v>2944</v>
      </c>
      <c r="C747" s="3">
        <v>2006</v>
      </c>
      <c r="D747" s="4" t="s">
        <v>4840</v>
      </c>
      <c r="E747" s="35" t="s">
        <v>4841</v>
      </c>
      <c r="F747" s="4" t="str">
        <f>IF(COUNTIFS(Sheet1!$D$2:$D$3203, C747, Sheet1!$C$2:$C$3203, B747) &gt; 0, "Sudah", "Belum")</f>
        <v>Sudah</v>
      </c>
    </row>
    <row r="748" spans="1:6" hidden="1" x14ac:dyDescent="0.35">
      <c r="A748">
        <v>747</v>
      </c>
      <c r="B748" s="4" t="s">
        <v>2189</v>
      </c>
      <c r="C748" s="3">
        <v>2013</v>
      </c>
      <c r="D748" s="4" t="s">
        <v>4842</v>
      </c>
      <c r="E748" s="35" t="s">
        <v>4843</v>
      </c>
      <c r="F748" s="4" t="str">
        <f>IF(COUNTIFS(Sheet1!$D$2:$D$3203, C748, Sheet1!$C$2:$C$3203, B748) &gt; 0, "Sudah", "Belum")</f>
        <v>Sudah</v>
      </c>
    </row>
    <row r="749" spans="1:6" hidden="1" x14ac:dyDescent="0.35">
      <c r="A749">
        <v>748</v>
      </c>
      <c r="B749" s="4" t="s">
        <v>4844</v>
      </c>
      <c r="C749" s="3">
        <v>1997</v>
      </c>
      <c r="D749" s="4" t="s">
        <v>4845</v>
      </c>
      <c r="E749" s="35" t="s">
        <v>4846</v>
      </c>
      <c r="F749" s="4" t="str">
        <f>IF(COUNTIFS(Sheet1!$D$2:$D$3203, C749, Sheet1!$C$2:$C$3203, B749) &gt; 0, "Sudah", "Belum")</f>
        <v>Sudah</v>
      </c>
    </row>
    <row r="750" spans="1:6" hidden="1" x14ac:dyDescent="0.35">
      <c r="A750">
        <v>749</v>
      </c>
      <c r="B750" s="4" t="s">
        <v>2882</v>
      </c>
      <c r="C750" s="3">
        <v>2006</v>
      </c>
      <c r="D750" s="4" t="s">
        <v>4847</v>
      </c>
      <c r="E750" s="35" t="s">
        <v>4848</v>
      </c>
      <c r="F750" s="4" t="str">
        <f>IF(COUNTIFS(Sheet1!$D$2:$D$3203, C750, Sheet1!$C$2:$C$3203, B750) &gt; 0, "Sudah", "Belum")</f>
        <v>Sudah</v>
      </c>
    </row>
    <row r="751" spans="1:6" x14ac:dyDescent="0.35">
      <c r="A751">
        <v>750</v>
      </c>
      <c r="B751" s="4" t="s">
        <v>4399</v>
      </c>
      <c r="C751" s="3">
        <v>2007</v>
      </c>
      <c r="D751" s="4" t="s">
        <v>4400</v>
      </c>
      <c r="E751" s="35" t="s">
        <v>4401</v>
      </c>
      <c r="F751" s="4" t="str">
        <f>IF(COUNTIFS(Sheet1!$D$2:$D$3203, C751, Sheet1!$C$2:$C$3203, B751) &gt; 0, "Sudah", "Belum")</f>
        <v>Belum</v>
      </c>
    </row>
    <row r="752" spans="1:6" hidden="1" x14ac:dyDescent="0.35">
      <c r="A752">
        <v>751</v>
      </c>
      <c r="B752" s="4" t="s">
        <v>4849</v>
      </c>
      <c r="C752" s="3">
        <v>2001</v>
      </c>
      <c r="D752" s="4" t="s">
        <v>4850</v>
      </c>
      <c r="E752" s="35" t="s">
        <v>4851</v>
      </c>
      <c r="F752" s="4" t="str">
        <f>IF(COUNTIFS(Sheet1!$D$2:$D$3203, C752, Sheet1!$C$2:$C$3203, B752) &gt; 0, "Sudah", "Belum")</f>
        <v>Sudah</v>
      </c>
    </row>
    <row r="753" spans="1:6" hidden="1" x14ac:dyDescent="0.35">
      <c r="A753">
        <v>752</v>
      </c>
      <c r="B753" s="4" t="s">
        <v>4852</v>
      </c>
      <c r="C753" s="3">
        <v>1984</v>
      </c>
      <c r="D753" s="4" t="s">
        <v>4853</v>
      </c>
      <c r="E753" s="35" t="s">
        <v>4854</v>
      </c>
      <c r="F753" s="4" t="str">
        <f>IF(COUNTIFS(Sheet1!$D$2:$D$3203, C753, Sheet1!$C$2:$C$3203, B753) &gt; 0, "Sudah", "Belum")</f>
        <v>Sudah</v>
      </c>
    </row>
    <row r="754" spans="1:6" x14ac:dyDescent="0.35">
      <c r="A754">
        <v>753</v>
      </c>
      <c r="B754" s="4" t="s">
        <v>4855</v>
      </c>
      <c r="C754" s="3">
        <v>2000</v>
      </c>
      <c r="D754" s="4" t="s">
        <v>4400</v>
      </c>
      <c r="E754" s="35" t="s">
        <v>4401</v>
      </c>
      <c r="F754" s="4" t="str">
        <f>IF(COUNTIFS(Sheet1!$D$2:$D$3203, C754, Sheet1!$C$2:$C$3203, B754) &gt; 0, "Sudah", "Belum")</f>
        <v>Belum</v>
      </c>
    </row>
    <row r="755" spans="1:6" hidden="1" x14ac:dyDescent="0.35">
      <c r="A755">
        <v>754</v>
      </c>
      <c r="B755" s="4" t="s">
        <v>1030</v>
      </c>
      <c r="C755" s="3">
        <v>1995</v>
      </c>
      <c r="D755" s="4" t="s">
        <v>4856</v>
      </c>
      <c r="E755" s="35" t="s">
        <v>4857</v>
      </c>
      <c r="F755" s="4" t="str">
        <f>IF(COUNTIFS(Sheet1!$D$2:$D$3203, C755, Sheet1!$C$2:$C$3203, B755) &gt; 0, "Sudah", "Belum")</f>
        <v>Sudah</v>
      </c>
    </row>
    <row r="756" spans="1:6" hidden="1" x14ac:dyDescent="0.35">
      <c r="A756">
        <v>755</v>
      </c>
      <c r="B756" s="4" t="s">
        <v>2920</v>
      </c>
      <c r="C756" s="3">
        <v>2006</v>
      </c>
      <c r="D756" s="4" t="s">
        <v>4858</v>
      </c>
      <c r="E756" s="35" t="s">
        <v>4859</v>
      </c>
      <c r="F756" s="4" t="str">
        <f>IF(COUNTIFS(Sheet1!$D$2:$D$3203, C756, Sheet1!$C$2:$C$3203, B756) &gt; 0, "Sudah", "Belum")</f>
        <v>Sudah</v>
      </c>
    </row>
    <row r="757" spans="1:6" hidden="1" x14ac:dyDescent="0.35">
      <c r="A757">
        <v>756</v>
      </c>
      <c r="B757" s="4" t="s">
        <v>2120</v>
      </c>
      <c r="C757" s="3">
        <v>2012</v>
      </c>
      <c r="D757" s="4" t="s">
        <v>4860</v>
      </c>
      <c r="E757" s="35" t="s">
        <v>4861</v>
      </c>
      <c r="F757" s="4" t="str">
        <f>IF(COUNTIFS(Sheet1!$D$2:$D$3203, C757, Sheet1!$C$2:$C$3203, B757) &gt; 0, "Sudah", "Belum")</f>
        <v>Sudah</v>
      </c>
    </row>
    <row r="758" spans="1:6" hidden="1" x14ac:dyDescent="0.35">
      <c r="A758">
        <v>757</v>
      </c>
      <c r="B758" s="4" t="s">
        <v>2742</v>
      </c>
      <c r="C758" s="3">
        <v>2020</v>
      </c>
      <c r="D758" s="4" t="s">
        <v>4862</v>
      </c>
      <c r="E758" s="35" t="s">
        <v>4863</v>
      </c>
      <c r="F758" s="4" t="str">
        <f>IF(COUNTIFS(Sheet1!$D$2:$D$3203, C758, Sheet1!$C$2:$C$3203, B758) &gt; 0, "Sudah", "Belum")</f>
        <v>Sudah</v>
      </c>
    </row>
    <row r="759" spans="1:6" hidden="1" x14ac:dyDescent="0.35">
      <c r="A759">
        <v>758</v>
      </c>
      <c r="B759" s="4" t="s">
        <v>2622</v>
      </c>
      <c r="C759" s="3">
        <v>2019</v>
      </c>
      <c r="D759" s="4" t="s">
        <v>4864</v>
      </c>
      <c r="E759" s="35" t="s">
        <v>4865</v>
      </c>
      <c r="F759" s="4" t="str">
        <f>IF(COUNTIFS(Sheet1!$D$2:$D$3203, C759, Sheet1!$C$2:$C$3203, B759) &gt; 0, "Sudah", "Belum")</f>
        <v>Sudah</v>
      </c>
    </row>
    <row r="760" spans="1:6" hidden="1" x14ac:dyDescent="0.35">
      <c r="A760">
        <v>759</v>
      </c>
      <c r="B760" s="4" t="s">
        <v>1246</v>
      </c>
      <c r="C760" s="3">
        <v>1995</v>
      </c>
      <c r="D760" s="4" t="s">
        <v>4866</v>
      </c>
      <c r="E760" s="35" t="s">
        <v>4867</v>
      </c>
      <c r="F760" s="4" t="str">
        <f>IF(COUNTIFS(Sheet1!$D$2:$D$3203, C760, Sheet1!$C$2:$C$3203, B760) &gt; 0, "Sudah", "Belum")</f>
        <v>Sudah</v>
      </c>
    </row>
    <row r="761" spans="1:6" hidden="1" x14ac:dyDescent="0.35">
      <c r="A761">
        <v>760</v>
      </c>
      <c r="B761" s="4" t="s">
        <v>2205</v>
      </c>
      <c r="C761" s="3">
        <v>2013</v>
      </c>
      <c r="D761" s="4" t="s">
        <v>4868</v>
      </c>
      <c r="E761" s="35" t="s">
        <v>4869</v>
      </c>
      <c r="F761" s="4" t="str">
        <f>IF(COUNTIFS(Sheet1!$D$2:$D$3203, C761, Sheet1!$C$2:$C$3203, B761) &gt; 0, "Sudah", "Belum")</f>
        <v>Sudah</v>
      </c>
    </row>
    <row r="762" spans="1:6" hidden="1" x14ac:dyDescent="0.35">
      <c r="A762">
        <v>761</v>
      </c>
      <c r="B762" s="4" t="s">
        <v>833</v>
      </c>
      <c r="C762" s="3">
        <v>1990</v>
      </c>
      <c r="D762" s="4" t="s">
        <v>3772</v>
      </c>
      <c r="E762" s="35" t="s">
        <v>3773</v>
      </c>
      <c r="F762" s="4" t="str">
        <f>IF(COUNTIFS(Sheet1!$D$2:$D$3203, C762, Sheet1!$C$2:$C$3203, B762) &gt; 0, "Sudah", "Belum")</f>
        <v>Sudah</v>
      </c>
    </row>
    <row r="763" spans="1:6" hidden="1" x14ac:dyDescent="0.35">
      <c r="A763">
        <v>762</v>
      </c>
      <c r="B763" s="4" t="s">
        <v>2926</v>
      </c>
      <c r="C763" s="3">
        <v>2007</v>
      </c>
      <c r="D763" s="4" t="s">
        <v>4870</v>
      </c>
      <c r="E763" s="35" t="s">
        <v>4871</v>
      </c>
      <c r="F763" s="4" t="str">
        <f>IF(COUNTIFS(Sheet1!$D$2:$D$3203, C763, Sheet1!$C$2:$C$3203, B763) &gt; 0, "Sudah", "Belum")</f>
        <v>Sudah</v>
      </c>
    </row>
    <row r="764" spans="1:6" hidden="1" x14ac:dyDescent="0.35">
      <c r="A764">
        <v>763</v>
      </c>
      <c r="B764" s="4" t="s">
        <v>827</v>
      </c>
      <c r="C764" s="3">
        <v>1991</v>
      </c>
      <c r="D764" s="4" t="s">
        <v>4872</v>
      </c>
      <c r="E764" s="35" t="s">
        <v>4873</v>
      </c>
      <c r="F764" s="4" t="str">
        <f>IF(COUNTIFS(Sheet1!$D$2:$D$3203, C764, Sheet1!$C$2:$C$3203, B764) &gt; 0, "Sudah", "Belum")</f>
        <v>Sudah</v>
      </c>
    </row>
    <row r="765" spans="1:6" hidden="1" x14ac:dyDescent="0.35">
      <c r="A765">
        <v>764</v>
      </c>
      <c r="B765" s="4" t="s">
        <v>1915</v>
      </c>
      <c r="C765" s="3">
        <v>2008</v>
      </c>
      <c r="D765" s="4" t="s">
        <v>4874</v>
      </c>
      <c r="E765" s="35" t="s">
        <v>4875</v>
      </c>
      <c r="F765" s="4" t="str">
        <f>IF(COUNTIFS(Sheet1!$D$2:$D$3203, C765, Sheet1!$C$2:$C$3203, B765) &gt; 0, "Sudah", "Belum")</f>
        <v>Sudah</v>
      </c>
    </row>
    <row r="766" spans="1:6" hidden="1" x14ac:dyDescent="0.35">
      <c r="A766">
        <v>765</v>
      </c>
      <c r="B766" s="4" t="s">
        <v>2967</v>
      </c>
      <c r="C766" s="3">
        <v>2006</v>
      </c>
      <c r="D766" s="4" t="s">
        <v>4876</v>
      </c>
      <c r="E766" s="35" t="s">
        <v>4877</v>
      </c>
      <c r="F766" s="4" t="str">
        <f>IF(COUNTIFS(Sheet1!$D$2:$D$3203, C766, Sheet1!$C$2:$C$3203, B766) &gt; 0, "Sudah", "Belum")</f>
        <v>Sudah</v>
      </c>
    </row>
    <row r="767" spans="1:6" hidden="1" x14ac:dyDescent="0.35">
      <c r="A767">
        <v>766</v>
      </c>
      <c r="B767" s="4" t="s">
        <v>2936</v>
      </c>
      <c r="C767" s="3">
        <v>2007</v>
      </c>
      <c r="D767" s="4" t="s">
        <v>4878</v>
      </c>
      <c r="E767" s="35" t="s">
        <v>4879</v>
      </c>
      <c r="F767" s="4" t="str">
        <f>IF(COUNTIFS(Sheet1!$D$2:$D$3203, C767, Sheet1!$C$2:$C$3203, B767) &gt; 0, "Sudah", "Belum")</f>
        <v>Sudah</v>
      </c>
    </row>
    <row r="768" spans="1:6" hidden="1" x14ac:dyDescent="0.35">
      <c r="A768">
        <v>767</v>
      </c>
      <c r="B768" s="4" t="s">
        <v>1455</v>
      </c>
      <c r="C768" s="3">
        <v>2000</v>
      </c>
      <c r="D768" s="4" t="s">
        <v>4336</v>
      </c>
      <c r="E768" s="35" t="s">
        <v>4337</v>
      </c>
      <c r="F768" s="4" t="str">
        <f>IF(COUNTIFS(Sheet1!$D$2:$D$3203, C768, Sheet1!$C$2:$C$3203, B768) &gt; 0, "Sudah", "Belum")</f>
        <v>Sudah</v>
      </c>
    </row>
    <row r="769" spans="1:6" hidden="1" x14ac:dyDescent="0.35">
      <c r="A769">
        <v>768</v>
      </c>
      <c r="B769" s="4" t="s">
        <v>1609</v>
      </c>
      <c r="C769" s="3">
        <v>2002</v>
      </c>
      <c r="D769" s="4" t="s">
        <v>4880</v>
      </c>
      <c r="E769" s="35" t="s">
        <v>4881</v>
      </c>
      <c r="F769" s="4" t="str">
        <f>IF(COUNTIFS(Sheet1!$D$2:$D$3203, C769, Sheet1!$C$2:$C$3203, B769) &gt; 0, "Sudah", "Belum")</f>
        <v>Sudah</v>
      </c>
    </row>
    <row r="770" spans="1:6" hidden="1" x14ac:dyDescent="0.35">
      <c r="A770">
        <v>769</v>
      </c>
      <c r="B770" s="4" t="s">
        <v>976</v>
      </c>
      <c r="C770" s="3">
        <v>1995</v>
      </c>
      <c r="D770" s="4" t="s">
        <v>4882</v>
      </c>
      <c r="E770" s="35" t="s">
        <v>4883</v>
      </c>
      <c r="F770" s="4" t="str">
        <f>IF(COUNTIFS(Sheet1!$D$2:$D$3203, C770, Sheet1!$C$2:$C$3203, B770) &gt; 0, "Sudah", "Belum")</f>
        <v>Sudah</v>
      </c>
    </row>
    <row r="771" spans="1:6" hidden="1" x14ac:dyDescent="0.35">
      <c r="A771">
        <v>770</v>
      </c>
      <c r="B771" s="4" t="s">
        <v>2988</v>
      </c>
      <c r="C771" s="3">
        <v>2007</v>
      </c>
      <c r="D771" s="4" t="s">
        <v>4884</v>
      </c>
      <c r="E771" s="35" t="s">
        <v>4885</v>
      </c>
      <c r="F771" s="4" t="str">
        <f>IF(COUNTIFS(Sheet1!$D$2:$D$3203, C771, Sheet1!$C$2:$C$3203, B771) &gt; 0, "Sudah", "Belum")</f>
        <v>Sudah</v>
      </c>
    </row>
    <row r="772" spans="1:6" hidden="1" x14ac:dyDescent="0.35">
      <c r="A772">
        <v>771</v>
      </c>
      <c r="B772" s="4" t="s">
        <v>2957</v>
      </c>
      <c r="C772" s="3">
        <v>2007</v>
      </c>
      <c r="D772" s="4" t="s">
        <v>4794</v>
      </c>
      <c r="E772" s="35" t="s">
        <v>4795</v>
      </c>
      <c r="F772" s="4" t="str">
        <f>IF(COUNTIFS(Sheet1!$D$2:$D$3203, C772, Sheet1!$C$2:$C$3203, B772) &gt; 0, "Sudah", "Belum")</f>
        <v>Sudah</v>
      </c>
    </row>
    <row r="773" spans="1:6" hidden="1" x14ac:dyDescent="0.35">
      <c r="A773">
        <v>772</v>
      </c>
      <c r="B773" s="4" t="s">
        <v>3040</v>
      </c>
      <c r="C773" s="3">
        <v>2008</v>
      </c>
      <c r="D773" s="4" t="s">
        <v>4886</v>
      </c>
      <c r="E773" s="35" t="s">
        <v>4887</v>
      </c>
      <c r="F773" s="4" t="str">
        <f>IF(COUNTIFS(Sheet1!$D$2:$D$3203, C773, Sheet1!$C$2:$C$3203, B773) &gt; 0, "Sudah", "Belum")</f>
        <v>Sudah</v>
      </c>
    </row>
    <row r="774" spans="1:6" x14ac:dyDescent="0.35">
      <c r="A774">
        <v>773</v>
      </c>
      <c r="B774" s="4" t="s">
        <v>4888</v>
      </c>
      <c r="C774" s="3">
        <v>2016</v>
      </c>
      <c r="D774" s="4" t="s">
        <v>4889</v>
      </c>
      <c r="E774" s="35" t="s">
        <v>4890</v>
      </c>
      <c r="F774" s="4" t="str">
        <f>IF(COUNTIFS(Sheet1!$D$2:$D$3203, C774, Sheet1!$C$2:$C$3203, B774) &gt; 0, "Sudah", "Belum")</f>
        <v>Belum</v>
      </c>
    </row>
    <row r="775" spans="1:6" hidden="1" x14ac:dyDescent="0.35">
      <c r="A775">
        <v>774</v>
      </c>
      <c r="B775" s="4" t="s">
        <v>322</v>
      </c>
      <c r="C775" s="3">
        <v>1980</v>
      </c>
      <c r="D775" s="4" t="s">
        <v>4893</v>
      </c>
      <c r="E775" s="35" t="s">
        <v>4894</v>
      </c>
      <c r="F775" s="4" t="str">
        <f>IF(COUNTIFS(Sheet1!$D$2:$D$3203, C775, Sheet1!$C$2:$C$3203, B775) &gt; 0, "Sudah", "Belum")</f>
        <v>Sudah</v>
      </c>
    </row>
    <row r="776" spans="1:6" hidden="1" x14ac:dyDescent="0.35">
      <c r="A776">
        <v>775</v>
      </c>
      <c r="B776" s="4" t="s">
        <v>3138</v>
      </c>
      <c r="C776" s="3">
        <v>2016</v>
      </c>
      <c r="D776" s="4" t="s">
        <v>4891</v>
      </c>
      <c r="E776" s="35" t="s">
        <v>4892</v>
      </c>
      <c r="F776" s="4" t="str">
        <f>IF(COUNTIFS(Sheet1!$D$2:$D$3203, C776, Sheet1!$C$2:$C$3203, B776) &gt; 0, "Sudah", "Belum")</f>
        <v>Sudah</v>
      </c>
    </row>
    <row r="777" spans="1:6" hidden="1" x14ac:dyDescent="0.35">
      <c r="A777">
        <v>776</v>
      </c>
      <c r="B777" s="4" t="s">
        <v>2473</v>
      </c>
      <c r="C777" s="3">
        <v>2016</v>
      </c>
      <c r="D777" s="4" t="s">
        <v>4895</v>
      </c>
      <c r="E777" s="35" t="s">
        <v>4896</v>
      </c>
      <c r="F777" s="4" t="str">
        <f>IF(COUNTIFS(Sheet1!$D$2:$D$3203, C777, Sheet1!$C$2:$C$3203, B777) &gt; 0, "Sudah", "Belum")</f>
        <v>Sudah</v>
      </c>
    </row>
    <row r="778" spans="1:6" hidden="1" x14ac:dyDescent="0.35">
      <c r="A778">
        <v>777</v>
      </c>
      <c r="B778" s="4" t="s">
        <v>876</v>
      </c>
      <c r="C778" s="3">
        <v>1989</v>
      </c>
      <c r="D778" s="4" t="s">
        <v>4235</v>
      </c>
      <c r="E778" s="35" t="s">
        <v>4236</v>
      </c>
      <c r="F778" s="4" t="str">
        <f>IF(COUNTIFS(Sheet1!$D$2:$D$3203, C778, Sheet1!$C$2:$C$3203, B778) &gt; 0, "Sudah", "Belum")</f>
        <v>Sudah</v>
      </c>
    </row>
    <row r="779" spans="1:6" hidden="1" x14ac:dyDescent="0.35">
      <c r="A779">
        <v>778</v>
      </c>
      <c r="B779" s="4" t="s">
        <v>1846</v>
      </c>
      <c r="C779" s="3">
        <v>2008</v>
      </c>
      <c r="D779" s="4" t="s">
        <v>4897</v>
      </c>
      <c r="E779" s="35" t="s">
        <v>4898</v>
      </c>
      <c r="F779" s="4" t="str">
        <f>IF(COUNTIFS(Sheet1!$D$2:$D$3203, C779, Sheet1!$C$2:$C$3203, B779) &gt; 0, "Sudah", "Belum")</f>
        <v>Sudah</v>
      </c>
    </row>
    <row r="780" spans="1:6" x14ac:dyDescent="0.35">
      <c r="A780">
        <v>779</v>
      </c>
      <c r="B780" s="4" t="s">
        <v>3922</v>
      </c>
      <c r="C780" s="3">
        <v>1980</v>
      </c>
      <c r="D780" s="4" t="s">
        <v>3929</v>
      </c>
      <c r="E780" s="35" t="s">
        <v>3923</v>
      </c>
      <c r="F780" s="4" t="str">
        <f>IF(COUNTIFS(Sheet1!$D$2:$D$3203, C780, Sheet1!$C$2:$C$3203, B780) &gt; 0, "Sudah", "Belum")</f>
        <v>Belum</v>
      </c>
    </row>
    <row r="781" spans="1:6" hidden="1" x14ac:dyDescent="0.35">
      <c r="A781">
        <v>780</v>
      </c>
      <c r="B781" s="4" t="s">
        <v>1828</v>
      </c>
      <c r="C781" s="3">
        <v>2002</v>
      </c>
      <c r="D781" s="4" t="s">
        <v>4899</v>
      </c>
      <c r="E781" s="35" t="s">
        <v>4900</v>
      </c>
      <c r="F781" s="4" t="str">
        <f>IF(COUNTIFS(Sheet1!$D$2:$D$3203, C781, Sheet1!$C$2:$C$3203, B781) &gt; 0, "Sudah", "Belum")</f>
        <v>Sudah</v>
      </c>
    </row>
    <row r="782" spans="1:6" hidden="1" x14ac:dyDescent="0.35">
      <c r="A782">
        <v>781</v>
      </c>
      <c r="B782" s="4" t="s">
        <v>2719</v>
      </c>
      <c r="C782" s="3">
        <v>2020</v>
      </c>
      <c r="D782" s="4" t="s">
        <v>4901</v>
      </c>
      <c r="E782" s="35" t="s">
        <v>4902</v>
      </c>
      <c r="F782" s="4" t="str">
        <f>IF(COUNTIFS(Sheet1!$D$2:$D$3203, C782, Sheet1!$C$2:$C$3203, B782) &gt; 0, "Sudah", "Belum")</f>
        <v>Sudah</v>
      </c>
    </row>
    <row r="783" spans="1:6" hidden="1" x14ac:dyDescent="0.35">
      <c r="A783">
        <v>782</v>
      </c>
      <c r="B783" s="4" t="s">
        <v>2328</v>
      </c>
      <c r="C783" s="3">
        <v>2015</v>
      </c>
      <c r="D783" s="4" t="s">
        <v>4903</v>
      </c>
      <c r="E783" s="35" t="s">
        <v>4904</v>
      </c>
      <c r="F783" s="4" t="str">
        <f>IF(COUNTIFS(Sheet1!$D$2:$D$3203, C783, Sheet1!$C$2:$C$3203, B783) &gt; 0, "Sudah", "Belum")</f>
        <v>Sudah</v>
      </c>
    </row>
    <row r="784" spans="1:6" hidden="1" x14ac:dyDescent="0.35">
      <c r="A784">
        <v>783</v>
      </c>
      <c r="B784" s="4" t="s">
        <v>3112</v>
      </c>
      <c r="C784" s="3">
        <v>2016</v>
      </c>
      <c r="D784" s="4" t="s">
        <v>4905</v>
      </c>
      <c r="E784" s="35" t="s">
        <v>4906</v>
      </c>
      <c r="F784" s="4" t="str">
        <f>IF(COUNTIFS(Sheet1!$D$2:$D$3203, C784, Sheet1!$C$2:$C$3203, B784) &gt; 0, "Sudah", "Belum")</f>
        <v>Sudah</v>
      </c>
    </row>
    <row r="785" spans="1:6" hidden="1" x14ac:dyDescent="0.35">
      <c r="A785">
        <v>784</v>
      </c>
      <c r="B785" s="4" t="s">
        <v>1106</v>
      </c>
      <c r="C785" s="3">
        <v>1990</v>
      </c>
      <c r="D785" s="4" t="s">
        <v>4909</v>
      </c>
      <c r="E785" s="35" t="s">
        <v>4910</v>
      </c>
      <c r="F785" s="4" t="str">
        <f>IF(COUNTIFS(Sheet1!$D$2:$D$3203, C785, Sheet1!$C$2:$C$3203, B785) &gt; 0, "Sudah", "Belum")</f>
        <v>Sudah</v>
      </c>
    </row>
    <row r="786" spans="1:6" hidden="1" x14ac:dyDescent="0.35">
      <c r="A786">
        <v>785</v>
      </c>
      <c r="B786" s="4" t="s">
        <v>798</v>
      </c>
      <c r="C786" s="3">
        <v>1991</v>
      </c>
      <c r="D786" s="4" t="s">
        <v>4911</v>
      </c>
      <c r="E786" s="35" t="s">
        <v>4912</v>
      </c>
      <c r="F786" s="4" t="str">
        <f>IF(COUNTIFS(Sheet1!$D$2:$D$3203, C786, Sheet1!$C$2:$C$3203, B786) &gt; 0, "Sudah", "Belum")</f>
        <v>Sudah</v>
      </c>
    </row>
    <row r="787" spans="1:6" hidden="1" x14ac:dyDescent="0.35">
      <c r="A787">
        <v>786</v>
      </c>
      <c r="B787" s="4" t="s">
        <v>1658</v>
      </c>
      <c r="C787" s="3">
        <v>2002</v>
      </c>
      <c r="D787" s="4" t="s">
        <v>4907</v>
      </c>
      <c r="E787" s="35" t="s">
        <v>4908</v>
      </c>
      <c r="F787" s="4" t="str">
        <f>IF(COUNTIFS(Sheet1!$D$2:$D$3203, C787, Sheet1!$C$2:$C$3203, B787) &gt; 0, "Sudah", "Belum")</f>
        <v>Sudah</v>
      </c>
    </row>
    <row r="788" spans="1:6" hidden="1" x14ac:dyDescent="0.35">
      <c r="A788">
        <v>787</v>
      </c>
      <c r="B788" s="4" t="s">
        <v>3157</v>
      </c>
      <c r="C788" s="3">
        <v>2016</v>
      </c>
      <c r="D788" s="4" t="s">
        <v>4915</v>
      </c>
      <c r="E788" s="35" t="s">
        <v>4916</v>
      </c>
      <c r="F788" s="4" t="str">
        <f>IF(COUNTIFS(Sheet1!$D$2:$D$3203, C788, Sheet1!$C$2:$C$3203, B788) &gt; 0, "Sudah", "Belum")</f>
        <v>Sudah</v>
      </c>
    </row>
    <row r="789" spans="1:6" hidden="1" x14ac:dyDescent="0.35">
      <c r="A789">
        <v>788</v>
      </c>
      <c r="B789" s="4" t="s">
        <v>2436</v>
      </c>
      <c r="C789" s="3">
        <v>2016</v>
      </c>
      <c r="D789" s="4" t="s">
        <v>4917</v>
      </c>
      <c r="E789" s="35" t="s">
        <v>4918</v>
      </c>
      <c r="F789" s="4" t="str">
        <f>IF(COUNTIFS(Sheet1!$D$2:$D$3203, C789, Sheet1!$C$2:$C$3203, B789) &gt; 0, "Sudah", "Belum")</f>
        <v>Sudah</v>
      </c>
    </row>
    <row r="790" spans="1:6" hidden="1" x14ac:dyDescent="0.35">
      <c r="A790">
        <v>789</v>
      </c>
      <c r="B790" s="4" t="s">
        <v>1738</v>
      </c>
      <c r="C790" s="3">
        <v>2002</v>
      </c>
      <c r="D790" s="4" t="s">
        <v>4919</v>
      </c>
      <c r="E790" s="35" t="s">
        <v>4920</v>
      </c>
      <c r="F790" s="4" t="str">
        <f>IF(COUNTIFS(Sheet1!$D$2:$D$3203, C790, Sheet1!$C$2:$C$3203, B790) &gt; 0, "Sudah", "Belum")</f>
        <v>Sudah</v>
      </c>
    </row>
    <row r="791" spans="1:6" hidden="1" x14ac:dyDescent="0.35">
      <c r="A791">
        <v>790</v>
      </c>
      <c r="B791" s="4" t="s">
        <v>3153</v>
      </c>
      <c r="C791" s="3">
        <v>2016</v>
      </c>
      <c r="D791" s="4" t="s">
        <v>4921</v>
      </c>
      <c r="E791" s="35" t="s">
        <v>4922</v>
      </c>
      <c r="F791" s="4" t="str">
        <f>IF(COUNTIFS(Sheet1!$D$2:$D$3203, C791, Sheet1!$C$2:$C$3203, B791) &gt; 0, "Sudah", "Belum")</f>
        <v>Sudah</v>
      </c>
    </row>
    <row r="792" spans="1:6" hidden="1" x14ac:dyDescent="0.35">
      <c r="A792">
        <v>791</v>
      </c>
      <c r="B792" s="4" t="s">
        <v>2022</v>
      </c>
      <c r="C792" s="3">
        <v>2011</v>
      </c>
      <c r="D792" s="4" t="s">
        <v>4923</v>
      </c>
      <c r="E792" s="35" t="s">
        <v>4924</v>
      </c>
      <c r="F792" s="4" t="str">
        <f>IF(COUNTIFS(Sheet1!$D$2:$D$3203, C792, Sheet1!$C$2:$C$3203, B792) &gt; 0, "Sudah", "Belum")</f>
        <v>Sudah</v>
      </c>
    </row>
    <row r="793" spans="1:6" hidden="1" x14ac:dyDescent="0.35">
      <c r="A793">
        <v>792</v>
      </c>
      <c r="B793" s="4" t="s">
        <v>1659</v>
      </c>
      <c r="C793" s="3">
        <v>2002</v>
      </c>
      <c r="D793" s="4" t="s">
        <v>4925</v>
      </c>
      <c r="E793" s="35" t="s">
        <v>4926</v>
      </c>
      <c r="F793" s="4" t="str">
        <f>IF(COUNTIFS(Sheet1!$D$2:$D$3203, C793, Sheet1!$C$2:$C$3203, B793) &gt; 0, "Sudah", "Belum")</f>
        <v>Sudah</v>
      </c>
    </row>
    <row r="794" spans="1:6" hidden="1" x14ac:dyDescent="0.35">
      <c r="A794">
        <v>793</v>
      </c>
      <c r="B794" s="4" t="s">
        <v>1653</v>
      </c>
      <c r="C794" s="3">
        <v>2001</v>
      </c>
      <c r="D794" s="4" t="s">
        <v>4927</v>
      </c>
      <c r="E794" s="35" t="s">
        <v>4928</v>
      </c>
      <c r="F794" s="4" t="str">
        <f>IF(COUNTIFS(Sheet1!$D$2:$D$3203, C794, Sheet1!$C$2:$C$3203, B794) &gt; 0, "Sudah", "Belum")</f>
        <v>Sudah</v>
      </c>
    </row>
    <row r="795" spans="1:6" x14ac:dyDescent="0.35">
      <c r="A795">
        <v>794</v>
      </c>
      <c r="B795" s="4" t="s">
        <v>4929</v>
      </c>
      <c r="C795" s="3">
        <v>1982</v>
      </c>
      <c r="D795" s="4" t="s">
        <v>4930</v>
      </c>
      <c r="E795" s="35" t="s">
        <v>4931</v>
      </c>
      <c r="F795" s="4" t="str">
        <f>IF(COUNTIFS(Sheet1!$D$2:$D$3203, C795, Sheet1!$C$2:$C$3203, B795) &gt; 0, "Sudah", "Belum")</f>
        <v>Belum</v>
      </c>
    </row>
    <row r="796" spans="1:6" hidden="1" x14ac:dyDescent="0.35">
      <c r="A796">
        <v>795</v>
      </c>
      <c r="B796" s="4" t="s">
        <v>2891</v>
      </c>
      <c r="C796" s="3">
        <v>2006</v>
      </c>
      <c r="D796" s="4" t="s">
        <v>4932</v>
      </c>
      <c r="E796" s="35" t="s">
        <v>4933</v>
      </c>
      <c r="F796" s="4" t="str">
        <f>IF(COUNTIFS(Sheet1!$D$2:$D$3203, C796, Sheet1!$C$2:$C$3203, B796) &gt; 0, "Sudah", "Belum")</f>
        <v>Sudah</v>
      </c>
    </row>
    <row r="797" spans="1:6" hidden="1" x14ac:dyDescent="0.35">
      <c r="A797">
        <v>796</v>
      </c>
      <c r="B797" s="4" t="s">
        <v>1499</v>
      </c>
      <c r="C797" s="3">
        <v>2000</v>
      </c>
      <c r="D797" s="4" t="s">
        <v>4913</v>
      </c>
      <c r="E797" s="35" t="s">
        <v>4914</v>
      </c>
      <c r="F797" s="4" t="str">
        <f>IF(COUNTIFS(Sheet1!$D$2:$D$3203, C797, Sheet1!$C$2:$C$3203, B797) &gt; 0, "Sudah", "Belum")</f>
        <v>Sudah</v>
      </c>
    </row>
    <row r="798" spans="1:6" hidden="1" x14ac:dyDescent="0.35">
      <c r="A798">
        <v>797</v>
      </c>
      <c r="B798" s="4" t="s">
        <v>2239</v>
      </c>
      <c r="C798" s="3">
        <v>2013</v>
      </c>
      <c r="D798" s="4" t="s">
        <v>4934</v>
      </c>
      <c r="E798" s="35" t="s">
        <v>4935</v>
      </c>
      <c r="F798" s="4" t="str">
        <f>IF(COUNTIFS(Sheet1!$D$2:$D$3203, C798, Sheet1!$C$2:$C$3203, B798) &gt; 0, "Sudah", "Belum")</f>
        <v>Sudah</v>
      </c>
    </row>
    <row r="799" spans="1:6" hidden="1" x14ac:dyDescent="0.35">
      <c r="A799">
        <v>798</v>
      </c>
      <c r="B799" s="4" t="s">
        <v>3139</v>
      </c>
      <c r="C799" s="3">
        <v>2016</v>
      </c>
      <c r="D799" s="4" t="s">
        <v>4936</v>
      </c>
      <c r="E799" s="35" t="s">
        <v>4937</v>
      </c>
      <c r="F799" s="4" t="str">
        <f>IF(COUNTIFS(Sheet1!$D$2:$D$3203, C799, Sheet1!$C$2:$C$3203, B799) &gt; 0, "Sudah", "Belum")</f>
        <v>Sudah</v>
      </c>
    </row>
    <row r="800" spans="1:6" hidden="1" x14ac:dyDescent="0.35">
      <c r="A800">
        <v>799</v>
      </c>
      <c r="B800" s="4" t="s">
        <v>2104</v>
      </c>
      <c r="C800" s="3">
        <v>2011</v>
      </c>
      <c r="D800" s="4" t="s">
        <v>4938</v>
      </c>
      <c r="E800" s="35" t="s">
        <v>4939</v>
      </c>
      <c r="F800" s="4" t="str">
        <f>IF(COUNTIFS(Sheet1!$D$2:$D$3203, C800, Sheet1!$C$2:$C$3203, B800) &gt; 0, "Sudah", "Belum")</f>
        <v>Sudah</v>
      </c>
    </row>
    <row r="801" spans="1:6" hidden="1" x14ac:dyDescent="0.35">
      <c r="A801">
        <v>800</v>
      </c>
      <c r="B801" s="4" t="s">
        <v>1642</v>
      </c>
      <c r="C801" s="3">
        <v>2001</v>
      </c>
      <c r="D801" s="4" t="s">
        <v>4940</v>
      </c>
      <c r="E801" s="35" t="s">
        <v>4941</v>
      </c>
      <c r="F801" s="4" t="str">
        <f>IF(COUNTIFS(Sheet1!$D$2:$D$3203, C801, Sheet1!$C$2:$C$3203, B801) &gt; 0, "Sudah", "Belum")</f>
        <v>Sudah</v>
      </c>
    </row>
    <row r="802" spans="1:6" hidden="1" x14ac:dyDescent="0.35">
      <c r="A802">
        <v>801</v>
      </c>
      <c r="B802" s="4" t="s">
        <v>2693</v>
      </c>
      <c r="C802" s="3">
        <v>2020</v>
      </c>
      <c r="D802" s="4" t="s">
        <v>4942</v>
      </c>
      <c r="E802" s="35" t="s">
        <v>4943</v>
      </c>
      <c r="F802" s="4" t="str">
        <f>IF(COUNTIFS(Sheet1!$D$2:$D$3203, C802, Sheet1!$C$2:$C$3203, B802) &gt; 0, "Sudah", "Belum")</f>
        <v>Sudah</v>
      </c>
    </row>
    <row r="803" spans="1:6" hidden="1" x14ac:dyDescent="0.35">
      <c r="A803">
        <v>802</v>
      </c>
      <c r="B803" s="4" t="s">
        <v>2327</v>
      </c>
      <c r="C803" s="3">
        <v>2014</v>
      </c>
      <c r="D803" s="4" t="s">
        <v>4944</v>
      </c>
      <c r="E803" s="35" t="s">
        <v>4945</v>
      </c>
      <c r="F803" s="4" t="str">
        <f>IF(COUNTIFS(Sheet1!$D$2:$D$3203, C803, Sheet1!$C$2:$C$3203, B803) &gt; 0, "Sudah", "Belum")</f>
        <v>Sudah</v>
      </c>
    </row>
    <row r="804" spans="1:6" hidden="1" x14ac:dyDescent="0.35">
      <c r="A804">
        <v>803</v>
      </c>
      <c r="B804" s="4" t="s">
        <v>2471</v>
      </c>
      <c r="C804" s="3">
        <v>2018</v>
      </c>
      <c r="D804" s="4" t="s">
        <v>4946</v>
      </c>
      <c r="E804" s="35" t="s">
        <v>4947</v>
      </c>
      <c r="F804" s="4" t="str">
        <f>IF(COUNTIFS(Sheet1!$D$2:$D$3203, C804, Sheet1!$C$2:$C$3203, B804) &gt; 0, "Sudah", "Belum")</f>
        <v>Sudah</v>
      </c>
    </row>
    <row r="805" spans="1:6" x14ac:dyDescent="0.35">
      <c r="A805">
        <v>804</v>
      </c>
      <c r="B805" s="4" t="s">
        <v>4948</v>
      </c>
      <c r="C805" s="3">
        <v>2020</v>
      </c>
      <c r="D805" s="4" t="s">
        <v>4949</v>
      </c>
      <c r="E805" s="35" t="s">
        <v>4950</v>
      </c>
      <c r="F805" s="4" t="str">
        <f>IF(COUNTIFS(Sheet1!$D$2:$D$3203, C805, Sheet1!$C$2:$C$3203, B805) &gt; 0, "Sudah", "Belum")</f>
        <v>Belum</v>
      </c>
    </row>
    <row r="806" spans="1:6" x14ac:dyDescent="0.35">
      <c r="A806">
        <v>805</v>
      </c>
      <c r="B806" s="4" t="s">
        <v>4951</v>
      </c>
      <c r="C806" s="3">
        <v>2020</v>
      </c>
      <c r="D806" s="4" t="s">
        <v>4952</v>
      </c>
      <c r="E806" s="35" t="s">
        <v>4953</v>
      </c>
      <c r="F806" s="4" t="str">
        <f>IF(COUNTIFS(Sheet1!$D$2:$D$3203, C806, Sheet1!$C$2:$C$3203, B806) &gt; 0, "Sudah", "Belum")</f>
        <v>Belum</v>
      </c>
    </row>
    <row r="807" spans="1:6" hidden="1" x14ac:dyDescent="0.35">
      <c r="A807">
        <v>806</v>
      </c>
      <c r="B807" s="4" t="s">
        <v>2722</v>
      </c>
      <c r="C807" s="3">
        <v>2020</v>
      </c>
      <c r="D807" s="4" t="s">
        <v>4954</v>
      </c>
      <c r="E807" s="35" t="s">
        <v>4955</v>
      </c>
      <c r="F807" s="4" t="str">
        <f>IF(COUNTIFS(Sheet1!$D$2:$D$3203, C807, Sheet1!$C$2:$C$3203, B807) &gt; 0, "Sudah", "Belum")</f>
        <v>Sudah</v>
      </c>
    </row>
    <row r="808" spans="1:6" hidden="1" x14ac:dyDescent="0.35">
      <c r="A808">
        <v>807</v>
      </c>
      <c r="B808" s="4" t="s">
        <v>2807</v>
      </c>
      <c r="C808" s="3">
        <v>2020</v>
      </c>
      <c r="D808" s="4" t="s">
        <v>4956</v>
      </c>
      <c r="E808" s="35" t="s">
        <v>4957</v>
      </c>
      <c r="F808" s="4" t="str">
        <f>IF(COUNTIFS(Sheet1!$D$2:$D$3203, C808, Sheet1!$C$2:$C$3203, B808) &gt; 0, "Sudah", "Belum")</f>
        <v>Sudah</v>
      </c>
    </row>
    <row r="809" spans="1:6" x14ac:dyDescent="0.35">
      <c r="A809">
        <v>808</v>
      </c>
      <c r="B809" s="4" t="s">
        <v>4958</v>
      </c>
      <c r="C809" s="3">
        <v>2020</v>
      </c>
      <c r="D809" s="4" t="s">
        <v>4959</v>
      </c>
      <c r="E809" s="35" t="s">
        <v>4960</v>
      </c>
      <c r="F809" s="4" t="str">
        <f>IF(COUNTIFS(Sheet1!$D$2:$D$3203, C809, Sheet1!$C$2:$C$3203, B809) &gt; 0, "Sudah", "Belum")</f>
        <v>Belum</v>
      </c>
    </row>
    <row r="810" spans="1:6" hidden="1" x14ac:dyDescent="0.35">
      <c r="A810">
        <v>809</v>
      </c>
      <c r="B810" s="4" t="s">
        <v>803</v>
      </c>
      <c r="C810" s="3">
        <v>1989</v>
      </c>
      <c r="D810" s="4" t="s">
        <v>4961</v>
      </c>
      <c r="E810" s="35" t="s">
        <v>4962</v>
      </c>
      <c r="F810" s="4" t="str">
        <f>IF(COUNTIFS(Sheet1!$D$2:$D$3203, C810, Sheet1!$C$2:$C$3203, B810) &gt; 0, "Sudah", "Belum")</f>
        <v>Sudah</v>
      </c>
    </row>
    <row r="811" spans="1:6" hidden="1" x14ac:dyDescent="0.35">
      <c r="A811">
        <v>810</v>
      </c>
      <c r="B811" s="4" t="s">
        <v>2696</v>
      </c>
      <c r="C811" s="3">
        <v>2020</v>
      </c>
      <c r="D811" s="4" t="s">
        <v>4963</v>
      </c>
      <c r="E811" s="35" t="s">
        <v>4964</v>
      </c>
      <c r="F811" s="4" t="str">
        <f>IF(COUNTIFS(Sheet1!$D$2:$D$3203, C811, Sheet1!$C$2:$C$3203, B811) &gt; 0, "Sudah", "Belum")</f>
        <v>Sudah</v>
      </c>
    </row>
    <row r="812" spans="1:6" hidden="1" x14ac:dyDescent="0.35">
      <c r="A812">
        <v>811</v>
      </c>
      <c r="B812" s="4" t="s">
        <v>2724</v>
      </c>
      <c r="C812" s="3">
        <v>2018</v>
      </c>
      <c r="D812" s="4" t="s">
        <v>4965</v>
      </c>
      <c r="E812" s="35" t="s">
        <v>4966</v>
      </c>
      <c r="F812" s="4" t="str">
        <f>IF(COUNTIFS(Sheet1!$D$2:$D$3203, C812, Sheet1!$C$2:$C$3203, B812) &gt; 0, "Sudah", "Belum")</f>
        <v>Sudah</v>
      </c>
    </row>
    <row r="813" spans="1:6" hidden="1" x14ac:dyDescent="0.35">
      <c r="A813">
        <v>812</v>
      </c>
      <c r="B813" s="4" t="s">
        <v>579</v>
      </c>
      <c r="C813" s="3">
        <v>1984</v>
      </c>
      <c r="D813" s="4" t="s">
        <v>4967</v>
      </c>
      <c r="E813" s="35" t="s">
        <v>4968</v>
      </c>
      <c r="F813" s="4" t="str">
        <f>IF(COUNTIFS(Sheet1!$D$2:$D$3203, C813, Sheet1!$C$2:$C$3203, B813) &gt; 0, "Sudah", "Belum")</f>
        <v>Sudah</v>
      </c>
    </row>
    <row r="814" spans="1:6" hidden="1" x14ac:dyDescent="0.35">
      <c r="A814">
        <v>813</v>
      </c>
      <c r="B814" s="4" t="s">
        <v>709</v>
      </c>
      <c r="C814" s="3">
        <v>1987</v>
      </c>
      <c r="D814" s="4" t="s">
        <v>4635</v>
      </c>
      <c r="E814" s="35" t="s">
        <v>4636</v>
      </c>
      <c r="F814" s="4" t="str">
        <f>IF(COUNTIFS(Sheet1!$D$2:$D$3203, C814, Sheet1!$C$2:$C$3203, B814) &gt; 0, "Sudah", "Belum")</f>
        <v>Sudah</v>
      </c>
    </row>
    <row r="815" spans="1:6" hidden="1" x14ac:dyDescent="0.35">
      <c r="A815">
        <v>814</v>
      </c>
      <c r="B815" s="4" t="s">
        <v>1784</v>
      </c>
      <c r="C815" s="3">
        <v>2002</v>
      </c>
      <c r="D815" s="4" t="s">
        <v>4969</v>
      </c>
      <c r="E815" s="35" t="s">
        <v>4970</v>
      </c>
      <c r="F815" s="4" t="str">
        <f>IF(COUNTIFS(Sheet1!$D$2:$D$3203, C815, Sheet1!$C$2:$C$3203, B815) &gt; 0, "Sudah", "Belum")</f>
        <v>Sudah</v>
      </c>
    </row>
    <row r="816" spans="1:6" hidden="1" x14ac:dyDescent="0.35">
      <c r="A816">
        <v>815</v>
      </c>
      <c r="B816" s="4" t="s">
        <v>2729</v>
      </c>
      <c r="C816" s="3">
        <v>2020</v>
      </c>
      <c r="D816" s="4" t="s">
        <v>4971</v>
      </c>
      <c r="E816" s="35" t="s">
        <v>4972</v>
      </c>
      <c r="F816" s="4" t="str">
        <f>IF(COUNTIFS(Sheet1!$D$2:$D$3203, C816, Sheet1!$C$2:$C$3203, B816) &gt; 0, "Sudah", "Belum")</f>
        <v>Sudah</v>
      </c>
    </row>
    <row r="817" spans="1:6" hidden="1" x14ac:dyDescent="0.35">
      <c r="A817">
        <v>816</v>
      </c>
      <c r="B817" s="4" t="s">
        <v>695</v>
      </c>
      <c r="C817" s="3">
        <v>1989</v>
      </c>
      <c r="D817" s="4" t="s">
        <v>4973</v>
      </c>
      <c r="E817" s="35" t="s">
        <v>3717</v>
      </c>
      <c r="F817" s="4" t="str">
        <f>IF(COUNTIFS(Sheet1!$D$2:$D$3203, C817, Sheet1!$C$2:$C$3203, B817) &gt; 0, "Sudah", "Belum")</f>
        <v>Sudah</v>
      </c>
    </row>
    <row r="818" spans="1:6" hidden="1" x14ac:dyDescent="0.35">
      <c r="A818">
        <v>817</v>
      </c>
      <c r="B818" s="4" t="s">
        <v>2687</v>
      </c>
      <c r="C818" s="3">
        <v>2020</v>
      </c>
      <c r="D818" s="4" t="s">
        <v>4974</v>
      </c>
      <c r="E818" s="35" t="s">
        <v>4975</v>
      </c>
      <c r="F818" s="4" t="str">
        <f>IF(COUNTIFS(Sheet1!$D$2:$D$3203, C818, Sheet1!$C$2:$C$3203, B818) &gt; 0, "Sudah", "Belum")</f>
        <v>Sudah</v>
      </c>
    </row>
    <row r="819" spans="1:6" hidden="1" x14ac:dyDescent="0.35">
      <c r="A819">
        <v>818</v>
      </c>
      <c r="B819" s="4" t="s">
        <v>2733</v>
      </c>
      <c r="C819" s="3">
        <v>2020</v>
      </c>
      <c r="D819" s="4" t="s">
        <v>4976</v>
      </c>
      <c r="E819" s="35" t="s">
        <v>4977</v>
      </c>
      <c r="F819" s="4" t="str">
        <f>IF(COUNTIFS(Sheet1!$D$2:$D$3203, C819, Sheet1!$C$2:$C$3203, B819) &gt; 0, "Sudah", "Belum")</f>
        <v>Sudah</v>
      </c>
    </row>
    <row r="820" spans="1:6" hidden="1" x14ac:dyDescent="0.35">
      <c r="A820">
        <v>819</v>
      </c>
      <c r="B820" s="4" t="s">
        <v>1610</v>
      </c>
      <c r="C820" s="3">
        <v>2001</v>
      </c>
      <c r="D820" s="4" t="s">
        <v>4978</v>
      </c>
      <c r="E820" s="35" t="s">
        <v>4979</v>
      </c>
      <c r="F820" s="4" t="str">
        <f>IF(COUNTIFS(Sheet1!$D$2:$D$3203, C820, Sheet1!$C$2:$C$3203, B820) &gt; 0, "Sudah", "Belum")</f>
        <v>Sudah</v>
      </c>
    </row>
    <row r="821" spans="1:6" hidden="1" x14ac:dyDescent="0.35">
      <c r="A821">
        <v>820</v>
      </c>
      <c r="B821" s="4" t="s">
        <v>2720</v>
      </c>
      <c r="C821" s="3">
        <v>2020</v>
      </c>
      <c r="D821" s="4" t="s">
        <v>4980</v>
      </c>
      <c r="E821" s="35" t="s">
        <v>4981</v>
      </c>
      <c r="F821" s="4" t="str">
        <f>IF(COUNTIFS(Sheet1!$D$2:$D$3203, C821, Sheet1!$C$2:$C$3203, B821) &gt; 0, "Sudah", "Belum")</f>
        <v>Sudah</v>
      </c>
    </row>
    <row r="822" spans="1:6" x14ac:dyDescent="0.35">
      <c r="A822">
        <v>821</v>
      </c>
      <c r="B822" s="4" t="s">
        <v>4982</v>
      </c>
      <c r="C822" s="3">
        <v>1996</v>
      </c>
      <c r="D822" s="4" t="s">
        <v>4983</v>
      </c>
      <c r="E822" s="35" t="s">
        <v>4984</v>
      </c>
      <c r="F822" s="4" t="str">
        <f>IF(COUNTIFS(Sheet1!$D$2:$D$3203, C822, Sheet1!$C$2:$C$3203, B822) &gt; 0, "Sudah", "Belum")</f>
        <v>Belum</v>
      </c>
    </row>
    <row r="823" spans="1:6" hidden="1" x14ac:dyDescent="0.35">
      <c r="A823">
        <v>822</v>
      </c>
      <c r="B823" s="4" t="s">
        <v>1647</v>
      </c>
      <c r="C823" s="3">
        <v>2001</v>
      </c>
      <c r="D823" s="4" t="s">
        <v>4985</v>
      </c>
      <c r="E823" s="35" t="s">
        <v>4986</v>
      </c>
      <c r="F823" s="4" t="str">
        <f>IF(COUNTIFS(Sheet1!$D$2:$D$3203, C823, Sheet1!$C$2:$C$3203, B823) &gt; 0, "Sudah", "Belum")</f>
        <v>Sudah</v>
      </c>
    </row>
    <row r="824" spans="1:6" hidden="1" x14ac:dyDescent="0.35">
      <c r="A824">
        <v>823</v>
      </c>
      <c r="B824" s="4" t="s">
        <v>1034</v>
      </c>
      <c r="C824" s="3">
        <v>1995</v>
      </c>
      <c r="D824" s="4" t="s">
        <v>4987</v>
      </c>
      <c r="E824" s="35" t="s">
        <v>4988</v>
      </c>
      <c r="F824" s="4" t="str">
        <f>IF(COUNTIFS(Sheet1!$D$2:$D$3203, C824, Sheet1!$C$2:$C$3203, B824) &gt; 0, "Sudah", "Belum")</f>
        <v>Sudah</v>
      </c>
    </row>
    <row r="825" spans="1:6" hidden="1" x14ac:dyDescent="0.35">
      <c r="A825">
        <v>824</v>
      </c>
      <c r="B825" s="4" t="s">
        <v>4989</v>
      </c>
      <c r="C825" s="3">
        <v>1989</v>
      </c>
      <c r="D825" s="4" t="s">
        <v>4990</v>
      </c>
      <c r="E825" s="35" t="s">
        <v>4991</v>
      </c>
      <c r="F825" s="4" t="str">
        <f>IF(COUNTIFS(Sheet1!$D$2:$D$3203, C825, Sheet1!$C$2:$C$3203, B825) &gt; 0, "Sudah", "Belum")</f>
        <v>Sudah</v>
      </c>
    </row>
    <row r="826" spans="1:6" hidden="1" x14ac:dyDescent="0.35">
      <c r="A826">
        <v>825</v>
      </c>
      <c r="B826" s="4" t="s">
        <v>2315</v>
      </c>
      <c r="C826" s="3">
        <v>2014</v>
      </c>
      <c r="D826" s="4" t="s">
        <v>4992</v>
      </c>
      <c r="E826" s="35" t="s">
        <v>4993</v>
      </c>
      <c r="F826" s="4" t="str">
        <f>IF(COUNTIFS(Sheet1!$D$2:$D$3203, C826, Sheet1!$C$2:$C$3203, B826) &gt; 0, "Sudah", "Belum")</f>
        <v>Sudah</v>
      </c>
    </row>
    <row r="827" spans="1:6" hidden="1" x14ac:dyDescent="0.35">
      <c r="A827">
        <v>826</v>
      </c>
      <c r="B827" s="4" t="s">
        <v>34</v>
      </c>
      <c r="C827" s="3">
        <v>1971</v>
      </c>
      <c r="D827" s="4" t="s">
        <v>4994</v>
      </c>
      <c r="E827" s="35" t="s">
        <v>4995</v>
      </c>
      <c r="F827" s="4" t="str">
        <f>IF(COUNTIFS(Sheet1!$D$2:$D$3203, C827, Sheet1!$C$2:$C$3203, B827) &gt; 0, "Sudah", "Belum")</f>
        <v>Sudah</v>
      </c>
    </row>
    <row r="828" spans="1:6" x14ac:dyDescent="0.35">
      <c r="A828">
        <v>827</v>
      </c>
      <c r="B828" s="4" t="s">
        <v>4996</v>
      </c>
      <c r="C828" s="3">
        <v>1976</v>
      </c>
      <c r="D828" s="4" t="s">
        <v>4997</v>
      </c>
      <c r="E828" s="35" t="s">
        <v>4998</v>
      </c>
      <c r="F828" s="4" t="str">
        <f>IF(COUNTIFS(Sheet1!$D$2:$D$3203, C828, Sheet1!$C$2:$C$3203, B828) &gt; 0, "Sudah", "Belum")</f>
        <v>Belum</v>
      </c>
    </row>
    <row r="829" spans="1:6" hidden="1" x14ac:dyDescent="0.35">
      <c r="A829">
        <v>828</v>
      </c>
      <c r="B829" s="4" t="s">
        <v>4999</v>
      </c>
      <c r="C829" s="3">
        <v>2000</v>
      </c>
      <c r="D829" s="4" t="s">
        <v>5000</v>
      </c>
      <c r="E829" s="35" t="s">
        <v>5001</v>
      </c>
      <c r="F829" s="4" t="str">
        <f>IF(COUNTIFS(Sheet1!$D$2:$D$3203, C829, Sheet1!$C$2:$C$3203, B829) &gt; 0, "Sudah", "Belum")</f>
        <v>Sudah</v>
      </c>
    </row>
    <row r="830" spans="1:6" hidden="1" x14ac:dyDescent="0.35">
      <c r="A830">
        <v>829</v>
      </c>
      <c r="B830" s="4" t="s">
        <v>2474</v>
      </c>
      <c r="C830" s="3">
        <v>2018</v>
      </c>
      <c r="D830" s="4" t="s">
        <v>5002</v>
      </c>
      <c r="E830" s="35" t="s">
        <v>5003</v>
      </c>
      <c r="F830" s="4" t="str">
        <f>IF(COUNTIFS(Sheet1!$D$2:$D$3203, C830, Sheet1!$C$2:$C$3203, B830) &gt; 0, "Sudah", "Belum")</f>
        <v>Sudah</v>
      </c>
    </row>
    <row r="831" spans="1:6" hidden="1" x14ac:dyDescent="0.35">
      <c r="A831">
        <v>830</v>
      </c>
      <c r="B831" s="4" t="s">
        <v>1148</v>
      </c>
      <c r="C831" s="3">
        <v>1997</v>
      </c>
      <c r="D831" s="4" t="s">
        <v>5004</v>
      </c>
      <c r="E831" s="35" t="s">
        <v>5005</v>
      </c>
      <c r="F831" s="4" t="str">
        <f>IF(COUNTIFS(Sheet1!$D$2:$D$3203, C831, Sheet1!$C$2:$C$3203, B831) &gt; 0, "Sudah", "Belum")</f>
        <v>Sudah</v>
      </c>
    </row>
    <row r="832" spans="1:6" hidden="1" x14ac:dyDescent="0.35">
      <c r="A832">
        <v>831</v>
      </c>
      <c r="B832" s="4" t="s">
        <v>2417</v>
      </c>
      <c r="C832" s="3">
        <v>2017</v>
      </c>
      <c r="D832" s="4" t="s">
        <v>5006</v>
      </c>
      <c r="E832" s="35" t="s">
        <v>5007</v>
      </c>
      <c r="F832" s="4" t="str">
        <f>IF(COUNTIFS(Sheet1!$D$2:$D$3203, C832, Sheet1!$C$2:$C$3203, B832) &gt; 0, "Sudah", "Belum")</f>
        <v>Sudah</v>
      </c>
    </row>
    <row r="833" spans="1:6" hidden="1" x14ac:dyDescent="0.35">
      <c r="A833">
        <v>832</v>
      </c>
      <c r="B833" s="4" t="s">
        <v>1543</v>
      </c>
      <c r="C833" s="3">
        <v>2000</v>
      </c>
      <c r="D833" s="4" t="s">
        <v>5008</v>
      </c>
      <c r="E833" s="35" t="s">
        <v>5009</v>
      </c>
      <c r="F833" s="4" t="str">
        <f>IF(COUNTIFS(Sheet1!$D$2:$D$3203, C833, Sheet1!$C$2:$C$3203, B833) &gt; 0, "Sudah", "Belum")</f>
        <v>Sudah</v>
      </c>
    </row>
    <row r="834" spans="1:6" hidden="1" x14ac:dyDescent="0.35">
      <c r="A834">
        <v>833</v>
      </c>
      <c r="B834" s="4" t="s">
        <v>566</v>
      </c>
      <c r="C834" s="3">
        <v>1984</v>
      </c>
      <c r="D834" s="4" t="s">
        <v>5011</v>
      </c>
      <c r="E834" s="35" t="s">
        <v>5012</v>
      </c>
      <c r="F834" s="4" t="str">
        <f>IF(COUNTIFS(Sheet1!$D$2:$D$3203, C834, Sheet1!$C$2:$C$3203, B834) &gt; 0, "Sudah", "Belum")</f>
        <v>Sudah</v>
      </c>
    </row>
    <row r="835" spans="1:6" hidden="1" x14ac:dyDescent="0.35">
      <c r="A835">
        <v>834</v>
      </c>
      <c r="B835" s="4" t="s">
        <v>2423</v>
      </c>
      <c r="C835" s="3">
        <v>2017</v>
      </c>
      <c r="D835" s="4" t="s">
        <v>5013</v>
      </c>
      <c r="E835" s="35" t="s">
        <v>5014</v>
      </c>
      <c r="F835" s="4" t="str">
        <f>IF(COUNTIFS(Sheet1!$D$2:$D$3203, C835, Sheet1!$C$2:$C$3203, B835) &gt; 0, "Sudah", "Belum")</f>
        <v>Sudah</v>
      </c>
    </row>
    <row r="836" spans="1:6" hidden="1" x14ac:dyDescent="0.35">
      <c r="A836">
        <v>835</v>
      </c>
      <c r="B836" s="4" t="s">
        <v>1015</v>
      </c>
      <c r="C836" s="3">
        <v>1995</v>
      </c>
      <c r="D836" s="4" t="s">
        <v>5015</v>
      </c>
      <c r="E836" s="35" t="s">
        <v>5016</v>
      </c>
      <c r="F836" s="4" t="str">
        <f>IF(COUNTIFS(Sheet1!$D$2:$D$3203, C836, Sheet1!$C$2:$C$3203, B836) &gt; 0, "Sudah", "Belum")</f>
        <v>Sudah</v>
      </c>
    </row>
    <row r="837" spans="1:6" hidden="1" x14ac:dyDescent="0.35">
      <c r="A837">
        <v>836</v>
      </c>
      <c r="B837" s="4" t="s">
        <v>1301</v>
      </c>
      <c r="C837" s="3">
        <v>1998</v>
      </c>
      <c r="D837" s="4" t="s">
        <v>5019</v>
      </c>
      <c r="E837" s="35" t="s">
        <v>5020</v>
      </c>
      <c r="F837" s="4" t="str">
        <f>IF(COUNTIFS(Sheet1!$D$2:$D$3203, C837, Sheet1!$C$2:$C$3203, B837) &gt; 0, "Sudah", "Belum")</f>
        <v>Sudah</v>
      </c>
    </row>
    <row r="838" spans="1:6" hidden="1" x14ac:dyDescent="0.35">
      <c r="A838">
        <v>837</v>
      </c>
      <c r="B838" s="4" t="s">
        <v>293</v>
      </c>
      <c r="C838" s="3">
        <v>1979</v>
      </c>
      <c r="D838" s="4" t="s">
        <v>5021</v>
      </c>
      <c r="E838" s="35" t="s">
        <v>5022</v>
      </c>
      <c r="F838" s="4" t="str">
        <f>IF(COUNTIFS(Sheet1!$D$2:$D$3203, C838, Sheet1!$C$2:$C$3203, B838) &gt; 0, "Sudah", "Belum")</f>
        <v>Sudah</v>
      </c>
    </row>
    <row r="839" spans="1:6" hidden="1" x14ac:dyDescent="0.35">
      <c r="A839">
        <v>838</v>
      </c>
      <c r="B839" s="4" t="s">
        <v>368</v>
      </c>
      <c r="C839" s="3">
        <v>1976</v>
      </c>
      <c r="D839" s="4" t="s">
        <v>5023</v>
      </c>
      <c r="E839" s="35" t="s">
        <v>5024</v>
      </c>
      <c r="F839" s="4" t="str">
        <f>IF(COUNTIFS(Sheet1!$D$2:$D$3203, C839, Sheet1!$C$2:$C$3203, B839) &gt; 0, "Sudah", "Belum")</f>
        <v>Sudah</v>
      </c>
    </row>
    <row r="840" spans="1:6" hidden="1" x14ac:dyDescent="0.35">
      <c r="A840">
        <v>839</v>
      </c>
      <c r="B840" s="4" t="s">
        <v>2162</v>
      </c>
      <c r="C840" s="3">
        <v>2010</v>
      </c>
      <c r="D840" s="4" t="s">
        <v>5025</v>
      </c>
      <c r="E840" s="35" t="s">
        <v>5026</v>
      </c>
      <c r="F840" s="4" t="str">
        <f>IF(COUNTIFS(Sheet1!$D$2:$D$3203, C840, Sheet1!$C$2:$C$3203, B840) &gt; 0, "Sudah", "Belum")</f>
        <v>Sudah</v>
      </c>
    </row>
    <row r="841" spans="1:6" hidden="1" x14ac:dyDescent="0.35">
      <c r="A841">
        <v>840</v>
      </c>
      <c r="B841" s="4" t="s">
        <v>2697</v>
      </c>
      <c r="C841" s="3">
        <v>2020</v>
      </c>
      <c r="D841" s="4" t="s">
        <v>5027</v>
      </c>
      <c r="E841" s="35" t="s">
        <v>5028</v>
      </c>
      <c r="F841" s="4" t="str">
        <f>IF(COUNTIFS(Sheet1!$D$2:$D$3203, C841, Sheet1!$C$2:$C$3203, B841) &gt; 0, "Sudah", "Belum")</f>
        <v>Sudah</v>
      </c>
    </row>
    <row r="842" spans="1:6" hidden="1" x14ac:dyDescent="0.35">
      <c r="A842">
        <v>841</v>
      </c>
      <c r="B842" s="4" t="s">
        <v>1297</v>
      </c>
      <c r="C842" s="3">
        <v>1997</v>
      </c>
      <c r="D842" s="4" t="s">
        <v>5029</v>
      </c>
      <c r="E842" s="35" t="s">
        <v>5030</v>
      </c>
      <c r="F842" s="4" t="str">
        <f>IF(COUNTIFS(Sheet1!$D$2:$D$3203, C842, Sheet1!$C$2:$C$3203, B842) &gt; 0, "Sudah", "Belum")</f>
        <v>Sudah</v>
      </c>
    </row>
    <row r="843" spans="1:6" hidden="1" x14ac:dyDescent="0.35">
      <c r="A843">
        <v>842</v>
      </c>
      <c r="B843" s="4" t="s">
        <v>1806</v>
      </c>
      <c r="C843" s="3">
        <v>2003</v>
      </c>
      <c r="D843" s="4" t="s">
        <v>5031</v>
      </c>
      <c r="E843" s="35" t="s">
        <v>5032</v>
      </c>
      <c r="F843" s="4" t="str">
        <f>IF(COUNTIFS(Sheet1!$D$2:$D$3203, C843, Sheet1!$C$2:$C$3203, B843) &gt; 0, "Sudah", "Belum")</f>
        <v>Sudah</v>
      </c>
    </row>
    <row r="844" spans="1:6" hidden="1" x14ac:dyDescent="0.35">
      <c r="A844">
        <v>843</v>
      </c>
      <c r="B844" s="4" t="s">
        <v>883</v>
      </c>
      <c r="C844" s="3">
        <v>1993</v>
      </c>
      <c r="D844" s="4" t="s">
        <v>5033</v>
      </c>
      <c r="E844" s="35" t="s">
        <v>5034</v>
      </c>
      <c r="F844" s="4" t="str">
        <f>IF(COUNTIFS(Sheet1!$D$2:$D$3203, C844, Sheet1!$C$2:$C$3203, B844) &gt; 0, "Sudah", "Belum")</f>
        <v>Sudah</v>
      </c>
    </row>
    <row r="845" spans="1:6" x14ac:dyDescent="0.35">
      <c r="A845">
        <v>844</v>
      </c>
      <c r="B845" s="4" t="s">
        <v>5035</v>
      </c>
      <c r="C845" s="3">
        <v>2001</v>
      </c>
      <c r="D845" s="4" t="s">
        <v>3959</v>
      </c>
      <c r="E845" s="35" t="s">
        <v>3960</v>
      </c>
      <c r="F845" s="4" t="str">
        <f>IF(COUNTIFS(Sheet1!$D$2:$D$3203, C845, Sheet1!$C$2:$C$3203, B845) &gt; 0, "Sudah", "Belum")</f>
        <v>Belum</v>
      </c>
    </row>
    <row r="846" spans="1:6" hidden="1" x14ac:dyDescent="0.35">
      <c r="A846">
        <v>845</v>
      </c>
      <c r="B846" s="4" t="s">
        <v>1544</v>
      </c>
      <c r="C846" s="3">
        <v>2001</v>
      </c>
      <c r="D846" s="4" t="s">
        <v>5036</v>
      </c>
      <c r="E846" s="35" t="s">
        <v>5037</v>
      </c>
      <c r="F846" s="4" t="str">
        <f>IF(COUNTIFS(Sheet1!$D$2:$D$3203, C846, Sheet1!$C$2:$C$3203, B846) &gt; 0, "Sudah", "Belum")</f>
        <v>Sudah</v>
      </c>
    </row>
    <row r="847" spans="1:6" hidden="1" x14ac:dyDescent="0.35">
      <c r="A847">
        <v>846</v>
      </c>
      <c r="B847" s="4" t="s">
        <v>1745</v>
      </c>
      <c r="C847" s="3">
        <v>2003</v>
      </c>
      <c r="D847" s="4" t="s">
        <v>5038</v>
      </c>
      <c r="E847" s="35" t="s">
        <v>5039</v>
      </c>
      <c r="F847" s="4" t="str">
        <f>IF(COUNTIFS(Sheet1!$D$2:$D$3203, C847, Sheet1!$C$2:$C$3203, B847) &gt; 0, "Sudah", "Belum")</f>
        <v>Sudah</v>
      </c>
    </row>
    <row r="848" spans="1:6" hidden="1" x14ac:dyDescent="0.35">
      <c r="A848">
        <v>847</v>
      </c>
      <c r="B848" s="4" t="s">
        <v>1236</v>
      </c>
      <c r="C848" s="3">
        <v>1997</v>
      </c>
      <c r="D848" s="4" t="s">
        <v>5040</v>
      </c>
      <c r="E848" s="35" t="s">
        <v>5041</v>
      </c>
      <c r="F848" s="4" t="str">
        <f>IF(COUNTIFS(Sheet1!$D$2:$D$3203, C848, Sheet1!$C$2:$C$3203, B848) &gt; 0, "Sudah", "Belum")</f>
        <v>Sudah</v>
      </c>
    </row>
    <row r="849" spans="1:6" hidden="1" x14ac:dyDescent="0.35">
      <c r="A849">
        <v>848</v>
      </c>
      <c r="B849" s="4" t="s">
        <v>2293</v>
      </c>
      <c r="C849" s="3">
        <v>2013</v>
      </c>
      <c r="D849" s="4" t="s">
        <v>5042</v>
      </c>
      <c r="E849" s="35" t="s">
        <v>5043</v>
      </c>
      <c r="F849" s="4" t="str">
        <f>IF(COUNTIFS(Sheet1!$D$2:$D$3203, C849, Sheet1!$C$2:$C$3203, B849) &gt; 0, "Sudah", "Belum")</f>
        <v>Sudah</v>
      </c>
    </row>
    <row r="850" spans="1:6" hidden="1" x14ac:dyDescent="0.35">
      <c r="A850">
        <v>849</v>
      </c>
      <c r="B850" s="4" t="s">
        <v>2430</v>
      </c>
      <c r="C850" s="3">
        <v>2017</v>
      </c>
      <c r="D850" s="4" t="s">
        <v>5044</v>
      </c>
      <c r="E850" s="35" t="s">
        <v>5045</v>
      </c>
      <c r="F850" s="4" t="str">
        <f>IF(COUNTIFS(Sheet1!$D$2:$D$3203, C850, Sheet1!$C$2:$C$3203, B850) &gt; 0, "Sudah", "Belum")</f>
        <v>Sudah</v>
      </c>
    </row>
    <row r="851" spans="1:6" hidden="1" x14ac:dyDescent="0.35">
      <c r="A851">
        <v>850</v>
      </c>
      <c r="B851" s="4" t="s">
        <v>3088</v>
      </c>
      <c r="C851" s="3">
        <v>2014</v>
      </c>
      <c r="D851" s="4" t="s">
        <v>5046</v>
      </c>
      <c r="E851" s="35" t="s">
        <v>5047</v>
      </c>
      <c r="F851" s="4" t="str">
        <f>IF(COUNTIFS(Sheet1!$D$2:$D$3203, C851, Sheet1!$C$2:$C$3203, B851) &gt; 0, "Sudah", "Belum")</f>
        <v>Sudah</v>
      </c>
    </row>
    <row r="852" spans="1:6" hidden="1" x14ac:dyDescent="0.35">
      <c r="A852">
        <v>851</v>
      </c>
      <c r="B852" s="4" t="s">
        <v>499</v>
      </c>
      <c r="C852" s="3">
        <v>1984</v>
      </c>
      <c r="D852" s="4" t="s">
        <v>5048</v>
      </c>
      <c r="E852" s="35" t="s">
        <v>5049</v>
      </c>
      <c r="F852" s="4" t="str">
        <f>IF(COUNTIFS(Sheet1!$D$2:$D$3203, C852, Sheet1!$C$2:$C$3203, B852) &gt; 0, "Sudah", "Belum")</f>
        <v>Sudah</v>
      </c>
    </row>
    <row r="853" spans="1:6" hidden="1" x14ac:dyDescent="0.35">
      <c r="A853">
        <v>852</v>
      </c>
      <c r="B853" s="4" t="s">
        <v>657</v>
      </c>
      <c r="C853" s="3">
        <v>1987</v>
      </c>
      <c r="D853" s="4" t="s">
        <v>5050</v>
      </c>
      <c r="E853" s="35" t="s">
        <v>5051</v>
      </c>
      <c r="F853" s="4" t="str">
        <f>IF(COUNTIFS(Sheet1!$D$2:$D$3203, C853, Sheet1!$C$2:$C$3203, B853) &gt; 0, "Sudah", "Belum")</f>
        <v>Sudah</v>
      </c>
    </row>
    <row r="854" spans="1:6" hidden="1" x14ac:dyDescent="0.35">
      <c r="A854">
        <v>853</v>
      </c>
      <c r="B854" s="4" t="s">
        <v>829</v>
      </c>
      <c r="C854" s="3">
        <v>1984</v>
      </c>
      <c r="D854" s="4" t="s">
        <v>5052</v>
      </c>
      <c r="E854" s="35" t="s">
        <v>5053</v>
      </c>
      <c r="F854" s="4" t="str">
        <f>IF(COUNTIFS(Sheet1!$D$2:$D$3203, C854, Sheet1!$C$2:$C$3203, B854) &gt; 0, "Sudah", "Belum")</f>
        <v>Sudah</v>
      </c>
    </row>
    <row r="855" spans="1:6" hidden="1" x14ac:dyDescent="0.35">
      <c r="A855">
        <v>854</v>
      </c>
      <c r="B855" s="4" t="s">
        <v>2395</v>
      </c>
      <c r="C855" s="3">
        <v>2017</v>
      </c>
      <c r="D855" s="4" t="s">
        <v>5054</v>
      </c>
      <c r="E855" s="35" t="s">
        <v>5055</v>
      </c>
      <c r="F855" s="4" t="str">
        <f>IF(COUNTIFS(Sheet1!$D$2:$D$3203, C855, Sheet1!$C$2:$C$3203, B855) &gt; 0, "Sudah", "Belum")</f>
        <v>Sudah</v>
      </c>
    </row>
    <row r="856" spans="1:6" hidden="1" x14ac:dyDescent="0.35">
      <c r="A856">
        <v>855</v>
      </c>
      <c r="B856" s="4" t="s">
        <v>1741</v>
      </c>
      <c r="C856" s="3">
        <v>2003</v>
      </c>
      <c r="D856" s="4" t="s">
        <v>5056</v>
      </c>
      <c r="E856" s="35" t="s">
        <v>5057</v>
      </c>
      <c r="F856" s="4" t="str">
        <f>IF(COUNTIFS(Sheet1!$D$2:$D$3203, C856, Sheet1!$C$2:$C$3203, B856) &gt; 0, "Sudah", "Belum")</f>
        <v>Sudah</v>
      </c>
    </row>
    <row r="857" spans="1:6" hidden="1" x14ac:dyDescent="0.35">
      <c r="A857">
        <v>856</v>
      </c>
      <c r="B857" s="4" t="s">
        <v>5060</v>
      </c>
      <c r="C857" s="3">
        <v>1979</v>
      </c>
      <c r="D857" s="4" t="s">
        <v>5061</v>
      </c>
      <c r="E857" s="35" t="s">
        <v>5010</v>
      </c>
      <c r="F857" s="4" t="str">
        <f>IF(COUNTIFS(Sheet1!$D$2:$D$3203, C857, Sheet1!$C$2:$C$3203, B857) &gt; 0, "Sudah", "Belum")</f>
        <v>Sudah</v>
      </c>
    </row>
    <row r="858" spans="1:6" hidden="1" x14ac:dyDescent="0.35">
      <c r="A858">
        <v>857</v>
      </c>
      <c r="B858" s="4" t="s">
        <v>395</v>
      </c>
      <c r="C858" s="3">
        <v>1982</v>
      </c>
      <c r="D858" s="4" t="s">
        <v>5062</v>
      </c>
      <c r="E858" s="35" t="s">
        <v>5063</v>
      </c>
      <c r="F858" s="4" t="str">
        <f>IF(COUNTIFS(Sheet1!$D$2:$D$3203, C858, Sheet1!$C$2:$C$3203, B858) &gt; 0, "Sudah", "Belum")</f>
        <v>Sudah</v>
      </c>
    </row>
    <row r="859" spans="1:6" hidden="1" x14ac:dyDescent="0.35">
      <c r="A859">
        <v>858</v>
      </c>
      <c r="B859" s="4" t="s">
        <v>203</v>
      </c>
      <c r="C859" s="3">
        <v>1978</v>
      </c>
      <c r="D859" s="4" t="s">
        <v>5064</v>
      </c>
      <c r="E859" s="35" t="s">
        <v>5065</v>
      </c>
      <c r="F859" s="4" t="str">
        <f>IF(COUNTIFS(Sheet1!$D$2:$D$3203, C859, Sheet1!$C$2:$C$3203, B859) &gt; 0, "Sudah", "Belum")</f>
        <v>Sudah</v>
      </c>
    </row>
    <row r="860" spans="1:6" hidden="1" x14ac:dyDescent="0.35">
      <c r="A860">
        <v>859</v>
      </c>
      <c r="B860" s="4" t="s">
        <v>978</v>
      </c>
      <c r="C860" s="3">
        <v>1995</v>
      </c>
      <c r="D860" s="4" t="s">
        <v>5058</v>
      </c>
      <c r="E860" s="35" t="s">
        <v>5059</v>
      </c>
      <c r="F860" s="4" t="str">
        <f>IF(COUNTIFS(Sheet1!$D$2:$D$3203, C860, Sheet1!$C$2:$C$3203, B860) &gt; 0, "Sudah", "Belum")</f>
        <v>Sudah</v>
      </c>
    </row>
    <row r="861" spans="1:6" hidden="1" x14ac:dyDescent="0.35">
      <c r="A861">
        <v>860</v>
      </c>
      <c r="B861" s="4" t="s">
        <v>1593</v>
      </c>
      <c r="C861" s="3">
        <v>2001</v>
      </c>
      <c r="D861" s="4" t="s">
        <v>5066</v>
      </c>
      <c r="E861" s="35" t="s">
        <v>5067</v>
      </c>
      <c r="F861" s="4" t="str">
        <f>IF(COUNTIFS(Sheet1!$D$2:$D$3203, C861, Sheet1!$C$2:$C$3203, B861) &gt; 0, "Sudah", "Belum")</f>
        <v>Sudah</v>
      </c>
    </row>
    <row r="862" spans="1:6" hidden="1" x14ac:dyDescent="0.35">
      <c r="A862">
        <v>861</v>
      </c>
      <c r="B862" s="4" t="s">
        <v>1770</v>
      </c>
      <c r="C862" s="3">
        <v>2003</v>
      </c>
      <c r="D862" s="4" t="s">
        <v>5068</v>
      </c>
      <c r="E862" s="35" t="s">
        <v>5069</v>
      </c>
      <c r="F862" s="4" t="str">
        <f>IF(COUNTIFS(Sheet1!$D$2:$D$3203, C862, Sheet1!$C$2:$C$3203, B862) &gt; 0, "Sudah", "Belum")</f>
        <v>Sudah</v>
      </c>
    </row>
    <row r="863" spans="1:6" hidden="1" x14ac:dyDescent="0.35">
      <c r="A863">
        <v>862</v>
      </c>
      <c r="B863" s="4" t="s">
        <v>1275</v>
      </c>
      <c r="C863" s="3">
        <v>1997</v>
      </c>
      <c r="D863" s="4" t="s">
        <v>5070</v>
      </c>
      <c r="E863" s="35" t="s">
        <v>5071</v>
      </c>
      <c r="F863" s="4" t="str">
        <f>IF(COUNTIFS(Sheet1!$D$2:$D$3203, C863, Sheet1!$C$2:$C$3203, B863) &gt; 0, "Sudah", "Belum")</f>
        <v>Sudah</v>
      </c>
    </row>
    <row r="864" spans="1:6" hidden="1" x14ac:dyDescent="0.35">
      <c r="A864">
        <v>863</v>
      </c>
      <c r="B864" s="4" t="s">
        <v>1732</v>
      </c>
      <c r="C864" s="3">
        <v>2003</v>
      </c>
      <c r="D864" s="4" t="s">
        <v>5072</v>
      </c>
      <c r="E864" s="35" t="s">
        <v>5073</v>
      </c>
      <c r="F864" s="4" t="str">
        <f>IF(COUNTIFS(Sheet1!$D$2:$D$3203, C864, Sheet1!$C$2:$C$3203, B864) &gt; 0, "Sudah", "Belum")</f>
        <v>Sudah</v>
      </c>
    </row>
    <row r="865" spans="1:6" hidden="1" x14ac:dyDescent="0.35">
      <c r="A865">
        <v>864</v>
      </c>
      <c r="B865" s="4" t="s">
        <v>2310</v>
      </c>
      <c r="C865" s="3">
        <v>2013</v>
      </c>
      <c r="D865" s="4" t="s">
        <v>5074</v>
      </c>
      <c r="E865" s="35" t="s">
        <v>5075</v>
      </c>
      <c r="F865" s="4" t="str">
        <f>IF(COUNTIFS(Sheet1!$D$2:$D$3203, C865, Sheet1!$C$2:$C$3203, B865) &gt; 0, "Sudah", "Belum")</f>
        <v>Sudah</v>
      </c>
    </row>
    <row r="866" spans="1:6" hidden="1" x14ac:dyDescent="0.35">
      <c r="A866">
        <v>865</v>
      </c>
      <c r="B866" s="4" t="s">
        <v>463</v>
      </c>
      <c r="C866" s="3">
        <v>1983</v>
      </c>
      <c r="D866" s="4" t="s">
        <v>5076</v>
      </c>
      <c r="E866" s="35" t="s">
        <v>5077</v>
      </c>
      <c r="F866" s="4" t="str">
        <f>IF(COUNTIFS(Sheet1!$D$2:$D$3203, C866, Sheet1!$C$2:$C$3203, B866) &gt; 0, "Sudah", "Belum")</f>
        <v>Sudah</v>
      </c>
    </row>
    <row r="867" spans="1:6" hidden="1" x14ac:dyDescent="0.35">
      <c r="A867">
        <v>866</v>
      </c>
      <c r="B867" s="4" t="s">
        <v>1329</v>
      </c>
      <c r="C867" s="3">
        <v>1998</v>
      </c>
      <c r="D867" s="4" t="s">
        <v>5078</v>
      </c>
      <c r="E867" s="35" t="s">
        <v>5079</v>
      </c>
      <c r="F867" s="4" t="str">
        <f>IF(COUNTIFS(Sheet1!$D$2:$D$3203, C867, Sheet1!$C$2:$C$3203, B867) &gt; 0, "Sudah", "Belum")</f>
        <v>Sudah</v>
      </c>
    </row>
    <row r="868" spans="1:6" hidden="1" x14ac:dyDescent="0.35">
      <c r="A868">
        <v>867</v>
      </c>
      <c r="B868" s="4" t="s">
        <v>5840</v>
      </c>
      <c r="C868" s="3">
        <v>1982</v>
      </c>
      <c r="D868" s="4" t="s">
        <v>5080</v>
      </c>
      <c r="E868" s="35" t="s">
        <v>5081</v>
      </c>
      <c r="F868" s="4" t="str">
        <f>IF(COUNTIFS(Sheet1!$D$2:$D$3203, C868, Sheet1!$C$2:$C$3203, B868) &gt; 0, "Sudah", "Belum")</f>
        <v>Sudah</v>
      </c>
    </row>
    <row r="869" spans="1:6" hidden="1" x14ac:dyDescent="0.35">
      <c r="A869">
        <v>868</v>
      </c>
      <c r="B869" s="4" t="s">
        <v>2454</v>
      </c>
      <c r="C869" s="3">
        <v>2017</v>
      </c>
      <c r="D869" s="4" t="s">
        <v>5082</v>
      </c>
      <c r="E869" s="35" t="s">
        <v>5083</v>
      </c>
      <c r="F869" s="4" t="str">
        <f>IF(COUNTIFS(Sheet1!$D$2:$D$3203, C869, Sheet1!$C$2:$C$3203, B869) &gt; 0, "Sudah", "Belum")</f>
        <v>Sudah</v>
      </c>
    </row>
    <row r="870" spans="1:6" hidden="1" x14ac:dyDescent="0.35">
      <c r="A870">
        <v>869</v>
      </c>
      <c r="B870" s="4" t="s">
        <v>5836</v>
      </c>
      <c r="C870" s="3">
        <v>2002</v>
      </c>
      <c r="D870" s="4" t="s">
        <v>5084</v>
      </c>
      <c r="E870" s="35" t="s">
        <v>5085</v>
      </c>
      <c r="F870" s="4" t="str">
        <f>IF(COUNTIFS(Sheet1!$D$2:$D$3203, C870, Sheet1!$C$2:$C$3203, B870) &gt; 0, "Sudah", "Belum")</f>
        <v>Sudah</v>
      </c>
    </row>
    <row r="871" spans="1:6" hidden="1" x14ac:dyDescent="0.35">
      <c r="A871">
        <v>870</v>
      </c>
      <c r="B871" s="4" t="s">
        <v>532</v>
      </c>
      <c r="C871" s="3">
        <v>1984</v>
      </c>
      <c r="D871" s="4" t="s">
        <v>5086</v>
      </c>
      <c r="E871" s="35" t="s">
        <v>5087</v>
      </c>
      <c r="F871" s="4" t="str">
        <f>IF(COUNTIFS(Sheet1!$D$2:$D$3203, C871, Sheet1!$C$2:$C$3203, B871) &gt; 0, "Sudah", "Belum")</f>
        <v>Sudah</v>
      </c>
    </row>
    <row r="872" spans="1:6" hidden="1" x14ac:dyDescent="0.35">
      <c r="A872">
        <v>871</v>
      </c>
      <c r="B872" s="4" t="s">
        <v>758</v>
      </c>
      <c r="C872" s="3">
        <v>1982</v>
      </c>
      <c r="D872" s="4" t="s">
        <v>5088</v>
      </c>
      <c r="E872" s="35" t="s">
        <v>5089</v>
      </c>
      <c r="F872" s="4" t="str">
        <f>IF(COUNTIFS(Sheet1!$D$2:$D$3203, C872, Sheet1!$C$2:$C$3203, B872) &gt; 0, "Sudah", "Belum")</f>
        <v>Sudah</v>
      </c>
    </row>
    <row r="873" spans="1:6" hidden="1" x14ac:dyDescent="0.35">
      <c r="A873">
        <v>872</v>
      </c>
      <c r="B873" s="4" t="s">
        <v>1654</v>
      </c>
      <c r="C873" s="3">
        <v>2001</v>
      </c>
      <c r="D873" s="4" t="s">
        <v>5090</v>
      </c>
      <c r="E873" s="35" t="s">
        <v>5091</v>
      </c>
      <c r="F873" s="4" t="str">
        <f>IF(COUNTIFS(Sheet1!$D$2:$D$3203, C873, Sheet1!$C$2:$C$3203, B873) &gt; 0, "Sudah", "Belum")</f>
        <v>Sudah</v>
      </c>
    </row>
    <row r="874" spans="1:6" hidden="1" x14ac:dyDescent="0.35">
      <c r="A874">
        <v>873</v>
      </c>
      <c r="B874" s="4" t="s">
        <v>2264</v>
      </c>
      <c r="C874" s="3">
        <v>2014</v>
      </c>
      <c r="D874" s="4" t="s">
        <v>5092</v>
      </c>
      <c r="E874" s="35" t="s">
        <v>5093</v>
      </c>
      <c r="F874" s="4" t="str">
        <f>IF(COUNTIFS(Sheet1!$D$2:$D$3203, C874, Sheet1!$C$2:$C$3203, B874) &gt; 0, "Sudah", "Belum")</f>
        <v>Sudah</v>
      </c>
    </row>
    <row r="875" spans="1:6" hidden="1" x14ac:dyDescent="0.35">
      <c r="A875">
        <v>874</v>
      </c>
      <c r="B875" s="4" t="s">
        <v>100</v>
      </c>
      <c r="C875" s="3">
        <v>1975</v>
      </c>
      <c r="D875" s="4" t="s">
        <v>5017</v>
      </c>
      <c r="E875" s="35" t="s">
        <v>5018</v>
      </c>
      <c r="F875" s="4" t="str">
        <f>IF(COUNTIFS(Sheet1!$D$2:$D$3203, C875, Sheet1!$C$2:$C$3203, B875) &gt; 0, "Sudah", "Belum")</f>
        <v>Sudah</v>
      </c>
    </row>
    <row r="876" spans="1:6" hidden="1" x14ac:dyDescent="0.35">
      <c r="A876">
        <v>875</v>
      </c>
      <c r="B876" s="4" t="s">
        <v>1754</v>
      </c>
      <c r="C876" s="3">
        <v>2004</v>
      </c>
      <c r="D876" s="4" t="s">
        <v>5094</v>
      </c>
      <c r="E876" s="35" t="s">
        <v>5095</v>
      </c>
      <c r="F876" s="4" t="str">
        <f>IF(COUNTIFS(Sheet1!$D$2:$D$3203, C876, Sheet1!$C$2:$C$3203, B876) &gt; 0, "Sudah", "Belum")</f>
        <v>Sudah</v>
      </c>
    </row>
    <row r="877" spans="1:6" hidden="1" x14ac:dyDescent="0.35">
      <c r="A877">
        <v>876</v>
      </c>
      <c r="B877" s="4" t="s">
        <v>3185</v>
      </c>
      <c r="C877" s="3">
        <v>2017</v>
      </c>
      <c r="D877" s="4" t="s">
        <v>5098</v>
      </c>
      <c r="E877" s="35" t="s">
        <v>5099</v>
      </c>
      <c r="F877" s="4" t="str">
        <f>IF(COUNTIFS(Sheet1!$D$2:$D$3203, C877, Sheet1!$C$2:$C$3203, B877) &gt; 0, "Sudah", "Belum")</f>
        <v>Sudah</v>
      </c>
    </row>
    <row r="878" spans="1:6" hidden="1" x14ac:dyDescent="0.35">
      <c r="A878">
        <v>877</v>
      </c>
      <c r="B878" s="4" t="s">
        <v>1689</v>
      </c>
      <c r="C878" s="3">
        <v>2003</v>
      </c>
      <c r="D878" s="4" t="s">
        <v>5096</v>
      </c>
      <c r="E878" s="35" t="s">
        <v>5097</v>
      </c>
      <c r="F878" s="4" t="str">
        <f>IF(COUNTIFS(Sheet1!$D$2:$D$3203, C878, Sheet1!$C$2:$C$3203, B878) &gt; 0, "Sudah", "Belum")</f>
        <v>Sudah</v>
      </c>
    </row>
    <row r="879" spans="1:6" x14ac:dyDescent="0.35">
      <c r="A879">
        <v>878</v>
      </c>
      <c r="B879" s="4" t="s">
        <v>5100</v>
      </c>
      <c r="C879" s="3">
        <v>1996</v>
      </c>
      <c r="D879" s="4" t="s">
        <v>5101</v>
      </c>
      <c r="E879" s="35" t="s">
        <v>5102</v>
      </c>
      <c r="F879" s="4" t="str">
        <f>IF(COUNTIFS(Sheet1!$D$2:$D$3203, C879, Sheet1!$C$2:$C$3203, B879) &gt; 0, "Sudah", "Belum")</f>
        <v>Belum</v>
      </c>
    </row>
    <row r="880" spans="1:6" hidden="1" x14ac:dyDescent="0.35">
      <c r="A880">
        <v>879</v>
      </c>
      <c r="B880" s="4" t="s">
        <v>5108</v>
      </c>
      <c r="C880" s="3">
        <v>2017</v>
      </c>
      <c r="D880" s="4" t="s">
        <v>5109</v>
      </c>
      <c r="E880" s="35" t="s">
        <v>5110</v>
      </c>
      <c r="F880" s="4" t="str">
        <f>IF(COUNTIFS(Sheet1!$D$2:$D$3203, C880, Sheet1!$C$2:$C$3203, B880) &gt; 0, "Sudah", "Belum")</f>
        <v>Sudah</v>
      </c>
    </row>
    <row r="881" spans="1:6" hidden="1" x14ac:dyDescent="0.35">
      <c r="A881">
        <v>880</v>
      </c>
      <c r="B881" s="4" t="s">
        <v>5105</v>
      </c>
      <c r="C881" s="3">
        <v>2001</v>
      </c>
      <c r="D881" s="4" t="s">
        <v>5106</v>
      </c>
      <c r="E881" s="35" t="s">
        <v>5107</v>
      </c>
      <c r="F881" s="4" t="str">
        <f>IF(COUNTIFS(Sheet1!$D$2:$D$3203, C881, Sheet1!$C$2:$C$3203, B881) &gt; 0, "Sudah", "Belum")</f>
        <v>Sudah</v>
      </c>
    </row>
    <row r="882" spans="1:6" hidden="1" x14ac:dyDescent="0.35">
      <c r="A882">
        <v>881</v>
      </c>
      <c r="B882" s="4" t="s">
        <v>2019</v>
      </c>
      <c r="C882" s="3">
        <v>2011</v>
      </c>
      <c r="D882" s="4" t="s">
        <v>5111</v>
      </c>
      <c r="E882" s="35" t="s">
        <v>5112</v>
      </c>
      <c r="F882" s="4" t="str">
        <f>IF(COUNTIFS(Sheet1!$D$2:$D$3203, C882, Sheet1!$C$2:$C$3203, B882) &gt; 0, "Sudah", "Belum")</f>
        <v>Sudah</v>
      </c>
    </row>
    <row r="883" spans="1:6" hidden="1" x14ac:dyDescent="0.35">
      <c r="A883">
        <v>882</v>
      </c>
      <c r="B883" s="4" t="s">
        <v>1751</v>
      </c>
      <c r="C883" s="3">
        <v>2003</v>
      </c>
      <c r="D883" s="4" t="s">
        <v>5113</v>
      </c>
      <c r="E883" s="35" t="s">
        <v>5114</v>
      </c>
      <c r="F883" s="4" t="str">
        <f>IF(COUNTIFS(Sheet1!$D$2:$D$3203, C883, Sheet1!$C$2:$C$3203, B883) &gt; 0, "Sudah", "Belum")</f>
        <v>Sudah</v>
      </c>
    </row>
    <row r="884" spans="1:6" hidden="1" x14ac:dyDescent="0.35">
      <c r="A884">
        <v>883</v>
      </c>
      <c r="B884" s="4" t="s">
        <v>527</v>
      </c>
      <c r="C884" s="3">
        <v>1983</v>
      </c>
      <c r="D884" s="4" t="s">
        <v>5115</v>
      </c>
      <c r="E884" s="35" t="s">
        <v>5116</v>
      </c>
      <c r="F884" s="4" t="str">
        <f>IF(COUNTIFS(Sheet1!$D$2:$D$3203, C884, Sheet1!$C$2:$C$3203, B884) &gt; 0, "Sudah", "Belum")</f>
        <v>Sudah</v>
      </c>
    </row>
    <row r="885" spans="1:6" hidden="1" x14ac:dyDescent="0.35">
      <c r="A885">
        <v>884</v>
      </c>
      <c r="B885" s="4" t="s">
        <v>2089</v>
      </c>
      <c r="C885" s="3">
        <v>2011</v>
      </c>
      <c r="D885" s="4" t="s">
        <v>4498</v>
      </c>
      <c r="E885" s="35" t="s">
        <v>4499</v>
      </c>
      <c r="F885" s="4" t="str">
        <f>IF(COUNTIFS(Sheet1!$D$2:$D$3203, C885, Sheet1!$C$2:$C$3203, B885) &gt; 0, "Sudah", "Belum")</f>
        <v>Sudah</v>
      </c>
    </row>
    <row r="886" spans="1:6" hidden="1" x14ac:dyDescent="0.35">
      <c r="A886">
        <v>885</v>
      </c>
      <c r="B886" s="4" t="s">
        <v>2525</v>
      </c>
      <c r="C886" s="3">
        <v>2017</v>
      </c>
      <c r="D886" s="4" t="s">
        <v>5117</v>
      </c>
      <c r="E886" s="35" t="s">
        <v>5118</v>
      </c>
      <c r="F886" s="4" t="str">
        <f>IF(COUNTIFS(Sheet1!$D$2:$D$3203, C886, Sheet1!$C$2:$C$3203, B886) &gt; 0, "Sudah", "Belum")</f>
        <v>Sudah</v>
      </c>
    </row>
    <row r="887" spans="1:6" ht="14" hidden="1" customHeight="1" x14ac:dyDescent="0.35">
      <c r="A887">
        <v>886</v>
      </c>
      <c r="B887" s="4" t="s">
        <v>615</v>
      </c>
      <c r="C887" s="3">
        <v>1985</v>
      </c>
      <c r="D887" s="4" t="s">
        <v>5119</v>
      </c>
      <c r="E887" s="35" t="s">
        <v>5120</v>
      </c>
      <c r="F887" s="4" t="str">
        <f>IF(COUNTIFS(Sheet1!$D$2:$D$3203, C887, Sheet1!$C$2:$C$3203, B887) &gt; 0, "Sudah", "Belum")</f>
        <v>Sudah</v>
      </c>
    </row>
    <row r="888" spans="1:6" hidden="1" x14ac:dyDescent="0.35">
      <c r="A888">
        <v>887</v>
      </c>
      <c r="B888" s="4" t="s">
        <v>1012</v>
      </c>
      <c r="C888" s="3">
        <v>1994</v>
      </c>
      <c r="D888" s="4" t="s">
        <v>5121</v>
      </c>
      <c r="E888" s="35" t="s">
        <v>5122</v>
      </c>
      <c r="F888" s="4" t="str">
        <f>IF(COUNTIFS(Sheet1!$D$2:$D$3203, C888, Sheet1!$C$2:$C$3203, B888) &gt; 0, "Sudah", "Belum")</f>
        <v>Sudah</v>
      </c>
    </row>
    <row r="889" spans="1:6" hidden="1" x14ac:dyDescent="0.35">
      <c r="A889">
        <v>888</v>
      </c>
      <c r="B889" s="4" t="s">
        <v>431</v>
      </c>
      <c r="C889" s="3">
        <v>1980</v>
      </c>
      <c r="D889" s="4" t="s">
        <v>5123</v>
      </c>
      <c r="E889" s="35" t="s">
        <v>5124</v>
      </c>
      <c r="F889" s="4" t="str">
        <f>IF(COUNTIFS(Sheet1!$D$2:$D$3203, C889, Sheet1!$C$2:$C$3203, B889) &gt; 0, "Sudah", "Belum")</f>
        <v>Sudah</v>
      </c>
    </row>
    <row r="890" spans="1:6" hidden="1" x14ac:dyDescent="0.35">
      <c r="A890">
        <v>889</v>
      </c>
      <c r="B890" s="4" t="s">
        <v>2688</v>
      </c>
      <c r="C890" s="3">
        <v>2020</v>
      </c>
      <c r="D890" s="4" t="s">
        <v>5125</v>
      </c>
      <c r="E890" s="35" t="s">
        <v>5126</v>
      </c>
      <c r="F890" s="4" t="str">
        <f>IF(COUNTIFS(Sheet1!$D$2:$D$3203, C890, Sheet1!$C$2:$C$3203, B890) &gt; 0, "Sudah", "Belum")</f>
        <v>Sudah</v>
      </c>
    </row>
    <row r="891" spans="1:6" hidden="1" x14ac:dyDescent="0.35">
      <c r="A891">
        <v>890</v>
      </c>
      <c r="B891" s="4" t="s">
        <v>2078</v>
      </c>
      <c r="C891" s="3">
        <v>2011</v>
      </c>
      <c r="D891" s="4" t="s">
        <v>5127</v>
      </c>
      <c r="E891" s="35" t="s">
        <v>5128</v>
      </c>
      <c r="F891" s="4" t="str">
        <f>IF(COUNTIFS(Sheet1!$D$2:$D$3203, C891, Sheet1!$C$2:$C$3203, B891) &gt; 0, "Sudah", "Belum")</f>
        <v>Sudah</v>
      </c>
    </row>
    <row r="892" spans="1:6" hidden="1" x14ac:dyDescent="0.35">
      <c r="A892">
        <v>891</v>
      </c>
      <c r="B892" s="4" t="s">
        <v>2750</v>
      </c>
      <c r="C892" s="3">
        <v>2021</v>
      </c>
      <c r="D892" s="4" t="s">
        <v>5129</v>
      </c>
      <c r="E892" s="35" t="s">
        <v>5130</v>
      </c>
      <c r="F892" s="4" t="str">
        <f>IF(COUNTIFS(Sheet1!$D$2:$D$3203, C892, Sheet1!$C$2:$C$3203, B892) &gt; 0, "Sudah", "Belum")</f>
        <v>Sudah</v>
      </c>
    </row>
    <row r="893" spans="1:6" hidden="1" x14ac:dyDescent="0.35">
      <c r="A893">
        <v>892</v>
      </c>
      <c r="B893" s="4" t="s">
        <v>2817</v>
      </c>
      <c r="C893" s="3">
        <v>2021</v>
      </c>
      <c r="D893" s="4" t="s">
        <v>5131</v>
      </c>
      <c r="E893" s="35" t="s">
        <v>5132</v>
      </c>
      <c r="F893" s="4" t="str">
        <f>IF(COUNTIFS(Sheet1!$D$2:$D$3203, C893, Sheet1!$C$2:$C$3203, B893) &gt; 0, "Sudah", "Belum")</f>
        <v>Sudah</v>
      </c>
    </row>
    <row r="894" spans="1:6" hidden="1" x14ac:dyDescent="0.35">
      <c r="A894">
        <v>893</v>
      </c>
      <c r="B894" s="4" t="s">
        <v>2812</v>
      </c>
      <c r="C894" s="3">
        <v>2021</v>
      </c>
      <c r="D894" s="4" t="s">
        <v>5133</v>
      </c>
      <c r="E894" s="35" t="s">
        <v>5134</v>
      </c>
      <c r="F894" s="4" t="str">
        <f>IF(COUNTIFS(Sheet1!$D$2:$D$3203, C894, Sheet1!$C$2:$C$3203, B894) &gt; 0, "Sudah", "Belum")</f>
        <v>Sudah</v>
      </c>
    </row>
    <row r="895" spans="1:6" hidden="1" x14ac:dyDescent="0.35">
      <c r="A895">
        <v>894</v>
      </c>
      <c r="B895" s="4" t="s">
        <v>2751</v>
      </c>
      <c r="C895" s="3">
        <v>2021</v>
      </c>
      <c r="D895" s="4" t="s">
        <v>5135</v>
      </c>
      <c r="E895" s="35" t="s">
        <v>5136</v>
      </c>
      <c r="F895" s="4" t="str">
        <f>IF(COUNTIFS(Sheet1!$D$2:$D$3203, C895, Sheet1!$C$2:$C$3203, B895) &gt; 0, "Sudah", "Belum")</f>
        <v>Sudah</v>
      </c>
    </row>
    <row r="896" spans="1:6" hidden="1" x14ac:dyDescent="0.35">
      <c r="A896">
        <v>895</v>
      </c>
      <c r="B896" s="4" t="s">
        <v>2827</v>
      </c>
      <c r="C896" s="3">
        <v>2021</v>
      </c>
      <c r="D896" s="4" t="s">
        <v>5137</v>
      </c>
      <c r="E896" s="35" t="s">
        <v>5138</v>
      </c>
      <c r="F896" s="4" t="str">
        <f>IF(COUNTIFS(Sheet1!$D$2:$D$3203, C896, Sheet1!$C$2:$C$3203, B896) &gt; 0, "Sudah", "Belum")</f>
        <v>Sudah</v>
      </c>
    </row>
    <row r="897" spans="1:6" hidden="1" x14ac:dyDescent="0.35">
      <c r="A897">
        <v>896</v>
      </c>
      <c r="B897" s="4" t="s">
        <v>2779</v>
      </c>
      <c r="C897" s="3">
        <v>2021</v>
      </c>
      <c r="D897" s="4" t="s">
        <v>5139</v>
      </c>
      <c r="E897" s="35" t="s">
        <v>5140</v>
      </c>
      <c r="F897" s="4" t="str">
        <f>IF(COUNTIFS(Sheet1!$D$2:$D$3203, C897, Sheet1!$C$2:$C$3203, B897) &gt; 0, "Sudah", "Belum")</f>
        <v>Sudah</v>
      </c>
    </row>
    <row r="898" spans="1:6" hidden="1" x14ac:dyDescent="0.35">
      <c r="A898">
        <v>897</v>
      </c>
      <c r="B898" s="4" t="s">
        <v>2811</v>
      </c>
      <c r="C898" s="3">
        <v>2021</v>
      </c>
      <c r="D898" s="4" t="s">
        <v>5141</v>
      </c>
      <c r="E898" s="35" t="s">
        <v>5142</v>
      </c>
      <c r="F898" s="4" t="str">
        <f>IF(COUNTIFS(Sheet1!$D$2:$D$3203, C898, Sheet1!$C$2:$C$3203, B898) &gt; 0, "Sudah", "Belum")</f>
        <v>Sudah</v>
      </c>
    </row>
    <row r="899" spans="1:6" hidden="1" x14ac:dyDescent="0.35">
      <c r="A899">
        <v>898</v>
      </c>
      <c r="B899" s="4" t="s">
        <v>2815</v>
      </c>
      <c r="C899" s="3">
        <v>2021</v>
      </c>
      <c r="D899" s="4" t="s">
        <v>5143</v>
      </c>
      <c r="E899" s="35" t="s">
        <v>5144</v>
      </c>
      <c r="F899" s="4" t="str">
        <f>IF(COUNTIFS(Sheet1!$D$2:$D$3203, C899, Sheet1!$C$2:$C$3203, B899) &gt; 0, "Sudah", "Belum")</f>
        <v>Sudah</v>
      </c>
    </row>
    <row r="900" spans="1:6" hidden="1" x14ac:dyDescent="0.35">
      <c r="A900">
        <v>899</v>
      </c>
      <c r="B900" s="4" t="s">
        <v>63</v>
      </c>
      <c r="C900" s="3">
        <v>2011</v>
      </c>
      <c r="D900" s="4" t="s">
        <v>5145</v>
      </c>
      <c r="E900" s="35" t="s">
        <v>5146</v>
      </c>
      <c r="F900" s="4" t="str">
        <f>IF(COUNTIFS(Sheet1!$D$2:$D$3203, C900, Sheet1!$C$2:$C$3203, B900) &gt; 0, "Sudah", "Belum")</f>
        <v>Sudah</v>
      </c>
    </row>
    <row r="901" spans="1:6" hidden="1" x14ac:dyDescent="0.35">
      <c r="A901">
        <v>900</v>
      </c>
      <c r="B901" s="4" t="s">
        <v>2119</v>
      </c>
      <c r="C901" s="3">
        <v>2012</v>
      </c>
      <c r="D901" s="4" t="s">
        <v>5147</v>
      </c>
      <c r="E901" s="35" t="s">
        <v>5148</v>
      </c>
      <c r="F901" s="4" t="str">
        <f>IF(COUNTIFS(Sheet1!$D$2:$D$3203, C901, Sheet1!$C$2:$C$3203, B901) &gt; 0, "Sudah", "Belum")</f>
        <v>Sudah</v>
      </c>
    </row>
    <row r="902" spans="1:6" hidden="1" x14ac:dyDescent="0.35">
      <c r="A902">
        <v>901</v>
      </c>
      <c r="B902" s="4" t="s">
        <v>2224</v>
      </c>
      <c r="C902" s="3">
        <v>2013</v>
      </c>
      <c r="D902" s="4" t="s">
        <v>5149</v>
      </c>
      <c r="E902" s="35" t="s">
        <v>5150</v>
      </c>
      <c r="F902" s="4" t="str">
        <f>IF(COUNTIFS(Sheet1!$D$2:$D$3203, C902, Sheet1!$C$2:$C$3203, B902) &gt; 0, "Sudah", "Belum")</f>
        <v>Sudah</v>
      </c>
    </row>
    <row r="903" spans="1:6" hidden="1" x14ac:dyDescent="0.35">
      <c r="A903">
        <v>902</v>
      </c>
      <c r="B903" s="4" t="s">
        <v>2005</v>
      </c>
      <c r="C903" s="3">
        <v>2011</v>
      </c>
      <c r="D903" s="4" t="s">
        <v>5151</v>
      </c>
      <c r="E903" s="35" t="s">
        <v>5152</v>
      </c>
      <c r="F903" s="4" t="str">
        <f>IF(COUNTIFS(Sheet1!$D$2:$D$3203, C903, Sheet1!$C$2:$C$3203, B903) &gt; 0, "Sudah", "Belum")</f>
        <v>Sudah</v>
      </c>
    </row>
    <row r="904" spans="1:6" hidden="1" x14ac:dyDescent="0.35">
      <c r="A904">
        <v>903</v>
      </c>
      <c r="B904" s="4" t="s">
        <v>2778</v>
      </c>
      <c r="C904" s="3">
        <v>2021</v>
      </c>
      <c r="D904" s="4" t="s">
        <v>5155</v>
      </c>
      <c r="E904" s="35" t="s">
        <v>5156</v>
      </c>
      <c r="F904" s="4" t="str">
        <f>IF(COUNTIFS(Sheet1!$D$2:$D$3203, C904, Sheet1!$C$2:$C$3203, B904) &gt; 0, "Sudah", "Belum")</f>
        <v>Sudah</v>
      </c>
    </row>
    <row r="905" spans="1:6" hidden="1" x14ac:dyDescent="0.35">
      <c r="A905">
        <v>904</v>
      </c>
      <c r="B905" s="4" t="s">
        <v>1630</v>
      </c>
      <c r="C905" s="3">
        <v>1998</v>
      </c>
      <c r="D905" s="4" t="s">
        <v>5157</v>
      </c>
      <c r="E905" s="35" t="s">
        <v>5158</v>
      </c>
      <c r="F905" s="4" t="str">
        <f>IF(COUNTIFS(Sheet1!$D$2:$D$3203, C905, Sheet1!$C$2:$C$3203, B905) &gt; 0, "Sudah", "Belum")</f>
        <v>Sudah</v>
      </c>
    </row>
    <row r="906" spans="1:6" hidden="1" x14ac:dyDescent="0.35">
      <c r="A906">
        <v>905</v>
      </c>
      <c r="B906" s="4" t="s">
        <v>259</v>
      </c>
      <c r="C906" s="3">
        <v>1980</v>
      </c>
      <c r="D906" s="4" t="s">
        <v>5159</v>
      </c>
      <c r="E906" s="35" t="s">
        <v>5160</v>
      </c>
      <c r="F906" s="4" t="str">
        <f>IF(COUNTIFS(Sheet1!$D$2:$D$3203, C906, Sheet1!$C$2:$C$3203, B906) &gt; 0, "Sudah", "Belum")</f>
        <v>Sudah</v>
      </c>
    </row>
    <row r="907" spans="1:6" hidden="1" x14ac:dyDescent="0.35">
      <c r="A907">
        <v>906</v>
      </c>
      <c r="B907" s="4" t="s">
        <v>229</v>
      </c>
      <c r="C907" s="3">
        <v>1979</v>
      </c>
      <c r="D907" s="4" t="s">
        <v>5161</v>
      </c>
      <c r="E907" s="35" t="s">
        <v>5162</v>
      </c>
      <c r="F907" s="4" t="str">
        <f>IF(COUNTIFS(Sheet1!$D$2:$D$3203, C907, Sheet1!$C$2:$C$3203, B907) &gt; 0, "Sudah", "Belum")</f>
        <v>Sudah</v>
      </c>
    </row>
    <row r="908" spans="1:6" hidden="1" x14ac:dyDescent="0.35">
      <c r="A908">
        <v>907</v>
      </c>
      <c r="B908" s="4" t="s">
        <v>2788</v>
      </c>
      <c r="C908" s="3">
        <v>2021</v>
      </c>
      <c r="D908" s="4" t="s">
        <v>5163</v>
      </c>
      <c r="E908" s="35" t="s">
        <v>5164</v>
      </c>
      <c r="F908" s="4" t="str">
        <f>IF(COUNTIFS(Sheet1!$D$2:$D$3203, C908, Sheet1!$C$2:$C$3203, B908) &gt; 0, "Sudah", "Belum")</f>
        <v>Sudah</v>
      </c>
    </row>
    <row r="909" spans="1:6" hidden="1" x14ac:dyDescent="0.35">
      <c r="A909">
        <v>908</v>
      </c>
      <c r="B909" s="4" t="s">
        <v>1763</v>
      </c>
      <c r="C909" s="3">
        <v>2002</v>
      </c>
      <c r="D909" s="4" t="s">
        <v>5165</v>
      </c>
      <c r="E909" s="35" t="s">
        <v>5166</v>
      </c>
      <c r="F909" s="4" t="str">
        <f>IF(COUNTIFS(Sheet1!$D$2:$D$3203, C909, Sheet1!$C$2:$C$3203, B909) &gt; 0, "Sudah", "Belum")</f>
        <v>Sudah</v>
      </c>
    </row>
    <row r="910" spans="1:6" hidden="1" x14ac:dyDescent="0.35">
      <c r="A910">
        <v>909</v>
      </c>
      <c r="B910" s="4" t="s">
        <v>667</v>
      </c>
      <c r="C910" s="3">
        <v>1985</v>
      </c>
      <c r="D910" s="4" t="s">
        <v>5167</v>
      </c>
      <c r="E910" s="35" t="s">
        <v>5168</v>
      </c>
      <c r="F910" s="4" t="str">
        <f>IF(COUNTIFS(Sheet1!$D$2:$D$3203, C910, Sheet1!$C$2:$C$3203, B910) &gt; 0, "Sudah", "Belum")</f>
        <v>Sudah</v>
      </c>
    </row>
    <row r="911" spans="1:6" hidden="1" x14ac:dyDescent="0.35">
      <c r="A911">
        <v>910</v>
      </c>
      <c r="B911" s="4" t="s">
        <v>1670</v>
      </c>
      <c r="C911" s="3">
        <v>2001</v>
      </c>
      <c r="D911" s="4" t="s">
        <v>5169</v>
      </c>
      <c r="E911" s="35" t="s">
        <v>5170</v>
      </c>
      <c r="F911" s="4" t="str">
        <f>IF(COUNTIFS(Sheet1!$D$2:$D$3203, C911, Sheet1!$C$2:$C$3203, B911) &gt; 0, "Sudah", "Belum")</f>
        <v>Sudah</v>
      </c>
    </row>
    <row r="912" spans="1:6" hidden="1" x14ac:dyDescent="0.35">
      <c r="A912">
        <v>911</v>
      </c>
      <c r="B912" s="4" t="s">
        <v>705</v>
      </c>
      <c r="C912" s="3">
        <v>1988</v>
      </c>
      <c r="D912" s="4" t="s">
        <v>5171</v>
      </c>
      <c r="E912" s="35" t="s">
        <v>5172</v>
      </c>
      <c r="F912" s="4" t="str">
        <f>IF(COUNTIFS(Sheet1!$D$2:$D$3203, C912, Sheet1!$C$2:$C$3203, B912) &gt; 0, "Sudah", "Belum")</f>
        <v>Sudah</v>
      </c>
    </row>
    <row r="913" spans="1:6" hidden="1" x14ac:dyDescent="0.35">
      <c r="A913">
        <v>912</v>
      </c>
      <c r="B913" s="4" t="s">
        <v>1325</v>
      </c>
      <c r="C913" s="3">
        <v>1998</v>
      </c>
      <c r="D913" s="4" t="s">
        <v>4224</v>
      </c>
      <c r="E913" s="35" t="s">
        <v>4225</v>
      </c>
      <c r="F913" s="4" t="str">
        <f>IF(COUNTIFS(Sheet1!$D$2:$D$3203, C913, Sheet1!$C$2:$C$3203, B913) &gt; 0, "Sudah", "Belum")</f>
        <v>Sudah</v>
      </c>
    </row>
    <row r="914" spans="1:6" hidden="1" x14ac:dyDescent="0.35">
      <c r="A914">
        <v>913</v>
      </c>
      <c r="B914" s="4" t="s">
        <v>2796</v>
      </c>
      <c r="C914" s="3">
        <v>2021</v>
      </c>
      <c r="D914" s="4" t="s">
        <v>5173</v>
      </c>
      <c r="E914" s="35" t="s">
        <v>5174</v>
      </c>
      <c r="F914" s="4" t="str">
        <f>IF(COUNTIFS(Sheet1!$D$2:$D$3203, C914, Sheet1!$C$2:$C$3203, B914) &gt; 0, "Sudah", "Belum")</f>
        <v>Sudah</v>
      </c>
    </row>
    <row r="915" spans="1:6" hidden="1" x14ac:dyDescent="0.35">
      <c r="A915">
        <v>914</v>
      </c>
      <c r="B915" s="4" t="s">
        <v>402</v>
      </c>
      <c r="C915" s="3">
        <v>1983</v>
      </c>
      <c r="D915" s="4" t="s">
        <v>5175</v>
      </c>
      <c r="E915" s="35" t="s">
        <v>5176</v>
      </c>
      <c r="F915" s="4" t="str">
        <f>IF(COUNTIFS(Sheet1!$D$2:$D$3203, C915, Sheet1!$C$2:$C$3203, B915) &gt; 0, "Sudah", "Belum")</f>
        <v>Sudah</v>
      </c>
    </row>
    <row r="916" spans="1:6" hidden="1" x14ac:dyDescent="0.35">
      <c r="A916">
        <v>915</v>
      </c>
      <c r="B916" s="4" t="s">
        <v>2822</v>
      </c>
      <c r="C916" s="3">
        <v>2021</v>
      </c>
      <c r="D916" s="4" t="s">
        <v>5177</v>
      </c>
      <c r="E916" s="35" t="s">
        <v>5178</v>
      </c>
      <c r="F916" s="4" t="str">
        <f>IF(COUNTIFS(Sheet1!$D$2:$D$3203, C916, Sheet1!$C$2:$C$3203, B916) &gt; 0, "Sudah", "Belum")</f>
        <v>Sudah</v>
      </c>
    </row>
    <row r="917" spans="1:6" x14ac:dyDescent="0.35">
      <c r="A917">
        <v>916</v>
      </c>
      <c r="B917" s="4" t="s">
        <v>3400</v>
      </c>
      <c r="C917" s="3">
        <v>1985</v>
      </c>
      <c r="D917" s="4" t="s">
        <v>5179</v>
      </c>
      <c r="E917" s="35" t="s">
        <v>5180</v>
      </c>
      <c r="F917" s="4" t="str">
        <f>IF(COUNTIFS(Sheet1!$D$2:$D$3203, C917, Sheet1!$C$2:$C$3203, B917) &gt; 0, "Sudah", "Belum")</f>
        <v>Belum</v>
      </c>
    </row>
    <row r="918" spans="1:6" hidden="1" x14ac:dyDescent="0.35">
      <c r="A918">
        <v>917</v>
      </c>
      <c r="B918" s="4" t="s">
        <v>957</v>
      </c>
      <c r="C918" s="3">
        <v>1993</v>
      </c>
      <c r="D918" s="4" t="s">
        <v>5181</v>
      </c>
      <c r="E918" s="35" t="s">
        <v>5182</v>
      </c>
      <c r="F918" s="4" t="str">
        <f>IF(COUNTIFS(Sheet1!$D$2:$D$3203, C918, Sheet1!$C$2:$C$3203, B918) &gt; 0, "Sudah", "Belum")</f>
        <v>Sudah</v>
      </c>
    </row>
    <row r="919" spans="1:6" hidden="1" x14ac:dyDescent="0.35">
      <c r="A919">
        <v>918</v>
      </c>
      <c r="B919" s="4" t="s">
        <v>1826</v>
      </c>
      <c r="C919" s="3">
        <v>2004</v>
      </c>
      <c r="D919" s="4" t="s">
        <v>5183</v>
      </c>
      <c r="E919" s="35" t="s">
        <v>5184</v>
      </c>
      <c r="F919" s="4" t="str">
        <f>IF(COUNTIFS(Sheet1!$D$2:$D$3203, C919, Sheet1!$C$2:$C$3203, B919) &gt; 0, "Sudah", "Belum")</f>
        <v>Sudah</v>
      </c>
    </row>
    <row r="920" spans="1:6" hidden="1" x14ac:dyDescent="0.35">
      <c r="A920">
        <v>919</v>
      </c>
      <c r="B920" s="4" t="s">
        <v>1579</v>
      </c>
      <c r="C920" s="3">
        <v>2000</v>
      </c>
      <c r="D920" s="4" t="s">
        <v>5185</v>
      </c>
      <c r="E920" s="35" t="s">
        <v>5186</v>
      </c>
      <c r="F920" s="4" t="str">
        <f>IF(COUNTIFS(Sheet1!$D$2:$D$3203, C920, Sheet1!$C$2:$C$3203, B920) &gt; 0, "Sudah", "Belum")</f>
        <v>Sudah</v>
      </c>
    </row>
    <row r="921" spans="1:6" hidden="1" x14ac:dyDescent="0.35">
      <c r="A921">
        <v>920</v>
      </c>
      <c r="B921" s="4" t="s">
        <v>2278</v>
      </c>
      <c r="C921" s="3">
        <v>2014</v>
      </c>
      <c r="D921" s="4" t="s">
        <v>5187</v>
      </c>
      <c r="E921" s="35" t="s">
        <v>5188</v>
      </c>
      <c r="F921" s="4" t="str">
        <f>IF(COUNTIFS(Sheet1!$D$2:$D$3203, C921, Sheet1!$C$2:$C$3203, B921) &gt; 0, "Sudah", "Belum")</f>
        <v>Sudah</v>
      </c>
    </row>
    <row r="922" spans="1:6" hidden="1" x14ac:dyDescent="0.35">
      <c r="A922">
        <v>921</v>
      </c>
      <c r="B922" s="4" t="s">
        <v>5189</v>
      </c>
      <c r="C922" s="3">
        <v>1979</v>
      </c>
      <c r="D922" s="4" t="s">
        <v>5190</v>
      </c>
      <c r="E922" s="35" t="s">
        <v>5191</v>
      </c>
      <c r="F922" s="4" t="str">
        <f>IF(COUNTIFS(Sheet1!$D$2:$D$3203, C922, Sheet1!$C$2:$C$3203, B922) &gt; 0, "Sudah", "Belum")</f>
        <v>Sudah</v>
      </c>
    </row>
    <row r="923" spans="1:6" hidden="1" x14ac:dyDescent="0.35">
      <c r="A923">
        <v>922</v>
      </c>
      <c r="B923" s="4" t="s">
        <v>230</v>
      </c>
      <c r="C923" s="3">
        <v>1976</v>
      </c>
      <c r="D923" s="4" t="s">
        <v>5192</v>
      </c>
      <c r="E923" s="35" t="s">
        <v>5193</v>
      </c>
      <c r="F923" s="4" t="str">
        <f>IF(COUNTIFS(Sheet1!$D$2:$D$3203, C923, Sheet1!$C$2:$C$3203, B923) &gt; 0, "Sudah", "Belum")</f>
        <v>Sudah</v>
      </c>
    </row>
    <row r="924" spans="1:6" hidden="1" x14ac:dyDescent="0.35">
      <c r="A924">
        <v>923</v>
      </c>
      <c r="B924" s="4" t="s">
        <v>158</v>
      </c>
      <c r="C924" s="3">
        <v>1976</v>
      </c>
      <c r="D924" s="4" t="s">
        <v>5194</v>
      </c>
      <c r="E924" s="35" t="s">
        <v>4202</v>
      </c>
      <c r="F924" s="4" t="str">
        <f>IF(COUNTIFS(Sheet1!$D$2:$D$3203, C924, Sheet1!$C$2:$C$3203, B924) &gt; 0, "Sudah", "Belum")</f>
        <v>Sudah</v>
      </c>
    </row>
    <row r="925" spans="1:6" hidden="1" x14ac:dyDescent="0.35">
      <c r="A925">
        <v>924</v>
      </c>
      <c r="B925" s="4" t="s">
        <v>1181</v>
      </c>
      <c r="C925" s="3">
        <v>1994</v>
      </c>
      <c r="D925" s="4" t="s">
        <v>4796</v>
      </c>
      <c r="E925" s="35" t="s">
        <v>4797</v>
      </c>
      <c r="F925" s="4" t="str">
        <f>IF(COUNTIFS(Sheet1!$D$2:$D$3203, C925, Sheet1!$C$2:$C$3203, B925) &gt; 0, "Sudah", "Belum")</f>
        <v>Sudah</v>
      </c>
    </row>
    <row r="926" spans="1:6" hidden="1" x14ac:dyDescent="0.35">
      <c r="A926">
        <v>925</v>
      </c>
      <c r="B926" s="4" t="s">
        <v>5838</v>
      </c>
      <c r="C926" s="3">
        <v>1998</v>
      </c>
      <c r="D926" s="4" t="s">
        <v>5195</v>
      </c>
      <c r="E926" s="35" t="s">
        <v>5196</v>
      </c>
      <c r="F926" s="4" t="str">
        <f>IF(COUNTIFS(Sheet1!$D$2:$D$3203, C926, Sheet1!$C$2:$C$3203, B926) &gt; 0, "Sudah", "Belum")</f>
        <v>Sudah</v>
      </c>
    </row>
    <row r="927" spans="1:6" hidden="1" x14ac:dyDescent="0.35">
      <c r="A927">
        <v>926</v>
      </c>
      <c r="B927" s="4" t="s">
        <v>2767</v>
      </c>
      <c r="C927" s="3">
        <v>2021</v>
      </c>
      <c r="D927" s="4" t="s">
        <v>5197</v>
      </c>
      <c r="E927" s="35" t="s">
        <v>5198</v>
      </c>
      <c r="F927" s="4" t="str">
        <f>IF(COUNTIFS(Sheet1!$D$2:$D$3203, C927, Sheet1!$C$2:$C$3203, B927) &gt; 0, "Sudah", "Belum")</f>
        <v>Sudah</v>
      </c>
    </row>
    <row r="928" spans="1:6" hidden="1" x14ac:dyDescent="0.35">
      <c r="A928">
        <v>927</v>
      </c>
      <c r="B928" s="4" t="s">
        <v>871</v>
      </c>
      <c r="C928" s="3">
        <v>1989</v>
      </c>
      <c r="D928" s="4" t="s">
        <v>5199</v>
      </c>
      <c r="E928" s="35" t="s">
        <v>5200</v>
      </c>
      <c r="F928" s="4" t="str">
        <f>IF(COUNTIFS(Sheet1!$D$2:$D$3203, C928, Sheet1!$C$2:$C$3203, B928) &gt; 0, "Sudah", "Belum")</f>
        <v>Sudah</v>
      </c>
    </row>
    <row r="929" spans="1:6" hidden="1" x14ac:dyDescent="0.35">
      <c r="A929">
        <v>928</v>
      </c>
      <c r="B929" s="4" t="s">
        <v>2366</v>
      </c>
      <c r="C929" s="3">
        <v>2015</v>
      </c>
      <c r="D929" s="4" t="s">
        <v>5201</v>
      </c>
      <c r="E929" s="35" t="s">
        <v>5202</v>
      </c>
      <c r="F929" s="4" t="str">
        <f>IF(COUNTIFS(Sheet1!$D$2:$D$3203, C929, Sheet1!$C$2:$C$3203, B929) &gt; 0, "Sudah", "Belum")</f>
        <v>Sudah</v>
      </c>
    </row>
    <row r="930" spans="1:6" hidden="1" x14ac:dyDescent="0.35">
      <c r="A930">
        <v>929</v>
      </c>
      <c r="B930" s="4" t="s">
        <v>2094</v>
      </c>
      <c r="C930" s="3">
        <v>2011</v>
      </c>
      <c r="D930" s="4" t="s">
        <v>5153</v>
      </c>
      <c r="E930" s="35" t="s">
        <v>5154</v>
      </c>
      <c r="F930" s="4" t="str">
        <f>IF(COUNTIFS(Sheet1!$D$2:$D$3203, C930, Sheet1!$C$2:$C$3203, B930) &gt; 0, "Sudah", "Belum")</f>
        <v>Sudah</v>
      </c>
    </row>
    <row r="931" spans="1:6" hidden="1" x14ac:dyDescent="0.35">
      <c r="A931">
        <v>930</v>
      </c>
      <c r="B931" s="4" t="s">
        <v>1677</v>
      </c>
      <c r="C931" s="3">
        <v>2001</v>
      </c>
      <c r="D931" s="4" t="s">
        <v>5203</v>
      </c>
      <c r="E931" s="35" t="s">
        <v>5204</v>
      </c>
      <c r="F931" s="4" t="str">
        <f>IF(COUNTIFS(Sheet1!$D$2:$D$3203, C931, Sheet1!$C$2:$C$3203, B931) &gt; 0, "Sudah", "Belum")</f>
        <v>Sudah</v>
      </c>
    </row>
    <row r="932" spans="1:6" hidden="1" x14ac:dyDescent="0.35">
      <c r="A932">
        <v>931</v>
      </c>
      <c r="B932" s="4" t="s">
        <v>714</v>
      </c>
      <c r="C932" s="3">
        <v>1985</v>
      </c>
      <c r="D932" s="4" t="s">
        <v>5205</v>
      </c>
      <c r="E932" s="35" t="s">
        <v>5206</v>
      </c>
      <c r="F932" s="4" t="str">
        <f>IF(COUNTIFS(Sheet1!$D$2:$D$3203, C932, Sheet1!$C$2:$C$3203, B932) &gt; 0, "Sudah", "Belum")</f>
        <v>Sudah</v>
      </c>
    </row>
    <row r="933" spans="1:6" hidden="1" x14ac:dyDescent="0.35">
      <c r="A933">
        <v>932</v>
      </c>
      <c r="B933" s="4" t="s">
        <v>882</v>
      </c>
      <c r="C933" s="3">
        <v>1993</v>
      </c>
      <c r="D933" s="4" t="s">
        <v>5207</v>
      </c>
      <c r="E933" s="35" t="s">
        <v>5208</v>
      </c>
      <c r="F933" s="4" t="str">
        <f>IF(COUNTIFS(Sheet1!$D$2:$D$3203, C933, Sheet1!$C$2:$C$3203, B933) &gt; 0, "Sudah", "Belum")</f>
        <v>Sudah</v>
      </c>
    </row>
    <row r="934" spans="1:6" hidden="1" x14ac:dyDescent="0.35">
      <c r="A934">
        <v>933</v>
      </c>
      <c r="B934" s="4" t="s">
        <v>2034</v>
      </c>
      <c r="C934" s="3">
        <v>2011</v>
      </c>
      <c r="D934" s="4" t="s">
        <v>5209</v>
      </c>
      <c r="E934" s="35" t="s">
        <v>5210</v>
      </c>
      <c r="F934" s="4" t="str">
        <f>IF(COUNTIFS(Sheet1!$D$2:$D$3203, C934, Sheet1!$C$2:$C$3203, B934) &gt; 0, "Sudah", "Belum")</f>
        <v>Sudah</v>
      </c>
    </row>
    <row r="935" spans="1:6" hidden="1" x14ac:dyDescent="0.35">
      <c r="A935">
        <v>934</v>
      </c>
      <c r="B935" s="4" t="s">
        <v>444</v>
      </c>
      <c r="C935" s="3">
        <v>1982</v>
      </c>
      <c r="D935" s="4" t="s">
        <v>5211</v>
      </c>
      <c r="E935" s="35" t="s">
        <v>5212</v>
      </c>
      <c r="F935" s="4" t="str">
        <f>IF(COUNTIFS(Sheet1!$D$2:$D$3203, C935, Sheet1!$C$2:$C$3203, B935) &gt; 0, "Sudah", "Belum")</f>
        <v>Sudah</v>
      </c>
    </row>
    <row r="936" spans="1:6" hidden="1" x14ac:dyDescent="0.35">
      <c r="A936">
        <v>935</v>
      </c>
      <c r="B936" s="4" t="s">
        <v>1944</v>
      </c>
      <c r="C936" s="3">
        <v>2009</v>
      </c>
      <c r="D936" s="4" t="s">
        <v>5213</v>
      </c>
      <c r="E936" s="35" t="s">
        <v>5214</v>
      </c>
      <c r="F936" s="4" t="str">
        <f>IF(COUNTIFS(Sheet1!$D$2:$D$3203, C936, Sheet1!$C$2:$C$3203, B936) &gt; 0, "Sudah", "Belum")</f>
        <v>Sudah</v>
      </c>
    </row>
    <row r="937" spans="1:6" hidden="1" x14ac:dyDescent="0.35">
      <c r="A937">
        <v>936</v>
      </c>
      <c r="B937" s="4" t="s">
        <v>469</v>
      </c>
      <c r="C937" s="3">
        <v>1983</v>
      </c>
      <c r="D937" s="4" t="s">
        <v>5215</v>
      </c>
      <c r="E937" s="35" t="s">
        <v>5216</v>
      </c>
      <c r="F937" s="4" t="str">
        <f>IF(COUNTIFS(Sheet1!$D$2:$D$3203, C937, Sheet1!$C$2:$C$3203, B937) &gt; 0, "Sudah", "Belum")</f>
        <v>Sudah</v>
      </c>
    </row>
    <row r="938" spans="1:6" hidden="1" x14ac:dyDescent="0.35">
      <c r="A938">
        <v>937</v>
      </c>
      <c r="B938" s="4" t="s">
        <v>381</v>
      </c>
      <c r="C938" s="3">
        <v>1976</v>
      </c>
      <c r="D938" s="4" t="s">
        <v>5217</v>
      </c>
      <c r="E938" s="35" t="s">
        <v>5218</v>
      </c>
      <c r="F938" s="4" t="str">
        <f>IF(COUNTIFS(Sheet1!$D$2:$D$3203, C938, Sheet1!$C$2:$C$3203, B938) &gt; 0, "Sudah", "Belum")</f>
        <v>Sudah</v>
      </c>
    </row>
    <row r="939" spans="1:6" hidden="1" x14ac:dyDescent="0.35">
      <c r="A939">
        <v>938</v>
      </c>
      <c r="B939" s="4" t="s">
        <v>831</v>
      </c>
      <c r="C939" s="3">
        <v>1990</v>
      </c>
      <c r="D939" s="4" t="s">
        <v>5219</v>
      </c>
      <c r="E939" s="35" t="s">
        <v>5220</v>
      </c>
      <c r="F939" s="4" t="str">
        <f>IF(COUNTIFS(Sheet1!$D$2:$D$3203, C939, Sheet1!$C$2:$C$3203, B939) &gt; 0, "Sudah", "Belum")</f>
        <v>Sudah</v>
      </c>
    </row>
    <row r="940" spans="1:6" hidden="1" x14ac:dyDescent="0.35">
      <c r="A940">
        <v>939</v>
      </c>
      <c r="B940" s="4" t="s">
        <v>1140</v>
      </c>
      <c r="C940" s="3">
        <v>1994</v>
      </c>
      <c r="D940" s="4" t="s">
        <v>5221</v>
      </c>
      <c r="E940" s="35" t="s">
        <v>5222</v>
      </c>
      <c r="F940" s="4" t="str">
        <f>IF(COUNTIFS(Sheet1!$D$2:$D$3203, C940, Sheet1!$C$2:$C$3203, B940) &gt; 0, "Sudah", "Belum")</f>
        <v>Sudah</v>
      </c>
    </row>
    <row r="941" spans="1:6" hidden="1" x14ac:dyDescent="0.35">
      <c r="A941">
        <v>940</v>
      </c>
      <c r="B941" s="4" t="s">
        <v>1228</v>
      </c>
      <c r="C941" s="3">
        <v>1997</v>
      </c>
      <c r="D941" s="4" t="s">
        <v>4673</v>
      </c>
      <c r="E941" s="35" t="s">
        <v>4674</v>
      </c>
      <c r="F941" s="4" t="str">
        <f>IF(COUNTIFS(Sheet1!$D$2:$D$3203, C941, Sheet1!$C$2:$C$3203, B941) &gt; 0, "Sudah", "Belum")</f>
        <v>Sudah</v>
      </c>
    </row>
    <row r="942" spans="1:6" hidden="1" x14ac:dyDescent="0.35">
      <c r="A942">
        <v>941</v>
      </c>
      <c r="B942" s="4" t="s">
        <v>1311</v>
      </c>
      <c r="C942" s="3">
        <v>1998</v>
      </c>
      <c r="D942" s="4" t="s">
        <v>5223</v>
      </c>
      <c r="E942" s="35" t="s">
        <v>5224</v>
      </c>
      <c r="F942" s="4" t="str">
        <f>IF(COUNTIFS(Sheet1!$D$2:$D$3203, C942, Sheet1!$C$2:$C$3203, B942) &gt; 0, "Sudah", "Belum")</f>
        <v>Sudah</v>
      </c>
    </row>
    <row r="943" spans="1:6" hidden="1" x14ac:dyDescent="0.35">
      <c r="A943">
        <v>942</v>
      </c>
      <c r="B943" s="4" t="s">
        <v>2156</v>
      </c>
      <c r="C943" s="3">
        <v>2012</v>
      </c>
      <c r="D943" s="4" t="s">
        <v>5225</v>
      </c>
      <c r="E943" s="35" t="s">
        <v>5226</v>
      </c>
      <c r="F943" s="4" t="str">
        <f>IF(COUNTIFS(Sheet1!$D$2:$D$3203, C943, Sheet1!$C$2:$C$3203, B943) &gt; 0, "Sudah", "Belum")</f>
        <v>Sudah</v>
      </c>
    </row>
    <row r="944" spans="1:6" hidden="1" x14ac:dyDescent="0.35">
      <c r="A944">
        <v>943</v>
      </c>
      <c r="B944" s="4" t="s">
        <v>2268</v>
      </c>
      <c r="C944" s="3">
        <v>2014</v>
      </c>
      <c r="D944" s="4" t="s">
        <v>5227</v>
      </c>
      <c r="E944" s="35" t="s">
        <v>5228</v>
      </c>
      <c r="F944" s="4" t="str">
        <f>IF(COUNTIFS(Sheet1!$D$2:$D$3203, C944, Sheet1!$C$2:$C$3203, B944) &gt; 0, "Sudah", "Belum")</f>
        <v>Sudah</v>
      </c>
    </row>
    <row r="945" spans="1:6" hidden="1" x14ac:dyDescent="0.35">
      <c r="A945">
        <v>944</v>
      </c>
      <c r="B945" s="4" t="s">
        <v>1285</v>
      </c>
      <c r="C945" s="3">
        <v>1998</v>
      </c>
      <c r="D945" s="4" t="s">
        <v>5229</v>
      </c>
      <c r="E945" s="35" t="s">
        <v>5230</v>
      </c>
      <c r="F945" s="4" t="str">
        <f>IF(COUNTIFS(Sheet1!$D$2:$D$3203, C945, Sheet1!$C$2:$C$3203, B945) &gt; 0, "Sudah", "Belum")</f>
        <v>Sudah</v>
      </c>
    </row>
    <row r="946" spans="1:6" hidden="1" x14ac:dyDescent="0.35">
      <c r="A946">
        <v>945</v>
      </c>
      <c r="B946" s="4" t="s">
        <v>3083</v>
      </c>
      <c r="C946" s="3">
        <v>2013</v>
      </c>
      <c r="D946" s="4" t="s">
        <v>5231</v>
      </c>
      <c r="E946" s="35" t="s">
        <v>5232</v>
      </c>
      <c r="F946" s="4" t="str">
        <f>IF(COUNTIFS(Sheet1!$D$2:$D$3203, C946, Sheet1!$C$2:$C$3203, B946) &gt; 0, "Sudah", "Belum")</f>
        <v>Sudah</v>
      </c>
    </row>
    <row r="947" spans="1:6" hidden="1" x14ac:dyDescent="0.35">
      <c r="A947">
        <v>946</v>
      </c>
      <c r="B947" s="4" t="s">
        <v>3091</v>
      </c>
      <c r="C947" s="3">
        <v>2015</v>
      </c>
      <c r="D947" s="4" t="s">
        <v>5233</v>
      </c>
      <c r="E947" s="35" t="s">
        <v>5234</v>
      </c>
      <c r="F947" s="4" t="str">
        <f>IF(COUNTIFS(Sheet1!$D$2:$D$3203, C947, Sheet1!$C$2:$C$3203, B947) &gt; 0, "Sudah", "Belum")</f>
        <v>Sudah</v>
      </c>
    </row>
    <row r="948" spans="1:6" hidden="1" x14ac:dyDescent="0.35">
      <c r="A948">
        <v>947</v>
      </c>
      <c r="B948" s="4" t="s">
        <v>1093</v>
      </c>
      <c r="C948" s="3">
        <v>1995</v>
      </c>
      <c r="D948" s="4" t="s">
        <v>5235</v>
      </c>
      <c r="E948" s="35" t="s">
        <v>5236</v>
      </c>
      <c r="F948" s="4" t="str">
        <f>IF(COUNTIFS(Sheet1!$D$2:$D$3203, C948, Sheet1!$C$2:$C$3203, B948) &gt; 0, "Sudah", "Belum")</f>
        <v>Sudah</v>
      </c>
    </row>
    <row r="949" spans="1:6" hidden="1" x14ac:dyDescent="0.35">
      <c r="A949">
        <v>948</v>
      </c>
      <c r="B949" s="4" t="s">
        <v>336</v>
      </c>
      <c r="C949" s="3">
        <v>1980</v>
      </c>
      <c r="D949" s="4" t="s">
        <v>5239</v>
      </c>
      <c r="E949" s="35" t="s">
        <v>5240</v>
      </c>
      <c r="F949" s="4" t="str">
        <f>IF(COUNTIFS(Sheet1!$D$2:$D$3203, C949, Sheet1!$C$2:$C$3203, B949) &gt; 0, "Sudah", "Belum")</f>
        <v>Sudah</v>
      </c>
    </row>
    <row r="950" spans="1:6" hidden="1" x14ac:dyDescent="0.35">
      <c r="A950">
        <v>949</v>
      </c>
      <c r="B950" s="4" t="s">
        <v>1166</v>
      </c>
      <c r="C950" s="3">
        <v>1997</v>
      </c>
      <c r="D950" s="4" t="s">
        <v>5241</v>
      </c>
      <c r="E950" s="35" t="s">
        <v>5242</v>
      </c>
      <c r="F950" s="4" t="str">
        <f>IF(COUNTIFS(Sheet1!$D$2:$D$3203, C950, Sheet1!$C$2:$C$3203, B950) &gt; 0, "Sudah", "Belum")</f>
        <v>Sudah</v>
      </c>
    </row>
    <row r="951" spans="1:6" hidden="1" x14ac:dyDescent="0.35">
      <c r="A951">
        <v>950</v>
      </c>
      <c r="B951" s="4" t="s">
        <v>5243</v>
      </c>
      <c r="C951" s="3">
        <v>2010</v>
      </c>
      <c r="D951" s="4" t="s">
        <v>5244</v>
      </c>
      <c r="E951" s="35" t="s">
        <v>5245</v>
      </c>
      <c r="F951" s="4" t="str">
        <f>IF(COUNTIFS(Sheet1!$D$2:$D$3203, C951, Sheet1!$C$2:$C$3203, B951) &gt; 0, "Sudah", "Belum")</f>
        <v>Sudah</v>
      </c>
    </row>
    <row r="952" spans="1:6" hidden="1" x14ac:dyDescent="0.35">
      <c r="A952">
        <v>951</v>
      </c>
      <c r="B952" s="4" t="s">
        <v>1320</v>
      </c>
      <c r="C952" s="3">
        <v>1997</v>
      </c>
      <c r="D952" s="4" t="s">
        <v>5246</v>
      </c>
      <c r="E952" s="35" t="s">
        <v>5247</v>
      </c>
      <c r="F952" s="4" t="str">
        <f>IF(COUNTIFS(Sheet1!$D$2:$D$3203, C952, Sheet1!$C$2:$C$3203, B952) &gt; 0, "Sudah", "Belum")</f>
        <v>Sudah</v>
      </c>
    </row>
    <row r="953" spans="1:6" hidden="1" x14ac:dyDescent="0.35">
      <c r="A953">
        <v>952</v>
      </c>
      <c r="B953" s="4" t="s">
        <v>1800</v>
      </c>
      <c r="C953" s="3">
        <v>2004</v>
      </c>
      <c r="D953" s="4" t="s">
        <v>5248</v>
      </c>
      <c r="E953" s="35" t="s">
        <v>5249</v>
      </c>
      <c r="F953" s="4" t="str">
        <f>IF(COUNTIFS(Sheet1!$D$2:$D$3203, C953, Sheet1!$C$2:$C$3203, B953) &gt; 0, "Sudah", "Belum")</f>
        <v>Sudah</v>
      </c>
    </row>
    <row r="954" spans="1:6" hidden="1" x14ac:dyDescent="0.35">
      <c r="A954">
        <v>953</v>
      </c>
      <c r="B954" s="4" t="s">
        <v>1691</v>
      </c>
      <c r="C954" s="3">
        <v>2003</v>
      </c>
      <c r="D954" s="4" t="s">
        <v>5250</v>
      </c>
      <c r="E954" s="35" t="s">
        <v>5251</v>
      </c>
      <c r="F954" s="4" t="str">
        <f>IF(COUNTIFS(Sheet1!$D$2:$D$3203, C954, Sheet1!$C$2:$C$3203, B954) &gt; 0, "Sudah", "Belum")</f>
        <v>Sudah</v>
      </c>
    </row>
    <row r="955" spans="1:6" hidden="1" x14ac:dyDescent="0.35">
      <c r="A955">
        <v>954</v>
      </c>
      <c r="B955" s="4" t="s">
        <v>3140</v>
      </c>
      <c r="C955" s="3">
        <v>2016</v>
      </c>
      <c r="D955" s="4" t="s">
        <v>5252</v>
      </c>
      <c r="E955" s="35" t="s">
        <v>5253</v>
      </c>
      <c r="F955" s="4" t="str">
        <f>IF(COUNTIFS(Sheet1!$D$2:$D$3203, C955, Sheet1!$C$2:$C$3203, B955) &gt; 0, "Sudah", "Belum")</f>
        <v>Sudah</v>
      </c>
    </row>
    <row r="956" spans="1:6" hidden="1" x14ac:dyDescent="0.35">
      <c r="A956">
        <v>955</v>
      </c>
      <c r="B956" s="4" t="s">
        <v>5254</v>
      </c>
      <c r="C956" s="3">
        <v>1997</v>
      </c>
      <c r="D956" s="4" t="s">
        <v>5255</v>
      </c>
      <c r="E956" s="35" t="s">
        <v>5256</v>
      </c>
      <c r="F956" s="4" t="str">
        <f>IF(COUNTIFS(Sheet1!$D$2:$D$3203, C956, Sheet1!$C$2:$C$3203, B956) &gt; 0, "Sudah", "Belum")</f>
        <v>Sudah</v>
      </c>
    </row>
    <row r="957" spans="1:6" hidden="1" x14ac:dyDescent="0.35">
      <c r="A957">
        <v>956</v>
      </c>
      <c r="B957" s="4" t="s">
        <v>1916</v>
      </c>
      <c r="C957" s="3">
        <v>2010</v>
      </c>
      <c r="D957" s="4" t="s">
        <v>5257</v>
      </c>
      <c r="E957" s="35" t="s">
        <v>5258</v>
      </c>
      <c r="F957" s="4" t="str">
        <f>IF(COUNTIFS(Sheet1!$D$2:$D$3203, C957, Sheet1!$C$2:$C$3203, B957) &gt; 0, "Sudah", "Belum")</f>
        <v>Sudah</v>
      </c>
    </row>
    <row r="958" spans="1:6" hidden="1" x14ac:dyDescent="0.35">
      <c r="A958">
        <v>957</v>
      </c>
      <c r="B958" s="4" t="s">
        <v>777</v>
      </c>
      <c r="C958" s="3">
        <v>1987</v>
      </c>
      <c r="D958" s="4" t="s">
        <v>5259</v>
      </c>
      <c r="E958" s="35" t="s">
        <v>5260</v>
      </c>
      <c r="F958" s="4" t="str">
        <f>IF(COUNTIFS(Sheet1!$D$2:$D$3203, C958, Sheet1!$C$2:$C$3203, B958) &gt; 0, "Sudah", "Belum")</f>
        <v>Sudah</v>
      </c>
    </row>
    <row r="959" spans="1:6" hidden="1" x14ac:dyDescent="0.35">
      <c r="A959">
        <v>958</v>
      </c>
      <c r="B959" s="4" t="s">
        <v>5261</v>
      </c>
      <c r="C959" s="3">
        <v>2009</v>
      </c>
      <c r="D959" s="4" t="s">
        <v>5262</v>
      </c>
      <c r="E959" s="35" t="s">
        <v>5263</v>
      </c>
      <c r="F959" s="4" t="str">
        <f>IF(COUNTIFS(Sheet1!$D$2:$D$3203, C959, Sheet1!$C$2:$C$3203, B959) &gt; 0, "Sudah", "Belum")</f>
        <v>Sudah</v>
      </c>
    </row>
    <row r="960" spans="1:6" hidden="1" x14ac:dyDescent="0.35">
      <c r="A960">
        <v>959</v>
      </c>
      <c r="B960" s="4" t="s">
        <v>1878</v>
      </c>
      <c r="C960" s="3">
        <v>2009</v>
      </c>
      <c r="D960" s="4" t="s">
        <v>5264</v>
      </c>
      <c r="E960" s="35" t="s">
        <v>5265</v>
      </c>
      <c r="F960" s="4" t="str">
        <f>IF(COUNTIFS(Sheet1!$D$2:$D$3203, C960, Sheet1!$C$2:$C$3203, B960) &gt; 0, "Sudah", "Belum")</f>
        <v>Sudah</v>
      </c>
    </row>
    <row r="961" spans="1:6" hidden="1" x14ac:dyDescent="0.35">
      <c r="A961">
        <v>960</v>
      </c>
      <c r="B961" s="4" t="s">
        <v>2613</v>
      </c>
      <c r="C961" s="3">
        <v>2019</v>
      </c>
      <c r="D961" s="4" t="s">
        <v>5266</v>
      </c>
      <c r="E961" s="35" t="s">
        <v>5267</v>
      </c>
      <c r="F961" s="4" t="str">
        <f>IF(COUNTIFS(Sheet1!$D$2:$D$3203, C961, Sheet1!$C$2:$C$3203, B961) &gt; 0, "Sudah", "Belum")</f>
        <v>Sudah</v>
      </c>
    </row>
    <row r="962" spans="1:6" hidden="1" x14ac:dyDescent="0.35">
      <c r="A962">
        <v>961</v>
      </c>
      <c r="B962" s="4" t="s">
        <v>3039</v>
      </c>
      <c r="C962" s="3">
        <v>2009</v>
      </c>
      <c r="D962" s="4" t="s">
        <v>5268</v>
      </c>
      <c r="E962" s="35" t="s">
        <v>5269</v>
      </c>
      <c r="F962" s="4" t="str">
        <f>IF(COUNTIFS(Sheet1!$D$2:$D$3203, C962, Sheet1!$C$2:$C$3203, B962) &gt; 0, "Sudah", "Belum")</f>
        <v>Sudah</v>
      </c>
    </row>
    <row r="963" spans="1:6" hidden="1" x14ac:dyDescent="0.35">
      <c r="A963">
        <v>962</v>
      </c>
      <c r="B963" s="4" t="s">
        <v>1857</v>
      </c>
      <c r="C963" s="3">
        <v>2009</v>
      </c>
      <c r="D963" s="4" t="s">
        <v>5270</v>
      </c>
      <c r="E963" s="35" t="s">
        <v>5271</v>
      </c>
      <c r="F963" s="4" t="str">
        <f>IF(COUNTIFS(Sheet1!$D$2:$D$3203, C963, Sheet1!$C$2:$C$3203, B963) &gt; 0, "Sudah", "Belum")</f>
        <v>Sudah</v>
      </c>
    </row>
    <row r="964" spans="1:6" hidden="1" x14ac:dyDescent="0.35">
      <c r="A964">
        <v>963</v>
      </c>
      <c r="B964" s="4" t="s">
        <v>999</v>
      </c>
      <c r="C964" s="3">
        <v>1994</v>
      </c>
      <c r="D964" s="4" t="s">
        <v>5272</v>
      </c>
      <c r="E964" s="35" t="s">
        <v>5273</v>
      </c>
      <c r="F964" s="4" t="str">
        <f>IF(COUNTIFS(Sheet1!$D$2:$D$3203, C964, Sheet1!$C$2:$C$3203, B964) &gt; 0, "Sudah", "Belum")</f>
        <v>Sudah</v>
      </c>
    </row>
    <row r="965" spans="1:6" hidden="1" x14ac:dyDescent="0.35">
      <c r="A965">
        <v>964</v>
      </c>
      <c r="B965" s="4" t="s">
        <v>1861</v>
      </c>
      <c r="C965" s="3">
        <v>2009</v>
      </c>
      <c r="D965" s="4" t="s">
        <v>5274</v>
      </c>
      <c r="E965" s="35" t="s">
        <v>5275</v>
      </c>
      <c r="F965" s="4" t="str">
        <f>IF(COUNTIFS(Sheet1!$D$2:$D$3203, C965, Sheet1!$C$2:$C$3203, B965) &gt; 0, "Sudah", "Belum")</f>
        <v>Sudah</v>
      </c>
    </row>
    <row r="966" spans="1:6" hidden="1" x14ac:dyDescent="0.35">
      <c r="A966">
        <v>965</v>
      </c>
      <c r="B966" s="4" t="s">
        <v>3038</v>
      </c>
      <c r="C966" s="3">
        <v>2009</v>
      </c>
      <c r="D966" s="4" t="s">
        <v>5276</v>
      </c>
      <c r="E966" s="35" t="s">
        <v>5277</v>
      </c>
      <c r="F966" s="4" t="str">
        <f>IF(COUNTIFS(Sheet1!$D$2:$D$3203, C966, Sheet1!$C$2:$C$3203, B966) &gt; 0, "Sudah", "Belum")</f>
        <v>Sudah</v>
      </c>
    </row>
    <row r="967" spans="1:6" hidden="1" x14ac:dyDescent="0.35">
      <c r="A967">
        <v>966</v>
      </c>
      <c r="B967" s="4" t="s">
        <v>5278</v>
      </c>
      <c r="C967" s="3">
        <v>2009</v>
      </c>
      <c r="D967" s="4" t="s">
        <v>5279</v>
      </c>
      <c r="E967" s="35" t="s">
        <v>5280</v>
      </c>
      <c r="F967" s="4" t="str">
        <f>IF(COUNTIFS(Sheet1!$D$2:$D$3203, C967, Sheet1!$C$2:$C$3203, B967) &gt; 0, "Sudah", "Belum")</f>
        <v>Sudah</v>
      </c>
    </row>
    <row r="968" spans="1:6" hidden="1" x14ac:dyDescent="0.35">
      <c r="A968">
        <v>967</v>
      </c>
      <c r="B968" s="4" t="s">
        <v>5281</v>
      </c>
      <c r="C968" s="3">
        <v>2009</v>
      </c>
      <c r="D968" s="4" t="s">
        <v>5282</v>
      </c>
      <c r="E968" s="35" t="s">
        <v>5283</v>
      </c>
      <c r="F968" s="4" t="str">
        <f>IF(COUNTIFS(Sheet1!$D$2:$D$3203, C968, Sheet1!$C$2:$C$3203, B968) &gt; 0, "Sudah", "Belum")</f>
        <v>Sudah</v>
      </c>
    </row>
    <row r="969" spans="1:6" hidden="1" x14ac:dyDescent="0.35">
      <c r="A969">
        <v>968</v>
      </c>
      <c r="B969" s="4" t="s">
        <v>1201</v>
      </c>
      <c r="C969" s="3">
        <v>1997</v>
      </c>
      <c r="D969" s="4" t="s">
        <v>5284</v>
      </c>
      <c r="E969" s="35" t="s">
        <v>5285</v>
      </c>
      <c r="F969" s="4" t="str">
        <f>IF(COUNTIFS(Sheet1!$D$2:$D$3203, C969, Sheet1!$C$2:$C$3203, B969) &gt; 0, "Sudah", "Belum")</f>
        <v>Sudah</v>
      </c>
    </row>
    <row r="970" spans="1:6" hidden="1" x14ac:dyDescent="0.35">
      <c r="A970">
        <v>969</v>
      </c>
      <c r="B970" s="4" t="s">
        <v>401</v>
      </c>
      <c r="C970" s="3">
        <v>1986</v>
      </c>
      <c r="D970" s="4" t="s">
        <v>5286</v>
      </c>
      <c r="E970" s="35" t="s">
        <v>5287</v>
      </c>
      <c r="F970" s="4" t="str">
        <f>IF(COUNTIFS(Sheet1!$D$2:$D$3203, C970, Sheet1!$C$2:$C$3203, B970) &gt; 0, "Sudah", "Belum")</f>
        <v>Sudah</v>
      </c>
    </row>
    <row r="971" spans="1:6" x14ac:dyDescent="0.35">
      <c r="A971">
        <v>970</v>
      </c>
      <c r="B971" s="4" t="s">
        <v>5288</v>
      </c>
      <c r="C971" s="3">
        <v>1983</v>
      </c>
      <c r="D971" s="4" t="s">
        <v>5289</v>
      </c>
      <c r="E971" s="35" t="s">
        <v>5290</v>
      </c>
      <c r="F971" s="4" t="str">
        <f>IF(COUNTIFS(Sheet1!$D$2:$D$3203, C971, Sheet1!$C$2:$C$3203, B971) &gt; 0, "Sudah", "Belum")</f>
        <v>Belum</v>
      </c>
    </row>
    <row r="972" spans="1:6" hidden="1" x14ac:dyDescent="0.35">
      <c r="A972">
        <v>971</v>
      </c>
      <c r="B972" s="4" t="s">
        <v>3048</v>
      </c>
      <c r="C972" s="3">
        <v>2009</v>
      </c>
      <c r="D972" s="4" t="s">
        <v>5291</v>
      </c>
      <c r="E972" s="4" t="s">
        <v>5292</v>
      </c>
      <c r="F972" s="4" t="str">
        <f>IF(COUNTIFS(Sheet1!$D$2:$D$3203, C972, Sheet1!$C$2:$C$3203, B972) &gt; 0, "Sudah", "Belum")</f>
        <v>Sudah</v>
      </c>
    </row>
    <row r="973" spans="1:6" hidden="1" x14ac:dyDescent="0.35">
      <c r="A973">
        <v>972</v>
      </c>
      <c r="B973" s="4" t="s">
        <v>5293</v>
      </c>
      <c r="C973" s="3">
        <v>1998</v>
      </c>
      <c r="D973" s="4" t="s">
        <v>5294</v>
      </c>
      <c r="E973" s="35" t="s">
        <v>5295</v>
      </c>
      <c r="F973" s="4" t="str">
        <f>IF(COUNTIFS(Sheet1!$D$2:$D$3203, C973, Sheet1!$C$2:$C$3203, B973) &gt; 0, "Sudah", "Belum")</f>
        <v>Sudah</v>
      </c>
    </row>
    <row r="974" spans="1:6" x14ac:dyDescent="0.35">
      <c r="A974">
        <v>973</v>
      </c>
      <c r="B974" s="4" t="s">
        <v>5296</v>
      </c>
      <c r="C974" s="3">
        <v>2020</v>
      </c>
      <c r="D974" s="4" t="s">
        <v>5297</v>
      </c>
      <c r="E974" s="35" t="s">
        <v>5298</v>
      </c>
      <c r="F974" s="4" t="str">
        <f>IF(COUNTIFS(Sheet1!$D$2:$D$3203, C974, Sheet1!$C$2:$C$3203, B974) &gt; 0, "Sudah", "Belum")</f>
        <v>Belum</v>
      </c>
    </row>
    <row r="975" spans="1:6" hidden="1" x14ac:dyDescent="0.35">
      <c r="A975">
        <v>974</v>
      </c>
      <c r="B975" s="4" t="s">
        <v>2745</v>
      </c>
      <c r="C975" s="3">
        <v>2020</v>
      </c>
      <c r="D975" s="4" t="s">
        <v>5302</v>
      </c>
      <c r="E975" s="35" t="s">
        <v>5303</v>
      </c>
      <c r="F975" s="4" t="str">
        <f>IF(COUNTIFS(Sheet1!$D$2:$D$3203, C975, Sheet1!$C$2:$C$3203, B975) &gt; 0, "Sudah", "Belum")</f>
        <v>Sudah</v>
      </c>
    </row>
    <row r="976" spans="1:6" hidden="1" x14ac:dyDescent="0.35">
      <c r="A976">
        <v>975</v>
      </c>
      <c r="B976" s="4" t="s">
        <v>2705</v>
      </c>
      <c r="C976" s="3">
        <v>2020</v>
      </c>
      <c r="D976" s="4" t="s">
        <v>5306</v>
      </c>
      <c r="E976" s="35" t="s">
        <v>5307</v>
      </c>
      <c r="F976" s="4" t="str">
        <f>IF(COUNTIFS(Sheet1!$D$2:$D$3203, C976, Sheet1!$C$2:$C$3203, B976) &gt; 0, "Sudah", "Belum")</f>
        <v>Sudah</v>
      </c>
    </row>
    <row r="977" spans="1:6" x14ac:dyDescent="0.35">
      <c r="A977">
        <v>976</v>
      </c>
      <c r="B977" s="4" t="s">
        <v>5308</v>
      </c>
      <c r="C977" s="3">
        <v>2020</v>
      </c>
      <c r="D977" s="4" t="s">
        <v>5309</v>
      </c>
      <c r="E977" s="35" t="s">
        <v>5310</v>
      </c>
      <c r="F977" s="4" t="str">
        <f>IF(COUNTIFS(Sheet1!$D$2:$D$3203, C977, Sheet1!$C$2:$C$3203, B977) &gt; 0, "Sudah", "Belum")</f>
        <v>Belum</v>
      </c>
    </row>
    <row r="978" spans="1:6" x14ac:dyDescent="0.35">
      <c r="A978">
        <v>977</v>
      </c>
      <c r="B978" s="4" t="s">
        <v>5311</v>
      </c>
      <c r="C978" s="3">
        <v>2020</v>
      </c>
      <c r="D978" s="4" t="s">
        <v>5312</v>
      </c>
      <c r="E978" s="35" t="s">
        <v>5313</v>
      </c>
      <c r="F978" s="4" t="str">
        <f>IF(COUNTIFS(Sheet1!$D$2:$D$3203, C978, Sheet1!$C$2:$C$3203, B978) &gt; 0, "Sudah", "Belum")</f>
        <v>Belum</v>
      </c>
    </row>
    <row r="979" spans="1:6" hidden="1" x14ac:dyDescent="0.35">
      <c r="A979">
        <v>978</v>
      </c>
      <c r="B979" s="4" t="s">
        <v>2704</v>
      </c>
      <c r="C979" s="3">
        <v>2020</v>
      </c>
      <c r="D979" s="4" t="s">
        <v>5314</v>
      </c>
      <c r="E979" s="35" t="s">
        <v>5315</v>
      </c>
      <c r="F979" s="4" t="str">
        <f>IF(COUNTIFS(Sheet1!$D$2:$D$3203, C979, Sheet1!$C$2:$C$3203, B979) &gt; 0, "Sudah", "Belum")</f>
        <v>Sudah</v>
      </c>
    </row>
    <row r="980" spans="1:6" hidden="1" x14ac:dyDescent="0.35">
      <c r="A980">
        <v>979</v>
      </c>
      <c r="B980" s="4" t="s">
        <v>3193</v>
      </c>
      <c r="C980" s="3">
        <v>2020</v>
      </c>
      <c r="D980" s="4" t="s">
        <v>5318</v>
      </c>
      <c r="E980" s="35" t="s">
        <v>5319</v>
      </c>
      <c r="F980" s="4" t="str">
        <f>IF(COUNTIFS(Sheet1!$D$2:$D$3203, C980, Sheet1!$C$2:$C$3203, B980) &gt; 0, "Sudah", "Belum")</f>
        <v>Sudah</v>
      </c>
    </row>
    <row r="981" spans="1:6" hidden="1" x14ac:dyDescent="0.35">
      <c r="A981">
        <v>980</v>
      </c>
      <c r="B981" s="4" t="s">
        <v>2728</v>
      </c>
      <c r="C981" s="3">
        <v>2020</v>
      </c>
      <c r="D981" s="4" t="s">
        <v>5320</v>
      </c>
      <c r="E981" s="35" t="s">
        <v>5321</v>
      </c>
      <c r="F981" s="4" t="str">
        <f>IF(COUNTIFS(Sheet1!$D$2:$D$3203, C981, Sheet1!$C$2:$C$3203, B981) &gt; 0, "Sudah", "Belum")</f>
        <v>Sudah</v>
      </c>
    </row>
    <row r="982" spans="1:6" hidden="1" x14ac:dyDescent="0.35">
      <c r="A982">
        <v>981</v>
      </c>
      <c r="B982" s="4" t="s">
        <v>1041</v>
      </c>
      <c r="C982" s="3">
        <v>1998</v>
      </c>
      <c r="D982" s="4" t="s">
        <v>5304</v>
      </c>
      <c r="E982" s="35" t="s">
        <v>5305</v>
      </c>
      <c r="F982" s="4" t="str">
        <f>IF(COUNTIFS(Sheet1!$D$2:$D$3203, C982, Sheet1!$C$2:$C$3203, B982) &gt; 0, "Sudah", "Belum")</f>
        <v>Sudah</v>
      </c>
    </row>
    <row r="983" spans="1:6" x14ac:dyDescent="0.35">
      <c r="A983">
        <v>982</v>
      </c>
      <c r="B983" s="4" t="s">
        <v>5322</v>
      </c>
      <c r="C983" s="3">
        <v>2020</v>
      </c>
      <c r="D983" s="4" t="s">
        <v>5323</v>
      </c>
      <c r="E983" s="35" t="s">
        <v>5324</v>
      </c>
      <c r="F983" s="4" t="str">
        <f>IF(COUNTIFS(Sheet1!$D$2:$D$3203, C983, Sheet1!$C$2:$C$3203, B983) &gt; 0, "Sudah", "Belum")</f>
        <v>Belum</v>
      </c>
    </row>
    <row r="984" spans="1:6" hidden="1" x14ac:dyDescent="0.35">
      <c r="A984">
        <v>983</v>
      </c>
      <c r="B984" s="4" t="s">
        <v>2731</v>
      </c>
      <c r="C984" s="3">
        <v>2020</v>
      </c>
      <c r="D984" s="4" t="s">
        <v>5325</v>
      </c>
      <c r="E984" s="35" t="s">
        <v>5326</v>
      </c>
      <c r="F984" s="4" t="str">
        <f>IF(COUNTIFS(Sheet1!$D$2:$D$3203, C984, Sheet1!$C$2:$C$3203, B984) &gt; 0, "Sudah", "Belum")</f>
        <v>Sudah</v>
      </c>
    </row>
    <row r="985" spans="1:6" hidden="1" x14ac:dyDescent="0.35">
      <c r="A985">
        <v>984</v>
      </c>
      <c r="B985" s="4" t="s">
        <v>1040</v>
      </c>
      <c r="C985" s="3">
        <v>1997</v>
      </c>
      <c r="D985" s="4" t="s">
        <v>5329</v>
      </c>
      <c r="E985" s="35" t="s">
        <v>5330</v>
      </c>
      <c r="F985" s="4" t="str">
        <f>IF(COUNTIFS(Sheet1!$D$2:$D$3203, C985, Sheet1!$C$2:$C$3203, B985) &gt; 0, "Sudah", "Belum")</f>
        <v>Sudah</v>
      </c>
    </row>
    <row r="986" spans="1:6" x14ac:dyDescent="0.35">
      <c r="A986">
        <v>985</v>
      </c>
      <c r="B986" s="4" t="s">
        <v>5331</v>
      </c>
      <c r="C986" s="3">
        <v>2020</v>
      </c>
      <c r="D986" s="4" t="s">
        <v>5332</v>
      </c>
      <c r="E986" s="35" t="s">
        <v>5333</v>
      </c>
      <c r="F986" s="4" t="str">
        <f>IF(COUNTIFS(Sheet1!$D$2:$D$3203, C986, Sheet1!$C$2:$C$3203, B986) &gt; 0, "Sudah", "Belum")</f>
        <v>Belum</v>
      </c>
    </row>
    <row r="987" spans="1:6" hidden="1" x14ac:dyDescent="0.35">
      <c r="A987">
        <v>986</v>
      </c>
      <c r="B987" s="4" t="s">
        <v>2689</v>
      </c>
      <c r="C987" s="3">
        <v>2020</v>
      </c>
      <c r="D987" s="4" t="s">
        <v>5327</v>
      </c>
      <c r="E987" s="35" t="s">
        <v>5328</v>
      </c>
      <c r="F987" s="4" t="str">
        <f>IF(COUNTIFS(Sheet1!$D$2:$D$3203, C987, Sheet1!$C$2:$C$3203, B987) &gt; 0, "Sudah", "Belum")</f>
        <v>Sudah</v>
      </c>
    </row>
    <row r="988" spans="1:6" hidden="1" x14ac:dyDescent="0.35">
      <c r="A988">
        <v>987</v>
      </c>
      <c r="B988" s="4" t="s">
        <v>931</v>
      </c>
      <c r="C988" s="3">
        <v>1995</v>
      </c>
      <c r="D988" s="4" t="s">
        <v>5334</v>
      </c>
      <c r="E988" s="35" t="s">
        <v>5335</v>
      </c>
      <c r="F988" s="4" t="str">
        <f>IF(COUNTIFS(Sheet1!$D$2:$D$3203, C988, Sheet1!$C$2:$C$3203, B988) &gt; 0, "Sudah", "Belum")</f>
        <v>Sudah</v>
      </c>
    </row>
    <row r="989" spans="1:6" hidden="1" x14ac:dyDescent="0.35">
      <c r="A989">
        <v>988</v>
      </c>
      <c r="B989" s="4" t="s">
        <v>1229</v>
      </c>
      <c r="C989" s="3">
        <v>1997</v>
      </c>
      <c r="D989" s="4" t="s">
        <v>5336</v>
      </c>
      <c r="E989" s="35" t="s">
        <v>5337</v>
      </c>
      <c r="F989" s="4" t="str">
        <f>IF(COUNTIFS(Sheet1!$D$2:$D$3203, C989, Sheet1!$C$2:$C$3203, B989) &gt; 0, "Sudah", "Belum")</f>
        <v>Sudah</v>
      </c>
    </row>
    <row r="990" spans="1:6" hidden="1" x14ac:dyDescent="0.35">
      <c r="A990">
        <v>989</v>
      </c>
      <c r="B990" s="4" t="s">
        <v>3062</v>
      </c>
      <c r="C990" s="3">
        <v>2009</v>
      </c>
      <c r="D990" s="4" t="s">
        <v>5338</v>
      </c>
      <c r="E990" s="35" t="s">
        <v>5339</v>
      </c>
      <c r="F990" s="4" t="str">
        <f>IF(COUNTIFS(Sheet1!$D$2:$D$3203, C990, Sheet1!$C$2:$C$3203, B990) &gt; 0, "Sudah", "Belum")</f>
        <v>Sudah</v>
      </c>
    </row>
    <row r="991" spans="1:6" hidden="1" x14ac:dyDescent="0.35">
      <c r="A991">
        <v>990</v>
      </c>
      <c r="B991" s="4" t="s">
        <v>865</v>
      </c>
      <c r="C991" s="3">
        <v>1990</v>
      </c>
      <c r="D991" s="4" t="s">
        <v>5340</v>
      </c>
      <c r="E991" s="35" t="s">
        <v>5341</v>
      </c>
      <c r="F991" s="4" t="str">
        <f>IF(COUNTIFS(Sheet1!$D$2:$D$3203, C991, Sheet1!$C$2:$C$3203, B991) &gt; 0, "Sudah", "Belum")</f>
        <v>Sudah</v>
      </c>
    </row>
    <row r="992" spans="1:6" hidden="1" x14ac:dyDescent="0.35">
      <c r="A992">
        <v>991</v>
      </c>
      <c r="B992" s="4" t="s">
        <v>2730</v>
      </c>
      <c r="C992" s="3">
        <v>2020</v>
      </c>
      <c r="D992" s="4" t="s">
        <v>5344</v>
      </c>
      <c r="E992" s="35" t="s">
        <v>5345</v>
      </c>
      <c r="F992" s="4" t="str">
        <f>IF(COUNTIFS(Sheet1!$D$2:$D$3203, C992, Sheet1!$C$2:$C$3203, B992) &gt; 0, "Sudah", "Belum")</f>
        <v>Sudah</v>
      </c>
    </row>
    <row r="993" spans="1:6" hidden="1" x14ac:dyDescent="0.35">
      <c r="A993">
        <v>992</v>
      </c>
      <c r="B993" s="4" t="s">
        <v>2679</v>
      </c>
      <c r="C993" s="3">
        <v>2020</v>
      </c>
      <c r="D993" s="4" t="s">
        <v>5346</v>
      </c>
      <c r="E993" s="35" t="s">
        <v>5347</v>
      </c>
      <c r="F993" s="4" t="str">
        <f>IF(COUNTIFS(Sheet1!$D$2:$D$3203, C993, Sheet1!$C$2:$C$3203, B993) &gt; 0, "Sudah", "Belum")</f>
        <v>Sudah</v>
      </c>
    </row>
    <row r="994" spans="1:6" hidden="1" x14ac:dyDescent="0.35">
      <c r="A994">
        <v>993</v>
      </c>
      <c r="B994" s="4" t="s">
        <v>2701</v>
      </c>
      <c r="C994" s="3">
        <v>2020</v>
      </c>
      <c r="D994" s="4" t="s">
        <v>5342</v>
      </c>
      <c r="E994" s="35" t="s">
        <v>5343</v>
      </c>
      <c r="F994" s="4" t="str">
        <f>IF(COUNTIFS(Sheet1!$D$2:$D$3203, C994, Sheet1!$C$2:$C$3203, B994) &gt; 0, "Sudah", "Belum")</f>
        <v>Sudah</v>
      </c>
    </row>
    <row r="995" spans="1:6" hidden="1" x14ac:dyDescent="0.35">
      <c r="A995">
        <v>994</v>
      </c>
      <c r="B995" s="4" t="s">
        <v>573</v>
      </c>
      <c r="C995" s="3">
        <v>1982</v>
      </c>
      <c r="D995" s="4" t="s">
        <v>5348</v>
      </c>
      <c r="E995" s="35" t="s">
        <v>4762</v>
      </c>
      <c r="F995" s="4" t="str">
        <f>IF(COUNTIFS(Sheet1!$D$2:$D$3203, C995, Sheet1!$C$2:$C$3203, B995) &gt; 0, "Sudah", "Belum")</f>
        <v>Sudah</v>
      </c>
    </row>
    <row r="996" spans="1:6" hidden="1" x14ac:dyDescent="0.35">
      <c r="A996">
        <v>995</v>
      </c>
      <c r="B996" s="4" t="s">
        <v>2736</v>
      </c>
      <c r="C996" s="3">
        <v>2020</v>
      </c>
      <c r="D996" s="4" t="s">
        <v>5349</v>
      </c>
      <c r="E996" s="35" t="s">
        <v>5350</v>
      </c>
      <c r="F996" s="4" t="str">
        <f>IF(COUNTIFS(Sheet1!$D$2:$D$3203, C996, Sheet1!$C$2:$C$3203, B996) &gt; 0, "Sudah", "Belum")</f>
        <v>Sudah</v>
      </c>
    </row>
    <row r="997" spans="1:6" x14ac:dyDescent="0.35">
      <c r="A997">
        <v>996</v>
      </c>
      <c r="B997" s="4" t="s">
        <v>5351</v>
      </c>
      <c r="C997" s="3">
        <v>1983</v>
      </c>
      <c r="D997" s="4" t="s">
        <v>5352</v>
      </c>
      <c r="E997" s="35" t="s">
        <v>5353</v>
      </c>
      <c r="F997" s="4" t="str">
        <f>IF(COUNTIFS(Sheet1!$D$2:$D$3203, C997, Sheet1!$C$2:$C$3203, B997) &gt; 0, "Sudah", "Belum")</f>
        <v>Belum</v>
      </c>
    </row>
    <row r="998" spans="1:6" hidden="1" x14ac:dyDescent="0.35">
      <c r="A998">
        <v>997</v>
      </c>
      <c r="B998" s="4" t="s">
        <v>605</v>
      </c>
      <c r="C998" s="3">
        <v>1986</v>
      </c>
      <c r="D998" s="4" t="s">
        <v>5354</v>
      </c>
      <c r="E998" s="35" t="s">
        <v>5355</v>
      </c>
      <c r="F998" s="4" t="str">
        <f>IF(COUNTIFS(Sheet1!$D$2:$D$3203, C998, Sheet1!$C$2:$C$3203, B998) &gt; 0, "Sudah", "Belum")</f>
        <v>Sudah</v>
      </c>
    </row>
    <row r="999" spans="1:6" hidden="1" x14ac:dyDescent="0.35">
      <c r="A999">
        <v>998</v>
      </c>
      <c r="B999" s="4" t="s">
        <v>2421</v>
      </c>
      <c r="C999" s="3">
        <v>2017</v>
      </c>
      <c r="D999" s="4" t="s">
        <v>5356</v>
      </c>
      <c r="E999" s="35" t="s">
        <v>5357</v>
      </c>
      <c r="F999" s="4" t="str">
        <f>IF(COUNTIFS(Sheet1!$D$2:$D$3203, C999, Sheet1!$C$2:$C$3203, B999) &gt; 0, "Sudah", "Belum")</f>
        <v>Sudah</v>
      </c>
    </row>
    <row r="1000" spans="1:6" hidden="1" x14ac:dyDescent="0.35">
      <c r="A1000">
        <v>999</v>
      </c>
      <c r="B1000" s="4" t="s">
        <v>2681</v>
      </c>
      <c r="C1000" s="3">
        <v>2020</v>
      </c>
      <c r="D1000" s="4" t="s">
        <v>5359</v>
      </c>
      <c r="E1000" s="35" t="s">
        <v>5360</v>
      </c>
      <c r="F1000" s="4" t="str">
        <f>IF(COUNTIFS(Sheet1!$D$2:$D$3203, C1000, Sheet1!$C$2:$C$3203, B1000) &gt; 0, "Sudah", "Belum")</f>
        <v>Sudah</v>
      </c>
    </row>
    <row r="1001" spans="1:6" hidden="1" x14ac:dyDescent="0.35">
      <c r="A1001">
        <v>1000</v>
      </c>
      <c r="B1001" s="4" t="s">
        <v>967</v>
      </c>
      <c r="C1001" s="3">
        <v>1993</v>
      </c>
      <c r="D1001" s="4" t="s">
        <v>5361</v>
      </c>
      <c r="E1001" s="35" t="s">
        <v>5362</v>
      </c>
      <c r="F1001" s="4" t="str">
        <f>IF(COUNTIFS(Sheet1!$D$2:$D$3203, C1001, Sheet1!$C$2:$C$3203, B1001) &gt; 0, "Sudah", "Belum")</f>
        <v>Sudah</v>
      </c>
    </row>
    <row r="1002" spans="1:6" hidden="1" x14ac:dyDescent="0.35">
      <c r="A1002">
        <v>1001</v>
      </c>
      <c r="B1002" s="4" t="s">
        <v>3182</v>
      </c>
      <c r="C1002" s="3">
        <v>2020</v>
      </c>
      <c r="D1002" s="4" t="s">
        <v>5364</v>
      </c>
      <c r="E1002" s="35" t="s">
        <v>5365</v>
      </c>
      <c r="F1002" s="4" t="str">
        <f>IF(COUNTIFS(Sheet1!$D$2:$D$3203, C1002, Sheet1!$C$2:$C$3203, B1002) &gt; 0, "Sudah", "Belum")</f>
        <v>Sudah</v>
      </c>
    </row>
    <row r="1003" spans="1:6" hidden="1" x14ac:dyDescent="0.35">
      <c r="A1003">
        <v>1002</v>
      </c>
      <c r="B1003" s="4" t="s">
        <v>1210</v>
      </c>
      <c r="C1003" s="3">
        <v>1997</v>
      </c>
      <c r="D1003" s="4" t="s">
        <v>5366</v>
      </c>
      <c r="E1003" s="35" t="s">
        <v>5367</v>
      </c>
      <c r="F1003" s="4" t="str">
        <f>IF(COUNTIFS(Sheet1!$D$2:$D$3203, C1003, Sheet1!$C$2:$C$3203, B1003) &gt; 0, "Sudah", "Belum")</f>
        <v>Sudah</v>
      </c>
    </row>
    <row r="1004" spans="1:6" hidden="1" x14ac:dyDescent="0.35">
      <c r="A1004">
        <v>1003</v>
      </c>
      <c r="B1004" s="4" t="s">
        <v>2045</v>
      </c>
      <c r="C1004" s="3">
        <v>2009</v>
      </c>
      <c r="D1004" s="4" t="s">
        <v>5368</v>
      </c>
      <c r="E1004" s="35" t="s">
        <v>5369</v>
      </c>
      <c r="F1004" s="4" t="str">
        <f>IF(COUNTIFS(Sheet1!$D$2:$D$3203, C1004, Sheet1!$C$2:$C$3203, B1004) &gt; 0, "Sudah", "Belum")</f>
        <v>Sudah</v>
      </c>
    </row>
    <row r="1005" spans="1:6" hidden="1" x14ac:dyDescent="0.35">
      <c r="A1005">
        <v>1004</v>
      </c>
      <c r="B1005" s="4" t="s">
        <v>2740</v>
      </c>
      <c r="C1005" s="3">
        <v>2020</v>
      </c>
      <c r="D1005" s="4" t="s">
        <v>5316</v>
      </c>
      <c r="E1005" s="35" t="s">
        <v>5317</v>
      </c>
      <c r="F1005" s="4" t="str">
        <f>IF(COUNTIFS(Sheet1!$D$2:$D$3203, C1005, Sheet1!$C$2:$C$3203, B1005) &gt; 0, "Sudah", "Belum")</f>
        <v>Sudah</v>
      </c>
    </row>
    <row r="1006" spans="1:6" hidden="1" x14ac:dyDescent="0.35">
      <c r="A1006">
        <v>1005</v>
      </c>
      <c r="B1006" s="4" t="s">
        <v>1726</v>
      </c>
      <c r="C1006" s="3">
        <v>2002</v>
      </c>
      <c r="D1006" s="4" t="s">
        <v>5370</v>
      </c>
      <c r="E1006" s="35" t="s">
        <v>5363</v>
      </c>
      <c r="F1006" s="4" t="str">
        <f>IF(COUNTIFS(Sheet1!$D$2:$D$3203, C1006, Sheet1!$C$2:$C$3203, B1006) &gt; 0, "Sudah", "Belum")</f>
        <v>Sudah</v>
      </c>
    </row>
    <row r="1007" spans="1:6" hidden="1" x14ac:dyDescent="0.35">
      <c r="A1007">
        <v>1006</v>
      </c>
      <c r="B1007" s="4" t="s">
        <v>1909</v>
      </c>
      <c r="C1007" s="3">
        <v>2009</v>
      </c>
      <c r="D1007" s="4" t="s">
        <v>5371</v>
      </c>
      <c r="E1007" s="35" t="s">
        <v>5372</v>
      </c>
      <c r="F1007" s="4" t="str">
        <f>IF(COUNTIFS(Sheet1!$D$2:$D$3203, C1007, Sheet1!$C$2:$C$3203, B1007) &gt; 0, "Sudah", "Belum")</f>
        <v>Sudah</v>
      </c>
    </row>
    <row r="1008" spans="1:6" x14ac:dyDescent="0.35">
      <c r="A1008">
        <v>1007</v>
      </c>
      <c r="B1008" s="4" t="s">
        <v>5373</v>
      </c>
      <c r="C1008" s="3">
        <v>2020</v>
      </c>
      <c r="D1008" s="4" t="s">
        <v>5374</v>
      </c>
      <c r="E1008" s="35" t="s">
        <v>5375</v>
      </c>
      <c r="F1008" s="4" t="str">
        <f>IF(COUNTIFS(Sheet1!$D$2:$D$3203, C1008, Sheet1!$C$2:$C$3203, B1008) &gt; 0, "Sudah", "Belum")</f>
        <v>Belum</v>
      </c>
    </row>
    <row r="1009" spans="1:6" hidden="1" x14ac:dyDescent="0.35">
      <c r="A1009">
        <v>1008</v>
      </c>
      <c r="B1009" s="4" t="s">
        <v>1930</v>
      </c>
      <c r="C1009" s="3">
        <v>2010</v>
      </c>
      <c r="D1009" s="4" t="s">
        <v>5376</v>
      </c>
      <c r="E1009" s="35" t="s">
        <v>5377</v>
      </c>
      <c r="F1009" s="4" t="str">
        <f>IF(COUNTIFS(Sheet1!$D$2:$D$3203, C1009, Sheet1!$C$2:$C$3203, B1009) &gt; 0, "Sudah", "Belum")</f>
        <v>Sudah</v>
      </c>
    </row>
    <row r="1010" spans="1:6" hidden="1" x14ac:dyDescent="0.35">
      <c r="A1010">
        <v>1009</v>
      </c>
      <c r="B1010" s="4" t="s">
        <v>2709</v>
      </c>
      <c r="C1010" s="3">
        <v>2020</v>
      </c>
      <c r="D1010" s="4" t="s">
        <v>5378</v>
      </c>
      <c r="E1010" s="35" t="s">
        <v>5379</v>
      </c>
      <c r="F1010" s="4" t="str">
        <f>IF(COUNTIFS(Sheet1!$D$2:$D$3203, C1010, Sheet1!$C$2:$C$3203, B1010) &gt; 0, "Sudah", "Belum")</f>
        <v>Sudah</v>
      </c>
    </row>
    <row r="1011" spans="1:6" hidden="1" x14ac:dyDescent="0.35">
      <c r="A1011">
        <v>1010</v>
      </c>
      <c r="B1011" s="4" t="s">
        <v>3037</v>
      </c>
      <c r="C1011" s="3">
        <v>2009</v>
      </c>
      <c r="D1011" s="4" t="s">
        <v>5380</v>
      </c>
      <c r="E1011" s="35" t="s">
        <v>5381</v>
      </c>
      <c r="F1011" s="4" t="str">
        <f>IF(COUNTIFS(Sheet1!$D$2:$D$3203, C1011, Sheet1!$C$2:$C$3203, B1011) &gt; 0, "Sudah", "Belum")</f>
        <v>Sudah</v>
      </c>
    </row>
    <row r="1012" spans="1:6" hidden="1" x14ac:dyDescent="0.35">
      <c r="A1012">
        <v>1011</v>
      </c>
      <c r="B1012" s="4" t="s">
        <v>1263</v>
      </c>
      <c r="C1012" s="3">
        <v>1997</v>
      </c>
      <c r="D1012" s="4" t="s">
        <v>5382</v>
      </c>
      <c r="E1012" s="35" t="s">
        <v>5383</v>
      </c>
      <c r="F1012" s="4" t="str">
        <f>IF(COUNTIFS(Sheet1!$D$2:$D$3203, C1012, Sheet1!$C$2:$C$3203, B1012) &gt; 0, "Sudah", "Belum")</f>
        <v>Sudah</v>
      </c>
    </row>
    <row r="1013" spans="1:6" hidden="1" x14ac:dyDescent="0.35">
      <c r="A1013">
        <v>1012</v>
      </c>
      <c r="B1013" s="4" t="s">
        <v>305</v>
      </c>
      <c r="C1013" s="3">
        <v>1980</v>
      </c>
      <c r="D1013" s="4" t="s">
        <v>5384</v>
      </c>
      <c r="E1013" s="35" t="s">
        <v>5385</v>
      </c>
      <c r="F1013" s="4" t="str">
        <f>IF(COUNTIFS(Sheet1!$D$2:$D$3203, C1013, Sheet1!$C$2:$C$3203, B1013) &gt; 0, "Sudah", "Belum")</f>
        <v>Sudah</v>
      </c>
    </row>
    <row r="1014" spans="1:6" hidden="1" x14ac:dyDescent="0.35">
      <c r="A1014">
        <v>1013</v>
      </c>
      <c r="B1014" s="4" t="s">
        <v>1235</v>
      </c>
      <c r="C1014" s="3">
        <v>1997</v>
      </c>
      <c r="D1014" s="4" t="s">
        <v>5386</v>
      </c>
      <c r="E1014" s="35" t="s">
        <v>5387</v>
      </c>
      <c r="F1014" s="4" t="str">
        <f>IF(COUNTIFS(Sheet1!$D$2:$D$3203, C1014, Sheet1!$C$2:$C$3203, B1014) &gt; 0, "Sudah", "Belum")</f>
        <v>Sudah</v>
      </c>
    </row>
    <row r="1015" spans="1:6" hidden="1" x14ac:dyDescent="0.35">
      <c r="A1015">
        <v>1014</v>
      </c>
      <c r="B1015" s="4" t="s">
        <v>1572</v>
      </c>
      <c r="C1015" s="3">
        <v>1999</v>
      </c>
      <c r="D1015" s="4" t="s">
        <v>5392</v>
      </c>
      <c r="E1015" s="35" t="s">
        <v>5393</v>
      </c>
      <c r="F1015" s="4" t="str">
        <f>IF(COUNTIFS(Sheet1!$D$2:$D$3203, C1015, Sheet1!$C$2:$C$3203, B1015) &gt; 0, "Sudah", "Belum")</f>
        <v>Sudah</v>
      </c>
    </row>
    <row r="1016" spans="1:6" hidden="1" x14ac:dyDescent="0.35">
      <c r="A1016">
        <v>1015</v>
      </c>
      <c r="B1016" s="4" t="s">
        <v>2038</v>
      </c>
      <c r="C1016" s="3">
        <v>2011</v>
      </c>
      <c r="D1016" s="4" t="s">
        <v>5391</v>
      </c>
      <c r="E1016" s="4">
        <v>83867212712</v>
      </c>
      <c r="F1016" s="4" t="str">
        <f>IF(COUNTIFS(Sheet1!$D$2:$D$3203, C1016, Sheet1!$C$2:$C$3203, B1016) &gt; 0, "Sudah", "Belum")</f>
        <v>Sudah</v>
      </c>
    </row>
    <row r="1017" spans="1:6" hidden="1" x14ac:dyDescent="0.35">
      <c r="A1017">
        <v>1016</v>
      </c>
      <c r="B1017" s="4" t="s">
        <v>1287</v>
      </c>
      <c r="C1017" s="3">
        <v>1998</v>
      </c>
      <c r="D1017" s="4" t="s">
        <v>5394</v>
      </c>
      <c r="E1017" s="35" t="s">
        <v>5395</v>
      </c>
      <c r="F1017" s="4" t="str">
        <f>IF(COUNTIFS(Sheet1!$D$2:$D$3203, C1017, Sheet1!$C$2:$C$3203, B1017) &gt; 0, "Sudah", "Belum")</f>
        <v>Sudah</v>
      </c>
    </row>
    <row r="1018" spans="1:6" hidden="1" x14ac:dyDescent="0.35">
      <c r="A1018">
        <v>1017</v>
      </c>
      <c r="B1018" s="4" t="s">
        <v>2978</v>
      </c>
      <c r="C1018" s="3">
        <v>2007</v>
      </c>
      <c r="D1018" s="4" t="s">
        <v>5396</v>
      </c>
      <c r="E1018" s="35" t="s">
        <v>5397</v>
      </c>
      <c r="F1018" s="4" t="str">
        <f>IF(COUNTIFS(Sheet1!$D$2:$D$3203, C1018, Sheet1!$C$2:$C$3203, B1018) &gt; 0, "Sudah", "Belum")</f>
        <v>Sudah</v>
      </c>
    </row>
    <row r="1019" spans="1:6" hidden="1" x14ac:dyDescent="0.35">
      <c r="A1019">
        <v>1018</v>
      </c>
      <c r="B1019" s="4" t="s">
        <v>1465</v>
      </c>
      <c r="C1019" s="3">
        <v>1998</v>
      </c>
      <c r="D1019" s="4" t="s">
        <v>5398</v>
      </c>
      <c r="E1019" s="35" t="s">
        <v>5399</v>
      </c>
      <c r="F1019" s="4" t="str">
        <f>IF(COUNTIFS(Sheet1!$D$2:$D$3203, C1019, Sheet1!$C$2:$C$3203, B1019) &gt; 0, "Sudah", "Belum")</f>
        <v>Sudah</v>
      </c>
    </row>
    <row r="1020" spans="1:6" hidden="1" x14ac:dyDescent="0.35">
      <c r="A1020">
        <v>1019</v>
      </c>
      <c r="B1020" s="4" t="s">
        <v>2326</v>
      </c>
      <c r="C1020" s="3">
        <v>2014</v>
      </c>
      <c r="D1020" s="4" t="s">
        <v>5400</v>
      </c>
      <c r="E1020" s="35" t="s">
        <v>5401</v>
      </c>
      <c r="F1020" s="4" t="str">
        <f>IF(COUNTIFS(Sheet1!$D$2:$D$3203, C1020, Sheet1!$C$2:$C$3203, B1020) &gt; 0, "Sudah", "Belum")</f>
        <v>Sudah</v>
      </c>
    </row>
    <row r="1021" spans="1:6" hidden="1" x14ac:dyDescent="0.35">
      <c r="A1021">
        <v>1020</v>
      </c>
      <c r="B1021" s="4" t="s">
        <v>5402</v>
      </c>
      <c r="C1021" s="3">
        <v>1999</v>
      </c>
      <c r="D1021" s="4" t="s">
        <v>5403</v>
      </c>
      <c r="E1021" s="35" t="s">
        <v>5404</v>
      </c>
      <c r="F1021" s="4" t="str">
        <f>IF(COUNTIFS(Sheet1!$D$2:$D$3203, C1021, Sheet1!$C$2:$C$3203, B1021) &gt; 0, "Sudah", "Belum")</f>
        <v>Sudah</v>
      </c>
    </row>
    <row r="1022" spans="1:6" hidden="1" x14ac:dyDescent="0.35">
      <c r="A1022">
        <v>1021</v>
      </c>
      <c r="B1022" s="4" t="s">
        <v>1493</v>
      </c>
      <c r="C1022" s="3">
        <v>2000</v>
      </c>
      <c r="D1022" s="4" t="s">
        <v>5405</v>
      </c>
      <c r="E1022" s="35" t="s">
        <v>5406</v>
      </c>
      <c r="F1022" s="4" t="str">
        <f>IF(COUNTIFS(Sheet1!$D$2:$D$3203, C1022, Sheet1!$C$2:$C$3203, B1022) &gt; 0, "Sudah", "Belum")</f>
        <v>Sudah</v>
      </c>
    </row>
    <row r="1023" spans="1:6" hidden="1" x14ac:dyDescent="0.35">
      <c r="A1023">
        <v>1022</v>
      </c>
      <c r="B1023" s="4" t="s">
        <v>2074</v>
      </c>
      <c r="C1023" s="3">
        <v>2009</v>
      </c>
      <c r="D1023" s="4" t="s">
        <v>5407</v>
      </c>
      <c r="E1023" s="35" t="s">
        <v>5408</v>
      </c>
      <c r="F1023" s="4" t="str">
        <f>IF(COUNTIFS(Sheet1!$D$2:$D$3203, C1023, Sheet1!$C$2:$C$3203, B1023) &gt; 0, "Sudah", "Belum")</f>
        <v>Sudah</v>
      </c>
    </row>
    <row r="1024" spans="1:6" hidden="1" x14ac:dyDescent="0.35">
      <c r="A1024">
        <v>1023</v>
      </c>
      <c r="B1024" s="4" t="s">
        <v>2715</v>
      </c>
      <c r="C1024" s="3">
        <v>2020</v>
      </c>
      <c r="D1024" s="4" t="s">
        <v>5409</v>
      </c>
      <c r="E1024" s="35" t="s">
        <v>5410</v>
      </c>
      <c r="F1024" s="4" t="str">
        <f>IF(COUNTIFS(Sheet1!$D$2:$D$3203, C1024, Sheet1!$C$2:$C$3203, B1024) &gt; 0, "Sudah", "Belum")</f>
        <v>Sudah</v>
      </c>
    </row>
    <row r="1025" spans="1:6" hidden="1" x14ac:dyDescent="0.35">
      <c r="A1025">
        <v>1024</v>
      </c>
      <c r="B1025" s="4" t="s">
        <v>1397</v>
      </c>
      <c r="C1025" s="3">
        <v>1999</v>
      </c>
      <c r="D1025" s="4" t="s">
        <v>5411</v>
      </c>
      <c r="E1025" s="35" t="s">
        <v>5412</v>
      </c>
      <c r="F1025" s="4" t="str">
        <f>IF(COUNTIFS(Sheet1!$D$2:$D$3203, C1025, Sheet1!$C$2:$C$3203, B1025) &gt; 0, "Sudah", "Belum")</f>
        <v>Sudah</v>
      </c>
    </row>
    <row r="1026" spans="1:6" hidden="1" x14ac:dyDescent="0.35">
      <c r="A1026">
        <v>1025</v>
      </c>
      <c r="B1026" s="4" t="s">
        <v>1981</v>
      </c>
      <c r="C1026" s="3">
        <v>2010</v>
      </c>
      <c r="D1026" s="4" t="s">
        <v>5413</v>
      </c>
      <c r="E1026" s="35" t="s">
        <v>5414</v>
      </c>
      <c r="F1026" s="4" t="str">
        <f>IF(COUNTIFS(Sheet1!$D$2:$D$3203, C1026, Sheet1!$C$2:$C$3203, B1026) &gt; 0, "Sudah", "Belum")</f>
        <v>Sudah</v>
      </c>
    </row>
    <row r="1027" spans="1:6" hidden="1" x14ac:dyDescent="0.35">
      <c r="A1027">
        <v>1026</v>
      </c>
      <c r="B1027" s="4" t="s">
        <v>1586</v>
      </c>
      <c r="C1027" s="3">
        <v>2001</v>
      </c>
      <c r="D1027" s="4" t="s">
        <v>5415</v>
      </c>
      <c r="E1027" s="35" t="s">
        <v>5416</v>
      </c>
      <c r="F1027" s="4" t="str">
        <f>IF(COUNTIFS(Sheet1!$D$2:$D$3203, C1027, Sheet1!$C$2:$C$3203, B1027) &gt; 0, "Sudah", "Belum")</f>
        <v>Sudah</v>
      </c>
    </row>
    <row r="1028" spans="1:6" hidden="1" x14ac:dyDescent="0.35">
      <c r="A1028">
        <v>1027</v>
      </c>
      <c r="B1028" s="4" t="s">
        <v>1948</v>
      </c>
      <c r="C1028" s="3">
        <v>2010</v>
      </c>
      <c r="D1028" s="4" t="s">
        <v>5417</v>
      </c>
      <c r="E1028" s="35" t="s">
        <v>5418</v>
      </c>
      <c r="F1028" s="4" t="str">
        <f>IF(COUNTIFS(Sheet1!$D$2:$D$3203, C1028, Sheet1!$C$2:$C$3203, B1028) &gt; 0, "Sudah", "Belum")</f>
        <v>Sudah</v>
      </c>
    </row>
    <row r="1029" spans="1:6" hidden="1" x14ac:dyDescent="0.35">
      <c r="A1029">
        <v>1028</v>
      </c>
      <c r="B1029" s="4" t="s">
        <v>1043</v>
      </c>
      <c r="C1029" s="3">
        <v>1999</v>
      </c>
      <c r="D1029" s="4" t="s">
        <v>5419</v>
      </c>
      <c r="E1029" s="35" t="s">
        <v>5420</v>
      </c>
      <c r="F1029" s="4" t="str">
        <f>IF(COUNTIFS(Sheet1!$D$2:$D$3203, C1029, Sheet1!$C$2:$C$3203, B1029) &gt; 0, "Sudah", "Belum")</f>
        <v>Sudah</v>
      </c>
    </row>
    <row r="1030" spans="1:6" x14ac:dyDescent="0.35">
      <c r="A1030">
        <v>1029</v>
      </c>
      <c r="B1030" s="4" t="s">
        <v>5358</v>
      </c>
      <c r="C1030" s="3">
        <v>2020</v>
      </c>
      <c r="D1030" s="4" t="s">
        <v>5300</v>
      </c>
      <c r="E1030" s="35" t="s">
        <v>5301</v>
      </c>
      <c r="F1030" s="4" t="str">
        <f>IF(COUNTIFS(Sheet1!$D$2:$D$3203, C1030, Sheet1!$C$2:$C$3203, B1030) &gt; 0, "Sudah", "Belum")</f>
        <v>Belum</v>
      </c>
    </row>
    <row r="1031" spans="1:6" hidden="1" x14ac:dyDescent="0.35">
      <c r="A1031">
        <v>1030</v>
      </c>
      <c r="B1031" s="4" t="s">
        <v>1511</v>
      </c>
      <c r="C1031" s="3">
        <v>2000</v>
      </c>
      <c r="D1031" s="4" t="s">
        <v>5421</v>
      </c>
      <c r="E1031" s="35" t="s">
        <v>5422</v>
      </c>
      <c r="F1031" s="4" t="str">
        <f>IF(COUNTIFS(Sheet1!$D$2:$D$3203, C1031, Sheet1!$C$2:$C$3203, B1031) &gt; 0, "Sudah", "Belum")</f>
        <v>Sudah</v>
      </c>
    </row>
    <row r="1032" spans="1:6" hidden="1" x14ac:dyDescent="0.35">
      <c r="A1032">
        <v>1031</v>
      </c>
      <c r="B1032" s="4" t="s">
        <v>730</v>
      </c>
      <c r="C1032" s="3">
        <v>1984</v>
      </c>
      <c r="D1032" s="4" t="s">
        <v>5423</v>
      </c>
      <c r="E1032" s="35" t="s">
        <v>5424</v>
      </c>
      <c r="F1032" s="4" t="str">
        <f>IF(COUNTIFS(Sheet1!$D$2:$D$3203, C1032, Sheet1!$C$2:$C$3203, B1032) &gt; 0, "Sudah", "Belum")</f>
        <v>Sudah</v>
      </c>
    </row>
    <row r="1033" spans="1:6" hidden="1" x14ac:dyDescent="0.35">
      <c r="A1033">
        <v>1032</v>
      </c>
      <c r="B1033" s="4" t="s">
        <v>321</v>
      </c>
      <c r="C1033" s="3">
        <v>1982</v>
      </c>
      <c r="D1033" s="4" t="s">
        <v>5425</v>
      </c>
      <c r="E1033" s="35" t="s">
        <v>5426</v>
      </c>
      <c r="F1033" s="4" t="str">
        <f>IF(COUNTIFS(Sheet1!$D$2:$D$3203, C1033, Sheet1!$C$2:$C$3203, B1033) &gt; 0, "Sudah", "Belum")</f>
        <v>Sudah</v>
      </c>
    </row>
    <row r="1034" spans="1:6" hidden="1" x14ac:dyDescent="0.35">
      <c r="A1034">
        <v>1033</v>
      </c>
      <c r="B1034" s="4" t="s">
        <v>2706</v>
      </c>
      <c r="C1034" s="3">
        <v>2020</v>
      </c>
      <c r="D1034" s="4" t="s">
        <v>5427</v>
      </c>
      <c r="E1034" s="35" t="s">
        <v>5428</v>
      </c>
      <c r="F1034" s="4" t="str">
        <f>IF(COUNTIFS(Sheet1!$D$2:$D$3203, C1034, Sheet1!$C$2:$C$3203, B1034) &gt; 0, "Sudah", "Belum")</f>
        <v>Sudah</v>
      </c>
    </row>
    <row r="1035" spans="1:6" hidden="1" x14ac:dyDescent="0.35">
      <c r="A1035">
        <v>1034</v>
      </c>
      <c r="B1035" s="4" t="s">
        <v>2995</v>
      </c>
      <c r="C1035" s="3">
        <v>2007</v>
      </c>
      <c r="D1035" s="4" t="s">
        <v>5429</v>
      </c>
      <c r="E1035" s="35" t="s">
        <v>5430</v>
      </c>
      <c r="F1035" s="4" t="str">
        <f>IF(COUNTIFS(Sheet1!$D$2:$D$3203, C1035, Sheet1!$C$2:$C$3203, B1035) &gt; 0, "Sudah", "Belum")</f>
        <v>Sudah</v>
      </c>
    </row>
    <row r="1036" spans="1:6" hidden="1" x14ac:dyDescent="0.35">
      <c r="A1036">
        <v>1035</v>
      </c>
      <c r="B1036" s="4" t="s">
        <v>551</v>
      </c>
      <c r="C1036" s="3">
        <v>1984</v>
      </c>
      <c r="D1036" s="4" t="s">
        <v>5103</v>
      </c>
      <c r="E1036" s="35" t="s">
        <v>5104</v>
      </c>
      <c r="F1036" s="4" t="str">
        <f>IF(COUNTIFS(Sheet1!$D$2:$D$3203, C1036, Sheet1!$C$2:$C$3203, B1036) &gt; 0, "Sudah", "Belum")</f>
        <v>Sudah</v>
      </c>
    </row>
    <row r="1037" spans="1:6" x14ac:dyDescent="0.35">
      <c r="A1037">
        <v>1036</v>
      </c>
      <c r="B1037" s="4" t="s">
        <v>5436</v>
      </c>
      <c r="C1037" s="3">
        <v>1999</v>
      </c>
      <c r="D1037" s="4" t="s">
        <v>5437</v>
      </c>
      <c r="E1037" s="35" t="s">
        <v>5438</v>
      </c>
      <c r="F1037" s="4" t="str">
        <f>IF(COUNTIFS(Sheet1!$D$2:$D$3203, C1037, Sheet1!$C$2:$C$3203, B1037) &gt; 0, "Sudah", "Belum")</f>
        <v>Belum</v>
      </c>
    </row>
    <row r="1038" spans="1:6" hidden="1" x14ac:dyDescent="0.35">
      <c r="A1038">
        <v>1037</v>
      </c>
      <c r="B1038" s="4" t="s">
        <v>2700</v>
      </c>
      <c r="C1038" s="3">
        <v>2020</v>
      </c>
      <c r="D1038" s="4" t="s">
        <v>5444</v>
      </c>
      <c r="E1038" s="35" t="s">
        <v>4307</v>
      </c>
      <c r="F1038" s="4" t="str">
        <f>IF(COUNTIFS(Sheet1!$D$2:$D$3203, C1038, Sheet1!$C$2:$C$3203, B1038) &gt; 0, "Sudah", "Belum")</f>
        <v>Sudah</v>
      </c>
    </row>
    <row r="1039" spans="1:6" x14ac:dyDescent="0.35">
      <c r="A1039">
        <v>1038</v>
      </c>
      <c r="B1039" s="4" t="s">
        <v>5441</v>
      </c>
      <c r="C1039" s="3">
        <v>2020</v>
      </c>
      <c r="D1039" s="37" t="s">
        <v>5442</v>
      </c>
      <c r="E1039" s="35" t="s">
        <v>5443</v>
      </c>
      <c r="F1039" s="4" t="str">
        <f>IF(COUNTIFS(Sheet1!$D$2:$D$3203, C1039, Sheet1!$C$2:$C$3203, B1039) &gt; 0, "Sudah", "Belum")</f>
        <v>Belum</v>
      </c>
    </row>
    <row r="1040" spans="1:6" hidden="1" x14ac:dyDescent="0.35">
      <c r="A1040">
        <v>1039</v>
      </c>
      <c r="B1040" s="4" t="s">
        <v>565</v>
      </c>
      <c r="C1040" s="3">
        <v>1984</v>
      </c>
      <c r="D1040" s="4" t="s">
        <v>5445</v>
      </c>
      <c r="E1040" s="35" t="s">
        <v>5446</v>
      </c>
      <c r="F1040" s="4" t="str">
        <f>IF(COUNTIFS(Sheet1!$D$2:$D$3203, C1040, Sheet1!$C$2:$C$3203, B1040) &gt; 0, "Sudah", "Belum")</f>
        <v>Sudah</v>
      </c>
    </row>
    <row r="1041" spans="1:6" hidden="1" x14ac:dyDescent="0.35">
      <c r="A1041">
        <v>1040</v>
      </c>
      <c r="B1041" s="4" t="s">
        <v>733</v>
      </c>
      <c r="C1041" s="3">
        <v>1990</v>
      </c>
      <c r="D1041" s="4" t="s">
        <v>5447</v>
      </c>
      <c r="E1041" s="35" t="s">
        <v>5448</v>
      </c>
      <c r="F1041" s="4" t="str">
        <f>IF(COUNTIFS(Sheet1!$D$2:$D$3203, C1041, Sheet1!$C$2:$C$3203, B1041) &gt; 0, "Sudah", "Belum")</f>
        <v>Sudah</v>
      </c>
    </row>
    <row r="1042" spans="1:6" hidden="1" x14ac:dyDescent="0.35">
      <c r="A1042">
        <v>1041</v>
      </c>
      <c r="B1042" s="4" t="s">
        <v>766</v>
      </c>
      <c r="C1042" s="3">
        <v>1991</v>
      </c>
      <c r="D1042" s="4" t="s">
        <v>5434</v>
      </c>
      <c r="E1042" s="35" t="s">
        <v>5435</v>
      </c>
      <c r="F1042" s="4" t="str">
        <f>IF(COUNTIFS(Sheet1!$D$2:$D$3203, C1042, Sheet1!$C$2:$C$3203, B1042) &gt; 0, "Sudah", "Belum")</f>
        <v>Sudah</v>
      </c>
    </row>
    <row r="1043" spans="1:6" hidden="1" x14ac:dyDescent="0.35">
      <c r="A1043">
        <v>1042</v>
      </c>
      <c r="B1043" s="4" t="s">
        <v>5449</v>
      </c>
      <c r="C1043" s="3">
        <v>1975</v>
      </c>
      <c r="D1043" s="4" t="s">
        <v>5450</v>
      </c>
      <c r="E1043" s="35" t="s">
        <v>5451</v>
      </c>
      <c r="F1043" s="4" t="str">
        <f>IF(COUNTIFS(Sheet1!$D$2:$D$3203, C1043, Sheet1!$C$2:$C$3203, B1043) &gt; 0, "Sudah", "Belum")</f>
        <v>Sudah</v>
      </c>
    </row>
    <row r="1044" spans="1:6" hidden="1" x14ac:dyDescent="0.35">
      <c r="A1044">
        <v>1043</v>
      </c>
      <c r="B1044" s="4" t="s">
        <v>676</v>
      </c>
      <c r="C1044" s="3">
        <v>1987</v>
      </c>
      <c r="D1044" s="4" t="s">
        <v>5452</v>
      </c>
      <c r="E1044" s="35" t="s">
        <v>5453</v>
      </c>
      <c r="F1044" s="4" t="str">
        <f>IF(COUNTIFS(Sheet1!$D$2:$D$3203, C1044, Sheet1!$C$2:$C$3203, B1044) &gt; 0, "Sudah", "Belum")</f>
        <v>Sudah</v>
      </c>
    </row>
    <row r="1045" spans="1:6" x14ac:dyDescent="0.35">
      <c r="A1045">
        <v>1044</v>
      </c>
      <c r="B1045" s="4" t="s">
        <v>5454</v>
      </c>
      <c r="C1045" s="3">
        <v>2020</v>
      </c>
      <c r="D1045" s="4" t="s">
        <v>5455</v>
      </c>
      <c r="E1045" s="35" t="s">
        <v>5456</v>
      </c>
      <c r="F1045" s="4" t="str">
        <f>IF(COUNTIFS(Sheet1!$D$2:$D$3203, C1045, Sheet1!$C$2:$C$3203, B1045) &gt; 0, "Sudah", "Belum")</f>
        <v>Belum</v>
      </c>
    </row>
    <row r="1046" spans="1:6" hidden="1" x14ac:dyDescent="0.35">
      <c r="A1046">
        <v>1045</v>
      </c>
      <c r="B1046" s="4" t="s">
        <v>5457</v>
      </c>
      <c r="C1046" s="3">
        <v>2009</v>
      </c>
      <c r="D1046" s="4" t="s">
        <v>5458</v>
      </c>
      <c r="E1046" s="35" t="s">
        <v>5459</v>
      </c>
      <c r="F1046" s="4" t="str">
        <f>IF(COUNTIFS(Sheet1!$D$2:$D$3203, C1046, Sheet1!$C$2:$C$3203, B1046) &gt; 0, "Sudah", "Belum")</f>
        <v>Sudah</v>
      </c>
    </row>
    <row r="1047" spans="1:6" hidden="1" x14ac:dyDescent="0.35">
      <c r="A1047">
        <v>1046</v>
      </c>
      <c r="B1047" s="4" t="s">
        <v>5460</v>
      </c>
      <c r="C1047" s="3">
        <v>2002</v>
      </c>
      <c r="D1047" s="4" t="s">
        <v>5461</v>
      </c>
      <c r="E1047" s="35" t="s">
        <v>5462</v>
      </c>
      <c r="F1047" s="4" t="str">
        <f>IF(COUNTIFS(Sheet1!$D$2:$D$3203, C1047, Sheet1!$C$2:$C$3203, B1047) &gt; 0, "Sudah", "Belum")</f>
        <v>Sudah</v>
      </c>
    </row>
    <row r="1048" spans="1:6" hidden="1" x14ac:dyDescent="0.35">
      <c r="A1048">
        <v>1047</v>
      </c>
      <c r="B1048" s="4" t="s">
        <v>1720</v>
      </c>
      <c r="C1048" s="3">
        <v>2003</v>
      </c>
      <c r="D1048" s="4" t="s">
        <v>5463</v>
      </c>
      <c r="E1048" s="35" t="s">
        <v>5464</v>
      </c>
      <c r="F1048" s="4" t="str">
        <f>IF(COUNTIFS(Sheet1!$D$2:$D$3203, C1048, Sheet1!$C$2:$C$3203, B1048) &gt; 0, "Sudah", "Belum")</f>
        <v>Sudah</v>
      </c>
    </row>
    <row r="1049" spans="1:6" hidden="1" x14ac:dyDescent="0.35">
      <c r="A1049">
        <v>1048</v>
      </c>
      <c r="B1049" s="4" t="s">
        <v>1354</v>
      </c>
      <c r="C1049" s="3">
        <v>1999</v>
      </c>
      <c r="D1049" s="4" t="s">
        <v>5465</v>
      </c>
      <c r="E1049" s="35" t="s">
        <v>5466</v>
      </c>
      <c r="F1049" s="4" t="str">
        <f>IF(COUNTIFS(Sheet1!$D$2:$D$3203, C1049, Sheet1!$C$2:$C$3203, B1049) &gt; 0, "Sudah", "Belum")</f>
        <v>Sudah</v>
      </c>
    </row>
    <row r="1050" spans="1:6" hidden="1" x14ac:dyDescent="0.35">
      <c r="A1050">
        <v>1049</v>
      </c>
      <c r="B1050" s="4" t="s">
        <v>1876</v>
      </c>
      <c r="C1050" s="3">
        <v>2009</v>
      </c>
      <c r="D1050" s="4" t="s">
        <v>5467</v>
      </c>
      <c r="E1050" s="35" t="s">
        <v>5468</v>
      </c>
      <c r="F1050" s="4" t="str">
        <f>IF(COUNTIFS(Sheet1!$D$2:$D$3203, C1050, Sheet1!$C$2:$C$3203, B1050) &gt; 0, "Sudah", "Belum")</f>
        <v>Sudah</v>
      </c>
    </row>
    <row r="1051" spans="1:6" hidden="1" x14ac:dyDescent="0.35">
      <c r="A1051">
        <v>1050</v>
      </c>
      <c r="B1051" s="4" t="s">
        <v>819</v>
      </c>
      <c r="C1051" s="3">
        <v>1986</v>
      </c>
      <c r="D1051" s="4" t="s">
        <v>5469</v>
      </c>
      <c r="E1051" s="35" t="s">
        <v>5470</v>
      </c>
      <c r="F1051" s="4" t="str">
        <f>IF(COUNTIFS(Sheet1!$D$2:$D$3203, C1051, Sheet1!$C$2:$C$3203, B1051) &gt; 0, "Sudah", "Belum")</f>
        <v>Sudah</v>
      </c>
    </row>
    <row r="1052" spans="1:6" x14ac:dyDescent="0.35">
      <c r="A1052">
        <v>1051</v>
      </c>
      <c r="B1052" s="4" t="s">
        <v>5431</v>
      </c>
      <c r="C1052" s="3">
        <v>1980</v>
      </c>
      <c r="D1052" s="4" t="s">
        <v>5432</v>
      </c>
      <c r="E1052" s="35" t="s">
        <v>5433</v>
      </c>
      <c r="F1052" s="4" t="str">
        <f>IF(COUNTIFS(Sheet1!$D$2:$D$3203, C1052, Sheet1!$C$2:$C$3203, B1052) &gt; 0, "Sudah", "Belum")</f>
        <v>Belum</v>
      </c>
    </row>
    <row r="1053" spans="1:6" hidden="1" x14ac:dyDescent="0.35">
      <c r="A1053">
        <v>1052</v>
      </c>
      <c r="B1053" s="4" t="s">
        <v>1839</v>
      </c>
      <c r="C1053" s="3">
        <v>2005</v>
      </c>
      <c r="D1053" s="4" t="s">
        <v>5473</v>
      </c>
      <c r="E1053" s="35" t="s">
        <v>5474</v>
      </c>
      <c r="F1053" s="4" t="str">
        <f>IF(COUNTIFS(Sheet1!$D$2:$D$3203, C1053, Sheet1!$C$2:$C$3203, B1053) &gt; 0, "Sudah", "Belum")</f>
        <v>Sudah</v>
      </c>
    </row>
    <row r="1054" spans="1:6" hidden="1" x14ac:dyDescent="0.35">
      <c r="A1054">
        <v>1053</v>
      </c>
      <c r="B1054" s="4" t="s">
        <v>1817</v>
      </c>
      <c r="C1054" s="3">
        <v>2005</v>
      </c>
      <c r="D1054" s="4" t="s">
        <v>5475</v>
      </c>
      <c r="E1054" s="35" t="s">
        <v>5476</v>
      </c>
      <c r="F1054" s="4" t="str">
        <f>IF(COUNTIFS(Sheet1!$D$2:$D$3203, C1054, Sheet1!$C$2:$C$3203, B1054) &gt; 0, "Sudah", "Belum")</f>
        <v>Sudah</v>
      </c>
    </row>
    <row r="1055" spans="1:6" hidden="1" x14ac:dyDescent="0.35">
      <c r="A1055">
        <v>1054</v>
      </c>
      <c r="B1055" s="4" t="s">
        <v>5477</v>
      </c>
      <c r="C1055" s="3">
        <v>2009</v>
      </c>
      <c r="D1055" s="4" t="s">
        <v>5478</v>
      </c>
      <c r="E1055" s="35" t="s">
        <v>5479</v>
      </c>
      <c r="F1055" s="4" t="str">
        <f>IF(COUNTIFS(Sheet1!$D$2:$D$3203, C1055, Sheet1!$C$2:$C$3203, B1055) &gt; 0, "Sudah", "Belum")</f>
        <v>Sudah</v>
      </c>
    </row>
    <row r="1056" spans="1:6" hidden="1" x14ac:dyDescent="0.35">
      <c r="A1056">
        <v>1055</v>
      </c>
      <c r="B1056" s="4" t="s">
        <v>2298</v>
      </c>
      <c r="C1056" s="3">
        <v>2013</v>
      </c>
      <c r="D1056" s="4" t="s">
        <v>5480</v>
      </c>
      <c r="E1056" s="35" t="s">
        <v>5481</v>
      </c>
      <c r="F1056" s="4" t="str">
        <f>IF(COUNTIFS(Sheet1!$D$2:$D$3203, C1056, Sheet1!$C$2:$C$3203, B1056) &gt; 0, "Sudah", "Belum")</f>
        <v>Sudah</v>
      </c>
    </row>
    <row r="1057" spans="1:6" hidden="1" x14ac:dyDescent="0.35">
      <c r="A1057">
        <v>1056</v>
      </c>
      <c r="B1057" s="4" t="s">
        <v>289</v>
      </c>
      <c r="C1057" s="3">
        <v>1980</v>
      </c>
      <c r="D1057" s="4" t="s">
        <v>5482</v>
      </c>
      <c r="E1057" s="35" t="s">
        <v>5483</v>
      </c>
      <c r="F1057" s="4" t="str">
        <f>IF(COUNTIFS(Sheet1!$D$2:$D$3203, C1057, Sheet1!$C$2:$C$3203, B1057) &gt; 0, "Sudah", "Belum")</f>
        <v>Sudah</v>
      </c>
    </row>
    <row r="1058" spans="1:6" hidden="1" x14ac:dyDescent="0.35">
      <c r="A1058">
        <v>1057</v>
      </c>
      <c r="B1058" s="4" t="s">
        <v>1889</v>
      </c>
      <c r="C1058" s="3">
        <v>2008</v>
      </c>
      <c r="D1058" s="4" t="s">
        <v>5486</v>
      </c>
      <c r="E1058" s="35" t="s">
        <v>5487</v>
      </c>
      <c r="F1058" s="4" t="str">
        <f>IF(COUNTIFS(Sheet1!$D$2:$D$3203, C1058, Sheet1!$C$2:$C$3203, B1058) &gt; 0, "Sudah", "Belum")</f>
        <v>Sudah</v>
      </c>
    </row>
    <row r="1059" spans="1:6" hidden="1" x14ac:dyDescent="0.35">
      <c r="A1059">
        <v>1058</v>
      </c>
      <c r="B1059" s="4" t="s">
        <v>5488</v>
      </c>
      <c r="C1059" s="3">
        <v>1987</v>
      </c>
      <c r="D1059" s="4" t="s">
        <v>5471</v>
      </c>
      <c r="E1059" s="35" t="s">
        <v>5472</v>
      </c>
      <c r="F1059" s="4" t="str">
        <f>IF(COUNTIFS(Sheet1!$D$2:$D$3203, C1059, Sheet1!$C$2:$C$3203, B1059) &gt; 0, "Sudah", "Belum")</f>
        <v>Sudah</v>
      </c>
    </row>
    <row r="1060" spans="1:6" hidden="1" x14ac:dyDescent="0.35">
      <c r="A1060">
        <v>1059</v>
      </c>
      <c r="B1060" s="4" t="s">
        <v>3054</v>
      </c>
      <c r="C1060" s="3">
        <v>2009</v>
      </c>
      <c r="D1060" s="4" t="s">
        <v>5489</v>
      </c>
      <c r="E1060" s="35" t="s">
        <v>5490</v>
      </c>
      <c r="F1060" s="4" t="str">
        <f>IF(COUNTIFS(Sheet1!$D$2:$D$3203, C1060, Sheet1!$C$2:$C$3203, B1060) &gt; 0, "Sudah", "Belum")</f>
        <v>Sudah</v>
      </c>
    </row>
    <row r="1061" spans="1:6" hidden="1" x14ac:dyDescent="0.35">
      <c r="A1061">
        <v>1060</v>
      </c>
      <c r="B1061" s="4" t="s">
        <v>2784</v>
      </c>
      <c r="C1061" s="3">
        <v>2021</v>
      </c>
      <c r="D1061" s="4" t="s">
        <v>5491</v>
      </c>
      <c r="E1061" s="35" t="s">
        <v>5492</v>
      </c>
      <c r="F1061" s="4" t="str">
        <f>IF(COUNTIFS(Sheet1!$D$2:$D$3203, C1061, Sheet1!$C$2:$C$3203, B1061) &gt; 0, "Sudah", "Belum")</f>
        <v>Sudah</v>
      </c>
    </row>
    <row r="1062" spans="1:6" hidden="1" x14ac:dyDescent="0.35">
      <c r="A1062">
        <v>1061</v>
      </c>
      <c r="B1062" s="4" t="s">
        <v>1739</v>
      </c>
      <c r="C1062" s="3">
        <v>2002</v>
      </c>
      <c r="D1062" s="4" t="s">
        <v>5493</v>
      </c>
      <c r="E1062" s="35" t="s">
        <v>5494</v>
      </c>
      <c r="F1062" s="4" t="str">
        <f>IF(COUNTIFS(Sheet1!$D$2:$D$3203, C1062, Sheet1!$C$2:$C$3203, B1062) &gt; 0, "Sudah", "Belum")</f>
        <v>Sudah</v>
      </c>
    </row>
    <row r="1063" spans="1:6" hidden="1" x14ac:dyDescent="0.35">
      <c r="A1063">
        <v>1062</v>
      </c>
      <c r="B1063" s="4" t="s">
        <v>1859</v>
      </c>
      <c r="C1063" s="3">
        <v>2009</v>
      </c>
      <c r="D1063" s="4" t="s">
        <v>5484</v>
      </c>
      <c r="E1063" s="35" t="s">
        <v>5485</v>
      </c>
      <c r="F1063" s="4" t="str">
        <f>IF(COUNTIFS(Sheet1!$D$2:$D$3203, C1063, Sheet1!$C$2:$C$3203, B1063) &gt; 0, "Sudah", "Belum")</f>
        <v>Sudah</v>
      </c>
    </row>
    <row r="1064" spans="1:6" hidden="1" x14ac:dyDescent="0.35">
      <c r="A1064">
        <v>1063</v>
      </c>
      <c r="B1064" s="4" t="s">
        <v>286</v>
      </c>
      <c r="C1064" s="3">
        <v>1980</v>
      </c>
      <c r="D1064" s="4" t="s">
        <v>5432</v>
      </c>
      <c r="E1064" s="35" t="s">
        <v>5433</v>
      </c>
      <c r="F1064" s="4" t="str">
        <f>IF(COUNTIFS(Sheet1!$D$2:$D$3203, C1064, Sheet1!$C$2:$C$3203, B1064) &gt; 0, "Sudah", "Belum")</f>
        <v>Sudah</v>
      </c>
    </row>
    <row r="1065" spans="1:6" hidden="1" x14ac:dyDescent="0.35">
      <c r="A1065">
        <v>1064</v>
      </c>
      <c r="B1065" s="4" t="s">
        <v>3056</v>
      </c>
      <c r="C1065" s="3">
        <v>2009</v>
      </c>
      <c r="D1065" s="4" t="s">
        <v>5495</v>
      </c>
      <c r="E1065" s="35" t="s">
        <v>5496</v>
      </c>
      <c r="F1065" s="4" t="str">
        <f>IF(COUNTIFS(Sheet1!$D$2:$D$3203, C1065, Sheet1!$C$2:$C$3203, B1065) &gt; 0, "Sudah", "Belum")</f>
        <v>Sudah</v>
      </c>
    </row>
    <row r="1066" spans="1:6" hidden="1" x14ac:dyDescent="0.35">
      <c r="A1066">
        <v>1065</v>
      </c>
      <c r="B1066" s="4" t="s">
        <v>697</v>
      </c>
      <c r="C1066" s="3">
        <v>1989</v>
      </c>
      <c r="D1066" s="4" t="s">
        <v>5497</v>
      </c>
      <c r="E1066" s="35" t="s">
        <v>5498</v>
      </c>
      <c r="F1066" s="4" t="str">
        <f>IF(COUNTIFS(Sheet1!$D$2:$D$3203, C1066, Sheet1!$C$2:$C$3203, B1066) &gt; 0, "Sudah", "Belum")</f>
        <v>Sudah</v>
      </c>
    </row>
    <row r="1067" spans="1:6" hidden="1" x14ac:dyDescent="0.35">
      <c r="A1067">
        <v>1066</v>
      </c>
      <c r="B1067" s="4" t="s">
        <v>1791</v>
      </c>
      <c r="C1067" s="3">
        <v>2005</v>
      </c>
      <c r="D1067" s="4" t="s">
        <v>5499</v>
      </c>
      <c r="E1067" s="35" t="s">
        <v>5500</v>
      </c>
      <c r="F1067" s="4" t="str">
        <f>IF(COUNTIFS(Sheet1!$D$2:$D$3203, C1067, Sheet1!$C$2:$C$3203, B1067) &gt; 0, "Sudah", "Belum")</f>
        <v>Sudah</v>
      </c>
    </row>
    <row r="1068" spans="1:6" hidden="1" x14ac:dyDescent="0.35">
      <c r="A1068">
        <v>1067</v>
      </c>
      <c r="B1068" s="4" t="s">
        <v>2081</v>
      </c>
      <c r="C1068" s="3">
        <v>2011</v>
      </c>
      <c r="D1068" s="4" t="s">
        <v>5501</v>
      </c>
      <c r="E1068" s="35" t="s">
        <v>5502</v>
      </c>
      <c r="F1068" s="4" t="str">
        <f>IF(COUNTIFS(Sheet1!$D$2:$D$3203, C1068, Sheet1!$C$2:$C$3203, B1068) &gt; 0, "Sudah", "Belum")</f>
        <v>Sudah</v>
      </c>
    </row>
    <row r="1069" spans="1:6" x14ac:dyDescent="0.35">
      <c r="A1069">
        <v>1068</v>
      </c>
      <c r="B1069" s="4" t="s">
        <v>5503</v>
      </c>
      <c r="C1069" s="3">
        <v>2008</v>
      </c>
      <c r="D1069" s="4" t="s">
        <v>5504</v>
      </c>
      <c r="E1069" s="35" t="s">
        <v>5505</v>
      </c>
      <c r="F1069" s="4" t="str">
        <f>IF(COUNTIFS(Sheet1!$D$2:$D$3203, C1069, Sheet1!$C$2:$C$3203, B1069) &gt; 0, "Sudah", "Belum")</f>
        <v>Belum</v>
      </c>
    </row>
    <row r="1070" spans="1:6" hidden="1" x14ac:dyDescent="0.35">
      <c r="A1070">
        <v>1069</v>
      </c>
      <c r="B1070" s="4" t="s">
        <v>2997</v>
      </c>
      <c r="C1070" s="3">
        <v>2008</v>
      </c>
      <c r="D1070" s="4" t="s">
        <v>5506</v>
      </c>
      <c r="E1070" s="35" t="s">
        <v>5507</v>
      </c>
      <c r="F1070" s="4" t="str">
        <f>IF(COUNTIFS(Sheet1!$D$2:$D$3203, C1070, Sheet1!$C$2:$C$3203, B1070) &gt; 0, "Sudah", "Belum")</f>
        <v>Sudah</v>
      </c>
    </row>
    <row r="1071" spans="1:6" hidden="1" x14ac:dyDescent="0.35">
      <c r="A1071">
        <v>1070</v>
      </c>
      <c r="B1071" s="4" t="s">
        <v>2749</v>
      </c>
      <c r="C1071" s="3">
        <v>2020</v>
      </c>
      <c r="D1071" s="4" t="s">
        <v>5508</v>
      </c>
      <c r="E1071" s="35" t="s">
        <v>5509</v>
      </c>
      <c r="F1071" s="4" t="str">
        <f>IF(COUNTIFS(Sheet1!$D$2:$D$3203, C1071, Sheet1!$C$2:$C$3203, B1071) &gt; 0, "Sudah", "Belum")</f>
        <v>Sudah</v>
      </c>
    </row>
    <row r="1072" spans="1:6" hidden="1" x14ac:dyDescent="0.35">
      <c r="A1072">
        <v>1071</v>
      </c>
      <c r="B1072" s="4" t="s">
        <v>3029</v>
      </c>
      <c r="C1072" s="3">
        <v>2008</v>
      </c>
      <c r="D1072" s="4" t="s">
        <v>5510</v>
      </c>
      <c r="E1072" s="35" t="s">
        <v>5511</v>
      </c>
      <c r="F1072" s="4" t="str">
        <f>IF(COUNTIFS(Sheet1!$D$2:$D$3203, C1072, Sheet1!$C$2:$C$3203, B1072) &gt; 0, "Sudah", "Belum")</f>
        <v>Sudah</v>
      </c>
    </row>
    <row r="1073" spans="1:6" hidden="1" x14ac:dyDescent="0.35">
      <c r="A1073">
        <v>1072</v>
      </c>
      <c r="B1073" s="4" t="s">
        <v>311</v>
      </c>
      <c r="C1073" s="3">
        <v>1980</v>
      </c>
      <c r="D1073" s="4" t="s">
        <v>5512</v>
      </c>
      <c r="E1073" s="35" t="s">
        <v>5513</v>
      </c>
      <c r="F1073" s="4" t="str">
        <f>IF(COUNTIFS(Sheet1!$D$2:$D$3203, C1073, Sheet1!$C$2:$C$3203, B1073) &gt; 0, "Sudah", "Belum")</f>
        <v>Sudah</v>
      </c>
    </row>
    <row r="1074" spans="1:6" hidden="1" x14ac:dyDescent="0.35">
      <c r="A1074">
        <v>1073</v>
      </c>
      <c r="B1074" s="4" t="s">
        <v>659</v>
      </c>
      <c r="C1074" s="3">
        <v>1987</v>
      </c>
      <c r="D1074" s="4" t="s">
        <v>5514</v>
      </c>
      <c r="E1074" s="35" t="s">
        <v>5515</v>
      </c>
      <c r="F1074" s="4" t="str">
        <f>IF(COUNTIFS(Sheet1!$D$2:$D$3203, C1074, Sheet1!$C$2:$C$3203, B1074) &gt; 0, "Sudah", "Belum")</f>
        <v>Sudah</v>
      </c>
    </row>
    <row r="1075" spans="1:6" hidden="1" x14ac:dyDescent="0.35">
      <c r="A1075">
        <v>1074</v>
      </c>
      <c r="B1075" s="4" t="s">
        <v>616</v>
      </c>
      <c r="C1075" s="3">
        <v>1985</v>
      </c>
      <c r="D1075" s="4" t="s">
        <v>5516</v>
      </c>
      <c r="E1075" s="35" t="s">
        <v>5517</v>
      </c>
      <c r="F1075" s="4" t="str">
        <f>IF(COUNTIFS(Sheet1!$D$2:$D$3203, C1075, Sheet1!$C$2:$C$3203, B1075) &gt; 0, "Sudah", "Belum")</f>
        <v>Sudah</v>
      </c>
    </row>
    <row r="1076" spans="1:6" hidden="1" x14ac:dyDescent="0.35">
      <c r="A1076">
        <v>1075</v>
      </c>
      <c r="B1076" s="4" t="s">
        <v>1224</v>
      </c>
      <c r="C1076" s="3">
        <v>1996</v>
      </c>
      <c r="D1076" s="4" t="s">
        <v>5439</v>
      </c>
      <c r="E1076" s="35" t="s">
        <v>5440</v>
      </c>
      <c r="F1076" s="4" t="str">
        <f>IF(COUNTIFS(Sheet1!$D$2:$D$3203, C1076, Sheet1!$C$2:$C$3203, B1076) &gt; 0, "Sudah", "Belum")</f>
        <v>Sudah</v>
      </c>
    </row>
    <row r="1077" spans="1:6" hidden="1" x14ac:dyDescent="0.35">
      <c r="A1077">
        <v>1076</v>
      </c>
      <c r="B1077" s="4" t="s">
        <v>2726</v>
      </c>
      <c r="C1077" s="3">
        <v>2020</v>
      </c>
      <c r="D1077" s="4" t="s">
        <v>5518</v>
      </c>
      <c r="E1077" s="35" t="s">
        <v>5519</v>
      </c>
      <c r="F1077" s="4" t="str">
        <f>IF(COUNTIFS(Sheet1!$D$2:$D$3203, C1077, Sheet1!$C$2:$C$3203, B1077) &gt; 0, "Sudah", "Belum")</f>
        <v>Sudah</v>
      </c>
    </row>
    <row r="1078" spans="1:6" hidden="1" x14ac:dyDescent="0.35">
      <c r="A1078">
        <v>1077</v>
      </c>
      <c r="B1078" s="4" t="s">
        <v>2031</v>
      </c>
      <c r="C1078" s="3">
        <v>2011</v>
      </c>
      <c r="D1078" s="4" t="s">
        <v>5520</v>
      </c>
      <c r="E1078" s="35" t="s">
        <v>5521</v>
      </c>
      <c r="F1078" s="4" t="str">
        <f>IF(COUNTIFS(Sheet1!$D$2:$D$3203, C1078, Sheet1!$C$2:$C$3203, B1078) &gt; 0, "Sudah", "Belum")</f>
        <v>Sudah</v>
      </c>
    </row>
    <row r="1079" spans="1:6" hidden="1" x14ac:dyDescent="0.35">
      <c r="A1079">
        <v>1078</v>
      </c>
      <c r="B1079" s="4" t="s">
        <v>2690</v>
      </c>
      <c r="C1079" s="3">
        <v>2020</v>
      </c>
      <c r="D1079" s="4" t="s">
        <v>5523</v>
      </c>
      <c r="E1079" s="35" t="s">
        <v>5524</v>
      </c>
      <c r="F1079" s="4" t="str">
        <f>IF(COUNTIFS(Sheet1!$D$2:$D$3203, C1079, Sheet1!$C$2:$C$3203, B1079) &gt; 0, "Sudah", "Belum")</f>
        <v>Sudah</v>
      </c>
    </row>
    <row r="1080" spans="1:6" hidden="1" x14ac:dyDescent="0.35">
      <c r="A1080">
        <v>1079</v>
      </c>
      <c r="B1080" s="4" t="s">
        <v>215</v>
      </c>
      <c r="C1080" s="3">
        <v>1989</v>
      </c>
      <c r="D1080" s="4" t="s">
        <v>5525</v>
      </c>
      <c r="E1080" s="35" t="s">
        <v>5526</v>
      </c>
      <c r="F1080" s="4" t="str">
        <f>IF(COUNTIFS(Sheet1!$D$2:$D$3203, C1080, Sheet1!$C$2:$C$3203, B1080) &gt; 0, "Sudah", "Belum")</f>
        <v>Sudah</v>
      </c>
    </row>
    <row r="1081" spans="1:6" hidden="1" x14ac:dyDescent="0.35">
      <c r="A1081">
        <v>1080</v>
      </c>
      <c r="B1081" s="4" t="s">
        <v>194</v>
      </c>
      <c r="C1081" s="3">
        <v>1977</v>
      </c>
      <c r="D1081" s="4" t="s">
        <v>5527</v>
      </c>
      <c r="E1081" s="35" t="s">
        <v>5528</v>
      </c>
      <c r="F1081" s="4" t="str">
        <f>IF(COUNTIFS(Sheet1!$D$2:$D$3203, C1081, Sheet1!$C$2:$C$3203, B1081) &gt; 0, "Sudah", "Belum")</f>
        <v>Sudah</v>
      </c>
    </row>
    <row r="1082" spans="1:6" hidden="1" x14ac:dyDescent="0.35">
      <c r="A1082">
        <v>1081</v>
      </c>
      <c r="B1082" s="4" t="s">
        <v>2361</v>
      </c>
      <c r="C1082" s="3">
        <v>2015</v>
      </c>
      <c r="D1082" s="4" t="s">
        <v>5529</v>
      </c>
      <c r="E1082" s="35" t="s">
        <v>5530</v>
      </c>
      <c r="F1082" s="4" t="str">
        <f>IF(COUNTIFS(Sheet1!$D$2:$D$3203, C1082, Sheet1!$C$2:$C$3203, B1082) &gt; 0, "Sudah", "Belum")</f>
        <v>Sudah</v>
      </c>
    </row>
    <row r="1083" spans="1:6" hidden="1" x14ac:dyDescent="0.35">
      <c r="A1083">
        <v>1082</v>
      </c>
      <c r="B1083" s="4" t="s">
        <v>1999</v>
      </c>
      <c r="C1083" s="3">
        <v>2010</v>
      </c>
      <c r="D1083" s="4" t="s">
        <v>5531</v>
      </c>
      <c r="E1083" s="35" t="s">
        <v>5532</v>
      </c>
      <c r="F1083" s="4" t="str">
        <f>IF(COUNTIFS(Sheet1!$D$2:$D$3203, C1083, Sheet1!$C$2:$C$3203, B1083) &gt; 0, "Sudah", "Belum")</f>
        <v>Sudah</v>
      </c>
    </row>
    <row r="1084" spans="1:6" hidden="1" x14ac:dyDescent="0.35">
      <c r="A1084">
        <v>1083</v>
      </c>
      <c r="B1084" s="4" t="s">
        <v>2694</v>
      </c>
      <c r="C1084" s="3">
        <v>2020</v>
      </c>
      <c r="D1084" s="4" t="s">
        <v>5533</v>
      </c>
      <c r="E1084" s="35" t="s">
        <v>5534</v>
      </c>
      <c r="F1084" s="4" t="str">
        <f>IF(COUNTIFS(Sheet1!$D$2:$D$3203, C1084, Sheet1!$C$2:$C$3203, B1084) &gt; 0, "Sudah", "Belum")</f>
        <v>Sudah</v>
      </c>
    </row>
    <row r="1085" spans="1:6" hidden="1" x14ac:dyDescent="0.35">
      <c r="A1085">
        <v>1084</v>
      </c>
      <c r="B1085" s="4" t="s">
        <v>77</v>
      </c>
      <c r="C1085" s="3">
        <v>1974</v>
      </c>
      <c r="D1085" s="4" t="s">
        <v>5535</v>
      </c>
      <c r="E1085" s="35" t="s">
        <v>5536</v>
      </c>
      <c r="F1085" s="4" t="str">
        <f>IF(COUNTIFS(Sheet1!$D$2:$D$3203, C1085, Sheet1!$C$2:$C$3203, B1085) &gt; 0, "Sudah", "Belum")</f>
        <v>Sudah</v>
      </c>
    </row>
    <row r="1086" spans="1:6" hidden="1" x14ac:dyDescent="0.35">
      <c r="A1086">
        <v>1085</v>
      </c>
      <c r="B1086" s="4" t="s">
        <v>2686</v>
      </c>
      <c r="C1086" s="3">
        <v>2020</v>
      </c>
      <c r="D1086" s="4" t="s">
        <v>5537</v>
      </c>
      <c r="E1086" s="35" t="s">
        <v>5538</v>
      </c>
      <c r="F1086" s="4" t="str">
        <f>IF(COUNTIFS(Sheet1!$D$2:$D$3203, C1086, Sheet1!$C$2:$C$3203, B1086) &gt; 0, "Sudah", "Belum")</f>
        <v>Sudah</v>
      </c>
    </row>
    <row r="1087" spans="1:6" hidden="1" x14ac:dyDescent="0.35">
      <c r="A1087">
        <v>1086</v>
      </c>
      <c r="B1087" s="4" t="s">
        <v>1932</v>
      </c>
      <c r="C1087" s="3">
        <v>2009</v>
      </c>
      <c r="D1087" s="4" t="s">
        <v>5539</v>
      </c>
      <c r="E1087" s="35" t="s">
        <v>5540</v>
      </c>
      <c r="F1087" s="4" t="str">
        <f>IF(COUNTIFS(Sheet1!$D$2:$D$3203, C1087, Sheet1!$C$2:$C$3203, B1087) &gt; 0, "Sudah", "Belum")</f>
        <v>Sudah</v>
      </c>
    </row>
    <row r="1088" spans="1:6" hidden="1" x14ac:dyDescent="0.35">
      <c r="A1088">
        <v>1087</v>
      </c>
      <c r="B1088" s="4" t="s">
        <v>812</v>
      </c>
      <c r="C1088" s="3">
        <v>1989</v>
      </c>
      <c r="D1088" s="4" t="s">
        <v>5541</v>
      </c>
      <c r="E1088" s="35" t="s">
        <v>5542</v>
      </c>
      <c r="F1088" s="4" t="str">
        <f>IF(COUNTIFS(Sheet1!$D$2:$D$3203, C1088, Sheet1!$C$2:$C$3203, B1088) &gt; 0, "Sudah", "Belum")</f>
        <v>Sudah</v>
      </c>
    </row>
    <row r="1089" spans="1:6" hidden="1" x14ac:dyDescent="0.35">
      <c r="A1089">
        <v>1088</v>
      </c>
      <c r="B1089" s="4" t="s">
        <v>1868</v>
      </c>
      <c r="C1089" s="3">
        <v>2009</v>
      </c>
      <c r="D1089" s="4" t="s">
        <v>5543</v>
      </c>
      <c r="E1089" s="35" t="s">
        <v>5544</v>
      </c>
      <c r="F1089" s="4" t="str">
        <f>IF(COUNTIFS(Sheet1!$D$2:$D$3203, C1089, Sheet1!$C$2:$C$3203, B1089) &gt; 0, "Sudah", "Belum")</f>
        <v>Sudah</v>
      </c>
    </row>
    <row r="1090" spans="1:6" hidden="1" x14ac:dyDescent="0.35">
      <c r="A1090">
        <v>1089</v>
      </c>
      <c r="B1090" s="4" t="s">
        <v>1128</v>
      </c>
      <c r="C1090" s="3">
        <v>1996</v>
      </c>
      <c r="D1090" s="4" t="s">
        <v>4285</v>
      </c>
      <c r="E1090" s="35" t="s">
        <v>4286</v>
      </c>
      <c r="F1090" s="4" t="str">
        <f>IF(COUNTIFS(Sheet1!$D$2:$D$3203, C1090, Sheet1!$C$2:$C$3203, B1090) &gt; 0, "Sudah", "Belum")</f>
        <v>Sudah</v>
      </c>
    </row>
    <row r="1091" spans="1:6" hidden="1" x14ac:dyDescent="0.35">
      <c r="A1091">
        <v>1090</v>
      </c>
      <c r="B1091" s="4" t="s">
        <v>2870</v>
      </c>
      <c r="C1091" s="3">
        <v>2005</v>
      </c>
      <c r="D1091" s="4" t="s">
        <v>5545</v>
      </c>
      <c r="E1091" s="35" t="s">
        <v>5546</v>
      </c>
      <c r="F1091" s="4" t="str">
        <f>IF(COUNTIFS(Sheet1!$D$2:$D$3203, C1091, Sheet1!$C$2:$C$3203, B1091) &gt; 0, "Sudah", "Belum")</f>
        <v>Sudah</v>
      </c>
    </row>
    <row r="1092" spans="1:6" hidden="1" x14ac:dyDescent="0.35">
      <c r="A1092">
        <v>1091</v>
      </c>
      <c r="B1092" s="4" t="s">
        <v>2028</v>
      </c>
      <c r="C1092" s="3">
        <v>2011</v>
      </c>
      <c r="D1092" s="4" t="s">
        <v>5547</v>
      </c>
      <c r="E1092" s="35" t="s">
        <v>5548</v>
      </c>
      <c r="F1092" s="4" t="str">
        <f>IF(COUNTIFS(Sheet1!$D$2:$D$3203, C1092, Sheet1!$C$2:$C$3203, B1092) &gt; 0, "Sudah", "Belum")</f>
        <v>Sudah</v>
      </c>
    </row>
    <row r="1093" spans="1:6" hidden="1" x14ac:dyDescent="0.35">
      <c r="A1093">
        <v>1092</v>
      </c>
      <c r="B1093" s="4" t="s">
        <v>785</v>
      </c>
      <c r="C1093" s="3">
        <v>1989</v>
      </c>
      <c r="D1093" s="4" t="s">
        <v>5549</v>
      </c>
      <c r="E1093" s="35" t="s">
        <v>5550</v>
      </c>
      <c r="F1093" s="4" t="str">
        <f>IF(COUNTIFS(Sheet1!$D$2:$D$3203, C1093, Sheet1!$C$2:$C$3203, B1093) &gt; 0, "Sudah", "Belum")</f>
        <v>Sudah</v>
      </c>
    </row>
    <row r="1094" spans="1:6" hidden="1" x14ac:dyDescent="0.35">
      <c r="A1094">
        <v>1093</v>
      </c>
      <c r="B1094" s="4" t="s">
        <v>1378</v>
      </c>
      <c r="C1094" s="3">
        <v>1999</v>
      </c>
      <c r="D1094" s="4" t="s">
        <v>5551</v>
      </c>
      <c r="E1094" s="35" t="s">
        <v>5552</v>
      </c>
      <c r="F1094" s="4" t="str">
        <f>IF(COUNTIFS(Sheet1!$D$2:$D$3203, C1094, Sheet1!$C$2:$C$3203, B1094) &gt; 0, "Sudah", "Belum")</f>
        <v>Sudah</v>
      </c>
    </row>
    <row r="1095" spans="1:6" x14ac:dyDescent="0.35">
      <c r="A1095">
        <v>1094</v>
      </c>
      <c r="B1095" s="4" t="s">
        <v>5553</v>
      </c>
      <c r="C1095" s="3">
        <v>2006</v>
      </c>
      <c r="D1095" s="4" t="s">
        <v>5554</v>
      </c>
      <c r="E1095" s="35" t="s">
        <v>5555</v>
      </c>
      <c r="F1095" s="4" t="str">
        <f>IF(COUNTIFS(Sheet1!$D$2:$D$3203, C1095, Sheet1!$C$2:$C$3203, B1095) &gt; 0, "Sudah", "Belum")</f>
        <v>Belum</v>
      </c>
    </row>
    <row r="1096" spans="1:6" hidden="1" x14ac:dyDescent="0.35">
      <c r="A1096">
        <v>1095</v>
      </c>
      <c r="B1096" s="4" t="s">
        <v>2330</v>
      </c>
      <c r="C1096" s="3">
        <v>2014</v>
      </c>
      <c r="D1096" s="4" t="s">
        <v>5558</v>
      </c>
      <c r="E1096" s="35" t="s">
        <v>5559</v>
      </c>
      <c r="F1096" s="4" t="str">
        <f>IF(COUNTIFS(Sheet1!$D$2:$D$3203, C1096, Sheet1!$C$2:$C$3203, B1096) &gt; 0, "Sudah", "Belum")</f>
        <v>Sudah</v>
      </c>
    </row>
    <row r="1097" spans="1:6" hidden="1" x14ac:dyDescent="0.35">
      <c r="A1097">
        <v>1096</v>
      </c>
      <c r="B1097" s="4" t="s">
        <v>2025</v>
      </c>
      <c r="C1097" s="3">
        <v>2011</v>
      </c>
      <c r="D1097" s="4" t="s">
        <v>4677</v>
      </c>
      <c r="E1097" s="35" t="s">
        <v>4678</v>
      </c>
      <c r="F1097" s="4" t="str">
        <f>IF(COUNTIFS(Sheet1!$D$2:$D$3203, C1097, Sheet1!$C$2:$C$3203, B1097) &gt; 0, "Sudah", "Belum")</f>
        <v>Sudah</v>
      </c>
    </row>
    <row r="1098" spans="1:6" hidden="1" x14ac:dyDescent="0.35">
      <c r="A1098">
        <v>1097</v>
      </c>
      <c r="B1098" s="4" t="s">
        <v>2013</v>
      </c>
      <c r="C1098" s="3">
        <v>2011</v>
      </c>
      <c r="D1098" s="4" t="s">
        <v>5556</v>
      </c>
      <c r="E1098" s="35" t="s">
        <v>5557</v>
      </c>
      <c r="F1098" s="4" t="str">
        <f>IF(COUNTIFS(Sheet1!$D$2:$D$3203, C1098, Sheet1!$C$2:$C$3203, B1098) &gt; 0, "Sudah", "Belum")</f>
        <v>Sudah</v>
      </c>
    </row>
    <row r="1099" spans="1:6" x14ac:dyDescent="0.35">
      <c r="A1099">
        <v>1098</v>
      </c>
      <c r="B1099" s="4" t="s">
        <v>5562</v>
      </c>
      <c r="C1099" s="3">
        <v>2020</v>
      </c>
      <c r="D1099" s="4" t="s">
        <v>5563</v>
      </c>
      <c r="E1099" s="35" t="s">
        <v>5564</v>
      </c>
      <c r="F1099" s="4" t="str">
        <f>IF(COUNTIFS(Sheet1!$D$2:$D$3203, C1099, Sheet1!$C$2:$C$3203, B1099) &gt; 0, "Sudah", "Belum")</f>
        <v>Belum</v>
      </c>
    </row>
    <row r="1100" spans="1:6" x14ac:dyDescent="0.35">
      <c r="A1100">
        <v>1099</v>
      </c>
      <c r="B1100" s="4" t="s">
        <v>5565</v>
      </c>
      <c r="C1100" s="3">
        <v>1996</v>
      </c>
      <c r="D1100" s="4" t="s">
        <v>5566</v>
      </c>
      <c r="E1100" s="35" t="s">
        <v>5567</v>
      </c>
      <c r="F1100" s="4" t="str">
        <f>IF(COUNTIFS(Sheet1!$D$2:$D$3203, C1100, Sheet1!$C$2:$C$3203, B1100) &gt; 0, "Sudah", "Belum")</f>
        <v>Belum</v>
      </c>
    </row>
    <row r="1101" spans="1:6" hidden="1" x14ac:dyDescent="0.35">
      <c r="A1101">
        <v>1100</v>
      </c>
      <c r="B1101" s="4" t="s">
        <v>838</v>
      </c>
      <c r="C1101" s="3">
        <v>1990</v>
      </c>
      <c r="D1101" s="4" t="s">
        <v>5568</v>
      </c>
      <c r="E1101" s="35" t="s">
        <v>5569</v>
      </c>
      <c r="F1101" s="4" t="str">
        <f>IF(COUNTIFS(Sheet1!$D$2:$D$3203, C1101, Sheet1!$C$2:$C$3203, B1101) &gt; 0, "Sudah", "Belum")</f>
        <v>Sudah</v>
      </c>
    </row>
    <row r="1102" spans="1:6" hidden="1" x14ac:dyDescent="0.35">
      <c r="A1102">
        <v>1101</v>
      </c>
      <c r="B1102" s="4" t="s">
        <v>1771</v>
      </c>
      <c r="C1102" s="3">
        <v>2000</v>
      </c>
      <c r="D1102" s="4" t="s">
        <v>5570</v>
      </c>
      <c r="E1102" s="35" t="s">
        <v>5571</v>
      </c>
      <c r="F1102" s="4" t="str">
        <f>IF(COUNTIFS(Sheet1!$D$2:$D$3203, C1102, Sheet1!$C$2:$C$3203, B1102) &gt; 0, "Sudah", "Belum")</f>
        <v>Sudah</v>
      </c>
    </row>
    <row r="1103" spans="1:6" hidden="1" x14ac:dyDescent="0.35">
      <c r="A1103">
        <v>1102</v>
      </c>
      <c r="B1103" s="4" t="s">
        <v>1855</v>
      </c>
      <c r="C1103" s="3">
        <v>2009</v>
      </c>
      <c r="D1103" s="4" t="s">
        <v>5560</v>
      </c>
      <c r="E1103" s="35" t="s">
        <v>5561</v>
      </c>
      <c r="F1103" s="4" t="str">
        <f>IF(COUNTIFS(Sheet1!$D$2:$D$3203, C1103, Sheet1!$C$2:$C$3203, B1103) &gt; 0, "Sudah", "Belum")</f>
        <v>Sudah</v>
      </c>
    </row>
    <row r="1104" spans="1:6" hidden="1" x14ac:dyDescent="0.35">
      <c r="A1104">
        <v>1103</v>
      </c>
      <c r="B1104" s="4" t="s">
        <v>1874</v>
      </c>
      <c r="C1104" s="3">
        <v>2008</v>
      </c>
      <c r="D1104" s="4" t="s">
        <v>5572</v>
      </c>
      <c r="E1104" s="35" t="s">
        <v>5573</v>
      </c>
      <c r="F1104" s="4" t="str">
        <f>IF(COUNTIFS(Sheet1!$D$2:$D$3203, C1104, Sheet1!$C$2:$C$3203, B1104) &gt; 0, "Sudah", "Belum")</f>
        <v>Sudah</v>
      </c>
    </row>
    <row r="1105" spans="1:6" hidden="1" x14ac:dyDescent="0.35">
      <c r="A1105">
        <v>1104</v>
      </c>
      <c r="B1105" s="4" t="s">
        <v>2140</v>
      </c>
      <c r="C1105" s="3">
        <v>2012</v>
      </c>
      <c r="D1105" s="4" t="s">
        <v>5576</v>
      </c>
      <c r="E1105" s="35" t="s">
        <v>5577</v>
      </c>
      <c r="F1105" s="4" t="str">
        <f>IF(COUNTIFS(Sheet1!$D$2:$D$3203, C1105, Sheet1!$C$2:$C$3203, B1105) &gt; 0, "Sudah", "Belum")</f>
        <v>Sudah</v>
      </c>
    </row>
    <row r="1106" spans="1:6" hidden="1" x14ac:dyDescent="0.35">
      <c r="A1106">
        <v>1105</v>
      </c>
      <c r="B1106" s="4" t="s">
        <v>2002</v>
      </c>
      <c r="C1106" s="3">
        <v>2011</v>
      </c>
      <c r="D1106" s="4" t="s">
        <v>5578</v>
      </c>
      <c r="E1106" s="35" t="s">
        <v>5579</v>
      </c>
      <c r="F1106" s="4" t="str">
        <f>IF(COUNTIFS(Sheet1!$D$2:$D$3203, C1106, Sheet1!$C$2:$C$3203, B1106) &gt; 0, "Sudah", "Belum")</f>
        <v>Sudah</v>
      </c>
    </row>
    <row r="1107" spans="1:6" hidden="1" x14ac:dyDescent="0.35">
      <c r="A1107">
        <v>1106</v>
      </c>
      <c r="B1107" s="4" t="s">
        <v>2223</v>
      </c>
      <c r="C1107" s="3">
        <v>2012</v>
      </c>
      <c r="D1107" s="4" t="s">
        <v>5580</v>
      </c>
      <c r="E1107" s="35" t="s">
        <v>5581</v>
      </c>
      <c r="F1107" s="4" t="str">
        <f>IF(COUNTIFS(Sheet1!$D$2:$D$3203, C1107, Sheet1!$C$2:$C$3203, B1107) &gt; 0, "Sudah", "Belum")</f>
        <v>Sudah</v>
      </c>
    </row>
    <row r="1108" spans="1:6" hidden="1" x14ac:dyDescent="0.35">
      <c r="A1108">
        <v>1107</v>
      </c>
      <c r="B1108" s="4" t="s">
        <v>1318</v>
      </c>
      <c r="C1108" s="3">
        <v>1997</v>
      </c>
      <c r="D1108" s="4" t="s">
        <v>5582</v>
      </c>
      <c r="E1108" s="35" t="s">
        <v>5583</v>
      </c>
      <c r="F1108" s="4" t="str">
        <f>IF(COUNTIFS(Sheet1!$D$2:$D$3203, C1108, Sheet1!$C$2:$C$3203, B1108) &gt; 0, "Sudah", "Belum")</f>
        <v>Sudah</v>
      </c>
    </row>
    <row r="1109" spans="1:6" hidden="1" x14ac:dyDescent="0.35">
      <c r="A1109">
        <v>1108</v>
      </c>
      <c r="B1109" s="4" t="s">
        <v>1974</v>
      </c>
      <c r="C1109" s="3">
        <v>2009</v>
      </c>
      <c r="D1109" s="4" t="s">
        <v>5574</v>
      </c>
      <c r="E1109" s="35" t="s">
        <v>5575</v>
      </c>
      <c r="F1109" s="4" t="str">
        <f>IF(COUNTIFS(Sheet1!$D$2:$D$3203, C1109, Sheet1!$C$2:$C$3203, B1109) &gt; 0, "Sudah", "Belum")</f>
        <v>Sudah</v>
      </c>
    </row>
    <row r="1110" spans="1:6" hidden="1" x14ac:dyDescent="0.35">
      <c r="A1110">
        <v>1109</v>
      </c>
      <c r="B1110" s="4" t="s">
        <v>337</v>
      </c>
      <c r="C1110" s="3">
        <v>1986</v>
      </c>
      <c r="D1110" s="4" t="s">
        <v>5584</v>
      </c>
      <c r="E1110" s="35" t="s">
        <v>5585</v>
      </c>
      <c r="F1110" s="4" t="str">
        <f>IF(COUNTIFS(Sheet1!$D$2:$D$3203, C1110, Sheet1!$C$2:$C$3203, B1110) &gt; 0, "Sudah", "Belum")</f>
        <v>Sudah</v>
      </c>
    </row>
    <row r="1111" spans="1:6" hidden="1" x14ac:dyDescent="0.35">
      <c r="A1111">
        <v>1110</v>
      </c>
      <c r="B1111" s="4" t="s">
        <v>2164</v>
      </c>
      <c r="C1111" s="3">
        <v>2012</v>
      </c>
      <c r="D1111" s="4" t="s">
        <v>5586</v>
      </c>
      <c r="E1111" s="35" t="s">
        <v>5587</v>
      </c>
      <c r="F1111" s="4" t="str">
        <f>IF(COUNTIFS(Sheet1!$D$2:$D$3203, C1111, Sheet1!$C$2:$C$3203, B1111) &gt; 0, "Sudah", "Belum")</f>
        <v>Sudah</v>
      </c>
    </row>
    <row r="1112" spans="1:6" hidden="1" x14ac:dyDescent="0.35">
      <c r="A1112">
        <v>1111</v>
      </c>
      <c r="B1112" s="4" t="s">
        <v>2180</v>
      </c>
      <c r="C1112" s="3">
        <v>2012</v>
      </c>
      <c r="D1112" s="4" t="s">
        <v>5588</v>
      </c>
      <c r="E1112" s="35" t="s">
        <v>5589</v>
      </c>
      <c r="F1112" s="4" t="str">
        <f>IF(COUNTIFS(Sheet1!$D$2:$D$3203, C1112, Sheet1!$C$2:$C$3203, B1112) &gt; 0, "Sudah", "Belum")</f>
        <v>Sudah</v>
      </c>
    </row>
    <row r="1113" spans="1:6" hidden="1" x14ac:dyDescent="0.35">
      <c r="A1113">
        <v>1112</v>
      </c>
      <c r="B1113" s="4" t="s">
        <v>3190</v>
      </c>
      <c r="C1113" s="3">
        <v>2020</v>
      </c>
      <c r="D1113" s="4" t="s">
        <v>5590</v>
      </c>
      <c r="E1113" s="35" t="s">
        <v>5591</v>
      </c>
      <c r="F1113" s="4" t="str">
        <f>IF(COUNTIFS(Sheet1!$D$2:$D$3203, C1113, Sheet1!$C$2:$C$3203, B1113) &gt; 0, "Sudah", "Belum")</f>
        <v>Sudah</v>
      </c>
    </row>
    <row r="1114" spans="1:6" hidden="1" x14ac:dyDescent="0.35">
      <c r="A1114">
        <v>1113</v>
      </c>
      <c r="B1114" s="4" t="s">
        <v>2407</v>
      </c>
      <c r="C1114" s="3">
        <v>2017</v>
      </c>
      <c r="D1114" s="4" t="s">
        <v>5592</v>
      </c>
      <c r="E1114" s="35" t="s">
        <v>5593</v>
      </c>
      <c r="F1114" s="4" t="str">
        <f>IF(COUNTIFS(Sheet1!$D$2:$D$3203, C1114, Sheet1!$C$2:$C$3203, B1114) &gt; 0, "Sudah", "Belum")</f>
        <v>Sudah</v>
      </c>
    </row>
    <row r="1115" spans="1:6" hidden="1" x14ac:dyDescent="0.35">
      <c r="A1115">
        <v>1114</v>
      </c>
      <c r="B1115" s="4" t="s">
        <v>2437</v>
      </c>
      <c r="C1115" s="3">
        <v>2017</v>
      </c>
      <c r="D1115" s="4" t="s">
        <v>5594</v>
      </c>
      <c r="E1115" s="35" t="s">
        <v>5595</v>
      </c>
      <c r="F1115" s="4" t="str">
        <f>IF(COUNTIFS(Sheet1!$D$2:$D$3203, C1115, Sheet1!$C$2:$C$3203, B1115) &gt; 0, "Sudah", "Belum")</f>
        <v>Sudah</v>
      </c>
    </row>
    <row r="1116" spans="1:6" hidden="1" x14ac:dyDescent="0.35">
      <c r="A1116">
        <v>1115</v>
      </c>
      <c r="B1116" s="4" t="s">
        <v>5596</v>
      </c>
      <c r="C1116" s="3">
        <v>2000</v>
      </c>
      <c r="D1116" s="4" t="s">
        <v>5597</v>
      </c>
      <c r="E1116" s="35" t="s">
        <v>5598</v>
      </c>
      <c r="F1116" s="4" t="str">
        <f>IF(COUNTIFS(Sheet1!$D$2:$D$3203, C1116, Sheet1!$C$2:$C$3203, B1116) &gt; 0, "Sudah", "Belum")</f>
        <v>Sudah</v>
      </c>
    </row>
    <row r="1117" spans="1:6" hidden="1" x14ac:dyDescent="0.35">
      <c r="A1117">
        <v>1116</v>
      </c>
      <c r="B1117" s="4" t="s">
        <v>1467</v>
      </c>
      <c r="C1117" s="3">
        <v>1999</v>
      </c>
      <c r="D1117" s="4" t="s">
        <v>5599</v>
      </c>
      <c r="E1117" s="35" t="s">
        <v>5600</v>
      </c>
      <c r="F1117" s="4" t="str">
        <f>IF(COUNTIFS(Sheet1!$D$2:$D$3203, C1117, Sheet1!$C$2:$C$3203, B1117) &gt; 0, "Sudah", "Belum")</f>
        <v>Sudah</v>
      </c>
    </row>
    <row r="1118" spans="1:6" hidden="1" x14ac:dyDescent="0.35">
      <c r="A1118">
        <v>1117</v>
      </c>
      <c r="B1118" s="4" t="s">
        <v>2432</v>
      </c>
      <c r="C1118" s="3">
        <v>2017</v>
      </c>
      <c r="D1118" s="4" t="s">
        <v>5601</v>
      </c>
      <c r="E1118" s="35" t="s">
        <v>5602</v>
      </c>
      <c r="F1118" s="4" t="str">
        <f>IF(COUNTIFS(Sheet1!$D$2:$D$3203, C1118, Sheet1!$C$2:$C$3203, B1118) &gt; 0, "Sudah", "Belum")</f>
        <v>Sudah</v>
      </c>
    </row>
    <row r="1119" spans="1:6" hidden="1" x14ac:dyDescent="0.35">
      <c r="A1119">
        <v>1118</v>
      </c>
      <c r="B1119" s="4" t="s">
        <v>1341</v>
      </c>
      <c r="C1119" s="3">
        <v>1999</v>
      </c>
      <c r="D1119" s="4" t="s">
        <v>5603</v>
      </c>
      <c r="E1119" s="35" t="s">
        <v>5604</v>
      </c>
      <c r="F1119" s="4" t="str">
        <f>IF(COUNTIFS(Sheet1!$D$2:$D$3203, C1119, Sheet1!$C$2:$C$3203, B1119) &gt; 0, "Sudah", "Belum")</f>
        <v>Sudah</v>
      </c>
    </row>
    <row r="1120" spans="1:6" hidden="1" x14ac:dyDescent="0.35">
      <c r="A1120">
        <v>1119</v>
      </c>
      <c r="B1120" s="4" t="s">
        <v>5605</v>
      </c>
      <c r="C1120" s="3">
        <v>2009</v>
      </c>
      <c r="D1120" s="4" t="s">
        <v>5606</v>
      </c>
      <c r="E1120" s="35" t="s">
        <v>5607</v>
      </c>
      <c r="F1120" s="4" t="str">
        <f>IF(COUNTIFS(Sheet1!$D$2:$D$3203, C1120, Sheet1!$C$2:$C$3203, B1120) &gt; 0, "Sudah", "Belum")</f>
        <v>Sudah</v>
      </c>
    </row>
    <row r="1121" spans="1:6" x14ac:dyDescent="0.35">
      <c r="A1121">
        <v>1120</v>
      </c>
      <c r="B1121" s="4" t="s">
        <v>5608</v>
      </c>
      <c r="C1121" s="3">
        <v>2017</v>
      </c>
      <c r="D1121" s="4" t="s">
        <v>5609</v>
      </c>
      <c r="E1121" s="35" t="s">
        <v>5610</v>
      </c>
      <c r="F1121" s="4" t="str">
        <f>IF(COUNTIFS(Sheet1!$D$2:$D$3203, C1121, Sheet1!$C$2:$C$3203, B1121) &gt; 0, "Sudah", "Belum")</f>
        <v>Belum</v>
      </c>
    </row>
    <row r="1122" spans="1:6" hidden="1" x14ac:dyDescent="0.35">
      <c r="A1122">
        <v>1121</v>
      </c>
      <c r="B1122" s="4" t="s">
        <v>2415</v>
      </c>
      <c r="C1122" s="3">
        <v>2017</v>
      </c>
      <c r="D1122" s="4" t="s">
        <v>5611</v>
      </c>
      <c r="E1122" s="35" t="s">
        <v>5612</v>
      </c>
      <c r="F1122" s="4" t="str">
        <f>IF(COUNTIFS(Sheet1!$D$2:$D$3203, C1122, Sheet1!$C$2:$C$3203, B1122) &gt; 0, "Sudah", "Belum")</f>
        <v>Sudah</v>
      </c>
    </row>
    <row r="1123" spans="1:6" x14ac:dyDescent="0.35">
      <c r="A1123">
        <v>1122</v>
      </c>
      <c r="B1123" s="4" t="s">
        <v>5613</v>
      </c>
      <c r="C1123" s="3">
        <v>2000</v>
      </c>
      <c r="D1123" s="4" t="s">
        <v>5614</v>
      </c>
      <c r="E1123" s="35" t="s">
        <v>5615</v>
      </c>
      <c r="F1123" s="4" t="str">
        <f>IF(COUNTIFS(Sheet1!$D$2:$D$3203, C1123, Sheet1!$C$2:$C$3203, B1123) &gt; 0, "Sudah", "Belum")</f>
        <v>Belum</v>
      </c>
    </row>
    <row r="1124" spans="1:6" hidden="1" x14ac:dyDescent="0.35">
      <c r="A1124">
        <v>1123</v>
      </c>
      <c r="B1124" s="4" t="s">
        <v>1905</v>
      </c>
      <c r="C1124" s="3">
        <v>2009</v>
      </c>
      <c r="D1124" s="4" t="s">
        <v>5616</v>
      </c>
      <c r="E1124" s="35" t="s">
        <v>5617</v>
      </c>
      <c r="F1124" s="4" t="str">
        <f>IF(COUNTIFS(Sheet1!$D$2:$D$3203, C1124, Sheet1!$C$2:$C$3203, B1124) &gt; 0, "Sudah", "Belum")</f>
        <v>Sudah</v>
      </c>
    </row>
    <row r="1125" spans="1:6" hidden="1" x14ac:dyDescent="0.35">
      <c r="A1125">
        <v>1124</v>
      </c>
      <c r="B1125" s="4" t="s">
        <v>1418</v>
      </c>
      <c r="C1125" s="3">
        <v>1999</v>
      </c>
      <c r="D1125" s="4" t="s">
        <v>5619</v>
      </c>
      <c r="E1125" s="35" t="s">
        <v>5620</v>
      </c>
      <c r="F1125" s="4" t="str">
        <f>IF(COUNTIFS(Sheet1!$D$2:$D$3203, C1125, Sheet1!$C$2:$C$3203, B1125) &gt; 0, "Sudah", "Belum")</f>
        <v>Sudah</v>
      </c>
    </row>
    <row r="1126" spans="1:6" x14ac:dyDescent="0.35">
      <c r="A1126">
        <v>1125</v>
      </c>
      <c r="B1126" s="4" t="s">
        <v>5621</v>
      </c>
      <c r="C1126" s="3">
        <v>2020</v>
      </c>
      <c r="D1126" s="4" t="s">
        <v>5622</v>
      </c>
      <c r="E1126" s="35" t="s">
        <v>5623</v>
      </c>
      <c r="F1126" s="4" t="str">
        <f>IF(COUNTIFS(Sheet1!$D$2:$D$3203, C1126, Sheet1!$C$2:$C$3203, B1126) &gt; 0, "Sudah", "Belum")</f>
        <v>Belum</v>
      </c>
    </row>
    <row r="1127" spans="1:6" hidden="1" x14ac:dyDescent="0.35">
      <c r="A1127">
        <v>1126</v>
      </c>
      <c r="B1127" s="4" t="s">
        <v>2741</v>
      </c>
      <c r="C1127" s="3">
        <v>2020</v>
      </c>
      <c r="D1127" s="4" t="s">
        <v>5624</v>
      </c>
      <c r="E1127" s="35" t="s">
        <v>5625</v>
      </c>
      <c r="F1127" s="4" t="str">
        <f>IF(COUNTIFS(Sheet1!$D$2:$D$3203, C1127, Sheet1!$C$2:$C$3203, B1127) &gt; 0, "Sudah", "Belum")</f>
        <v>Sudah</v>
      </c>
    </row>
    <row r="1128" spans="1:6" hidden="1" x14ac:dyDescent="0.35">
      <c r="A1128">
        <v>1127</v>
      </c>
      <c r="B1128" s="4" t="s">
        <v>1428</v>
      </c>
      <c r="C1128" s="3">
        <v>1999</v>
      </c>
      <c r="D1128" s="4" t="s">
        <v>5626</v>
      </c>
      <c r="E1128" s="35" t="s">
        <v>5627</v>
      </c>
      <c r="F1128" s="4" t="str">
        <f>IF(COUNTIFS(Sheet1!$D$2:$D$3203, C1128, Sheet1!$C$2:$C$3203, B1128) &gt; 0, "Sudah", "Belum")</f>
        <v>Sudah</v>
      </c>
    </row>
    <row r="1129" spans="1:6" hidden="1" x14ac:dyDescent="0.35">
      <c r="A1129">
        <v>1128</v>
      </c>
      <c r="B1129" s="4" t="s">
        <v>671</v>
      </c>
      <c r="C1129" s="3">
        <v>1986</v>
      </c>
      <c r="D1129" s="4" t="s">
        <v>4182</v>
      </c>
      <c r="E1129" s="35" t="s">
        <v>4183</v>
      </c>
      <c r="F1129" s="4" t="str">
        <f>IF(COUNTIFS(Sheet1!$D$2:$D$3203, C1129, Sheet1!$C$2:$C$3203, B1129) &gt; 0, "Sudah", "Belum")</f>
        <v>Sudah</v>
      </c>
    </row>
    <row r="1130" spans="1:6" hidden="1" x14ac:dyDescent="0.35">
      <c r="A1130">
        <v>1129</v>
      </c>
      <c r="B1130" s="4" t="s">
        <v>1530</v>
      </c>
      <c r="C1130" s="3">
        <v>2000</v>
      </c>
      <c r="D1130" s="4" t="s">
        <v>5628</v>
      </c>
      <c r="E1130" s="35" t="s">
        <v>5629</v>
      </c>
      <c r="F1130" s="4" t="str">
        <f>IF(COUNTIFS(Sheet1!$D$2:$D$3203, C1130, Sheet1!$C$2:$C$3203, B1130) &gt; 0, "Sudah", "Belum")</f>
        <v>Sudah</v>
      </c>
    </row>
    <row r="1131" spans="1:6" hidden="1" x14ac:dyDescent="0.35">
      <c r="A1131">
        <v>1130</v>
      </c>
      <c r="B1131" s="4" t="s">
        <v>1293</v>
      </c>
      <c r="C1131" s="3">
        <v>1996</v>
      </c>
      <c r="D1131" s="4" t="s">
        <v>5630</v>
      </c>
      <c r="E1131" s="35" t="s">
        <v>5631</v>
      </c>
      <c r="F1131" s="4" t="str">
        <f>IF(COUNTIFS(Sheet1!$D$2:$D$3203, C1131, Sheet1!$C$2:$C$3203, B1131) &gt; 0, "Sudah", "Belum")</f>
        <v>Sudah</v>
      </c>
    </row>
    <row r="1132" spans="1:6" hidden="1" x14ac:dyDescent="0.35">
      <c r="A1132">
        <v>1131</v>
      </c>
      <c r="B1132" s="4" t="s">
        <v>2416</v>
      </c>
      <c r="C1132" s="3">
        <v>2017</v>
      </c>
      <c r="D1132" s="4" t="s">
        <v>5632</v>
      </c>
      <c r="E1132" s="35" t="s">
        <v>5633</v>
      </c>
      <c r="F1132" s="4" t="str">
        <f>IF(COUNTIFS(Sheet1!$D$2:$D$3203, C1132, Sheet1!$C$2:$C$3203, B1132) &gt; 0, "Sudah", "Belum")</f>
        <v>Sudah</v>
      </c>
    </row>
    <row r="1133" spans="1:6" hidden="1" x14ac:dyDescent="0.35">
      <c r="A1133">
        <v>1132</v>
      </c>
      <c r="B1133" s="4" t="s">
        <v>1042</v>
      </c>
      <c r="C1133" s="3">
        <v>1999</v>
      </c>
      <c r="D1133" s="4" t="s">
        <v>5634</v>
      </c>
      <c r="E1133" s="35" t="s">
        <v>5635</v>
      </c>
      <c r="F1133" s="4" t="str">
        <f>IF(COUNTIFS(Sheet1!$D$2:$D$3203, C1133, Sheet1!$C$2:$C$3203, B1133) &gt; 0, "Sudah", "Belum")</f>
        <v>Sudah</v>
      </c>
    </row>
    <row r="1134" spans="1:6" hidden="1" x14ac:dyDescent="0.35">
      <c r="A1134">
        <v>1133</v>
      </c>
      <c r="B1134" s="4" t="s">
        <v>2414</v>
      </c>
      <c r="C1134" s="3">
        <v>2017</v>
      </c>
      <c r="D1134" s="4" t="s">
        <v>5636</v>
      </c>
      <c r="E1134" s="35" t="s">
        <v>5637</v>
      </c>
      <c r="F1134" s="4" t="str">
        <f>IF(COUNTIFS(Sheet1!$D$2:$D$3203, C1134, Sheet1!$C$2:$C$3203, B1134) &gt; 0, "Sudah", "Belum")</f>
        <v>Sudah</v>
      </c>
    </row>
    <row r="1135" spans="1:6" x14ac:dyDescent="0.35">
      <c r="A1135">
        <v>1134</v>
      </c>
      <c r="B1135" s="4" t="s">
        <v>5299</v>
      </c>
      <c r="C1135" s="3">
        <v>2020</v>
      </c>
      <c r="D1135" s="4" t="s">
        <v>5522</v>
      </c>
      <c r="E1135" s="35" t="s">
        <v>5301</v>
      </c>
      <c r="F1135" s="4" t="str">
        <f>IF(COUNTIFS(Sheet1!$D$2:$D$3203, C1135, Sheet1!$C$2:$C$3203, B1135) &gt; 0, "Sudah", "Belum")</f>
        <v>Belum</v>
      </c>
    </row>
    <row r="1136" spans="1:6" x14ac:dyDescent="0.35">
      <c r="A1136">
        <v>1135</v>
      </c>
      <c r="B1136" s="4" t="s">
        <v>5640</v>
      </c>
      <c r="C1136" s="3">
        <v>2020</v>
      </c>
      <c r="D1136" s="4" t="s">
        <v>5641</v>
      </c>
      <c r="E1136" s="35" t="s">
        <v>5642</v>
      </c>
      <c r="F1136" s="4" t="str">
        <f>IF(COUNTIFS(Sheet1!$D$2:$D$3203, C1136, Sheet1!$C$2:$C$3203, B1136) &gt; 0, "Sudah", "Belum")</f>
        <v>Belum</v>
      </c>
    </row>
    <row r="1137" spans="1:6" hidden="1" x14ac:dyDescent="0.35">
      <c r="A1137">
        <v>1136</v>
      </c>
      <c r="B1137" s="4" t="s">
        <v>5643</v>
      </c>
      <c r="C1137" s="3">
        <v>2009</v>
      </c>
      <c r="D1137" s="4" t="s">
        <v>5644</v>
      </c>
      <c r="E1137" s="35" t="s">
        <v>5645</v>
      </c>
      <c r="F1137" s="4" t="str">
        <f>IF(COUNTIFS(Sheet1!$D$2:$D$3203, C1137, Sheet1!$C$2:$C$3203, B1137) &gt; 0, "Sudah", "Belum")</f>
        <v>Sudah</v>
      </c>
    </row>
    <row r="1138" spans="1:6" x14ac:dyDescent="0.35">
      <c r="A1138">
        <v>1137</v>
      </c>
      <c r="B1138" s="4" t="s">
        <v>5646</v>
      </c>
      <c r="C1138" s="3">
        <v>2017</v>
      </c>
      <c r="D1138" s="4" t="s">
        <v>5647</v>
      </c>
      <c r="E1138" s="35" t="s">
        <v>5648</v>
      </c>
      <c r="F1138" s="4" t="str">
        <f>IF(COUNTIFS(Sheet1!$D$2:$D$3203, C1138, Sheet1!$C$2:$C$3203, B1138) &gt; 0, "Sudah", "Belum")</f>
        <v>Belum</v>
      </c>
    </row>
    <row r="1139" spans="1:6" hidden="1" x14ac:dyDescent="0.35">
      <c r="A1139">
        <v>1138</v>
      </c>
      <c r="B1139" s="4" t="s">
        <v>670</v>
      </c>
      <c r="C1139" s="3">
        <v>1986</v>
      </c>
      <c r="D1139" s="4" t="s">
        <v>5649</v>
      </c>
      <c r="E1139" s="35" t="s">
        <v>5650</v>
      </c>
      <c r="F1139" s="4" t="str">
        <f>IF(COUNTIFS(Sheet1!$D$2:$D$3203, C1139, Sheet1!$C$2:$C$3203, B1139) &gt; 0, "Sudah", "Belum")</f>
        <v>Sudah</v>
      </c>
    </row>
    <row r="1140" spans="1:6" hidden="1" x14ac:dyDescent="0.35">
      <c r="A1140">
        <v>1139</v>
      </c>
      <c r="B1140" s="4" t="s">
        <v>1471</v>
      </c>
      <c r="C1140" s="3">
        <v>1999</v>
      </c>
      <c r="D1140" s="4" t="s">
        <v>5651</v>
      </c>
      <c r="E1140" s="35" t="s">
        <v>5652</v>
      </c>
      <c r="F1140" s="4" t="str">
        <f>IF(COUNTIFS(Sheet1!$D$2:$D$3203, C1140, Sheet1!$C$2:$C$3203, B1140) &gt; 0, "Sudah", "Belum")</f>
        <v>Sudah</v>
      </c>
    </row>
    <row r="1141" spans="1:6" hidden="1" x14ac:dyDescent="0.35">
      <c r="A1141">
        <v>1140</v>
      </c>
      <c r="B1141" s="4" t="s">
        <v>1946</v>
      </c>
      <c r="C1141" s="3">
        <v>2009</v>
      </c>
      <c r="D1141" s="4" t="s">
        <v>5653</v>
      </c>
      <c r="E1141" s="35" t="s">
        <v>5654</v>
      </c>
      <c r="F1141" s="4" t="str">
        <f>IF(COUNTIFS(Sheet1!$D$2:$D$3203, C1141, Sheet1!$C$2:$C$3203, B1141) &gt; 0, "Sudah", "Belum")</f>
        <v>Sudah</v>
      </c>
    </row>
    <row r="1142" spans="1:6" hidden="1" x14ac:dyDescent="0.35">
      <c r="A1142">
        <v>1141</v>
      </c>
      <c r="B1142" s="4" t="s">
        <v>694</v>
      </c>
      <c r="C1142" s="3">
        <v>1986</v>
      </c>
      <c r="D1142" s="4" t="s">
        <v>5655</v>
      </c>
      <c r="E1142" s="35" t="s">
        <v>5656</v>
      </c>
      <c r="F1142" s="4" t="str">
        <f>IF(COUNTIFS(Sheet1!$D$2:$D$3203, C1142, Sheet1!$C$2:$C$3203, B1142) &gt; 0, "Sudah", "Belum")</f>
        <v>Sudah</v>
      </c>
    </row>
    <row r="1143" spans="1:6" hidden="1" x14ac:dyDescent="0.35">
      <c r="A1143">
        <v>1142</v>
      </c>
      <c r="B1143" s="4" t="s">
        <v>1190</v>
      </c>
      <c r="C1143" s="3">
        <v>1996</v>
      </c>
      <c r="D1143" s="4" t="s">
        <v>5657</v>
      </c>
      <c r="E1143" s="35" t="s">
        <v>5618</v>
      </c>
      <c r="F1143" s="4" t="str">
        <f>IF(COUNTIFS(Sheet1!$D$2:$D$3203, C1143, Sheet1!$C$2:$C$3203, B1143) &gt; 0, "Sudah", "Belum")</f>
        <v>Sudah</v>
      </c>
    </row>
    <row r="1144" spans="1:6" hidden="1" x14ac:dyDescent="0.35">
      <c r="A1144">
        <v>1143</v>
      </c>
      <c r="B1144" s="4" t="s">
        <v>1724</v>
      </c>
      <c r="C1144" s="3">
        <v>1999</v>
      </c>
      <c r="D1144" s="4" t="s">
        <v>5638</v>
      </c>
      <c r="E1144" s="35" t="s">
        <v>5639</v>
      </c>
      <c r="F1144" s="4" t="str">
        <f>IF(COUNTIFS(Sheet1!$D$2:$D$3203, C1144, Sheet1!$C$2:$C$3203, B1144) &gt; 0, "Sudah", "Belum")</f>
        <v>Sudah</v>
      </c>
    </row>
    <row r="1145" spans="1:6" x14ac:dyDescent="0.35">
      <c r="A1145">
        <v>1144</v>
      </c>
      <c r="B1145" s="4" t="s">
        <v>3594</v>
      </c>
      <c r="C1145" s="3">
        <v>1996</v>
      </c>
      <c r="D1145" s="4" t="s">
        <v>3595</v>
      </c>
      <c r="E1145" s="35" t="s">
        <v>3596</v>
      </c>
      <c r="F1145" s="4" t="str">
        <f>IF(COUNTIFS(Sheet1!$D$2:$D$3203, C1145, Sheet1!$C$2:$C$3203, B1145) &gt; 0, "Sudah", "Belum")</f>
        <v>Belum</v>
      </c>
    </row>
    <row r="1146" spans="1:6" hidden="1" x14ac:dyDescent="0.35">
      <c r="A1146">
        <v>1145</v>
      </c>
      <c r="B1146" s="4" t="s">
        <v>2176</v>
      </c>
      <c r="C1146" s="3">
        <v>2013</v>
      </c>
      <c r="D1146" s="4" t="s">
        <v>5661</v>
      </c>
      <c r="E1146" s="35" t="s">
        <v>5662</v>
      </c>
      <c r="F1146" s="4" t="str">
        <f>IF(COUNTIFS(Sheet1!$D$2:$D$3203, C1146, Sheet1!$C$2:$C$3203, B1146) &gt; 0, "Sudah", "Belum")</f>
        <v>Sudah</v>
      </c>
    </row>
    <row r="1147" spans="1:6" x14ac:dyDescent="0.35">
      <c r="A1147">
        <v>1146</v>
      </c>
      <c r="B1147" s="4" t="s">
        <v>5663</v>
      </c>
      <c r="C1147" s="3">
        <v>1989</v>
      </c>
      <c r="D1147" s="4" t="s">
        <v>5664</v>
      </c>
      <c r="E1147" s="35" t="s">
        <v>5665</v>
      </c>
      <c r="F1147" s="4" t="str">
        <f>IF(COUNTIFS(Sheet1!$D$2:$D$3203, C1147, Sheet1!$C$2:$C$3203, B1147) &gt; 0, "Sudah", "Belum")</f>
        <v>Belum</v>
      </c>
    </row>
    <row r="1148" spans="1:6" hidden="1" x14ac:dyDescent="0.35">
      <c r="A1148">
        <v>1147</v>
      </c>
      <c r="B1148" s="4" t="s">
        <v>1475</v>
      </c>
      <c r="C1148" s="3">
        <v>1999</v>
      </c>
      <c r="D1148" s="4" t="s">
        <v>5666</v>
      </c>
      <c r="E1148" s="35" t="s">
        <v>5667</v>
      </c>
      <c r="F1148" s="4" t="str">
        <f>IF(COUNTIFS(Sheet1!$D$2:$D$3203, C1148, Sheet1!$C$2:$C$3203, B1148) &gt; 0, "Sudah", "Belum")</f>
        <v>Sudah</v>
      </c>
    </row>
    <row r="1149" spans="1:6" hidden="1" x14ac:dyDescent="0.35">
      <c r="A1149">
        <v>1148</v>
      </c>
      <c r="B1149" s="4" t="s">
        <v>1194</v>
      </c>
      <c r="C1149" s="3">
        <v>1996</v>
      </c>
      <c r="D1149" s="4" t="s">
        <v>3419</v>
      </c>
      <c r="E1149" s="35" t="s">
        <v>3420</v>
      </c>
      <c r="F1149" s="4" t="str">
        <f>IF(COUNTIFS(Sheet1!$D$2:$D$3203, C1149, Sheet1!$C$2:$C$3203, B1149) &gt; 0, "Sudah", "Belum")</f>
        <v>Sudah</v>
      </c>
    </row>
    <row r="1150" spans="1:6" hidden="1" x14ac:dyDescent="0.35">
      <c r="A1150">
        <v>1149</v>
      </c>
      <c r="B1150" s="4" t="s">
        <v>1249</v>
      </c>
      <c r="C1150" s="3">
        <v>1996</v>
      </c>
      <c r="D1150" s="4" t="s">
        <v>5668</v>
      </c>
      <c r="E1150" s="35" t="s">
        <v>5669</v>
      </c>
      <c r="F1150" s="4" t="str">
        <f>IF(COUNTIFS(Sheet1!$D$2:$D$3203, C1150, Sheet1!$C$2:$C$3203, B1150) &gt; 0, "Sudah", "Belum")</f>
        <v>Sudah</v>
      </c>
    </row>
    <row r="1151" spans="1:6" hidden="1" x14ac:dyDescent="0.35">
      <c r="A1151">
        <v>1150</v>
      </c>
      <c r="B1151" s="4" t="s">
        <v>1277</v>
      </c>
      <c r="C1151" s="3">
        <v>1997</v>
      </c>
      <c r="D1151" s="4" t="s">
        <v>5670</v>
      </c>
      <c r="E1151" s="35" t="s">
        <v>5671</v>
      </c>
      <c r="F1151" s="4" t="str">
        <f>IF(COUNTIFS(Sheet1!$D$2:$D$3203, C1151, Sheet1!$C$2:$C$3203, B1151) &gt; 0, "Sudah", "Belum")</f>
        <v>Sudah</v>
      </c>
    </row>
    <row r="1152" spans="1:6" hidden="1" x14ac:dyDescent="0.35">
      <c r="A1152">
        <v>1151</v>
      </c>
      <c r="B1152" s="4" t="s">
        <v>1480</v>
      </c>
      <c r="C1152" s="3">
        <v>1996</v>
      </c>
      <c r="D1152" s="4" t="s">
        <v>5672</v>
      </c>
      <c r="E1152" s="35" t="s">
        <v>5673</v>
      </c>
      <c r="F1152" s="4" t="str">
        <f>IF(COUNTIFS(Sheet1!$D$2:$D$3203, C1152, Sheet1!$C$2:$C$3203, B1152) &gt; 0, "Sudah", "Belum")</f>
        <v>Sudah</v>
      </c>
    </row>
    <row r="1153" spans="1:6" hidden="1" x14ac:dyDescent="0.35">
      <c r="A1153">
        <v>1152</v>
      </c>
      <c r="B1153" s="4" t="s">
        <v>796</v>
      </c>
      <c r="C1153" s="3">
        <v>1985</v>
      </c>
      <c r="D1153" s="4" t="s">
        <v>5237</v>
      </c>
      <c r="E1153" s="35" t="s">
        <v>5238</v>
      </c>
      <c r="F1153" s="4" t="str">
        <f>IF(COUNTIFS(Sheet1!$D$2:$D$3203, C1153, Sheet1!$C$2:$C$3203, B1153) &gt; 0, "Sudah", "Belum")</f>
        <v>Sudah</v>
      </c>
    </row>
    <row r="1154" spans="1:6" hidden="1" x14ac:dyDescent="0.35">
      <c r="A1154">
        <v>1153</v>
      </c>
      <c r="B1154" s="4" t="s">
        <v>2088</v>
      </c>
      <c r="C1154" s="3">
        <v>2011</v>
      </c>
      <c r="D1154" s="4" t="s">
        <v>5674</v>
      </c>
      <c r="E1154" s="35" t="s">
        <v>5675</v>
      </c>
      <c r="F1154" s="4" t="str">
        <f>IF(COUNTIFS(Sheet1!$D$2:$D$3203, C1154, Sheet1!$C$2:$C$3203, B1154) &gt; 0, "Sudah", "Belum")</f>
        <v>Sudah</v>
      </c>
    </row>
    <row r="1155" spans="1:6" x14ac:dyDescent="0.35">
      <c r="A1155">
        <v>1154</v>
      </c>
      <c r="B1155" s="4" t="s">
        <v>5676</v>
      </c>
      <c r="C1155" s="3">
        <v>1996</v>
      </c>
      <c r="D1155" s="4" t="s">
        <v>5677</v>
      </c>
      <c r="E1155" s="35" t="s">
        <v>5678</v>
      </c>
      <c r="F1155" s="4" t="str">
        <f>IF(COUNTIFS(Sheet1!$D$2:$D$3203, C1155, Sheet1!$C$2:$C$3203, B1155) &gt; 0, "Sudah", "Belum")</f>
        <v>Belum</v>
      </c>
    </row>
    <row r="1156" spans="1:6" hidden="1" x14ac:dyDescent="0.35">
      <c r="A1156">
        <v>1155</v>
      </c>
      <c r="B1156" s="4" t="s">
        <v>3025</v>
      </c>
      <c r="C1156" s="3">
        <v>2006</v>
      </c>
      <c r="D1156" s="4" t="s">
        <v>5679</v>
      </c>
      <c r="E1156" s="35" t="s">
        <v>5680</v>
      </c>
      <c r="F1156" s="4" t="str">
        <f>IF(COUNTIFS(Sheet1!$D$2:$D$3203, C1156, Sheet1!$C$2:$C$3203, B1156) &gt; 0, "Sudah", "Belum")</f>
        <v>Sudah</v>
      </c>
    </row>
    <row r="1157" spans="1:6" x14ac:dyDescent="0.35">
      <c r="A1157">
        <v>1156</v>
      </c>
      <c r="B1157" s="4" t="s">
        <v>5681</v>
      </c>
      <c r="C1157" s="3">
        <v>1996</v>
      </c>
      <c r="D1157" s="4" t="s">
        <v>5682</v>
      </c>
      <c r="E1157" s="35" t="s">
        <v>5683</v>
      </c>
      <c r="F1157" s="4" t="str">
        <f>IF(COUNTIFS(Sheet1!$D$2:$D$3203, C1157, Sheet1!$C$2:$C$3203, B1157) &gt; 0, "Sudah", "Belum")</f>
        <v>Belum</v>
      </c>
    </row>
    <row r="1158" spans="1:6" x14ac:dyDescent="0.35">
      <c r="A1158">
        <v>1157</v>
      </c>
      <c r="B1158" s="4" t="s">
        <v>5658</v>
      </c>
      <c r="C1158" s="3">
        <v>1996</v>
      </c>
      <c r="D1158" s="4" t="s">
        <v>5659</v>
      </c>
      <c r="E1158" s="35" t="s">
        <v>5660</v>
      </c>
      <c r="F1158" s="4" t="str">
        <f>IF(COUNTIFS(Sheet1!$D$2:$D$3203, C1158, Sheet1!$C$2:$C$3203, B1158) &gt; 0, "Sudah", "Belum")</f>
        <v>Belum</v>
      </c>
    </row>
    <row r="1159" spans="1:6" hidden="1" x14ac:dyDescent="0.35">
      <c r="A1159">
        <v>1158</v>
      </c>
      <c r="B1159" s="4" t="s">
        <v>1556</v>
      </c>
      <c r="C1159" s="3">
        <v>1999</v>
      </c>
      <c r="D1159" s="4" t="s">
        <v>5684</v>
      </c>
      <c r="E1159" s="35" t="s">
        <v>5685</v>
      </c>
      <c r="F1159" s="4" t="str">
        <f>IF(COUNTIFS(Sheet1!$D$2:$D$3203, C1159, Sheet1!$C$2:$C$3203, B1159) &gt; 0, "Sudah", "Belum")</f>
        <v>Sudah</v>
      </c>
    </row>
    <row r="1160" spans="1:6" hidden="1" x14ac:dyDescent="0.35">
      <c r="A1160">
        <v>1159</v>
      </c>
      <c r="B1160" s="4" t="s">
        <v>2438</v>
      </c>
      <c r="C1160" s="3">
        <v>2017</v>
      </c>
      <c r="D1160" s="4" t="s">
        <v>5686</v>
      </c>
      <c r="E1160" s="35" t="s">
        <v>5687</v>
      </c>
      <c r="F1160" s="4" t="str">
        <f>IF(COUNTIFS(Sheet1!$D$2:$D$3203, C1160, Sheet1!$C$2:$C$3203, B1160) &gt; 0, "Sudah", "Belum")</f>
        <v>Sudah</v>
      </c>
    </row>
    <row r="1161" spans="1:6" hidden="1" x14ac:dyDescent="0.35">
      <c r="A1161">
        <v>1160</v>
      </c>
      <c r="B1161" s="4" t="s">
        <v>1162</v>
      </c>
      <c r="C1161" s="3">
        <v>1996</v>
      </c>
      <c r="D1161" s="4" t="s">
        <v>5688</v>
      </c>
      <c r="E1161" s="35" t="s">
        <v>5689</v>
      </c>
      <c r="F1161" s="4" t="str">
        <f>IF(COUNTIFS(Sheet1!$D$2:$D$3203, C1161, Sheet1!$C$2:$C$3203, B1161) &gt; 0, "Sudah", "Belum")</f>
        <v>Sudah</v>
      </c>
    </row>
    <row r="1162" spans="1:6" hidden="1" x14ac:dyDescent="0.35">
      <c r="A1162">
        <v>1161</v>
      </c>
      <c r="B1162" s="4" t="s">
        <v>2435</v>
      </c>
      <c r="C1162" s="3">
        <v>2017</v>
      </c>
      <c r="D1162" s="4" t="s">
        <v>5690</v>
      </c>
      <c r="E1162" s="35" t="s">
        <v>5691</v>
      </c>
      <c r="F1162" s="4" t="str">
        <f>IF(COUNTIFS(Sheet1!$D$2:$D$3203, C1162, Sheet1!$C$2:$C$3203, B1162) &gt; 0, "Sudah", "Belum")</f>
        <v>Sudah</v>
      </c>
    </row>
    <row r="1163" spans="1:6" x14ac:dyDescent="0.35">
      <c r="A1163">
        <v>1162</v>
      </c>
      <c r="B1163" s="4" t="s">
        <v>5692</v>
      </c>
      <c r="C1163" s="3">
        <v>1991</v>
      </c>
      <c r="D1163" s="4" t="s">
        <v>5693</v>
      </c>
      <c r="E1163" s="35" t="s">
        <v>5694</v>
      </c>
      <c r="F1163" s="4" t="str">
        <f>IF(COUNTIFS(Sheet1!$D$2:$D$3203, C1163, Sheet1!$C$2:$C$3203, B1163) &gt; 0, "Sudah", "Belum")</f>
        <v>Belum</v>
      </c>
    </row>
    <row r="1164" spans="1:6" hidden="1" x14ac:dyDescent="0.35">
      <c r="A1164">
        <v>1163</v>
      </c>
      <c r="B1164" s="4" t="s">
        <v>3058</v>
      </c>
      <c r="C1164" s="3">
        <v>2009</v>
      </c>
      <c r="D1164" s="4" t="s">
        <v>5695</v>
      </c>
      <c r="E1164" s="35" t="s">
        <v>5696</v>
      </c>
      <c r="F1164" s="4" t="str">
        <f>IF(COUNTIFS(Sheet1!$D$2:$D$3203, C1164, Sheet1!$C$2:$C$3203, B1164) &gt; 0, "Sudah", "Belum")</f>
        <v>Sudah</v>
      </c>
    </row>
    <row r="1165" spans="1:6" hidden="1" x14ac:dyDescent="0.35">
      <c r="A1165">
        <v>1164</v>
      </c>
      <c r="B1165" s="4" t="s">
        <v>1398</v>
      </c>
      <c r="C1165" s="3">
        <v>1999</v>
      </c>
      <c r="D1165" s="4" t="s">
        <v>5697</v>
      </c>
      <c r="E1165" s="35" t="s">
        <v>5698</v>
      </c>
      <c r="F1165" s="4" t="str">
        <f>IF(COUNTIFS(Sheet1!$D$2:$D$3203, C1165, Sheet1!$C$2:$C$3203, B1165) &gt; 0, "Sudah", "Belum")</f>
        <v>Sudah</v>
      </c>
    </row>
    <row r="1166" spans="1:6" hidden="1" x14ac:dyDescent="0.35">
      <c r="A1166">
        <v>1165</v>
      </c>
      <c r="B1166" s="4" t="s">
        <v>5699</v>
      </c>
      <c r="C1166" s="3">
        <v>2009</v>
      </c>
      <c r="D1166" s="4" t="s">
        <v>5700</v>
      </c>
      <c r="E1166" s="35" t="s">
        <v>5701</v>
      </c>
      <c r="F1166" s="4" t="str">
        <f>IF(COUNTIFS(Sheet1!$D$2:$D$3203, C1166, Sheet1!$C$2:$C$3203, B1166) &gt; 0, "Sudah", "Belum")</f>
        <v>Sudah</v>
      </c>
    </row>
    <row r="1167" spans="1:6" hidden="1" x14ac:dyDescent="0.35">
      <c r="A1167">
        <v>1166</v>
      </c>
      <c r="B1167" s="4" t="s">
        <v>5702</v>
      </c>
      <c r="C1167" s="3">
        <v>2004</v>
      </c>
      <c r="D1167" s="4" t="s">
        <v>5703</v>
      </c>
      <c r="E1167" s="35" t="s">
        <v>5704</v>
      </c>
      <c r="F1167" s="4" t="str">
        <f>IF(COUNTIFS(Sheet1!$D$2:$D$3203, C1167, Sheet1!$C$2:$C$3203, B1167) &gt; 0, "Sudah", "Belum")</f>
        <v>Sudah</v>
      </c>
    </row>
    <row r="1168" spans="1:6" hidden="1" x14ac:dyDescent="0.35">
      <c r="A1168">
        <v>1167</v>
      </c>
      <c r="B1168" s="4" t="s">
        <v>5705</v>
      </c>
      <c r="C1168" s="3">
        <v>1991</v>
      </c>
      <c r="D1168" s="4" t="s">
        <v>5706</v>
      </c>
      <c r="E1168" s="35" t="s">
        <v>5707</v>
      </c>
      <c r="F1168" s="4" t="str">
        <f>IF(COUNTIFS(Sheet1!$D$2:$D$3203, C1168, Sheet1!$C$2:$C$3203, B1168) &gt; 0, "Sudah", "Belum")</f>
        <v>Sudah</v>
      </c>
    </row>
    <row r="1169" spans="1:6" hidden="1" x14ac:dyDescent="0.35">
      <c r="A1169">
        <v>1168</v>
      </c>
      <c r="B1169" s="4" t="s">
        <v>1472</v>
      </c>
      <c r="C1169" s="3">
        <v>1999</v>
      </c>
      <c r="D1169" s="4" t="s">
        <v>5708</v>
      </c>
      <c r="E1169" s="35" t="s">
        <v>5709</v>
      </c>
      <c r="F1169" s="4" t="str">
        <f>IF(COUNTIFS(Sheet1!$D$2:$D$3203, C1169, Sheet1!$C$2:$C$3203, B1169) &gt; 0, "Sudah", "Belum")</f>
        <v>Sudah</v>
      </c>
    </row>
    <row r="1170" spans="1:6" hidden="1" x14ac:dyDescent="0.35">
      <c r="A1170">
        <v>1169</v>
      </c>
      <c r="B1170" s="4" t="s">
        <v>2129</v>
      </c>
      <c r="C1170" s="3">
        <v>2012</v>
      </c>
      <c r="D1170" s="4" t="s">
        <v>5710</v>
      </c>
      <c r="E1170" s="35" t="s">
        <v>5711</v>
      </c>
      <c r="F1170" s="4" t="str">
        <f>IF(COUNTIFS(Sheet1!$D$2:$D$3203, C1170, Sheet1!$C$2:$C$3203, B1170) &gt; 0, "Sudah", "Belum")</f>
        <v>Sudah</v>
      </c>
    </row>
    <row r="1171" spans="1:6" hidden="1" x14ac:dyDescent="0.35">
      <c r="A1171">
        <v>1170</v>
      </c>
      <c r="B1171" s="4" t="s">
        <v>3049</v>
      </c>
      <c r="C1171" s="3">
        <v>2009</v>
      </c>
      <c r="D1171" s="4" t="s">
        <v>5712</v>
      </c>
      <c r="E1171" s="35" t="s">
        <v>5713</v>
      </c>
      <c r="F1171" s="4" t="str">
        <f>IF(COUNTIFS(Sheet1!$D$2:$D$3203, C1171, Sheet1!$C$2:$C$3203, B1171) &gt; 0, "Sudah", "Belum")</f>
        <v>Sudah</v>
      </c>
    </row>
    <row r="1172" spans="1:6" hidden="1" x14ac:dyDescent="0.35">
      <c r="A1172">
        <v>1171</v>
      </c>
      <c r="B1172" s="4" t="s">
        <v>2821</v>
      </c>
      <c r="C1172" s="3">
        <v>2020</v>
      </c>
      <c r="D1172" s="4" t="s">
        <v>5714</v>
      </c>
      <c r="E1172" s="35" t="s">
        <v>5715</v>
      </c>
      <c r="F1172" s="4" t="str">
        <f>IF(COUNTIFS(Sheet1!$D$2:$D$3203, C1172, Sheet1!$C$2:$C$3203, B1172) &gt; 0, "Sudah", "Belum")</f>
        <v>Sudah</v>
      </c>
    </row>
    <row r="1173" spans="1:6" hidden="1" x14ac:dyDescent="0.35">
      <c r="A1173">
        <v>1172</v>
      </c>
      <c r="B1173" s="4" t="s">
        <v>5716</v>
      </c>
      <c r="C1173" s="3">
        <v>1997</v>
      </c>
      <c r="D1173" s="4" t="s">
        <v>5717</v>
      </c>
      <c r="E1173" s="35" t="s">
        <v>5718</v>
      </c>
      <c r="F1173" s="4" t="str">
        <f>IF(COUNTIFS(Sheet1!$D$2:$D$3203, C1173, Sheet1!$C$2:$C$3203, B1173) &gt; 0, "Sudah", "Belum")</f>
        <v>Sudah</v>
      </c>
    </row>
    <row r="1174" spans="1:6" hidden="1" x14ac:dyDescent="0.35">
      <c r="A1174">
        <v>1173</v>
      </c>
      <c r="B1174" s="4" t="s">
        <v>2974</v>
      </c>
      <c r="C1174" s="3">
        <v>2007</v>
      </c>
      <c r="D1174" s="4" t="s">
        <v>5719</v>
      </c>
      <c r="E1174" s="35" t="s">
        <v>5720</v>
      </c>
      <c r="F1174" s="4" t="str">
        <f>IF(COUNTIFS(Sheet1!$D$2:$D$3203, C1174, Sheet1!$C$2:$C$3203, B1174) &gt; 0, "Sudah", "Belum")</f>
        <v>Sudah</v>
      </c>
    </row>
    <row r="1175" spans="1:6" x14ac:dyDescent="0.35">
      <c r="A1175">
        <v>1174</v>
      </c>
      <c r="B1175" s="4" t="s">
        <v>5721</v>
      </c>
      <c r="C1175" s="3">
        <v>2020</v>
      </c>
      <c r="D1175" s="4" t="s">
        <v>5722</v>
      </c>
      <c r="E1175" s="35" t="s">
        <v>5723</v>
      </c>
      <c r="F1175" s="4" t="str">
        <f>IF(COUNTIFS(Sheet1!$D$2:$D$3203, C1175, Sheet1!$C$2:$C$3203, B1175) &gt; 0, "Sudah", "Belum")</f>
        <v>Belum</v>
      </c>
    </row>
    <row r="1176" spans="1:6" hidden="1" x14ac:dyDescent="0.35">
      <c r="A1176">
        <v>1175</v>
      </c>
      <c r="B1176" s="4" t="s">
        <v>5388</v>
      </c>
      <c r="C1176" s="3">
        <v>1983</v>
      </c>
      <c r="D1176" s="4" t="s">
        <v>5389</v>
      </c>
      <c r="E1176" s="35" t="s">
        <v>5390</v>
      </c>
      <c r="F1176" s="4" t="str">
        <f>IF(COUNTIFS(Sheet1!$D$2:$D$3203, C1176, Sheet1!$C$2:$C$3203, B1176) &gt; 0, "Sudah", "Belum")</f>
        <v>Sudah</v>
      </c>
    </row>
    <row r="1177" spans="1:6" hidden="1" x14ac:dyDescent="0.35">
      <c r="A1177">
        <v>1176</v>
      </c>
      <c r="B1177" s="4" t="s">
        <v>1153</v>
      </c>
      <c r="C1177" s="3">
        <v>1996</v>
      </c>
      <c r="D1177" s="4" t="s">
        <v>3283</v>
      </c>
      <c r="E1177" s="35" t="s">
        <v>3284</v>
      </c>
      <c r="F1177" s="4" t="str">
        <f>IF(COUNTIFS(Sheet1!$D$2:$D$3203, C1177, Sheet1!$C$2:$C$3203, B1177) &gt; 0, "Sudah", "Belum")</f>
        <v>Sudah</v>
      </c>
    </row>
    <row r="1178" spans="1:6" hidden="1" x14ac:dyDescent="0.35">
      <c r="A1178">
        <v>1177</v>
      </c>
      <c r="B1178" s="4" t="s">
        <v>5724</v>
      </c>
      <c r="C1178" s="3">
        <v>1996</v>
      </c>
      <c r="D1178" s="4" t="s">
        <v>4219</v>
      </c>
      <c r="E1178" s="35" t="s">
        <v>4220</v>
      </c>
      <c r="F1178" s="4" t="str">
        <f>IF(COUNTIFS(Sheet1!$D$2:$D$3203, C1178, Sheet1!$C$2:$C$3203, B1178) &gt; 0, "Sudah", "Belum")</f>
        <v>Sudah</v>
      </c>
    </row>
    <row r="1179" spans="1:6" hidden="1" x14ac:dyDescent="0.35">
      <c r="A1179">
        <v>1178</v>
      </c>
      <c r="B1179" s="4" t="s">
        <v>2452</v>
      </c>
      <c r="C1179" s="3">
        <v>2017</v>
      </c>
      <c r="D1179" s="4" t="s">
        <v>5725</v>
      </c>
      <c r="E1179" s="35" t="s">
        <v>5726</v>
      </c>
      <c r="F1179" s="4" t="str">
        <f>IF(COUNTIFS(Sheet1!$D$2:$D$3203, C1179, Sheet1!$C$2:$C$3203, B1179) &gt; 0, "Sudah", "Belum")</f>
        <v>Sudah</v>
      </c>
    </row>
    <row r="1180" spans="1:6" hidden="1" x14ac:dyDescent="0.35">
      <c r="A1180">
        <v>1179</v>
      </c>
      <c r="B1180" s="4" t="s">
        <v>1130</v>
      </c>
      <c r="C1180" s="3">
        <v>1996</v>
      </c>
      <c r="D1180" s="4" t="s">
        <v>5727</v>
      </c>
      <c r="E1180" s="35" t="s">
        <v>5728</v>
      </c>
      <c r="F1180" s="4" t="str">
        <f>IF(COUNTIFS(Sheet1!$D$2:$D$3203, C1180, Sheet1!$C$2:$C$3203, B1180) &gt; 0, "Sudah", "Belum")</f>
        <v>Sudah</v>
      </c>
    </row>
    <row r="1181" spans="1:6" hidden="1" x14ac:dyDescent="0.35">
      <c r="A1181">
        <v>1180</v>
      </c>
      <c r="B1181" s="4" t="s">
        <v>2744</v>
      </c>
      <c r="C1181" s="3">
        <v>2020</v>
      </c>
      <c r="D1181" s="4" t="s">
        <v>5729</v>
      </c>
      <c r="E1181" s="35" t="s">
        <v>5730</v>
      </c>
      <c r="F1181" s="4" t="str">
        <f>IF(COUNTIFS(Sheet1!$D$2:$D$3203, C1181, Sheet1!$C$2:$C$3203, B1181) &gt; 0, "Sudah", "Belum")</f>
        <v>Sudah</v>
      </c>
    </row>
    <row r="1182" spans="1:6" hidden="1" x14ac:dyDescent="0.35">
      <c r="A1182">
        <v>1181</v>
      </c>
      <c r="B1182" s="4" t="s">
        <v>1208</v>
      </c>
      <c r="C1182" s="3">
        <v>1997</v>
      </c>
      <c r="D1182" s="4" t="s">
        <v>5731</v>
      </c>
      <c r="E1182" s="35" t="s">
        <v>5732</v>
      </c>
      <c r="F1182" s="4" t="str">
        <f>IF(COUNTIFS(Sheet1!$D$2:$D$3203, C1182, Sheet1!$C$2:$C$3203, B1182) &gt; 0, "Sudah", "Belum")</f>
        <v>Sudah</v>
      </c>
    </row>
    <row r="1183" spans="1:6" hidden="1" x14ac:dyDescent="0.35">
      <c r="A1183">
        <v>1182</v>
      </c>
      <c r="B1183" s="4" t="s">
        <v>1476</v>
      </c>
      <c r="C1183" s="3">
        <v>1999</v>
      </c>
      <c r="D1183" s="4" t="s">
        <v>5733</v>
      </c>
      <c r="E1183" s="35" t="s">
        <v>5734</v>
      </c>
      <c r="F1183" s="4" t="str">
        <f>IF(COUNTIFS(Sheet1!$D$2:$D$3203, C1183, Sheet1!$C$2:$C$3203, B1183) &gt; 0, "Sudah", "Belum")</f>
        <v>Sudah</v>
      </c>
    </row>
    <row r="1184" spans="1:6" hidden="1" x14ac:dyDescent="0.35">
      <c r="A1184">
        <v>1183</v>
      </c>
      <c r="B1184" s="4" t="s">
        <v>732</v>
      </c>
      <c r="C1184" s="3">
        <v>1990</v>
      </c>
      <c r="D1184" s="4" t="s">
        <v>5735</v>
      </c>
      <c r="E1184" s="35" t="s">
        <v>5736</v>
      </c>
      <c r="F1184" s="4" t="str">
        <f>IF(COUNTIFS(Sheet1!$D$2:$D$3203, C1184, Sheet1!$C$2:$C$3203, B1184) &gt; 0, "Sudah", "Belum")</f>
        <v>Sudah</v>
      </c>
    </row>
    <row r="1185" spans="1:6" hidden="1" x14ac:dyDescent="0.35">
      <c r="A1185">
        <v>1184</v>
      </c>
      <c r="B1185" s="4" t="s">
        <v>1446</v>
      </c>
      <c r="C1185" s="3">
        <v>1998</v>
      </c>
      <c r="D1185" s="4" t="s">
        <v>5737</v>
      </c>
      <c r="E1185" s="35" t="s">
        <v>5738</v>
      </c>
      <c r="F1185" s="4" t="str">
        <f>IF(COUNTIFS(Sheet1!$D$2:$D$3203, C1185, Sheet1!$C$2:$C$3203, B1185) &gt; 0, "Sudah", "Belum")</f>
        <v>Sudah</v>
      </c>
    </row>
    <row r="1186" spans="1:6" hidden="1" x14ac:dyDescent="0.35">
      <c r="A1186">
        <v>1185</v>
      </c>
      <c r="B1186" s="4" t="s">
        <v>1425</v>
      </c>
      <c r="C1186" s="3">
        <v>1999</v>
      </c>
      <c r="D1186" s="4" t="s">
        <v>5739</v>
      </c>
      <c r="E1186" s="35" t="s">
        <v>5740</v>
      </c>
      <c r="F1186" s="4" t="str">
        <f>IF(COUNTIFS(Sheet1!$D$2:$D$3203, C1186, Sheet1!$C$2:$C$3203, B1186) &gt; 0, "Sudah", "Belum")</f>
        <v>Sudah</v>
      </c>
    </row>
    <row r="1187" spans="1:6" x14ac:dyDescent="0.35">
      <c r="A1187">
        <v>1186</v>
      </c>
      <c r="B1187" s="4" t="s">
        <v>5741</v>
      </c>
      <c r="C1187" s="3">
        <v>2020</v>
      </c>
      <c r="D1187" s="4" t="s">
        <v>5742</v>
      </c>
      <c r="E1187" s="35" t="s">
        <v>5743</v>
      </c>
      <c r="F1187" s="4" t="str">
        <f>IF(COUNTIFS(Sheet1!$D$2:$D$3203, C1187, Sheet1!$C$2:$C$3203, B1187) &gt; 0, "Sudah", "Belum")</f>
        <v>Belum</v>
      </c>
    </row>
    <row r="1188" spans="1:6" hidden="1" x14ac:dyDescent="0.35">
      <c r="A1188">
        <v>1187</v>
      </c>
      <c r="B1188" s="4" t="s">
        <v>5744</v>
      </c>
      <c r="C1188" s="3">
        <v>2000</v>
      </c>
      <c r="D1188" s="4" t="s">
        <v>5745</v>
      </c>
      <c r="E1188" s="35" t="s">
        <v>5746</v>
      </c>
      <c r="F1188" s="4" t="str">
        <f>IF(COUNTIFS(Sheet1!$D$2:$D$3203, C1188, Sheet1!$C$2:$C$3203, B1188) &gt; 0, "Sudah", "Belum")</f>
        <v>Sudah</v>
      </c>
    </row>
    <row r="1189" spans="1:6" x14ac:dyDescent="0.35">
      <c r="A1189">
        <v>1188</v>
      </c>
      <c r="B1189" s="4" t="s">
        <v>1591</v>
      </c>
      <c r="C1189" s="3">
        <v>1981</v>
      </c>
      <c r="D1189" s="4" t="s">
        <v>5747</v>
      </c>
      <c r="E1189" s="35" t="s">
        <v>5748</v>
      </c>
      <c r="F1189" s="4" t="str">
        <f>IF(COUNTIFS(Sheet1!$D$2:$D$3203, C1189, Sheet1!$C$2:$C$3203, B1189) &gt; 0, "Sudah", "Belum")</f>
        <v>Belum</v>
      </c>
    </row>
    <row r="1190" spans="1:6" hidden="1" x14ac:dyDescent="0.35">
      <c r="A1190">
        <v>1189</v>
      </c>
      <c r="B1190" s="4" t="s">
        <v>1298</v>
      </c>
      <c r="C1190" s="3">
        <v>1998</v>
      </c>
      <c r="D1190" s="4" t="s">
        <v>5749</v>
      </c>
      <c r="E1190" s="35" t="s">
        <v>5750</v>
      </c>
      <c r="F1190" s="4" t="str">
        <f>IF(COUNTIFS(Sheet1!$D$2:$D$3203, C1190, Sheet1!$C$2:$C$3203, B1190) &gt; 0, "Sudah", "Belum")</f>
        <v>Sudah</v>
      </c>
    </row>
    <row r="1191" spans="1:6" hidden="1" x14ac:dyDescent="0.35">
      <c r="A1191">
        <v>1190</v>
      </c>
      <c r="B1191" s="4" t="s">
        <v>1580</v>
      </c>
      <c r="C1191" s="3">
        <v>2000</v>
      </c>
      <c r="D1191" s="4" t="s">
        <v>5751</v>
      </c>
      <c r="E1191" s="35" t="s">
        <v>5752</v>
      </c>
      <c r="F1191" s="4" t="str">
        <f>IF(COUNTIFS(Sheet1!$D$2:$D$3203, C1191, Sheet1!$C$2:$C$3203, B1191) &gt; 0, "Sudah", "Belum")</f>
        <v>Sudah</v>
      </c>
    </row>
    <row r="1192" spans="1:6" hidden="1" x14ac:dyDescent="0.35">
      <c r="A1192">
        <v>1191</v>
      </c>
      <c r="B1192" s="4" t="s">
        <v>2290</v>
      </c>
      <c r="C1192" s="3">
        <v>2014</v>
      </c>
      <c r="D1192" s="4" t="s">
        <v>5753</v>
      </c>
      <c r="E1192" s="35" t="s">
        <v>5754</v>
      </c>
      <c r="F1192" s="4" t="str">
        <f>IF(COUNTIFS(Sheet1!$D$2:$D$3203, C1192, Sheet1!$C$2:$C$3203, B1192) &gt; 0, "Sudah", "Belum")</f>
        <v>Sudah</v>
      </c>
    </row>
    <row r="1193" spans="1:6" hidden="1" x14ac:dyDescent="0.35">
      <c r="A1193">
        <v>1192</v>
      </c>
      <c r="B1193" s="4" t="s">
        <v>2783</v>
      </c>
      <c r="C1193" s="3">
        <v>2021</v>
      </c>
      <c r="D1193" s="4" t="s">
        <v>5755</v>
      </c>
      <c r="E1193" s="35" t="s">
        <v>5756</v>
      </c>
      <c r="F1193" s="4" t="str">
        <f>IF(COUNTIFS(Sheet1!$D$2:$D$3203, C1193, Sheet1!$C$2:$C$3203, B1193) &gt; 0, "Sudah", "Belum")</f>
        <v>Sudah</v>
      </c>
    </row>
    <row r="1194" spans="1:6" hidden="1" x14ac:dyDescent="0.35">
      <c r="A1194">
        <v>1193</v>
      </c>
      <c r="B1194" s="4" t="s">
        <v>2011</v>
      </c>
      <c r="C1194" s="3">
        <v>2011</v>
      </c>
      <c r="D1194" s="4" t="s">
        <v>5757</v>
      </c>
      <c r="E1194" s="35" t="s">
        <v>5758</v>
      </c>
      <c r="F1194" s="4" t="str">
        <f>IF(COUNTIFS(Sheet1!$D$2:$D$3203, C1194, Sheet1!$C$2:$C$3203, B1194) &gt; 0, "Sudah", "Belum")</f>
        <v>Sudah</v>
      </c>
    </row>
    <row r="1195" spans="1:6" hidden="1" x14ac:dyDescent="0.35">
      <c r="A1195">
        <v>1194</v>
      </c>
      <c r="B1195" s="4" t="s">
        <v>275</v>
      </c>
      <c r="C1195" s="3">
        <v>1980</v>
      </c>
      <c r="D1195" s="4" t="s">
        <v>5759</v>
      </c>
      <c r="E1195" s="35" t="s">
        <v>5760</v>
      </c>
      <c r="F1195" s="4" t="str">
        <f>IF(COUNTIFS(Sheet1!$D$2:$D$3203, C1195, Sheet1!$C$2:$C$3203, B1195) &gt; 0, "Sudah", "Belum")</f>
        <v>Sudah</v>
      </c>
    </row>
    <row r="1196" spans="1:6" hidden="1" x14ac:dyDescent="0.35">
      <c r="A1196">
        <v>1195</v>
      </c>
      <c r="B1196" s="4" t="s">
        <v>1405</v>
      </c>
      <c r="C1196" s="3">
        <v>1997</v>
      </c>
      <c r="D1196" s="4" t="s">
        <v>5761</v>
      </c>
      <c r="E1196" s="35" t="s">
        <v>5762</v>
      </c>
      <c r="F1196" s="4" t="str">
        <f>IF(COUNTIFS(Sheet1!$D$2:$D$3203, C1196, Sheet1!$C$2:$C$3203, B1196) &gt; 0, "Sudah", "Belum")</f>
        <v>Sudah</v>
      </c>
    </row>
    <row r="1197" spans="1:6" hidden="1" x14ac:dyDescent="0.35">
      <c r="A1197">
        <v>1196</v>
      </c>
      <c r="B1197" s="4" t="s">
        <v>2470</v>
      </c>
      <c r="C1197" s="3">
        <v>2017</v>
      </c>
      <c r="D1197" s="4" t="s">
        <v>2470</v>
      </c>
      <c r="E1197" s="35" t="s">
        <v>5763</v>
      </c>
      <c r="F1197" s="4" t="str">
        <f>IF(COUNTIFS(Sheet1!$D$2:$D$3203, C1197, Sheet1!$C$2:$C$3203, B1197) &gt; 0, "Sudah", "Belum")</f>
        <v>Sudah</v>
      </c>
    </row>
    <row r="1198" spans="1:6" hidden="1" x14ac:dyDescent="0.35">
      <c r="A1198">
        <v>1197</v>
      </c>
      <c r="B1198" s="4" t="s">
        <v>1743</v>
      </c>
      <c r="C1198" s="3">
        <v>2003</v>
      </c>
      <c r="D1198" s="4" t="s">
        <v>5765</v>
      </c>
      <c r="E1198" s="35" t="s">
        <v>5766</v>
      </c>
      <c r="F1198" s="4" t="str">
        <f>IF(COUNTIFS(Sheet1!$D$2:$D$3203, C1198, Sheet1!$C$2:$C$3203, B1198) &gt; 0, "Sudah", "Belum")</f>
        <v>Sudah</v>
      </c>
    </row>
    <row r="1199" spans="1:6" hidden="1" x14ac:dyDescent="0.35">
      <c r="A1199">
        <v>1198</v>
      </c>
      <c r="B1199" s="4" t="s">
        <v>5767</v>
      </c>
      <c r="C1199" s="3">
        <v>1998</v>
      </c>
      <c r="D1199" s="4" t="s">
        <v>5768</v>
      </c>
      <c r="E1199" s="35" t="s">
        <v>5769</v>
      </c>
      <c r="F1199" s="4" t="str">
        <f>IF(COUNTIFS(Sheet1!$D$2:$D$3203, C1199, Sheet1!$C$2:$C$3203, B1199) &gt; 0, "Sudah", "Belum")</f>
        <v>Sudah</v>
      </c>
    </row>
    <row r="1200" spans="1:6" hidden="1" x14ac:dyDescent="0.35">
      <c r="A1200">
        <v>1199</v>
      </c>
      <c r="B1200" s="4" t="s">
        <v>1327</v>
      </c>
      <c r="C1200" s="3">
        <v>1998</v>
      </c>
      <c r="D1200" s="4" t="s">
        <v>5770</v>
      </c>
      <c r="E1200" s="35" t="s">
        <v>5764</v>
      </c>
      <c r="F1200" s="4" t="str">
        <f>IF(COUNTIFS(Sheet1!$D$2:$D$3203, C1200, Sheet1!$C$2:$C$3203, B1200) &gt; 0, "Sudah", "Belum")</f>
        <v>Sudah</v>
      </c>
    </row>
    <row r="1201" spans="1:6" hidden="1" x14ac:dyDescent="0.35">
      <c r="A1201">
        <v>1200</v>
      </c>
      <c r="B1201" s="4" t="s">
        <v>1746</v>
      </c>
      <c r="C1201" s="3">
        <v>2003</v>
      </c>
      <c r="D1201" s="4" t="s">
        <v>5771</v>
      </c>
      <c r="E1201" s="35" t="s">
        <v>5772</v>
      </c>
      <c r="F1201" s="4" t="str">
        <f>IF(COUNTIFS(Sheet1!$D$2:$D$3203, C1201, Sheet1!$C$2:$C$3203, B1201) &gt; 0, "Sudah", "Belum")</f>
        <v>Sudah</v>
      </c>
    </row>
    <row r="1202" spans="1:6" hidden="1" x14ac:dyDescent="0.35">
      <c r="A1202">
        <v>1201</v>
      </c>
      <c r="B1202" s="4" t="s">
        <v>1396</v>
      </c>
      <c r="C1202" s="3">
        <v>1999</v>
      </c>
      <c r="D1202" s="4" t="s">
        <v>5773</v>
      </c>
      <c r="E1202" s="35" t="s">
        <v>5774</v>
      </c>
      <c r="F1202" s="4" t="str">
        <f>IF(COUNTIFS(Sheet1!$D$2:$D$3203, C1202, Sheet1!$C$2:$C$3203, B1202) &gt; 0, "Sudah", "Belum")</f>
        <v>Sudah</v>
      </c>
    </row>
    <row r="1203" spans="1:6" x14ac:dyDescent="0.35">
      <c r="A1203">
        <v>1202</v>
      </c>
      <c r="B1203" s="4" t="s">
        <v>5775</v>
      </c>
      <c r="C1203" s="3">
        <v>2020</v>
      </c>
      <c r="D1203" s="37" t="s">
        <v>5776</v>
      </c>
      <c r="E1203" s="35" t="s">
        <v>5777</v>
      </c>
      <c r="F1203" s="4" t="str">
        <f>IF(COUNTIFS(Sheet1!$D$2:$D$3203, C1203, Sheet1!$C$2:$C$3203, B1203) &gt; 0, "Sudah", "Belum")</f>
        <v>Belum</v>
      </c>
    </row>
    <row r="1204" spans="1:6" hidden="1" x14ac:dyDescent="0.35">
      <c r="A1204">
        <v>1203</v>
      </c>
      <c r="B1204" s="4" t="s">
        <v>5778</v>
      </c>
      <c r="C1204" s="3">
        <v>2017</v>
      </c>
      <c r="D1204" s="4" t="s">
        <v>5779</v>
      </c>
      <c r="E1204" s="35" t="s">
        <v>5780</v>
      </c>
      <c r="F1204" s="4" t="str">
        <f>IF(COUNTIFS(Sheet1!$D$2:$D$3203, C1204, Sheet1!$C$2:$C$3203, B1204) &gt; 0, "Sudah", "Belum")</f>
        <v>Sudah</v>
      </c>
    </row>
    <row r="1205" spans="1:6" hidden="1" x14ac:dyDescent="0.35">
      <c r="A1205">
        <v>1204</v>
      </c>
      <c r="B1205" s="4" t="s">
        <v>1102</v>
      </c>
      <c r="C1205" s="3">
        <v>1996</v>
      </c>
      <c r="D1205" s="4" t="s">
        <v>3821</v>
      </c>
      <c r="E1205" s="35" t="s">
        <v>3822</v>
      </c>
      <c r="F1205" s="4" t="str">
        <f>IF(COUNTIFS(Sheet1!$D$2:$D$3203, C1205, Sheet1!$C$2:$C$3203, B1205) &gt; 0, "Sudah", "Belum")</f>
        <v>Sudah</v>
      </c>
    </row>
    <row r="1206" spans="1:6" hidden="1" x14ac:dyDescent="0.35">
      <c r="A1206">
        <v>1205</v>
      </c>
      <c r="B1206" s="4" t="s">
        <v>1958</v>
      </c>
      <c r="C1206" s="3">
        <v>2008</v>
      </c>
      <c r="D1206" s="4" t="s">
        <v>5781</v>
      </c>
      <c r="E1206" s="35" t="s">
        <v>5782</v>
      </c>
      <c r="F1206" s="4" t="str">
        <f>IF(COUNTIFS(Sheet1!$D$2:$D$3203, C1206, Sheet1!$C$2:$C$3203, B1206) &gt; 0, "Sudah", "Belum")</f>
        <v>Sudah</v>
      </c>
    </row>
    <row r="1207" spans="1:6" hidden="1" x14ac:dyDescent="0.35">
      <c r="A1207">
        <v>1206</v>
      </c>
      <c r="B1207" s="4" t="s">
        <v>2439</v>
      </c>
      <c r="C1207" s="3">
        <v>2017</v>
      </c>
      <c r="D1207" s="4" t="s">
        <v>5783</v>
      </c>
      <c r="E1207" s="35" t="s">
        <v>5784</v>
      </c>
      <c r="F1207" s="4" t="str">
        <f>IF(COUNTIFS(Sheet1!$D$2:$D$3203, C1207, Sheet1!$C$2:$C$3203, B1207) &gt; 0, "Sudah", "Belum")</f>
        <v>Sudah</v>
      </c>
    </row>
    <row r="1208" spans="1:6" hidden="1" x14ac:dyDescent="0.35">
      <c r="A1208">
        <v>1207</v>
      </c>
      <c r="B1208" s="4" t="s">
        <v>2015</v>
      </c>
      <c r="C1208" s="3">
        <v>2011</v>
      </c>
      <c r="D1208" s="4" t="s">
        <v>5785</v>
      </c>
      <c r="E1208" s="35" t="s">
        <v>5786</v>
      </c>
      <c r="F1208" s="4" t="str">
        <f>IF(COUNTIFS(Sheet1!$D$2:$D$3203, C1208, Sheet1!$C$2:$C$3203, B1208) &gt; 0, "Sudah", "Belum")</f>
        <v>Sudah</v>
      </c>
    </row>
    <row r="1209" spans="1:6" hidden="1" x14ac:dyDescent="0.35">
      <c r="A1209">
        <v>1208</v>
      </c>
      <c r="B1209" s="4" t="s">
        <v>2975</v>
      </c>
      <c r="C1209" s="3">
        <v>2007</v>
      </c>
      <c r="D1209" s="4" t="s">
        <v>5790</v>
      </c>
      <c r="E1209" s="35" t="s">
        <v>5791</v>
      </c>
      <c r="F1209" s="4" t="str">
        <f>IF(COUNTIFS(Sheet1!$D$2:$D$3203, C1209, Sheet1!$C$2:$C$3203, B1209) &gt; 0, "Sudah", "Belum")</f>
        <v>Sudah</v>
      </c>
    </row>
    <row r="1210" spans="1:6" x14ac:dyDescent="0.35">
      <c r="A1210">
        <v>1209</v>
      </c>
      <c r="B1210" s="4" t="s">
        <v>5792</v>
      </c>
      <c r="C1210" s="3">
        <v>1992</v>
      </c>
      <c r="D1210" s="4" t="s">
        <v>5793</v>
      </c>
      <c r="E1210" s="35" t="s">
        <v>5794</v>
      </c>
      <c r="F1210" s="4" t="str">
        <f>IF(COUNTIFS(Sheet1!$D$2:$D$3203, C1210, Sheet1!$C$2:$C$3203, B1210) &gt; 0, "Sudah", "Belum")</f>
        <v>Belum</v>
      </c>
    </row>
    <row r="1211" spans="1:6" hidden="1" x14ac:dyDescent="0.35">
      <c r="A1211">
        <v>1210</v>
      </c>
      <c r="B1211" s="4" t="s">
        <v>5787</v>
      </c>
      <c r="C1211" s="3">
        <v>1999</v>
      </c>
      <c r="D1211" s="4" t="s">
        <v>5788</v>
      </c>
      <c r="E1211" s="35" t="s">
        <v>5789</v>
      </c>
      <c r="F1211" s="4" t="str">
        <f>IF(COUNTIFS(Sheet1!$D$2:$D$3203, C1211, Sheet1!$C$2:$C$3203, B1211) &gt; 0, "Sudah", "Belum")</f>
        <v>Sudah</v>
      </c>
    </row>
    <row r="1212" spans="1:6" hidden="1" x14ac:dyDescent="0.35">
      <c r="A1212">
        <v>1211</v>
      </c>
      <c r="B1212" s="4" t="s">
        <v>2512</v>
      </c>
      <c r="C1212" s="3">
        <v>2017</v>
      </c>
      <c r="D1212" s="4" t="s">
        <v>5795</v>
      </c>
      <c r="E1212" s="35" t="s">
        <v>5796</v>
      </c>
      <c r="F1212" s="4" t="str">
        <f>IF(COUNTIFS(Sheet1!$D$2:$D$3203, C1212, Sheet1!$C$2:$C$3203, B1212) &gt; 0, "Sudah", "Belum")</f>
        <v>Sudah</v>
      </c>
    </row>
    <row r="1213" spans="1:6" hidden="1" x14ac:dyDescent="0.35">
      <c r="A1213">
        <v>1212</v>
      </c>
      <c r="B1213" s="4" t="s">
        <v>1458</v>
      </c>
      <c r="C1213" s="3">
        <v>1999</v>
      </c>
      <c r="D1213" s="4" t="s">
        <v>5797</v>
      </c>
      <c r="E1213" s="35" t="s">
        <v>5798</v>
      </c>
      <c r="F1213" s="4" t="str">
        <f>IF(COUNTIFS(Sheet1!$D$2:$D$3203, C1213, Sheet1!$C$2:$C$3203, B1213) &gt; 0, "Sudah", "Belum")</f>
        <v>Sudah</v>
      </c>
    </row>
    <row r="1214" spans="1:6" hidden="1" x14ac:dyDescent="0.35">
      <c r="A1214">
        <v>1213</v>
      </c>
      <c r="B1214" s="4" t="s">
        <v>968</v>
      </c>
      <c r="C1214" s="3">
        <v>1993</v>
      </c>
      <c r="D1214" s="4" t="s">
        <v>5799</v>
      </c>
      <c r="E1214" s="35" t="s">
        <v>5800</v>
      </c>
      <c r="F1214" s="4" t="str">
        <f>IF(COUNTIFS(Sheet1!$D$2:$D$3203, C1214, Sheet1!$C$2:$C$3203, B1214) &gt; 0, "Sudah", "Belum")</f>
        <v>Sudah</v>
      </c>
    </row>
    <row r="1215" spans="1:6" hidden="1" x14ac:dyDescent="0.35">
      <c r="A1215">
        <v>1214</v>
      </c>
      <c r="B1215" s="4" t="s">
        <v>2116</v>
      </c>
      <c r="C1215" s="3">
        <v>2012</v>
      </c>
      <c r="D1215" s="4" t="s">
        <v>5801</v>
      </c>
      <c r="E1215" s="35" t="s">
        <v>5802</v>
      </c>
      <c r="F1215" s="4" t="str">
        <f>IF(COUNTIFS(Sheet1!$D$2:$D$3203, C1215, Sheet1!$C$2:$C$3203, B1215) &gt; 0, "Sudah", "Belum")</f>
        <v>Sudah</v>
      </c>
    </row>
    <row r="1216" spans="1:6" hidden="1" x14ac:dyDescent="0.35">
      <c r="A1216">
        <v>1215</v>
      </c>
      <c r="B1216" s="4" t="s">
        <v>1515</v>
      </c>
      <c r="C1216" s="3">
        <v>2000</v>
      </c>
      <c r="D1216" s="4" t="s">
        <v>5803</v>
      </c>
      <c r="E1216" s="35" t="s">
        <v>5804</v>
      </c>
      <c r="F1216" s="4" t="str">
        <f>IF(COUNTIFS(Sheet1!$D$2:$D$3203, C1216, Sheet1!$C$2:$C$3203, B1216) &gt; 0, "Sudah", "Belum")</f>
        <v>Sudah</v>
      </c>
    </row>
    <row r="1217" spans="1:6" hidden="1" x14ac:dyDescent="0.35">
      <c r="A1217">
        <v>1216</v>
      </c>
      <c r="B1217" s="4" t="s">
        <v>5837</v>
      </c>
      <c r="C1217" s="3">
        <v>2007</v>
      </c>
      <c r="D1217" s="4" t="s">
        <v>5805</v>
      </c>
      <c r="E1217" s="35" t="s">
        <v>5806</v>
      </c>
      <c r="F1217" s="4" t="str">
        <f>IF(COUNTIFS(Sheet1!$D$2:$D$3203, C1217, Sheet1!$C$2:$C$3203, B1217) &gt; 0, "Sudah", "Belum")</f>
        <v>Sudah</v>
      </c>
    </row>
    <row r="1218" spans="1:6" hidden="1" x14ac:dyDescent="0.35">
      <c r="A1218">
        <v>1217</v>
      </c>
      <c r="B1218" s="4" t="s">
        <v>1483</v>
      </c>
      <c r="C1218" s="3">
        <v>2000</v>
      </c>
      <c r="D1218" s="4" t="s">
        <v>5807</v>
      </c>
      <c r="E1218" s="35" t="s">
        <v>5808</v>
      </c>
      <c r="F1218" s="4" t="str">
        <f>IF(COUNTIFS(Sheet1!$D$2:$D$3203, C1218, Sheet1!$C$2:$C$3203, B1218) &gt; 0, "Sudah", "Belum")</f>
        <v>Sudah</v>
      </c>
    </row>
    <row r="1219" spans="1:6" hidden="1" x14ac:dyDescent="0.35">
      <c r="A1219">
        <v>1218</v>
      </c>
      <c r="B1219" s="4" t="s">
        <v>1333</v>
      </c>
      <c r="C1219" s="3">
        <v>1998</v>
      </c>
      <c r="D1219" s="4" t="s">
        <v>5809</v>
      </c>
      <c r="E1219" s="35" t="s">
        <v>5810</v>
      </c>
      <c r="F1219" s="4" t="str">
        <f>IF(COUNTIFS(Sheet1!$D$2:$D$3203, C1219, Sheet1!$C$2:$C$3203, B1219) &gt; 0, "Sudah", "Belum")</f>
        <v>Sudah</v>
      </c>
    </row>
    <row r="1220" spans="1:6" hidden="1" x14ac:dyDescent="0.35">
      <c r="A1220">
        <v>1219</v>
      </c>
      <c r="B1220" s="4" t="s">
        <v>1163</v>
      </c>
      <c r="C1220" s="3">
        <v>1996</v>
      </c>
      <c r="D1220" s="4" t="s">
        <v>5811</v>
      </c>
      <c r="E1220" s="35" t="s">
        <v>5812</v>
      </c>
      <c r="F1220" s="4" t="str">
        <f>IF(COUNTIFS(Sheet1!$D$2:$D$3203, C1220, Sheet1!$C$2:$C$3203, B1220) &gt; 0, "Sudah", "Belum")</f>
        <v>Sudah</v>
      </c>
    </row>
    <row r="1221" spans="1:6" hidden="1" x14ac:dyDescent="0.35">
      <c r="A1221">
        <v>1220</v>
      </c>
      <c r="B1221" s="4" t="s">
        <v>1424</v>
      </c>
      <c r="C1221" s="3">
        <v>1999</v>
      </c>
      <c r="D1221" s="4" t="s">
        <v>5813</v>
      </c>
      <c r="E1221" s="35" t="s">
        <v>5814</v>
      </c>
      <c r="F1221" s="4" t="str">
        <f>IF(COUNTIFS(Sheet1!$D$2:$D$3203, C1221, Sheet1!$C$2:$C$3203, B1221) &gt; 0, "Sudah", "Belum")</f>
        <v>Sudah</v>
      </c>
    </row>
    <row r="1222" spans="1:6" hidden="1" x14ac:dyDescent="0.35">
      <c r="A1222">
        <v>1221</v>
      </c>
      <c r="B1222" s="4" t="s">
        <v>893</v>
      </c>
      <c r="C1222" s="3">
        <v>1992</v>
      </c>
      <c r="D1222" s="4" t="s">
        <v>5815</v>
      </c>
      <c r="E1222" s="35" t="s">
        <v>5816</v>
      </c>
      <c r="F1222" s="4" t="str">
        <f>IF(COUNTIFS(Sheet1!$D$2:$D$3203, C1222, Sheet1!$C$2:$C$3203, B1222) &gt; 0, "Sudah", "Belum")</f>
        <v>Sudah</v>
      </c>
    </row>
    <row r="1223" spans="1:6" hidden="1" x14ac:dyDescent="0.35">
      <c r="A1223">
        <v>1222</v>
      </c>
      <c r="B1223" s="4" t="s">
        <v>1251</v>
      </c>
      <c r="C1223" s="3">
        <v>1996</v>
      </c>
      <c r="D1223" s="4" t="s">
        <v>5817</v>
      </c>
      <c r="E1223" s="35" t="s">
        <v>5818</v>
      </c>
      <c r="F1223" s="4" t="str">
        <f>IF(COUNTIFS(Sheet1!$D$2:$D$3203, C1223, Sheet1!$C$2:$C$3203, B1223) &gt; 0, "Sudah", "Belum")</f>
        <v>Sudah</v>
      </c>
    </row>
    <row r="1224" spans="1:6" hidden="1" x14ac:dyDescent="0.35">
      <c r="A1224">
        <v>1223</v>
      </c>
      <c r="B1224" s="4" t="s">
        <v>1340</v>
      </c>
      <c r="C1224" s="3">
        <v>1998</v>
      </c>
      <c r="D1224" s="4" t="s">
        <v>5819</v>
      </c>
      <c r="E1224" s="35" t="s">
        <v>5820</v>
      </c>
      <c r="F1224" s="4" t="str">
        <f>IF(COUNTIFS(Sheet1!$D$2:$D$3203, C1224, Sheet1!$C$2:$C$3203, B1224) &gt; 0, "Sudah", "Belum")</f>
        <v>Sudah</v>
      </c>
    </row>
    <row r="1226" spans="1:6" x14ac:dyDescent="0.35">
      <c r="D1226" t="s">
        <v>5822</v>
      </c>
      <c r="E1226" t="s">
        <v>5822</v>
      </c>
      <c r="F1226">
        <f>COUNTIF(Sigit_Rachmawan_Adhi[Column1],E1226)</f>
        <v>1140</v>
      </c>
    </row>
    <row r="1227" spans="1:6" x14ac:dyDescent="0.35">
      <c r="D1227" t="s">
        <v>5823</v>
      </c>
      <c r="E1227" t="s">
        <v>5823</v>
      </c>
      <c r="F1227">
        <f>COUNTIF(Sigit_Rachmawan_Adhi[Column1],E1227)</f>
        <v>83</v>
      </c>
    </row>
    <row r="1228" spans="1:6" x14ac:dyDescent="0.35">
      <c r="D1228" t="s">
        <v>5845</v>
      </c>
      <c r="F1228">
        <f>SUM(F1226:F1227)</f>
        <v>1223</v>
      </c>
    </row>
  </sheetData>
  <conditionalFormatting sqref="B2:C1224">
    <cfRule type="expression" dxfId="1" priority="326">
      <formula>COUNTIFS($B$2:$B$1224, $B2, $C$2:$C$1224, $C2) &gt; 1</formula>
    </cfRule>
  </conditionalFormatting>
  <conditionalFormatting sqref="F2:F1224">
    <cfRule type="cellIs" dxfId="0" priority="2" operator="equal">
      <formula>"Belum"</formula>
    </cfRule>
  </conditionalFormatting>
  <hyperlinks>
    <hyperlink ref="D1203" r:id="rId1" xr:uid="{19056F42-CA9E-4330-9C6B-7034CDAC8D5F}"/>
    <hyperlink ref="D1039" r:id="rId2" xr:uid="{6BFF3E17-0B74-4E98-B933-4F66CB80611E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calvin.wijaya</dc:creator>
  <cp:lastModifiedBy>calvin.wijaya</cp:lastModifiedBy>
  <dcterms:created xsi:type="dcterms:W3CDTF">2026-02-23T04:20:45Z</dcterms:created>
  <dcterms:modified xsi:type="dcterms:W3CDTF">2026-02-24T06:06:43Z</dcterms:modified>
</cp:coreProperties>
</file>