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DATA BARU\MAHASISWA\"/>
    </mc:Choice>
  </mc:AlternateContent>
  <xr:revisionPtr revIDLastSave="0" documentId="13_ncr:1_{C5FBC871-F744-4DF6-8EC3-E0205056C16F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Data induk" sheetId="1" r:id="rId1"/>
    <sheet name="Sheet2" sheetId="3" r:id="rId2"/>
    <sheet name="DAFTAR REKAP KELULUSAN MARET 20" sheetId="2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3281" i="1" l="1"/>
  <c r="M3280" i="1"/>
  <c r="B3283" i="1"/>
  <c r="B3284" i="1" s="1"/>
  <c r="B3285" i="1" s="1"/>
  <c r="B3286" i="1" s="1"/>
  <c r="B3287" i="1" s="1"/>
  <c r="B3288" i="1" s="1"/>
  <c r="B3289" i="1" s="1"/>
  <c r="B3290" i="1" s="1"/>
  <c r="B3291" i="1" s="1"/>
  <c r="B3292" i="1" s="1"/>
  <c r="B3293" i="1" s="1"/>
  <c r="B3294" i="1" s="1"/>
  <c r="B3295" i="1" s="1"/>
  <c r="B3296" i="1" s="1"/>
  <c r="B3297" i="1" s="1"/>
  <c r="B3298" i="1" s="1"/>
  <c r="B3299" i="1" s="1"/>
  <c r="B3300" i="1" s="1"/>
  <c r="B3282" i="1"/>
  <c r="B3281" i="1"/>
  <c r="B3280" i="1"/>
  <c r="B3277" i="1"/>
  <c r="B3197" i="1"/>
  <c r="B3198" i="1" s="1"/>
  <c r="B3199" i="1" s="1"/>
  <c r="B3200" i="1" s="1"/>
  <c r="B3201" i="1" s="1"/>
  <c r="B3202" i="1" s="1"/>
  <c r="B3203" i="1" s="1"/>
  <c r="B3204" i="1" s="1"/>
  <c r="B3205" i="1" s="1"/>
  <c r="B3206" i="1" s="1"/>
  <c r="B3207" i="1" s="1"/>
  <c r="B3208" i="1" s="1"/>
  <c r="B3209" i="1" s="1"/>
  <c r="B3210" i="1" s="1"/>
  <c r="B3211" i="1" s="1"/>
  <c r="B3212" i="1" s="1"/>
  <c r="B3213" i="1" s="1"/>
  <c r="B3214" i="1" s="1"/>
  <c r="B3215" i="1" s="1"/>
  <c r="B3216" i="1" s="1"/>
  <c r="B3217" i="1" s="1"/>
  <c r="B3218" i="1" s="1"/>
  <c r="B3219" i="1" s="1"/>
  <c r="B3220" i="1" s="1"/>
  <c r="B3221" i="1" s="1"/>
  <c r="B3222" i="1" s="1"/>
  <c r="B3223" i="1" s="1"/>
  <c r="B3224" i="1" s="1"/>
  <c r="B3225" i="1" s="1"/>
  <c r="B3226" i="1" s="1"/>
  <c r="B3227" i="1" s="1"/>
  <c r="B3228" i="1" s="1"/>
  <c r="B3229" i="1" s="1"/>
  <c r="B3230" i="1" s="1"/>
  <c r="B3231" i="1" s="1"/>
  <c r="B3232" i="1" s="1"/>
  <c r="B3233" i="1" s="1"/>
  <c r="B3234" i="1" s="1"/>
  <c r="B3235" i="1" s="1"/>
  <c r="B3236" i="1" s="1"/>
  <c r="B3237" i="1" s="1"/>
  <c r="B3238" i="1" s="1"/>
  <c r="B3239" i="1" s="1"/>
  <c r="B3240" i="1" s="1"/>
  <c r="B3241" i="1" s="1"/>
  <c r="B3242" i="1" s="1"/>
  <c r="B3243" i="1" s="1"/>
  <c r="B3244" i="1" s="1"/>
  <c r="B3245" i="1" s="1"/>
  <c r="B3246" i="1" s="1"/>
  <c r="B3247" i="1" s="1"/>
  <c r="B3248" i="1" s="1"/>
  <c r="B3249" i="1" s="1"/>
  <c r="B3250" i="1" s="1"/>
  <c r="B3251" i="1" s="1"/>
  <c r="B3252" i="1" s="1"/>
  <c r="B3253" i="1" s="1"/>
  <c r="B3254" i="1" s="1"/>
  <c r="B3255" i="1" s="1"/>
  <c r="B3256" i="1" s="1"/>
  <c r="B3257" i="1" s="1"/>
  <c r="B3258" i="1" s="1"/>
  <c r="B3259" i="1" s="1"/>
  <c r="B3260" i="1" s="1"/>
  <c r="B3261" i="1" s="1"/>
  <c r="B3262" i="1" s="1"/>
  <c r="B3263" i="1" s="1"/>
  <c r="B3264" i="1" s="1"/>
  <c r="B3265" i="1" s="1"/>
  <c r="B3266" i="1" s="1"/>
  <c r="B3267" i="1" s="1"/>
  <c r="B3268" i="1" s="1"/>
  <c r="B3269" i="1" s="1"/>
  <c r="B3270" i="1" s="1"/>
  <c r="B3271" i="1" s="1"/>
  <c r="B3272" i="1" s="1"/>
  <c r="B3273" i="1" s="1"/>
  <c r="B3274" i="1" s="1"/>
  <c r="B3275" i="1" s="1"/>
  <c r="B3276" i="1" s="1"/>
  <c r="B3196" i="1"/>
  <c r="B3195" i="1"/>
  <c r="B3194" i="1"/>
  <c r="B3119" i="1"/>
  <c r="B3120" i="1" s="1"/>
  <c r="B3121" i="1" s="1"/>
  <c r="B3122" i="1" s="1"/>
  <c r="B3123" i="1" s="1"/>
  <c r="B3124" i="1" s="1"/>
  <c r="B3125" i="1" s="1"/>
  <c r="B3126" i="1" s="1"/>
  <c r="B3127" i="1" s="1"/>
  <c r="B3128" i="1" s="1"/>
  <c r="B3129" i="1" s="1"/>
  <c r="B3130" i="1" s="1"/>
  <c r="B3131" i="1" s="1"/>
  <c r="B3132" i="1" s="1"/>
  <c r="B3133" i="1" s="1"/>
  <c r="B3134" i="1" s="1"/>
  <c r="B3135" i="1" s="1"/>
  <c r="B3136" i="1" s="1"/>
  <c r="B3137" i="1" s="1"/>
  <c r="B3138" i="1" s="1"/>
  <c r="B3139" i="1" s="1"/>
  <c r="B3140" i="1" s="1"/>
  <c r="B3141" i="1" s="1"/>
  <c r="B3142" i="1" s="1"/>
  <c r="B3143" i="1" s="1"/>
  <c r="B3144" i="1" s="1"/>
  <c r="B3145" i="1" s="1"/>
  <c r="B3146" i="1" s="1"/>
  <c r="B3147" i="1" s="1"/>
  <c r="B3148" i="1" s="1"/>
  <c r="B3149" i="1" s="1"/>
  <c r="B3150" i="1" s="1"/>
  <c r="B3151" i="1" s="1"/>
  <c r="B3152" i="1" s="1"/>
  <c r="B3153" i="1" s="1"/>
  <c r="B3154" i="1" s="1"/>
  <c r="B3155" i="1" s="1"/>
  <c r="B3156" i="1" s="1"/>
  <c r="B3157" i="1" s="1"/>
  <c r="B3158" i="1" s="1"/>
  <c r="B3159" i="1" s="1"/>
  <c r="B3160" i="1" s="1"/>
  <c r="B3161" i="1" s="1"/>
  <c r="B3162" i="1" s="1"/>
  <c r="B3163" i="1" s="1"/>
  <c r="B3164" i="1" s="1"/>
  <c r="B3165" i="1" s="1"/>
  <c r="B3166" i="1" s="1"/>
  <c r="B3167" i="1" s="1"/>
  <c r="B3168" i="1" s="1"/>
  <c r="B3169" i="1" s="1"/>
  <c r="B3170" i="1" s="1"/>
  <c r="B3171" i="1" s="1"/>
  <c r="B3172" i="1" s="1"/>
  <c r="B3173" i="1" s="1"/>
  <c r="B3174" i="1" s="1"/>
  <c r="B3175" i="1" s="1"/>
  <c r="B3176" i="1" s="1"/>
  <c r="B3177" i="1" s="1"/>
  <c r="B3178" i="1" s="1"/>
  <c r="B3179" i="1" s="1"/>
  <c r="B3180" i="1" s="1"/>
  <c r="B3181" i="1" s="1"/>
  <c r="B3182" i="1" s="1"/>
  <c r="B3183" i="1" s="1"/>
  <c r="B3184" i="1" s="1"/>
  <c r="B3185" i="1" s="1"/>
  <c r="B3186" i="1" s="1"/>
  <c r="B3187" i="1" s="1"/>
  <c r="B3188" i="1" s="1"/>
  <c r="B3189" i="1" s="1"/>
  <c r="B3190" i="1" s="1"/>
  <c r="B3191" i="1" s="1"/>
  <c r="B3118" i="1"/>
  <c r="B3117" i="1"/>
  <c r="B3099" i="1"/>
  <c r="B3100" i="1" s="1"/>
  <c r="B3101" i="1" s="1"/>
  <c r="B3102" i="1" s="1"/>
  <c r="B3103" i="1" s="1"/>
  <c r="B3104" i="1" s="1"/>
  <c r="B3105" i="1" s="1"/>
  <c r="B3106" i="1" s="1"/>
  <c r="B3107" i="1" s="1"/>
  <c r="B3108" i="1" s="1"/>
  <c r="B3109" i="1" s="1"/>
  <c r="B3110" i="1" s="1"/>
  <c r="B3111" i="1" s="1"/>
  <c r="B3112" i="1" s="1"/>
  <c r="B3113" i="1" s="1"/>
  <c r="B3114" i="1" s="1"/>
  <c r="B3098" i="1"/>
  <c r="B3097" i="1"/>
  <c r="T335" i="3"/>
  <c r="S392" i="3"/>
  <c r="S391" i="3"/>
  <c r="S390" i="3"/>
  <c r="S389" i="3"/>
  <c r="S388" i="3"/>
  <c r="S387" i="3"/>
  <c r="S386" i="3"/>
  <c r="S385" i="3"/>
  <c r="S384" i="3"/>
  <c r="S383" i="3"/>
  <c r="S382" i="3"/>
  <c r="S381" i="3"/>
  <c r="S380" i="3"/>
  <c r="S379" i="3"/>
  <c r="S378" i="3"/>
  <c r="S377" i="3"/>
  <c r="S376" i="3"/>
  <c r="S375" i="3"/>
  <c r="S374" i="3"/>
  <c r="S373" i="3"/>
  <c r="S372" i="3"/>
  <c r="S371" i="3"/>
  <c r="S370" i="3"/>
  <c r="S369" i="3"/>
  <c r="S368" i="3"/>
  <c r="S367" i="3"/>
  <c r="S366" i="3"/>
  <c r="S365" i="3"/>
  <c r="S364" i="3"/>
  <c r="S363" i="3"/>
  <c r="S362" i="3"/>
  <c r="S361" i="3"/>
  <c r="S360" i="3"/>
  <c r="S359" i="3"/>
  <c r="S358" i="3"/>
  <c r="S357" i="3"/>
  <c r="S356" i="3"/>
  <c r="S355" i="3"/>
  <c r="S354" i="3"/>
  <c r="S353" i="3"/>
  <c r="S352" i="3"/>
  <c r="S351" i="3"/>
  <c r="S350" i="3"/>
  <c r="S349" i="3"/>
  <c r="S348" i="3"/>
  <c r="S347" i="3"/>
  <c r="S346" i="3"/>
  <c r="S345" i="3"/>
  <c r="S344" i="3"/>
  <c r="S343" i="3"/>
  <c r="S342" i="3"/>
  <c r="S341" i="3"/>
  <c r="S340" i="3"/>
  <c r="S339" i="3"/>
  <c r="S338" i="3"/>
  <c r="S337" i="3"/>
  <c r="S336" i="3"/>
  <c r="S335" i="3"/>
  <c r="T234" i="3"/>
  <c r="S334" i="3"/>
  <c r="S333" i="3"/>
  <c r="S332" i="3"/>
  <c r="S331" i="3"/>
  <c r="S330" i="3"/>
  <c r="S329" i="3"/>
  <c r="S328" i="3"/>
  <c r="S327" i="3"/>
  <c r="S326" i="3"/>
  <c r="S325" i="3"/>
  <c r="S324" i="3"/>
  <c r="S323" i="3"/>
  <c r="S322" i="3"/>
  <c r="S321" i="3"/>
  <c r="S320" i="3"/>
  <c r="S319" i="3"/>
  <c r="S318" i="3"/>
  <c r="S317" i="3"/>
  <c r="S316" i="3"/>
  <c r="S315" i="3"/>
  <c r="S314" i="3"/>
  <c r="S313" i="3"/>
  <c r="S312" i="3"/>
  <c r="S311" i="3"/>
  <c r="S310" i="3"/>
  <c r="S309" i="3"/>
  <c r="S308" i="3"/>
  <c r="S307" i="3"/>
  <c r="S306" i="3"/>
  <c r="S305" i="3"/>
  <c r="S304" i="3"/>
  <c r="S303" i="3"/>
  <c r="S302" i="3"/>
  <c r="S301" i="3"/>
  <c r="S300" i="3"/>
  <c r="S299" i="3"/>
  <c r="S298" i="3"/>
  <c r="S297" i="3"/>
  <c r="S296" i="3"/>
  <c r="S295" i="3"/>
  <c r="S294" i="3"/>
  <c r="S293" i="3"/>
  <c r="S292" i="3"/>
  <c r="S291" i="3"/>
  <c r="S290" i="3"/>
  <c r="S289" i="3"/>
  <c r="S288" i="3"/>
  <c r="S287" i="3"/>
  <c r="S286" i="3"/>
  <c r="S285" i="3"/>
  <c r="S284" i="3"/>
  <c r="S283" i="3"/>
  <c r="S282" i="3"/>
  <c r="S281" i="3"/>
  <c r="S280" i="3"/>
  <c r="S279" i="3"/>
  <c r="S278" i="3"/>
  <c r="S277" i="3"/>
  <c r="S276" i="3"/>
  <c r="S275" i="3"/>
  <c r="S274" i="3"/>
  <c r="S273" i="3"/>
  <c r="S272" i="3"/>
  <c r="S271" i="3"/>
  <c r="S270" i="3"/>
  <c r="S269" i="3"/>
  <c r="S268" i="3"/>
  <c r="S267" i="3"/>
  <c r="S266" i="3"/>
  <c r="S265" i="3"/>
  <c r="S264" i="3"/>
  <c r="S263" i="3"/>
  <c r="S262" i="3"/>
  <c r="S261" i="3"/>
  <c r="S260" i="3"/>
  <c r="S259" i="3"/>
  <c r="S258" i="3"/>
  <c r="S257" i="3"/>
  <c r="S256" i="3"/>
  <c r="S255" i="3"/>
  <c r="S254" i="3"/>
  <c r="S253" i="3"/>
  <c r="S252" i="3"/>
  <c r="S251" i="3"/>
  <c r="S250" i="3"/>
  <c r="S249" i="3"/>
  <c r="S248" i="3"/>
  <c r="S247" i="3"/>
  <c r="S246" i="3"/>
  <c r="S245" i="3"/>
  <c r="S244" i="3"/>
  <c r="S243" i="3"/>
  <c r="S242" i="3"/>
  <c r="S241" i="3"/>
  <c r="S240" i="3"/>
  <c r="S239" i="3"/>
  <c r="S238" i="3"/>
  <c r="S237" i="3"/>
  <c r="S236" i="3"/>
  <c r="S235" i="3"/>
  <c r="S234" i="3"/>
  <c r="T142" i="3"/>
  <c r="S233" i="3"/>
  <c r="S232" i="3"/>
  <c r="S231" i="3"/>
  <c r="S230" i="3"/>
  <c r="S229" i="3"/>
  <c r="S228" i="3"/>
  <c r="S227" i="3"/>
  <c r="S226" i="3"/>
  <c r="S225" i="3"/>
  <c r="S224" i="3"/>
  <c r="S223" i="3"/>
  <c r="S222" i="3"/>
  <c r="S221" i="3"/>
  <c r="S220" i="3"/>
  <c r="S219" i="3"/>
  <c r="S218" i="3"/>
  <c r="S217" i="3"/>
  <c r="S216" i="3"/>
  <c r="S215" i="3"/>
  <c r="S214" i="3"/>
  <c r="S213" i="3"/>
  <c r="S212" i="3"/>
  <c r="S211" i="3"/>
  <c r="S210" i="3"/>
  <c r="S209" i="3"/>
  <c r="S208" i="3"/>
  <c r="S207" i="3"/>
  <c r="S206" i="3"/>
  <c r="S205" i="3"/>
  <c r="S204" i="3"/>
  <c r="S203" i="3"/>
  <c r="S202" i="3"/>
  <c r="S201" i="3"/>
  <c r="S200" i="3"/>
  <c r="S199" i="3"/>
  <c r="S198" i="3"/>
  <c r="S197" i="3"/>
  <c r="S196" i="3"/>
  <c r="S195" i="3"/>
  <c r="S194" i="3"/>
  <c r="S193" i="3"/>
  <c r="S192" i="3"/>
  <c r="S191" i="3"/>
  <c r="S190" i="3"/>
  <c r="S189" i="3"/>
  <c r="S188" i="3"/>
  <c r="S187" i="3"/>
  <c r="S186" i="3"/>
  <c r="S185" i="3"/>
  <c r="S184" i="3"/>
  <c r="S183" i="3"/>
  <c r="S182" i="3"/>
  <c r="S181" i="3"/>
  <c r="S180" i="3"/>
  <c r="S179" i="3"/>
  <c r="S178" i="3"/>
  <c r="S177" i="3"/>
  <c r="S176" i="3"/>
  <c r="S175" i="3"/>
  <c r="S174" i="3"/>
  <c r="S173" i="3"/>
  <c r="S172" i="3"/>
  <c r="S171" i="3"/>
  <c r="S170" i="3"/>
  <c r="S169" i="3"/>
  <c r="S168" i="3"/>
  <c r="S167" i="3"/>
  <c r="S166" i="3"/>
  <c r="S165" i="3"/>
  <c r="S164" i="3"/>
  <c r="S163" i="3"/>
  <c r="S162" i="3"/>
  <c r="S161" i="3"/>
  <c r="S160" i="3"/>
  <c r="S159" i="3"/>
  <c r="S158" i="3"/>
  <c r="S157" i="3"/>
  <c r="S156" i="3"/>
  <c r="S155" i="3"/>
  <c r="S154" i="3"/>
  <c r="S153" i="3"/>
  <c r="S152" i="3"/>
  <c r="S151" i="3"/>
  <c r="S150" i="3"/>
  <c r="S149" i="3"/>
  <c r="S148" i="3"/>
  <c r="S147" i="3"/>
  <c r="S146" i="3"/>
  <c r="S145" i="3"/>
  <c r="S144" i="3"/>
  <c r="S143" i="3"/>
  <c r="S142" i="3"/>
  <c r="S79" i="3"/>
  <c r="T39" i="3"/>
  <c r="S133" i="3"/>
  <c r="S132" i="3"/>
  <c r="S131" i="3"/>
  <c r="S130" i="3"/>
  <c r="S129" i="3"/>
  <c r="S128" i="3"/>
  <c r="S127" i="3"/>
  <c r="S126" i="3"/>
  <c r="S125" i="3"/>
  <c r="S124" i="3"/>
  <c r="S123" i="3"/>
  <c r="S122" i="3"/>
  <c r="S121" i="3"/>
  <c r="S120" i="3"/>
  <c r="S119" i="3"/>
  <c r="S118" i="3"/>
  <c r="S117" i="3"/>
  <c r="S116" i="3"/>
  <c r="S115" i="3"/>
  <c r="S114" i="3"/>
  <c r="S113" i="3"/>
  <c r="S112" i="3"/>
  <c r="S111" i="3"/>
  <c r="S110" i="3"/>
  <c r="S109" i="3"/>
  <c r="S108" i="3"/>
  <c r="S107" i="3"/>
  <c r="S106" i="3"/>
  <c r="S105" i="3"/>
  <c r="S104" i="3"/>
  <c r="S103" i="3"/>
  <c r="S102" i="3"/>
  <c r="S101" i="3"/>
  <c r="S100" i="3"/>
  <c r="S99" i="3"/>
  <c r="S98" i="3"/>
  <c r="S97" i="3"/>
  <c r="S96" i="3"/>
  <c r="S95" i="3"/>
  <c r="S94" i="3"/>
  <c r="S93" i="3"/>
  <c r="S92" i="3"/>
  <c r="S91" i="3"/>
  <c r="S90" i="3"/>
  <c r="S89" i="3"/>
  <c r="S88" i="3"/>
  <c r="S87" i="3"/>
  <c r="S86" i="3"/>
  <c r="S85" i="3"/>
  <c r="S84" i="3"/>
  <c r="S83" i="3"/>
  <c r="S82" i="3"/>
  <c r="S81" i="3"/>
  <c r="S80" i="3"/>
  <c r="S78" i="3"/>
  <c r="S77" i="3"/>
  <c r="S76" i="3"/>
  <c r="S75" i="3"/>
  <c r="S74" i="3"/>
  <c r="S73" i="3"/>
  <c r="S72" i="3"/>
  <c r="S71" i="3"/>
  <c r="S70" i="3"/>
  <c r="S69" i="3"/>
  <c r="S68" i="3"/>
  <c r="S67" i="3"/>
  <c r="S66" i="3"/>
  <c r="S65" i="3"/>
  <c r="S64" i="3"/>
  <c r="S63" i="3"/>
  <c r="S62" i="3"/>
  <c r="S61" i="3"/>
  <c r="S60" i="3"/>
  <c r="S59" i="3"/>
  <c r="S58" i="3"/>
  <c r="S57" i="3"/>
  <c r="S56" i="3"/>
  <c r="S55" i="3"/>
  <c r="S54" i="3"/>
  <c r="S53" i="3"/>
  <c r="S52" i="3"/>
  <c r="S51" i="3"/>
  <c r="S50" i="3"/>
  <c r="S49" i="3"/>
  <c r="S48" i="3"/>
  <c r="S47" i="3"/>
  <c r="S46" i="3"/>
  <c r="S45" i="3"/>
  <c r="S44" i="3"/>
  <c r="S43" i="3"/>
  <c r="S42" i="3"/>
  <c r="S41" i="3"/>
  <c r="S40" i="3"/>
  <c r="S39" i="3"/>
  <c r="V2872" i="1"/>
  <c r="V3082" i="1"/>
  <c r="Q3089" i="1"/>
  <c r="M32" i="3"/>
  <c r="E233" i="3"/>
  <c r="E232" i="3"/>
  <c r="E231" i="3"/>
  <c r="E230" i="3"/>
  <c r="E229" i="3"/>
  <c r="E228" i="3"/>
  <c r="E227" i="3"/>
  <c r="E226" i="3"/>
  <c r="E225" i="3"/>
  <c r="E224" i="3"/>
  <c r="E223" i="3"/>
  <c r="E222" i="3"/>
  <c r="E221" i="3"/>
  <c r="E220" i="3"/>
  <c r="E219" i="3"/>
  <c r="E218" i="3"/>
  <c r="E217" i="3"/>
  <c r="E216" i="3"/>
  <c r="E215" i="3"/>
  <c r="E214" i="3"/>
  <c r="E213" i="3"/>
  <c r="E212" i="3"/>
  <c r="E211" i="3"/>
  <c r="E210" i="3"/>
  <c r="E133" i="3"/>
  <c r="E132" i="3"/>
  <c r="E131" i="3"/>
  <c r="E209" i="3"/>
  <c r="E208" i="3"/>
  <c r="E207" i="3"/>
  <c r="E206" i="3"/>
  <c r="E205" i="3"/>
  <c r="E204" i="3"/>
  <c r="E203" i="3"/>
  <c r="E202" i="3"/>
  <c r="E201" i="3"/>
  <c r="E200" i="3"/>
  <c r="E199" i="3"/>
  <c r="E198" i="3"/>
  <c r="E130" i="3"/>
  <c r="E129" i="3"/>
  <c r="E197" i="3"/>
  <c r="E196" i="3"/>
  <c r="E195" i="3"/>
  <c r="E194" i="3"/>
  <c r="E193" i="3"/>
  <c r="E192" i="3"/>
  <c r="E191" i="3"/>
  <c r="E190" i="3"/>
  <c r="E189" i="3"/>
  <c r="E188" i="3"/>
  <c r="E187" i="3"/>
  <c r="E186" i="3"/>
  <c r="E185" i="3"/>
  <c r="E184" i="3"/>
  <c r="E183" i="3"/>
  <c r="E182" i="3"/>
  <c r="E128" i="3"/>
  <c r="E31" i="3"/>
  <c r="E30" i="3"/>
  <c r="E181" i="3"/>
  <c r="E180" i="3"/>
  <c r="E179" i="3"/>
  <c r="E178" i="3"/>
  <c r="E177" i="3"/>
  <c r="E176" i="3"/>
  <c r="E175" i="3"/>
  <c r="E174" i="3"/>
  <c r="E127" i="3"/>
  <c r="E126" i="3"/>
  <c r="E173" i="3"/>
  <c r="E172" i="3"/>
  <c r="E171" i="3"/>
  <c r="E170" i="3"/>
  <c r="E169" i="3"/>
  <c r="E168" i="3"/>
  <c r="E167" i="3"/>
  <c r="E166" i="3"/>
  <c r="E165" i="3"/>
  <c r="E164" i="3"/>
  <c r="E125" i="3"/>
  <c r="E124" i="3"/>
  <c r="E123" i="3"/>
  <c r="E14" i="3"/>
  <c r="E163" i="3"/>
  <c r="E162" i="3"/>
  <c r="E161" i="3"/>
  <c r="E160" i="3"/>
  <c r="E159" i="3"/>
  <c r="E158" i="3"/>
  <c r="E157" i="3"/>
  <c r="E156" i="3"/>
  <c r="E155" i="3"/>
  <c r="E154" i="3"/>
  <c r="E153" i="3"/>
  <c r="E152" i="3"/>
  <c r="E151" i="3"/>
  <c r="E150" i="3"/>
  <c r="E149" i="3"/>
  <c r="E148" i="3"/>
  <c r="E147" i="3"/>
  <c r="E146" i="3"/>
  <c r="E145" i="3"/>
  <c r="E122" i="3"/>
  <c r="E121" i="3"/>
  <c r="E120" i="3"/>
  <c r="E13" i="3"/>
  <c r="E12" i="3"/>
  <c r="E11" i="3"/>
  <c r="E144" i="3"/>
  <c r="E143" i="3"/>
  <c r="E142" i="3"/>
  <c r="E119" i="3"/>
  <c r="E118" i="3"/>
  <c r="E117" i="3"/>
  <c r="E116" i="3"/>
  <c r="E115" i="3"/>
  <c r="E114" i="3"/>
  <c r="E113" i="3"/>
  <c r="E112" i="3"/>
  <c r="E111" i="3"/>
  <c r="E110" i="3"/>
  <c r="E10" i="3"/>
  <c r="E109" i="3"/>
  <c r="E29" i="3"/>
  <c r="E108" i="3"/>
  <c r="E107" i="3"/>
  <c r="E106" i="3"/>
  <c r="E5" i="3"/>
  <c r="E9" i="3"/>
  <c r="E4" i="3"/>
  <c r="E105" i="3"/>
  <c r="E104" i="3"/>
  <c r="E103" i="3"/>
  <c r="E102" i="3"/>
  <c r="E101" i="3"/>
  <c r="E100" i="3"/>
  <c r="E99" i="3"/>
  <c r="E98" i="3"/>
  <c r="E97" i="3"/>
  <c r="E96" i="3"/>
  <c r="E95" i="3"/>
  <c r="E94" i="3"/>
  <c r="E93" i="3"/>
  <c r="E92" i="3"/>
  <c r="E91" i="3"/>
  <c r="E8" i="3"/>
  <c r="E90" i="3"/>
  <c r="E89" i="3"/>
  <c r="E88" i="3"/>
  <c r="E87" i="3"/>
  <c r="E86" i="3"/>
  <c r="E85" i="3"/>
  <c r="E28" i="3"/>
  <c r="E27" i="3"/>
  <c r="E84" i="3"/>
  <c r="E83" i="3"/>
  <c r="E82" i="3"/>
  <c r="E81" i="3"/>
  <c r="E80" i="3"/>
  <c r="E79" i="3"/>
  <c r="E78" i="3"/>
  <c r="E77" i="3"/>
  <c r="E76" i="3"/>
  <c r="E75" i="3"/>
  <c r="E74" i="3"/>
  <c r="E26" i="3"/>
  <c r="E73" i="3"/>
  <c r="E72" i="3"/>
  <c r="E71" i="3"/>
  <c r="E70" i="3"/>
  <c r="E69" i="3"/>
  <c r="E68" i="3"/>
  <c r="E67" i="3"/>
  <c r="E66" i="3"/>
  <c r="E25" i="3"/>
  <c r="E65" i="3"/>
  <c r="E64" i="3"/>
  <c r="E63" i="3"/>
  <c r="E62" i="3"/>
  <c r="E61" i="3"/>
  <c r="E60" i="3"/>
  <c r="E59" i="3"/>
  <c r="E58" i="3"/>
  <c r="E57" i="3"/>
  <c r="B57" i="3"/>
  <c r="B58" i="3" s="1"/>
  <c r="B59" i="3" s="1"/>
  <c r="B60" i="3" s="1"/>
  <c r="B61" i="3" s="1"/>
  <c r="B62" i="3" s="1"/>
  <c r="B63" i="3" s="1"/>
  <c r="B64" i="3" s="1"/>
  <c r="B65" i="3" s="1"/>
  <c r="B25" i="3" s="1"/>
  <c r="B66" i="3" s="1"/>
  <c r="B67" i="3" s="1"/>
  <c r="B68" i="3" s="1"/>
  <c r="B69" i="3" s="1"/>
  <c r="B70" i="3" s="1"/>
  <c r="B71" i="3" s="1"/>
  <c r="B72" i="3" s="1"/>
  <c r="B73" i="3" s="1"/>
  <c r="B26" i="3" s="1"/>
  <c r="B74" i="3" s="1"/>
  <c r="B75" i="3" s="1"/>
  <c r="B76" i="3" s="1"/>
  <c r="B77" i="3" s="1"/>
  <c r="B78" i="3" s="1"/>
  <c r="B79" i="3" s="1"/>
  <c r="B80" i="3" s="1"/>
  <c r="B81" i="3" s="1"/>
  <c r="B82" i="3" s="1"/>
  <c r="B83" i="3" s="1"/>
  <c r="B84" i="3" s="1"/>
  <c r="B27" i="3" s="1"/>
  <c r="B28" i="3" s="1"/>
  <c r="B85" i="3" s="1"/>
  <c r="B86" i="3" s="1"/>
  <c r="B87" i="3" s="1"/>
  <c r="B88" i="3" s="1"/>
  <c r="B89" i="3" s="1"/>
  <c r="B90" i="3" s="1"/>
  <c r="B8" i="3" s="1"/>
  <c r="B91" i="3" s="1"/>
  <c r="B92" i="3" s="1"/>
  <c r="B93" i="3" s="1"/>
  <c r="B94" i="3" s="1"/>
  <c r="B95" i="3" s="1"/>
  <c r="B96" i="3" s="1"/>
  <c r="B97" i="3" s="1"/>
  <c r="B98" i="3" s="1"/>
  <c r="B99" i="3" s="1"/>
  <c r="B100" i="3" s="1"/>
  <c r="B101" i="3" s="1"/>
  <c r="B102" i="3" s="1"/>
  <c r="B103" i="3" s="1"/>
  <c r="B104" i="3" s="1"/>
  <c r="B105" i="3" s="1"/>
  <c r="B4" i="3" s="1"/>
  <c r="B9" i="3" s="1"/>
  <c r="B5" i="3" s="1"/>
  <c r="B106" i="3" s="1"/>
  <c r="B107" i="3" s="1"/>
  <c r="B108" i="3" s="1"/>
  <c r="B29" i="3" s="1"/>
  <c r="B109" i="3" s="1"/>
  <c r="B10" i="3" s="1"/>
  <c r="B110" i="3" s="1"/>
  <c r="B111" i="3" s="1"/>
  <c r="B112" i="3" s="1"/>
  <c r="B113" i="3" s="1"/>
  <c r="B114" i="3" s="1"/>
  <c r="B115" i="3" s="1"/>
  <c r="B116" i="3" s="1"/>
  <c r="B117" i="3" s="1"/>
  <c r="B118" i="3" s="1"/>
  <c r="B119" i="3" s="1"/>
  <c r="E56" i="3"/>
  <c r="E55" i="3"/>
  <c r="E54" i="3"/>
  <c r="E53" i="3"/>
  <c r="E52" i="3"/>
  <c r="E51" i="3"/>
  <c r="E50" i="3"/>
  <c r="E49" i="3"/>
  <c r="E48" i="3"/>
  <c r="E47" i="3"/>
  <c r="E46" i="3"/>
  <c r="E45" i="3"/>
  <c r="E44" i="3"/>
  <c r="E43" i="3"/>
  <c r="E42" i="3"/>
  <c r="E41" i="3"/>
  <c r="E24" i="3"/>
  <c r="E3" i="3"/>
  <c r="E7" i="3"/>
  <c r="E40" i="3"/>
  <c r="E6" i="3"/>
  <c r="E23" i="3"/>
  <c r="E39" i="3"/>
  <c r="E22" i="3"/>
  <c r="E21" i="3"/>
  <c r="E20" i="3"/>
  <c r="E19" i="3"/>
  <c r="E18" i="3"/>
  <c r="B18" i="3"/>
  <c r="B19" i="3" s="1"/>
  <c r="M3099" i="1"/>
  <c r="M3120" i="1"/>
  <c r="M3119" i="1"/>
  <c r="M3197" i="1"/>
  <c r="M3196" i="1"/>
  <c r="M3100" i="1"/>
  <c r="M3029" i="1"/>
  <c r="M3028" i="1"/>
  <c r="M2930" i="1"/>
  <c r="M3097" i="1"/>
  <c r="M3195" i="1"/>
  <c r="M3194" i="1"/>
  <c r="M3118" i="1"/>
  <c r="M3117" i="1"/>
  <c r="M3098" i="1"/>
  <c r="V2884" i="1" l="1"/>
  <c r="V2930" i="1"/>
  <c r="Q2963" i="1"/>
  <c r="Q3023" i="1"/>
  <c r="V2763" i="1"/>
  <c r="V2764" i="1"/>
  <c r="V2765" i="1"/>
  <c r="V2766" i="1"/>
  <c r="V2767" i="1"/>
  <c r="V2768" i="1"/>
  <c r="V2769" i="1"/>
  <c r="V2770" i="1"/>
  <c r="V2771" i="1"/>
  <c r="V2772" i="1"/>
  <c r="V2773" i="1"/>
  <c r="V2774" i="1"/>
  <c r="V2775" i="1"/>
  <c r="V2776" i="1"/>
  <c r="V2777" i="1"/>
  <c r="V2778" i="1"/>
  <c r="V2779" i="1"/>
  <c r="V2780" i="1"/>
  <c r="V2781" i="1"/>
  <c r="V2782" i="1"/>
  <c r="V2783" i="1"/>
  <c r="V2784" i="1"/>
  <c r="V2785" i="1"/>
  <c r="V2786" i="1"/>
  <c r="V2787" i="1"/>
  <c r="V2788" i="1"/>
  <c r="V2789" i="1"/>
  <c r="V2790" i="1"/>
  <c r="V2791" i="1"/>
  <c r="V2792" i="1"/>
  <c r="V2793" i="1"/>
  <c r="V2794" i="1"/>
  <c r="V2795" i="1"/>
  <c r="V2796" i="1"/>
  <c r="V2797" i="1"/>
  <c r="V2798" i="1"/>
  <c r="V2799" i="1"/>
  <c r="V2800" i="1"/>
  <c r="V2801" i="1"/>
  <c r="V2802" i="1"/>
  <c r="V2803" i="1"/>
  <c r="V2804" i="1"/>
  <c r="V2805" i="1"/>
  <c r="V2806" i="1"/>
  <c r="V2807" i="1"/>
  <c r="V2808" i="1"/>
  <c r="V2809" i="1"/>
  <c r="V2810" i="1"/>
  <c r="V2811" i="1"/>
  <c r="V2812" i="1"/>
  <c r="V2813" i="1"/>
  <c r="V2814" i="1"/>
  <c r="V2815" i="1"/>
  <c r="V2816" i="1"/>
  <c r="V2817" i="1"/>
  <c r="V2818" i="1"/>
  <c r="V2819" i="1"/>
  <c r="V2820" i="1"/>
  <c r="V2821" i="1"/>
  <c r="V2822" i="1"/>
  <c r="V2823" i="1"/>
  <c r="V2824" i="1"/>
  <c r="V2825" i="1"/>
  <c r="V2826" i="1"/>
  <c r="V2827" i="1"/>
  <c r="V2828" i="1"/>
  <c r="V2829" i="1"/>
  <c r="V2830" i="1"/>
  <c r="V2831" i="1"/>
  <c r="V2832" i="1"/>
  <c r="V2833" i="1"/>
  <c r="V2834" i="1"/>
  <c r="V2835" i="1"/>
  <c r="V2836" i="1"/>
  <c r="V2837" i="1"/>
  <c r="V2838" i="1"/>
  <c r="V2839" i="1"/>
  <c r="V2840" i="1"/>
  <c r="V2841" i="1"/>
  <c r="V2842" i="1"/>
  <c r="V2843" i="1"/>
  <c r="V2844" i="1"/>
  <c r="V2845" i="1"/>
  <c r="V2846" i="1"/>
  <c r="V2847" i="1"/>
  <c r="V2848" i="1"/>
  <c r="V2849" i="1"/>
  <c r="V2850" i="1"/>
  <c r="V2851" i="1"/>
  <c r="V2852" i="1"/>
  <c r="V2853" i="1"/>
  <c r="V2854" i="1"/>
  <c r="V2855" i="1"/>
  <c r="V2856" i="1"/>
  <c r="V2857" i="1"/>
  <c r="V2858" i="1"/>
  <c r="V2859" i="1"/>
  <c r="V2860" i="1"/>
  <c r="V2861" i="1"/>
  <c r="V2862" i="1"/>
  <c r="V2863" i="1"/>
  <c r="V2864" i="1"/>
  <c r="V2865" i="1"/>
  <c r="V2866" i="1"/>
  <c r="V2867" i="1"/>
  <c r="V2868" i="1"/>
  <c r="V2869" i="1"/>
  <c r="V2870" i="1"/>
  <c r="V2871" i="1"/>
  <c r="V2873" i="1"/>
  <c r="V2875" i="1"/>
  <c r="V2876" i="1"/>
  <c r="V2877" i="1"/>
  <c r="V2878" i="1"/>
  <c r="V2879" i="1"/>
  <c r="V2880" i="1"/>
  <c r="V2881" i="1"/>
  <c r="V2882" i="1"/>
  <c r="V2883" i="1"/>
  <c r="V2885" i="1"/>
  <c r="V2886" i="1"/>
  <c r="V2887" i="1"/>
  <c r="V2888" i="1"/>
  <c r="V2889" i="1"/>
  <c r="V2890" i="1"/>
  <c r="V2891" i="1"/>
  <c r="V2892" i="1"/>
  <c r="V2893" i="1"/>
  <c r="V2894" i="1"/>
  <c r="V2895" i="1"/>
  <c r="V2896" i="1"/>
  <c r="V2897" i="1"/>
  <c r="V2898" i="1"/>
  <c r="V2899" i="1"/>
  <c r="V2900" i="1"/>
  <c r="V2901" i="1"/>
  <c r="V2902" i="1"/>
  <c r="V2903" i="1"/>
  <c r="V2904" i="1"/>
  <c r="V2905" i="1"/>
  <c r="V2906" i="1"/>
  <c r="V2907" i="1"/>
  <c r="V2908" i="1"/>
  <c r="V2909" i="1"/>
  <c r="V2910" i="1"/>
  <c r="V2911" i="1"/>
  <c r="V2912" i="1"/>
  <c r="V2913" i="1"/>
  <c r="V2914" i="1"/>
  <c r="V2915" i="1"/>
  <c r="V2916" i="1"/>
  <c r="V2917" i="1"/>
  <c r="V2918" i="1"/>
  <c r="V2919" i="1"/>
  <c r="V2920" i="1"/>
  <c r="V2921" i="1"/>
  <c r="V2923" i="1"/>
  <c r="V2924" i="1"/>
  <c r="V2925" i="1"/>
  <c r="V2926" i="1"/>
  <c r="V2927" i="1"/>
  <c r="V2928" i="1"/>
  <c r="V2929" i="1"/>
  <c r="V2931" i="1"/>
  <c r="V2932" i="1"/>
  <c r="V2933" i="1"/>
  <c r="V2934" i="1"/>
  <c r="V2935" i="1"/>
  <c r="V2936" i="1"/>
  <c r="V2937" i="1"/>
  <c r="V2938" i="1"/>
  <c r="V2939" i="1"/>
  <c r="V2940" i="1"/>
  <c r="V2941" i="1"/>
  <c r="V2942" i="1"/>
  <c r="V2943" i="1"/>
  <c r="V2944" i="1"/>
  <c r="V2945" i="1"/>
  <c r="V2946" i="1"/>
  <c r="V2947" i="1"/>
  <c r="V2948" i="1"/>
  <c r="V2949" i="1"/>
  <c r="V2950" i="1"/>
  <c r="V2951" i="1"/>
  <c r="V2952" i="1"/>
  <c r="V2953" i="1"/>
  <c r="V2954" i="1"/>
  <c r="V2955" i="1"/>
  <c r="V2956" i="1"/>
  <c r="V2957" i="1"/>
  <c r="V2958" i="1"/>
  <c r="V2959" i="1"/>
  <c r="V2960" i="1"/>
  <c r="V2961" i="1"/>
  <c r="V2962" i="1"/>
  <c r="V2963" i="1"/>
  <c r="V2964" i="1"/>
  <c r="V2965" i="1"/>
  <c r="V2966" i="1"/>
  <c r="V2967" i="1"/>
  <c r="V2968" i="1"/>
  <c r="V2969" i="1"/>
  <c r="V2970" i="1"/>
  <c r="V2971" i="1"/>
  <c r="V2972" i="1"/>
  <c r="V2973" i="1"/>
  <c r="V2974" i="1"/>
  <c r="V2975" i="1"/>
  <c r="V2976" i="1"/>
  <c r="V2977" i="1"/>
  <c r="V2978" i="1"/>
  <c r="V2979" i="1"/>
  <c r="V2980" i="1"/>
  <c r="V2981" i="1"/>
  <c r="V2982" i="1"/>
  <c r="V2983" i="1"/>
  <c r="V2984" i="1"/>
  <c r="V2985" i="1"/>
  <c r="V2986" i="1"/>
  <c r="V2987" i="1"/>
  <c r="V2988" i="1"/>
  <c r="V2989" i="1"/>
  <c r="V2990" i="1"/>
  <c r="V2991" i="1"/>
  <c r="V2992" i="1"/>
  <c r="V2993" i="1"/>
  <c r="V2994" i="1"/>
  <c r="V2995" i="1"/>
  <c r="V2996" i="1"/>
  <c r="V2997" i="1"/>
  <c r="V2998" i="1"/>
  <c r="V2999" i="1"/>
  <c r="V3000" i="1"/>
  <c r="V3001" i="1"/>
  <c r="V3002" i="1"/>
  <c r="V3003" i="1"/>
  <c r="V3004" i="1"/>
  <c r="V3005" i="1"/>
  <c r="V3006" i="1"/>
  <c r="V3007" i="1"/>
  <c r="V3008" i="1"/>
  <c r="V3009" i="1"/>
  <c r="V3010" i="1"/>
  <c r="V3011" i="1"/>
  <c r="V3012" i="1"/>
  <c r="V3013" i="1"/>
  <c r="V3014" i="1"/>
  <c r="V3015" i="1"/>
  <c r="V3016" i="1"/>
  <c r="V3017" i="1"/>
  <c r="V3018" i="1"/>
  <c r="V3019" i="1"/>
  <c r="V3020" i="1"/>
  <c r="V3021" i="1"/>
  <c r="V3022" i="1"/>
  <c r="V3023" i="1"/>
  <c r="V3024" i="1"/>
  <c r="V3025" i="1"/>
  <c r="V3026" i="1"/>
  <c r="V3027" i="1"/>
  <c r="V3028" i="1"/>
  <c r="V3029" i="1"/>
  <c r="V3030" i="1"/>
  <c r="V3031" i="1"/>
  <c r="V3032" i="1"/>
  <c r="V3033" i="1"/>
  <c r="V3034" i="1"/>
  <c r="V3035" i="1"/>
  <c r="V3036" i="1"/>
  <c r="V3037" i="1"/>
  <c r="V3038" i="1"/>
  <c r="V3039" i="1"/>
  <c r="V3040" i="1"/>
  <c r="V3041" i="1"/>
  <c r="V3042" i="1"/>
  <c r="V3043" i="1"/>
  <c r="V3044" i="1"/>
  <c r="V3045" i="1"/>
  <c r="V3046" i="1"/>
  <c r="V3047" i="1"/>
  <c r="V3048" i="1"/>
  <c r="V3049" i="1"/>
  <c r="V3050" i="1"/>
  <c r="V3051" i="1"/>
  <c r="V3052" i="1"/>
  <c r="V3053" i="1"/>
  <c r="V3054" i="1"/>
  <c r="V3055" i="1"/>
  <c r="V3056" i="1"/>
  <c r="V3057" i="1"/>
  <c r="V3058" i="1"/>
  <c r="V3059" i="1"/>
  <c r="V3060" i="1"/>
  <c r="V3061" i="1"/>
  <c r="V3062" i="1"/>
  <c r="V3063" i="1"/>
  <c r="V3064" i="1"/>
  <c r="V3065" i="1"/>
  <c r="V3066" i="1"/>
  <c r="V3067" i="1"/>
  <c r="V3068" i="1"/>
  <c r="V3069" i="1"/>
  <c r="V3070" i="1"/>
  <c r="V3071" i="1"/>
  <c r="V3072" i="1"/>
  <c r="V3073" i="1"/>
  <c r="V3074" i="1"/>
  <c r="V3075" i="1"/>
  <c r="V3076" i="1"/>
  <c r="V3077" i="1"/>
  <c r="V3078" i="1"/>
  <c r="V3079" i="1"/>
  <c r="V3080" i="1"/>
  <c r="V3081" i="1"/>
  <c r="V3083" i="1"/>
  <c r="V3084" i="1"/>
  <c r="V3085" i="1"/>
  <c r="V3086" i="1"/>
  <c r="V3087" i="1"/>
  <c r="V3088" i="1"/>
  <c r="V3089" i="1"/>
  <c r="V3090" i="1"/>
  <c r="V3091" i="1"/>
  <c r="V3092" i="1"/>
  <c r="V3093" i="1"/>
  <c r="V3094" i="1"/>
  <c r="E3070" i="1"/>
  <c r="V2703" i="1"/>
  <c r="V2704" i="1"/>
  <c r="V2705" i="1"/>
  <c r="V2706" i="1"/>
  <c r="V2707" i="1"/>
  <c r="V2708" i="1"/>
  <c r="V2709" i="1"/>
  <c r="V2710" i="1"/>
  <c r="V2711" i="1"/>
  <c r="V2712" i="1"/>
  <c r="V2713" i="1"/>
  <c r="V2714" i="1"/>
  <c r="V2715" i="1"/>
  <c r="V2716" i="1"/>
  <c r="V2717" i="1"/>
  <c r="V2718" i="1"/>
  <c r="V2719" i="1"/>
  <c r="V2720" i="1"/>
  <c r="V2721" i="1"/>
  <c r="V2722" i="1"/>
  <c r="V2723" i="1"/>
  <c r="V2724" i="1"/>
  <c r="V2725" i="1"/>
  <c r="V2726" i="1"/>
  <c r="V2727" i="1"/>
  <c r="V2728" i="1"/>
  <c r="V2729" i="1"/>
  <c r="V2730" i="1"/>
  <c r="V2731" i="1"/>
  <c r="V2732" i="1"/>
  <c r="V2733" i="1"/>
  <c r="V2734" i="1"/>
  <c r="V2735" i="1"/>
  <c r="V2736" i="1"/>
  <c r="V2737" i="1"/>
  <c r="V2738" i="1"/>
  <c r="V2739" i="1"/>
  <c r="V2740" i="1"/>
  <c r="V2741" i="1"/>
  <c r="V2742" i="1"/>
  <c r="V2743" i="1"/>
  <c r="V2744" i="1"/>
  <c r="V2745" i="1"/>
  <c r="V2746" i="1"/>
  <c r="V2747" i="1"/>
  <c r="V2748" i="1"/>
  <c r="V2749" i="1"/>
  <c r="V2750" i="1"/>
  <c r="V2751" i="1"/>
  <c r="V2752" i="1"/>
  <c r="V2753" i="1"/>
  <c r="V2754" i="1"/>
  <c r="V2755" i="1"/>
  <c r="V2756" i="1"/>
  <c r="V2757" i="1"/>
  <c r="V2758" i="1"/>
  <c r="V2759" i="1"/>
  <c r="V2760" i="1"/>
  <c r="V2761" i="1"/>
  <c r="V2762" i="1"/>
  <c r="V2702" i="1"/>
  <c r="V2680" i="1"/>
  <c r="V2681" i="1"/>
  <c r="V2682" i="1"/>
  <c r="V2683" i="1"/>
  <c r="V2684" i="1"/>
  <c r="V2685" i="1"/>
  <c r="V2686" i="1"/>
  <c r="V2687" i="1"/>
  <c r="V2688" i="1"/>
  <c r="V2689" i="1"/>
  <c r="V2690" i="1"/>
  <c r="V2691" i="1"/>
  <c r="V2692" i="1"/>
  <c r="V2693" i="1"/>
  <c r="V2694" i="1"/>
  <c r="V2695" i="1"/>
  <c r="V2696" i="1"/>
  <c r="V2697" i="1"/>
  <c r="V2698" i="1"/>
  <c r="V2699" i="1"/>
  <c r="V2700" i="1"/>
  <c r="V2675" i="1"/>
  <c r="V2676" i="1"/>
  <c r="V2677" i="1"/>
  <c r="V2678" i="1"/>
  <c r="V2679" i="1"/>
  <c r="V2674" i="1"/>
  <c r="Q3070" i="1" l="1"/>
  <c r="F22" i="2"/>
  <c r="E22" i="2"/>
  <c r="D22" i="2"/>
  <c r="C22" i="2"/>
  <c r="B22" i="2"/>
  <c r="G17" i="2"/>
  <c r="G16" i="2"/>
  <c r="G15" i="2"/>
  <c r="G14" i="2"/>
  <c r="G13" i="2"/>
  <c r="G12" i="2"/>
  <c r="G11" i="2"/>
  <c r="G10" i="2"/>
  <c r="G9" i="2"/>
  <c r="G8" i="2"/>
  <c r="G7" i="2"/>
  <c r="G6" i="2"/>
  <c r="G5" i="2"/>
  <c r="G4" i="2"/>
  <c r="G22" i="2" s="1"/>
  <c r="E3094" i="1"/>
  <c r="Q3094" i="1" s="1"/>
  <c r="E3093" i="1"/>
  <c r="Q3093" i="1" s="1"/>
  <c r="E3092" i="1"/>
  <c r="Q3092" i="1" s="1"/>
  <c r="E3091" i="1"/>
  <c r="Q3091" i="1" s="1"/>
  <c r="E3090" i="1"/>
  <c r="Q3090" i="1" s="1"/>
  <c r="E3089" i="1"/>
  <c r="E3088" i="1"/>
  <c r="Q3088" i="1" s="1"/>
  <c r="E3087" i="1"/>
  <c r="Q3087" i="1" s="1"/>
  <c r="E3086" i="1"/>
  <c r="Q3086" i="1" s="1"/>
  <c r="E3085" i="1"/>
  <c r="Q3085" i="1" s="1"/>
  <c r="E3084" i="1"/>
  <c r="Q3084" i="1" s="1"/>
  <c r="E3083" i="1"/>
  <c r="Q3083" i="1" s="1"/>
  <c r="E3082" i="1"/>
  <c r="Q3082" i="1" s="1"/>
  <c r="E3081" i="1"/>
  <c r="Q3081" i="1" s="1"/>
  <c r="E3080" i="1"/>
  <c r="Q3080" i="1" s="1"/>
  <c r="E3079" i="1"/>
  <c r="Q3079" i="1" s="1"/>
  <c r="E3078" i="1"/>
  <c r="Q3078" i="1" s="1"/>
  <c r="E3077" i="1"/>
  <c r="Q3077" i="1" s="1"/>
  <c r="E3076" i="1"/>
  <c r="Q3076" i="1" s="1"/>
  <c r="E3075" i="1"/>
  <c r="Q3075" i="1" s="1"/>
  <c r="E3074" i="1"/>
  <c r="Q3074" i="1" s="1"/>
  <c r="E3073" i="1"/>
  <c r="Q3073" i="1" s="1"/>
  <c r="E3072" i="1"/>
  <c r="Q3072" i="1" s="1"/>
  <c r="E3071" i="1"/>
  <c r="Q3071" i="1" s="1"/>
  <c r="E3069" i="1"/>
  <c r="Q3069" i="1" s="1"/>
  <c r="E3068" i="1"/>
  <c r="Q3068" i="1" s="1"/>
  <c r="E3067" i="1"/>
  <c r="Q3067" i="1" s="1"/>
  <c r="E3066" i="1"/>
  <c r="Q3066" i="1" s="1"/>
  <c r="E3065" i="1"/>
  <c r="Q3065" i="1" s="1"/>
  <c r="E3064" i="1"/>
  <c r="Q3064" i="1" s="1"/>
  <c r="E3063" i="1"/>
  <c r="Q3063" i="1" s="1"/>
  <c r="E3062" i="1"/>
  <c r="Q3062" i="1" s="1"/>
  <c r="E3061" i="1"/>
  <c r="Q3061" i="1" s="1"/>
  <c r="E3060" i="1"/>
  <c r="Q3060" i="1" s="1"/>
  <c r="E3059" i="1"/>
  <c r="Q3059" i="1" s="1"/>
  <c r="E3058" i="1"/>
  <c r="Q3058" i="1" s="1"/>
  <c r="E3057" i="1"/>
  <c r="Q3057" i="1" s="1"/>
  <c r="E3056" i="1"/>
  <c r="Q3056" i="1" s="1"/>
  <c r="E3055" i="1"/>
  <c r="Q3055" i="1" s="1"/>
  <c r="E3054" i="1"/>
  <c r="Q3054" i="1" s="1"/>
  <c r="E3053" i="1"/>
  <c r="Q3053" i="1" s="1"/>
  <c r="E3052" i="1"/>
  <c r="Q3052" i="1" s="1"/>
  <c r="E3051" i="1"/>
  <c r="Q3051" i="1" s="1"/>
  <c r="E3050" i="1"/>
  <c r="Q3050" i="1" s="1"/>
  <c r="E3049" i="1"/>
  <c r="Q3049" i="1" s="1"/>
  <c r="E3048" i="1"/>
  <c r="Q3048" i="1" s="1"/>
  <c r="E3047" i="1"/>
  <c r="Q3047" i="1" s="1"/>
  <c r="E3046" i="1"/>
  <c r="Q3046" i="1" s="1"/>
  <c r="E3045" i="1"/>
  <c r="Q3045" i="1" s="1"/>
  <c r="E3044" i="1"/>
  <c r="Q3044" i="1" s="1"/>
  <c r="E3043" i="1"/>
  <c r="Q3043" i="1" s="1"/>
  <c r="E3042" i="1"/>
  <c r="Q3042" i="1" s="1"/>
  <c r="E3041" i="1"/>
  <c r="Q3041" i="1" s="1"/>
  <c r="E3040" i="1"/>
  <c r="Q3040" i="1" s="1"/>
  <c r="E3039" i="1"/>
  <c r="Q3039" i="1" s="1"/>
  <c r="E3038" i="1"/>
  <c r="Q3038" i="1" s="1"/>
  <c r="E3037" i="1"/>
  <c r="Q3037" i="1" s="1"/>
  <c r="E3036" i="1"/>
  <c r="Q3036" i="1" s="1"/>
  <c r="E3035" i="1"/>
  <c r="Q3035" i="1" s="1"/>
  <c r="E3034" i="1"/>
  <c r="Q3034" i="1" s="1"/>
  <c r="E3033" i="1"/>
  <c r="Q3033" i="1" s="1"/>
  <c r="E3032" i="1"/>
  <c r="Q3032" i="1" s="1"/>
  <c r="E3031" i="1"/>
  <c r="Q3031" i="1" s="1"/>
  <c r="E3030" i="1"/>
  <c r="Q3030" i="1" s="1"/>
  <c r="E3029" i="1"/>
  <c r="Q3029" i="1" s="1"/>
  <c r="E3028" i="1"/>
  <c r="Q3028" i="1" s="1"/>
  <c r="E3027" i="1"/>
  <c r="Q3027" i="1" s="1"/>
  <c r="E3026" i="1"/>
  <c r="Q3026" i="1" s="1"/>
  <c r="E3025" i="1"/>
  <c r="E3024" i="1"/>
  <c r="Q3024" i="1" s="1"/>
  <c r="E3022" i="1"/>
  <c r="Q3022" i="1" s="1"/>
  <c r="E3021" i="1"/>
  <c r="Q3021" i="1" s="1"/>
  <c r="E3020" i="1"/>
  <c r="Q3020" i="1" s="1"/>
  <c r="E3019" i="1"/>
  <c r="Q3019" i="1" s="1"/>
  <c r="E3018" i="1"/>
  <c r="Q3018" i="1" s="1"/>
  <c r="E3017" i="1"/>
  <c r="Q3017" i="1" s="1"/>
  <c r="E3016" i="1"/>
  <c r="Q3016" i="1" s="1"/>
  <c r="E3015" i="1"/>
  <c r="Q3015" i="1" s="1"/>
  <c r="E3014" i="1"/>
  <c r="Q3014" i="1" s="1"/>
  <c r="E3013" i="1"/>
  <c r="Q3013" i="1" s="1"/>
  <c r="E3012" i="1"/>
  <c r="Q3012" i="1" s="1"/>
  <c r="E3011" i="1"/>
  <c r="Q3011" i="1" s="1"/>
  <c r="E3010" i="1"/>
  <c r="Q3010" i="1" s="1"/>
  <c r="E3009" i="1"/>
  <c r="Q3009" i="1" s="1"/>
  <c r="E3008" i="1"/>
  <c r="Q3008" i="1" s="1"/>
  <c r="E3007" i="1"/>
  <c r="Q3007" i="1" s="1"/>
  <c r="E3006" i="1"/>
  <c r="Q3006" i="1" s="1"/>
  <c r="E3005" i="1"/>
  <c r="Q3005" i="1" s="1"/>
  <c r="E3004" i="1"/>
  <c r="Q3004" i="1" s="1"/>
  <c r="E3003" i="1"/>
  <c r="Q3003" i="1" s="1"/>
  <c r="E3002" i="1"/>
  <c r="Q3002" i="1" s="1"/>
  <c r="E3001" i="1"/>
  <c r="Q3001" i="1" s="1"/>
  <c r="E3000" i="1"/>
  <c r="Q3000" i="1" s="1"/>
  <c r="E2999" i="1"/>
  <c r="Q2999" i="1" s="1"/>
  <c r="E2998" i="1"/>
  <c r="Q2998" i="1" s="1"/>
  <c r="E2997" i="1"/>
  <c r="Q2997" i="1" s="1"/>
  <c r="E2996" i="1"/>
  <c r="Q2996" i="1" s="1"/>
  <c r="E2995" i="1"/>
  <c r="Q2995" i="1" s="1"/>
  <c r="E2994" i="1"/>
  <c r="Q2994" i="1" s="1"/>
  <c r="E2993" i="1"/>
  <c r="Q2993" i="1" s="1"/>
  <c r="E2992" i="1"/>
  <c r="Q2992" i="1" s="1"/>
  <c r="E2991" i="1"/>
  <c r="Q2991" i="1" s="1"/>
  <c r="E2990" i="1"/>
  <c r="Q2990" i="1" s="1"/>
  <c r="E2989" i="1"/>
  <c r="Q2989" i="1" s="1"/>
  <c r="E2988" i="1"/>
  <c r="Q2988" i="1" s="1"/>
  <c r="E2987" i="1"/>
  <c r="Q2987" i="1" s="1"/>
  <c r="E2986" i="1"/>
  <c r="Q2986" i="1" s="1"/>
  <c r="E2985" i="1"/>
  <c r="Q2985" i="1" s="1"/>
  <c r="E2984" i="1"/>
  <c r="Q2984" i="1" s="1"/>
  <c r="E2983" i="1"/>
  <c r="Q2983" i="1" s="1"/>
  <c r="E2982" i="1"/>
  <c r="Q2982" i="1" s="1"/>
  <c r="E2981" i="1"/>
  <c r="Q2981" i="1" s="1"/>
  <c r="E2980" i="1"/>
  <c r="Q2980" i="1" s="1"/>
  <c r="E2979" i="1"/>
  <c r="Q2979" i="1" s="1"/>
  <c r="E2978" i="1"/>
  <c r="Q2978" i="1" s="1"/>
  <c r="E2977" i="1"/>
  <c r="Q2977" i="1" s="1"/>
  <c r="E2976" i="1"/>
  <c r="Q2976" i="1" s="1"/>
  <c r="E2975" i="1"/>
  <c r="Q2975" i="1" s="1"/>
  <c r="E2974" i="1"/>
  <c r="Q2974" i="1" s="1"/>
  <c r="E2973" i="1"/>
  <c r="Q2973" i="1" s="1"/>
  <c r="E2972" i="1"/>
  <c r="Q2972" i="1" s="1"/>
  <c r="E2971" i="1"/>
  <c r="Q2971" i="1" s="1"/>
  <c r="E2970" i="1"/>
  <c r="Q2970" i="1" s="1"/>
  <c r="E2969" i="1"/>
  <c r="Q2969" i="1" s="1"/>
  <c r="E2968" i="1"/>
  <c r="Q2968" i="1" s="1"/>
  <c r="E2967" i="1"/>
  <c r="Q2967" i="1" s="1"/>
  <c r="E2966" i="1"/>
  <c r="Q2966" i="1" s="1"/>
  <c r="E2965" i="1"/>
  <c r="E2964" i="1"/>
  <c r="Q2964" i="1" s="1"/>
  <c r="E2962" i="1"/>
  <c r="Q2962" i="1" s="1"/>
  <c r="E2961" i="1"/>
  <c r="Q2961" i="1" s="1"/>
  <c r="E2960" i="1"/>
  <c r="Q2960" i="1" s="1"/>
  <c r="E2959" i="1"/>
  <c r="Q2959" i="1" s="1"/>
  <c r="E2958" i="1"/>
  <c r="Q2958" i="1" s="1"/>
  <c r="E2957" i="1"/>
  <c r="Q2957" i="1" s="1"/>
  <c r="E2956" i="1"/>
  <c r="Q2956" i="1" s="1"/>
  <c r="E2955" i="1"/>
  <c r="Q2955" i="1" s="1"/>
  <c r="E2954" i="1"/>
  <c r="Q2954" i="1" s="1"/>
  <c r="E2953" i="1"/>
  <c r="Q2953" i="1" s="1"/>
  <c r="E2952" i="1"/>
  <c r="Q2952" i="1" s="1"/>
  <c r="E2951" i="1"/>
  <c r="Q2951" i="1" s="1"/>
  <c r="E2950" i="1"/>
  <c r="Q2950" i="1" s="1"/>
  <c r="E2949" i="1"/>
  <c r="Q2949" i="1" s="1"/>
  <c r="E2948" i="1"/>
  <c r="Q2948" i="1" s="1"/>
  <c r="E2947" i="1"/>
  <c r="Q2947" i="1" s="1"/>
  <c r="E2946" i="1"/>
  <c r="Q2946" i="1" s="1"/>
  <c r="E2945" i="1"/>
  <c r="Q2945" i="1" s="1"/>
  <c r="E2944" i="1"/>
  <c r="Q2944" i="1" s="1"/>
  <c r="E2943" i="1"/>
  <c r="Q2943" i="1" s="1"/>
  <c r="E2942" i="1"/>
  <c r="Q2942" i="1" s="1"/>
  <c r="E2941" i="1"/>
  <c r="Q2941" i="1" s="1"/>
  <c r="E2940" i="1"/>
  <c r="Q2940" i="1" s="1"/>
  <c r="E2939" i="1"/>
  <c r="Q2939" i="1" s="1"/>
  <c r="E2938" i="1"/>
  <c r="Q2938" i="1" s="1"/>
  <c r="E2937" i="1"/>
  <c r="Q2937" i="1" s="1"/>
  <c r="E2936" i="1"/>
  <c r="Q2936" i="1" s="1"/>
  <c r="E2935" i="1"/>
  <c r="Q2935" i="1" s="1"/>
  <c r="E2934" i="1"/>
  <c r="Q2934" i="1" s="1"/>
  <c r="E2933" i="1"/>
  <c r="Q2933" i="1" s="1"/>
  <c r="E2932" i="1"/>
  <c r="Q2932" i="1" s="1"/>
  <c r="E2931" i="1"/>
  <c r="Q2931" i="1" s="1"/>
  <c r="E2930" i="1"/>
  <c r="Q2930" i="1" s="1"/>
  <c r="E2929" i="1"/>
  <c r="Q2929" i="1" s="1"/>
  <c r="E2928" i="1"/>
  <c r="Q2928" i="1" s="1"/>
  <c r="E2927" i="1"/>
  <c r="Q2927" i="1" s="1"/>
  <c r="E2926" i="1"/>
  <c r="Q2926" i="1" s="1"/>
  <c r="E2925" i="1"/>
  <c r="Q2925" i="1" s="1"/>
  <c r="E2924" i="1"/>
  <c r="E2923" i="1"/>
  <c r="Q2923" i="1" s="1"/>
  <c r="E2921" i="1"/>
  <c r="Q2921" i="1" s="1"/>
  <c r="E2920" i="1"/>
  <c r="Q2920" i="1" s="1"/>
  <c r="E2919" i="1"/>
  <c r="Q2919" i="1" s="1"/>
  <c r="E2918" i="1"/>
  <c r="Q2918" i="1" s="1"/>
  <c r="E2917" i="1"/>
  <c r="Q2917" i="1" s="1"/>
  <c r="E2916" i="1"/>
  <c r="Q2916" i="1" s="1"/>
  <c r="E2915" i="1"/>
  <c r="Q2915" i="1" s="1"/>
  <c r="E2914" i="1"/>
  <c r="Q2914" i="1" s="1"/>
  <c r="E2913" i="1"/>
  <c r="Q2913" i="1" s="1"/>
  <c r="E2912" i="1"/>
  <c r="Q2912" i="1" s="1"/>
  <c r="E2911" i="1"/>
  <c r="Q2911" i="1" s="1"/>
  <c r="E2910" i="1"/>
  <c r="E2909" i="1"/>
  <c r="E2908" i="1"/>
  <c r="E2907" i="1"/>
  <c r="E2906" i="1"/>
  <c r="E2905" i="1"/>
  <c r="E2904" i="1"/>
  <c r="E2903" i="1"/>
  <c r="E2902" i="1"/>
  <c r="E2901" i="1"/>
  <c r="E2900" i="1"/>
  <c r="E2899" i="1"/>
  <c r="E2898" i="1"/>
  <c r="E2897" i="1"/>
  <c r="E2896" i="1"/>
  <c r="E2895" i="1"/>
  <c r="E2894" i="1"/>
  <c r="E2893" i="1"/>
  <c r="E2892" i="1"/>
  <c r="E2891" i="1"/>
  <c r="E2890" i="1"/>
  <c r="E2889" i="1"/>
  <c r="E2888" i="1"/>
  <c r="E2887" i="1"/>
  <c r="E2886" i="1"/>
  <c r="E2885" i="1"/>
  <c r="E2884" i="1"/>
  <c r="E2883" i="1"/>
  <c r="E2882" i="1"/>
  <c r="E2881" i="1"/>
  <c r="E2880" i="1"/>
  <c r="E2879" i="1"/>
  <c r="E2878" i="1"/>
  <c r="E2877" i="1"/>
  <c r="E2876" i="1"/>
  <c r="E2875" i="1"/>
  <c r="E2873" i="1"/>
  <c r="E2872" i="1"/>
  <c r="E2871" i="1"/>
  <c r="E2870" i="1"/>
  <c r="E2869" i="1"/>
  <c r="E2868" i="1"/>
  <c r="E2867" i="1"/>
  <c r="E2866" i="1"/>
  <c r="E2865" i="1"/>
  <c r="E2864" i="1"/>
  <c r="E2863" i="1"/>
  <c r="E2862" i="1"/>
  <c r="E2861" i="1"/>
  <c r="E2860" i="1"/>
  <c r="E2859" i="1"/>
  <c r="E2858" i="1"/>
  <c r="E2857" i="1"/>
  <c r="E2856" i="1"/>
  <c r="E2855" i="1"/>
  <c r="E2854" i="1"/>
  <c r="E2853" i="1"/>
  <c r="E2852" i="1"/>
  <c r="E2851" i="1"/>
  <c r="E2850" i="1"/>
  <c r="E2849" i="1"/>
  <c r="E2848" i="1"/>
  <c r="E2847" i="1"/>
  <c r="E2846" i="1"/>
  <c r="E2845" i="1"/>
  <c r="E2844" i="1"/>
  <c r="E2843" i="1"/>
  <c r="E2842" i="1"/>
  <c r="E2841" i="1"/>
  <c r="E2840" i="1"/>
  <c r="E2839" i="1"/>
  <c r="E2838" i="1"/>
  <c r="E2837" i="1"/>
  <c r="E2836" i="1"/>
  <c r="E2835" i="1"/>
  <c r="E2834" i="1"/>
  <c r="E2833" i="1"/>
  <c r="E2832" i="1"/>
  <c r="E2831" i="1"/>
  <c r="E2830" i="1"/>
  <c r="E2829" i="1"/>
  <c r="E2828" i="1"/>
  <c r="E2827" i="1"/>
  <c r="E2826" i="1"/>
  <c r="E2825" i="1"/>
  <c r="E2824" i="1"/>
  <c r="E2823" i="1"/>
  <c r="E2822" i="1"/>
  <c r="E2821" i="1"/>
  <c r="E2820" i="1"/>
  <c r="E2819" i="1"/>
  <c r="E2818" i="1"/>
  <c r="E2817" i="1"/>
  <c r="E2816" i="1"/>
  <c r="E2815" i="1"/>
  <c r="E2814" i="1"/>
  <c r="E2813" i="1"/>
  <c r="E2812" i="1"/>
  <c r="E2811" i="1"/>
  <c r="E2810" i="1"/>
  <c r="E2809" i="1"/>
  <c r="E2808" i="1"/>
  <c r="E2807" i="1"/>
  <c r="E2806" i="1"/>
  <c r="E2805" i="1"/>
  <c r="E2804" i="1"/>
  <c r="E2803" i="1"/>
  <c r="E2802" i="1"/>
  <c r="E2801" i="1"/>
  <c r="E2800" i="1"/>
  <c r="E2799" i="1"/>
  <c r="E2798" i="1"/>
  <c r="E2797" i="1"/>
  <c r="E2796" i="1"/>
  <c r="E2795" i="1"/>
  <c r="E2794" i="1"/>
  <c r="E2793" i="1"/>
  <c r="E2792" i="1"/>
  <c r="E2791" i="1"/>
  <c r="E2790" i="1"/>
  <c r="E2789" i="1"/>
  <c r="E2788" i="1"/>
  <c r="E2787" i="1"/>
  <c r="E2786" i="1"/>
  <c r="E2785" i="1"/>
  <c r="E2784" i="1"/>
  <c r="E2783" i="1"/>
  <c r="E2782" i="1"/>
  <c r="E2781" i="1"/>
  <c r="E2780" i="1"/>
  <c r="E2779" i="1"/>
  <c r="E2778" i="1"/>
  <c r="E2777" i="1"/>
  <c r="E2776" i="1"/>
  <c r="E2775" i="1"/>
  <c r="E2774" i="1"/>
  <c r="E2773" i="1"/>
  <c r="E2772" i="1"/>
  <c r="E2771" i="1"/>
  <c r="E2770" i="1"/>
  <c r="E2769" i="1"/>
  <c r="E2768" i="1"/>
  <c r="E2767" i="1"/>
  <c r="E2766" i="1"/>
  <c r="E2765" i="1"/>
  <c r="E2764" i="1"/>
  <c r="E2763" i="1"/>
  <c r="E2762" i="1"/>
  <c r="E2761" i="1"/>
  <c r="E2760" i="1"/>
  <c r="E2759" i="1"/>
  <c r="E2758" i="1"/>
  <c r="E2757" i="1"/>
  <c r="E2756" i="1"/>
  <c r="E2755" i="1"/>
  <c r="E2754" i="1"/>
  <c r="E2753" i="1"/>
  <c r="E2752" i="1"/>
  <c r="E2751" i="1"/>
  <c r="E2750" i="1"/>
  <c r="E2749" i="1"/>
  <c r="E2748" i="1"/>
  <c r="E2747" i="1"/>
  <c r="E2746" i="1"/>
  <c r="E2745" i="1"/>
  <c r="E2744" i="1"/>
  <c r="E2743" i="1"/>
  <c r="E2742" i="1"/>
  <c r="E2741" i="1"/>
  <c r="E2740" i="1"/>
  <c r="E2739" i="1"/>
  <c r="E2738" i="1"/>
  <c r="E2737" i="1"/>
  <c r="E2736" i="1"/>
  <c r="E2735" i="1"/>
  <c r="E2734" i="1"/>
  <c r="E2733" i="1"/>
  <c r="E2732" i="1"/>
  <c r="E2731" i="1"/>
  <c r="E2730" i="1"/>
  <c r="E2729" i="1"/>
  <c r="E2728" i="1"/>
  <c r="Q2728" i="1" s="1"/>
  <c r="E2727" i="1"/>
  <c r="Q2727" i="1" s="1"/>
  <c r="E2726" i="1"/>
  <c r="Q2726" i="1" s="1"/>
  <c r="E2725" i="1"/>
  <c r="Q2725" i="1" s="1"/>
  <c r="E2724" i="1"/>
  <c r="Q2724" i="1" s="1"/>
  <c r="E2723" i="1"/>
  <c r="Q2723" i="1" s="1"/>
  <c r="E2722" i="1"/>
  <c r="Q2722" i="1" s="1"/>
  <c r="E2721" i="1"/>
  <c r="Q2721" i="1" s="1"/>
  <c r="E2720" i="1"/>
  <c r="Q2720" i="1" s="1"/>
  <c r="E2719" i="1"/>
  <c r="Q2719" i="1" s="1"/>
  <c r="E2718" i="1"/>
  <c r="Q2718" i="1" s="1"/>
  <c r="E2717" i="1"/>
  <c r="Q2717" i="1" s="1"/>
  <c r="E2716" i="1"/>
  <c r="Q2716" i="1" s="1"/>
  <c r="E2715" i="1"/>
  <c r="Q2715" i="1" s="1"/>
  <c r="E2714" i="1"/>
  <c r="Q2714" i="1" s="1"/>
  <c r="E2713" i="1"/>
  <c r="Q2713" i="1" s="1"/>
  <c r="E2712" i="1"/>
  <c r="Q2712" i="1" s="1"/>
  <c r="E2711" i="1"/>
  <c r="Q2711" i="1" s="1"/>
  <c r="E2710" i="1"/>
  <c r="Q2710" i="1" s="1"/>
  <c r="E2709" i="1"/>
  <c r="Q2709" i="1" s="1"/>
  <c r="E2708" i="1"/>
  <c r="Q2708" i="1" s="1"/>
  <c r="E2707" i="1"/>
  <c r="Q2707" i="1" s="1"/>
  <c r="E2706" i="1"/>
  <c r="Q2706" i="1" s="1"/>
  <c r="E2705" i="1"/>
  <c r="Q2705" i="1" s="1"/>
  <c r="E2704" i="1"/>
  <c r="Q2704" i="1" s="1"/>
  <c r="E2703" i="1"/>
  <c r="Q2703" i="1" s="1"/>
  <c r="E2702" i="1"/>
  <c r="Q2702" i="1" s="1"/>
  <c r="E2701" i="1"/>
  <c r="E2700" i="1"/>
  <c r="Q2700" i="1" s="1"/>
  <c r="E2699" i="1"/>
  <c r="Q2699" i="1" s="1"/>
  <c r="E2698" i="1"/>
  <c r="Q2698" i="1" s="1"/>
  <c r="E2697" i="1"/>
  <c r="Q2697" i="1" s="1"/>
  <c r="E2696" i="1"/>
  <c r="Q2696" i="1" s="1"/>
  <c r="E2695" i="1"/>
  <c r="Q2695" i="1" s="1"/>
  <c r="E2694" i="1"/>
  <c r="Q2694" i="1" s="1"/>
  <c r="E2693" i="1"/>
  <c r="Q2693" i="1" s="1"/>
  <c r="E2692" i="1"/>
  <c r="Q2692" i="1" s="1"/>
  <c r="E2691" i="1"/>
  <c r="Q2691" i="1" s="1"/>
  <c r="E2690" i="1"/>
  <c r="Q2690" i="1" s="1"/>
  <c r="E2689" i="1"/>
  <c r="Q2689" i="1" s="1"/>
  <c r="E2688" i="1"/>
  <c r="Q2688" i="1" s="1"/>
  <c r="E2687" i="1"/>
  <c r="Q2687" i="1" s="1"/>
  <c r="E2686" i="1"/>
  <c r="Q2686" i="1" s="1"/>
  <c r="E2685" i="1"/>
  <c r="Q2685" i="1" s="1"/>
  <c r="E2684" i="1"/>
  <c r="Q2684" i="1" s="1"/>
  <c r="E2683" i="1"/>
  <c r="Q2683" i="1" s="1"/>
  <c r="E2682" i="1"/>
  <c r="Q2682" i="1" s="1"/>
  <c r="E2681" i="1"/>
  <c r="Q2681" i="1" s="1"/>
  <c r="E2680" i="1"/>
  <c r="Q2680" i="1" s="1"/>
  <c r="E2679" i="1"/>
  <c r="Q2679" i="1" s="1"/>
  <c r="E2678" i="1"/>
  <c r="Q2678" i="1" s="1"/>
  <c r="E2677" i="1"/>
  <c r="Q2677" i="1" s="1"/>
  <c r="E2676" i="1"/>
  <c r="Q2676" i="1" s="1"/>
  <c r="E2675" i="1"/>
  <c r="Q2675" i="1" s="1"/>
  <c r="E2674" i="1"/>
  <c r="Q2674" i="1" s="1"/>
  <c r="M2967" i="1" l="1"/>
  <c r="M2890" i="1"/>
  <c r="M3026" i="1"/>
  <c r="B31" i="2" s="1"/>
  <c r="Q3025" i="1"/>
  <c r="M2929" i="1"/>
  <c r="B29" i="2" s="1"/>
  <c r="Q2924" i="1"/>
  <c r="B30" i="2"/>
  <c r="Q2965" i="1"/>
  <c r="B28" i="2"/>
  <c r="M2966" i="1"/>
  <c r="M2968" i="1"/>
  <c r="M3027" i="1"/>
  <c r="M2935" i="1"/>
  <c r="M2934" i="1"/>
  <c r="M2933" i="1"/>
  <c r="M2928" i="1"/>
  <c r="M2927" i="1"/>
  <c r="B2904" i="1"/>
  <c r="B2905" i="1" s="1"/>
  <c r="B2906" i="1" s="1"/>
  <c r="B2907" i="1" s="1"/>
  <c r="B2908" i="1" s="1"/>
  <c r="B2909" i="1" s="1"/>
  <c r="B2910" i="1" s="1"/>
  <c r="B2911" i="1" s="1"/>
  <c r="B2912" i="1" s="1"/>
  <c r="B2913" i="1" s="1"/>
  <c r="B2914" i="1" s="1"/>
  <c r="B2915" i="1" s="1"/>
  <c r="B2916" i="1" s="1"/>
  <c r="B2917" i="1" s="1"/>
  <c r="B2918" i="1" s="1"/>
  <c r="B2919" i="1" s="1"/>
  <c r="B2920" i="1" s="1"/>
  <c r="B2921" i="1" s="1"/>
  <c r="B2924" i="1" s="1"/>
  <c r="B2925" i="1" s="1"/>
  <c r="B2926" i="1" s="1"/>
  <c r="B2927" i="1" s="1"/>
  <c r="B2928" i="1" s="1"/>
  <c r="B2929" i="1" s="1"/>
  <c r="B2930" i="1" s="1"/>
  <c r="B2931" i="1" s="1"/>
  <c r="B2932" i="1" s="1"/>
  <c r="B2933" i="1" s="1"/>
  <c r="B2934" i="1" s="1"/>
  <c r="B2935" i="1" s="1"/>
  <c r="B2936" i="1" s="1"/>
  <c r="B2937" i="1" s="1"/>
  <c r="B2938" i="1" s="1"/>
  <c r="B2939" i="1" s="1"/>
  <c r="B2940" i="1" s="1"/>
  <c r="B2941" i="1" s="1"/>
  <c r="B2942" i="1" s="1"/>
  <c r="B2943" i="1" s="1"/>
  <c r="B2944" i="1" s="1"/>
  <c r="B2945" i="1" s="1"/>
  <c r="B2946" i="1" s="1"/>
  <c r="B2947" i="1" s="1"/>
  <c r="B2948" i="1" s="1"/>
  <c r="B2949" i="1" s="1"/>
  <c r="B2950" i="1" s="1"/>
  <c r="B2951" i="1" s="1"/>
  <c r="B2952" i="1" s="1"/>
  <c r="B2953" i="1" s="1"/>
  <c r="B2954" i="1" s="1"/>
  <c r="B2955" i="1" s="1"/>
  <c r="B2956" i="1" s="1"/>
  <c r="B2957" i="1" s="1"/>
  <c r="M2926" i="1"/>
  <c r="N2907" i="1"/>
  <c r="N2936" i="1" s="1"/>
  <c r="N2941" i="1" s="1"/>
  <c r="N2943" i="1" s="1"/>
  <c r="M2895" i="1"/>
  <c r="M2894" i="1"/>
  <c r="M2893" i="1"/>
  <c r="M2889" i="1"/>
  <c r="M2888" i="1"/>
  <c r="M2887" i="1"/>
  <c r="M2869" i="1"/>
  <c r="M2868" i="1"/>
  <c r="M2867" i="1"/>
  <c r="M2865" i="1"/>
  <c r="M2864" i="1"/>
  <c r="M2862" i="1"/>
  <c r="M2861" i="1"/>
  <c r="B2855" i="1"/>
  <c r="B2856" i="1" s="1"/>
  <c r="B2857" i="1" s="1"/>
  <c r="B2858" i="1" s="1"/>
  <c r="B2859" i="1" s="1"/>
  <c r="B2860" i="1" s="1"/>
  <c r="B2861" i="1" s="1"/>
  <c r="B2862" i="1" s="1"/>
  <c r="B2863" i="1" s="1"/>
  <c r="B2864" i="1" s="1"/>
  <c r="B2865" i="1" s="1"/>
  <c r="B2866" i="1" s="1"/>
  <c r="B2867" i="1" s="1"/>
  <c r="B2868" i="1" s="1"/>
  <c r="B2869" i="1" s="1"/>
  <c r="B2870" i="1" s="1"/>
  <c r="B2871" i="1" s="1"/>
  <c r="B2872" i="1" s="1"/>
  <c r="B2873" i="1" s="1"/>
  <c r="B2876" i="1" s="1"/>
  <c r="B2877" i="1" s="1"/>
  <c r="M2860" i="1"/>
  <c r="O2801" i="1"/>
  <c r="M2801" i="1"/>
  <c r="M2800" i="1"/>
  <c r="M2798" i="1"/>
  <c r="M2797" i="1"/>
  <c r="M2796" i="1"/>
  <c r="M2795" i="1"/>
  <c r="O2776" i="1"/>
  <c r="M2776" i="1"/>
  <c r="M2775" i="1"/>
  <c r="N2772" i="1"/>
  <c r="M2772" i="1"/>
  <c r="M2771" i="1"/>
  <c r="M2770" i="1"/>
  <c r="M2769" i="1"/>
  <c r="B2765" i="1"/>
  <c r="B2766" i="1" s="1"/>
  <c r="B2767" i="1" s="1"/>
  <c r="B2768" i="1" s="1"/>
  <c r="B2769" i="1" s="1"/>
  <c r="B2770" i="1" s="1"/>
  <c r="B2771" i="1" s="1"/>
  <c r="B2772" i="1" s="1"/>
  <c r="B2773" i="1" s="1"/>
  <c r="B2774" i="1" s="1"/>
  <c r="B2775" i="1" s="1"/>
  <c r="B2776" i="1" s="1"/>
  <c r="B2777" i="1" s="1"/>
  <c r="B2778" i="1" s="1"/>
  <c r="B2779" i="1" s="1"/>
  <c r="B2780" i="1" s="1"/>
  <c r="B2782" i="1" s="1"/>
  <c r="B2783" i="1" s="1"/>
  <c r="B2784" i="1" s="1"/>
  <c r="B2785" i="1" s="1"/>
  <c r="B2786" i="1" s="1"/>
  <c r="B2787" i="1" s="1"/>
  <c r="B2788" i="1" s="1"/>
  <c r="B2789" i="1" s="1"/>
  <c r="B2790" i="1" s="1"/>
  <c r="B2791" i="1" s="1"/>
  <c r="B2792" i="1" s="1"/>
  <c r="B2793" i="1" s="1"/>
  <c r="B2794" i="1" s="1"/>
  <c r="B2795" i="1" s="1"/>
  <c r="B2796" i="1" s="1"/>
  <c r="B2797" i="1" s="1"/>
  <c r="B2798" i="1" s="1"/>
  <c r="B2799" i="1" s="1"/>
  <c r="B2800" i="1" s="1"/>
  <c r="B2801" i="1" s="1"/>
  <c r="B2802" i="1" s="1"/>
  <c r="B2803" i="1" s="1"/>
  <c r="B2804" i="1" s="1"/>
  <c r="B2805" i="1" s="1"/>
  <c r="B2806" i="1" s="1"/>
  <c r="B2807" i="1" s="1"/>
  <c r="B2808" i="1" s="1"/>
  <c r="B2809" i="1" s="1"/>
  <c r="B2810" i="1" s="1"/>
  <c r="B2811" i="1" s="1"/>
  <c r="B2812" i="1" s="1"/>
  <c r="B2813" i="1" s="1"/>
  <c r="B2814" i="1" s="1"/>
  <c r="B2815" i="1" s="1"/>
  <c r="B2816" i="1" s="1"/>
  <c r="B2817" i="1" s="1"/>
  <c r="B2818" i="1" s="1"/>
  <c r="B2819" i="1" s="1"/>
  <c r="B2820" i="1" s="1"/>
  <c r="B2821" i="1" s="1"/>
  <c r="B2822" i="1" s="1"/>
  <c r="B2823" i="1" s="1"/>
  <c r="B2824" i="1" s="1"/>
  <c r="B2825" i="1" s="1"/>
  <c r="B2826" i="1" s="1"/>
  <c r="B2827" i="1" s="1"/>
  <c r="B2828" i="1" s="1"/>
  <c r="B2829" i="1" s="1"/>
  <c r="B2830" i="1" s="1"/>
  <c r="B2831" i="1" s="1"/>
  <c r="B2832" i="1" s="1"/>
  <c r="B2833" i="1" s="1"/>
  <c r="B2834" i="1" s="1"/>
  <c r="B2835" i="1" s="1"/>
  <c r="B2836" i="1" s="1"/>
  <c r="B2837" i="1" s="1"/>
  <c r="B2838" i="1" s="1"/>
  <c r="B2839" i="1" s="1"/>
  <c r="B2840" i="1" s="1"/>
  <c r="B2841" i="1" s="1"/>
  <c r="B2842" i="1" s="1"/>
  <c r="B2843" i="1" s="1"/>
  <c r="B2844" i="1" s="1"/>
  <c r="B2845" i="1" s="1"/>
  <c r="B2846" i="1" s="1"/>
  <c r="B2847" i="1" s="1"/>
  <c r="B2848" i="1" s="1"/>
  <c r="B2849" i="1" s="1"/>
  <c r="B2850" i="1" s="1"/>
  <c r="B2852" i="1" s="1"/>
  <c r="B2853" i="1" s="1"/>
  <c r="M2716" i="1"/>
  <c r="M2715" i="1"/>
  <c r="M2711" i="1"/>
  <c r="O2710" i="1"/>
  <c r="M2710" i="1"/>
  <c r="M2709" i="1"/>
  <c r="M2708" i="1"/>
  <c r="M2707" i="1"/>
  <c r="B2703" i="1"/>
  <c r="B2704" i="1" s="1"/>
  <c r="B2705" i="1" s="1"/>
  <c r="B2706" i="1" s="1"/>
  <c r="B2707" i="1" s="1"/>
  <c r="B2708" i="1" s="1"/>
  <c r="B2709" i="1" s="1"/>
  <c r="B2710" i="1" s="1"/>
  <c r="B2711" i="1" s="1"/>
  <c r="B2712" i="1" s="1"/>
  <c r="B2713" i="1" s="1"/>
  <c r="B2714" i="1" s="1"/>
  <c r="B2715" i="1" s="1"/>
  <c r="B2716" i="1" s="1"/>
  <c r="B2717" i="1" s="1"/>
  <c r="B2718" i="1" s="1"/>
  <c r="B2719" i="1" s="1"/>
  <c r="B2720" i="1" s="1"/>
  <c r="B2721" i="1" s="1"/>
  <c r="B2722" i="1" s="1"/>
  <c r="B2723" i="1" s="1"/>
  <c r="B2724" i="1" s="1"/>
  <c r="B2725" i="1" s="1"/>
  <c r="B2726" i="1" s="1"/>
  <c r="B2727" i="1" s="1"/>
  <c r="B2728" i="1" s="1"/>
  <c r="B2729" i="1" s="1"/>
  <c r="B2730" i="1" s="1"/>
  <c r="B2731" i="1" s="1"/>
  <c r="B2732" i="1" s="1"/>
  <c r="B2733" i="1" s="1"/>
  <c r="B2734" i="1" s="1"/>
  <c r="B2735" i="1" s="1"/>
  <c r="B2736" i="1" s="1"/>
  <c r="B2737" i="1" s="1"/>
  <c r="B2738" i="1" s="1"/>
  <c r="B2739" i="1" s="1"/>
  <c r="B2740" i="1" s="1"/>
  <c r="B2741" i="1" s="1"/>
  <c r="B2742" i="1" s="1"/>
  <c r="B2743" i="1" s="1"/>
  <c r="B2744" i="1" s="1"/>
  <c r="B2745" i="1" s="1"/>
  <c r="B2746" i="1" s="1"/>
  <c r="B2747" i="1" s="1"/>
  <c r="B2748" i="1" s="1"/>
  <c r="B2749" i="1" s="1"/>
  <c r="B2750" i="1" s="1"/>
  <c r="B2751" i="1" s="1"/>
  <c r="B2752" i="1" s="1"/>
  <c r="B2753" i="1" s="1"/>
  <c r="B2754" i="1" s="1"/>
  <c r="B2755" i="1" s="1"/>
  <c r="B2756" i="1" s="1"/>
  <c r="B2757" i="1" s="1"/>
  <c r="B2758" i="1" s="1"/>
  <c r="B2759" i="1" s="1"/>
  <c r="B2760" i="1" s="1"/>
  <c r="B2761" i="1" s="1"/>
  <c r="B2762" i="1" s="1"/>
  <c r="M2682" i="1"/>
  <c r="O2681" i="1"/>
  <c r="M2681" i="1"/>
  <c r="M2678" i="1"/>
  <c r="M2677" i="1"/>
  <c r="M2676" i="1"/>
  <c r="M2675" i="1"/>
  <c r="B2675" i="1"/>
  <c r="B2676" i="1" s="1"/>
  <c r="B2677" i="1" s="1"/>
  <c r="B2678" i="1" s="1"/>
  <c r="B2679" i="1" s="1"/>
  <c r="B2680" i="1" s="1"/>
  <c r="B2681" i="1" s="1"/>
  <c r="B2682" i="1" s="1"/>
  <c r="B2683" i="1" s="1"/>
  <c r="B2684" i="1" s="1"/>
  <c r="B2685" i="1" s="1"/>
  <c r="B2686" i="1" s="1"/>
  <c r="B2687" i="1" s="1"/>
  <c r="B2688" i="1" s="1"/>
  <c r="B2689" i="1" s="1"/>
  <c r="B2690" i="1" s="1"/>
  <c r="B2691" i="1" s="1"/>
  <c r="B2692" i="1" s="1"/>
  <c r="B2693" i="1" s="1"/>
  <c r="B2694" i="1" s="1"/>
  <c r="B2695" i="1" s="1"/>
  <c r="B2696" i="1" s="1"/>
  <c r="B2697" i="1" s="1"/>
  <c r="B2698" i="1" s="1"/>
  <c r="B2699" i="1" s="1"/>
  <c r="B2700" i="1" s="1"/>
  <c r="M2674" i="1"/>
  <c r="M2617" i="1"/>
  <c r="O2616" i="1"/>
  <c r="M2616" i="1"/>
  <c r="M2615" i="1"/>
  <c r="M2614" i="1"/>
  <c r="B2613" i="1"/>
  <c r="B2614" i="1" s="1"/>
  <c r="B2615" i="1" s="1"/>
  <c r="B2616" i="1" s="1"/>
  <c r="B2617" i="1" s="1"/>
  <c r="B2618" i="1" s="1"/>
  <c r="B2619" i="1" s="1"/>
  <c r="B2620" i="1" s="1"/>
  <c r="B2621" i="1" s="1"/>
  <c r="B2622" i="1" s="1"/>
  <c r="B2623" i="1" s="1"/>
  <c r="B2624" i="1" s="1"/>
  <c r="B2625" i="1" s="1"/>
  <c r="B2626" i="1" s="1"/>
  <c r="B2627" i="1" s="1"/>
  <c r="B2628" i="1" s="1"/>
  <c r="B2629" i="1" s="1"/>
  <c r="B2630" i="1" s="1"/>
  <c r="B2631" i="1" s="1"/>
  <c r="B2632" i="1" s="1"/>
  <c r="B2633" i="1" s="1"/>
  <c r="B2634" i="1" s="1"/>
  <c r="B2635" i="1" s="1"/>
  <c r="B2636" i="1" s="1"/>
  <c r="B2637" i="1" s="1"/>
  <c r="B2638" i="1" s="1"/>
  <c r="B2639" i="1" s="1"/>
  <c r="B2640" i="1" s="1"/>
  <c r="B2641" i="1" s="1"/>
  <c r="B2642" i="1" s="1"/>
  <c r="B2643" i="1" s="1"/>
  <c r="B2644" i="1" s="1"/>
  <c r="B2645" i="1" s="1"/>
  <c r="B2646" i="1" s="1"/>
  <c r="B2647" i="1" s="1"/>
  <c r="B2648" i="1" s="1"/>
  <c r="B2649" i="1" s="1"/>
  <c r="B2650" i="1" s="1"/>
  <c r="B2651" i="1" s="1"/>
  <c r="B2652" i="1" s="1"/>
  <c r="B2653" i="1" s="1"/>
  <c r="B2654" i="1" s="1"/>
  <c r="B2655" i="1" s="1"/>
  <c r="B2656" i="1" s="1"/>
  <c r="B2657" i="1" s="1"/>
  <c r="B2658" i="1" s="1"/>
  <c r="B2659" i="1" s="1"/>
  <c r="B2660" i="1" s="1"/>
  <c r="B2661" i="1" s="1"/>
  <c r="B2662" i="1" s="1"/>
  <c r="B2663" i="1" s="1"/>
  <c r="B2664" i="1" s="1"/>
  <c r="B2665" i="1" s="1"/>
  <c r="B2666" i="1" s="1"/>
  <c r="B2667" i="1" s="1"/>
  <c r="B2668" i="1" s="1"/>
  <c r="B2669" i="1" s="1"/>
  <c r="B2670" i="1" s="1"/>
  <c r="B2671" i="1" s="1"/>
  <c r="M2597" i="1"/>
  <c r="M2589" i="1"/>
  <c r="M2588" i="1"/>
  <c r="M2587" i="1"/>
  <c r="M2586" i="1"/>
  <c r="M2532" i="1"/>
  <c r="M2531" i="1"/>
  <c r="M2526" i="1"/>
  <c r="M2525" i="1"/>
  <c r="M2524" i="1"/>
  <c r="N2523" i="1"/>
  <c r="N2521" i="1"/>
  <c r="N2520" i="1"/>
  <c r="N2518" i="1"/>
  <c r="M2514" i="1"/>
  <c r="M2513" i="1"/>
  <c r="M2512" i="1"/>
  <c r="M2511" i="1"/>
  <c r="M2510" i="1"/>
  <c r="M2509" i="1"/>
  <c r="M2427" i="1"/>
  <c r="M2426" i="1"/>
  <c r="M2421" i="1"/>
  <c r="M2420" i="1"/>
  <c r="M2419" i="1"/>
  <c r="N2418" i="1"/>
  <c r="N2417" i="1"/>
  <c r="N2416" i="1"/>
  <c r="N2415" i="1"/>
  <c r="N2413" i="1"/>
  <c r="M2411" i="1"/>
  <c r="M2410" i="1"/>
  <c r="M2409" i="1"/>
  <c r="M2408" i="1"/>
  <c r="M2407" i="1"/>
  <c r="M2323" i="1"/>
  <c r="M2322" i="1"/>
  <c r="M2317" i="1"/>
  <c r="M2316" i="1"/>
  <c r="M2315" i="1"/>
  <c r="N2314" i="1"/>
  <c r="N2312" i="1"/>
  <c r="N2309" i="1"/>
  <c r="M2306" i="1"/>
  <c r="M2305" i="1"/>
  <c r="M2304" i="1"/>
  <c r="M2303" i="1"/>
  <c r="M2302" i="1"/>
  <c r="L2237" i="1"/>
  <c r="L2236" i="1"/>
  <c r="L2231" i="1"/>
  <c r="L2230" i="1"/>
  <c r="L2229" i="1"/>
  <c r="M2228" i="1"/>
  <c r="M2226" i="1"/>
  <c r="M2223" i="1"/>
  <c r="L2219" i="1"/>
  <c r="L2218" i="1"/>
  <c r="L2217" i="1"/>
  <c r="L2216" i="1"/>
  <c r="L2215" i="1"/>
  <c r="L2143" i="1"/>
  <c r="L2142" i="1"/>
  <c r="L2137" i="1"/>
  <c r="L2136" i="1"/>
  <c r="L2135" i="1"/>
  <c r="M2134" i="1"/>
  <c r="M2132" i="1"/>
  <c r="M2129" i="1"/>
  <c r="L2126" i="1"/>
  <c r="L2125" i="1"/>
  <c r="L2124" i="1"/>
  <c r="L2123" i="1"/>
  <c r="L2122" i="1"/>
  <c r="B2122" i="1"/>
  <c r="B2123" i="1" s="1"/>
  <c r="B2124" i="1" s="1"/>
  <c r="B2125" i="1" s="1"/>
  <c r="B2126" i="1" s="1"/>
  <c r="B2127" i="1" s="1"/>
  <c r="B2128" i="1" s="1"/>
  <c r="B2129" i="1" s="1"/>
  <c r="B2130" i="1" s="1"/>
  <c r="B2131" i="1" s="1"/>
  <c r="B2132" i="1" s="1"/>
  <c r="B2133" i="1" s="1"/>
  <c r="B2134" i="1" s="1"/>
  <c r="B2135" i="1" s="1"/>
  <c r="B2136" i="1" s="1"/>
  <c r="B2137" i="1" s="1"/>
  <c r="B2138" i="1" s="1"/>
  <c r="B2139" i="1" s="1"/>
  <c r="B2140" i="1" s="1"/>
  <c r="B2141" i="1" s="1"/>
  <c r="B2142" i="1" s="1"/>
  <c r="B2143" i="1" s="1"/>
  <c r="B2144" i="1" s="1"/>
  <c r="B2145" i="1" s="1"/>
  <c r="B2146" i="1" s="1"/>
  <c r="B2147" i="1" s="1"/>
  <c r="B2148" i="1" s="1"/>
  <c r="B2149" i="1" s="1"/>
  <c r="B2150" i="1" s="1"/>
  <c r="B2151" i="1" s="1"/>
  <c r="B2152" i="1" s="1"/>
  <c r="B2153" i="1" s="1"/>
  <c r="B2154" i="1" s="1"/>
  <c r="B2155" i="1" s="1"/>
  <c r="B2156" i="1" s="1"/>
  <c r="B2157" i="1" s="1"/>
  <c r="B2158" i="1" s="1"/>
  <c r="B2159" i="1" s="1"/>
  <c r="B2160" i="1" s="1"/>
  <c r="B2161" i="1" s="1"/>
  <c r="B2162" i="1" s="1"/>
  <c r="B2163" i="1" s="1"/>
  <c r="B2164" i="1" s="1"/>
  <c r="B2165" i="1" s="1"/>
  <c r="B2166" i="1" s="1"/>
  <c r="B2167" i="1" s="1"/>
  <c r="B2168" i="1" s="1"/>
  <c r="B2169" i="1" s="1"/>
  <c r="B2170" i="1" s="1"/>
  <c r="B2171" i="1" s="1"/>
  <c r="B2172" i="1" s="1"/>
  <c r="B2173" i="1" s="1"/>
  <c r="B2174" i="1" s="1"/>
  <c r="B2175" i="1" s="1"/>
  <c r="B2176" i="1" s="1"/>
  <c r="B2177" i="1" s="1"/>
  <c r="B2178" i="1" s="1"/>
  <c r="B2179" i="1" s="1"/>
  <c r="B2180" i="1" s="1"/>
  <c r="B2181" i="1" s="1"/>
  <c r="B2182" i="1" s="1"/>
  <c r="B2183" i="1" s="1"/>
  <c r="B2184" i="1" s="1"/>
  <c r="B2185" i="1" s="1"/>
  <c r="B2186" i="1" s="1"/>
  <c r="B2187" i="1" s="1"/>
  <c r="B2188" i="1" s="1"/>
  <c r="B2189" i="1" s="1"/>
  <c r="B2190" i="1" s="1"/>
  <c r="B2191" i="1" s="1"/>
  <c r="B2192" i="1" s="1"/>
  <c r="B2193" i="1" s="1"/>
  <c r="B2194" i="1" s="1"/>
  <c r="B2195" i="1" s="1"/>
  <c r="B2196" i="1" s="1"/>
  <c r="B2197" i="1" s="1"/>
  <c r="B2198" i="1" s="1"/>
  <c r="B2199" i="1" s="1"/>
  <c r="B2200" i="1" s="1"/>
  <c r="B2201" i="1" s="1"/>
  <c r="B2202" i="1" s="1"/>
  <c r="B2203" i="1" s="1"/>
  <c r="B2204" i="1" s="1"/>
  <c r="B2205" i="1" s="1"/>
  <c r="B2206" i="1" s="1"/>
  <c r="B2207" i="1" s="1"/>
  <c r="B2212" i="1" s="1"/>
  <c r="B2213" i="1" s="1"/>
  <c r="B2214" i="1" s="1"/>
  <c r="B2215" i="1" s="1"/>
  <c r="B2216" i="1" s="1"/>
  <c r="B2217" i="1" s="1"/>
  <c r="B2218" i="1" s="1"/>
  <c r="B2219" i="1" s="1"/>
  <c r="B2220" i="1" s="1"/>
  <c r="B2221" i="1" s="1"/>
  <c r="B2222" i="1" s="1"/>
  <c r="B2223" i="1" s="1"/>
  <c r="B2224" i="1" s="1"/>
  <c r="B2225" i="1" s="1"/>
  <c r="B2226" i="1" s="1"/>
  <c r="B2227" i="1" s="1"/>
  <c r="B2228" i="1" s="1"/>
  <c r="B2229" i="1" s="1"/>
  <c r="B2230" i="1" s="1"/>
  <c r="B2231" i="1" s="1"/>
  <c r="B2232" i="1" s="1"/>
  <c r="B2233" i="1" s="1"/>
  <c r="B2234" i="1" s="1"/>
  <c r="B2235" i="1" s="1"/>
  <c r="B2236" i="1" s="1"/>
  <c r="B2237" i="1" s="1"/>
  <c r="B2238" i="1" s="1"/>
  <c r="B2239" i="1" s="1"/>
  <c r="B2240" i="1" s="1"/>
  <c r="B2241" i="1" s="1"/>
  <c r="B2242" i="1" s="1"/>
  <c r="B2243" i="1" s="1"/>
  <c r="B2244" i="1" s="1"/>
  <c r="B2245" i="1" s="1"/>
  <c r="B2246" i="1" s="1"/>
  <c r="B2247" i="1" s="1"/>
  <c r="B2248" i="1" s="1"/>
  <c r="B2249" i="1" s="1"/>
  <c r="B2250" i="1" s="1"/>
  <c r="B2251" i="1" s="1"/>
  <c r="B2252" i="1" s="1"/>
  <c r="B2253" i="1" s="1"/>
  <c r="B2254" i="1" s="1"/>
  <c r="B2255" i="1" s="1"/>
  <c r="B2256" i="1" s="1"/>
  <c r="B2257" i="1" s="1"/>
  <c r="B2258" i="1" s="1"/>
  <c r="B2259" i="1" s="1"/>
  <c r="B2260" i="1" s="1"/>
  <c r="B2261" i="1" s="1"/>
  <c r="B2262" i="1" s="1"/>
  <c r="B2263" i="1" s="1"/>
  <c r="B2264" i="1" s="1"/>
  <c r="B2265" i="1" s="1"/>
  <c r="B2266" i="1" s="1"/>
  <c r="B2267" i="1" s="1"/>
  <c r="B2268" i="1" s="1"/>
  <c r="B2269" i="1" s="1"/>
  <c r="B2270" i="1" s="1"/>
  <c r="B2271" i="1" s="1"/>
  <c r="B2272" i="1" s="1"/>
  <c r="B2273" i="1" s="1"/>
  <c r="B2274" i="1" s="1"/>
  <c r="B2275" i="1" s="1"/>
  <c r="B2276" i="1" s="1"/>
  <c r="B2277" i="1" s="1"/>
  <c r="B2278" i="1" s="1"/>
  <c r="B2279" i="1" s="1"/>
  <c r="B2280" i="1" s="1"/>
  <c r="B2281" i="1" s="1"/>
  <c r="B2282" i="1" s="1"/>
  <c r="B2283" i="1" s="1"/>
  <c r="B2284" i="1" s="1"/>
  <c r="B2285" i="1" s="1"/>
  <c r="B2286" i="1" s="1"/>
  <c r="B2287" i="1" s="1"/>
  <c r="B2288" i="1" s="1"/>
  <c r="B2289" i="1" s="1"/>
  <c r="B2290" i="1" s="1"/>
  <c r="B2291" i="1" s="1"/>
  <c r="B2292" i="1" s="1"/>
  <c r="B2293" i="1" s="1"/>
  <c r="B2294" i="1" s="1"/>
  <c r="B2295" i="1" s="1"/>
  <c r="B2296" i="1" s="1"/>
  <c r="B2297" i="1" s="1"/>
  <c r="B2301" i="1" s="1"/>
  <c r="B2302" i="1" s="1"/>
  <c r="B2303" i="1" s="1"/>
  <c r="B2304" i="1" s="1"/>
  <c r="B2305" i="1" s="1"/>
  <c r="B2306" i="1" s="1"/>
  <c r="B2307" i="1" s="1"/>
  <c r="B2308" i="1" s="1"/>
  <c r="B2309" i="1" s="1"/>
  <c r="B2310" i="1" s="1"/>
  <c r="B2311" i="1" s="1"/>
  <c r="B2312" i="1" s="1"/>
  <c r="B2313" i="1" s="1"/>
  <c r="B2314" i="1" s="1"/>
  <c r="B2315" i="1" s="1"/>
  <c r="B2316" i="1" s="1"/>
  <c r="B2317" i="1" s="1"/>
  <c r="B2318" i="1" s="1"/>
  <c r="B2319" i="1" s="1"/>
  <c r="B2320" i="1" s="1"/>
  <c r="B2321" i="1" s="1"/>
  <c r="B2322" i="1" s="1"/>
  <c r="B2323" i="1" s="1"/>
  <c r="B2324" i="1" s="1"/>
  <c r="B2325" i="1" s="1"/>
  <c r="B2326" i="1" s="1"/>
  <c r="B2327" i="1" s="1"/>
  <c r="B2328" i="1" s="1"/>
  <c r="B2329" i="1" s="1"/>
  <c r="B2330" i="1" s="1"/>
  <c r="B2331" i="1" s="1"/>
  <c r="B2332" i="1" s="1"/>
  <c r="B2333" i="1" s="1"/>
  <c r="B2334" i="1" s="1"/>
  <c r="B2335" i="1" s="1"/>
  <c r="B2336" i="1" s="1"/>
  <c r="B2337" i="1" s="1"/>
  <c r="B2338" i="1" s="1"/>
  <c r="B2339" i="1" s="1"/>
  <c r="B2340" i="1" s="1"/>
  <c r="B2341" i="1" s="1"/>
  <c r="B2342" i="1" s="1"/>
  <c r="B2343" i="1" s="1"/>
  <c r="B2344" i="1" s="1"/>
  <c r="B2345" i="1" s="1"/>
  <c r="B2346" i="1" s="1"/>
  <c r="B2347" i="1" s="1"/>
  <c r="B2348" i="1" s="1"/>
  <c r="B2349" i="1" s="1"/>
  <c r="B2350" i="1" s="1"/>
  <c r="B2351" i="1" s="1"/>
  <c r="B2352" i="1" s="1"/>
  <c r="B2353" i="1" s="1"/>
  <c r="B2354" i="1" s="1"/>
  <c r="B2355" i="1" s="1"/>
  <c r="B2356" i="1" s="1"/>
  <c r="B2357" i="1" s="1"/>
  <c r="B2358" i="1" s="1"/>
  <c r="B2359" i="1" s="1"/>
  <c r="B2360" i="1" s="1"/>
  <c r="B2361" i="1" s="1"/>
  <c r="B2362" i="1" s="1"/>
  <c r="B2363" i="1" s="1"/>
  <c r="B2364" i="1" s="1"/>
  <c r="B2365" i="1" s="1"/>
  <c r="B2366" i="1" s="1"/>
  <c r="B2367" i="1" s="1"/>
  <c r="B2368" i="1" s="1"/>
  <c r="B2369" i="1" s="1"/>
  <c r="B2370" i="1" s="1"/>
  <c r="B2371" i="1" s="1"/>
  <c r="B2372" i="1" s="1"/>
  <c r="B2373" i="1" s="1"/>
  <c r="B2374" i="1" s="1"/>
  <c r="B2375" i="1" s="1"/>
  <c r="B2376" i="1" s="1"/>
  <c r="B2377" i="1" s="1"/>
  <c r="B2378" i="1" s="1"/>
  <c r="B2379" i="1" s="1"/>
  <c r="B2380" i="1" s="1"/>
  <c r="B2381" i="1" s="1"/>
  <c r="B2382" i="1" s="1"/>
  <c r="B2383" i="1" s="1"/>
  <c r="B2384" i="1" s="1"/>
  <c r="B2385" i="1" s="1"/>
  <c r="B2386" i="1" s="1"/>
  <c r="B2387" i="1" s="1"/>
  <c r="B2388" i="1" s="1"/>
  <c r="B2389" i="1" s="1"/>
  <c r="B2390" i="1" s="1"/>
  <c r="B2391" i="1" s="1"/>
  <c r="B2392" i="1" s="1"/>
  <c r="B2393" i="1" s="1"/>
  <c r="B2394" i="1" s="1"/>
  <c r="B2395" i="1" s="1"/>
  <c r="B2396" i="1" s="1"/>
  <c r="B2397" i="1" s="1"/>
  <c r="B2398" i="1" s="1"/>
  <c r="B2399" i="1" s="1"/>
  <c r="B2400" i="1" s="1"/>
  <c r="B2401" i="1" s="1"/>
  <c r="B2402" i="1" s="1"/>
  <c r="B2406" i="1" s="1"/>
  <c r="B2407" i="1" s="1"/>
  <c r="B2408" i="1" s="1"/>
  <c r="B2409" i="1" s="1"/>
  <c r="B2410" i="1" s="1"/>
  <c r="B2411" i="1" s="1"/>
  <c r="B2412" i="1" s="1"/>
  <c r="B2413" i="1" s="1"/>
  <c r="B2414" i="1" s="1"/>
  <c r="B2415" i="1" s="1"/>
  <c r="B2416" i="1" s="1"/>
  <c r="B2417" i="1" s="1"/>
  <c r="B2418" i="1" s="1"/>
  <c r="B2419" i="1" s="1"/>
  <c r="B2420" i="1" s="1"/>
  <c r="B2421" i="1" s="1"/>
  <c r="B2422" i="1" s="1"/>
  <c r="B2423" i="1" s="1"/>
  <c r="B2424" i="1" s="1"/>
  <c r="B2425" i="1" s="1"/>
  <c r="B2426" i="1" s="1"/>
  <c r="B2427" i="1" s="1"/>
  <c r="B2428" i="1" s="1"/>
  <c r="B2429" i="1" s="1"/>
  <c r="B2430" i="1" s="1"/>
  <c r="B2431" i="1" s="1"/>
  <c r="B2432" i="1" s="1"/>
  <c r="B2433" i="1" s="1"/>
  <c r="B2434" i="1" s="1"/>
  <c r="B2435" i="1" s="1"/>
  <c r="B2436" i="1" s="1"/>
  <c r="B2437" i="1" s="1"/>
  <c r="B2438" i="1" s="1"/>
  <c r="B2439" i="1" s="1"/>
  <c r="B2440" i="1" s="1"/>
  <c r="B2441" i="1" s="1"/>
  <c r="B2442" i="1" s="1"/>
  <c r="B2443" i="1" s="1"/>
  <c r="B2444" i="1" s="1"/>
  <c r="B2445" i="1" s="1"/>
  <c r="B2446" i="1" s="1"/>
  <c r="B2447" i="1" s="1"/>
  <c r="B2448" i="1" s="1"/>
  <c r="B2449" i="1" s="1"/>
  <c r="B2450" i="1" s="1"/>
  <c r="B2451" i="1" s="1"/>
  <c r="B2452" i="1" s="1"/>
  <c r="B2453" i="1" s="1"/>
  <c r="B2454" i="1" s="1"/>
  <c r="B2455" i="1" s="1"/>
  <c r="B2456" i="1" s="1"/>
  <c r="B2457" i="1" s="1"/>
  <c r="B2458" i="1" s="1"/>
  <c r="B2459" i="1" s="1"/>
  <c r="B2460" i="1" s="1"/>
  <c r="B2461" i="1" s="1"/>
  <c r="B2462" i="1" s="1"/>
  <c r="B2463" i="1" s="1"/>
  <c r="B2464" i="1" s="1"/>
  <c r="B2465" i="1" s="1"/>
  <c r="B2466" i="1" s="1"/>
  <c r="B2467" i="1" s="1"/>
  <c r="B2468" i="1" s="1"/>
  <c r="B2469" i="1" s="1"/>
  <c r="B2470" i="1" s="1"/>
  <c r="B2471" i="1" s="1"/>
  <c r="B2472" i="1" s="1"/>
  <c r="B2473" i="1" s="1"/>
  <c r="B2474" i="1" s="1"/>
  <c r="B2475" i="1" s="1"/>
  <c r="B2476" i="1" s="1"/>
  <c r="B2477" i="1" s="1"/>
  <c r="B2478" i="1" s="1"/>
  <c r="B2479" i="1" s="1"/>
  <c r="B2480" i="1" s="1"/>
  <c r="B2481" i="1" s="1"/>
  <c r="B2482" i="1" s="1"/>
  <c r="B2483" i="1" s="1"/>
  <c r="B2484" i="1" s="1"/>
  <c r="B2485" i="1" s="1"/>
  <c r="B2486" i="1" s="1"/>
  <c r="B2487" i="1" s="1"/>
  <c r="B2488" i="1" s="1"/>
  <c r="B2489" i="1" s="1"/>
  <c r="B2490" i="1" s="1"/>
  <c r="B2491" i="1" s="1"/>
  <c r="B2492" i="1" s="1"/>
  <c r="B2493" i="1" s="1"/>
  <c r="B2494" i="1" s="1"/>
  <c r="B2495" i="1" s="1"/>
  <c r="B2496" i="1" s="1"/>
  <c r="B2497" i="1" s="1"/>
  <c r="B2498" i="1" s="1"/>
  <c r="B2499" i="1" s="1"/>
  <c r="B2500" i="1" s="1"/>
  <c r="B2501" i="1" s="1"/>
  <c r="B2502" i="1" s="1"/>
  <c r="B2503" i="1" s="1"/>
  <c r="B2504" i="1" s="1"/>
  <c r="B2505" i="1" s="1"/>
  <c r="B2509" i="1" s="1"/>
  <c r="B2510" i="1" s="1"/>
  <c r="B2511" i="1" s="1"/>
  <c r="B2512" i="1" s="1"/>
  <c r="B2513" i="1" s="1"/>
  <c r="B2514" i="1" s="1"/>
  <c r="B2515" i="1" s="1"/>
  <c r="B2516" i="1" s="1"/>
  <c r="B2517" i="1" s="1"/>
  <c r="B2518" i="1" s="1"/>
  <c r="B2519" i="1" s="1"/>
  <c r="B2520" i="1" s="1"/>
  <c r="B2521" i="1" s="1"/>
  <c r="B2522" i="1" s="1"/>
  <c r="B2523" i="1" s="1"/>
  <c r="B2524" i="1" s="1"/>
  <c r="B2525" i="1" s="1"/>
  <c r="B2526" i="1" s="1"/>
  <c r="B2527" i="1" s="1"/>
  <c r="B2528" i="1" s="1"/>
  <c r="B2529" i="1" s="1"/>
  <c r="B2530" i="1" s="1"/>
  <c r="B2531" i="1" s="1"/>
  <c r="B2532" i="1" s="1"/>
  <c r="B2533" i="1" s="1"/>
  <c r="B2534" i="1" s="1"/>
  <c r="B2535" i="1" s="1"/>
  <c r="B2536" i="1" s="1"/>
  <c r="B2537" i="1" s="1"/>
  <c r="B2538" i="1" s="1"/>
  <c r="B2539" i="1" s="1"/>
  <c r="B2540" i="1" s="1"/>
  <c r="B2541" i="1" s="1"/>
  <c r="B2542" i="1" s="1"/>
  <c r="B2543" i="1" s="1"/>
  <c r="B2544" i="1" s="1"/>
  <c r="B2545" i="1" s="1"/>
  <c r="B2546" i="1" s="1"/>
  <c r="B2547" i="1" s="1"/>
  <c r="B2548" i="1" s="1"/>
  <c r="B2549" i="1" s="1"/>
  <c r="B2550" i="1" s="1"/>
  <c r="B2551" i="1" s="1"/>
  <c r="B2552" i="1" s="1"/>
  <c r="B2553" i="1" s="1"/>
  <c r="B2554" i="1" s="1"/>
  <c r="B2555" i="1" s="1"/>
  <c r="B2556" i="1" s="1"/>
  <c r="B2557" i="1" s="1"/>
  <c r="B2558" i="1" s="1"/>
  <c r="B2559" i="1" s="1"/>
  <c r="B2560" i="1" s="1"/>
  <c r="B2561" i="1" s="1"/>
  <c r="B2562" i="1" s="1"/>
  <c r="B2563" i="1" s="1"/>
  <c r="B2564" i="1" s="1"/>
  <c r="B2565" i="1" s="1"/>
  <c r="B2566" i="1" s="1"/>
  <c r="B2567" i="1" s="1"/>
  <c r="B2568" i="1" s="1"/>
  <c r="B2569" i="1" s="1"/>
  <c r="B2570" i="1" s="1"/>
  <c r="B2571" i="1" s="1"/>
  <c r="B2572" i="1" s="1"/>
  <c r="B2573" i="1" s="1"/>
  <c r="B2574" i="1" s="1"/>
  <c r="B2575" i="1" s="1"/>
  <c r="B2576" i="1" s="1"/>
  <c r="B2577" i="1" s="1"/>
  <c r="B2578" i="1" s="1"/>
  <c r="B2579" i="1" s="1"/>
  <c r="B2580" i="1" s="1"/>
  <c r="B2583" i="1" s="1"/>
  <c r="B2584" i="1" s="1"/>
  <c r="B2585" i="1" s="1"/>
  <c r="B2586" i="1" s="1"/>
  <c r="B2587" i="1" s="1"/>
  <c r="B2588" i="1" s="1"/>
  <c r="B2589" i="1" s="1"/>
  <c r="B2590" i="1" s="1"/>
  <c r="B2591" i="1" s="1"/>
  <c r="B2592" i="1" s="1"/>
  <c r="B2593" i="1" s="1"/>
  <c r="B2594" i="1" s="1"/>
  <c r="B2595" i="1" s="1"/>
  <c r="B2596" i="1" s="1"/>
  <c r="B2597" i="1" s="1"/>
  <c r="B2598" i="1" s="1"/>
  <c r="B2599" i="1" s="1"/>
  <c r="B2600" i="1" s="1"/>
  <c r="B2601" i="1" s="1"/>
  <c r="B2602" i="1" s="1"/>
  <c r="B2603" i="1" s="1"/>
  <c r="B2604" i="1" s="1"/>
  <c r="B2605" i="1" s="1"/>
  <c r="B2606" i="1" s="1"/>
  <c r="B2607" i="1" s="1"/>
  <c r="B2608" i="1" s="1"/>
  <c r="L2121" i="1"/>
  <c r="L2075" i="1"/>
  <c r="L2074" i="1"/>
  <c r="L2069" i="1"/>
  <c r="L2068" i="1"/>
  <c r="L2067" i="1"/>
  <c r="M2066" i="1"/>
  <c r="M2064" i="1"/>
  <c r="M2061" i="1"/>
  <c r="L2059" i="1"/>
  <c r="L2058" i="1"/>
  <c r="L2057" i="1"/>
  <c r="L2056" i="1"/>
  <c r="L2055" i="1"/>
  <c r="L2054" i="1"/>
  <c r="L2053" i="1"/>
  <c r="L2052" i="1"/>
  <c r="L2022" i="1"/>
  <c r="L2021" i="1"/>
  <c r="L2020" i="1"/>
  <c r="L2016" i="1"/>
  <c r="L2015" i="1"/>
  <c r="L2014" i="1"/>
  <c r="M2013" i="1"/>
  <c r="M2011" i="1"/>
  <c r="M2008" i="1"/>
  <c r="M2007" i="1"/>
  <c r="L2005" i="1"/>
  <c r="L2004" i="1"/>
  <c r="L2003" i="1"/>
  <c r="L2002" i="1"/>
  <c r="L2001" i="1"/>
  <c r="L2000" i="1"/>
  <c r="L1999" i="1"/>
  <c r="L1965" i="1"/>
  <c r="L1964" i="1"/>
  <c r="L1958" i="1"/>
  <c r="L1957" i="1"/>
  <c r="L1956" i="1"/>
  <c r="M1955" i="1"/>
  <c r="M1953" i="1"/>
  <c r="M1950" i="1"/>
  <c r="L1948" i="1"/>
  <c r="L1947" i="1"/>
  <c r="L1946" i="1"/>
  <c r="L1945" i="1"/>
  <c r="L1944" i="1"/>
  <c r="B1919" i="1"/>
  <c r="B1920" i="1" s="1"/>
  <c r="B1921" i="1" s="1"/>
  <c r="B1922" i="1" s="1"/>
  <c r="B1923" i="1" s="1"/>
  <c r="B1924" i="1" s="1"/>
  <c r="B1925" i="1" s="1"/>
  <c r="B1926" i="1" s="1"/>
  <c r="B1927" i="1" s="1"/>
  <c r="B1928" i="1" s="1"/>
  <c r="B1929" i="1" s="1"/>
  <c r="B1930" i="1" s="1"/>
  <c r="B1931" i="1" s="1"/>
  <c r="B1932" i="1" s="1"/>
  <c r="B1933" i="1" s="1"/>
  <c r="B1934" i="1" s="1"/>
  <c r="B1935" i="1" s="1"/>
  <c r="B1936" i="1" s="1"/>
  <c r="B1937" i="1" s="1"/>
  <c r="B1938" i="1" s="1"/>
  <c r="B1939" i="1" s="1"/>
  <c r="B1940" i="1" s="1"/>
  <c r="B1941" i="1" s="1"/>
  <c r="B1942" i="1" s="1"/>
  <c r="B1943" i="1" s="1"/>
  <c r="B1944" i="1" s="1"/>
  <c r="B1945" i="1" s="1"/>
  <c r="B1946" i="1" s="1"/>
  <c r="B1947" i="1" s="1"/>
  <c r="B1948" i="1" s="1"/>
  <c r="B1949" i="1" s="1"/>
  <c r="B1950" i="1" s="1"/>
  <c r="B1951" i="1" s="1"/>
  <c r="B1952" i="1" s="1"/>
  <c r="B1953" i="1" s="1"/>
  <c r="B1954" i="1" s="1"/>
  <c r="B1955" i="1" s="1"/>
  <c r="B1956" i="1" s="1"/>
  <c r="B1957" i="1" s="1"/>
  <c r="B1958" i="1" s="1"/>
  <c r="B1959" i="1" s="1"/>
  <c r="B1960" i="1" s="1"/>
  <c r="B1961" i="1" s="1"/>
  <c r="B1962" i="1" s="1"/>
  <c r="B1963" i="1" s="1"/>
  <c r="B1964" i="1" s="1"/>
  <c r="B1965" i="1" s="1"/>
  <c r="B1969" i="1" s="1"/>
  <c r="B1970" i="1" s="1"/>
  <c r="B1971" i="1" s="1"/>
  <c r="B1972" i="1" s="1"/>
  <c r="B1973" i="1" s="1"/>
  <c r="B1974" i="1" s="1"/>
  <c r="B1975" i="1" s="1"/>
  <c r="B1976" i="1" s="1"/>
  <c r="B1977" i="1" s="1"/>
  <c r="B1978" i="1" s="1"/>
  <c r="B1979" i="1" s="1"/>
  <c r="B1980" i="1" s="1"/>
  <c r="B1981" i="1" s="1"/>
  <c r="B1982" i="1" s="1"/>
  <c r="B1983" i="1" s="1"/>
  <c r="B1984" i="1" s="1"/>
  <c r="B1985" i="1" s="1"/>
  <c r="B1986" i="1" s="1"/>
  <c r="B1987" i="1" s="1"/>
  <c r="B1988" i="1" s="1"/>
  <c r="B1989" i="1" s="1"/>
  <c r="B1990" i="1" s="1"/>
  <c r="B1991" i="1" s="1"/>
  <c r="B1992" i="1" s="1"/>
  <c r="B1993" i="1" s="1"/>
  <c r="B1994" i="1" s="1"/>
  <c r="B1995" i="1" s="1"/>
  <c r="B1996" i="1" s="1"/>
  <c r="B1997" i="1" s="1"/>
  <c r="B1998" i="1" s="1"/>
  <c r="B1999" i="1" s="1"/>
  <c r="B2000" i="1" s="1"/>
  <c r="B2001" i="1" s="1"/>
  <c r="B2002" i="1" s="1"/>
  <c r="B2003" i="1" s="1"/>
  <c r="B2004" i="1" s="1"/>
  <c r="B2005" i="1" s="1"/>
  <c r="B2006" i="1" s="1"/>
  <c r="B2007" i="1" s="1"/>
  <c r="B2008" i="1" s="1"/>
  <c r="B2009" i="1" s="1"/>
  <c r="B2010" i="1" s="1"/>
  <c r="B2011" i="1" s="1"/>
  <c r="B2012" i="1" s="1"/>
  <c r="B2013" i="1" s="1"/>
  <c r="B2014" i="1" s="1"/>
  <c r="B2015" i="1" s="1"/>
  <c r="B2016" i="1" s="1"/>
  <c r="B2017" i="1" s="1"/>
  <c r="B2018" i="1" s="1"/>
  <c r="B2019" i="1" s="1"/>
  <c r="B2020" i="1" s="1"/>
  <c r="B2021" i="1" s="1"/>
  <c r="B2022" i="1" s="1"/>
  <c r="B2023" i="1" s="1"/>
  <c r="B2024" i="1" s="1"/>
  <c r="B2025" i="1" s="1"/>
  <c r="B2026" i="1" s="1"/>
  <c r="B2027" i="1" s="1"/>
  <c r="B2028" i="1" s="1"/>
  <c r="B2029" i="1" s="1"/>
  <c r="B2030" i="1" s="1"/>
  <c r="B2031" i="1" s="1"/>
  <c r="B2032" i="1" s="1"/>
  <c r="B2033" i="1" s="1"/>
  <c r="B2034" i="1" s="1"/>
  <c r="B2035" i="1" s="1"/>
  <c r="B2036" i="1" s="1"/>
  <c r="B2037" i="1" s="1"/>
  <c r="B2038" i="1" s="1"/>
  <c r="B2039" i="1" s="1"/>
  <c r="B2040" i="1" s="1"/>
  <c r="B2041" i="1" s="1"/>
  <c r="B2042" i="1" s="1"/>
  <c r="B2043" i="1" s="1"/>
  <c r="B2047" i="1" s="1"/>
  <c r="B2048" i="1" s="1"/>
  <c r="B2049" i="1" s="1"/>
  <c r="B2050" i="1" s="1"/>
  <c r="B2051" i="1" s="1"/>
  <c r="B2052" i="1" s="1"/>
  <c r="B2053" i="1" s="1"/>
  <c r="B2054" i="1" s="1"/>
  <c r="B2055" i="1" s="1"/>
  <c r="B2056" i="1" s="1"/>
  <c r="B2057" i="1" s="1"/>
  <c r="B2058" i="1" s="1"/>
  <c r="B2059" i="1" s="1"/>
  <c r="B2060" i="1" s="1"/>
  <c r="B2061" i="1" s="1"/>
  <c r="B2062" i="1" s="1"/>
  <c r="B2063" i="1" s="1"/>
  <c r="B2064" i="1" s="1"/>
  <c r="B2065" i="1" s="1"/>
  <c r="B2066" i="1" s="1"/>
  <c r="B2067" i="1" s="1"/>
  <c r="B2068" i="1" s="1"/>
  <c r="B2069" i="1" s="1"/>
  <c r="B2070" i="1" s="1"/>
  <c r="B2071" i="1" s="1"/>
  <c r="B2072" i="1" s="1"/>
  <c r="B2073" i="1" s="1"/>
  <c r="B2074" i="1" s="1"/>
  <c r="B2075" i="1" s="1"/>
  <c r="B2076" i="1" s="1"/>
  <c r="B2077" i="1" s="1"/>
  <c r="B2078" i="1" s="1"/>
  <c r="B2079" i="1" s="1"/>
  <c r="B2080" i="1" s="1"/>
  <c r="B2081" i="1" s="1"/>
  <c r="B2082" i="1" s="1"/>
  <c r="B2083" i="1" s="1"/>
  <c r="B2084" i="1" s="1"/>
  <c r="B2085" i="1" s="1"/>
  <c r="B2086" i="1" s="1"/>
  <c r="B2087" i="1" s="1"/>
  <c r="B2088" i="1" s="1"/>
  <c r="B2089" i="1" s="1"/>
  <c r="B2090" i="1" s="1"/>
  <c r="B2091" i="1" s="1"/>
  <c r="B2092" i="1" s="1"/>
  <c r="B2093" i="1" s="1"/>
  <c r="B2094" i="1" s="1"/>
  <c r="B2095" i="1" s="1"/>
  <c r="B2096" i="1" s="1"/>
  <c r="B2097" i="1" s="1"/>
  <c r="B2098" i="1" s="1"/>
  <c r="B2099" i="1" s="1"/>
  <c r="B2100" i="1" s="1"/>
  <c r="B2101" i="1" s="1"/>
  <c r="B2102" i="1" s="1"/>
  <c r="B2103" i="1" s="1"/>
  <c r="B2104" i="1" s="1"/>
  <c r="B2105" i="1" s="1"/>
  <c r="B2106" i="1" s="1"/>
  <c r="B2107" i="1" s="1"/>
  <c r="B2108" i="1" s="1"/>
  <c r="B2109" i="1" s="1"/>
  <c r="B2110" i="1" s="1"/>
  <c r="B2111" i="1" s="1"/>
  <c r="B2112" i="1" s="1"/>
  <c r="B2113" i="1" s="1"/>
  <c r="B2114" i="1" s="1"/>
  <c r="B2115" i="1" s="1"/>
  <c r="B2116" i="1" s="1"/>
  <c r="B2117" i="1" s="1"/>
  <c r="L1915" i="1"/>
  <c r="L1914" i="1"/>
  <c r="L1913" i="1"/>
  <c r="L1910" i="1"/>
  <c r="L1909" i="1"/>
  <c r="L1908" i="1"/>
  <c r="M1907" i="1"/>
  <c r="M1905" i="1"/>
  <c r="M1902" i="1"/>
  <c r="L1900" i="1"/>
  <c r="L1899" i="1"/>
  <c r="L1898" i="1"/>
  <c r="L1897" i="1"/>
  <c r="L1896" i="1"/>
  <c r="L1895" i="1"/>
  <c r="B1851" i="1"/>
  <c r="B1852" i="1" s="1"/>
  <c r="B1853" i="1" s="1"/>
  <c r="B1854" i="1" s="1"/>
  <c r="B1855" i="1" s="1"/>
  <c r="B1856" i="1" s="1"/>
  <c r="B1857" i="1" s="1"/>
  <c r="B1858" i="1" s="1"/>
  <c r="B1859" i="1" s="1"/>
  <c r="B1860" i="1" s="1"/>
  <c r="B1861" i="1" s="1"/>
  <c r="B1862" i="1" s="1"/>
  <c r="B1863" i="1" s="1"/>
  <c r="B1864" i="1" s="1"/>
  <c r="B1865" i="1" s="1"/>
  <c r="B1866" i="1" s="1"/>
  <c r="B1867" i="1" s="1"/>
  <c r="B1868" i="1" s="1"/>
  <c r="B1869" i="1" s="1"/>
  <c r="B1870" i="1" s="1"/>
  <c r="B1871" i="1" s="1"/>
  <c r="B1872" i="1" s="1"/>
  <c r="B1873" i="1" s="1"/>
  <c r="B1874" i="1" s="1"/>
  <c r="B1875" i="1" s="1"/>
  <c r="B1876" i="1" s="1"/>
  <c r="B1877" i="1" s="1"/>
  <c r="B1878" i="1" s="1"/>
  <c r="B1879" i="1" s="1"/>
  <c r="B1880" i="1" s="1"/>
  <c r="B1881" i="1" s="1"/>
  <c r="B1882" i="1" s="1"/>
  <c r="B1883" i="1" s="1"/>
  <c r="B1884" i="1" s="1"/>
  <c r="B1885" i="1" s="1"/>
  <c r="B1886" i="1" s="1"/>
  <c r="B1887" i="1" s="1"/>
  <c r="B1888" i="1" s="1"/>
  <c r="B1889" i="1" s="1"/>
  <c r="B1890" i="1" s="1"/>
  <c r="B1891" i="1" s="1"/>
  <c r="B1892" i="1" s="1"/>
  <c r="B1893" i="1" s="1"/>
  <c r="B1894" i="1" s="1"/>
  <c r="B1895" i="1" s="1"/>
  <c r="B1896" i="1" s="1"/>
  <c r="B1897" i="1" s="1"/>
  <c r="B1898" i="1" s="1"/>
  <c r="B1899" i="1" s="1"/>
  <c r="B1900" i="1" s="1"/>
  <c r="B1901" i="1" s="1"/>
  <c r="B1902" i="1" s="1"/>
  <c r="B1903" i="1" s="1"/>
  <c r="B1904" i="1" s="1"/>
  <c r="B1905" i="1" s="1"/>
  <c r="B1906" i="1" s="1"/>
  <c r="B1907" i="1" s="1"/>
  <c r="B1908" i="1" s="1"/>
  <c r="B1909" i="1" s="1"/>
  <c r="B1910" i="1" s="1"/>
  <c r="B1911" i="1" s="1"/>
  <c r="B1912" i="1" s="1"/>
  <c r="B1913" i="1" s="1"/>
  <c r="B1914" i="1" s="1"/>
  <c r="L1846" i="1"/>
  <c r="L1845" i="1"/>
  <c r="L1844" i="1"/>
  <c r="M1841" i="1"/>
  <c r="L1837" i="1"/>
  <c r="L1836" i="1"/>
  <c r="L1835" i="1"/>
  <c r="L1834" i="1"/>
  <c r="L1833" i="1"/>
  <c r="L1832" i="1"/>
  <c r="L1831" i="1"/>
  <c r="L1785" i="1"/>
  <c r="L1784" i="1"/>
  <c r="L1783" i="1"/>
  <c r="M1782" i="1"/>
  <c r="M1780" i="1"/>
  <c r="L1776" i="1"/>
  <c r="L1775" i="1"/>
  <c r="L1774" i="1"/>
  <c r="L1773" i="1"/>
  <c r="L1772" i="1"/>
  <c r="L1771" i="1"/>
  <c r="L1770" i="1"/>
  <c r="L1720" i="1"/>
  <c r="L1719" i="1"/>
  <c r="L1718" i="1"/>
  <c r="M1717" i="1"/>
  <c r="M1716" i="1"/>
  <c r="M1715" i="1"/>
  <c r="L1709" i="1"/>
  <c r="L1708" i="1"/>
  <c r="L1707" i="1"/>
  <c r="L1661" i="1"/>
  <c r="M1661" i="1" s="1"/>
  <c r="L1660" i="1"/>
  <c r="M1660" i="1" s="1"/>
  <c r="L1659" i="1"/>
  <c r="M1659" i="1" s="1"/>
  <c r="M1658" i="1"/>
  <c r="M1657" i="1"/>
  <c r="M1656" i="1"/>
  <c r="B653" i="1"/>
  <c r="B654" i="1" s="1"/>
  <c r="B655" i="1" s="1"/>
  <c r="B656" i="1" s="1"/>
  <c r="B657" i="1" s="1"/>
  <c r="B658" i="1" s="1"/>
  <c r="B659" i="1" s="1"/>
  <c r="B660" i="1" s="1"/>
  <c r="B661" i="1" s="1"/>
  <c r="B662" i="1" s="1"/>
  <c r="B663" i="1" s="1"/>
  <c r="B664" i="1" s="1"/>
  <c r="B665" i="1" s="1"/>
  <c r="B666" i="1" s="1"/>
  <c r="B667" i="1" s="1"/>
  <c r="B668" i="1" s="1"/>
  <c r="B669" i="1" s="1"/>
  <c r="B670" i="1" s="1"/>
  <c r="B671" i="1" s="1"/>
  <c r="B672" i="1" s="1"/>
  <c r="B673" i="1" s="1"/>
  <c r="B674" i="1" s="1"/>
  <c r="B675" i="1" s="1"/>
  <c r="B676" i="1" s="1"/>
  <c r="B677" i="1" s="1"/>
  <c r="B678" i="1" s="1"/>
  <c r="B679" i="1" s="1"/>
  <c r="B680" i="1" s="1"/>
  <c r="B681" i="1" s="1"/>
  <c r="B682" i="1" s="1"/>
  <c r="B683" i="1" s="1"/>
  <c r="B684" i="1" s="1"/>
  <c r="B685" i="1" s="1"/>
  <c r="B686" i="1" s="1"/>
  <c r="B687" i="1" s="1"/>
  <c r="B688" i="1" s="1"/>
  <c r="B689" i="1" s="1"/>
  <c r="B690" i="1" s="1"/>
  <c r="B691" i="1" s="1"/>
  <c r="B692" i="1" s="1"/>
  <c r="B693" i="1" s="1"/>
  <c r="B694" i="1" s="1"/>
  <c r="B695" i="1" s="1"/>
  <c r="B696" i="1" s="1"/>
  <c r="B697" i="1" s="1"/>
  <c r="B698" i="1" s="1"/>
  <c r="B699" i="1" s="1"/>
  <c r="B700" i="1" s="1"/>
  <c r="B701" i="1" s="1"/>
  <c r="B702" i="1" s="1"/>
  <c r="B703" i="1" s="1"/>
  <c r="B704" i="1" s="1"/>
  <c r="B705" i="1" s="1"/>
  <c r="B706" i="1" s="1"/>
  <c r="B707" i="1" s="1"/>
  <c r="B708" i="1" s="1"/>
  <c r="B709" i="1" s="1"/>
  <c r="B710" i="1" s="1"/>
  <c r="B711" i="1" s="1"/>
  <c r="B712" i="1" s="1"/>
  <c r="B713" i="1" s="1"/>
  <c r="B714" i="1" s="1"/>
  <c r="B715" i="1" s="1"/>
  <c r="B716" i="1" s="1"/>
  <c r="B717" i="1" s="1"/>
  <c r="B718" i="1" s="1"/>
  <c r="B719" i="1" s="1"/>
  <c r="B720" i="1" s="1"/>
  <c r="B721" i="1" s="1"/>
  <c r="B722" i="1" s="1"/>
  <c r="B723" i="1" s="1"/>
  <c r="B724" i="1" s="1"/>
  <c r="B725" i="1" s="1"/>
  <c r="B726" i="1" s="1"/>
  <c r="B727" i="1" s="1"/>
  <c r="B728" i="1" s="1"/>
  <c r="B729" i="1" s="1"/>
  <c r="B730" i="1" s="1"/>
  <c r="B731" i="1" s="1"/>
  <c r="B732" i="1" s="1"/>
  <c r="B733" i="1" s="1"/>
  <c r="B734" i="1" s="1"/>
  <c r="B735" i="1" s="1"/>
  <c r="B736" i="1" s="1"/>
  <c r="B737" i="1" s="1"/>
  <c r="B738" i="1" s="1"/>
  <c r="B739" i="1" s="1"/>
  <c r="B740" i="1" s="1"/>
  <c r="B741" i="1" s="1"/>
  <c r="B742" i="1" s="1"/>
  <c r="B743" i="1" s="1"/>
  <c r="B744" i="1" s="1"/>
  <c r="B745" i="1" s="1"/>
  <c r="B746" i="1" s="1"/>
  <c r="B747" i="1" s="1"/>
  <c r="B748" i="1" s="1"/>
  <c r="B749" i="1" s="1"/>
  <c r="B750" i="1" s="1"/>
  <c r="B751" i="1" s="1"/>
  <c r="B752" i="1" s="1"/>
  <c r="B753" i="1" s="1"/>
  <c r="B754" i="1" s="1"/>
  <c r="B755" i="1" s="1"/>
  <c r="B756" i="1" s="1"/>
  <c r="B757" i="1" s="1"/>
  <c r="B758" i="1" s="1"/>
  <c r="B759" i="1" s="1"/>
  <c r="B760" i="1" s="1"/>
  <c r="B761" i="1" s="1"/>
  <c r="B762" i="1" s="1"/>
  <c r="B763" i="1" s="1"/>
  <c r="B764" i="1" s="1"/>
  <c r="B765" i="1" s="1"/>
  <c r="B766" i="1" s="1"/>
  <c r="B767" i="1" s="1"/>
  <c r="B768" i="1" s="1"/>
  <c r="B769" i="1" s="1"/>
  <c r="B770" i="1" s="1"/>
  <c r="B771" i="1" s="1"/>
  <c r="B772" i="1" s="1"/>
  <c r="B773" i="1" s="1"/>
  <c r="B774" i="1" s="1"/>
  <c r="B775" i="1" s="1"/>
  <c r="B776" i="1" s="1"/>
  <c r="B777" i="1" s="1"/>
  <c r="B778" i="1" s="1"/>
  <c r="B779" i="1" s="1"/>
  <c r="B780" i="1" s="1"/>
  <c r="B781" i="1" s="1"/>
  <c r="B782" i="1" s="1"/>
  <c r="B783" i="1" s="1"/>
  <c r="B784" i="1" s="1"/>
  <c r="B785" i="1" s="1"/>
  <c r="B786" i="1" s="1"/>
  <c r="B787" i="1" s="1"/>
  <c r="B788" i="1" s="1"/>
  <c r="B789" i="1" s="1"/>
  <c r="B790" i="1" s="1"/>
  <c r="B791" i="1" s="1"/>
  <c r="B792" i="1" s="1"/>
  <c r="B793" i="1" s="1"/>
  <c r="B794" i="1" s="1"/>
  <c r="B795" i="1" s="1"/>
  <c r="B796" i="1" s="1"/>
  <c r="B797" i="1" s="1"/>
  <c r="B798" i="1" s="1"/>
  <c r="B799" i="1" s="1"/>
  <c r="B800" i="1" s="1"/>
  <c r="B801" i="1" s="1"/>
  <c r="B802" i="1" s="1"/>
  <c r="B803" i="1" s="1"/>
  <c r="B804" i="1" s="1"/>
  <c r="B805" i="1" s="1"/>
  <c r="B806" i="1" s="1"/>
  <c r="B807" i="1" s="1"/>
  <c r="B808" i="1" s="1"/>
  <c r="B809" i="1" s="1"/>
  <c r="B810" i="1" s="1"/>
  <c r="B811" i="1" s="1"/>
  <c r="B812" i="1" s="1"/>
  <c r="B813" i="1" s="1"/>
  <c r="B814" i="1" s="1"/>
  <c r="B815" i="1" s="1"/>
  <c r="B816" i="1" s="1"/>
  <c r="B817" i="1" s="1"/>
  <c r="B818" i="1" s="1"/>
  <c r="B819" i="1" s="1"/>
  <c r="B820" i="1" s="1"/>
  <c r="B821" i="1" s="1"/>
  <c r="B822" i="1" s="1"/>
  <c r="B823" i="1" s="1"/>
  <c r="B824" i="1" s="1"/>
  <c r="B825" i="1" s="1"/>
  <c r="B826" i="1" s="1"/>
  <c r="B827" i="1" s="1"/>
  <c r="B828" i="1" s="1"/>
  <c r="B829" i="1" s="1"/>
  <c r="B830" i="1" s="1"/>
  <c r="B831" i="1" s="1"/>
  <c r="B832" i="1" s="1"/>
  <c r="B833" i="1" s="1"/>
  <c r="B834" i="1" s="1"/>
  <c r="B835" i="1" s="1"/>
  <c r="B836" i="1" s="1"/>
  <c r="B837" i="1" s="1"/>
  <c r="B838" i="1" s="1"/>
  <c r="B839" i="1" s="1"/>
  <c r="B840" i="1" s="1"/>
  <c r="B841" i="1" s="1"/>
  <c r="B842" i="1" s="1"/>
  <c r="B843" i="1" s="1"/>
  <c r="B844" i="1" s="1"/>
  <c r="B845" i="1" s="1"/>
  <c r="B846" i="1" s="1"/>
  <c r="B847" i="1" s="1"/>
  <c r="B848" i="1" s="1"/>
  <c r="B849" i="1" s="1"/>
  <c r="B850" i="1" s="1"/>
  <c r="B851" i="1" s="1"/>
  <c r="B852" i="1" s="1"/>
  <c r="B853" i="1" s="1"/>
  <c r="B854" i="1" s="1"/>
  <c r="B855" i="1" s="1"/>
  <c r="B856" i="1" s="1"/>
  <c r="B857" i="1" s="1"/>
  <c r="B858" i="1" s="1"/>
  <c r="B859" i="1" s="1"/>
  <c r="B860" i="1" s="1"/>
  <c r="B861" i="1" s="1"/>
  <c r="B862" i="1" s="1"/>
  <c r="B863" i="1" s="1"/>
  <c r="B864" i="1" s="1"/>
  <c r="B865" i="1" s="1"/>
  <c r="B866" i="1" s="1"/>
  <c r="B867" i="1" s="1"/>
  <c r="B868" i="1" s="1"/>
  <c r="B869" i="1" s="1"/>
  <c r="B870" i="1" s="1"/>
  <c r="B871" i="1" s="1"/>
  <c r="B872" i="1" s="1"/>
  <c r="B873" i="1" s="1"/>
  <c r="B874" i="1" s="1"/>
  <c r="B875" i="1" s="1"/>
  <c r="B876" i="1" s="1"/>
  <c r="B877" i="1" s="1"/>
  <c r="B878" i="1" s="1"/>
  <c r="B879" i="1" s="1"/>
  <c r="B880" i="1" s="1"/>
  <c r="B881" i="1" s="1"/>
  <c r="B882" i="1" s="1"/>
  <c r="B883" i="1" s="1"/>
  <c r="B884" i="1" s="1"/>
  <c r="B885" i="1" s="1"/>
  <c r="B886" i="1" s="1"/>
  <c r="B887" i="1" s="1"/>
  <c r="B888" i="1" s="1"/>
  <c r="B889" i="1" s="1"/>
  <c r="B890" i="1" s="1"/>
  <c r="B891" i="1" s="1"/>
  <c r="B892" i="1" s="1"/>
  <c r="B893" i="1" s="1"/>
  <c r="B894" i="1" s="1"/>
  <c r="B895" i="1" s="1"/>
  <c r="B896" i="1" s="1"/>
  <c r="B897" i="1" s="1"/>
  <c r="B898" i="1" s="1"/>
  <c r="B899" i="1" s="1"/>
  <c r="B900" i="1" s="1"/>
  <c r="B901" i="1" s="1"/>
  <c r="B902" i="1" s="1"/>
  <c r="B903" i="1" s="1"/>
  <c r="B904" i="1" s="1"/>
  <c r="B905" i="1" s="1"/>
  <c r="B906" i="1" s="1"/>
  <c r="B907" i="1" s="1"/>
  <c r="B908" i="1" s="1"/>
  <c r="B909" i="1" s="1"/>
  <c r="B910" i="1" s="1"/>
  <c r="B911" i="1" s="1"/>
  <c r="B912" i="1" s="1"/>
  <c r="B913" i="1" s="1"/>
  <c r="B914" i="1" s="1"/>
  <c r="B915" i="1" s="1"/>
  <c r="B916" i="1" s="1"/>
  <c r="B917" i="1" s="1"/>
  <c r="B918" i="1" s="1"/>
  <c r="B919" i="1" s="1"/>
  <c r="B920" i="1" s="1"/>
  <c r="B921" i="1" s="1"/>
  <c r="B922" i="1" s="1"/>
  <c r="B923" i="1" s="1"/>
  <c r="B924" i="1" s="1"/>
  <c r="B925" i="1" s="1"/>
  <c r="B926" i="1" s="1"/>
  <c r="B927" i="1" s="1"/>
  <c r="B928" i="1" s="1"/>
  <c r="B929" i="1" s="1"/>
  <c r="B930" i="1" s="1"/>
  <c r="B931" i="1" s="1"/>
  <c r="B932" i="1" s="1"/>
  <c r="B933" i="1" s="1"/>
  <c r="B934" i="1" s="1"/>
  <c r="B935" i="1" s="1"/>
  <c r="B936" i="1" s="1"/>
  <c r="B937" i="1" s="1"/>
  <c r="B938" i="1" s="1"/>
  <c r="B939" i="1" s="1"/>
  <c r="B940" i="1" s="1"/>
  <c r="B941" i="1" s="1"/>
  <c r="B942" i="1" s="1"/>
  <c r="B943" i="1" s="1"/>
  <c r="B944" i="1" s="1"/>
  <c r="B945" i="1" s="1"/>
  <c r="B946" i="1" s="1"/>
  <c r="B947" i="1" s="1"/>
  <c r="B948" i="1" s="1"/>
  <c r="B949" i="1" s="1"/>
  <c r="B950" i="1" s="1"/>
  <c r="B951" i="1" s="1"/>
  <c r="B952" i="1" s="1"/>
  <c r="B953" i="1" s="1"/>
  <c r="B954" i="1" s="1"/>
  <c r="B955" i="1" s="1"/>
  <c r="B956" i="1" s="1"/>
  <c r="B957" i="1" s="1"/>
  <c r="B958" i="1" s="1"/>
  <c r="B959" i="1" s="1"/>
  <c r="B960" i="1" s="1"/>
  <c r="B961" i="1" s="1"/>
  <c r="B962" i="1" s="1"/>
  <c r="B963" i="1" s="1"/>
  <c r="B964" i="1" s="1"/>
  <c r="B965" i="1" s="1"/>
  <c r="B966" i="1" s="1"/>
  <c r="B967" i="1" s="1"/>
  <c r="B968" i="1" s="1"/>
  <c r="B969" i="1" s="1"/>
  <c r="B970" i="1" s="1"/>
  <c r="B971" i="1" s="1"/>
  <c r="B972" i="1" s="1"/>
  <c r="B973" i="1" s="1"/>
  <c r="B974" i="1" s="1"/>
  <c r="B975" i="1" s="1"/>
  <c r="B976" i="1" s="1"/>
  <c r="B977" i="1" s="1"/>
  <c r="B978" i="1" s="1"/>
  <c r="B979" i="1" s="1"/>
  <c r="B980" i="1" s="1"/>
  <c r="B981" i="1" s="1"/>
  <c r="B982" i="1" s="1"/>
  <c r="B983" i="1" s="1"/>
  <c r="B984" i="1" s="1"/>
  <c r="B985" i="1" s="1"/>
  <c r="B986" i="1" s="1"/>
  <c r="B987" i="1" s="1"/>
  <c r="B988" i="1" s="1"/>
  <c r="B989" i="1" s="1"/>
  <c r="B990" i="1" s="1"/>
  <c r="B991" i="1" s="1"/>
  <c r="B992" i="1" s="1"/>
  <c r="B993" i="1" s="1"/>
  <c r="B994" i="1" s="1"/>
  <c r="B995" i="1" s="1"/>
  <c r="B996" i="1" s="1"/>
  <c r="B999" i="1" s="1"/>
  <c r="B1000" i="1" s="1"/>
  <c r="B1001" i="1" s="1"/>
  <c r="B1002" i="1" s="1"/>
  <c r="B1003" i="1" s="1"/>
  <c r="B1004" i="1" s="1"/>
  <c r="B1005" i="1" s="1"/>
  <c r="B1006" i="1" s="1"/>
  <c r="B1007" i="1" s="1"/>
  <c r="B1008" i="1" s="1"/>
  <c r="B1009" i="1" s="1"/>
  <c r="B1010" i="1" s="1"/>
  <c r="B1011" i="1" s="1"/>
  <c r="B1012" i="1" s="1"/>
  <c r="B1013" i="1" s="1"/>
  <c r="B1014" i="1" s="1"/>
  <c r="B1015" i="1" s="1"/>
  <c r="B1016" i="1" s="1"/>
  <c r="B1017" i="1" s="1"/>
  <c r="B1018" i="1" s="1"/>
  <c r="B1019" i="1" s="1"/>
  <c r="B1020" i="1" s="1"/>
  <c r="B1021" i="1" s="1"/>
  <c r="B1022" i="1" s="1"/>
  <c r="B1023" i="1" s="1"/>
  <c r="B1024" i="1" s="1"/>
  <c r="B1025" i="1" s="1"/>
  <c r="B1026" i="1" s="1"/>
  <c r="B1027" i="1" s="1"/>
  <c r="B1028" i="1" s="1"/>
  <c r="B1029" i="1" s="1"/>
  <c r="B1030" i="1" s="1"/>
  <c r="B1031" i="1" s="1"/>
  <c r="B1032" i="1" s="1"/>
  <c r="B1033" i="1" s="1"/>
  <c r="B1034" i="1" s="1"/>
  <c r="B1035" i="1" s="1"/>
  <c r="B1036" i="1" s="1"/>
  <c r="B1037" i="1" s="1"/>
  <c r="B1038" i="1" s="1"/>
  <c r="B1039" i="1" s="1"/>
  <c r="B1040" i="1" s="1"/>
  <c r="B1041" i="1" s="1"/>
  <c r="B1042" i="1" s="1"/>
  <c r="B1043" i="1" s="1"/>
  <c r="B1044" i="1" s="1"/>
  <c r="B1045" i="1" s="1"/>
  <c r="B1046" i="1" s="1"/>
  <c r="B1047" i="1" s="1"/>
  <c r="B1048" i="1" s="1"/>
  <c r="B1049" i="1" s="1"/>
  <c r="B1050" i="1" s="1"/>
  <c r="B1051" i="1" s="1"/>
  <c r="B1052" i="1" s="1"/>
  <c r="B1053" i="1" s="1"/>
  <c r="B1054" i="1" s="1"/>
  <c r="B1055" i="1" s="1"/>
  <c r="B1056" i="1" s="1"/>
  <c r="B1057" i="1" s="1"/>
  <c r="B1058" i="1" s="1"/>
  <c r="B1059" i="1" s="1"/>
  <c r="B1060" i="1" s="1"/>
  <c r="B1061" i="1" s="1"/>
  <c r="B1062" i="1" s="1"/>
  <c r="B1063" i="1" s="1"/>
  <c r="B1064" i="1" s="1"/>
  <c r="B1065" i="1" s="1"/>
  <c r="B1066" i="1" s="1"/>
  <c r="B1067" i="1" s="1"/>
  <c r="B1068" i="1" s="1"/>
  <c r="B1069" i="1" s="1"/>
  <c r="B1072" i="1" s="1"/>
  <c r="B1073" i="1" s="1"/>
  <c r="B1074" i="1" s="1"/>
  <c r="B1075" i="1" s="1"/>
  <c r="B1076" i="1" s="1"/>
  <c r="B1077" i="1" s="1"/>
  <c r="B1078" i="1" s="1"/>
  <c r="B1079" i="1" s="1"/>
  <c r="B1080" i="1" s="1"/>
  <c r="B1081" i="1" s="1"/>
  <c r="B1082" i="1" s="1"/>
  <c r="B1083" i="1" s="1"/>
  <c r="B1084" i="1" s="1"/>
  <c r="B1085" i="1" s="1"/>
  <c r="B1086" i="1" s="1"/>
  <c r="B1087" i="1" s="1"/>
  <c r="B1088" i="1" s="1"/>
  <c r="B1089" i="1" s="1"/>
  <c r="B1090" i="1" s="1"/>
  <c r="B1091" i="1" s="1"/>
  <c r="B1092" i="1" s="1"/>
  <c r="B1093" i="1" s="1"/>
  <c r="B1094" i="1" s="1"/>
  <c r="B1095" i="1" s="1"/>
  <c r="B1096" i="1" s="1"/>
  <c r="B1097" i="1" s="1"/>
  <c r="B1098" i="1" s="1"/>
  <c r="B1099" i="1" s="1"/>
  <c r="B1100" i="1" s="1"/>
  <c r="B1101" i="1" s="1"/>
  <c r="B1102" i="1" s="1"/>
  <c r="B1103" i="1" s="1"/>
  <c r="B1104" i="1" s="1"/>
  <c r="B1105" i="1" s="1"/>
  <c r="B1106" i="1" s="1"/>
  <c r="B1107" i="1" s="1"/>
  <c r="B1108" i="1" s="1"/>
  <c r="B1109" i="1" s="1"/>
  <c r="B1110" i="1" s="1"/>
  <c r="B1111" i="1" s="1"/>
  <c r="B1112" i="1" s="1"/>
  <c r="B1113" i="1" s="1"/>
  <c r="B1114" i="1" s="1"/>
  <c r="B1115" i="1" s="1"/>
  <c r="B1116" i="1" s="1"/>
  <c r="B1117" i="1" s="1"/>
  <c r="B1118" i="1" s="1"/>
  <c r="B1119" i="1" s="1"/>
  <c r="B1120" i="1" s="1"/>
  <c r="B1121" i="1" s="1"/>
  <c r="B1122" i="1" s="1"/>
  <c r="B1123" i="1" s="1"/>
  <c r="B1124" i="1" s="1"/>
  <c r="B1125" i="1" s="1"/>
  <c r="B1126" i="1" s="1"/>
  <c r="B1127" i="1" s="1"/>
  <c r="B1128" i="1" s="1"/>
  <c r="B1129" i="1" s="1"/>
  <c r="B1130" i="1" s="1"/>
  <c r="B1131" i="1" s="1"/>
  <c r="B1132" i="1" s="1"/>
  <c r="B1133" i="1" s="1"/>
  <c r="B1134" i="1" s="1"/>
  <c r="B1135" i="1" s="1"/>
  <c r="B1136" i="1" s="1"/>
  <c r="B1137" i="1" s="1"/>
  <c r="B1138" i="1" s="1"/>
  <c r="B1139" i="1" s="1"/>
  <c r="B1140" i="1" s="1"/>
  <c r="B1141" i="1" s="1"/>
  <c r="B1142" i="1" s="1"/>
  <c r="B1143" i="1" s="1"/>
  <c r="B1144" i="1" s="1"/>
  <c r="B1147" i="1" s="1"/>
  <c r="B1148" i="1" s="1"/>
  <c r="B1149" i="1" s="1"/>
  <c r="B1150" i="1" s="1"/>
  <c r="B1151" i="1" s="1"/>
  <c r="B1152" i="1" s="1"/>
  <c r="B1153" i="1" s="1"/>
  <c r="B1154" i="1" s="1"/>
  <c r="B1155" i="1" s="1"/>
  <c r="B1156" i="1" s="1"/>
  <c r="B1157" i="1" s="1"/>
  <c r="B1158" i="1" s="1"/>
  <c r="B1159" i="1" s="1"/>
  <c r="B1160" i="1" s="1"/>
  <c r="B1161" i="1" s="1"/>
  <c r="B1162" i="1" s="1"/>
  <c r="B1163" i="1" s="1"/>
  <c r="B1164" i="1" s="1"/>
  <c r="B1165" i="1" s="1"/>
  <c r="B1166" i="1" s="1"/>
  <c r="B1167" i="1" s="1"/>
  <c r="B1168" i="1" s="1"/>
  <c r="B1169" i="1" s="1"/>
  <c r="B1170" i="1" s="1"/>
  <c r="B1171" i="1" s="1"/>
  <c r="B1172" i="1" s="1"/>
  <c r="B1173" i="1" s="1"/>
  <c r="B1174" i="1" s="1"/>
  <c r="B1175" i="1" s="1"/>
  <c r="B1176" i="1" s="1"/>
  <c r="B1177" i="1" s="1"/>
  <c r="B1178" i="1" s="1"/>
  <c r="B1179" i="1" s="1"/>
  <c r="B1180" i="1" s="1"/>
  <c r="B1181" i="1" s="1"/>
  <c r="B1182" i="1" s="1"/>
  <c r="B1183" i="1" s="1"/>
  <c r="B1184" i="1" s="1"/>
  <c r="B1185" i="1" s="1"/>
  <c r="B1186" i="1" s="1"/>
  <c r="B1187" i="1" s="1"/>
  <c r="B1188" i="1" s="1"/>
  <c r="B1189" i="1" s="1"/>
  <c r="B1190" i="1" s="1"/>
  <c r="B1191" i="1" s="1"/>
  <c r="B1192" i="1" s="1"/>
  <c r="B1193" i="1" s="1"/>
  <c r="B1194" i="1" s="1"/>
  <c r="B1195" i="1" s="1"/>
  <c r="B1196" i="1" s="1"/>
  <c r="B1197" i="1" s="1"/>
  <c r="B1198" i="1" s="1"/>
  <c r="B1199" i="1" s="1"/>
  <c r="B1200" i="1" s="1"/>
  <c r="B1201" i="1" s="1"/>
  <c r="B1202" i="1" s="1"/>
  <c r="B1203" i="1" s="1"/>
  <c r="B1204" i="1" s="1"/>
  <c r="B1205" i="1" s="1"/>
  <c r="B1206" i="1" s="1"/>
  <c r="B1207" i="1" s="1"/>
  <c r="B1208" i="1" s="1"/>
  <c r="B1209" i="1" s="1"/>
  <c r="B1210" i="1" s="1"/>
  <c r="B1211" i="1" s="1"/>
  <c r="B1212" i="1" s="1"/>
  <c r="B1213" i="1" s="1"/>
  <c r="B1214" i="1" s="1"/>
  <c r="B1215" i="1" s="1"/>
  <c r="B1216" i="1" s="1"/>
  <c r="B1217" i="1" s="1"/>
  <c r="B1218" i="1" s="1"/>
  <c r="B1219" i="1" s="1"/>
  <c r="B1220" i="1" s="1"/>
  <c r="B1221" i="1" s="1"/>
  <c r="B1222" i="1" s="1"/>
  <c r="B1223" i="1" s="1"/>
  <c r="B1224" i="1" s="1"/>
  <c r="B1225" i="1" s="1"/>
  <c r="B1226" i="1" s="1"/>
  <c r="B1227" i="1" s="1"/>
  <c r="B1228" i="1" s="1"/>
  <c r="B1229" i="1" s="1"/>
  <c r="B1230" i="1" s="1"/>
  <c r="B1231" i="1" s="1"/>
  <c r="B1232" i="1" s="1"/>
  <c r="B1233" i="1" s="1"/>
  <c r="B1234" i="1" s="1"/>
  <c r="B1235" i="1" s="1"/>
  <c r="B1236" i="1" s="1"/>
  <c r="B1237" i="1" s="1"/>
  <c r="B1238" i="1" s="1"/>
  <c r="B1239" i="1" s="1"/>
  <c r="B1240" i="1" s="1"/>
  <c r="B1241" i="1" s="1"/>
  <c r="B1242" i="1" s="1"/>
  <c r="B1243" i="1" s="1"/>
  <c r="B1244" i="1" s="1"/>
  <c r="B1245" i="1" s="1"/>
  <c r="B1246" i="1" s="1"/>
  <c r="B1247" i="1" s="1"/>
  <c r="B1248" i="1" s="1"/>
  <c r="B1249" i="1" s="1"/>
  <c r="B1250" i="1" s="1"/>
  <c r="B1251" i="1" s="1"/>
  <c r="B1252" i="1" s="1"/>
  <c r="B1253" i="1" s="1"/>
  <c r="B1254" i="1" s="1"/>
  <c r="B1255" i="1" s="1"/>
  <c r="B1258" i="1" s="1"/>
  <c r="B1259" i="1" s="1"/>
  <c r="B1260" i="1" s="1"/>
  <c r="B1261" i="1" s="1"/>
  <c r="B1262" i="1" s="1"/>
  <c r="B1263" i="1" s="1"/>
  <c r="B1264" i="1" s="1"/>
  <c r="B1265" i="1" s="1"/>
  <c r="B1266" i="1" s="1"/>
  <c r="B1267" i="1" s="1"/>
  <c r="B1268" i="1" s="1"/>
  <c r="B1269" i="1" s="1"/>
  <c r="B1270" i="1" s="1"/>
  <c r="B1271" i="1" s="1"/>
  <c r="B1272" i="1" s="1"/>
  <c r="B1273" i="1" s="1"/>
  <c r="B1274" i="1" s="1"/>
  <c r="B1275" i="1" s="1"/>
  <c r="B1276" i="1" s="1"/>
  <c r="B1277" i="1" s="1"/>
  <c r="B1278" i="1" s="1"/>
  <c r="B1279" i="1" s="1"/>
  <c r="B1280" i="1" s="1"/>
  <c r="B1281" i="1" s="1"/>
  <c r="B1282" i="1" s="1"/>
  <c r="B1283" i="1" s="1"/>
  <c r="B1284" i="1" s="1"/>
  <c r="B1285" i="1" s="1"/>
  <c r="B1286" i="1" s="1"/>
  <c r="B1287" i="1" s="1"/>
  <c r="B1288" i="1" s="1"/>
  <c r="B1289" i="1" s="1"/>
  <c r="B1290" i="1" s="1"/>
  <c r="B1291" i="1" s="1"/>
  <c r="B1292" i="1" s="1"/>
  <c r="B1293" i="1" s="1"/>
  <c r="B1294" i="1" s="1"/>
  <c r="B1295" i="1" s="1"/>
  <c r="B1296" i="1" s="1"/>
  <c r="B1297" i="1" s="1"/>
  <c r="B1298" i="1" s="1"/>
  <c r="B1299" i="1" s="1"/>
  <c r="B1300" i="1" s="1"/>
  <c r="B1301" i="1" s="1"/>
  <c r="B1302" i="1" s="1"/>
  <c r="B1303" i="1" s="1"/>
  <c r="B1304" i="1" s="1"/>
  <c r="B1305" i="1" s="1"/>
  <c r="B1306" i="1" s="1"/>
  <c r="B1307" i="1" s="1"/>
  <c r="B1308" i="1" s="1"/>
  <c r="B1309" i="1" s="1"/>
  <c r="B1310" i="1" s="1"/>
  <c r="B1311" i="1" s="1"/>
  <c r="B1312" i="1" s="1"/>
  <c r="B1313" i="1" s="1"/>
  <c r="B1314" i="1" s="1"/>
  <c r="B1315" i="1" s="1"/>
  <c r="B1316" i="1" s="1"/>
  <c r="B1317" i="1" s="1"/>
  <c r="B1318" i="1" s="1"/>
  <c r="B1319" i="1" s="1"/>
  <c r="B1320" i="1" s="1"/>
  <c r="B1321" i="1" s="1"/>
  <c r="B1322" i="1" s="1"/>
  <c r="B1323" i="1" s="1"/>
  <c r="B1324" i="1" s="1"/>
  <c r="B1325" i="1" s="1"/>
  <c r="B1326" i="1" s="1"/>
  <c r="B1327" i="1" s="1"/>
  <c r="B1328" i="1" s="1"/>
  <c r="B1329" i="1" s="1"/>
  <c r="B1330" i="1" s="1"/>
  <c r="B1331" i="1" s="1"/>
  <c r="B1332" i="1" s="1"/>
  <c r="B1333" i="1" s="1"/>
  <c r="B1334" i="1" s="1"/>
  <c r="B1335" i="1" s="1"/>
  <c r="B1336" i="1" s="1"/>
  <c r="B1337" i="1" s="1"/>
  <c r="B1338" i="1" s="1"/>
  <c r="B1339" i="1" s="1"/>
  <c r="B1340" i="1" s="1"/>
  <c r="B1341" i="1" s="1"/>
  <c r="B1342" i="1" s="1"/>
  <c r="B1343" i="1" s="1"/>
  <c r="B1344" i="1" s="1"/>
  <c r="B1345" i="1" s="1"/>
  <c r="B1346" i="1" s="1"/>
  <c r="B1347" i="1" s="1"/>
  <c r="B1348" i="1" s="1"/>
  <c r="B1349" i="1" s="1"/>
  <c r="B1350" i="1" s="1"/>
  <c r="B1351" i="1" s="1"/>
  <c r="B1352" i="1" s="1"/>
  <c r="B1353" i="1" s="1"/>
  <c r="B1354" i="1" s="1"/>
  <c r="B1355" i="1" s="1"/>
  <c r="B1356" i="1" s="1"/>
  <c r="B1357" i="1" s="1"/>
  <c r="B1358" i="1" s="1"/>
  <c r="B1359" i="1" s="1"/>
  <c r="B1360" i="1" s="1"/>
  <c r="B1361" i="1" s="1"/>
  <c r="B1364" i="1" s="1"/>
  <c r="B1365" i="1" s="1"/>
  <c r="B1366" i="1" s="1"/>
  <c r="B1367" i="1" s="1"/>
  <c r="B1368" i="1" s="1"/>
  <c r="B1369" i="1" s="1"/>
  <c r="B1370" i="1" s="1"/>
  <c r="B1371" i="1" s="1"/>
  <c r="B1372" i="1" s="1"/>
  <c r="B1373" i="1" s="1"/>
  <c r="B1374" i="1" s="1"/>
  <c r="B1375" i="1" s="1"/>
  <c r="B1376" i="1" s="1"/>
  <c r="B1377" i="1" s="1"/>
  <c r="B1378" i="1" s="1"/>
  <c r="B1379" i="1" s="1"/>
  <c r="B1380" i="1" s="1"/>
  <c r="B1381" i="1" s="1"/>
  <c r="B1382" i="1" s="1"/>
  <c r="B1383" i="1" s="1"/>
  <c r="B1384" i="1" s="1"/>
  <c r="B1385" i="1" s="1"/>
  <c r="B1386" i="1" s="1"/>
  <c r="B1387" i="1" s="1"/>
  <c r="B1388" i="1" s="1"/>
  <c r="B1389" i="1" s="1"/>
  <c r="B1390" i="1" s="1"/>
  <c r="B1391" i="1" s="1"/>
  <c r="B1392" i="1" s="1"/>
  <c r="B1393" i="1" s="1"/>
  <c r="B1394" i="1" s="1"/>
  <c r="B1395" i="1" s="1"/>
  <c r="B1396" i="1" s="1"/>
  <c r="B1397" i="1" s="1"/>
  <c r="B1398" i="1" s="1"/>
  <c r="B1399" i="1" s="1"/>
  <c r="B1400" i="1" s="1"/>
  <c r="B1401" i="1" s="1"/>
  <c r="B1402" i="1" s="1"/>
  <c r="B1403" i="1" s="1"/>
  <c r="B1404" i="1" s="1"/>
  <c r="B1405" i="1" s="1"/>
  <c r="B1406" i="1" s="1"/>
  <c r="B1407" i="1" s="1"/>
  <c r="B1408" i="1" s="1"/>
  <c r="B1409" i="1" s="1"/>
  <c r="B1410" i="1" s="1"/>
  <c r="B1411" i="1" s="1"/>
  <c r="B1412" i="1" s="1"/>
  <c r="B1413" i="1" s="1"/>
  <c r="B1414" i="1" s="1"/>
  <c r="B1415" i="1" s="1"/>
  <c r="B1416" i="1" s="1"/>
  <c r="B1417" i="1" s="1"/>
  <c r="B1418" i="1" s="1"/>
  <c r="B1419" i="1" s="1"/>
  <c r="B1420" i="1" s="1"/>
  <c r="B1421" i="1" s="1"/>
  <c r="B1422" i="1" s="1"/>
  <c r="B1423" i="1" s="1"/>
  <c r="B1424" i="1" s="1"/>
  <c r="B1425" i="1" s="1"/>
  <c r="B1426" i="1" s="1"/>
  <c r="B1427" i="1" s="1"/>
  <c r="B1428" i="1" s="1"/>
  <c r="B1429" i="1" s="1"/>
  <c r="B1430" i="1" s="1"/>
  <c r="B1431" i="1" s="1"/>
  <c r="B1432" i="1" s="1"/>
  <c r="B1433" i="1" s="1"/>
  <c r="B1434" i="1" s="1"/>
  <c r="B1435" i="1" s="1"/>
  <c r="B1436" i="1" s="1"/>
  <c r="B1437" i="1" s="1"/>
  <c r="B1438" i="1" s="1"/>
  <c r="B1439" i="1" s="1"/>
  <c r="B1440" i="1" s="1"/>
  <c r="B1441" i="1" s="1"/>
  <c r="B1442" i="1" s="1"/>
  <c r="B1443" i="1" s="1"/>
  <c r="B1444" i="1" s="1"/>
  <c r="B1445" i="1" s="1"/>
  <c r="B1446" i="1" s="1"/>
  <c r="B1447" i="1" s="1"/>
  <c r="B1448" i="1" s="1"/>
  <c r="B1449" i="1" s="1"/>
  <c r="B1450" i="1" s="1"/>
  <c r="B1451" i="1" s="1"/>
  <c r="B1452" i="1" s="1"/>
  <c r="B1453" i="1" s="1"/>
  <c r="B1454" i="1" s="1"/>
  <c r="B1455" i="1" s="1"/>
  <c r="B1456" i="1" s="1"/>
  <c r="B1457" i="1" s="1"/>
  <c r="B1458" i="1" s="1"/>
  <c r="B1459" i="1" s="1"/>
  <c r="B1460" i="1" s="1"/>
  <c r="B1461" i="1" s="1"/>
  <c r="B1462" i="1" s="1"/>
  <c r="B1463" i="1" s="1"/>
  <c r="B1464" i="1" s="1"/>
  <c r="B1465" i="1" s="1"/>
  <c r="B1466" i="1" s="1"/>
  <c r="B1467" i="1" s="1"/>
  <c r="B1470" i="1" s="1"/>
  <c r="B1471" i="1" s="1"/>
  <c r="B1472" i="1" s="1"/>
  <c r="B1473" i="1" s="1"/>
  <c r="B1474" i="1" s="1"/>
  <c r="B1475" i="1" s="1"/>
  <c r="B1476" i="1" s="1"/>
  <c r="B1477" i="1" s="1"/>
  <c r="B1478" i="1" s="1"/>
  <c r="B1479" i="1" s="1"/>
  <c r="B1480" i="1" s="1"/>
  <c r="B1481" i="1" s="1"/>
  <c r="B1482" i="1" s="1"/>
  <c r="B1483" i="1" s="1"/>
  <c r="B1484" i="1" s="1"/>
  <c r="B1485" i="1" s="1"/>
  <c r="B1486" i="1" s="1"/>
  <c r="B1487" i="1" s="1"/>
  <c r="B1488" i="1" s="1"/>
  <c r="B1489" i="1" s="1"/>
  <c r="B1490" i="1" s="1"/>
  <c r="B1491" i="1" s="1"/>
  <c r="B1492" i="1" s="1"/>
  <c r="B1493" i="1" s="1"/>
  <c r="B1494" i="1" s="1"/>
  <c r="B1495" i="1" s="1"/>
  <c r="B1496" i="1" s="1"/>
  <c r="B1497" i="1" s="1"/>
  <c r="B1498" i="1" s="1"/>
  <c r="B1499" i="1" s="1"/>
  <c r="B1500" i="1" s="1"/>
  <c r="B1501" i="1" s="1"/>
  <c r="B1502" i="1" s="1"/>
  <c r="B1503" i="1" s="1"/>
  <c r="B1504" i="1" s="1"/>
  <c r="B1505" i="1" s="1"/>
  <c r="B1506" i="1" s="1"/>
  <c r="B1507" i="1" s="1"/>
  <c r="B1508" i="1" s="1"/>
  <c r="B1509" i="1" s="1"/>
  <c r="B1510" i="1" s="1"/>
  <c r="B1511" i="1" s="1"/>
  <c r="B1512" i="1" s="1"/>
  <c r="B1513" i="1" s="1"/>
  <c r="B1514" i="1" s="1"/>
  <c r="B1515" i="1" s="1"/>
  <c r="B1516" i="1" s="1"/>
  <c r="B1517" i="1" s="1"/>
  <c r="B1518" i="1" s="1"/>
  <c r="B1519" i="1" s="1"/>
  <c r="B1520" i="1" s="1"/>
  <c r="B1521" i="1" s="1"/>
  <c r="B1522" i="1" s="1"/>
  <c r="B1523" i="1" s="1"/>
  <c r="B1524" i="1" s="1"/>
  <c r="B1525" i="1" s="1"/>
  <c r="B1526" i="1" s="1"/>
  <c r="B1527" i="1" s="1"/>
  <c r="B1528" i="1" s="1"/>
  <c r="B1529" i="1" s="1"/>
  <c r="B1530" i="1" s="1"/>
  <c r="B1531" i="1" s="1"/>
  <c r="B1532" i="1" s="1"/>
  <c r="B1533" i="1" s="1"/>
  <c r="B1534" i="1" s="1"/>
  <c r="B1535" i="1" s="1"/>
  <c r="B1536" i="1" s="1"/>
  <c r="B1537" i="1" s="1"/>
  <c r="B1538" i="1" s="1"/>
  <c r="B1539" i="1" s="1"/>
  <c r="B1540" i="1" s="1"/>
  <c r="B1541" i="1" s="1"/>
  <c r="B1542" i="1" s="1"/>
  <c r="B1543" i="1" s="1"/>
  <c r="B1544" i="1" s="1"/>
  <c r="B1545" i="1" s="1"/>
  <c r="B1546" i="1" s="1"/>
  <c r="B1547" i="1" s="1"/>
  <c r="B1548" i="1" s="1"/>
  <c r="B1549" i="1" s="1"/>
  <c r="B1550" i="1" s="1"/>
  <c r="B1551" i="1" s="1"/>
  <c r="B1552" i="1" s="1"/>
  <c r="B1553" i="1" s="1"/>
  <c r="B1554" i="1" s="1"/>
  <c r="B1555" i="1" s="1"/>
  <c r="B1556" i="1" s="1"/>
  <c r="B1557" i="1" s="1"/>
  <c r="B1558" i="1" s="1"/>
  <c r="B1559" i="1" s="1"/>
  <c r="B1560" i="1" s="1"/>
  <c r="B1561" i="1" s="1"/>
  <c r="B1562" i="1" s="1"/>
  <c r="B1563" i="1" s="1"/>
  <c r="B1564" i="1" s="1"/>
  <c r="B1565" i="1" s="1"/>
  <c r="B1566" i="1" s="1"/>
  <c r="B1567" i="1" s="1"/>
  <c r="B1568" i="1" s="1"/>
  <c r="B1569" i="1" s="1"/>
  <c r="B1570" i="1" s="1"/>
  <c r="B1571" i="1" s="1"/>
  <c r="B1572" i="1" s="1"/>
  <c r="B1575" i="1" s="1"/>
  <c r="B1576" i="1" s="1"/>
  <c r="B1577" i="1" s="1"/>
  <c r="B1578" i="1" s="1"/>
  <c r="B1579" i="1" s="1"/>
  <c r="B1580" i="1" s="1"/>
  <c r="B1581" i="1" s="1"/>
  <c r="B1582" i="1" s="1"/>
  <c r="B1583" i="1" s="1"/>
  <c r="B1584" i="1" s="1"/>
  <c r="B1585" i="1" s="1"/>
  <c r="B1586" i="1" s="1"/>
  <c r="B1587" i="1" s="1"/>
  <c r="B1588" i="1" s="1"/>
  <c r="B1589" i="1" s="1"/>
  <c r="B1590" i="1" s="1"/>
  <c r="B1591" i="1" s="1"/>
  <c r="B1592" i="1" s="1"/>
  <c r="B1593" i="1" s="1"/>
  <c r="B1594" i="1" s="1"/>
  <c r="B1595" i="1" s="1"/>
  <c r="B1596" i="1" s="1"/>
  <c r="B1597" i="1" s="1"/>
  <c r="B1598" i="1" s="1"/>
  <c r="B1599" i="1" s="1"/>
  <c r="B1600" i="1" s="1"/>
  <c r="B1601" i="1" s="1"/>
  <c r="B1602" i="1" s="1"/>
  <c r="B1603" i="1" s="1"/>
  <c r="B1604" i="1" s="1"/>
  <c r="B1605" i="1" s="1"/>
  <c r="B1606" i="1" s="1"/>
  <c r="B1607" i="1" s="1"/>
  <c r="B1608" i="1" s="1"/>
  <c r="B1609" i="1" s="1"/>
  <c r="B1610" i="1" s="1"/>
  <c r="B1611" i="1" s="1"/>
  <c r="B1612" i="1" s="1"/>
  <c r="B1613" i="1" s="1"/>
  <c r="B1614" i="1" s="1"/>
  <c r="B1615" i="1" s="1"/>
  <c r="B1616" i="1" s="1"/>
  <c r="B1617" i="1" s="1"/>
  <c r="B1618" i="1" s="1"/>
  <c r="B1619" i="1" s="1"/>
  <c r="B1620" i="1" s="1"/>
  <c r="B1621" i="1" s="1"/>
  <c r="B1622" i="1" s="1"/>
  <c r="B1623" i="1" s="1"/>
  <c r="B1624" i="1" s="1"/>
  <c r="B1625" i="1" s="1"/>
  <c r="B1626" i="1" s="1"/>
  <c r="B1627" i="1" s="1"/>
  <c r="B1628" i="1" s="1"/>
  <c r="B1629" i="1" s="1"/>
  <c r="B1630" i="1" s="1"/>
  <c r="B1631" i="1" s="1"/>
  <c r="B1632" i="1" s="1"/>
  <c r="B1633" i="1" s="1"/>
  <c r="B1634" i="1" s="1"/>
  <c r="B1635" i="1" s="1"/>
  <c r="B1636" i="1" s="1"/>
  <c r="B1637" i="1" s="1"/>
  <c r="B1638" i="1" s="1"/>
  <c r="B1639" i="1" s="1"/>
  <c r="B1640" i="1" s="1"/>
  <c r="B1641" i="1" s="1"/>
  <c r="B1642" i="1" s="1"/>
  <c r="B1643" i="1" s="1"/>
  <c r="B1644" i="1" s="1"/>
  <c r="B1645" i="1" s="1"/>
  <c r="B1646" i="1" s="1"/>
  <c r="B1647" i="1" s="1"/>
  <c r="B1648" i="1" s="1"/>
  <c r="B1649" i="1" s="1"/>
  <c r="B1650" i="1" s="1"/>
  <c r="B1651" i="1" s="1"/>
  <c r="B1652" i="1" s="1"/>
  <c r="B1653" i="1" s="1"/>
  <c r="B1654" i="1" s="1"/>
  <c r="B1655" i="1" s="1"/>
  <c r="B1656" i="1" s="1"/>
  <c r="B1657" i="1" s="1"/>
  <c r="B1658" i="1" s="1"/>
  <c r="B1659" i="1" s="1"/>
  <c r="B1660" i="1" s="1"/>
  <c r="B1661" i="1" s="1"/>
  <c r="B1664" i="1" s="1"/>
  <c r="B1665" i="1" s="1"/>
  <c r="B1666" i="1" s="1"/>
  <c r="B1667" i="1" s="1"/>
  <c r="B1668" i="1" s="1"/>
  <c r="B1669" i="1" s="1"/>
  <c r="B1670" i="1" s="1"/>
  <c r="B1671" i="1" s="1"/>
  <c r="B1672" i="1" s="1"/>
  <c r="B1673" i="1" s="1"/>
  <c r="B1674" i="1" s="1"/>
  <c r="B1675" i="1" s="1"/>
  <c r="B1676" i="1" s="1"/>
  <c r="B1677" i="1" s="1"/>
  <c r="B1678" i="1" s="1"/>
  <c r="B1679" i="1" s="1"/>
  <c r="B1680" i="1" s="1"/>
  <c r="B1681" i="1" s="1"/>
  <c r="B1682" i="1" s="1"/>
  <c r="B1683" i="1" s="1"/>
  <c r="B1684" i="1" s="1"/>
  <c r="B1685" i="1" s="1"/>
  <c r="B1686" i="1" s="1"/>
  <c r="B1687" i="1" s="1"/>
  <c r="B1688" i="1" s="1"/>
  <c r="B1689" i="1" s="1"/>
  <c r="B1690" i="1" s="1"/>
  <c r="B1691" i="1" s="1"/>
  <c r="B1692" i="1" s="1"/>
  <c r="B1693" i="1" s="1"/>
  <c r="B1694" i="1" s="1"/>
  <c r="B1695" i="1" s="1"/>
  <c r="B1696" i="1" s="1"/>
  <c r="B1697" i="1" s="1"/>
  <c r="B1698" i="1" s="1"/>
  <c r="B1699" i="1" s="1"/>
  <c r="B1700" i="1" s="1"/>
  <c r="B1701" i="1" s="1"/>
  <c r="B1702" i="1" s="1"/>
  <c r="B1703" i="1" s="1"/>
  <c r="B1704" i="1" s="1"/>
  <c r="B1705" i="1" s="1"/>
  <c r="B1706" i="1" s="1"/>
  <c r="B1707" i="1" s="1"/>
  <c r="B1708" i="1" s="1"/>
  <c r="B1709" i="1" s="1"/>
  <c r="B1710" i="1" s="1"/>
  <c r="B1711" i="1" s="1"/>
  <c r="B1712" i="1" s="1"/>
  <c r="B1713" i="1" s="1"/>
  <c r="B1714" i="1" s="1"/>
  <c r="B1715" i="1" s="1"/>
  <c r="B1716" i="1" s="1"/>
  <c r="B1717" i="1" s="1"/>
  <c r="B1718" i="1" s="1"/>
  <c r="B1719" i="1" s="1"/>
  <c r="B1720" i="1" s="1"/>
  <c r="B1723" i="1" s="1"/>
  <c r="B1724" i="1" s="1"/>
  <c r="B1725" i="1" s="1"/>
  <c r="B1726" i="1" s="1"/>
  <c r="B1727" i="1" s="1"/>
  <c r="B1728" i="1" s="1"/>
  <c r="B1729" i="1" s="1"/>
  <c r="B1730" i="1" s="1"/>
  <c r="B1731" i="1" s="1"/>
  <c r="B1732" i="1" s="1"/>
  <c r="B1733" i="1" s="1"/>
  <c r="B1734" i="1" s="1"/>
  <c r="B1735" i="1" s="1"/>
  <c r="B1736" i="1" s="1"/>
  <c r="B1737" i="1" s="1"/>
  <c r="B1738" i="1" s="1"/>
  <c r="B1739" i="1" s="1"/>
  <c r="B1740" i="1" s="1"/>
  <c r="B1741" i="1" s="1"/>
  <c r="B1742" i="1" s="1"/>
  <c r="B1743" i="1" s="1"/>
  <c r="B1744" i="1" s="1"/>
  <c r="B1745" i="1" s="1"/>
  <c r="B1746" i="1" s="1"/>
  <c r="B1747" i="1" s="1"/>
  <c r="B1748" i="1" s="1"/>
  <c r="B1749" i="1" s="1"/>
  <c r="B1750" i="1" s="1"/>
  <c r="B1751" i="1" s="1"/>
  <c r="B1752" i="1" s="1"/>
  <c r="B1753" i="1" s="1"/>
  <c r="B1754" i="1" s="1"/>
  <c r="B1755" i="1" s="1"/>
  <c r="B1756" i="1" s="1"/>
  <c r="B1757" i="1" s="1"/>
  <c r="B1758" i="1" s="1"/>
  <c r="B1759" i="1" s="1"/>
  <c r="B1760" i="1" s="1"/>
  <c r="B1761" i="1" s="1"/>
  <c r="B1762" i="1" s="1"/>
  <c r="B1763" i="1" s="1"/>
  <c r="B1764" i="1" s="1"/>
  <c r="B1765" i="1" s="1"/>
  <c r="B1766" i="1" s="1"/>
  <c r="B1767" i="1" s="1"/>
  <c r="B1768" i="1" s="1"/>
  <c r="B1769" i="1" s="1"/>
  <c r="B1770" i="1" s="1"/>
  <c r="B1771" i="1" s="1"/>
  <c r="B1772" i="1" s="1"/>
  <c r="B1773" i="1" s="1"/>
  <c r="B1774" i="1" s="1"/>
  <c r="B1775" i="1" s="1"/>
  <c r="B1776" i="1" s="1"/>
  <c r="B1777" i="1" s="1"/>
  <c r="B1778" i="1" s="1"/>
  <c r="B1779" i="1" s="1"/>
  <c r="B1780" i="1" s="1"/>
  <c r="B1781" i="1" s="1"/>
  <c r="B1782" i="1" s="1"/>
  <c r="B1783" i="1" s="1"/>
  <c r="B1784" i="1" s="1"/>
  <c r="B1785" i="1" s="1"/>
  <c r="B1786" i="1" s="1"/>
  <c r="B1789" i="1" s="1"/>
  <c r="B1790" i="1" s="1"/>
  <c r="B1791" i="1" s="1"/>
  <c r="B1792" i="1" s="1"/>
  <c r="B1793" i="1" s="1"/>
  <c r="B1794" i="1" s="1"/>
  <c r="B1795" i="1" s="1"/>
  <c r="B1796" i="1" s="1"/>
  <c r="B1797" i="1" s="1"/>
  <c r="B1798" i="1" s="1"/>
  <c r="B1799" i="1" s="1"/>
  <c r="B1800" i="1" s="1"/>
  <c r="B1801" i="1" s="1"/>
  <c r="B1802" i="1" s="1"/>
  <c r="B1803" i="1" s="1"/>
  <c r="B1804" i="1" s="1"/>
  <c r="B1805" i="1" s="1"/>
  <c r="B1806" i="1" s="1"/>
  <c r="B1807" i="1" s="1"/>
  <c r="B1808" i="1" s="1"/>
  <c r="B1809" i="1" s="1"/>
  <c r="B1810" i="1" s="1"/>
  <c r="B1811" i="1" s="1"/>
  <c r="B1812" i="1" s="1"/>
  <c r="B1813" i="1" s="1"/>
  <c r="B1814" i="1" s="1"/>
  <c r="B1815" i="1" s="1"/>
  <c r="B1816" i="1" s="1"/>
  <c r="B1817" i="1" s="1"/>
  <c r="B1818" i="1" s="1"/>
  <c r="B1819" i="1" s="1"/>
  <c r="B1820" i="1" s="1"/>
  <c r="B1821" i="1" s="1"/>
  <c r="B1822" i="1" s="1"/>
  <c r="B1823" i="1" s="1"/>
  <c r="B1824" i="1" s="1"/>
  <c r="B1825" i="1" s="1"/>
  <c r="B1826" i="1" s="1"/>
  <c r="B1827" i="1" s="1"/>
  <c r="B1828" i="1" s="1"/>
  <c r="B1829" i="1" s="1"/>
  <c r="B1830" i="1" s="1"/>
  <c r="B1831" i="1" s="1"/>
  <c r="B1832" i="1" s="1"/>
  <c r="B1833" i="1" s="1"/>
  <c r="B1834" i="1" s="1"/>
  <c r="B1835" i="1" s="1"/>
  <c r="B1836" i="1" s="1"/>
  <c r="B1837" i="1" s="1"/>
  <c r="B1838" i="1" s="1"/>
  <c r="B1839" i="1" s="1"/>
  <c r="B1840" i="1" s="1"/>
  <c r="B1841" i="1" s="1"/>
  <c r="B1842" i="1" s="1"/>
  <c r="B1843" i="1" s="1"/>
  <c r="B1844" i="1" s="1"/>
  <c r="B1845" i="1" s="1"/>
  <c r="B1846" i="1" s="1"/>
  <c r="B5" i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39" i="1" s="1"/>
  <c r="B40" i="1" s="1"/>
  <c r="B41" i="1" s="1"/>
  <c r="B42" i="1" s="1"/>
  <c r="B43" i="1" s="1"/>
  <c r="B44" i="1" s="1"/>
  <c r="B45" i="1" s="1"/>
  <c r="B46" i="1" s="1"/>
  <c r="B47" i="1" s="1"/>
  <c r="B48" i="1" s="1"/>
  <c r="B49" i="1" s="1"/>
  <c r="B50" i="1" s="1"/>
  <c r="B51" i="1" s="1"/>
  <c r="B52" i="1" s="1"/>
  <c r="B53" i="1" s="1"/>
  <c r="B54" i="1" s="1"/>
  <c r="B55" i="1" s="1"/>
  <c r="B56" i="1" s="1"/>
  <c r="B57" i="1" s="1"/>
  <c r="B58" i="1" s="1"/>
  <c r="B59" i="1" s="1"/>
  <c r="B60" i="1" s="1"/>
  <c r="B61" i="1" s="1"/>
  <c r="B62" i="1" s="1"/>
  <c r="B63" i="1" s="1"/>
  <c r="B64" i="1" s="1"/>
  <c r="B65" i="1" s="1"/>
  <c r="B66" i="1" s="1"/>
  <c r="B67" i="1" s="1"/>
  <c r="B68" i="1" s="1"/>
  <c r="B69" i="1" s="1"/>
  <c r="B70" i="1" s="1"/>
  <c r="B71" i="1" s="1"/>
  <c r="B72" i="1" s="1"/>
  <c r="B73" i="1" s="1"/>
  <c r="B74" i="1" s="1"/>
  <c r="B75" i="1" s="1"/>
  <c r="B76" i="1" s="1"/>
  <c r="B77" i="1" s="1"/>
  <c r="B78" i="1" s="1"/>
  <c r="B79" i="1" s="1"/>
  <c r="B80" i="1" s="1"/>
  <c r="B81" i="1" s="1"/>
  <c r="B82" i="1" s="1"/>
  <c r="B83" i="1" s="1"/>
  <c r="B84" i="1" s="1"/>
  <c r="B85" i="1" s="1"/>
  <c r="B86" i="1" s="1"/>
  <c r="B87" i="1" s="1"/>
  <c r="B88" i="1" s="1"/>
  <c r="B89" i="1" s="1"/>
  <c r="B90" i="1" s="1"/>
  <c r="B91" i="1" s="1"/>
  <c r="B92" i="1" s="1"/>
  <c r="B93" i="1" s="1"/>
  <c r="B94" i="1" s="1"/>
  <c r="B95" i="1" s="1"/>
  <c r="B96" i="1" s="1"/>
  <c r="B97" i="1" s="1"/>
  <c r="B98" i="1" s="1"/>
  <c r="B99" i="1" s="1"/>
  <c r="B100" i="1" s="1"/>
  <c r="B101" i="1" s="1"/>
  <c r="B102" i="1" s="1"/>
  <c r="B103" i="1" s="1"/>
  <c r="B104" i="1" s="1"/>
  <c r="B105" i="1" s="1"/>
  <c r="B106" i="1" s="1"/>
  <c r="B107" i="1" s="1"/>
  <c r="B108" i="1" s="1"/>
  <c r="B109" i="1" s="1"/>
  <c r="B110" i="1" s="1"/>
  <c r="B111" i="1" s="1"/>
  <c r="B112" i="1" s="1"/>
  <c r="B113" i="1" s="1"/>
  <c r="B114" i="1" s="1"/>
  <c r="B115" i="1" s="1"/>
  <c r="B116" i="1" s="1"/>
  <c r="B117" i="1" s="1"/>
  <c r="B118" i="1" s="1"/>
  <c r="B119" i="1" s="1"/>
  <c r="B120" i="1" s="1"/>
  <c r="B121" i="1" s="1"/>
  <c r="B122" i="1" s="1"/>
  <c r="B123" i="1" s="1"/>
  <c r="B124" i="1" s="1"/>
  <c r="B125" i="1" s="1"/>
  <c r="B126" i="1" s="1"/>
  <c r="B127" i="1" s="1"/>
  <c r="B128" i="1" s="1"/>
  <c r="B129" i="1" s="1"/>
  <c r="B130" i="1" s="1"/>
  <c r="B131" i="1" s="1"/>
  <c r="B132" i="1" s="1"/>
  <c r="B133" i="1" s="1"/>
  <c r="B134" i="1" s="1"/>
  <c r="B135" i="1" s="1"/>
  <c r="B136" i="1" s="1"/>
  <c r="B137" i="1" s="1"/>
  <c r="B138" i="1" s="1"/>
  <c r="B139" i="1" s="1"/>
  <c r="B140" i="1" s="1"/>
  <c r="B141" i="1" s="1"/>
  <c r="B142" i="1" s="1"/>
  <c r="B143" i="1" s="1"/>
  <c r="B144" i="1" s="1"/>
  <c r="B145" i="1" s="1"/>
  <c r="B146" i="1" s="1"/>
  <c r="B147" i="1" s="1"/>
  <c r="B148" i="1" s="1"/>
  <c r="B149" i="1" s="1"/>
  <c r="B150" i="1" s="1"/>
  <c r="B151" i="1" s="1"/>
  <c r="B152" i="1" s="1"/>
  <c r="B153" i="1" s="1"/>
  <c r="B154" i="1" s="1"/>
  <c r="B155" i="1" s="1"/>
  <c r="B156" i="1" s="1"/>
  <c r="B157" i="1" s="1"/>
  <c r="B158" i="1" s="1"/>
  <c r="B159" i="1" s="1"/>
  <c r="B160" i="1" s="1"/>
  <c r="B161" i="1" s="1"/>
  <c r="B162" i="1" s="1"/>
  <c r="B163" i="1" s="1"/>
  <c r="B164" i="1" s="1"/>
  <c r="B165" i="1" s="1"/>
  <c r="B166" i="1" s="1"/>
  <c r="B167" i="1" s="1"/>
  <c r="B168" i="1" s="1"/>
  <c r="B169" i="1" s="1"/>
  <c r="B170" i="1" s="1"/>
  <c r="B171" i="1" s="1"/>
  <c r="B172" i="1" s="1"/>
  <c r="B173" i="1" s="1"/>
  <c r="B174" i="1" s="1"/>
  <c r="B175" i="1" s="1"/>
  <c r="B176" i="1" s="1"/>
  <c r="B177" i="1" s="1"/>
  <c r="B178" i="1" s="1"/>
  <c r="B179" i="1" s="1"/>
  <c r="B180" i="1" s="1"/>
  <c r="B181" i="1" s="1"/>
  <c r="B182" i="1" s="1"/>
  <c r="B183" i="1" s="1"/>
  <c r="B184" i="1" s="1"/>
  <c r="B185" i="1" s="1"/>
  <c r="B186" i="1" s="1"/>
  <c r="B187" i="1" s="1"/>
  <c r="B188" i="1" s="1"/>
  <c r="B189" i="1" s="1"/>
  <c r="B190" i="1" s="1"/>
  <c r="B191" i="1" s="1"/>
  <c r="B192" i="1" s="1"/>
  <c r="B193" i="1" s="1"/>
  <c r="B194" i="1" s="1"/>
  <c r="B195" i="1" s="1"/>
  <c r="B196" i="1" s="1"/>
  <c r="B197" i="1" s="1"/>
  <c r="B198" i="1" s="1"/>
  <c r="B199" i="1" s="1"/>
  <c r="B200" i="1" s="1"/>
  <c r="B201" i="1" s="1"/>
  <c r="B202" i="1" s="1"/>
  <c r="B203" i="1" s="1"/>
  <c r="B204" i="1" s="1"/>
  <c r="B205" i="1" s="1"/>
  <c r="B206" i="1" s="1"/>
  <c r="B207" i="1" s="1"/>
  <c r="B208" i="1" s="1"/>
  <c r="B209" i="1" s="1"/>
  <c r="B210" i="1" s="1"/>
  <c r="B211" i="1" s="1"/>
  <c r="B212" i="1" s="1"/>
  <c r="B213" i="1" s="1"/>
  <c r="B214" i="1" s="1"/>
  <c r="B215" i="1" s="1"/>
  <c r="B216" i="1" s="1"/>
  <c r="B217" i="1" s="1"/>
  <c r="B218" i="1" s="1"/>
  <c r="B219" i="1" s="1"/>
  <c r="B220" i="1" s="1"/>
  <c r="B221" i="1" s="1"/>
  <c r="B222" i="1" s="1"/>
  <c r="B223" i="1" s="1"/>
  <c r="B224" i="1" s="1"/>
  <c r="B225" i="1" s="1"/>
  <c r="B226" i="1" s="1"/>
  <c r="B227" i="1" s="1"/>
  <c r="B228" i="1" s="1"/>
  <c r="B229" i="1" s="1"/>
  <c r="B230" i="1" s="1"/>
  <c r="B231" i="1" s="1"/>
  <c r="B232" i="1" s="1"/>
  <c r="B233" i="1" s="1"/>
  <c r="B234" i="1" s="1"/>
  <c r="B235" i="1" s="1"/>
  <c r="B236" i="1" s="1"/>
  <c r="B237" i="1" s="1"/>
  <c r="B238" i="1" s="1"/>
  <c r="B239" i="1" s="1"/>
  <c r="B240" i="1" s="1"/>
  <c r="B241" i="1" s="1"/>
  <c r="B242" i="1" s="1"/>
  <c r="B243" i="1" s="1"/>
  <c r="B244" i="1" s="1"/>
  <c r="B245" i="1" s="1"/>
  <c r="B246" i="1" s="1"/>
  <c r="B247" i="1" s="1"/>
  <c r="B248" i="1" s="1"/>
  <c r="B249" i="1" s="1"/>
  <c r="B250" i="1" s="1"/>
  <c r="B251" i="1" s="1"/>
  <c r="B252" i="1" s="1"/>
  <c r="B253" i="1" s="1"/>
  <c r="B254" i="1" s="1"/>
  <c r="B255" i="1" s="1"/>
  <c r="B256" i="1" s="1"/>
  <c r="B257" i="1" s="1"/>
  <c r="B258" i="1" s="1"/>
  <c r="B259" i="1" s="1"/>
  <c r="B260" i="1" s="1"/>
  <c r="B261" i="1" s="1"/>
  <c r="B262" i="1" s="1"/>
  <c r="B263" i="1" s="1"/>
  <c r="B264" i="1" s="1"/>
  <c r="B265" i="1" s="1"/>
  <c r="B266" i="1" s="1"/>
  <c r="B267" i="1" s="1"/>
  <c r="B268" i="1" s="1"/>
  <c r="B269" i="1" s="1"/>
  <c r="B270" i="1" s="1"/>
  <c r="B271" i="1" s="1"/>
  <c r="B272" i="1" s="1"/>
  <c r="B273" i="1" s="1"/>
  <c r="B274" i="1" s="1"/>
  <c r="B275" i="1" s="1"/>
  <c r="B276" i="1" s="1"/>
  <c r="B277" i="1" s="1"/>
  <c r="B278" i="1" s="1"/>
  <c r="B279" i="1" s="1"/>
  <c r="B280" i="1" s="1"/>
  <c r="B281" i="1" s="1"/>
  <c r="B282" i="1" s="1"/>
  <c r="B283" i="1" s="1"/>
  <c r="B284" i="1" s="1"/>
  <c r="B285" i="1" s="1"/>
  <c r="B286" i="1" s="1"/>
  <c r="B287" i="1" s="1"/>
  <c r="B288" i="1" s="1"/>
  <c r="B289" i="1" s="1"/>
  <c r="B290" i="1" s="1"/>
  <c r="B291" i="1" s="1"/>
  <c r="B292" i="1" s="1"/>
  <c r="B293" i="1" s="1"/>
  <c r="B294" i="1" s="1"/>
  <c r="B295" i="1" s="1"/>
  <c r="B296" i="1" s="1"/>
  <c r="B297" i="1" s="1"/>
  <c r="B298" i="1" s="1"/>
  <c r="B299" i="1" s="1"/>
  <c r="B300" i="1" s="1"/>
  <c r="B301" i="1" s="1"/>
  <c r="B302" i="1" s="1"/>
  <c r="B303" i="1" s="1"/>
  <c r="B304" i="1" s="1"/>
  <c r="B305" i="1" s="1"/>
  <c r="B306" i="1" s="1"/>
  <c r="B307" i="1" s="1"/>
  <c r="B308" i="1" s="1"/>
  <c r="B309" i="1" s="1"/>
  <c r="B310" i="1" s="1"/>
  <c r="B311" i="1" s="1"/>
  <c r="B312" i="1" s="1"/>
  <c r="B313" i="1" s="1"/>
  <c r="B314" i="1" s="1"/>
  <c r="B315" i="1" s="1"/>
  <c r="B316" i="1" s="1"/>
  <c r="B317" i="1" s="1"/>
  <c r="B318" i="1" s="1"/>
  <c r="B319" i="1" s="1"/>
  <c r="B320" i="1" s="1"/>
  <c r="B321" i="1" s="1"/>
  <c r="B322" i="1" s="1"/>
  <c r="B323" i="1" s="1"/>
  <c r="B324" i="1" s="1"/>
  <c r="B325" i="1" s="1"/>
  <c r="B326" i="1" s="1"/>
  <c r="B327" i="1" s="1"/>
  <c r="B328" i="1" s="1"/>
  <c r="B329" i="1" s="1"/>
  <c r="B330" i="1" s="1"/>
  <c r="B331" i="1" s="1"/>
  <c r="B332" i="1" s="1"/>
  <c r="B333" i="1" s="1"/>
  <c r="B334" i="1" s="1"/>
  <c r="B335" i="1" s="1"/>
  <c r="B336" i="1" s="1"/>
  <c r="B337" i="1" s="1"/>
  <c r="B338" i="1" s="1"/>
  <c r="B339" i="1" s="1"/>
  <c r="B340" i="1" s="1"/>
  <c r="B341" i="1" s="1"/>
  <c r="B342" i="1" s="1"/>
  <c r="B343" i="1" s="1"/>
  <c r="B344" i="1" s="1"/>
  <c r="B345" i="1" s="1"/>
  <c r="B346" i="1" s="1"/>
  <c r="B347" i="1" s="1"/>
  <c r="B348" i="1" s="1"/>
  <c r="B349" i="1" s="1"/>
  <c r="B350" i="1" s="1"/>
  <c r="B351" i="1" s="1"/>
  <c r="B352" i="1" s="1"/>
  <c r="B353" i="1" s="1"/>
  <c r="B354" i="1" s="1"/>
  <c r="B355" i="1" s="1"/>
  <c r="B356" i="1" s="1"/>
  <c r="B357" i="1" s="1"/>
  <c r="B358" i="1" s="1"/>
  <c r="B359" i="1" s="1"/>
  <c r="B360" i="1" s="1"/>
  <c r="B361" i="1" s="1"/>
  <c r="B362" i="1" s="1"/>
  <c r="B363" i="1" s="1"/>
  <c r="B364" i="1" s="1"/>
  <c r="B365" i="1" s="1"/>
  <c r="B366" i="1" s="1"/>
  <c r="B367" i="1" s="1"/>
  <c r="B368" i="1" s="1"/>
  <c r="B369" i="1" s="1"/>
  <c r="B370" i="1" s="1"/>
  <c r="B371" i="1" s="1"/>
  <c r="B372" i="1" s="1"/>
  <c r="B373" i="1" s="1"/>
  <c r="B374" i="1" s="1"/>
  <c r="B375" i="1" s="1"/>
  <c r="B376" i="1" s="1"/>
  <c r="B377" i="1" s="1"/>
  <c r="B378" i="1" s="1"/>
  <c r="B379" i="1" s="1"/>
  <c r="B380" i="1" s="1"/>
  <c r="B381" i="1" s="1"/>
  <c r="B382" i="1" s="1"/>
  <c r="B383" i="1" s="1"/>
  <c r="B384" i="1" s="1"/>
  <c r="B385" i="1" s="1"/>
  <c r="B386" i="1" s="1"/>
  <c r="B387" i="1" s="1"/>
  <c r="B388" i="1" s="1"/>
  <c r="B389" i="1" s="1"/>
  <c r="B390" i="1" s="1"/>
  <c r="B391" i="1" s="1"/>
  <c r="B392" i="1" s="1"/>
  <c r="B393" i="1" s="1"/>
  <c r="B394" i="1" s="1"/>
  <c r="B395" i="1" s="1"/>
  <c r="B396" i="1" s="1"/>
  <c r="B397" i="1" s="1"/>
  <c r="B398" i="1" s="1"/>
  <c r="B399" i="1" s="1"/>
  <c r="B400" i="1" s="1"/>
  <c r="B401" i="1" s="1"/>
  <c r="B402" i="1" s="1"/>
  <c r="B403" i="1" s="1"/>
  <c r="B404" i="1" s="1"/>
  <c r="B405" i="1" s="1"/>
  <c r="B406" i="1" s="1"/>
  <c r="B407" i="1" s="1"/>
  <c r="B408" i="1" s="1"/>
  <c r="B409" i="1" s="1"/>
  <c r="B410" i="1" s="1"/>
  <c r="B411" i="1" s="1"/>
  <c r="B412" i="1" s="1"/>
  <c r="B413" i="1" s="1"/>
  <c r="B414" i="1" s="1"/>
  <c r="B415" i="1" s="1"/>
  <c r="B416" i="1" s="1"/>
  <c r="B417" i="1" s="1"/>
  <c r="B418" i="1" s="1"/>
  <c r="B419" i="1" s="1"/>
  <c r="B420" i="1" s="1"/>
  <c r="B421" i="1" s="1"/>
  <c r="B422" i="1" s="1"/>
  <c r="B423" i="1" s="1"/>
  <c r="B424" i="1" s="1"/>
  <c r="B425" i="1" s="1"/>
  <c r="B426" i="1" s="1"/>
  <c r="B427" i="1" s="1"/>
  <c r="B428" i="1" s="1"/>
  <c r="B429" i="1" s="1"/>
  <c r="B430" i="1" s="1"/>
  <c r="B431" i="1" s="1"/>
  <c r="B432" i="1" s="1"/>
  <c r="B433" i="1" s="1"/>
  <c r="B434" i="1" s="1"/>
  <c r="B435" i="1" s="1"/>
  <c r="B436" i="1" s="1"/>
  <c r="B437" i="1" s="1"/>
  <c r="B438" i="1" s="1"/>
  <c r="B439" i="1" s="1"/>
  <c r="B440" i="1" s="1"/>
  <c r="B441" i="1" s="1"/>
  <c r="B442" i="1" s="1"/>
  <c r="B443" i="1" s="1"/>
  <c r="B444" i="1" s="1"/>
  <c r="B445" i="1" s="1"/>
  <c r="B446" i="1" s="1"/>
  <c r="B447" i="1" s="1"/>
  <c r="B448" i="1" s="1"/>
  <c r="B449" i="1" s="1"/>
  <c r="B450" i="1" s="1"/>
  <c r="B451" i="1" s="1"/>
  <c r="B452" i="1" s="1"/>
  <c r="B453" i="1" s="1"/>
  <c r="B454" i="1" s="1"/>
  <c r="B455" i="1" s="1"/>
  <c r="B456" i="1" s="1"/>
  <c r="B457" i="1" s="1"/>
  <c r="B458" i="1" s="1"/>
  <c r="B459" i="1" s="1"/>
  <c r="B460" i="1" s="1"/>
  <c r="B461" i="1" s="1"/>
  <c r="B462" i="1" s="1"/>
  <c r="B463" i="1" s="1"/>
  <c r="B464" i="1" s="1"/>
  <c r="B465" i="1" s="1"/>
  <c r="B466" i="1" s="1"/>
  <c r="B467" i="1" s="1"/>
  <c r="B468" i="1" s="1"/>
  <c r="B469" i="1" s="1"/>
  <c r="B470" i="1" s="1"/>
  <c r="B471" i="1" s="1"/>
  <c r="B472" i="1" s="1"/>
  <c r="B473" i="1" s="1"/>
  <c r="B474" i="1" s="1"/>
  <c r="B475" i="1" s="1"/>
  <c r="B476" i="1" s="1"/>
  <c r="B477" i="1" s="1"/>
  <c r="B478" i="1" s="1"/>
  <c r="B479" i="1" s="1"/>
  <c r="B480" i="1" s="1"/>
  <c r="B481" i="1" s="1"/>
  <c r="B482" i="1" s="1"/>
  <c r="B483" i="1" s="1"/>
  <c r="B484" i="1" s="1"/>
  <c r="B485" i="1" s="1"/>
  <c r="B486" i="1" s="1"/>
  <c r="B487" i="1" s="1"/>
  <c r="B488" i="1" s="1"/>
  <c r="B489" i="1" s="1"/>
  <c r="B490" i="1" s="1"/>
  <c r="B491" i="1" s="1"/>
  <c r="B492" i="1" s="1"/>
  <c r="B493" i="1" s="1"/>
  <c r="B494" i="1" s="1"/>
  <c r="B495" i="1" s="1"/>
  <c r="B496" i="1" s="1"/>
  <c r="B497" i="1" s="1"/>
  <c r="B498" i="1" s="1"/>
  <c r="B499" i="1" s="1"/>
  <c r="B500" i="1" s="1"/>
  <c r="B501" i="1" s="1"/>
  <c r="B502" i="1" s="1"/>
  <c r="B503" i="1" s="1"/>
  <c r="B504" i="1" s="1"/>
  <c r="B505" i="1" s="1"/>
  <c r="B506" i="1" s="1"/>
  <c r="B507" i="1" s="1"/>
  <c r="B508" i="1" s="1"/>
  <c r="B509" i="1" s="1"/>
  <c r="B510" i="1" s="1"/>
  <c r="B511" i="1" s="1"/>
  <c r="B512" i="1" s="1"/>
  <c r="B513" i="1" s="1"/>
  <c r="B514" i="1" s="1"/>
  <c r="B515" i="1" s="1"/>
  <c r="B516" i="1" s="1"/>
  <c r="B517" i="1" s="1"/>
  <c r="B518" i="1" s="1"/>
  <c r="B519" i="1" s="1"/>
  <c r="B520" i="1" s="1"/>
  <c r="B521" i="1" s="1"/>
  <c r="B522" i="1" s="1"/>
  <c r="B523" i="1" s="1"/>
  <c r="B524" i="1" s="1"/>
  <c r="B525" i="1" s="1"/>
  <c r="B526" i="1" s="1"/>
  <c r="B527" i="1" s="1"/>
  <c r="B528" i="1" s="1"/>
  <c r="B529" i="1" s="1"/>
  <c r="B530" i="1" s="1"/>
  <c r="B531" i="1" s="1"/>
  <c r="B532" i="1" s="1"/>
  <c r="B533" i="1" s="1"/>
  <c r="B534" i="1" s="1"/>
  <c r="B535" i="1" s="1"/>
  <c r="B536" i="1" s="1"/>
  <c r="B537" i="1" s="1"/>
  <c r="B538" i="1" s="1"/>
  <c r="B539" i="1" s="1"/>
  <c r="B540" i="1" s="1"/>
  <c r="B541" i="1" s="1"/>
  <c r="B542" i="1" s="1"/>
  <c r="B543" i="1" s="1"/>
  <c r="B544" i="1" s="1"/>
  <c r="B545" i="1" s="1"/>
  <c r="B546" i="1" s="1"/>
  <c r="B547" i="1" s="1"/>
  <c r="B548" i="1" s="1"/>
  <c r="B549" i="1" s="1"/>
  <c r="B550" i="1" s="1"/>
  <c r="B551" i="1" s="1"/>
  <c r="B552" i="1" s="1"/>
  <c r="B553" i="1" s="1"/>
  <c r="B554" i="1" s="1"/>
  <c r="B555" i="1" s="1"/>
  <c r="B556" i="1" s="1"/>
  <c r="B557" i="1" s="1"/>
  <c r="B558" i="1" s="1"/>
  <c r="B559" i="1" s="1"/>
  <c r="B560" i="1" s="1"/>
  <c r="B561" i="1" s="1"/>
  <c r="B562" i="1" s="1"/>
  <c r="B563" i="1" s="1"/>
  <c r="B564" i="1" s="1"/>
  <c r="B565" i="1" s="1"/>
  <c r="B566" i="1" s="1"/>
  <c r="B567" i="1" s="1"/>
  <c r="B568" i="1" s="1"/>
  <c r="B569" i="1" s="1"/>
  <c r="B570" i="1" s="1"/>
  <c r="B571" i="1" s="1"/>
  <c r="B572" i="1" s="1"/>
  <c r="B573" i="1" s="1"/>
  <c r="B574" i="1" s="1"/>
  <c r="B575" i="1" s="1"/>
  <c r="B576" i="1" s="1"/>
  <c r="B577" i="1" s="1"/>
  <c r="B578" i="1" s="1"/>
  <c r="B579" i="1" s="1"/>
  <c r="B580" i="1" s="1"/>
  <c r="B581" i="1" s="1"/>
  <c r="B582" i="1" s="1"/>
  <c r="B583" i="1" s="1"/>
  <c r="B584" i="1" s="1"/>
  <c r="B585" i="1" s="1"/>
  <c r="B586" i="1" s="1"/>
  <c r="B587" i="1" s="1"/>
  <c r="B588" i="1" s="1"/>
  <c r="B589" i="1" s="1"/>
  <c r="B590" i="1" s="1"/>
  <c r="B591" i="1" s="1"/>
  <c r="B592" i="1" s="1"/>
  <c r="B593" i="1" s="1"/>
  <c r="B594" i="1" s="1"/>
  <c r="B595" i="1" s="1"/>
  <c r="B596" i="1" s="1"/>
  <c r="B597" i="1" s="1"/>
  <c r="B598" i="1" s="1"/>
  <c r="B599" i="1" s="1"/>
  <c r="B600" i="1" s="1"/>
  <c r="B601" i="1" s="1"/>
  <c r="B602" i="1" s="1"/>
  <c r="B603" i="1" s="1"/>
  <c r="B604" i="1" s="1"/>
  <c r="B605" i="1" s="1"/>
  <c r="B606" i="1" s="1"/>
  <c r="B607" i="1" s="1"/>
  <c r="B608" i="1" s="1"/>
  <c r="B609" i="1" s="1"/>
  <c r="B610" i="1" s="1"/>
  <c r="B611" i="1" s="1"/>
  <c r="B612" i="1" s="1"/>
  <c r="B613" i="1" s="1"/>
  <c r="B614" i="1" s="1"/>
  <c r="B615" i="1" s="1"/>
  <c r="B616" i="1" s="1"/>
  <c r="B617" i="1" s="1"/>
  <c r="B618" i="1" s="1"/>
  <c r="B619" i="1" s="1"/>
  <c r="B620" i="1" s="1"/>
  <c r="B621" i="1" s="1"/>
  <c r="B622" i="1" s="1"/>
  <c r="B623" i="1" s="1"/>
  <c r="B624" i="1" s="1"/>
  <c r="B625" i="1" s="1"/>
  <c r="B626" i="1" s="1"/>
  <c r="B627" i="1" s="1"/>
  <c r="B628" i="1" s="1"/>
  <c r="B629" i="1" s="1"/>
  <c r="B630" i="1" s="1"/>
  <c r="B631" i="1" s="1"/>
  <c r="B632" i="1" s="1"/>
  <c r="B633" i="1" s="1"/>
  <c r="B634" i="1" s="1"/>
  <c r="B635" i="1" s="1"/>
  <c r="B636" i="1" s="1"/>
  <c r="B637" i="1" s="1"/>
  <c r="B638" i="1" s="1"/>
  <c r="B639" i="1" s="1"/>
  <c r="B640" i="1" s="1"/>
  <c r="B641" i="1" s="1"/>
  <c r="B642" i="1" s="1"/>
  <c r="B643" i="1" s="1"/>
  <c r="B644" i="1" s="1"/>
  <c r="B645" i="1" s="1"/>
  <c r="B646" i="1" s="1"/>
  <c r="B647" i="1" s="1"/>
  <c r="B648" i="1" s="1"/>
  <c r="B649" i="1" s="1"/>
  <c r="B650" i="1" s="1"/>
  <c r="B651" i="1" s="1"/>
  <c r="Q2907" i="1" l="1"/>
  <c r="N2972" i="1"/>
  <c r="M2686" i="1"/>
  <c r="L2017" i="1"/>
  <c r="M2016" i="1" s="1"/>
  <c r="M2779" i="1"/>
  <c r="L1949" i="1"/>
  <c r="M1952" i="1" s="1"/>
  <c r="L1959" i="1"/>
  <c r="M1956" i="1" s="1"/>
  <c r="M2773" i="1"/>
  <c r="M2618" i="1"/>
  <c r="M2620" i="1" s="1"/>
  <c r="M2308" i="1"/>
  <c r="N2310" i="1" s="1"/>
  <c r="L1901" i="1"/>
  <c r="M1904" i="1" s="1"/>
  <c r="L1838" i="1"/>
  <c r="M1842" i="1" s="1"/>
  <c r="L1721" i="1"/>
  <c r="M1713" i="1" s="1"/>
  <c r="M2412" i="1"/>
  <c r="N2414" i="1" s="1"/>
  <c r="M2891" i="1"/>
  <c r="L1662" i="1"/>
  <c r="Q2906" i="1"/>
  <c r="L2151" i="1"/>
  <c r="L2060" i="1"/>
  <c r="M2062" i="1" s="1"/>
  <c r="L2128" i="1"/>
  <c r="M2131" i="1" s="1"/>
  <c r="M2679" i="1"/>
  <c r="M2931" i="1"/>
  <c r="L2222" i="1"/>
  <c r="M2227" i="1" s="1"/>
  <c r="L2232" i="1"/>
  <c r="M2231" i="1" s="1"/>
  <c r="M2590" i="1"/>
  <c r="M2594" i="1" s="1"/>
  <c r="N2925" i="1"/>
  <c r="M2515" i="1"/>
  <c r="N2522" i="1" s="1"/>
  <c r="L1777" i="1"/>
  <c r="L1847" i="1"/>
  <c r="M1845" i="1" s="1"/>
  <c r="L1786" i="1"/>
  <c r="M1785" i="1" s="1"/>
  <c r="L2138" i="1"/>
  <c r="M2135" i="1" s="1"/>
  <c r="L2006" i="1"/>
  <c r="L2070" i="1"/>
  <c r="M2067" i="1" s="1"/>
  <c r="M2422" i="1"/>
  <c r="M2425" i="1" s="1"/>
  <c r="L1911" i="1"/>
  <c r="M1909" i="1" s="1"/>
  <c r="B2958" i="1"/>
  <c r="B2959" i="1" s="1"/>
  <c r="B2960" i="1" s="1"/>
  <c r="B2961" i="1" s="1"/>
  <c r="B2962" i="1" s="1"/>
  <c r="B2965" i="1" s="1"/>
  <c r="B2966" i="1" s="1"/>
  <c r="B2967" i="1" s="1"/>
  <c r="B2968" i="1" s="1"/>
  <c r="B2969" i="1" s="1"/>
  <c r="B2970" i="1" s="1"/>
  <c r="B2971" i="1" s="1"/>
  <c r="B2972" i="1" s="1"/>
  <c r="B2973" i="1" s="1"/>
  <c r="B2974" i="1" s="1"/>
  <c r="B2975" i="1" s="1"/>
  <c r="B2976" i="1" s="1"/>
  <c r="B2977" i="1" s="1"/>
  <c r="B2978" i="1" s="1"/>
  <c r="B2979" i="1" s="1"/>
  <c r="B2980" i="1" s="1"/>
  <c r="B2981" i="1" s="1"/>
  <c r="B2982" i="1" s="1"/>
  <c r="B2983" i="1" s="1"/>
  <c r="B2984" i="1" s="1"/>
  <c r="B2985" i="1" s="1"/>
  <c r="B2986" i="1" s="1"/>
  <c r="B2987" i="1" s="1"/>
  <c r="B2988" i="1" s="1"/>
  <c r="B2989" i="1" s="1"/>
  <c r="B2990" i="1" s="1"/>
  <c r="B2991" i="1" s="1"/>
  <c r="B2992" i="1" s="1"/>
  <c r="B2993" i="1" s="1"/>
  <c r="B2994" i="1" s="1"/>
  <c r="B2995" i="1" s="1"/>
  <c r="B2996" i="1" s="1"/>
  <c r="B2997" i="1" s="1"/>
  <c r="B2998" i="1" s="1"/>
  <c r="B2999" i="1" s="1"/>
  <c r="B3000" i="1" s="1"/>
  <c r="B3001" i="1" s="1"/>
  <c r="B3002" i="1" s="1"/>
  <c r="B3003" i="1" s="1"/>
  <c r="B3004" i="1" s="1"/>
  <c r="B3005" i="1" s="1"/>
  <c r="B3006" i="1" s="1"/>
  <c r="B3007" i="1" s="1"/>
  <c r="B3008" i="1" s="1"/>
  <c r="B3009" i="1" s="1"/>
  <c r="B3010" i="1" s="1"/>
  <c r="B3011" i="1" s="1"/>
  <c r="B3012" i="1" s="1"/>
  <c r="B3013" i="1" s="1"/>
  <c r="B3014" i="1" s="1"/>
  <c r="B3015" i="1" s="1"/>
  <c r="B3016" i="1" s="1"/>
  <c r="B3017" i="1" s="1"/>
  <c r="B3018" i="1" s="1"/>
  <c r="B3019" i="1" s="1"/>
  <c r="B3020" i="1" s="1"/>
  <c r="B3021" i="1" s="1"/>
  <c r="B3022" i="1" s="1"/>
  <c r="B3025" i="1" s="1"/>
  <c r="B3026" i="1" s="1"/>
  <c r="B3027" i="1" s="1"/>
  <c r="B3028" i="1" s="1"/>
  <c r="B3029" i="1" s="1"/>
  <c r="B3030" i="1" s="1"/>
  <c r="B3031" i="1" s="1"/>
  <c r="B3032" i="1" s="1"/>
  <c r="B3033" i="1" s="1"/>
  <c r="B3034" i="1" s="1"/>
  <c r="B3035" i="1" s="1"/>
  <c r="B3036" i="1" s="1"/>
  <c r="B3037" i="1" s="1"/>
  <c r="B3038" i="1" s="1"/>
  <c r="B3039" i="1" s="1"/>
  <c r="B3040" i="1" s="1"/>
  <c r="B3041" i="1" s="1"/>
  <c r="B3042" i="1" s="1"/>
  <c r="B3043" i="1" s="1"/>
  <c r="B3044" i="1" s="1"/>
  <c r="B3045" i="1" s="1"/>
  <c r="B3046" i="1" s="1"/>
  <c r="B3047" i="1" s="1"/>
  <c r="B3048" i="1" s="1"/>
  <c r="B3049" i="1" s="1"/>
  <c r="B3050" i="1" s="1"/>
  <c r="B3051" i="1" s="1"/>
  <c r="B3052" i="1" s="1"/>
  <c r="B3053" i="1" s="1"/>
  <c r="B3054" i="1" s="1"/>
  <c r="B3055" i="1" s="1"/>
  <c r="B3056" i="1" s="1"/>
  <c r="B3057" i="1" s="1"/>
  <c r="B3058" i="1" s="1"/>
  <c r="B3059" i="1" s="1"/>
  <c r="B3060" i="1" s="1"/>
  <c r="B3061" i="1" s="1"/>
  <c r="B3062" i="1" s="1"/>
  <c r="B3063" i="1" s="1"/>
  <c r="B3064" i="1" s="1"/>
  <c r="B3065" i="1" s="1"/>
  <c r="B3066" i="1" s="1"/>
  <c r="B3067" i="1" s="1"/>
  <c r="B3068" i="1" s="1"/>
  <c r="B3069" i="1" s="1"/>
  <c r="B3070" i="1" s="1"/>
  <c r="B3071" i="1" s="1"/>
  <c r="B3072" i="1" s="1"/>
  <c r="B3073" i="1" s="1"/>
  <c r="B3074" i="1" s="1"/>
  <c r="B3075" i="1" s="1"/>
  <c r="B3076" i="1" s="1"/>
  <c r="B3077" i="1" s="1"/>
  <c r="B3078" i="1" s="1"/>
  <c r="B3079" i="1" s="1"/>
  <c r="B3080" i="1" s="1"/>
  <c r="B3081" i="1" s="1"/>
  <c r="B3082" i="1" s="1"/>
  <c r="B3083" i="1" s="1"/>
  <c r="B3084" i="1" s="1"/>
  <c r="B3085" i="1" s="1"/>
  <c r="B3086" i="1" s="1"/>
  <c r="B3087" i="1" s="1"/>
  <c r="B3088" i="1" s="1"/>
  <c r="B3089" i="1" s="1"/>
  <c r="B3090" i="1" s="1"/>
  <c r="B3091" i="1" s="1"/>
  <c r="B3092" i="1" s="1"/>
  <c r="B3093" i="1" s="1"/>
  <c r="B3094" i="1" s="1"/>
  <c r="M2318" i="1"/>
  <c r="M2321" i="1" s="1"/>
  <c r="M2870" i="1"/>
  <c r="M2799" i="1"/>
  <c r="Q2905" i="1"/>
  <c r="M2527" i="1"/>
  <c r="M1714" i="1" l="1"/>
  <c r="M1958" i="1"/>
  <c r="M1839" i="1"/>
  <c r="M1719" i="1"/>
  <c r="M1720" i="1"/>
  <c r="M1718" i="1"/>
  <c r="M1840" i="1"/>
  <c r="M2065" i="1"/>
  <c r="M2063" i="1"/>
  <c r="N2519" i="1"/>
  <c r="L1963" i="1"/>
  <c r="M1957" i="1"/>
  <c r="M1954" i="1"/>
  <c r="M1951" i="1"/>
  <c r="M2015" i="1"/>
  <c r="M2014" i="1"/>
  <c r="M2224" i="1"/>
  <c r="M1844" i="1"/>
  <c r="N2420" i="1"/>
  <c r="N2311" i="1"/>
  <c r="M2136" i="1"/>
  <c r="N2313" i="1"/>
  <c r="M2229" i="1"/>
  <c r="M2230" i="1"/>
  <c r="N2421" i="1"/>
  <c r="M1906" i="1"/>
  <c r="L2235" i="1"/>
  <c r="M2225" i="1"/>
  <c r="M1903" i="1"/>
  <c r="M1783" i="1"/>
  <c r="M2133" i="1"/>
  <c r="M2130" i="1"/>
  <c r="M1910" i="1"/>
  <c r="N2419" i="1"/>
  <c r="M1784" i="1"/>
  <c r="M2010" i="1"/>
  <c r="M2009" i="1"/>
  <c r="M2012" i="1"/>
  <c r="M1781" i="1"/>
  <c r="M1779" i="1"/>
  <c r="M1778" i="1"/>
  <c r="N2317" i="1"/>
  <c r="N2316" i="1"/>
  <c r="M2530" i="1"/>
  <c r="N2525" i="1"/>
  <c r="N2524" i="1"/>
  <c r="N2526" i="1"/>
  <c r="L2073" i="1"/>
  <c r="M2068" i="1"/>
  <c r="N2315" i="1"/>
  <c r="M2137" i="1"/>
  <c r="L2141" i="1"/>
  <c r="M2069" i="1"/>
  <c r="M1846" i="1"/>
  <c r="M1908" i="1"/>
  <c r="B120" i="3"/>
  <c r="B121" i="3" s="1"/>
  <c r="B122" i="3" s="1"/>
  <c r="B123" i="3" s="1"/>
  <c r="B11" i="3"/>
  <c r="B12" i="3"/>
  <c r="B13" i="3" s="1"/>
  <c r="B14" i="3" s="1"/>
  <c r="B30" i="3"/>
  <c r="B31" i="3"/>
  <c r="B126" i="3" l="1"/>
  <c r="B127" i="3" s="1"/>
  <c r="B128" i="3" s="1"/>
  <c r="B129" i="3" s="1"/>
  <c r="B130" i="3" s="1"/>
  <c r="B131" i="3" s="1"/>
  <c r="B132" i="3" s="1"/>
  <c r="B133" i="3" s="1"/>
  <c r="B142" i="3" s="1"/>
  <c r="B143" i="3" s="1"/>
  <c r="B144" i="3" s="1"/>
  <c r="B145" i="3" s="1"/>
  <c r="B146" i="3" s="1"/>
  <c r="B147" i="3" s="1"/>
  <c r="B148" i="3" s="1"/>
  <c r="B149" i="3" s="1"/>
  <c r="B150" i="3" s="1"/>
  <c r="B151" i="3" s="1"/>
  <c r="B152" i="3" s="1"/>
  <c r="B153" i="3" s="1"/>
  <c r="B154" i="3" s="1"/>
  <c r="B155" i="3" s="1"/>
  <c r="B156" i="3" s="1"/>
  <c r="B157" i="3" s="1"/>
  <c r="B158" i="3" s="1"/>
  <c r="B159" i="3" s="1"/>
  <c r="B160" i="3" s="1"/>
  <c r="B161" i="3" s="1"/>
  <c r="B162" i="3" s="1"/>
  <c r="B163" i="3" s="1"/>
  <c r="B164" i="3" s="1"/>
  <c r="B165" i="3" s="1"/>
  <c r="B166" i="3" s="1"/>
  <c r="B167" i="3" s="1"/>
  <c r="B168" i="3" s="1"/>
  <c r="B169" i="3" s="1"/>
  <c r="B170" i="3" s="1"/>
  <c r="B171" i="3" s="1"/>
  <c r="B172" i="3" s="1"/>
  <c r="B173" i="3" s="1"/>
  <c r="B174" i="3" s="1"/>
  <c r="B175" i="3" s="1"/>
  <c r="B176" i="3" s="1"/>
  <c r="B177" i="3" s="1"/>
  <c r="B178" i="3" s="1"/>
  <c r="B179" i="3" s="1"/>
  <c r="B180" i="3" s="1"/>
  <c r="B181" i="3" s="1"/>
  <c r="B182" i="3" s="1"/>
  <c r="B183" i="3" s="1"/>
  <c r="B184" i="3" s="1"/>
  <c r="B185" i="3" s="1"/>
  <c r="B186" i="3" s="1"/>
  <c r="B187" i="3" s="1"/>
  <c r="B188" i="3" s="1"/>
  <c r="B189" i="3" s="1"/>
  <c r="B190" i="3" s="1"/>
  <c r="B191" i="3" s="1"/>
  <c r="B192" i="3" s="1"/>
  <c r="B193" i="3" s="1"/>
  <c r="B194" i="3" s="1"/>
  <c r="B195" i="3" s="1"/>
  <c r="B196" i="3" s="1"/>
  <c r="B197" i="3" s="1"/>
  <c r="B198" i="3" s="1"/>
  <c r="B199" i="3" s="1"/>
  <c r="B200" i="3" s="1"/>
  <c r="B201" i="3" s="1"/>
  <c r="B202" i="3" s="1"/>
  <c r="B203" i="3" s="1"/>
  <c r="B204" i="3" s="1"/>
  <c r="B205" i="3" s="1"/>
  <c r="B206" i="3" s="1"/>
  <c r="B207" i="3" s="1"/>
  <c r="B208" i="3" s="1"/>
  <c r="B209" i="3" s="1"/>
  <c r="B210" i="3" s="1"/>
  <c r="B211" i="3" s="1"/>
  <c r="B212" i="3" s="1"/>
  <c r="B213" i="3" s="1"/>
  <c r="B214" i="3" s="1"/>
  <c r="B215" i="3" s="1"/>
  <c r="B216" i="3" s="1"/>
  <c r="B217" i="3" s="1"/>
  <c r="B218" i="3" s="1"/>
  <c r="B219" i="3" s="1"/>
  <c r="B220" i="3" s="1"/>
  <c r="B221" i="3" s="1"/>
  <c r="B222" i="3" s="1"/>
  <c r="B223" i="3" s="1"/>
  <c r="B224" i="3" s="1"/>
  <c r="B225" i="3" s="1"/>
  <c r="B226" i="3" s="1"/>
  <c r="B227" i="3" s="1"/>
  <c r="B228" i="3" s="1"/>
  <c r="B229" i="3" s="1"/>
  <c r="B230" i="3" s="1"/>
  <c r="B231" i="3" s="1"/>
  <c r="B232" i="3" s="1"/>
  <c r="B233" i="3" s="1"/>
  <c r="B124" i="3"/>
  <c r="B125" i="3" s="1"/>
</calcChain>
</file>

<file path=xl/sharedStrings.xml><?xml version="1.0" encoding="utf-8"?>
<sst xmlns="http://schemas.openxmlformats.org/spreadsheetml/2006/main" count="10894" uniqueCount="5456">
  <si>
    <t>DAFTAR ALUMNI TEKNIK GEODESI</t>
  </si>
  <si>
    <t>NO.</t>
  </si>
  <si>
    <t>NAMA</t>
  </si>
  <si>
    <t>NIM</t>
  </si>
  <si>
    <t>Tgl.Lulus</t>
  </si>
  <si>
    <t>Lama Studi</t>
  </si>
  <si>
    <t>IPK</t>
  </si>
  <si>
    <t>Hasjimy Masidin</t>
  </si>
  <si>
    <t>Haroetomo</t>
  </si>
  <si>
    <t>Prijono</t>
  </si>
  <si>
    <t>Rachmad PH.</t>
  </si>
  <si>
    <t>Soeminto</t>
  </si>
  <si>
    <t>Soebardi</t>
  </si>
  <si>
    <t>Soeprapto</t>
  </si>
  <si>
    <t>Iskandar Hidayat</t>
  </si>
  <si>
    <t>Djamhari</t>
  </si>
  <si>
    <t>Suharsana</t>
  </si>
  <si>
    <t>MARTOYO</t>
  </si>
  <si>
    <t>Soepono</t>
  </si>
  <si>
    <t>Soeta'at</t>
  </si>
  <si>
    <t>Aryono Prihandito</t>
  </si>
  <si>
    <t>Soegiharto</t>
  </si>
  <si>
    <t>Sumaryo</t>
  </si>
  <si>
    <t>Slamet Basuki</t>
  </si>
  <si>
    <t>Sobar Sutisna</t>
  </si>
  <si>
    <t>Hendro Tjahjono</t>
  </si>
  <si>
    <t>Sri Narni</t>
  </si>
  <si>
    <t>Djawahir</t>
  </si>
  <si>
    <t>Hadiman</t>
  </si>
  <si>
    <t>Tono Saksono</t>
  </si>
  <si>
    <t>Yohannes</t>
  </si>
  <si>
    <t>Nurhadi Kusmantoro</t>
  </si>
  <si>
    <t>Agus Santosa</t>
  </si>
  <si>
    <t>Dopang Tambunan</t>
  </si>
  <si>
    <t>Bambang Yuwono</t>
  </si>
  <si>
    <t>Bambang Hariyanto</t>
  </si>
  <si>
    <t>Soechemi</t>
  </si>
  <si>
    <t>Sudiro</t>
  </si>
  <si>
    <t>Syamsul Hadi</t>
  </si>
  <si>
    <t>Joko Santoso</t>
  </si>
  <si>
    <t>Hamdan</t>
  </si>
  <si>
    <t>DM.Bachrumsyah</t>
  </si>
  <si>
    <t>Fuad Rummy</t>
  </si>
  <si>
    <t>Sutomo Kahar</t>
  </si>
  <si>
    <t>Haryono</t>
  </si>
  <si>
    <t>Edhi Suryono</t>
  </si>
  <si>
    <t>Warsito</t>
  </si>
  <si>
    <t>RE. Diady Sidharta</t>
  </si>
  <si>
    <t>M.Nazir</t>
  </si>
  <si>
    <t>Pradono Joanes De Deo</t>
  </si>
  <si>
    <t>Sudarmanto</t>
  </si>
  <si>
    <t>Subiyanto</t>
  </si>
  <si>
    <t>Soekirno Prasodjo</t>
  </si>
  <si>
    <t>Hamdi Rachman</t>
  </si>
  <si>
    <t>Cuk Atmajiarso</t>
  </si>
  <si>
    <t>RM. Hardjoko</t>
  </si>
  <si>
    <t>Bambang Supriyadi</t>
  </si>
  <si>
    <t>Suratno</t>
  </si>
  <si>
    <t>Sigid Suwarno</t>
  </si>
  <si>
    <t>B.Hendarbowo</t>
  </si>
  <si>
    <t>Muthohar Heru Santosa</t>
  </si>
  <si>
    <t>Muchtar Luthfie</t>
  </si>
  <si>
    <t>Christine Noegroho Kartini</t>
  </si>
  <si>
    <t>ROF. Witjaksono</t>
  </si>
  <si>
    <t>Djoko Ismono</t>
  </si>
  <si>
    <t>Sobirin Mukhlis</t>
  </si>
  <si>
    <t>Anwar Haryono</t>
  </si>
  <si>
    <t>Djoko Krisnanu</t>
  </si>
  <si>
    <t>Syamsul Bachri</t>
  </si>
  <si>
    <t>Gunawan Wibisono</t>
  </si>
  <si>
    <t>Hartono</t>
  </si>
  <si>
    <t>Dradjat Suhardja</t>
  </si>
  <si>
    <t>Purwoto</t>
  </si>
  <si>
    <t>Kristijono</t>
  </si>
  <si>
    <t>A. Suka Hinarta</t>
  </si>
  <si>
    <t>Sutiadi</t>
  </si>
  <si>
    <t>Setiarso</t>
  </si>
  <si>
    <t>Slamet Soetanto Boedyo Raharso</t>
  </si>
  <si>
    <t>Pudjo Hestu Widyatmanto</t>
  </si>
  <si>
    <t>Pangarso Yudho Utomo</t>
  </si>
  <si>
    <t>Subarman</t>
  </si>
  <si>
    <t>Harmen Batubara</t>
  </si>
  <si>
    <t>Endang A. Dimyatie</t>
  </si>
  <si>
    <t>Agus Priyadi</t>
  </si>
  <si>
    <t>Ibnu Wardono</t>
  </si>
  <si>
    <t>Chaizi Nasocha</t>
  </si>
  <si>
    <t>Dominikhus Bambang Sudarsono</t>
  </si>
  <si>
    <t>Edi Sutopo</t>
  </si>
  <si>
    <t>Sumartono</t>
  </si>
  <si>
    <t>Subaryono</t>
  </si>
  <si>
    <t>Yulianus Sri Handoyo</t>
  </si>
  <si>
    <t>Agus Wardoyo</t>
  </si>
  <si>
    <t>Mochammad Asnawi</t>
  </si>
  <si>
    <t>Mohammad Singgih</t>
  </si>
  <si>
    <t>Danial M.Yunus</t>
  </si>
  <si>
    <t>Sunarto</t>
  </si>
  <si>
    <t>Bawono</t>
  </si>
  <si>
    <t>Edi Martoyo</t>
  </si>
  <si>
    <t>Damianus Hendro Santoso</t>
  </si>
  <si>
    <t>Trijanto Djaka Suprapta</t>
  </si>
  <si>
    <t>Bambang Sulistyono</t>
  </si>
  <si>
    <t>Indartono</t>
  </si>
  <si>
    <t>Janes Tampubolon</t>
  </si>
  <si>
    <t>Firmansyah</t>
  </si>
  <si>
    <t>Untung Rahardjo</t>
  </si>
  <si>
    <t>Tri Pangarso</t>
  </si>
  <si>
    <t>Tjahjo Arianto</t>
  </si>
  <si>
    <t>Istarno</t>
  </si>
  <si>
    <t>Rijanto</t>
  </si>
  <si>
    <t>Fauzy Abusudjak</t>
  </si>
  <si>
    <t>Bambang  Dwi Ari Saputro</t>
  </si>
  <si>
    <t>Tarcisius  Aris Sunantyo</t>
  </si>
  <si>
    <t>Laksito Pararto</t>
  </si>
  <si>
    <t>Andreas Suradji</t>
  </si>
  <si>
    <t>Bambang Wisang Sumartono</t>
  </si>
  <si>
    <t>Bachruddin</t>
  </si>
  <si>
    <t>Sujitno</t>
  </si>
  <si>
    <t>Wisman Hari Ismoyo</t>
  </si>
  <si>
    <t>Bambang Sulistyo</t>
  </si>
  <si>
    <t>Risbadiyono</t>
  </si>
  <si>
    <t>Agus Sarwoko</t>
  </si>
  <si>
    <t>Johan Lukman</t>
  </si>
  <si>
    <t>Soeharno Prapto</t>
  </si>
  <si>
    <t>Iswinardi</t>
  </si>
  <si>
    <t>Budi Pramono</t>
  </si>
  <si>
    <t>Yohanes Budhi Dharmawan</t>
  </si>
  <si>
    <t>Suhartril Janaus</t>
  </si>
  <si>
    <t>Anton Purnomo</t>
  </si>
  <si>
    <t>I Gusti Agung Bagus Mawantara</t>
  </si>
  <si>
    <t>Suluh Riyanto</t>
  </si>
  <si>
    <t>Fikhuddin Soedjono</t>
  </si>
  <si>
    <t>Sri Djoko Santoso</t>
  </si>
  <si>
    <t>Sri Susanto</t>
  </si>
  <si>
    <t>Bambang Eko Haryoko</t>
  </si>
  <si>
    <t>Dwi Hary Dhirmantoro</t>
  </si>
  <si>
    <t>Abdul Rachman Nasution</t>
  </si>
  <si>
    <t>Widarto Widodo</t>
  </si>
  <si>
    <t>Tjiptadi</t>
  </si>
  <si>
    <t>Ronny Theophilus</t>
  </si>
  <si>
    <t>Djoko Sukarjono</t>
  </si>
  <si>
    <t>Zafrollah Nur</t>
  </si>
  <si>
    <t>Agus Sapto Warsono</t>
  </si>
  <si>
    <t>Jimmy Sinaga</t>
  </si>
  <si>
    <t>Joko Purnomo</t>
  </si>
  <si>
    <t>Giantoro Pamungkas</t>
  </si>
  <si>
    <t>Aminuddin Denuang</t>
  </si>
  <si>
    <t>Bambang Riyanto</t>
  </si>
  <si>
    <t>Surjanto</t>
  </si>
  <si>
    <t>Henricus Maria Hery Sukendro</t>
  </si>
  <si>
    <t>Sukrisno</t>
  </si>
  <si>
    <t>Min Adi Prawira</t>
  </si>
  <si>
    <t>Iksiarni Yulianti Srinarti</t>
  </si>
  <si>
    <t>Moch.Sudjatmiko</t>
  </si>
  <si>
    <t>Taufiq</t>
  </si>
  <si>
    <t>Supyan Asauri</t>
  </si>
  <si>
    <t>Yuswanto Dwi Krismastono</t>
  </si>
  <si>
    <t>Djoko Dwi Tjiptanto</t>
  </si>
  <si>
    <t>Prijonggo Djoko Soejono</t>
  </si>
  <si>
    <t xml:space="preserve">Zul Azmy </t>
  </si>
  <si>
    <t>Sri Yusmiati</t>
  </si>
  <si>
    <t>Agus Sulistijo Adi</t>
  </si>
  <si>
    <t>Sutarman Arsjad</t>
  </si>
  <si>
    <t>Njadi Gallio Putra</t>
  </si>
  <si>
    <t>Stefanus Heru Pambudi</t>
  </si>
  <si>
    <t>Parseno</t>
  </si>
  <si>
    <t>Muslim</t>
  </si>
  <si>
    <t>Hamidin</t>
  </si>
  <si>
    <t>Suharno</t>
  </si>
  <si>
    <t>Agus Prajitno</t>
  </si>
  <si>
    <t>Agung Purwono Prijo</t>
  </si>
  <si>
    <t>Sunu Riyadi</t>
  </si>
  <si>
    <t>Arifin Suprijanto</t>
  </si>
  <si>
    <t>Agus Setjanto</t>
  </si>
  <si>
    <t>Gondang Riyadi</t>
  </si>
  <si>
    <t>Juskes</t>
  </si>
  <si>
    <t>Supardiono</t>
  </si>
  <si>
    <t>Prijono Nugroho Djojomartono</t>
  </si>
  <si>
    <t>Irwan Syafri</t>
  </si>
  <si>
    <t>Sujanto</t>
  </si>
  <si>
    <t>Ratmasjar Saib</t>
  </si>
  <si>
    <t>Ambar Adi Nugroho</t>
  </si>
  <si>
    <t>Tri Padmasari</t>
  </si>
  <si>
    <t>JB. Bambang Gumono</t>
  </si>
  <si>
    <t>Edmundus Eddy Hendarto</t>
  </si>
  <si>
    <t>Djurdjani</t>
  </si>
  <si>
    <t>Chatarina Nurjati</t>
  </si>
  <si>
    <t>Prijanto Wibowo</t>
  </si>
  <si>
    <t>Henny Leksmana Hadi Kusuma</t>
  </si>
  <si>
    <t>Eddy Prijono</t>
  </si>
  <si>
    <t>Samekto</t>
  </si>
  <si>
    <t>Sumy Sukara</t>
  </si>
  <si>
    <t>Fachrurazie</t>
  </si>
  <si>
    <t>Widodo</t>
  </si>
  <si>
    <t>Sudjono</t>
  </si>
  <si>
    <t>Agus Nugroho</t>
  </si>
  <si>
    <t>Emil Zamzany</t>
  </si>
  <si>
    <t>Said Asa'ad</t>
  </si>
  <si>
    <t>Djajanto</t>
  </si>
  <si>
    <t>Kusdarmanto</t>
  </si>
  <si>
    <t>Sudarjo</t>
  </si>
  <si>
    <t>Aris Rahardjo</t>
  </si>
  <si>
    <t>Dudih Parjudih</t>
  </si>
  <si>
    <t>J.Indro Baskhoro</t>
  </si>
  <si>
    <t>Bisarwono</t>
  </si>
  <si>
    <t>Eddy Panusunan</t>
  </si>
  <si>
    <t>Wimbo  Cahyono</t>
  </si>
  <si>
    <t>Atiek Sumaryati</t>
  </si>
  <si>
    <t>Agus Riyanto</t>
  </si>
  <si>
    <t>Mohammad Nurhadi</t>
  </si>
  <si>
    <t>Humam</t>
  </si>
  <si>
    <t>Mudjijana</t>
  </si>
  <si>
    <t>Faqih Usman</t>
  </si>
  <si>
    <t>Mudji Rustomo</t>
  </si>
  <si>
    <t>Waljiyanto</t>
  </si>
  <si>
    <t>Kiswanto</t>
  </si>
  <si>
    <t>Wahyudi Purnomo</t>
  </si>
  <si>
    <t>Bernadus Setya Adi</t>
  </si>
  <si>
    <t>Supriadi</t>
  </si>
  <si>
    <t>Wibowo</t>
  </si>
  <si>
    <t>Suyono</t>
  </si>
  <si>
    <t>Endang</t>
  </si>
  <si>
    <t>Trijono</t>
  </si>
  <si>
    <t>Sutarto</t>
  </si>
  <si>
    <t>Jamil Murcito</t>
  </si>
  <si>
    <t>Suparyanto</t>
  </si>
  <si>
    <t>Bambbang Hedrawan</t>
  </si>
  <si>
    <t>Bambang Sugeng Hidayat</t>
  </si>
  <si>
    <t>Erwin Romel</t>
  </si>
  <si>
    <t>Eko Sigit Siswojo</t>
  </si>
  <si>
    <t>Antonius Adiwahyono</t>
  </si>
  <si>
    <t>Supriyatno</t>
  </si>
  <si>
    <t>Wilibrordus Wimbarhadi</t>
  </si>
  <si>
    <t>Antonius Tony Budiono</t>
  </si>
  <si>
    <t>Dinar Dwi Anugrah Putranto</t>
  </si>
  <si>
    <t>Joko Poerwono</t>
  </si>
  <si>
    <t>Bambang Riyadi</t>
  </si>
  <si>
    <t>Mustofa Hanafi</t>
  </si>
  <si>
    <t>Cipto Mulyono</t>
  </si>
  <si>
    <t>Suryoto</t>
  </si>
  <si>
    <t>Imron Yusuf</t>
  </si>
  <si>
    <t>Panca Atmaji</t>
  </si>
  <si>
    <t>Eko Nugroho</t>
  </si>
  <si>
    <t>Mukhtasar</t>
  </si>
  <si>
    <t>Mohamad Soleh</t>
  </si>
  <si>
    <t>Ilham Marsudi</t>
  </si>
  <si>
    <t>Benny Koloway</t>
  </si>
  <si>
    <t>Andreas Purwoadi</t>
  </si>
  <si>
    <t>Cahyo Pribadi</t>
  </si>
  <si>
    <t>Suwardi</t>
  </si>
  <si>
    <t>Marhenda Arvai Kemala Sakti</t>
  </si>
  <si>
    <t>Sulistyo Hartanto</t>
  </si>
  <si>
    <t>Hani'ah</t>
  </si>
  <si>
    <t>Longdong Jefferson</t>
  </si>
  <si>
    <t>Wahyu Adi Bintoro</t>
  </si>
  <si>
    <t>Bambang Trihatmono</t>
  </si>
  <si>
    <t>Yahmanto</t>
  </si>
  <si>
    <t>Nurdin</t>
  </si>
  <si>
    <t>Edi Susilo</t>
  </si>
  <si>
    <t>Faustinus Sulistyo</t>
  </si>
  <si>
    <t>Yusup Yuniarto</t>
  </si>
  <si>
    <t>Subarjono</t>
  </si>
  <si>
    <t>Wuriyanto</t>
  </si>
  <si>
    <t>Djoko Suprayitno</t>
  </si>
  <si>
    <t>Salamun</t>
  </si>
  <si>
    <t>Agus Pudjanarto</t>
  </si>
  <si>
    <t>Winaryanto Budiono</t>
  </si>
  <si>
    <t>Laur Joko Wahyono</t>
  </si>
  <si>
    <t>Sunar Rochmadi</t>
  </si>
  <si>
    <t>Iwan Gunawan</t>
  </si>
  <si>
    <t>Jaka Suyanta</t>
  </si>
  <si>
    <t>Murdini</t>
  </si>
  <si>
    <t>Nicholas Sutopo</t>
  </si>
  <si>
    <t>Sulistio Wibowo</t>
  </si>
  <si>
    <t>Endri Diyatmo</t>
  </si>
  <si>
    <t>Sudomo</t>
  </si>
  <si>
    <t>Agus Budijono</t>
  </si>
  <si>
    <t>Saratri Wilono Yudho</t>
  </si>
  <si>
    <t>Edi Suryanto</t>
  </si>
  <si>
    <t>Purnomo Siddy</t>
  </si>
  <si>
    <t>Nanang Wismadi</t>
  </si>
  <si>
    <t>Marjana</t>
  </si>
  <si>
    <t>M. Djalil</t>
  </si>
  <si>
    <t>Tuti Sumarningsih</t>
  </si>
  <si>
    <t>Suroso</t>
  </si>
  <si>
    <t>Agus Suharyanto</t>
  </si>
  <si>
    <t>Bambang Drajat</t>
  </si>
  <si>
    <t>Tri Wahono</t>
  </si>
  <si>
    <t>Ignatius Surjandjono</t>
  </si>
  <si>
    <t>Tri Darmana</t>
  </si>
  <si>
    <t>Sapto Agus Praptanto</t>
  </si>
  <si>
    <t>Endang Nurjaman Firmansyah</t>
  </si>
  <si>
    <t>Firdaus</t>
  </si>
  <si>
    <t>Nur Isnin Istiarto</t>
  </si>
  <si>
    <t>Muhammad Ruslin Anwar</t>
  </si>
  <si>
    <t>Joko Hartadi</t>
  </si>
  <si>
    <t>Parjianto</t>
  </si>
  <si>
    <t>Agus Imam Bukhori</t>
  </si>
  <si>
    <t>?</t>
  </si>
  <si>
    <t>Supriyadi</t>
  </si>
  <si>
    <t>Titi Rahayuningsih</t>
  </si>
  <si>
    <t>Suparman</t>
  </si>
  <si>
    <t>Ispen Syafrel</t>
  </si>
  <si>
    <t>Harto Wibisono</t>
  </si>
  <si>
    <t>Agnes Sri Mulyani</t>
  </si>
  <si>
    <t>Toto Swastyo</t>
  </si>
  <si>
    <t>Donald Armand Sundah</t>
  </si>
  <si>
    <t>Khafodi Maslat</t>
  </si>
  <si>
    <t>Subarja</t>
  </si>
  <si>
    <t>Eddy Harpanto</t>
  </si>
  <si>
    <t>Petrus Sucipto</t>
  </si>
  <si>
    <t>Pardi</t>
  </si>
  <si>
    <t>Kahar Ruyitno</t>
  </si>
  <si>
    <t>Iwan Suwandi</t>
  </si>
  <si>
    <t>Sumarsono</t>
  </si>
  <si>
    <t>Zainal Arifin</t>
  </si>
  <si>
    <t>Aris Riyanta</t>
  </si>
  <si>
    <t>Liem Tjoong Sioe</t>
  </si>
  <si>
    <t>Joko Supriyanto</t>
  </si>
  <si>
    <t>Agustono Edy Prabowo</t>
  </si>
  <si>
    <t>Umar Kayam</t>
  </si>
  <si>
    <t>Hari Martono</t>
  </si>
  <si>
    <t>Titis Pratami</t>
  </si>
  <si>
    <t>Soebiyakto</t>
  </si>
  <si>
    <t>Thomas Indar Pramudi</t>
  </si>
  <si>
    <t>Jefry Deson</t>
  </si>
  <si>
    <t>Sukoco Benu Siswadi</t>
  </si>
  <si>
    <t>Pramudita</t>
  </si>
  <si>
    <t>Gia Noor Bahagia</t>
  </si>
  <si>
    <t>Agung Wuryanto</t>
  </si>
  <si>
    <t>I Nyoman Aryana</t>
  </si>
  <si>
    <t>Dasad Irzani</t>
  </si>
  <si>
    <t>Indra Priatna</t>
  </si>
  <si>
    <t>Rony Primanto Hari</t>
  </si>
  <si>
    <t>Achmad Asngadi</t>
  </si>
  <si>
    <t>Aris Sri Mulyanto</t>
  </si>
  <si>
    <t>T.Bagus Mokhamad Noor Kholilul</t>
  </si>
  <si>
    <t>Muhammad Isnaini</t>
  </si>
  <si>
    <t>Sigit Budiarso</t>
  </si>
  <si>
    <t>Sutanto</t>
  </si>
  <si>
    <t>Agus Sugiarto</t>
  </si>
  <si>
    <t>Petrus Wisnu Wibowo</t>
  </si>
  <si>
    <t>Eling Susiardi</t>
  </si>
  <si>
    <t>Sri Santoso</t>
  </si>
  <si>
    <t>Widi Yulianto</t>
  </si>
  <si>
    <t>Nugroho</t>
  </si>
  <si>
    <t>Sri Sukoco</t>
  </si>
  <si>
    <t>Indra Sujono</t>
  </si>
  <si>
    <t>Sukandar</t>
  </si>
  <si>
    <t>Budi Santoso</t>
  </si>
  <si>
    <t>I Dewa Made Dhyana Putra</t>
  </si>
  <si>
    <t>Turijan</t>
  </si>
  <si>
    <t>Sutriso Sardjono</t>
  </si>
  <si>
    <t>Budi Susetyo</t>
  </si>
  <si>
    <t>Jusak Sunaryo</t>
  </si>
  <si>
    <t>Bambang Sutedjo</t>
  </si>
  <si>
    <t>Sutopo</t>
  </si>
  <si>
    <t>Raden Rudi Prayitno</t>
  </si>
  <si>
    <t>Sangidu Umar</t>
  </si>
  <si>
    <t>Achmad Mudjamil</t>
  </si>
  <si>
    <t>Sundoro Soekarno Effendie</t>
  </si>
  <si>
    <t>Suhirman</t>
  </si>
  <si>
    <t>Sulam</t>
  </si>
  <si>
    <t>Eko Susilo Adi Utomo</t>
  </si>
  <si>
    <t>Edi Kusdianto</t>
  </si>
  <si>
    <t>Albertus Maharsanto</t>
  </si>
  <si>
    <t>Raden Tri Susetyo</t>
  </si>
  <si>
    <t>Heru Supadmo Djahriadi</t>
  </si>
  <si>
    <t>Obed Tri Pambudi</t>
  </si>
  <si>
    <t>Muhammad Nasrudin Amin</t>
  </si>
  <si>
    <t>Fatih Effendi</t>
  </si>
  <si>
    <t>Bambang Heryanto</t>
  </si>
  <si>
    <t>I. Wayan Suartika</t>
  </si>
  <si>
    <t>Muhammad Djais</t>
  </si>
  <si>
    <t>D. Shantory</t>
  </si>
  <si>
    <t>Andy Partiko Widodo</t>
  </si>
  <si>
    <t>Sidik Hariyono</t>
  </si>
  <si>
    <t>F.Tri Dwi Budi Riyanto</t>
  </si>
  <si>
    <t>Harsono Subagyo</t>
  </si>
  <si>
    <t>Sigit Budiyono</t>
  </si>
  <si>
    <t>Yosef Adiwahyanto</t>
  </si>
  <si>
    <t>Mukhamad Jaldan</t>
  </si>
  <si>
    <t>Djati Harsono</t>
  </si>
  <si>
    <t>Ahmad Hilmi Muhaimin</t>
  </si>
  <si>
    <t>Purwanto</t>
  </si>
  <si>
    <t>Dwi Haryantono</t>
  </si>
  <si>
    <t>Samsu Harjito</t>
  </si>
  <si>
    <t>Iwan Qodar  Himawan</t>
  </si>
  <si>
    <t>Hisyam</t>
  </si>
  <si>
    <t>Hari Sentosa</t>
  </si>
  <si>
    <t>Tingkat</t>
  </si>
  <si>
    <t>Perdananto Aribowo</t>
  </si>
  <si>
    <t>Pramban Budiharto</t>
  </si>
  <si>
    <t>Azam Muhammady</t>
  </si>
  <si>
    <t>R. Didi Suryadi</t>
  </si>
  <si>
    <t>Fauzi Derry</t>
  </si>
  <si>
    <t>Fadrinsyah Anwar</t>
  </si>
  <si>
    <t>Oentoeng Effendi</t>
  </si>
  <si>
    <t>Hari Budijanto</t>
  </si>
  <si>
    <t>Mohammad Besar Djoko Putranto</t>
  </si>
  <si>
    <t>Tutus Alun Asoka Sakti</t>
  </si>
  <si>
    <t>Santoso</t>
  </si>
  <si>
    <t>Sugiyantoro</t>
  </si>
  <si>
    <t>Yohanes De Britto Sundarso</t>
  </si>
  <si>
    <t>Marsudi</t>
  </si>
  <si>
    <t>Busroni Arif</t>
  </si>
  <si>
    <t>Krisno Sudibyo</t>
  </si>
  <si>
    <t>Agus Widiyanto</t>
  </si>
  <si>
    <t>Dwi Nowo Martono</t>
  </si>
  <si>
    <t>Susanto</t>
  </si>
  <si>
    <t>Suparto</t>
  </si>
  <si>
    <t>Ketut Giri Melaya</t>
  </si>
  <si>
    <t>Budi Purwanto</t>
  </si>
  <si>
    <t>Sunaryo</t>
  </si>
  <si>
    <t>I. Gusti Wayan Budi Setiawan</t>
  </si>
  <si>
    <t>Heru Djoko Purwanto</t>
  </si>
  <si>
    <t>Dasuki</t>
  </si>
  <si>
    <t>Ariatmawan Prihandono</t>
  </si>
  <si>
    <t>Sugianto</t>
  </si>
  <si>
    <t>Sapto Prio Rahadi</t>
  </si>
  <si>
    <t>Clemens Hofbaner Supranowo</t>
  </si>
  <si>
    <t>I. Komang Wedana</t>
  </si>
  <si>
    <t>Addie Priono</t>
  </si>
  <si>
    <t>Presti Yudono</t>
  </si>
  <si>
    <t>Rochmat Manu Martono</t>
  </si>
  <si>
    <t>Sutaryo</t>
  </si>
  <si>
    <t>Djoko Trilaksono</t>
  </si>
  <si>
    <t>Edy Juana</t>
  </si>
  <si>
    <t>Sugiarto</t>
  </si>
  <si>
    <t>Tony</t>
  </si>
  <si>
    <t>Heru Joko Lukito</t>
  </si>
  <si>
    <t>Cundono</t>
  </si>
  <si>
    <t>Ibrahim Madjid</t>
  </si>
  <si>
    <t>Nursatyo Argo</t>
  </si>
  <si>
    <t>Raden Mas Mulyo Seto</t>
  </si>
  <si>
    <t>Suharto</t>
  </si>
  <si>
    <t>Wahyu Hidayat</t>
  </si>
  <si>
    <t>Misbach Nurdin</t>
  </si>
  <si>
    <t>MJA Sutjipto</t>
  </si>
  <si>
    <t>Kristadji</t>
  </si>
  <si>
    <t>Nugroho Sanyoto</t>
  </si>
  <si>
    <t>Muchamad Chusban</t>
  </si>
  <si>
    <t>I.G.N Sidharta Kenceng K</t>
  </si>
  <si>
    <t>Sulistyo Budi</t>
  </si>
  <si>
    <t>Yudhi Riyarso</t>
  </si>
  <si>
    <t>Kartika Adi</t>
  </si>
  <si>
    <t>Adi Isdiarto</t>
  </si>
  <si>
    <t>Suherwan</t>
  </si>
  <si>
    <t>Bambang Sumantri</t>
  </si>
  <si>
    <t>Gatot Suritno</t>
  </si>
  <si>
    <t>Raden Mas Yono Seto</t>
  </si>
  <si>
    <t>Sakur Hamid</t>
  </si>
  <si>
    <t>Bernadus Sujamto</t>
  </si>
  <si>
    <t>Imam Nugroho Heru Santoso</t>
  </si>
  <si>
    <t>Agul Irianto</t>
  </si>
  <si>
    <t>Kurniawati</t>
  </si>
  <si>
    <t>Hari Purnomo</t>
  </si>
  <si>
    <t>Bagus Puji Wahyono</t>
  </si>
  <si>
    <t>Agus Dwi Widiyanto</t>
  </si>
  <si>
    <t>Joko Susilo</t>
  </si>
  <si>
    <t>Bambang Wardoyo</t>
  </si>
  <si>
    <t>Yansen Harsono</t>
  </si>
  <si>
    <t>Gabriel Triwibawa</t>
  </si>
  <si>
    <t>Sakdillah</t>
  </si>
  <si>
    <t>Nadhir</t>
  </si>
  <si>
    <t>Muhhani</t>
  </si>
  <si>
    <t>Adji Wijono</t>
  </si>
  <si>
    <t>Sudjatmiko Rahrdjo</t>
  </si>
  <si>
    <t>Endro Purwoadi</t>
  </si>
  <si>
    <t>Lilik Supriyanto</t>
  </si>
  <si>
    <t>Moh. Aedy Hendradi</t>
  </si>
  <si>
    <t>G.Y Yoegeria  Marhaen Jayanti</t>
  </si>
  <si>
    <t>Rukmarata</t>
  </si>
  <si>
    <t>Sri Hardono</t>
  </si>
  <si>
    <t>Muhtadi Ganda Sutrisna</t>
  </si>
  <si>
    <t>Romanus Noor Widarto</t>
  </si>
  <si>
    <t>Sapto Priyono</t>
  </si>
  <si>
    <t>Andy Martha</t>
  </si>
  <si>
    <t>Afrizal</t>
  </si>
  <si>
    <t>Muhammad Bariq Utama</t>
  </si>
  <si>
    <t>Andy Susanto</t>
  </si>
  <si>
    <t>Bambang Widjanarko</t>
  </si>
  <si>
    <t>Haruno Wibowo</t>
  </si>
  <si>
    <t>Tri Cahyana Tristiaji</t>
  </si>
  <si>
    <t>Marsono YuliantoTjahjo Purnomo</t>
  </si>
  <si>
    <t>Taat Tri Purwiyono</t>
  </si>
  <si>
    <t>Budi Sulistyo</t>
  </si>
  <si>
    <t>Suprayitno (69)</t>
  </si>
  <si>
    <t>Handoyo</t>
  </si>
  <si>
    <t>Hanoko</t>
  </si>
  <si>
    <t>Frediansyah</t>
  </si>
  <si>
    <t>Robertus Maria Supranowo</t>
  </si>
  <si>
    <t>Hidro Harjanto</t>
  </si>
  <si>
    <t>Prasetya Jati</t>
  </si>
  <si>
    <t>R. Agus Wahyudi Koeshendratno</t>
  </si>
  <si>
    <t>Tan Kian Djiang</t>
  </si>
  <si>
    <t>Sujoko</t>
  </si>
  <si>
    <t>Djoko Prasetyo</t>
  </si>
  <si>
    <t>Sofyan Noor</t>
  </si>
  <si>
    <t>Widjono Santoso</t>
  </si>
  <si>
    <t>R. R. Eny Putranti</t>
  </si>
  <si>
    <t>Bambang Gatot Nugroho</t>
  </si>
  <si>
    <t>Marcus Sudarmaji</t>
  </si>
  <si>
    <t>Rochmat Muryamto</t>
  </si>
  <si>
    <t>Landung Kadaryanto</t>
  </si>
  <si>
    <t>Cipto Waluyo</t>
  </si>
  <si>
    <t>Muhamad Alief Yaniar</t>
  </si>
  <si>
    <t>Anthony</t>
  </si>
  <si>
    <t>Fauzan Murdapa</t>
  </si>
  <si>
    <t>Hanuri Effendi</t>
  </si>
  <si>
    <t>Retno Kusumastanti</t>
  </si>
  <si>
    <t>Marjudi</t>
  </si>
  <si>
    <t>Singgih Supriyanto</t>
  </si>
  <si>
    <t>Fransiscus Frito Marcevianto</t>
  </si>
  <si>
    <t>Zulbahri</t>
  </si>
  <si>
    <t>Sutoko</t>
  </si>
  <si>
    <t>Pranowo</t>
  </si>
  <si>
    <t>Budi Doyo</t>
  </si>
  <si>
    <t>Gregorius Nugroho Anindito</t>
  </si>
  <si>
    <t>Marzuki Nur</t>
  </si>
  <si>
    <t>Subekti Alief</t>
  </si>
  <si>
    <t>Harwan Triantono</t>
  </si>
  <si>
    <t>Yahya Hamidun</t>
  </si>
  <si>
    <t>Sugiyanto</t>
  </si>
  <si>
    <t>Budiyono</t>
  </si>
  <si>
    <t>R. Muh. Adi Darmawan</t>
  </si>
  <si>
    <t>Pepen Supendi</t>
  </si>
  <si>
    <t>Karyawan Budianto</t>
  </si>
  <si>
    <t>Sumardi</t>
  </si>
  <si>
    <t>Zaenuri</t>
  </si>
  <si>
    <t>Supriyanto</t>
  </si>
  <si>
    <t>Herman Purnomo</t>
  </si>
  <si>
    <t>Hendra</t>
  </si>
  <si>
    <t>Sutyasno</t>
  </si>
  <si>
    <t>Joko Trimartono</t>
  </si>
  <si>
    <t>Syahril</t>
  </si>
  <si>
    <t>Nasrul Entezam</t>
  </si>
  <si>
    <t>Santosa</t>
  </si>
  <si>
    <t>Yuli Mardiyono</t>
  </si>
  <si>
    <t>Jesa Ariawan</t>
  </si>
  <si>
    <t>Tri Margo Yuwono</t>
  </si>
  <si>
    <t>Mundir Sugito</t>
  </si>
  <si>
    <t>Sujatna Budi Wibowo</t>
  </si>
  <si>
    <t>Y.Dwi Sigit Purnomo</t>
  </si>
  <si>
    <t>YF. Dicky Harsono</t>
  </si>
  <si>
    <t>Winduno</t>
  </si>
  <si>
    <t>Wahju Sri Harini</t>
  </si>
  <si>
    <t>I Ketut Sutarga</t>
  </si>
  <si>
    <t>Hadi Pratama</t>
  </si>
  <si>
    <t>Budi Wahana</t>
  </si>
  <si>
    <t>Handoyono</t>
  </si>
  <si>
    <t>Purwadi</t>
  </si>
  <si>
    <t>Sawitri Subiyanto</t>
  </si>
  <si>
    <t>Murdoko</t>
  </si>
  <si>
    <t>Andi Darmawan</t>
  </si>
  <si>
    <t>Bedy Wahjudi</t>
  </si>
  <si>
    <t>Prihartanto</t>
  </si>
  <si>
    <t>Edy Meidarto</t>
  </si>
  <si>
    <t>Syafrian Himawan</t>
  </si>
  <si>
    <t>Teguh Mulyadi</t>
  </si>
  <si>
    <t>Jon Indra Wahyu</t>
  </si>
  <si>
    <t>Arista Adiyanto</t>
  </si>
  <si>
    <t>Haryanto</t>
  </si>
  <si>
    <t>Tri Wibowo</t>
  </si>
  <si>
    <t>Hendry Patria Rosa</t>
  </si>
  <si>
    <t>Gatot Priyo Laksono</t>
  </si>
  <si>
    <t>Ali Nor Hidayat</t>
  </si>
  <si>
    <t>Widigdyono</t>
  </si>
  <si>
    <t>Jonahar</t>
  </si>
  <si>
    <t>Dawud Susilo</t>
  </si>
  <si>
    <t>Agus Harijanto</t>
  </si>
  <si>
    <t>Zainal Abidin</t>
  </si>
  <si>
    <t>Setiawan</t>
  </si>
  <si>
    <t>Mumtaz Ali</t>
  </si>
  <si>
    <t>Agus Sugeng</t>
  </si>
  <si>
    <t>Hadi Sukresno</t>
  </si>
  <si>
    <t>Eko Budi Wahyono</t>
  </si>
  <si>
    <t>M. Afthoni</t>
  </si>
  <si>
    <t>Isgiyanto</t>
  </si>
  <si>
    <t>Yoepidha Laksamijarta Soemantri</t>
  </si>
  <si>
    <t>Pujiyanto</t>
  </si>
  <si>
    <t xml:space="preserve"> </t>
  </si>
  <si>
    <t>Helen Muliadi</t>
  </si>
  <si>
    <t>Bambang Ludy Harsono</t>
  </si>
  <si>
    <t>Masdata Nasarenandar</t>
  </si>
  <si>
    <t>Arip Pramana</t>
  </si>
  <si>
    <t>Agung Pramano Rahadi</t>
  </si>
  <si>
    <t>Sri Widodo</t>
  </si>
  <si>
    <t>Haryo Wijoseno</t>
  </si>
  <si>
    <t>Sugeng Rahardjo</t>
  </si>
  <si>
    <t>Chrispius Joko Sriyanto</t>
  </si>
  <si>
    <t>Triyono</t>
  </si>
  <si>
    <t>Lukman</t>
  </si>
  <si>
    <t>Ridwan Heri Mahmudi</t>
  </si>
  <si>
    <t>Novie Riyanto Rahardjo</t>
  </si>
  <si>
    <t>Sigit Wahyudi</t>
  </si>
  <si>
    <t>Aniek Juliarini</t>
  </si>
  <si>
    <t>Leo Pantimena</t>
  </si>
  <si>
    <t>Hail Surisno</t>
  </si>
  <si>
    <t>Winahju Mahartono</t>
  </si>
  <si>
    <t>Nurrohmat Widjajanti</t>
  </si>
  <si>
    <t>Gregorius Haryuatmanto</t>
  </si>
  <si>
    <t>Iwan Hapsoro Iswanto</t>
  </si>
  <si>
    <t>Teguh Riyono</t>
  </si>
  <si>
    <t>Edi Ali Dahlan</t>
  </si>
  <si>
    <t>Anastasia Cakunani</t>
  </si>
  <si>
    <t>Mulana Arbani</t>
  </si>
  <si>
    <t>Eko Prihriyadi</t>
  </si>
  <si>
    <t>Antonius Anwar Hariyanto</t>
  </si>
  <si>
    <t>Wisnu Prajardi</t>
  </si>
  <si>
    <t>Aris Munanto</t>
  </si>
  <si>
    <t>Indra Yudosaputra</t>
  </si>
  <si>
    <t>Pungky Sulistyo Gunawan</t>
  </si>
  <si>
    <t>Eko Artanto</t>
  </si>
  <si>
    <t>Sutriono Hadi</t>
  </si>
  <si>
    <t>Mu'it Makruf</t>
  </si>
  <si>
    <t>Triana Aryanti</t>
  </si>
  <si>
    <t>Beson Soekarno</t>
  </si>
  <si>
    <t>Hedie</t>
  </si>
  <si>
    <t>Agustinus Didit Nuriyanto</t>
  </si>
  <si>
    <t>Handry Widiyarto</t>
  </si>
  <si>
    <t>Antonius Harjo Utomo</t>
  </si>
  <si>
    <t>Yohannes I Ketut Dedy Muliastr</t>
  </si>
  <si>
    <t>Iwa Susilo</t>
  </si>
  <si>
    <t>Tonni Suherman</t>
  </si>
  <si>
    <t>Achmad Istiyanto</t>
  </si>
  <si>
    <t>Wahyudi Kiswantoro</t>
  </si>
  <si>
    <t>Agus Setyawan</t>
  </si>
  <si>
    <t>Edy Sarwoko</t>
  </si>
  <si>
    <t>Masdarminto</t>
  </si>
  <si>
    <t>Herwini Wahyu Susanti</t>
  </si>
  <si>
    <t>Heri Gunawan</t>
  </si>
  <si>
    <t>Immaculata Christiana</t>
  </si>
  <si>
    <t>Thesesi Surini</t>
  </si>
  <si>
    <t>Embun Sari</t>
  </si>
  <si>
    <t>Pangihutan Sihombing</t>
  </si>
  <si>
    <t>David Gading Edison Purba</t>
  </si>
  <si>
    <t>Julianto</t>
  </si>
  <si>
    <t>Tandyo Winarno</t>
  </si>
  <si>
    <t>Herra Fajarriawan</t>
  </si>
  <si>
    <t>Raden Sayuti</t>
  </si>
  <si>
    <t>Giri Budi Santoso</t>
  </si>
  <si>
    <t>Teguh Karyadi</t>
  </si>
  <si>
    <t>Setiyawan Utama</t>
  </si>
  <si>
    <t>Amin Widada Lestariya</t>
  </si>
  <si>
    <t>Heru Asmoro</t>
  </si>
  <si>
    <t>Citrawati</t>
  </si>
  <si>
    <t>Agung Muhammad Prakoso</t>
  </si>
  <si>
    <t>I Dewa Ketut Spatika</t>
  </si>
  <si>
    <t>Tri Rayono</t>
  </si>
  <si>
    <t>Rachmad</t>
  </si>
  <si>
    <t>Bayu Wahyudi</t>
  </si>
  <si>
    <t>As'ari Lukmanul Hakim</t>
  </si>
  <si>
    <t>Tri Fatah Suryono</t>
  </si>
  <si>
    <t>Thomas Pramuji Singgih Riyanto</t>
  </si>
  <si>
    <t>Kartono Agustiyono</t>
  </si>
  <si>
    <t>Mochammad Afif</t>
  </si>
  <si>
    <t>Budi Prayitno</t>
  </si>
  <si>
    <t>Suharta</t>
  </si>
  <si>
    <t>Purbo Hantoro</t>
  </si>
  <si>
    <t>Makin Basuki</t>
  </si>
  <si>
    <t>Tri Wahyusidi</t>
  </si>
  <si>
    <t>Diyono</t>
  </si>
  <si>
    <t>Kresna Fitriansyah</t>
  </si>
  <si>
    <t>Leni Sophia Heliani</t>
  </si>
  <si>
    <t>Eddy Soewardi</t>
  </si>
  <si>
    <t>Mochammad Indro Buwono</t>
  </si>
  <si>
    <t>Albert Muntarie</t>
  </si>
  <si>
    <t>Suparno</t>
  </si>
  <si>
    <t>Saifudin Ashari</t>
  </si>
  <si>
    <t>Subekti Widiyasno</t>
  </si>
  <si>
    <t>Agus Purnama</t>
  </si>
  <si>
    <t>Sri Sukmawati</t>
  </si>
  <si>
    <t>Arief Syaifullah</t>
  </si>
  <si>
    <t>Sigit Rachmawan Adhi</t>
  </si>
  <si>
    <t>Isaac Dono Rahmoko Adhy</t>
  </si>
  <si>
    <t>Sustiana Mudarsih</t>
  </si>
  <si>
    <t>Nursugi</t>
  </si>
  <si>
    <t>Salim Suparlan Basir</t>
  </si>
  <si>
    <t>Yosep Edy Susanto</t>
  </si>
  <si>
    <t>Suharyanto</t>
  </si>
  <si>
    <t>Mahfud Yusron Tri Kuncoro</t>
  </si>
  <si>
    <t>Mujahidin Ma'ruf</t>
  </si>
  <si>
    <t>Raden Rara Dyah Maharani</t>
  </si>
  <si>
    <t>Bambang Utaya</t>
  </si>
  <si>
    <t>Agus Makmuriyanto</t>
  </si>
  <si>
    <t>Andries Buntoro</t>
  </si>
  <si>
    <t>Wahyu Edy Santoso</t>
  </si>
  <si>
    <t>Agung Prasetya</t>
  </si>
  <si>
    <t>Marlis Yunanto</t>
  </si>
  <si>
    <t>Hery Kusnanto</t>
  </si>
  <si>
    <t>Agus Joko Nugroho</t>
  </si>
  <si>
    <t>Aris Eka Agustin</t>
  </si>
  <si>
    <t>Apriana Budi Satanta</t>
  </si>
  <si>
    <t>Sintayawati Wisnigraha</t>
  </si>
  <si>
    <t>Suharto Martowagiyo</t>
  </si>
  <si>
    <t>Gunawan Asrori Arif</t>
  </si>
  <si>
    <t>Tri Wibisono</t>
  </si>
  <si>
    <t>Yohanes Iwan Kurniawan</t>
  </si>
  <si>
    <t>Dwi Budi Martono</t>
  </si>
  <si>
    <t>Bambang Raraswanto</t>
  </si>
  <si>
    <t>Sulistiyono</t>
  </si>
  <si>
    <t>Kusworo</t>
  </si>
  <si>
    <t>Heri Purwanto</t>
  </si>
  <si>
    <t>G. Wajan Harivan Chandra</t>
  </si>
  <si>
    <t>Weny Setyabakti</t>
  </si>
  <si>
    <t>Wan Muhammad Yunus</t>
  </si>
  <si>
    <t>Hafis Ahmad Setyadi</t>
  </si>
  <si>
    <t>Agung Budi Cahyono</t>
  </si>
  <si>
    <t>Budi Setyana</t>
  </si>
  <si>
    <t>Fajarudin Ahmad</t>
  </si>
  <si>
    <t>Martinus Edwin Tjahjajdi</t>
  </si>
  <si>
    <t>Eko Suharsono</t>
  </si>
  <si>
    <t>Tensa Nurdiyanti</t>
  </si>
  <si>
    <t>Susika Murdhayanti</t>
  </si>
  <si>
    <t>Catur Aries Rokhmana</t>
  </si>
  <si>
    <t>Irfa Almarotib</t>
  </si>
  <si>
    <t>Agus Indra Murti</t>
  </si>
  <si>
    <t>Yusiyanto</t>
  </si>
  <si>
    <t>Nurhadi</t>
  </si>
  <si>
    <t>Pujianto</t>
  </si>
  <si>
    <t>Margaretha Elya LP</t>
  </si>
  <si>
    <t>Zain Kiswari</t>
  </si>
  <si>
    <t>Mohammad Sofyan</t>
  </si>
  <si>
    <t>Heri Martanta</t>
  </si>
  <si>
    <t>Ali Ridlo</t>
  </si>
  <si>
    <t>R. Agus Tri Yuwono</t>
  </si>
  <si>
    <t>Suprapta</t>
  </si>
  <si>
    <t>Martinus Surawan Budi Santosa</t>
  </si>
  <si>
    <t>Edi Rianto</t>
  </si>
  <si>
    <t>Prihantono</t>
  </si>
  <si>
    <t>Sardiyono</t>
  </si>
  <si>
    <t>Jaenal Arifin</t>
  </si>
  <si>
    <t>Muchammad Sigit Widodo</t>
  </si>
  <si>
    <t>Hadi Nuryanto</t>
  </si>
  <si>
    <t>Sri Sudarmi</t>
  </si>
  <si>
    <t>Tanjung Nugroho</t>
  </si>
  <si>
    <t>Tri Prabowo Rahardjo</t>
  </si>
  <si>
    <t>Himawan Dwi Saputro</t>
  </si>
  <si>
    <t>Yusi Avianto</t>
  </si>
  <si>
    <t>Muh. Nurdin</t>
  </si>
  <si>
    <t>Abdullah</t>
  </si>
  <si>
    <t>Judiar</t>
  </si>
  <si>
    <t>Sunar Widiyanto</t>
  </si>
  <si>
    <t>Joko Ananto</t>
  </si>
  <si>
    <t>Ratna Dewi Sarahwati</t>
  </si>
  <si>
    <t>Hary Sudiarto</t>
  </si>
  <si>
    <t>Agus Gunawan</t>
  </si>
  <si>
    <t>Aprijanto</t>
  </si>
  <si>
    <t>Raden Rudianto Suryobinantoro</t>
  </si>
  <si>
    <t>Haryadi</t>
  </si>
  <si>
    <t>Triyanto</t>
  </si>
  <si>
    <t>Raden Indra Noer Sakti</t>
  </si>
  <si>
    <t>Unggul Sembodo</t>
  </si>
  <si>
    <t>Teguh  Mulyadi</t>
  </si>
  <si>
    <t>Sutana</t>
  </si>
  <si>
    <t>Bambang Sujudi</t>
  </si>
  <si>
    <t>Sunjoto</t>
  </si>
  <si>
    <t>Tjatur Agung Nindijanto</t>
  </si>
  <si>
    <t>Ignatius Yudhi Nurcahyo</t>
  </si>
  <si>
    <t>Achmad Saiful Hadi</t>
  </si>
  <si>
    <t>Besar Condro Widodo</t>
  </si>
  <si>
    <t>Teguh Sujatmiko</t>
  </si>
  <si>
    <t>Amir Mahmud</t>
  </si>
  <si>
    <t>Lilik Kurniawan</t>
  </si>
  <si>
    <t>Agus Parwanto</t>
  </si>
  <si>
    <t>Ida Bagus Setiawan</t>
  </si>
  <si>
    <t>Hernadi Tri Hartanta</t>
  </si>
  <si>
    <t>Riko Cahyo Pribadi</t>
  </si>
  <si>
    <t>Indradi Vembri H.</t>
  </si>
  <si>
    <t>Andianto Haryoko</t>
  </si>
  <si>
    <t>Hadiningrat NMP.</t>
  </si>
  <si>
    <t>Badrul Munir</t>
  </si>
  <si>
    <t>Dwinarno Wahyu Jatmiko</t>
  </si>
  <si>
    <t>Teguh Hartono</t>
  </si>
  <si>
    <t>Fathur Romdloni</t>
  </si>
  <si>
    <t>Dody Sutrisno</t>
  </si>
  <si>
    <t>Yunus Susilo</t>
  </si>
  <si>
    <t>Luluk Hariyadi</t>
  </si>
  <si>
    <t>Fajar Teguh Budi Prasetyo</t>
  </si>
  <si>
    <t>Muhammad Nuruddin Hidayat</t>
  </si>
  <si>
    <t>Rino Ermawan</t>
  </si>
  <si>
    <t>Bilal Ma'ruf</t>
  </si>
  <si>
    <t>Anggit Sunarta</t>
  </si>
  <si>
    <t>Susmanta</t>
  </si>
  <si>
    <t>Harintaka</t>
  </si>
  <si>
    <t>Farchan Herry Prasetyo</t>
  </si>
  <si>
    <t>Budi Endra Gunarta</t>
  </si>
  <si>
    <t>Raden Mas Danardono</t>
  </si>
  <si>
    <t>Fahmi Bajuber</t>
  </si>
  <si>
    <t>Yulaikhah</t>
  </si>
  <si>
    <t>Raden Ajeng Siti Kusumastuti</t>
  </si>
  <si>
    <t>Sudung Manurung</t>
  </si>
  <si>
    <t>Bambang Hartono</t>
  </si>
  <si>
    <t>Erwin Sasongko</t>
  </si>
  <si>
    <t>Abdul Basith</t>
  </si>
  <si>
    <t>Dedhy Wahyudi Kandar</t>
  </si>
  <si>
    <t>Hasto Atmoko</t>
  </si>
  <si>
    <t>Istha Dewata</t>
  </si>
  <si>
    <t>Hery Setiawan</t>
  </si>
  <si>
    <t>Iwan Sumarwan</t>
  </si>
  <si>
    <t>Syarif Hidayatullah</t>
  </si>
  <si>
    <t>Eko Suharto</t>
  </si>
  <si>
    <t>Haryadi Condro Cahyono</t>
  </si>
  <si>
    <t>Agus Sulistyono</t>
  </si>
  <si>
    <t>Agung Harmawan</t>
  </si>
  <si>
    <t>Vida Andriani</t>
  </si>
  <si>
    <t>Rakhmat Yasin</t>
  </si>
  <si>
    <t>Anak Agung Mahadhyani Sadhaka</t>
  </si>
  <si>
    <t>Suwaryo</t>
  </si>
  <si>
    <t>Sukmono Djoko Susilo</t>
  </si>
  <si>
    <t>Iim Ibrahim Nur</t>
  </si>
  <si>
    <t>Wahyu Sutarto</t>
  </si>
  <si>
    <t>Farid Hidayat</t>
  </si>
  <si>
    <t>Agus Margiono</t>
  </si>
  <si>
    <t>S.Halomoan Pakpahan</t>
  </si>
  <si>
    <t>Agung Nugroho Bimasena</t>
  </si>
  <si>
    <t>Muhammad Yazid</t>
  </si>
  <si>
    <t>Panggih Murdowijatmo</t>
  </si>
  <si>
    <t>Akhmad Helmy Pusponegoro</t>
  </si>
  <si>
    <t>Yudi Kristanto</t>
  </si>
  <si>
    <t>Bambang Suharmono</t>
  </si>
  <si>
    <t>Fakhrurrazi</t>
  </si>
  <si>
    <t>Mariyadi</t>
  </si>
  <si>
    <t>Blasius Tjahjo Adi Wibawa</t>
  </si>
  <si>
    <t>Agus Susmiyanto</t>
  </si>
  <si>
    <t>Agus Hartanto</t>
  </si>
  <si>
    <t>Sri Tampomas L.Tobing</t>
  </si>
  <si>
    <t>YI. Joko Purnomo</t>
  </si>
  <si>
    <t>Henny Magdalena</t>
  </si>
  <si>
    <t>Winarto</t>
  </si>
  <si>
    <t>Agustinus Tri Untoro</t>
  </si>
  <si>
    <t>Eko Sarjanto</t>
  </si>
  <si>
    <t>Ali Fauzi</t>
  </si>
  <si>
    <t>Muhammad Masykur</t>
  </si>
  <si>
    <t>Utantyo Wuryatmo</t>
  </si>
  <si>
    <t>Pambudi Susila</t>
  </si>
  <si>
    <t>Arbadi</t>
  </si>
  <si>
    <t>Dahliani</t>
  </si>
  <si>
    <t>Purnama Budi Santosa</t>
  </si>
  <si>
    <t>Antoni</t>
  </si>
  <si>
    <t>Faturrochman</t>
  </si>
  <si>
    <t>Abdi Darma Ginting</t>
  </si>
  <si>
    <t>Kusumo Purwanto</t>
  </si>
  <si>
    <t>Djaja Amanda</t>
  </si>
  <si>
    <t>Duta Buwana Putra</t>
  </si>
  <si>
    <t>Yanto Budisantoso</t>
  </si>
  <si>
    <t>Riza Pramudya</t>
  </si>
  <si>
    <t>Hendro Wicaksono</t>
  </si>
  <si>
    <t>Imam Susanto</t>
  </si>
  <si>
    <t>Teguh Marsetyawan</t>
  </si>
  <si>
    <t>Elisabeth Indah Retno Pangesti</t>
  </si>
  <si>
    <t>Anwari</t>
  </si>
  <si>
    <t>Muhammad Ahdian Noor</t>
  </si>
  <si>
    <t>Andreas Dwinugroho Trisatmoko</t>
  </si>
  <si>
    <t>Anom Binoro</t>
  </si>
  <si>
    <t>Trusta Tri Widanta</t>
  </si>
  <si>
    <t>Kunto Seno Aji</t>
  </si>
  <si>
    <t>Elham</t>
  </si>
  <si>
    <t>Sawal</t>
  </si>
  <si>
    <t>Winantu Maharsanto</t>
  </si>
  <si>
    <t>Roully Konversio Naldy Saragih</t>
  </si>
  <si>
    <t>Wawan Junaedi</t>
  </si>
  <si>
    <t>Katmo Paryanto</t>
  </si>
  <si>
    <t>Sri Suhartoyo</t>
  </si>
  <si>
    <t>Yudi Subiantoro</t>
  </si>
  <si>
    <t>Agus Saptaji</t>
  </si>
  <si>
    <t>Yodaphat Adriyanto</t>
  </si>
  <si>
    <t>Fajriyanto</t>
  </si>
  <si>
    <t>Muhammad Ariansyah</t>
  </si>
  <si>
    <t>Iman Rohimat W</t>
  </si>
  <si>
    <t>Era Alfansuri</t>
  </si>
  <si>
    <t>Satyawati Tyas Rahayu</t>
  </si>
  <si>
    <t>Safran Nasution</t>
  </si>
  <si>
    <t>Nurhidayat Agam</t>
  </si>
  <si>
    <t>Dian Budi Dharma</t>
  </si>
  <si>
    <t>Surjo Hanendo Putro</t>
  </si>
  <si>
    <t>Edy Purnomo</t>
  </si>
  <si>
    <t>Toman Colbert Manalu</t>
  </si>
  <si>
    <t>Dwi Sapto Hananireki</t>
  </si>
  <si>
    <t>Yuli Kusumawati</t>
  </si>
  <si>
    <t>Selamat Riyadi Nadaek</t>
  </si>
  <si>
    <t>Trias Alam Sari</t>
  </si>
  <si>
    <t>I. Gede Mantrayasa</t>
  </si>
  <si>
    <t>Abdul Muttaqin</t>
  </si>
  <si>
    <t>Yonas Salya</t>
  </si>
  <si>
    <t>Anthonius Alexander Nababan</t>
  </si>
  <si>
    <t>Paisal</t>
  </si>
  <si>
    <t>Danang Santoso</t>
  </si>
  <si>
    <t>Sarwanto</t>
  </si>
  <si>
    <t>Anang Susbandono</t>
  </si>
  <si>
    <t>Handryanto</t>
  </si>
  <si>
    <t>Poedjiasri</t>
  </si>
  <si>
    <t>Eko Indriyanto</t>
  </si>
  <si>
    <t>Tanjung Lita Sari</t>
  </si>
  <si>
    <t>Prapti  Yudani</t>
  </si>
  <si>
    <t>Satian Sapta</t>
  </si>
  <si>
    <t>Heri Pramono</t>
  </si>
  <si>
    <t>Siti Fatimah</t>
  </si>
  <si>
    <t>Bambang Darmo Yuwono</t>
  </si>
  <si>
    <t>Moehammad Awaludin</t>
  </si>
  <si>
    <t>Anang Iwan Nugroho</t>
  </si>
  <si>
    <t>Suwandi Prasetya</t>
  </si>
  <si>
    <t>I. Ketut Gde Arya Sucaya</t>
  </si>
  <si>
    <t>Yohanes Suparno</t>
  </si>
  <si>
    <t>R. Agung Setyawan</t>
  </si>
  <si>
    <t>Adianto Legowo</t>
  </si>
  <si>
    <t>Sadikin</t>
  </si>
  <si>
    <t>Benyamin Nahak</t>
  </si>
  <si>
    <t>Yudi Pratna</t>
  </si>
  <si>
    <t>Udiyanto</t>
  </si>
  <si>
    <t>Widyasttuti Rien Utari</t>
  </si>
  <si>
    <t>Dwi Lestari</t>
  </si>
  <si>
    <t>Ta'awudz Indrabinawan</t>
  </si>
  <si>
    <t>Joko Sugiyono</t>
  </si>
  <si>
    <t>Wisku Bambang DH</t>
  </si>
  <si>
    <t>Agus Setiadi</t>
  </si>
  <si>
    <t>Haryo Susilo</t>
  </si>
  <si>
    <t>Winarno Triatmodjo</t>
  </si>
  <si>
    <t>Slamet Hartanto</t>
  </si>
  <si>
    <t>Obed Krisnantyo Aji Saptomo</t>
  </si>
  <si>
    <t>Herman Kayame</t>
  </si>
  <si>
    <t>Yosep Sadya Wulandono</t>
  </si>
  <si>
    <t>Riyadi Hari Prasetya</t>
  </si>
  <si>
    <t>Adi Pujiwiyono</t>
  </si>
  <si>
    <t>Mirmo Muntala</t>
  </si>
  <si>
    <t>Hermawan Sudaryanto</t>
  </si>
  <si>
    <t>Sapto Mijarsono</t>
  </si>
  <si>
    <t>Paiman</t>
  </si>
  <si>
    <t>Arif Pambudi</t>
  </si>
  <si>
    <t>Rusdiyantoro</t>
  </si>
  <si>
    <t>Zainul Ulum</t>
  </si>
  <si>
    <t>Tri Haryo Sagoro</t>
  </si>
  <si>
    <t>P. D Tri Budi Suryanto</t>
  </si>
  <si>
    <t>Slamet Riyadi</t>
  </si>
  <si>
    <t>Heru Purnomo</t>
  </si>
  <si>
    <t>R. Yustiono</t>
  </si>
  <si>
    <t>Sang Putu Adiwijaya</t>
  </si>
  <si>
    <t>Nanung Nur Wibowo</t>
  </si>
  <si>
    <t>Ferry Yanu Aristanto</t>
  </si>
  <si>
    <t>Trias Aditya Kurniawan  Muhammad</t>
  </si>
  <si>
    <t>Eko Resmono</t>
  </si>
  <si>
    <t>Salviah Eko Wahyuni</t>
  </si>
  <si>
    <t>Saiful Amin</t>
  </si>
  <si>
    <t>Saptono Hari Supriyadi</t>
  </si>
  <si>
    <t>Agus Salim Tri Utama</t>
  </si>
  <si>
    <t>Heri Sutanta</t>
  </si>
  <si>
    <t>Agus Adri Purwanto</t>
  </si>
  <si>
    <t>Eka Nuryadi</t>
  </si>
  <si>
    <t>Abdul Wahib</t>
  </si>
  <si>
    <t>Teguh Rismanto</t>
  </si>
  <si>
    <t>Eko Putranto Hadi</t>
  </si>
  <si>
    <t>Susana Tri Astuti</t>
  </si>
  <si>
    <t>Mufleh Rahman</t>
  </si>
  <si>
    <t>Aziz Djabarudin</t>
  </si>
  <si>
    <t>Firsta Eka Purwana</t>
  </si>
  <si>
    <t>Ari Joko Cahyono</t>
  </si>
  <si>
    <t>Setya Handaka</t>
  </si>
  <si>
    <t>Yohana Antin</t>
  </si>
  <si>
    <t>Falichul Chakam</t>
  </si>
  <si>
    <t>Muhammad Mustaqim</t>
  </si>
  <si>
    <t>Dini Wirastri</t>
  </si>
  <si>
    <t>Danu Patmoko</t>
  </si>
  <si>
    <t>Ronald Hasibuhan</t>
  </si>
  <si>
    <t>Cahyono Budi Santoso</t>
  </si>
  <si>
    <t>Milona Ilza Sakantira</t>
  </si>
  <si>
    <t>Tri Hidayat</t>
  </si>
  <si>
    <t>Baron Yuri  Setiawan</t>
  </si>
  <si>
    <t>Hanafi Sudaryanto</t>
  </si>
  <si>
    <t>M. Hendro Purwanto</t>
  </si>
  <si>
    <t>Novita  Rahmadani</t>
  </si>
  <si>
    <t>Arif Misbahul Mustagfirin</t>
  </si>
  <si>
    <t>Akhmad Sutardi</t>
  </si>
  <si>
    <t>Didit EKo Setiawan</t>
  </si>
  <si>
    <t>Yohanes Gayuh Utomo</t>
  </si>
  <si>
    <t>Frederik Kiuk</t>
  </si>
  <si>
    <t>Radian Aji Sasongko</t>
  </si>
  <si>
    <t>Cipta Rahardjo</t>
  </si>
  <si>
    <t>R. Wahyu WIdodo</t>
  </si>
  <si>
    <t>Jazeri</t>
  </si>
  <si>
    <t>Novi Trihastuti</t>
  </si>
  <si>
    <t>Zudiantoro</t>
  </si>
  <si>
    <t>Tanti Widyastuti</t>
  </si>
  <si>
    <t>Johan Handoko</t>
  </si>
  <si>
    <t>TAHUN 1999/2000</t>
  </si>
  <si>
    <t>Jerry Kristianto</t>
  </si>
  <si>
    <t>Endah Nugrahini</t>
  </si>
  <si>
    <t>Gerardus Setianto</t>
  </si>
  <si>
    <t>Dwi Priyanto</t>
  </si>
  <si>
    <t>Alam Ramdani</t>
  </si>
  <si>
    <t>Ria Resty</t>
  </si>
  <si>
    <t>Yakobus Hermanus Manu</t>
  </si>
  <si>
    <t>I Gusti Agung Gde Swandana</t>
  </si>
  <si>
    <t>Jane Johana Podung</t>
  </si>
  <si>
    <t>Heri Mulyanti</t>
  </si>
  <si>
    <t>Meijum Yuszarmen</t>
  </si>
  <si>
    <t>Raden Idhiar Nugroho</t>
  </si>
  <si>
    <t>Riyanto</t>
  </si>
  <si>
    <t>Made Widiantoro</t>
  </si>
  <si>
    <t>Wahyu Daryatin</t>
  </si>
  <si>
    <t>Danis Prahita</t>
  </si>
  <si>
    <t>Nuria Ardhini</t>
  </si>
  <si>
    <t>Septiana Yusnita Dwinani</t>
  </si>
  <si>
    <t>Yunita Utaminingsih</t>
  </si>
  <si>
    <t>Budi Harto</t>
  </si>
  <si>
    <t>Maria Yashinta W.S</t>
  </si>
  <si>
    <t>Agung Wibowo</t>
  </si>
  <si>
    <t>Setiyono</t>
  </si>
  <si>
    <t>Arif Budiharyanto</t>
  </si>
  <si>
    <t>Noor Arifin</t>
  </si>
  <si>
    <t>Suroto Yudo Pramono</t>
  </si>
  <si>
    <t>Amiril Hidayat</t>
  </si>
  <si>
    <t>Ivone Fajarwati</t>
  </si>
  <si>
    <t>I Gede Yudi Sukarya</t>
  </si>
  <si>
    <t>Ronggo Arie Wibowo</t>
  </si>
  <si>
    <t>Agustinus Sigalingging</t>
  </si>
  <si>
    <t>Dony Kurniawan B.S</t>
  </si>
  <si>
    <t>Arief Edi Wibowo</t>
  </si>
  <si>
    <t>Tiur Hotdelima Simanulang</t>
  </si>
  <si>
    <t>Variawati</t>
  </si>
  <si>
    <t>Rolly Angetula Lahagu</t>
  </si>
  <si>
    <t>Gregorius Agung Nugroho S</t>
  </si>
  <si>
    <t>Kun Priyatmadi</t>
  </si>
  <si>
    <t>Windy Skandiasari Y</t>
  </si>
  <si>
    <t>Nur Rochman</t>
  </si>
  <si>
    <t>Yudhana Widiatmoko</t>
  </si>
  <si>
    <t>Idris Hendro Wibowo</t>
  </si>
  <si>
    <t>Ulfa Nuryatti</t>
  </si>
  <si>
    <t>Mulyadi</t>
  </si>
  <si>
    <t>Ilmiati</t>
  </si>
  <si>
    <t>Achmad Ali Abdul Majid</t>
  </si>
  <si>
    <t>Muhammad Thohir</t>
  </si>
  <si>
    <t>Syamsu Bachtiar L.H</t>
  </si>
  <si>
    <t>Erline Satyawati</t>
  </si>
  <si>
    <t>Indah Purwaningsih</t>
  </si>
  <si>
    <t>Noor Ainiza</t>
  </si>
  <si>
    <t>Joko Suprojo</t>
  </si>
  <si>
    <t>Doni Anderson</t>
  </si>
  <si>
    <t>Hasnaini</t>
  </si>
  <si>
    <t>Moh. Qisthi Amarona</t>
  </si>
  <si>
    <t>Widi Apidiyanto</t>
  </si>
  <si>
    <t>Dahlina Nopilawati</t>
  </si>
  <si>
    <t>Dian Sadhiana Nurhikmat</t>
  </si>
  <si>
    <t>Moh. Andhi Kurniawan</t>
  </si>
  <si>
    <t>Subkhi Abdul Hakim</t>
  </si>
  <si>
    <t>Aji Ratno</t>
  </si>
  <si>
    <t>Dwi Supriyanto</t>
  </si>
  <si>
    <t>Budi Prayogo</t>
  </si>
  <si>
    <t>Eka Mustikawati</t>
  </si>
  <si>
    <t>Aji Tri Martono</t>
  </si>
  <si>
    <t>Milana Chandra Dewi</t>
  </si>
  <si>
    <t>Komang Amanda W</t>
  </si>
  <si>
    <t>Bambang Arif Mulato S</t>
  </si>
  <si>
    <t>Tajudin</t>
  </si>
  <si>
    <t>Siti Jamilah</t>
  </si>
  <si>
    <t>Djoni Kisworo Ignatius</t>
  </si>
  <si>
    <t>TAHUN 2000/2001</t>
  </si>
  <si>
    <t>Elkis Liyunita Indradewi</t>
  </si>
  <si>
    <t>Cahyo Nugroho</t>
  </si>
  <si>
    <t>Hery Nugroho Hariyanto</t>
  </si>
  <si>
    <t>Dewi Gustanti</t>
  </si>
  <si>
    <t>Ibrahim Aji</t>
  </si>
  <si>
    <t>Seno Hadiyanto</t>
  </si>
  <si>
    <t>Yunina Ratna Susila Dewi</t>
  </si>
  <si>
    <t>Yuni Marbowo</t>
  </si>
  <si>
    <t>Dhenny Diah Rullyta</t>
  </si>
  <si>
    <t>Nur Sigit Pramana</t>
  </si>
  <si>
    <t>BLASIUS TOTOK SUMARYANTO</t>
  </si>
  <si>
    <t>MUH ALI YUSRON</t>
  </si>
  <si>
    <t>SIMON HASIBUAN</t>
  </si>
  <si>
    <t>MOH FARID ARIYANTO</t>
  </si>
  <si>
    <t>ANASTASIA WIDORETNO</t>
  </si>
  <si>
    <t>ANTON RAHMAT WIDODO</t>
  </si>
  <si>
    <t>HERU PUJI ISMANA</t>
  </si>
  <si>
    <t>JUNI AL AMIN</t>
  </si>
  <si>
    <t>AMINUDDIN  JUHRI</t>
  </si>
  <si>
    <t>SIGIT HARTANTO</t>
  </si>
  <si>
    <t>FIRDAUS</t>
  </si>
  <si>
    <t>NI LUH SUDIARTINI</t>
  </si>
  <si>
    <t>DWI NURYANTO</t>
  </si>
  <si>
    <t>ARIF PATMAINUDDIN</t>
  </si>
  <si>
    <t>YOSSI OKTORINI</t>
  </si>
  <si>
    <t>SURANTO</t>
  </si>
  <si>
    <t>WIDAYATI NAWANGSIH</t>
  </si>
  <si>
    <t>DIAN AGUNG SUSANTO</t>
  </si>
  <si>
    <t>IIN HERAWATI</t>
  </si>
  <si>
    <t>HARSONO</t>
  </si>
  <si>
    <t>BAMBANG KUNCORO</t>
  </si>
  <si>
    <t>RISNANDAR</t>
  </si>
  <si>
    <t>MUHAMMAD SYUKUR</t>
  </si>
  <si>
    <t>ARIBUDI SUNARKO</t>
  </si>
  <si>
    <t>WAHYUDIN JOKO SAPUTRO</t>
  </si>
  <si>
    <t>SURYO JATMIKO</t>
  </si>
  <si>
    <t>MUSDADI</t>
  </si>
  <si>
    <t>HARYANTO</t>
  </si>
  <si>
    <t>HERI SUKMADI</t>
  </si>
  <si>
    <t>KARNANTO H.M.</t>
  </si>
  <si>
    <t>ASWIN</t>
  </si>
  <si>
    <t>NAFSI PUTRI NOVIASIH</t>
  </si>
  <si>
    <t>FATHONI ARIYANTO</t>
  </si>
  <si>
    <t>FABIANUS TATO KRU</t>
  </si>
  <si>
    <t>AMIN NURDIN</t>
  </si>
  <si>
    <t>UINI NURRAHMAWATI</t>
  </si>
  <si>
    <t>M NASIHUN</t>
  </si>
  <si>
    <t>I MADE ANDI ARSANA</t>
  </si>
  <si>
    <t>IRSADI</t>
  </si>
  <si>
    <t>MARZUQI ABADI</t>
  </si>
  <si>
    <t>PRAMESWARA BRATHA S</t>
  </si>
  <si>
    <t>AHMAD MUHTHOFA HAQQI</t>
  </si>
  <si>
    <t>MANAPAR B NAHOR</t>
  </si>
  <si>
    <t>PRASETYA</t>
  </si>
  <si>
    <t>EZROM DEDDY BUDYANTHO</t>
  </si>
  <si>
    <t>MUHAMMAD FAHRUDDIN</t>
  </si>
  <si>
    <t>IMANDA SURYA SAMUDRA</t>
  </si>
  <si>
    <t>DADI MURADI</t>
  </si>
  <si>
    <t>FADLUN S ADAM</t>
  </si>
  <si>
    <t>MEDINA</t>
  </si>
  <si>
    <t>DIYAH LESTARI WIDIANINGRUM</t>
  </si>
  <si>
    <t>JAROT SUGISTORO</t>
  </si>
  <si>
    <t>BAYUAJI</t>
  </si>
  <si>
    <t>FAJAR SETIAWAN</t>
  </si>
  <si>
    <t>TONI SOBRAN</t>
  </si>
  <si>
    <t>RADEN ARTANTO RISKY CAHYONO</t>
  </si>
  <si>
    <t>SUSILAWATI</t>
  </si>
  <si>
    <t>DEWA KETUT DARMA YUDHA</t>
  </si>
  <si>
    <t>ARIS BUDI PRATOMO</t>
  </si>
  <si>
    <t>MOKHAMMAD ZAIM N</t>
  </si>
  <si>
    <t>ARDI IRFANDI</t>
  </si>
  <si>
    <t>MUHAMMAD TAUFIQ</t>
  </si>
  <si>
    <t>INTAN LAILA AKBARI I</t>
  </si>
  <si>
    <t>TAHUN 2001/2002</t>
  </si>
  <si>
    <t>YOHANNES GIANTO BUDHI ANGGORO</t>
  </si>
  <si>
    <t>THOMAS AQUINO BUDI PRASETYA</t>
  </si>
  <si>
    <t>PRASTOWO ADI WIBAWA</t>
  </si>
  <si>
    <t>BAMBANG PRASONGKO</t>
  </si>
  <si>
    <t>AGNI CAHYANTI</t>
  </si>
  <si>
    <t>ALUYSIA ENDAH SETIYOWATI</t>
  </si>
  <si>
    <t>I GEDE FERRY ADITYA KUSUMA</t>
  </si>
  <si>
    <t>FERRY ARMEINUS</t>
  </si>
  <si>
    <t>RAKHMAD ABIDIN</t>
  </si>
  <si>
    <t>INDAH HUSNAENI</t>
  </si>
  <si>
    <t>GREGORIUS YERUSALEM</t>
  </si>
  <si>
    <t>MOHTAROM</t>
  </si>
  <si>
    <t>HERY PURNOMO</t>
  </si>
  <si>
    <t>MUHAMMAD AZIZ</t>
  </si>
  <si>
    <t>AHMAD BUNYAMIN</t>
  </si>
  <si>
    <t>YESSY AFRIANI</t>
  </si>
  <si>
    <t>WOODY JAUHARI ROSYID</t>
  </si>
  <si>
    <t>SOMADIYONO</t>
  </si>
  <si>
    <t>I NYOMAN DARMAWAN</t>
  </si>
  <si>
    <t>HARY SUSETYO</t>
  </si>
  <si>
    <t>KATRIA TUHING JAYANTIE</t>
  </si>
  <si>
    <t>BAHARUDIN AHMAD</t>
  </si>
  <si>
    <t>ENIK YUNIFAH</t>
  </si>
  <si>
    <t>ROBY CAHAYADI</t>
  </si>
  <si>
    <t>RONALD PETERSON</t>
  </si>
  <si>
    <t>HENDRO SULISTYO UTOMO</t>
  </si>
  <si>
    <t>ATIK S PRIYO UTOMO</t>
  </si>
  <si>
    <t>RISA INDRASTUTI</t>
  </si>
  <si>
    <t>JERRY YOESTIADIE</t>
  </si>
  <si>
    <t>FARID HENDRO ADIYANTO</t>
  </si>
  <si>
    <t>ARIEF WIDIANTO</t>
  </si>
  <si>
    <t>KUMALA SARI ASHRIA ABIDIN</t>
  </si>
  <si>
    <t>IVAN SANDY</t>
  </si>
  <si>
    <t>THEO FEBRI HANDOKO</t>
  </si>
  <si>
    <t>MOH FUAD</t>
  </si>
  <si>
    <t>HARY LISTANTYO PRABOWO</t>
  </si>
  <si>
    <t>WANDHA TRI HAPSARI</t>
  </si>
  <si>
    <t>YUDHI PRAYITNO</t>
  </si>
  <si>
    <t>SHANTI SATYARINI SANTOSO</t>
  </si>
  <si>
    <t>DWI PALUPI KARTIKASARI</t>
  </si>
  <si>
    <t>ISTIN KURNIANINGSIH</t>
  </si>
  <si>
    <t>GUNAWAN JAYA</t>
  </si>
  <si>
    <t>MUHAMMAD FATHONI</t>
  </si>
  <si>
    <t>ELINSIHA NUNES</t>
  </si>
  <si>
    <t>HADI FIRMANSYAH</t>
  </si>
  <si>
    <t>KETUT  CHANDRA UTAMA</t>
  </si>
  <si>
    <t>MOZAZI WALTERMAN</t>
  </si>
  <si>
    <t>SURIFAH</t>
  </si>
  <si>
    <t>YANTI NELVIA M.</t>
  </si>
  <si>
    <t>DIAN OKTIARI</t>
  </si>
  <si>
    <t>MESITA SWAGERISA</t>
  </si>
  <si>
    <t>MAWAN TRIANTANA</t>
  </si>
  <si>
    <t>HERDIYANTO YUNIAWAN</t>
  </si>
  <si>
    <t>KRISTANTA DWI NUGRAHA</t>
  </si>
  <si>
    <t>EKO SUSILO</t>
  </si>
  <si>
    <t>MOHAMMAD SIDIK MAULANA</t>
  </si>
  <si>
    <t>MUGITO</t>
  </si>
  <si>
    <t>GUNAWAN</t>
  </si>
  <si>
    <t>MAHMUD</t>
  </si>
  <si>
    <t>HENDRA SUGARA MARTHA</t>
  </si>
  <si>
    <t>SUGIYANTO</t>
  </si>
  <si>
    <t>KUSMIARTO</t>
  </si>
  <si>
    <t>AHMAD ZAKY ZAMANI</t>
  </si>
  <si>
    <t>PURNAMA SARI SURBAKTI</t>
  </si>
  <si>
    <t>PUGUH WAHYU SADEWO</t>
  </si>
  <si>
    <t>NAVIA KAVIATI</t>
  </si>
  <si>
    <t>YUDHI INDARWOKO</t>
  </si>
  <si>
    <t>MOH ZAKI MUSLIM</t>
  </si>
  <si>
    <t>SUBAGIYO</t>
  </si>
  <si>
    <t>RACHMAT INDRA THAHER</t>
  </si>
  <si>
    <t>MERI HARYANI</t>
  </si>
  <si>
    <t>YUDO PRASETYO</t>
  </si>
  <si>
    <t>ZULFERINANDA</t>
  </si>
  <si>
    <t>ALIZA ISNAIN</t>
  </si>
  <si>
    <t>BERNADETA FARIDA W.</t>
  </si>
  <si>
    <t>VENSIANA</t>
  </si>
  <si>
    <t>WINOTO DARMAWAN</t>
  </si>
  <si>
    <t>SUJADI</t>
  </si>
  <si>
    <t>AIDIL BUSYIRA</t>
  </si>
  <si>
    <t>AMRIL SIDDIQ</t>
  </si>
  <si>
    <t>IWAN RIDWAN</t>
  </si>
  <si>
    <t>WIDODO NANANG SATRIO</t>
  </si>
  <si>
    <t>PURWOKO</t>
  </si>
  <si>
    <t>YOSEPH ADIN KRISNANDARU</t>
  </si>
  <si>
    <t>AWAN PRASETYO</t>
  </si>
  <si>
    <t>WAHYU HERIYADI</t>
  </si>
  <si>
    <t>JAJAH ARDI IRIAWAN</t>
  </si>
  <si>
    <t>ADE CANDRA WIJAYA</t>
  </si>
  <si>
    <t>ISNAWAN SABTANTO</t>
  </si>
  <si>
    <t>SUNNY JUNAIDA S.</t>
  </si>
  <si>
    <t>SANG NYOMAN WIRAHADI</t>
  </si>
  <si>
    <t>TEDJO SUMANTRI</t>
  </si>
  <si>
    <t>WIKANTI WASKITANINGTIYAS</t>
  </si>
  <si>
    <t>WINDAH SAWITRI MAHANGGI</t>
  </si>
  <si>
    <t>AFRIANI A.R.</t>
  </si>
  <si>
    <t>MUHAMMAD REZA</t>
  </si>
  <si>
    <t>LUKMAN RINANTO</t>
  </si>
  <si>
    <t>FEGI NURHABNI</t>
  </si>
  <si>
    <t>RUSTAT WIDAYANTA</t>
  </si>
  <si>
    <t>IMAM SUBEKTI</t>
  </si>
  <si>
    <t>PRADAPA SETYA WULANDOKO</t>
  </si>
  <si>
    <t>DAVID PARTONGGO OLOAN</t>
  </si>
  <si>
    <t>ARLI BUCHARI</t>
  </si>
  <si>
    <t>MUH ARIF SUHATTANTO</t>
  </si>
  <si>
    <t>ENDRIYANTO</t>
  </si>
  <si>
    <t>JONI SETIYAWAN</t>
  </si>
  <si>
    <t>YANTI SUMEKAR</t>
  </si>
  <si>
    <t>WILFIRDAERLINDA B.B.</t>
  </si>
  <si>
    <t>TAHUN 2002/2003</t>
  </si>
  <si>
    <t>DANANG CAHYO NUGROHO</t>
  </si>
  <si>
    <t>SOFYAN HADI</t>
  </si>
  <si>
    <t>SEKTIAWAN RATNASARI</t>
  </si>
  <si>
    <t>NOVITA SARI HARAHAP</t>
  </si>
  <si>
    <t>NOPI DAELAMI PIRDAUS</t>
  </si>
  <si>
    <t>NICO SENIAR</t>
  </si>
  <si>
    <t>WAHYU KURNIA JOKO PRIHANTORO</t>
  </si>
  <si>
    <t xml:space="preserve">ENDRO SIGIT KURNIAWAN </t>
  </si>
  <si>
    <t>ANTON SUPROJO HADIYANTO</t>
  </si>
  <si>
    <t>JUNI AWAL SARAGIH</t>
  </si>
  <si>
    <t>IDIN YUNINDRA IBNU PARASU</t>
  </si>
  <si>
    <t>ENGGAR PRASETYAWAN</t>
  </si>
  <si>
    <t>TRISIA OKTORI LADO</t>
  </si>
  <si>
    <t>ARIF KURNIAWAN</t>
  </si>
  <si>
    <t>SUNARSIH</t>
  </si>
  <si>
    <t>JUN WAHYUDIYANTO</t>
  </si>
  <si>
    <t>YULIANNI SULISTYOWATI</t>
  </si>
  <si>
    <t>WISNU INDARTO</t>
  </si>
  <si>
    <t>DIKCY CAESAR MUHARAM</t>
  </si>
  <si>
    <t>HENRA SASTRAWAN</t>
  </si>
  <si>
    <t>ARIEF PANUJU</t>
  </si>
  <si>
    <t>RINI WULANDARI</t>
  </si>
  <si>
    <t>FAUS TINUS HANDI FERYANDI</t>
  </si>
  <si>
    <t>TRI AGNASARI</t>
  </si>
  <si>
    <t>HERU SUMBOGO</t>
  </si>
  <si>
    <t>DONY NOVANTORO</t>
  </si>
  <si>
    <t>WAHYU SARI SABEKTI</t>
  </si>
  <si>
    <t>LENNI MELIYANTI FANGGI</t>
  </si>
  <si>
    <t>GALLAEH PANDU LAGA WETE</t>
  </si>
  <si>
    <t>GDE SASTRAWANGSA</t>
  </si>
  <si>
    <t>DENDI KURNIAWAN</t>
  </si>
  <si>
    <t>MUNAWAR</t>
  </si>
  <si>
    <t>NUGROHO</t>
  </si>
  <si>
    <t>MAURINUS ROY ANGGUN CAHYADI</t>
  </si>
  <si>
    <t>KETUT YUDHYA WIRA SUTANTHA</t>
  </si>
  <si>
    <t>WILLYBORDUS WAHYU PRANANTO</t>
  </si>
  <si>
    <t>AGUS INDRA GUNAWAN</t>
  </si>
  <si>
    <t>THENG GWAT HWA (CHRISTINE)</t>
  </si>
  <si>
    <t>SETYOWATI</t>
  </si>
  <si>
    <t>IDA ARIANINGSIH</t>
  </si>
  <si>
    <t>WAHYU WIBOWO</t>
  </si>
  <si>
    <t>TRI BUWONO</t>
  </si>
  <si>
    <t>BAMBANG YUNIARTO</t>
  </si>
  <si>
    <t>YC. FAJAR NUGROHO ADI</t>
  </si>
  <si>
    <t>DWIPA SUYANTA</t>
  </si>
  <si>
    <t>SISKA RIA ANDRIYANI</t>
  </si>
  <si>
    <t>CAHYADI WIDYATMOKO</t>
  </si>
  <si>
    <t>JUNETTY SINABARIBA</t>
  </si>
  <si>
    <t>DANANG PRAKTIKTO KURNIAWAN</t>
  </si>
  <si>
    <t>ERNALISA BR.PERANGINANGIN</t>
  </si>
  <si>
    <t>NANI ANGGOROWATI</t>
  </si>
  <si>
    <t>MUHAMAD RUSDI</t>
  </si>
  <si>
    <t>BENNY RYANTO</t>
  </si>
  <si>
    <t>AROFA ABDILLA RAHMAN</t>
  </si>
  <si>
    <t>MUHAMMAD ZAKI HIDAYAT</t>
  </si>
  <si>
    <t>SATYO RIESSADONO</t>
  </si>
  <si>
    <t>HANHAN LUKMAN SYAHID</t>
  </si>
  <si>
    <t>NUGROHO KUNCORO YEKTI</t>
  </si>
  <si>
    <t>DONY SETIAWAN SEPTIONO</t>
  </si>
  <si>
    <t>YOFRI FURQANI HAKIM</t>
  </si>
  <si>
    <t>LUKFI HALIM</t>
  </si>
  <si>
    <t>SYAFAATUN NAIMAH</t>
  </si>
  <si>
    <t>HEPI HAPSARI HANDAYANI</t>
  </si>
  <si>
    <t>AGUNG ARIWIBOWO</t>
  </si>
  <si>
    <t>JATI WISNU MURTHY</t>
  </si>
  <si>
    <t>TRIGUS EKO</t>
  </si>
  <si>
    <t>SUBEKTI</t>
  </si>
  <si>
    <t>ALEXANDRA MURTININGRUM</t>
  </si>
  <si>
    <t>MUSLIM</t>
  </si>
  <si>
    <t>ROSWATY TAPO</t>
  </si>
  <si>
    <t>SUHADA</t>
  </si>
  <si>
    <t>KRISTIONO HARMOKO</t>
  </si>
  <si>
    <t>LUSHANTI KUSUMASTUTI</t>
  </si>
  <si>
    <t>DANI YUSMANA</t>
  </si>
  <si>
    <t>IMANUEL KURNIAWAN LATUPUTTY</t>
  </si>
  <si>
    <t>I KETUT MARGAWAN</t>
  </si>
  <si>
    <t>RISTININGSIH</t>
  </si>
  <si>
    <t>BAMBANG PAMUNGKAS</t>
  </si>
  <si>
    <t>DESY</t>
  </si>
  <si>
    <t>LALUYUSUF ANSHARY</t>
  </si>
  <si>
    <t>PUJA LAKSANA PRABAWA GUNAWAN</t>
  </si>
  <si>
    <t>ENY SETYOWATI</t>
  </si>
  <si>
    <t>MEGA HANDAYANI</t>
  </si>
  <si>
    <t>ASEP SLAMET MULYANA</t>
  </si>
  <si>
    <t>ROMEY RUSDAYANTI</t>
  </si>
  <si>
    <t>NIFTI VENTIN CAHYANI</t>
  </si>
  <si>
    <t>IRAWAN SETIA BUDI</t>
  </si>
  <si>
    <t>HELMY FIRMANSYAH</t>
  </si>
  <si>
    <t>EDI SUKOCO</t>
  </si>
  <si>
    <t>HAVID FAUZI AS SYIDIQ</t>
  </si>
  <si>
    <t>ANTONO WIRASTRO</t>
  </si>
  <si>
    <t>RUDY HANTORO</t>
  </si>
  <si>
    <t>IKA YULIANTI</t>
  </si>
  <si>
    <t>DEVRYANTO PANCA SETYADI</t>
  </si>
  <si>
    <t>HENGKY RISART MAMANUA</t>
  </si>
  <si>
    <t>CATHARINA NANIK SUBROTO</t>
  </si>
  <si>
    <t>ARI RUBIASIH</t>
  </si>
  <si>
    <t>HARVINI WULANSARI</t>
  </si>
  <si>
    <t>AGUS PRASETYANTO</t>
  </si>
  <si>
    <t>ADY SIHOL TURNIP</t>
  </si>
  <si>
    <t>KRISTIAWAN TRI NUGROHO</t>
  </si>
  <si>
    <t>BAYUMURTI SURYOPRABOWO</t>
  </si>
  <si>
    <t>ADY PRASETYAWAN</t>
  </si>
  <si>
    <t>KARIMA KARTESA</t>
  </si>
  <si>
    <t>TAHUN 2003/2004</t>
  </si>
  <si>
    <t>ARIA YULIAWAN</t>
  </si>
  <si>
    <t>MAS BAMBANG AGUS WIJAYA</t>
  </si>
  <si>
    <t>SIMON MASUDIYANTO</t>
  </si>
  <si>
    <t>RIZKY HENDRANAHTA AWIKARA</t>
  </si>
  <si>
    <t>IWAN SETIAWAN</t>
  </si>
  <si>
    <t>RAHMAT SUDIANA</t>
  </si>
  <si>
    <t>FAJAR PRASETYO</t>
  </si>
  <si>
    <t>RAHMAYANTY</t>
  </si>
  <si>
    <t>DOVINA TRIASTUTI</t>
  </si>
  <si>
    <t>RACHMANITA</t>
  </si>
  <si>
    <t>ELYTA  WIDYANINGRUM</t>
  </si>
  <si>
    <t>DIYAH NOVITA KURNIANTI</t>
  </si>
  <si>
    <t>DANIEL ADI NUGROHO</t>
  </si>
  <si>
    <t>VITRIANI</t>
  </si>
  <si>
    <t>DEWANTO</t>
  </si>
  <si>
    <t>CHRIS TRIWARSENO</t>
  </si>
  <si>
    <t>SYAMSUL BAHRI</t>
  </si>
  <si>
    <t>EKA ARIFA RUSQIYATI</t>
  </si>
  <si>
    <t>HENDRO PRASTOWO</t>
  </si>
  <si>
    <t>LASWANTO</t>
  </si>
  <si>
    <t>TRI WAHYU WIDADI</t>
  </si>
  <si>
    <t>7.4 bl</t>
  </si>
  <si>
    <t>YEANE KAYA</t>
  </si>
  <si>
    <t>6.4 bl</t>
  </si>
  <si>
    <t>INDRA SYAFRIYA</t>
  </si>
  <si>
    <t>AKHMAD MUKTAMAR</t>
  </si>
  <si>
    <t>5.4 bl</t>
  </si>
  <si>
    <t>YONI EKO HARDONO</t>
  </si>
  <si>
    <t>YOGI SURNAYANTO</t>
  </si>
  <si>
    <t>IKHWAN DARUSALAM</t>
  </si>
  <si>
    <t>ARIEF DWIJAYANTO</t>
  </si>
  <si>
    <t>ADITYA SIDIK WASKITO</t>
  </si>
  <si>
    <t>BUDI PARJANTO</t>
  </si>
  <si>
    <t>RIDWAN JALI NURCAHYO</t>
  </si>
  <si>
    <t>IRNOVIAN</t>
  </si>
  <si>
    <t>AMELIA APRESIA SIPAHUTAR</t>
  </si>
  <si>
    <t>DIA'LAH HOKOSUJA HUTABALIAN</t>
  </si>
  <si>
    <t>4.4 bl</t>
  </si>
  <si>
    <t>WIYONO</t>
  </si>
  <si>
    <t>DEWI ANDRIANI WAAS</t>
  </si>
  <si>
    <t>ASIH NIRBIYANTI</t>
  </si>
  <si>
    <t>TAUFIK</t>
  </si>
  <si>
    <t>BISRI MUSTHOFA</t>
  </si>
  <si>
    <t>INGE WIJAYA</t>
  </si>
  <si>
    <t>NIKEN ZAKIYATI SA'ADIYAH</t>
  </si>
  <si>
    <t>DWI HARYANTO</t>
  </si>
  <si>
    <t>QURROTU'AINY</t>
  </si>
  <si>
    <t>EDI SURYANTO</t>
  </si>
  <si>
    <t>FARIDA ADRIYANI</t>
  </si>
  <si>
    <t>YOHANES BRURI SETIA BIMA</t>
  </si>
  <si>
    <t>7.3 bl</t>
  </si>
  <si>
    <t>BLASIUS ANGGORO YUWONO</t>
  </si>
  <si>
    <t>8.8 bl</t>
  </si>
  <si>
    <t>HERMAN SUSILO RAHARJO</t>
  </si>
  <si>
    <t>MAHMUDI</t>
  </si>
  <si>
    <t>5.8 bl</t>
  </si>
  <si>
    <t>TRI WIDARYANTO</t>
  </si>
  <si>
    <t>TRI HENDRASMARA SAPUTRA</t>
  </si>
  <si>
    <t>DEDI ATUNGGAL SP</t>
  </si>
  <si>
    <t>KING FIRSA</t>
  </si>
  <si>
    <t>4.8 bl</t>
  </si>
  <si>
    <t>CICILIA HESTI WIDAYATI</t>
  </si>
  <si>
    <t>LEO AGUNG WIDIARTO</t>
  </si>
  <si>
    <t>YULIETA</t>
  </si>
  <si>
    <t>ALEXSANDER MARITO</t>
  </si>
  <si>
    <t>WAHYU SUCI ANDIRACHMAN</t>
  </si>
  <si>
    <t>MULIA INDA RAHAYU</t>
  </si>
  <si>
    <t>ADI PERMADI</t>
  </si>
  <si>
    <t>TRIYATMOKO</t>
  </si>
  <si>
    <t>SUKAMTO</t>
  </si>
  <si>
    <t>MULKAL</t>
  </si>
  <si>
    <t>IWAN JUNAEDI</t>
  </si>
  <si>
    <t>RESTITUTUS BIANTARA</t>
  </si>
  <si>
    <t>NURSIDIQ</t>
  </si>
  <si>
    <t>NOVI FEBRIANTI</t>
  </si>
  <si>
    <t>YUDHO DWI HADIARTO</t>
  </si>
  <si>
    <t>YEMIMA</t>
  </si>
  <si>
    <t>DWI ANTON ATMOKO</t>
  </si>
  <si>
    <t>HERMAWAN HARRISAPUTRA</t>
  </si>
  <si>
    <t>SUKARTONO HARIBOWO</t>
  </si>
  <si>
    <t>YANUAR SULAKSONO</t>
  </si>
  <si>
    <t>RINALDO KURNIAWAN</t>
  </si>
  <si>
    <t>JOKO NOVA ARIANTO</t>
  </si>
  <si>
    <t>BAMBANG KUN CAHYONO</t>
  </si>
  <si>
    <t>ARYO SUDIATMOKO</t>
  </si>
  <si>
    <t>AMBAR NUR HADI</t>
  </si>
  <si>
    <t>DYAH MYALISA</t>
  </si>
  <si>
    <t>YOHANES YUDO HARSANTO</t>
  </si>
  <si>
    <t>AULIA AKBAR</t>
  </si>
  <si>
    <t>SAM ILHAM HARTOKO</t>
  </si>
  <si>
    <t>YENI PUSPITASARI</t>
  </si>
  <si>
    <t>RENY OCTAVIANA</t>
  </si>
  <si>
    <t>FACHRY ANSORI AKBAR</t>
  </si>
  <si>
    <t>ROHMIATUN</t>
  </si>
  <si>
    <t>MARYOTO</t>
  </si>
  <si>
    <t>LAMBANG PUSPITO JATI Y.</t>
  </si>
  <si>
    <t>HASAN MARZUKI</t>
  </si>
  <si>
    <t>KOMANG SRI HARTINI</t>
  </si>
  <si>
    <t>00/25135</t>
  </si>
  <si>
    <t>SEPTEIN PARAMIA SWANTIKA</t>
  </si>
  <si>
    <t>00/25236</t>
  </si>
  <si>
    <t>DIANA WISNU WARDANI</t>
  </si>
  <si>
    <t>00/25299</t>
  </si>
  <si>
    <t>ANDRI SUTOPO</t>
  </si>
  <si>
    <t>WIWIT WIDI NUGROHO</t>
  </si>
  <si>
    <t>MARYONO</t>
  </si>
  <si>
    <t>ROY ASMARA</t>
  </si>
  <si>
    <t>AGUS PURNAMA ILHAM</t>
  </si>
  <si>
    <t>JOHN  MURYANDHI SYAHPUTRA ZOJAK GIRSANG</t>
  </si>
  <si>
    <t>BUDI SANTOSO</t>
  </si>
  <si>
    <t>GATOT ESTI WIJAYANTO</t>
  </si>
  <si>
    <t>00/25273</t>
  </si>
  <si>
    <t>SA'DIANOR</t>
  </si>
  <si>
    <t>98/22397</t>
  </si>
  <si>
    <t>MUHAMMAD RAMLI S.</t>
  </si>
  <si>
    <t>99 /24339</t>
  </si>
  <si>
    <t>I MADE MARTAWAN</t>
  </si>
  <si>
    <t>99//23676</t>
  </si>
  <si>
    <t>TAHUN 2004/2005</t>
  </si>
  <si>
    <t>ARIE YULFA</t>
  </si>
  <si>
    <t>IKHWANUDDIN</t>
  </si>
  <si>
    <t>THOMAS HARDY</t>
  </si>
  <si>
    <t>LIBRIA SEFITA DEWI</t>
  </si>
  <si>
    <t>HENDRA KUSTONO</t>
  </si>
  <si>
    <t>RIZKI NIODE</t>
  </si>
  <si>
    <t>MUHAMMAD HILMANSYAH</t>
  </si>
  <si>
    <t>WAHYU ANDIKA</t>
  </si>
  <si>
    <t>DIDOT INDRIARDI</t>
  </si>
  <si>
    <t>NOVIYANTO PURNOMOHADI</t>
  </si>
  <si>
    <t>BAYU TRIYOGO WIDYANTORO</t>
  </si>
  <si>
    <t>00/25102</t>
  </si>
  <si>
    <t>RAHMAWATI</t>
  </si>
  <si>
    <t>00/25139</t>
  </si>
  <si>
    <t>ASEP WISNU RAHARJO</t>
  </si>
  <si>
    <t>00/25269</t>
  </si>
  <si>
    <t>ANDREAS ARI PUTRO DWI NANTO</t>
  </si>
  <si>
    <t>00/25470</t>
  </si>
  <si>
    <t>TITIK HARIYANTI</t>
  </si>
  <si>
    <t>00/25627</t>
  </si>
  <si>
    <t>ANDI WIJAYANTO</t>
  </si>
  <si>
    <t>00/25871</t>
  </si>
  <si>
    <t>ARIEF WICAKSANA</t>
  </si>
  <si>
    <t>99/24096</t>
  </si>
  <si>
    <t>HAERU KUSUMAH</t>
  </si>
  <si>
    <t>FREDDY SANJAYA</t>
  </si>
  <si>
    <t>AGUNG PANJI PATRIA</t>
  </si>
  <si>
    <t>VINSENSIUS JOKO LELONO</t>
  </si>
  <si>
    <t>JUMIRAN</t>
  </si>
  <si>
    <t>AGUNG MURDHIANTO</t>
  </si>
  <si>
    <t>ADITYA DIMAS DEWANTO</t>
  </si>
  <si>
    <t>ABIDIN</t>
  </si>
  <si>
    <t>ELFIRA</t>
  </si>
  <si>
    <t>HERMAWAN EKO SUTRISNO</t>
  </si>
  <si>
    <t>GERMINO WAHYU BROTO</t>
  </si>
  <si>
    <t>EKO PRASETYO WIBISONO MUKTI NUGROHO</t>
  </si>
  <si>
    <t>HENDRIYANTO ZAKI NUR RAHMAT</t>
  </si>
  <si>
    <t>HARDI SUSENO</t>
  </si>
  <si>
    <t>BINTANG OLYBERT SIDABUTAR</t>
  </si>
  <si>
    <t>YUDA AGUNG NUGROHO</t>
  </si>
  <si>
    <t>WALJIYANTO</t>
  </si>
  <si>
    <t>ADE CANDRA</t>
  </si>
  <si>
    <t>ARIS SETIYADI</t>
  </si>
  <si>
    <t>ARIF SETIAWAN</t>
  </si>
  <si>
    <t>WAHYU SETYANINGRUM</t>
  </si>
  <si>
    <t>00/25261</t>
  </si>
  <si>
    <t>SYAFRISAR MASRI LIMART</t>
  </si>
  <si>
    <t>00/25363</t>
  </si>
  <si>
    <t>DHARU WEDY SUNARNYOTO</t>
  </si>
  <si>
    <t>00/25780</t>
  </si>
  <si>
    <t>CHUK TRIWIBOWO HADIYANTO</t>
  </si>
  <si>
    <t>00/25011</t>
  </si>
  <si>
    <t>AAN HASANAH</t>
  </si>
  <si>
    <t>00/25030</t>
  </si>
  <si>
    <t>IWAN NURHIDAYAT</t>
  </si>
  <si>
    <t>00/25152</t>
  </si>
  <si>
    <t>ANITA ROSALINA</t>
  </si>
  <si>
    <t>00/25262</t>
  </si>
  <si>
    <t>ERNA PURWOKO</t>
  </si>
  <si>
    <t>00/25272</t>
  </si>
  <si>
    <t>RULI ANDARU</t>
  </si>
  <si>
    <t>00/25343</t>
  </si>
  <si>
    <t>JONI SETIAWAN</t>
  </si>
  <si>
    <t>00/25546</t>
  </si>
  <si>
    <t>ARIS SUKMONO</t>
  </si>
  <si>
    <t>00/25547</t>
  </si>
  <si>
    <t>MOHAMAD GUGUS PERDANA</t>
  </si>
  <si>
    <t>00/25728</t>
  </si>
  <si>
    <t>ZULDI SUHARYANTO</t>
  </si>
  <si>
    <t>00/25796</t>
  </si>
  <si>
    <t>DANY SULTHAN</t>
  </si>
  <si>
    <t>00/25901</t>
  </si>
  <si>
    <t>DIYAN KURNIAWAN</t>
  </si>
  <si>
    <t>00/25029</t>
  </si>
  <si>
    <t>R. IWAN TRISNAWAN SAGITA</t>
  </si>
  <si>
    <t>00/25097</t>
  </si>
  <si>
    <t>RINNY ARDIYANI</t>
  </si>
  <si>
    <t>00/25176</t>
  </si>
  <si>
    <t>AGUS DWI ATMOKO</t>
  </si>
  <si>
    <t>00/25239</t>
  </si>
  <si>
    <t>MUCHAMAD WAHYU TRINUGROHO</t>
  </si>
  <si>
    <t>00/25332</t>
  </si>
  <si>
    <t xml:space="preserve">ANTONIUS BAYU WICAKSONO </t>
  </si>
  <si>
    <t>00/25351</t>
  </si>
  <si>
    <t>ARIF RACHMAN RUSTAMAJI</t>
  </si>
  <si>
    <t>00/25359</t>
  </si>
  <si>
    <t>ENDRA ECSTASY</t>
  </si>
  <si>
    <t>00/25467</t>
  </si>
  <si>
    <t>AGUNG NUGROHO</t>
  </si>
  <si>
    <t>00/25545</t>
  </si>
  <si>
    <t>DEDE WAHYUDI</t>
  </si>
  <si>
    <t>00/25733</t>
  </si>
  <si>
    <t>CICILIA SUSY SETYO CAHYANI</t>
  </si>
  <si>
    <t>00/25776</t>
  </si>
  <si>
    <t>DIMAS HANITYAWAN SURYOPUSPITO</t>
  </si>
  <si>
    <t>00/25846</t>
  </si>
  <si>
    <t>RATU AYU DINAR WIRA PERTIWI</t>
  </si>
  <si>
    <t>00/25865</t>
  </si>
  <si>
    <t>FILIPUS ARISTRIANTO</t>
  </si>
  <si>
    <t>00/25922</t>
  </si>
  <si>
    <t>ZAMILUL MUTTAQIEN</t>
  </si>
  <si>
    <t>00/25929</t>
  </si>
  <si>
    <t>HOTMATIO</t>
  </si>
  <si>
    <t>98/22382</t>
  </si>
  <si>
    <t>ANDHY NATALIS</t>
  </si>
  <si>
    <t>99/23919</t>
  </si>
  <si>
    <t>DIMAS RAHADIAN</t>
  </si>
  <si>
    <t>99/23980</t>
  </si>
  <si>
    <t>EKO BUDIARTO</t>
  </si>
  <si>
    <t>99/24421</t>
  </si>
  <si>
    <t>SUDIRNO</t>
  </si>
  <si>
    <t>99/24474</t>
  </si>
  <si>
    <t>WIRA YUNANDA</t>
  </si>
  <si>
    <t>00/24909</t>
  </si>
  <si>
    <t>BUDIANSANI</t>
  </si>
  <si>
    <t>00/24932</t>
  </si>
  <si>
    <t>SYOHRAENI</t>
  </si>
  <si>
    <t>00/24971</t>
  </si>
  <si>
    <t>GENTUR MURYANTO</t>
  </si>
  <si>
    <t>00/25058</t>
  </si>
  <si>
    <t>MUHAMMAD ALFATH</t>
  </si>
  <si>
    <t>00/25070</t>
  </si>
  <si>
    <t>NURIDA FATMAWATI</t>
  </si>
  <si>
    <t>00/25105</t>
  </si>
  <si>
    <t>TRI NINDYAH TAPTOSARI</t>
  </si>
  <si>
    <t>00/25153</t>
  </si>
  <si>
    <t>JUNI TRI RATNASARI</t>
  </si>
  <si>
    <t>00/25254</t>
  </si>
  <si>
    <t>AAN AFIANTO</t>
  </si>
  <si>
    <t>00/25422</t>
  </si>
  <si>
    <t>ARRIEF PRAMBODO</t>
  </si>
  <si>
    <t>00/25451</t>
  </si>
  <si>
    <t>I WAYAN SESANA SAMIARTA</t>
  </si>
  <si>
    <t>00/25492</t>
  </si>
  <si>
    <t>SUNARTO</t>
  </si>
  <si>
    <t>00/25586</t>
  </si>
  <si>
    <t>FX. WIDORASMO AJI</t>
  </si>
  <si>
    <t>00/25588</t>
  </si>
  <si>
    <t>YULI ASNANTO</t>
  </si>
  <si>
    <t>00/25646</t>
  </si>
  <si>
    <t>BADRUSZAMAN</t>
  </si>
  <si>
    <t>00/25668</t>
  </si>
  <si>
    <t>RINO ARI WIBOWO</t>
  </si>
  <si>
    <t>00/25713</t>
  </si>
  <si>
    <t>FERY MULYADI</t>
  </si>
  <si>
    <t>00/25809</t>
  </si>
  <si>
    <t>DANANG AGUS CAHYONO</t>
  </si>
  <si>
    <t>00/25828</t>
  </si>
  <si>
    <t>EKA DIAN RATRI</t>
  </si>
  <si>
    <t>00/25858</t>
  </si>
  <si>
    <t>ARIS WIBOWO</t>
  </si>
  <si>
    <t>00/25932</t>
  </si>
  <si>
    <t>IMAN SADESMESLI</t>
  </si>
  <si>
    <t>01/26052</t>
  </si>
  <si>
    <t>CUT SUSANTI</t>
  </si>
  <si>
    <t>01/26643</t>
  </si>
  <si>
    <t>ANDIKA BUDI PRATAMA</t>
  </si>
  <si>
    <t>01/26741</t>
  </si>
  <si>
    <t>ENDAH PAKARTI</t>
  </si>
  <si>
    <t>93/18455</t>
  </si>
  <si>
    <t>2004/2005</t>
  </si>
  <si>
    <t>YUSRIZAL FAHMI</t>
  </si>
  <si>
    <t>98/22481</t>
  </si>
  <si>
    <t>Angk. 2001</t>
  </si>
  <si>
    <t>:</t>
  </si>
  <si>
    <t>YAN FOURADI SURBAKTI</t>
  </si>
  <si>
    <t>98/23229</t>
  </si>
  <si>
    <t>APRIL TONAPA</t>
  </si>
  <si>
    <t>99/23652</t>
  </si>
  <si>
    <t>SAIPUL BAHRI</t>
  </si>
  <si>
    <t>99/23788</t>
  </si>
  <si>
    <t>HERMAN EFFENDI</t>
  </si>
  <si>
    <t>99/24230</t>
  </si>
  <si>
    <t>ADVIAN WAHDI</t>
  </si>
  <si>
    <t>99/24396</t>
  </si>
  <si>
    <t>NOFRI KURNIAWAN</t>
  </si>
  <si>
    <t>00/25352</t>
  </si>
  <si>
    <t>FENDI SULISTIYO</t>
  </si>
  <si>
    <t>99/24305</t>
  </si>
  <si>
    <t>TAHUN 2005/2006</t>
  </si>
  <si>
    <t>IRWAN WAHYU KURNIAWAN</t>
  </si>
  <si>
    <t>SIGIT WAHYUDI</t>
  </si>
  <si>
    <t>EVENDI NUGROHO</t>
  </si>
  <si>
    <t>RONI ISMAIL MARZUQI</t>
  </si>
  <si>
    <t>00/25071</t>
  </si>
  <si>
    <t>PAULUS SETYO DWIPRADIGDO</t>
  </si>
  <si>
    <t>00/25360</t>
  </si>
  <si>
    <t>OKA PRATAMA</t>
  </si>
  <si>
    <t>00/25469</t>
  </si>
  <si>
    <t>ARIS SANTOSO</t>
  </si>
  <si>
    <t>00/25587</t>
  </si>
  <si>
    <t>YAHYA</t>
  </si>
  <si>
    <t>00/25792</t>
  </si>
  <si>
    <t>KRISNADI</t>
  </si>
  <si>
    <t>00/25837</t>
  </si>
  <si>
    <t>IMAM BASKORO</t>
  </si>
  <si>
    <t>01/26058</t>
  </si>
  <si>
    <t>PIRMANSAH</t>
  </si>
  <si>
    <t>01/26256</t>
  </si>
  <si>
    <t>ADI KUSNAWAN</t>
  </si>
  <si>
    <t>01/26287</t>
  </si>
  <si>
    <t>NILA AULIA</t>
  </si>
  <si>
    <t>01/26549</t>
  </si>
  <si>
    <t>YUNI CATUR UTAMI</t>
  </si>
  <si>
    <t>01/26553</t>
  </si>
  <si>
    <t>GUNAWAN WISNU WARDHANA</t>
  </si>
  <si>
    <t>01/26723</t>
  </si>
  <si>
    <t>NUR HANDAYANI</t>
  </si>
  <si>
    <t>01/26940</t>
  </si>
  <si>
    <t>PRAYITNO</t>
  </si>
  <si>
    <t>Nov-01</t>
  </si>
  <si>
    <t>NURHADI</t>
  </si>
  <si>
    <t>PRASETYO WIBOWO</t>
  </si>
  <si>
    <t>SIGIT KURNIAWAN</t>
  </si>
  <si>
    <t>00/25117</t>
  </si>
  <si>
    <t>RONI FAJAR WIBOWO</t>
  </si>
  <si>
    <t>00/25138</t>
  </si>
  <si>
    <t>ADHITYO SUSILO NUGROHO</t>
  </si>
  <si>
    <t>NUGROHO BAYU SAPUTRO</t>
  </si>
  <si>
    <t>00/25288</t>
  </si>
  <si>
    <t>SUBHAN BAHRI</t>
  </si>
  <si>
    <t>00/25446</t>
  </si>
  <si>
    <t>HARI SUTOPO</t>
  </si>
  <si>
    <t>00/25525</t>
  </si>
  <si>
    <t>HENDRA KURNIA FEBRIAWAN</t>
  </si>
  <si>
    <t>00/25571</t>
  </si>
  <si>
    <t>TANTO SETIAWAN</t>
  </si>
  <si>
    <t>00/25643</t>
  </si>
  <si>
    <t>BOBY DWI ARISONA</t>
  </si>
  <si>
    <t>00/25818</t>
  </si>
  <si>
    <t>SIGIT PRABOWO</t>
  </si>
  <si>
    <t>00/25878</t>
  </si>
  <si>
    <t>MARICE KRISTIANA MANULANG</t>
  </si>
  <si>
    <t>01/26053</t>
  </si>
  <si>
    <t>BISMA JAYA ZAKARIA</t>
  </si>
  <si>
    <t>00/25265</t>
  </si>
  <si>
    <t>RIKA ERMAYA MAYSAROCH</t>
  </si>
  <si>
    <t>01/26078</t>
  </si>
  <si>
    <t>TITIS LISTYOWATI</t>
  </si>
  <si>
    <t>01/26141</t>
  </si>
  <si>
    <t>MICHAEL YANU KUSUMAKRISTI</t>
  </si>
  <si>
    <t>01/26178</t>
  </si>
  <si>
    <t>IFAH RAHMAWATI</t>
  </si>
  <si>
    <t>01/26212</t>
  </si>
  <si>
    <t>TAMIM THOBIBAH</t>
  </si>
  <si>
    <t>01/26344</t>
  </si>
  <si>
    <t>EKO WIDI SUSANTO</t>
  </si>
  <si>
    <t>01/26562</t>
  </si>
  <si>
    <t>MUHAMMAD IRFAN</t>
  </si>
  <si>
    <t>01/26607</t>
  </si>
  <si>
    <t>SUKMAWATI SETYANINGTYAS</t>
  </si>
  <si>
    <t>01/26713</t>
  </si>
  <si>
    <t>SAN PAMUNKAS RUDIANTO</t>
  </si>
  <si>
    <t>01/26769</t>
  </si>
  <si>
    <t>HANDOKO PUTRO WICAKSONO</t>
  </si>
  <si>
    <t>01/26775</t>
  </si>
  <si>
    <t>ERWIN PRASETIYO</t>
  </si>
  <si>
    <t>01/26810</t>
  </si>
  <si>
    <t>DWI RINI HARTATI</t>
  </si>
  <si>
    <t>01/26835</t>
  </si>
  <si>
    <t>DARUL IKHASN KHOLIQ</t>
  </si>
  <si>
    <t>01/26861</t>
  </si>
  <si>
    <t>ZILFANANDA</t>
  </si>
  <si>
    <t>01/26977</t>
  </si>
  <si>
    <t>KHIKMANTO SUPRIBADI</t>
  </si>
  <si>
    <t>00/25251</t>
  </si>
  <si>
    <t>28/04/2006</t>
  </si>
  <si>
    <t>TUNJUNG PURNAMASARI</t>
  </si>
  <si>
    <t>01/26114</t>
  </si>
  <si>
    <t>HENDRA AHMAD FIRDAUS</t>
  </si>
  <si>
    <t>01/26186</t>
  </si>
  <si>
    <t>AWAN SETIAWAN</t>
  </si>
  <si>
    <t>01/26461</t>
  </si>
  <si>
    <t>ANOM WIJONO</t>
  </si>
  <si>
    <t>01/26505</t>
  </si>
  <si>
    <t>ERFAN DANY VARIANDY</t>
  </si>
  <si>
    <t>01/26513</t>
  </si>
  <si>
    <t>DIAN PERTIWI</t>
  </si>
  <si>
    <t>01/26521</t>
  </si>
  <si>
    <t>I GST NGURAH ANOM</t>
  </si>
  <si>
    <t>01/26633</t>
  </si>
  <si>
    <t>SIGIT NURCAHYONO</t>
  </si>
  <si>
    <t>01/26640</t>
  </si>
  <si>
    <t>FAJAR SUNARJANTO</t>
  </si>
  <si>
    <t>01/26780</t>
  </si>
  <si>
    <t>SUMARNO</t>
  </si>
  <si>
    <t>01/26881</t>
  </si>
  <si>
    <t>HENDRA RAMDHANI</t>
  </si>
  <si>
    <t>02/27040</t>
  </si>
  <si>
    <t>MUHAMAD IMAM SAYUTI</t>
  </si>
  <si>
    <t>01/26734</t>
  </si>
  <si>
    <t>FREDY HARY PURWANTO</t>
  </si>
  <si>
    <t>01/26667</t>
  </si>
  <si>
    <t>A MARIA TANJUNG</t>
  </si>
  <si>
    <t>01/26950</t>
  </si>
  <si>
    <t>DICKY ZULKARNAIN</t>
  </si>
  <si>
    <t>01/26452</t>
  </si>
  <si>
    <t>HADI YUNTARTO</t>
  </si>
  <si>
    <t>02/27401</t>
  </si>
  <si>
    <t>RUNNI NOVIANI</t>
  </si>
  <si>
    <t>01/26154</t>
  </si>
  <si>
    <t>NOVIANINGRUM EKARINA SUDARYANTO</t>
  </si>
  <si>
    <t>01/26697</t>
  </si>
  <si>
    <t>ARIAWAN PRASETYO</t>
  </si>
  <si>
    <t>01/26797</t>
  </si>
  <si>
    <t>SIGITJOKO PURWANTO</t>
  </si>
  <si>
    <t>01/26736</t>
  </si>
  <si>
    <t>BAYU KURNIAWAN RUMONO</t>
  </si>
  <si>
    <t>01/26560</t>
  </si>
  <si>
    <t>MUHAMMAD RUSDIN RANGGA P</t>
  </si>
  <si>
    <t>01/26251</t>
  </si>
  <si>
    <t>FITRIA SEKAR ENDAH</t>
  </si>
  <si>
    <t>99/24120</t>
  </si>
  <si>
    <t>TRIKA CIPTA UTAMA</t>
  </si>
  <si>
    <t>01/26416</t>
  </si>
  <si>
    <t>INDRA DARUSMAN</t>
  </si>
  <si>
    <t>01/26542</t>
  </si>
  <si>
    <t>GURON SEPTOHARJO</t>
  </si>
  <si>
    <t>99/24579</t>
  </si>
  <si>
    <t>PARULIAN SIHALOHO</t>
  </si>
  <si>
    <t>00/25297</t>
  </si>
  <si>
    <t>AMY MUHARAM</t>
  </si>
  <si>
    <t>99/24429</t>
  </si>
  <si>
    <t>RHEINDERA BAGUS SETIAWAN</t>
  </si>
  <si>
    <t>00/25902</t>
  </si>
  <si>
    <t>SUGIARTO</t>
  </si>
  <si>
    <t>00/25220</t>
  </si>
  <si>
    <t>IRAWAN PRAYOKO</t>
  </si>
  <si>
    <t>97/21383</t>
  </si>
  <si>
    <t>ADIB PRIYATNO</t>
  </si>
  <si>
    <t>02/27140</t>
  </si>
  <si>
    <t>MUZAMMIL RAHAPURNA</t>
  </si>
  <si>
    <t>98/22439</t>
  </si>
  <si>
    <t>ENSI ESTIANTO ARI P</t>
  </si>
  <si>
    <t>98/22351</t>
  </si>
  <si>
    <t>Rt.lm studi</t>
  </si>
  <si>
    <t>WELLY CHRISTIAN SAROPATI ZALUCHU</t>
  </si>
  <si>
    <t>98/22364</t>
  </si>
  <si>
    <t>Rt.lm TA</t>
  </si>
  <si>
    <t>LITA DHAMAYANTI</t>
  </si>
  <si>
    <t>98/22896</t>
  </si>
  <si>
    <t>IPK min</t>
  </si>
  <si>
    <t>DINA PRANANINGRUM</t>
  </si>
  <si>
    <t>01/26166</t>
  </si>
  <si>
    <t>IPK Rt2</t>
  </si>
  <si>
    <t>NAJIB KHOERUL AMIN</t>
  </si>
  <si>
    <t>01/26318</t>
  </si>
  <si>
    <t>IPK Max</t>
  </si>
  <si>
    <t>HENDRY YULI WIBOWO</t>
  </si>
  <si>
    <t>01/26740</t>
  </si>
  <si>
    <t>% &lt;2.75</t>
  </si>
  <si>
    <t>AGUNG PRASTOWO</t>
  </si>
  <si>
    <t>01/26808</t>
  </si>
  <si>
    <t>%2.75-3.50</t>
  </si>
  <si>
    <t>RAHMANUDIN</t>
  </si>
  <si>
    <t>02/27284</t>
  </si>
  <si>
    <t>% &gt;3.50 :</t>
  </si>
  <si>
    <t xml:space="preserve">jumlah : </t>
  </si>
  <si>
    <t>2006-2007</t>
  </si>
  <si>
    <t>Kode th</t>
  </si>
  <si>
    <t>MUHAMMAD AFIF NUGROHO</t>
  </si>
  <si>
    <t>01/26682</t>
  </si>
  <si>
    <t>RULLY WIDYANINGSIH</t>
  </si>
  <si>
    <t>02/27124</t>
  </si>
  <si>
    <t>ENDA LATERSIA BR. PINEM</t>
  </si>
  <si>
    <t>02/27150</t>
  </si>
  <si>
    <t>JEFRY ARIANTA TIMISELA</t>
  </si>
  <si>
    <t>97/21420</t>
  </si>
  <si>
    <t>DENI INDRIANI</t>
  </si>
  <si>
    <t>01/26502</t>
  </si>
  <si>
    <t>ROFI’AH</t>
  </si>
  <si>
    <t>00/25301</t>
  </si>
  <si>
    <t>KAWIT FITRIYANI</t>
  </si>
  <si>
    <t>01/26807</t>
  </si>
  <si>
    <t>ARDHINOV JAGIS THEOGARFOKK</t>
  </si>
  <si>
    <t>01/26704</t>
  </si>
  <si>
    <t>ADITYA ARIE WIBOWO</t>
  </si>
  <si>
    <t>01/26274</t>
  </si>
  <si>
    <t>ARIYANTO SURYOTEJO</t>
  </si>
  <si>
    <t>01/26824</t>
  </si>
  <si>
    <t>ALDIANSYAH</t>
  </si>
  <si>
    <t>01/26063</t>
  </si>
  <si>
    <t>YUDHA ADICITA</t>
  </si>
  <si>
    <t>01/26185</t>
  </si>
  <si>
    <t>JANUARISNI TRI WARDANI</t>
  </si>
  <si>
    <t>01/26961</t>
  </si>
  <si>
    <t>HERLAMBANG EKA ANDRIYANTA</t>
  </si>
  <si>
    <t>01/26832</t>
  </si>
  <si>
    <t>DANANG WIDITOMO</t>
  </si>
  <si>
    <t>01/26752</t>
  </si>
  <si>
    <t>SEPRIZKI PRAYUDA</t>
  </si>
  <si>
    <t>01/26248</t>
  </si>
  <si>
    <t>LESMANA JAUHARIE</t>
  </si>
  <si>
    <t>01/26142</t>
  </si>
  <si>
    <t>DEDDY KURNIAWAN</t>
  </si>
  <si>
    <t>02//27276</t>
  </si>
  <si>
    <t>RISA RAHAJENG</t>
  </si>
  <si>
    <t>02/27330</t>
  </si>
  <si>
    <t>RENI MUJIANDARI</t>
  </si>
  <si>
    <t>02/27503</t>
  </si>
  <si>
    <t xml:space="preserve">BENNY RONALD  </t>
  </si>
  <si>
    <t>02/27348</t>
  </si>
  <si>
    <t>ANIK ENDAH PUSPITASARI</t>
  </si>
  <si>
    <t>02/27561</t>
  </si>
  <si>
    <t>MEI EKO SUSANTO</t>
  </si>
  <si>
    <t>02/27311</t>
  </si>
  <si>
    <t>ALBERT LAUNARDUS</t>
  </si>
  <si>
    <t>02/27153</t>
  </si>
  <si>
    <t>SUKMO PINUJI</t>
  </si>
  <si>
    <t>01/26969</t>
  </si>
  <si>
    <t>I GEDE PASEK SUTRANA ANDYANA</t>
  </si>
  <si>
    <t>02/27409</t>
  </si>
  <si>
    <t>I MADE PRIASTINA</t>
  </si>
  <si>
    <t>02/27070</t>
  </si>
  <si>
    <t>EVA NOVITA</t>
  </si>
  <si>
    <t>02/26986</t>
  </si>
  <si>
    <t>DWI SIANG PRATIWI</t>
  </si>
  <si>
    <t>02/27226</t>
  </si>
  <si>
    <t>WULUNG PRASETYA</t>
  </si>
  <si>
    <t>02/27449</t>
  </si>
  <si>
    <t>FOREMIL DEILA PANDU SILALAHI</t>
  </si>
  <si>
    <t>00/25753</t>
  </si>
  <si>
    <t>JOHAN ARI NIRMANA</t>
  </si>
  <si>
    <t>01/26304</t>
  </si>
  <si>
    <t>ACHMAD WIDIYANTO</t>
  </si>
  <si>
    <t>01/26735</t>
  </si>
  <si>
    <t>BAMBANG NURJAKA</t>
  </si>
  <si>
    <t>01/26796</t>
  </si>
  <si>
    <t>RADEN RARA PATRICIA AGUSTIN DIAN ARTARINI BERE MAYOR</t>
  </si>
  <si>
    <t>01/26953</t>
  </si>
  <si>
    <t>ALI NURMOKO</t>
  </si>
  <si>
    <t>02/27102</t>
  </si>
  <si>
    <t>MARTHALINA INDHAWATI</t>
  </si>
  <si>
    <t>02/27327</t>
  </si>
  <si>
    <t>WULANSIH</t>
  </si>
  <si>
    <t>02/27368</t>
  </si>
  <si>
    <t>SULISTYONO</t>
  </si>
  <si>
    <t>98/22447</t>
  </si>
  <si>
    <t>DYERA COSTULANI MANIK</t>
  </si>
  <si>
    <t>01/26073</t>
  </si>
  <si>
    <t>ENDAH SUSANTI</t>
  </si>
  <si>
    <t>01/26104</t>
  </si>
  <si>
    <t>SEKARPUTRI DAMARINGTYAS</t>
  </si>
  <si>
    <t>01/26115</t>
  </si>
  <si>
    <t>EKA JULI FITRIYANINGRUM</t>
  </si>
  <si>
    <t>01/26151</t>
  </si>
  <si>
    <t>PUSPO DWI NUGROHO</t>
  </si>
  <si>
    <t>01/26606</t>
  </si>
  <si>
    <t>DEWI NYONYO REZKIANI</t>
  </si>
  <si>
    <t>01/26634</t>
  </si>
  <si>
    <t>Angk.2002</t>
  </si>
  <si>
    <t>SINGGA DARAJAT</t>
  </si>
  <si>
    <t>02/27084</t>
  </si>
  <si>
    <t>Angk.2003</t>
  </si>
  <si>
    <t>A. HARIS</t>
  </si>
  <si>
    <t>02/27130</t>
  </si>
  <si>
    <t>IRFAN ARFIANTO</t>
  </si>
  <si>
    <t>02/27254</t>
  </si>
  <si>
    <t>ASTUR KURNIAWAN</t>
  </si>
  <si>
    <t>02/27296</t>
  </si>
  <si>
    <t>NURUL HANI</t>
  </si>
  <si>
    <t>02/27534</t>
  </si>
  <si>
    <t>MUHAMMAD ADENAN</t>
  </si>
  <si>
    <t>02/27572</t>
  </si>
  <si>
    <t>MAHARANI SEKARLARANTI  Rp</t>
  </si>
  <si>
    <t>03/28484</t>
  </si>
  <si>
    <t>ATRIYON JULZARIKA</t>
  </si>
  <si>
    <t>03/28660</t>
  </si>
  <si>
    <t>NI MADE KESUMA ASTUTI IP.</t>
  </si>
  <si>
    <t>03/29118</t>
  </si>
  <si>
    <t>RENI SWASTIKA</t>
  </si>
  <si>
    <t>03/29194</t>
  </si>
  <si>
    <t>ITA DWI KISWORINI</t>
  </si>
  <si>
    <t>03/28066</t>
  </si>
  <si>
    <t>DJOKO PURNOMO</t>
  </si>
  <si>
    <t>01/26629</t>
  </si>
  <si>
    <t>2007-2008</t>
  </si>
  <si>
    <t>JOHN DAVID PERKASA MUNTHE</t>
  </si>
  <si>
    <t>98/22444</t>
  </si>
  <si>
    <t>ANTHONIUS ANGGORO KRISTIYANTO</t>
  </si>
  <si>
    <t>01/26555</t>
  </si>
  <si>
    <t>ADI RISTANTO</t>
  </si>
  <si>
    <t>01/26724</t>
  </si>
  <si>
    <t>GUNTUR ARI WASPODO</t>
  </si>
  <si>
    <t>02/27230</t>
  </si>
  <si>
    <t>HERMAWAN</t>
  </si>
  <si>
    <t>02/27360</t>
  </si>
  <si>
    <t>ALFANDI PRAMANDARU</t>
  </si>
  <si>
    <t>02/27446</t>
  </si>
  <si>
    <t>ANDY ROLOFSON SINAGA</t>
  </si>
  <si>
    <t>02/27880</t>
  </si>
  <si>
    <t>ARUM LESTARI</t>
  </si>
  <si>
    <t>03/27923</t>
  </si>
  <si>
    <t>YUNITA IRAWATI</t>
  </si>
  <si>
    <t>03/28068</t>
  </si>
  <si>
    <t>ENDAH KURNIATI</t>
  </si>
  <si>
    <t>03/28506</t>
  </si>
  <si>
    <t>FITRA ROCHENDI</t>
  </si>
  <si>
    <t>03/28954</t>
  </si>
  <si>
    <t>BAMBANG ANGGORO WIRATNO</t>
  </si>
  <si>
    <t>03/29083</t>
  </si>
  <si>
    <t>ROY ARIXONA GINTING</t>
  </si>
  <si>
    <t>99/23736</t>
  </si>
  <si>
    <t>INDRA KARYANTO</t>
  </si>
  <si>
    <t>01/26955</t>
  </si>
  <si>
    <t>FRAN RANTE MENDE</t>
  </si>
  <si>
    <t>02/27883</t>
  </si>
  <si>
    <t>NUR ALIYA</t>
  </si>
  <si>
    <t>03/28211</t>
  </si>
  <si>
    <t>ADNAN ARIF NURDIAN SYAH</t>
  </si>
  <si>
    <t>02/27392</t>
  </si>
  <si>
    <t>30/01/2008</t>
  </si>
  <si>
    <t>FURSAN ARIF</t>
  </si>
  <si>
    <t>02/27453</t>
  </si>
  <si>
    <t>IQRO FIRMANI</t>
  </si>
  <si>
    <t>02/27470</t>
  </si>
  <si>
    <t>EMA NOVITANINGRUM</t>
  </si>
  <si>
    <t>02/27480</t>
  </si>
  <si>
    <t>RIZA SAHPUTRA</t>
  </si>
  <si>
    <t>02/27528</t>
  </si>
  <si>
    <t>DAMIANUS KUSUMA DWITANTO</t>
  </si>
  <si>
    <t>02/27562</t>
  </si>
  <si>
    <t>IMANUDDIN</t>
  </si>
  <si>
    <t>03/28056</t>
  </si>
  <si>
    <t>HIDAYAT</t>
  </si>
  <si>
    <t>03/28062</t>
  </si>
  <si>
    <t>ARIYO DANANG SATRIYO</t>
  </si>
  <si>
    <t>03/28235</t>
  </si>
  <si>
    <t>ERWIN  TRIANSYAH</t>
  </si>
  <si>
    <t>03/28321</t>
  </si>
  <si>
    <t>NUGROHO AJISANTOSO</t>
  </si>
  <si>
    <t>03/28335</t>
  </si>
  <si>
    <t>KHOIRUL UMAR</t>
  </si>
  <si>
    <t>03/28344</t>
  </si>
  <si>
    <t>FITRI ASTIKA MAHARGYANING TYAS</t>
  </si>
  <si>
    <t>03/28671</t>
  </si>
  <si>
    <t>ATIKA PRIBAWANTI</t>
  </si>
  <si>
    <t>03/29112</t>
  </si>
  <si>
    <t>HANIEF MUTTAQIEN</t>
  </si>
  <si>
    <t>03/29200</t>
  </si>
  <si>
    <t>DAVID ROMA SIMANUNGKALIT</t>
  </si>
  <si>
    <t>98/23484</t>
  </si>
  <si>
    <t>ROLINA DC. BOBIHOE</t>
  </si>
  <si>
    <t>99/23682</t>
  </si>
  <si>
    <t>THOMAS DEDI KURNIAWAN</t>
  </si>
  <si>
    <t>00/24930</t>
  </si>
  <si>
    <t>AFDONI</t>
  </si>
  <si>
    <t>02/27001</t>
  </si>
  <si>
    <t>28/04/2008</t>
  </si>
  <si>
    <t>HAFID AJI PRASETYO</t>
  </si>
  <si>
    <t>02/27411</t>
  </si>
  <si>
    <t>SAGITA NURAINI</t>
  </si>
  <si>
    <t>03/28007</t>
  </si>
  <si>
    <t>ADITIA DWI CAHYANI FATAH</t>
  </si>
  <si>
    <t>03/28231</t>
  </si>
  <si>
    <t xml:space="preserve">RAHMATYAS PUSPANINGRUM </t>
  </si>
  <si>
    <t>03/28472</t>
  </si>
  <si>
    <t>ADE JIMMY SYAFRUL</t>
  </si>
  <si>
    <t>03/28479</t>
  </si>
  <si>
    <t>NENI TRIANA</t>
  </si>
  <si>
    <t>03/29165</t>
  </si>
  <si>
    <t>EKO BUDI PRABOWO</t>
  </si>
  <si>
    <t>00/25349</t>
  </si>
  <si>
    <t>FIKA MONIKA</t>
  </si>
  <si>
    <t>00/25131</t>
  </si>
  <si>
    <t>28/07/2008</t>
  </si>
  <si>
    <t>BUDI AFRIADI</t>
  </si>
  <si>
    <t>01/26430</t>
  </si>
  <si>
    <t>ABU YASIR SUNARYO</t>
  </si>
  <si>
    <t>02/27398</t>
  </si>
  <si>
    <t>IMAM SYAIFUDIN</t>
  </si>
  <si>
    <t>02/27399</t>
  </si>
  <si>
    <t>MAXIMILLIAN KOLBE WIDHI WIJAYANTO</t>
  </si>
  <si>
    <t>02/27506</t>
  </si>
  <si>
    <t>EKO SULISTIYONO</t>
  </si>
  <si>
    <t>02/27569</t>
  </si>
  <si>
    <t>Angk.1998</t>
  </si>
  <si>
    <t>LALU AKHMAD RIFAAT</t>
  </si>
  <si>
    <t>03/28037</t>
  </si>
  <si>
    <t>Angk.1999</t>
  </si>
  <si>
    <t>WELLY SONHAJI</t>
  </si>
  <si>
    <t>03/28295</t>
  </si>
  <si>
    <t>Angk.2000</t>
  </si>
  <si>
    <t>NOVILiA</t>
  </si>
  <si>
    <t>03/28341</t>
  </si>
  <si>
    <t>Angk.2001</t>
  </si>
  <si>
    <t>EDI WIRAWAN</t>
  </si>
  <si>
    <t>03/28449</t>
  </si>
  <si>
    <t>W. DODIE N.P. PANGARIBUAN</t>
  </si>
  <si>
    <t>03/28502</t>
  </si>
  <si>
    <t>BAGUS WASKITO ADI</t>
  </si>
  <si>
    <t>03/28515</t>
  </si>
  <si>
    <t>Angk.2004</t>
  </si>
  <si>
    <t>JUNGJUNGAN PARTOGI HASINTONGAN LUMBANTOBING</t>
  </si>
  <si>
    <t>03/28521</t>
  </si>
  <si>
    <t>MOHAMMAD FATCHUROCHMAN</t>
  </si>
  <si>
    <t>03/28780</t>
  </si>
  <si>
    <t>MUHAMMAD  IQBAL TAFTAZANI</t>
  </si>
  <si>
    <t>03/29063</t>
  </si>
  <si>
    <t>SIGIT  RIYANTO</t>
  </si>
  <si>
    <t>04/29293</t>
  </si>
  <si>
    <t>SATRIA EKA PERMANA</t>
  </si>
  <si>
    <t>04/29436</t>
  </si>
  <si>
    <t>LINDA PERMATA SARI</t>
  </si>
  <si>
    <t>04/29446</t>
  </si>
  <si>
    <t>ALIF ARDY SAPUTRA</t>
  </si>
  <si>
    <t>04/30182</t>
  </si>
  <si>
    <t>AFPIN PRABOWO S</t>
  </si>
  <si>
    <t>03/28030</t>
  </si>
  <si>
    <t>HERI MULYANTORO</t>
  </si>
  <si>
    <t>02/27539</t>
  </si>
  <si>
    <t>29/08/2008</t>
  </si>
  <si>
    <t>SOFYAN JAYA WARDANA</t>
  </si>
  <si>
    <t>03/28035</t>
  </si>
  <si>
    <t>2008-2009</t>
  </si>
  <si>
    <t>LISTIYO FITRI</t>
  </si>
  <si>
    <t>04/30141</t>
  </si>
  <si>
    <t>30/10/2008</t>
  </si>
  <si>
    <t>MUHAMAD AGUNG RAHMAN</t>
  </si>
  <si>
    <t>04/29726</t>
  </si>
  <si>
    <t>ARWAN PUTRA WIJAYA</t>
  </si>
  <si>
    <t>03/28637</t>
  </si>
  <si>
    <t>DIDIK NUGROHO</t>
  </si>
  <si>
    <t>03/28435</t>
  </si>
  <si>
    <t>SYAMSUL RAJAB</t>
  </si>
  <si>
    <t>01/26165</t>
  </si>
  <si>
    <t>FAUZYA RACHMAN</t>
  </si>
  <si>
    <t>01/26748</t>
  </si>
  <si>
    <t>FEBRIANI AYUNINGSIH</t>
  </si>
  <si>
    <t>04/30018</t>
  </si>
  <si>
    <t>29/01/2009</t>
  </si>
  <si>
    <t>NIDYA ANGGASARI</t>
  </si>
  <si>
    <t>04/29843</t>
  </si>
  <si>
    <t>IHSAN RIVANO</t>
  </si>
  <si>
    <t>04/29449</t>
  </si>
  <si>
    <t>INTAN MESTIKA</t>
  </si>
  <si>
    <t>RENHARD SIAHAAN</t>
  </si>
  <si>
    <t>03/28041</t>
  </si>
  <si>
    <t>SAIFUL BAHRI</t>
  </si>
  <si>
    <t>04/30060</t>
  </si>
  <si>
    <t>SIDIQ ISNANTO</t>
  </si>
  <si>
    <t>03/28475</t>
  </si>
  <si>
    <t xml:space="preserve">JEANITA HAMALASARI </t>
  </si>
  <si>
    <t>03/28034</t>
  </si>
  <si>
    <t>ADHI YUDHA PERWITA</t>
  </si>
  <si>
    <t>03/28951</t>
  </si>
  <si>
    <t>HARYO KUSUMA WIBAWA</t>
  </si>
  <si>
    <t>99/24028</t>
  </si>
  <si>
    <t>KELMINDO ANDWIDONO WIBOWO</t>
  </si>
  <si>
    <t>02/27059</t>
  </si>
  <si>
    <t>BERNARD SARAGIH SIDABUTAR</t>
  </si>
  <si>
    <t>03/28526</t>
  </si>
  <si>
    <t>FRANSISCUS XAVERIUS WISNU PRABAWA</t>
  </si>
  <si>
    <t>00/25490</t>
  </si>
  <si>
    <t>I GEDE AGUS SUDIATMIKA</t>
  </si>
  <si>
    <t>00/25882</t>
  </si>
  <si>
    <t>IRFANUDDIN</t>
  </si>
  <si>
    <t>03/28171</t>
  </si>
  <si>
    <t>VALKA PERWARA</t>
  </si>
  <si>
    <t>01/26569</t>
  </si>
  <si>
    <t>DIMAS PUTRA GEODIKA</t>
  </si>
  <si>
    <t>04/30160</t>
  </si>
  <si>
    <t>29/04/2009</t>
  </si>
  <si>
    <t>I WAYAN GEDE KRISNA ARIMJAYA</t>
  </si>
  <si>
    <t>04/29789</t>
  </si>
  <si>
    <t>NANANG ARIYANTO</t>
  </si>
  <si>
    <t>04/30161</t>
  </si>
  <si>
    <t>FARID YUNIAR</t>
  </si>
  <si>
    <t>04/29619</t>
  </si>
  <si>
    <t>ANGGO PUGUH NUGROHO</t>
  </si>
  <si>
    <t>04/29873</t>
  </si>
  <si>
    <t>RINA FAJAR KUSUMA</t>
  </si>
  <si>
    <t>04/30271</t>
  </si>
  <si>
    <t>JATMIKO</t>
  </si>
  <si>
    <t>04/29406</t>
  </si>
  <si>
    <t>CHANDRA WARDANA</t>
  </si>
  <si>
    <t>03/27930</t>
  </si>
  <si>
    <t>BUDI YANTO</t>
  </si>
  <si>
    <t>02/27878</t>
  </si>
  <si>
    <t>SUMADI</t>
  </si>
  <si>
    <t>02/27314</t>
  </si>
  <si>
    <t>DEVI MAWAT DZATAWA ROHMAH</t>
  </si>
  <si>
    <t>03/28305</t>
  </si>
  <si>
    <t>ILHAM LAILURRAHMAN</t>
  </si>
  <si>
    <t>02/27063</t>
  </si>
  <si>
    <t>YAYAT ARDIANSYAH</t>
  </si>
  <si>
    <t>03/28687</t>
  </si>
  <si>
    <t>M. AKTA JELI MAIPURA  *)</t>
  </si>
  <si>
    <t>02/27402</t>
  </si>
  <si>
    <t>ASIH ISQIATIN</t>
  </si>
  <si>
    <t>03/29186</t>
  </si>
  <si>
    <t>SURYANTO</t>
  </si>
  <si>
    <t>05/30374</t>
  </si>
  <si>
    <t>30/07/2009</t>
  </si>
  <si>
    <t>ULUL ASHAR KUSWANTORO</t>
  </si>
  <si>
    <t>04/30176</t>
  </si>
  <si>
    <t>IKA KRISTINA NOVIYANTI</t>
  </si>
  <si>
    <t>05/30595</t>
  </si>
  <si>
    <t>SUSILO WIDIYANTORO</t>
  </si>
  <si>
    <t>05/31181</t>
  </si>
  <si>
    <t>DWIKO UNGGUL PRABOWO</t>
  </si>
  <si>
    <t>04/29693</t>
  </si>
  <si>
    <t>NIAJENG PRAMESTI</t>
  </si>
  <si>
    <t>04/29580</t>
  </si>
  <si>
    <t>RIA KUSUMA RIZKI</t>
  </si>
  <si>
    <t>05/30724</t>
  </si>
  <si>
    <t>RIADIANTI ANISZ PARARTI PUTRI</t>
  </si>
  <si>
    <t>04/30240</t>
  </si>
  <si>
    <t>ABDUL MUTHALIB HAMID</t>
  </si>
  <si>
    <t>04/30291</t>
  </si>
  <si>
    <t>MADE RISKI PRAYOGA</t>
  </si>
  <si>
    <t>05/30655</t>
  </si>
  <si>
    <t>ILHAM ARIFUDIN LATIEF</t>
  </si>
  <si>
    <t>05/30695</t>
  </si>
  <si>
    <t>VITO HAGA MURSA</t>
  </si>
  <si>
    <t>04/29489</t>
  </si>
  <si>
    <t>Angk.2005</t>
  </si>
  <si>
    <t>NETI KUSUMASTUTI</t>
  </si>
  <si>
    <t>05/30602</t>
  </si>
  <si>
    <t xml:space="preserve">JULIAN SAPUTRA   </t>
  </si>
  <si>
    <t>03/28070</t>
  </si>
  <si>
    <t>ANOF FRIANZAH</t>
  </si>
  <si>
    <t>03/27975</t>
  </si>
  <si>
    <t>ARDIAN MUNAWAR</t>
  </si>
  <si>
    <t>04/29781</t>
  </si>
  <si>
    <t>PERDANA RIAN</t>
  </si>
  <si>
    <t>04/29366</t>
  </si>
  <si>
    <t>MOHAMMAD ALDIAKA PERDANA IKRARTARUNA</t>
  </si>
  <si>
    <t>03/28060</t>
  </si>
  <si>
    <t>Alna Kharisma Paramandita</t>
  </si>
  <si>
    <t>00/25678</t>
  </si>
  <si>
    <t>ARIFFIN GHOZALI</t>
  </si>
  <si>
    <t>03/28796</t>
  </si>
  <si>
    <t>DEASY RIZQIANA</t>
  </si>
  <si>
    <t>03/28867</t>
  </si>
  <si>
    <t>30/08/2009</t>
  </si>
  <si>
    <t>2009-2010</t>
  </si>
  <si>
    <t>lama studi</t>
  </si>
  <si>
    <t>Toefl</t>
  </si>
  <si>
    <t>FEBRI ISWANTO</t>
  </si>
  <si>
    <t>05/31018</t>
  </si>
  <si>
    <t>28/10/2009</t>
  </si>
  <si>
    <t>M. HARISH MAFAAZA</t>
  </si>
  <si>
    <t>05/30568</t>
  </si>
  <si>
    <t>WAHYU MARTA MUTIARASARI</t>
  </si>
  <si>
    <t>05/30499</t>
  </si>
  <si>
    <t>STEFFI DWITHASARI</t>
  </si>
  <si>
    <t>05/30665</t>
  </si>
  <si>
    <t>DENNI PASCASAKTI</t>
  </si>
  <si>
    <t>05/30507</t>
  </si>
  <si>
    <t>YOSAFAT REZA LEONARD</t>
  </si>
  <si>
    <t>04/29888</t>
  </si>
  <si>
    <t>AISYIYAH DESTRI WIDYANI</t>
  </si>
  <si>
    <t>05/30825</t>
  </si>
  <si>
    <t xml:space="preserve">N. NALA ASWINA DHARMAWAN </t>
  </si>
  <si>
    <t>05/30656</t>
  </si>
  <si>
    <t>ELI JUNIATI</t>
  </si>
  <si>
    <t>05/31194</t>
  </si>
  <si>
    <t>PANJI GALIH PERSADA</t>
  </si>
  <si>
    <t>04/30227</t>
  </si>
  <si>
    <t>YUDHI PRABOWO</t>
  </si>
  <si>
    <t>04/30137</t>
  </si>
  <si>
    <t>CHANDRA DWI WIRATNO</t>
  </si>
  <si>
    <t>04/30157</t>
  </si>
  <si>
    <t>BISMA AJI NUGRAHA</t>
  </si>
  <si>
    <t>03/28523</t>
  </si>
  <si>
    <t>SIDRATUL MUNTAHA</t>
  </si>
  <si>
    <t>03/28624</t>
  </si>
  <si>
    <t>ANTONIUS ARDI NUGROHO</t>
  </si>
  <si>
    <t>01/26408</t>
  </si>
  <si>
    <t>EKA SUKMA NUGRAHA</t>
  </si>
  <si>
    <t>01/26845</t>
  </si>
  <si>
    <t>BINTORO HAGUS  WARSETO</t>
  </si>
  <si>
    <t>03/28370</t>
  </si>
  <si>
    <t>IHSAN HANDOKO SAPUTRO</t>
  </si>
  <si>
    <t>03/28918</t>
  </si>
  <si>
    <t xml:space="preserve">RIFQI EFIARIHA </t>
  </si>
  <si>
    <t>04/29655</t>
  </si>
  <si>
    <t>PRILNALI EKA PUTRA</t>
  </si>
  <si>
    <t>03/28309</t>
  </si>
  <si>
    <t>YUDHI RAHMADI</t>
  </si>
  <si>
    <t>02/27356</t>
  </si>
  <si>
    <t>28/01/2010</t>
  </si>
  <si>
    <t>NOOR FAIQ</t>
  </si>
  <si>
    <t>02/27510</t>
  </si>
  <si>
    <t>SINTA ARISONA</t>
  </si>
  <si>
    <t>03/28052</t>
  </si>
  <si>
    <t>DIDI TRI WIBOWO</t>
  </si>
  <si>
    <t>03/28752</t>
  </si>
  <si>
    <t>JACKSON VALENTINUS  SIMANJUNTAK</t>
  </si>
  <si>
    <t>03/28870</t>
  </si>
  <si>
    <t>ELISA SEPTRIYANI</t>
  </si>
  <si>
    <t>05/30621</t>
  </si>
  <si>
    <t>FEBRYLIAN FAHMI C.</t>
  </si>
  <si>
    <t>05/30696</t>
  </si>
  <si>
    <t>ANNISA ROHMAH SUCIANI</t>
  </si>
  <si>
    <t>05/30907</t>
  </si>
  <si>
    <t>GALIH SETIAWAN</t>
  </si>
  <si>
    <t>03/29095</t>
  </si>
  <si>
    <t>EDI MISAEL SAROHAULI</t>
  </si>
  <si>
    <t>03/28209</t>
  </si>
  <si>
    <t xml:space="preserve"> 28/01/2010</t>
  </si>
  <si>
    <t>RUSIHAN ANWAR DINIY</t>
  </si>
  <si>
    <t>03/28196</t>
  </si>
  <si>
    <t>RAHARDINA PERMATA SARI</t>
  </si>
  <si>
    <t>05/30596</t>
  </si>
  <si>
    <t>AMALIA SITI ROHMA</t>
  </si>
  <si>
    <t>05/30664</t>
  </si>
  <si>
    <t>DINA CITRA NIRMALA</t>
  </si>
  <si>
    <t>05/30863</t>
  </si>
  <si>
    <t>ALDINO RIZALDY</t>
  </si>
  <si>
    <t>05/30911</t>
  </si>
  <si>
    <t>SOFYAN KHAIRUL ANWAR</t>
  </si>
  <si>
    <t>05/31017</t>
  </si>
  <si>
    <t>ADHITYA EKA PRIA WARDHANA</t>
  </si>
  <si>
    <t>05/31110</t>
  </si>
  <si>
    <t>ADITYA YAN P</t>
  </si>
  <si>
    <t>2003/164871/TK/28325</t>
  </si>
  <si>
    <t>PARNINGOTAN HASUDUNGAN SITUMORANG</t>
  </si>
  <si>
    <t>2003/167758/TK/28563</t>
  </si>
  <si>
    <t>RAHMAT ADITYANTO</t>
  </si>
  <si>
    <t>2004/177517/TK/30086</t>
  </si>
  <si>
    <t>SURYO AGUSTOMO</t>
  </si>
  <si>
    <t>2005/184572/TK/30545</t>
  </si>
  <si>
    <t>GARAWAHYU CHRISSANDI</t>
  </si>
  <si>
    <t>2005/184784/TK/30693</t>
  </si>
  <si>
    <t>FREDY ANDIAMO ESTRADA</t>
  </si>
  <si>
    <t>2005/184815/TK/30714</t>
  </si>
  <si>
    <t>RAISHA SUKMA WIJAYA</t>
  </si>
  <si>
    <t>2005/184878/TK/30753</t>
  </si>
  <si>
    <t>ACHMAD BACHTIAR F.</t>
  </si>
  <si>
    <t>2005/185008/TK/30822</t>
  </si>
  <si>
    <t>MUHAMMAD ROIHAN AZHARI</t>
  </si>
  <si>
    <t>2005/185399/TK/30860</t>
  </si>
  <si>
    <t>LANDRIATNI KAPITA RESMI</t>
  </si>
  <si>
    <t>2005/185658/TK/30875</t>
  </si>
  <si>
    <t>GAMA HIRAWAN UTOMO</t>
  </si>
  <si>
    <t>2005/185821/TK/30890</t>
  </si>
  <si>
    <t>BOMA RANGGA SARENGAT YOSOPUTRO</t>
  </si>
  <si>
    <t>2005/186026/TK/30910</t>
  </si>
  <si>
    <t>WIRA SUNUKUSUMA</t>
  </si>
  <si>
    <t>2005/186790/TK/30960</t>
  </si>
  <si>
    <t>HESTUWINAR HAPSORO</t>
  </si>
  <si>
    <t>2005/187195/TK/30981</t>
  </si>
  <si>
    <t>Angk.2006</t>
  </si>
  <si>
    <t>VERONIKA T</t>
  </si>
  <si>
    <t>2005/187683/TK/31010</t>
  </si>
  <si>
    <t>jumlah :</t>
  </si>
  <si>
    <t>ARIFUDDIN YUSUF</t>
  </si>
  <si>
    <t>2005/189718/TK/31145</t>
  </si>
  <si>
    <t>Rt. Lulusan tepat waktu</t>
  </si>
  <si>
    <t>DANANG SETIAJI</t>
  </si>
  <si>
    <t>2005/189899/TK/31195</t>
  </si>
  <si>
    <t>SUTRISNO</t>
  </si>
  <si>
    <t>2005/191401/TK/31235</t>
  </si>
  <si>
    <t>WAHYU IRAWAN</t>
  </si>
  <si>
    <t>2006/192941/TK/31339</t>
  </si>
  <si>
    <t>LARAS KARTIKA SARI</t>
  </si>
  <si>
    <t>2006/193017/TK/31393</t>
  </si>
  <si>
    <t xml:space="preserve">RAKHMAT ARIES RAHARJO </t>
  </si>
  <si>
    <t>2006/193695/TK/31568</t>
  </si>
  <si>
    <t>FEBRIAN WAHYU HERSANTO</t>
  </si>
  <si>
    <t>2006/193851/TK/31651</t>
  </si>
  <si>
    <t>HIDAYAT PANUNTUN</t>
  </si>
  <si>
    <t>2006/193852/TK/31652</t>
  </si>
  <si>
    <t>M TRIANDA DASA PRIMA</t>
  </si>
  <si>
    <t>2006/194360/TK/31776</t>
  </si>
  <si>
    <t>JUNIAR HIDAYAT</t>
  </si>
  <si>
    <t>2006/194413/TK/31805</t>
  </si>
  <si>
    <t>DHANY RAKHMAD</t>
  </si>
  <si>
    <t>2006/196317/TK/32000</t>
  </si>
  <si>
    <t>M. RIZA ALFAN</t>
  </si>
  <si>
    <t>2006/196782/TK/32061</t>
  </si>
  <si>
    <t>Rata2 toefl :</t>
  </si>
  <si>
    <t>SYSKA RATNA YUSHINTA</t>
  </si>
  <si>
    <t>2005/187289/TK/30988</t>
  </si>
  <si>
    <t>Toefl min</t>
  </si>
  <si>
    <t>Toefl max</t>
  </si>
  <si>
    <t>2010-2011</t>
  </si>
  <si>
    <t>BAYU FIBRIANTO</t>
  </si>
  <si>
    <t>04/177386/TK/30013</t>
  </si>
  <si>
    <t>22/10/2010</t>
  </si>
  <si>
    <t>SEPTY NURUL NGIZZAH</t>
  </si>
  <si>
    <t>05/185781/TK/30886</t>
  </si>
  <si>
    <t>ADHI WIRAWAN</t>
  </si>
  <si>
    <t>05/187855/TK/31029</t>
  </si>
  <si>
    <t>RINA SURAYYA FAMALDIANA</t>
  </si>
  <si>
    <t>06/192814/TK/31273</t>
  </si>
  <si>
    <t>DINA FITRIANA</t>
  </si>
  <si>
    <t>06/193873/TK/31673</t>
  </si>
  <si>
    <t>ROFIKA DYAH MAHARANI</t>
  </si>
  <si>
    <t>06/194404/TK/31799</t>
  </si>
  <si>
    <t>ARDIAN AJI SAPUTRA</t>
  </si>
  <si>
    <t>06/194637/TK/31847</t>
  </si>
  <si>
    <t>FAJAR SUBHIANTO</t>
  </si>
  <si>
    <t>06/198669/TK/32286</t>
  </si>
  <si>
    <t>DOPIT SAPUTRA</t>
  </si>
  <si>
    <t>06/194038/TK/31737</t>
  </si>
  <si>
    <t>22/01/2011</t>
  </si>
  <si>
    <t>EMANUELLA GILARSARI</t>
  </si>
  <si>
    <t>06/194688/TK/31879</t>
  </si>
  <si>
    <t>AGRI KRISTAL</t>
  </si>
  <si>
    <t>06/196026/TK/31838</t>
  </si>
  <si>
    <t>INGGIT DIAH NOVITANINGRUM</t>
  </si>
  <si>
    <t>06/194378/TK/31734</t>
  </si>
  <si>
    <t>RANGGA WABAN MUHAMMAD</t>
  </si>
  <si>
    <t>05/184874/TK/30751</t>
  </si>
  <si>
    <t>ERNA PURWATININGSIH</t>
  </si>
  <si>
    <t>06/193866/TK/31666</t>
  </si>
  <si>
    <t>ANGGER NOVI FERDIAN</t>
  </si>
  <si>
    <t>05/184752/TK/30671</t>
  </si>
  <si>
    <t>DESIYANI</t>
  </si>
  <si>
    <t>04/181922/TK/30277</t>
  </si>
  <si>
    <t>FERNANDES M.</t>
  </si>
  <si>
    <t>04/181529/TK/30246</t>
  </si>
  <si>
    <t>YESIA NANDA WIDHO PRAMANA</t>
  </si>
  <si>
    <t>03/169270/TK/28817</t>
  </si>
  <si>
    <t>30/03/2011</t>
  </si>
  <si>
    <t>BHAROTO BAYU PRASETYO</t>
  </si>
  <si>
    <t>06/198234/TK/32251</t>
  </si>
  <si>
    <t>21/04/2011</t>
  </si>
  <si>
    <t>HENDRAWAN DWI RAHARJO</t>
  </si>
  <si>
    <t>06/194755/TK/31908</t>
  </si>
  <si>
    <t>JATI WIJAYATMO</t>
  </si>
  <si>
    <t>06/197826/TK/32138</t>
  </si>
  <si>
    <t>HERRY RISDIANTO</t>
  </si>
  <si>
    <t>06/194686/TK/31877</t>
  </si>
  <si>
    <t>BURHAN SIDQI</t>
  </si>
  <si>
    <t>06/193991/TK/31728</t>
  </si>
  <si>
    <t>ASEP ALI USMAN</t>
  </si>
  <si>
    <t>05/186580/TK/30946</t>
  </si>
  <si>
    <t>PRISTANTI  HANDAYANI</t>
  </si>
  <si>
    <t>05/189509/TK/31084</t>
  </si>
  <si>
    <t>APRILIA NOOR ROSYIDA</t>
  </si>
  <si>
    <t>03/164633/TK/28111</t>
  </si>
  <si>
    <t>25/07/2011</t>
  </si>
  <si>
    <t>AGUS SUSIYANTO</t>
  </si>
  <si>
    <t>03/167973/TK/28582</t>
  </si>
  <si>
    <t>ARTIKA  WIDOWATI</t>
  </si>
  <si>
    <t>03/171969/TK/29197</t>
  </si>
  <si>
    <t>DIMAS AGUNG GHIFARI</t>
  </si>
  <si>
    <t>04/176877/TK/29646</t>
  </si>
  <si>
    <t>ERYAN SAKTI NUGROHO</t>
  </si>
  <si>
    <t>04/177148/TK/29824</t>
  </si>
  <si>
    <t xml:space="preserve">MAHENDRA SEPTRITIKAHARDI </t>
  </si>
  <si>
    <t>04/177285/TK/29937</t>
  </si>
  <si>
    <t>ANDAR SUJARYANTO</t>
  </si>
  <si>
    <t>05/184486/TK/30492</t>
  </si>
  <si>
    <t>FATKHUR ROHMAN FAJAR NUGROHO</t>
  </si>
  <si>
    <t>05/184783/TK/30692</t>
  </si>
  <si>
    <t>ADE WIRAWAN</t>
  </si>
  <si>
    <t>05/186458/TK/30936</t>
  </si>
  <si>
    <t xml:space="preserve"> YOGA TSANINDITA</t>
  </si>
  <si>
    <t>06/193793/TK/31607</t>
  </si>
  <si>
    <t>ADE NUGRAHA</t>
  </si>
  <si>
    <t>06/193844/TK/31644</t>
  </si>
  <si>
    <t>AGUS PRASETYO WIDODO</t>
  </si>
  <si>
    <t>06/194449/TK/31819</t>
  </si>
  <si>
    <t>ANGGRIAWAN DWI SARTONO</t>
  </si>
  <si>
    <t>06/194464/TK/31825</t>
  </si>
  <si>
    <t>MUZAYYIN MAHBUB</t>
  </si>
  <si>
    <t>06/196545/TK/32040</t>
  </si>
  <si>
    <t>FATHUL ANAM</t>
  </si>
  <si>
    <t>06/197155/TK/32078</t>
  </si>
  <si>
    <t>PUJI AMBARWATI</t>
  </si>
  <si>
    <t>07/250830/TK/32418</t>
  </si>
  <si>
    <t>SAFIROTUL HUDA</t>
  </si>
  <si>
    <t>07/250926/TK/32473</t>
  </si>
  <si>
    <t>RINDI KURNIANTI</t>
  </si>
  <si>
    <t>07/251823/TK/32659</t>
  </si>
  <si>
    <t>ADISTY PRATAMASARI</t>
  </si>
  <si>
    <t>07/252287/TK/32835</t>
  </si>
  <si>
    <t>MARIA ULFA HIJRIANA</t>
  </si>
  <si>
    <t>07/252437/TK/32893</t>
  </si>
  <si>
    <t>NAUFAL SETIAWAN</t>
  </si>
  <si>
    <t>07/252747/TK/33115</t>
  </si>
  <si>
    <t>MARATUN SHOLIHAH</t>
  </si>
  <si>
    <t>07/252774/TK/33142</t>
  </si>
  <si>
    <t>DANY PUGUH LAKSONO</t>
  </si>
  <si>
    <t>07/256988/TK/33449</t>
  </si>
  <si>
    <t>2011-2012</t>
  </si>
  <si>
    <t>ELLEN MARTHA KONDOTANA</t>
  </si>
  <si>
    <t>02/154647/TK/27099</t>
  </si>
  <si>
    <t>14/09/2011</t>
  </si>
  <si>
    <t>ARI WIDYAWATI</t>
  </si>
  <si>
    <t>07/252411/TK/32880</t>
  </si>
  <si>
    <t>VINCHE JHONSMART LASE</t>
  </si>
  <si>
    <t>07/253659/TK/33320</t>
  </si>
  <si>
    <t>RIA PRADIANITA</t>
  </si>
  <si>
    <t>07/252326/TK/32851</t>
  </si>
  <si>
    <t>DEWINDA NOVITASARI</t>
  </si>
  <si>
    <t>07/252987/TK/33247</t>
  </si>
  <si>
    <t>HARKA AMROSSALMA</t>
  </si>
  <si>
    <t>07/252862/TK/33229</t>
  </si>
  <si>
    <t>DWI ARSO BUDI LAKSONO</t>
  </si>
  <si>
    <t>05/189778/TK/31164</t>
  </si>
  <si>
    <t>RATIH PRIMASARI PUTERI</t>
  </si>
  <si>
    <t>06/193909/TK/31709</t>
  </si>
  <si>
    <t>DOMINIKUS RINTO ADHI  WICAKSONO</t>
  </si>
  <si>
    <t>07/256589/TK/33353</t>
  </si>
  <si>
    <t>DYAH KARTIKA SARI</t>
  </si>
  <si>
    <t>07/252758/TK/33126</t>
  </si>
  <si>
    <t>GETARINA DEWI PURNAMASARI</t>
  </si>
  <si>
    <t>07/251973/TK/32724</t>
  </si>
  <si>
    <t>SITI PURWANTI</t>
  </si>
  <si>
    <t>07/252531/TK/32925</t>
  </si>
  <si>
    <t>ANUNG ANANDITO</t>
  </si>
  <si>
    <t>06/194036/TK/31735</t>
  </si>
  <si>
    <t>DAVID PRASETYO</t>
  </si>
  <si>
    <t>03/169454/TK/28903</t>
  </si>
  <si>
    <t>BURHAN BASKORO</t>
  </si>
  <si>
    <t>03/169727/TK/28997</t>
  </si>
  <si>
    <t>RADEN WAHYU BAGUS WIDIGDO</t>
  </si>
  <si>
    <t>03/168886/TK/28745</t>
  </si>
  <si>
    <t>DIDI INTAN SETIAJI</t>
  </si>
  <si>
    <t>06/193018/TK/31394</t>
  </si>
  <si>
    <t>20/01/2012</t>
  </si>
  <si>
    <t>ADYANTA KARO-KARO</t>
  </si>
  <si>
    <t>06/193592/TK/31540</t>
  </si>
  <si>
    <t/>
  </si>
  <si>
    <t>DICKY BINSAR PUTRA SIHOTANG</t>
  </si>
  <si>
    <t>06/193810/TK/31616</t>
  </si>
  <si>
    <t>DANI SINAGA</t>
  </si>
  <si>
    <t>06/193838/TK/31638</t>
  </si>
  <si>
    <t>DIDIK PARWANTO</t>
  </si>
  <si>
    <t>06/196151/TK/31954</t>
  </si>
  <si>
    <t>GHANI YANUARGO DONDIARTA</t>
  </si>
  <si>
    <t>06/198271/TK/32254</t>
  </si>
  <si>
    <t>M. JEFRI SAPUTRA</t>
  </si>
  <si>
    <t>06/198571/TK/32271</t>
  </si>
  <si>
    <t>MADE NOVA SANJAYA</t>
  </si>
  <si>
    <t>07/250758/TK/32368</t>
  </si>
  <si>
    <t>FANNY ALFARISY</t>
  </si>
  <si>
    <t>07/251094/TK/32557</t>
  </si>
  <si>
    <t>MARDA KHOIRIA FAJARI</t>
  </si>
  <si>
    <t>07/252141/TK/32796</t>
  </si>
  <si>
    <t>ARIEF YOGA PRATAMA</t>
  </si>
  <si>
    <t>07/252570/TK/32939</t>
  </si>
  <si>
    <t>OKTORIWANDA</t>
  </si>
  <si>
    <t>07/252687/TK/33055</t>
  </si>
  <si>
    <t>OKTADI PRAYOGA</t>
  </si>
  <si>
    <t>07/252721/TK/33089</t>
  </si>
  <si>
    <t>ANDREY PRATAMA MURTI AMBANGKORO</t>
  </si>
  <si>
    <t>07/252742/TK/33110</t>
  </si>
  <si>
    <t>SENOAJI SURYO WARDONO</t>
  </si>
  <si>
    <t>07/256755/TK/33386</t>
  </si>
  <si>
    <t>ADNAN ADITYA PUTRA</t>
  </si>
  <si>
    <t>07/257142/TK/33480</t>
  </si>
  <si>
    <t>AFDEN MAHYEDA</t>
  </si>
  <si>
    <t>07/257350/TK/33505</t>
  </si>
  <si>
    <t>LILIK UTAMADI MARYONO</t>
  </si>
  <si>
    <t>04/182864/TK/30295</t>
  </si>
  <si>
    <t>20/04/2012</t>
  </si>
  <si>
    <t>GITO SUMARNO</t>
  </si>
  <si>
    <t>06/194333/TK/31765</t>
  </si>
  <si>
    <t>INDINA SHINTA DEWI</t>
  </si>
  <si>
    <t>06/197811/TK/32133</t>
  </si>
  <si>
    <t>YUSNIAR RAH  AYU RISTIANTRI</t>
  </si>
  <si>
    <t>07/252086/TK/32756</t>
  </si>
  <si>
    <t>SETIAWAN NURACHMAN ROMCHO</t>
  </si>
  <si>
    <t>07/252194/TK/32807</t>
  </si>
  <si>
    <t>JULIUS  Hamonangan LUMBATOBING</t>
  </si>
  <si>
    <t>07/252223/TK/32816</t>
  </si>
  <si>
    <t>FERDY APRILIM TAMBUNAN</t>
  </si>
  <si>
    <t>07/252251/TK/32823</t>
  </si>
  <si>
    <t>Lls tepat wkt</t>
  </si>
  <si>
    <t>JEFFRY JAN PITER SIMAMORA</t>
  </si>
  <si>
    <t>07/252254/TK/32824</t>
  </si>
  <si>
    <t>RENDHY PUTRA VIRIZKY</t>
  </si>
  <si>
    <t>07/252573/TK/32942</t>
  </si>
  <si>
    <t>GIRI INDRA HARJANTO</t>
  </si>
  <si>
    <t>07/252777/TK/33145</t>
  </si>
  <si>
    <t>JOKO ANDI HARNANTO</t>
  </si>
  <si>
    <t>07/252787/TK/33155</t>
  </si>
  <si>
    <t>OKTARINA PURBAWATI</t>
  </si>
  <si>
    <t>07/253379/TK/33307</t>
  </si>
  <si>
    <t>WADHDHUCHA IMRON  ROSADI</t>
  </si>
  <si>
    <t>07/256692/TK/33370</t>
  </si>
  <si>
    <t>LAKSONO ADE MULIAWAN</t>
  </si>
  <si>
    <t>07/256803/TK/33399</t>
  </si>
  <si>
    <t>MARTHIN JOHANNES PURBA</t>
  </si>
  <si>
    <t>07/257228/TK/33486</t>
  </si>
  <si>
    <t>PHISCA YUDHA PRATAMA</t>
  </si>
  <si>
    <t>07/252998/TK/33253</t>
  </si>
  <si>
    <t>EKO WAHYU NUGROHO</t>
  </si>
  <si>
    <t>04/182026/TK/30281</t>
  </si>
  <si>
    <t>ADNAN BUYUNG MA’NAWI</t>
  </si>
  <si>
    <t>05/184762/TK/30677</t>
  </si>
  <si>
    <t xml:space="preserve"> FANIKA DOVI KRISTIAWAN</t>
  </si>
  <si>
    <t>05/184654/TK/30603</t>
  </si>
  <si>
    <t>ANAS AFIFI</t>
  </si>
  <si>
    <t>07/252675/TK/33043</t>
  </si>
  <si>
    <t>NUR KHAIRANI ZULFAH</t>
  </si>
  <si>
    <t>03/169304/TK/28838</t>
  </si>
  <si>
    <t>SAMANTHA DWI PARANA</t>
  </si>
  <si>
    <t>05/184790/TK/30698</t>
  </si>
  <si>
    <t>RIFAATUL MAHMUDAH</t>
  </si>
  <si>
    <t>06/196116/TK/31940</t>
  </si>
  <si>
    <t>DINI PAMULAT UTAMI</t>
  </si>
  <si>
    <t>07/251142/TK/32591</t>
  </si>
  <si>
    <t>BINAR RONA NUGRAHA</t>
  </si>
  <si>
    <t>07/251952/TK/32716</t>
  </si>
  <si>
    <t>FRANS HERRIYUDHI ARITONANG</t>
  </si>
  <si>
    <t>07/252237/TK/32819</t>
  </si>
  <si>
    <t>TOTOK PRAWOTO</t>
  </si>
  <si>
    <t>07/252507/TK/32915</t>
  </si>
  <si>
    <t>RUDAL SULAIMAN</t>
  </si>
  <si>
    <t>07/252566/TK/32935</t>
  </si>
  <si>
    <t>I MADE DIPTA SUDANA</t>
  </si>
  <si>
    <t>07/252639/TK/33007</t>
  </si>
  <si>
    <t>AMON YOGA MUSAURA</t>
  </si>
  <si>
    <t>07/252651/TK/33019</t>
  </si>
  <si>
    <t>MUHAMMAD FAJAR PRASETYO</t>
  </si>
  <si>
    <t>07/252714/TK/33082</t>
  </si>
  <si>
    <t>RIZANG DARU NAFIAN</t>
  </si>
  <si>
    <t>07/256917/TK/33432</t>
  </si>
  <si>
    <t>PENI SUCININGRUM</t>
  </si>
  <si>
    <t>07/256941/TK/33437</t>
  </si>
  <si>
    <t>NUR IKAWATI</t>
  </si>
  <si>
    <t>08/265830/TK/33851</t>
  </si>
  <si>
    <t>ANGGUN WARA PANGESTI</t>
  </si>
  <si>
    <t>08/268638/TK/33965</t>
  </si>
  <si>
    <t>DWI HERWANDONO</t>
  </si>
  <si>
    <t>08/268940/TK/34161</t>
  </si>
  <si>
    <t>SITI RUHAMA</t>
  </si>
  <si>
    <t>08/270479/TK/34554</t>
  </si>
  <si>
    <t>MOHAMAD ABIYOSO</t>
  </si>
  <si>
    <t>05/184744/TK/30666</t>
  </si>
  <si>
    <t>FERDIAN KURNIANTO</t>
  </si>
  <si>
    <t>07/251861/TK/32671</t>
  </si>
  <si>
    <t>YOGA PRAKOSA</t>
  </si>
  <si>
    <t>07/251960/TK/32719</t>
  </si>
  <si>
    <t>THEODORUS YAN NEOVANNY</t>
  </si>
  <si>
    <t>07/252715/TK/33083</t>
  </si>
  <si>
    <t>LUTHFI AHSANA MUHTAROM</t>
  </si>
  <si>
    <t>08/269350/TK/34431</t>
  </si>
  <si>
    <t>2012-2013</t>
  </si>
  <si>
    <t>DETIA  PRENICA  HYDYA</t>
  </si>
  <si>
    <t>07/253161/TK/33286</t>
  </si>
  <si>
    <t>ARGA SASMITA ABADI</t>
  </si>
  <si>
    <t xml:space="preserve">08/269130/TK/34285 </t>
  </si>
  <si>
    <t>23/10/2012</t>
  </si>
  <si>
    <t>ARIEF WICAKSONO BUDI K.</t>
  </si>
  <si>
    <t xml:space="preserve">07/253345/TK/33303 </t>
  </si>
  <si>
    <t>HAFIZHA NURI AFIFAH</t>
  </si>
  <si>
    <t xml:space="preserve">07/252300/TK/32840 </t>
  </si>
  <si>
    <t>JATI WAHYU TRANGGONO</t>
  </si>
  <si>
    <t xml:space="preserve">08/272717/TK/34567 </t>
  </si>
  <si>
    <t>KHAIRUNNISSA DWI UTAMI</t>
  </si>
  <si>
    <t xml:space="preserve">08/269348/TK/34429 </t>
  </si>
  <si>
    <t>SHINTA APRILIA INDARWATI</t>
  </si>
  <si>
    <t xml:space="preserve">07/252863/TK/33230 </t>
  </si>
  <si>
    <t>WINDY LIESTYANI</t>
  </si>
  <si>
    <t xml:space="preserve">07/257265/TK/33500 </t>
  </si>
  <si>
    <t>GREGORIUS ANSELMUS VINCENTIO AURELIUS</t>
  </si>
  <si>
    <t>08/272899/TK/34616</t>
  </si>
  <si>
    <t>21/01/2013</t>
  </si>
  <si>
    <t>FATMA KURNIA SARI</t>
  </si>
  <si>
    <t>08/268992/TK/34192</t>
  </si>
  <si>
    <t>WIDIYARTO</t>
  </si>
  <si>
    <t>08/269040/TK/34223</t>
  </si>
  <si>
    <t>ANGGUN WARA  RAHAJENG</t>
  </si>
  <si>
    <t>08/268639/TK/33966</t>
  </si>
  <si>
    <t>YANI PRIYO NUGROHO</t>
  </si>
  <si>
    <t>08/268789/TK/34067</t>
  </si>
  <si>
    <t>NADYA OKTAVIANI</t>
  </si>
  <si>
    <t>08/268679/TK/33992</t>
  </si>
  <si>
    <t>KITRI ARU SAPUTRA</t>
  </si>
  <si>
    <t>08/272737/TK/34571</t>
  </si>
  <si>
    <t>KUNCORO ANDRIE WIDIYANTO</t>
  </si>
  <si>
    <t>08/268974/TK/34182</t>
  </si>
  <si>
    <t>DEFRI NUR ARIFFAH</t>
  </si>
  <si>
    <t>08/270444/Tk/34549</t>
  </si>
  <si>
    <t>PRIMA YUDA SEPTIYADI</t>
  </si>
  <si>
    <t>08/269230/TK/34353</t>
  </si>
  <si>
    <t>EVA AIDA MUSAVIA</t>
  </si>
  <si>
    <t>08/268881/TK/34126</t>
  </si>
  <si>
    <t>GARY ISNUARDANI</t>
  </si>
  <si>
    <t>08/269452/TK/34496</t>
  </si>
  <si>
    <t>AYU WANDIRA PURBA</t>
  </si>
  <si>
    <t>08/268853/TK/34109</t>
  </si>
  <si>
    <t>CATUR SUSILO ARDI</t>
  </si>
  <si>
    <t>06/193879/TK/31679</t>
  </si>
  <si>
    <t>LUTHVIASARI ASTUDIRO</t>
  </si>
  <si>
    <t>06/198034/TK/32203</t>
  </si>
  <si>
    <t>HERUNINGTYAS DESI PURNAMASARI</t>
  </si>
  <si>
    <t>08/269346/TK/34427</t>
  </si>
  <si>
    <t>RATIH HIDAYAH</t>
  </si>
  <si>
    <t>08/269421/TK/34475</t>
  </si>
  <si>
    <t>ARIF PRIHANANTO</t>
  </si>
  <si>
    <t>08/269437/TK/34486</t>
  </si>
  <si>
    <t>RIFQIYA LUTHFIYANI</t>
  </si>
  <si>
    <t>08/269317/TK/34409</t>
  </si>
  <si>
    <t>ANJAS BANDARSO</t>
  </si>
  <si>
    <t>07/252528/TK/32924</t>
  </si>
  <si>
    <t>DANANG SETYAWAN</t>
  </si>
  <si>
    <t>07/253575/TK/33318</t>
  </si>
  <si>
    <t>WIDI SURYO WIBOWO</t>
  </si>
  <si>
    <t>06/198211/TK/32245</t>
  </si>
  <si>
    <t>NASRUDIN BACHTIAR</t>
  </si>
  <si>
    <t>07/252737/TK/33105</t>
  </si>
  <si>
    <t>Wieta Martiane</t>
  </si>
  <si>
    <t>08/269369/TK/34445</t>
  </si>
  <si>
    <t>25/04/2013</t>
  </si>
  <si>
    <t>Amanah Anggun Prabandari</t>
  </si>
  <si>
    <t>08/269161/TK/34303</t>
  </si>
  <si>
    <t>Mahardhika Ega Nugrahaeni</t>
  </si>
  <si>
    <t>08/268733/TK/34025</t>
  </si>
  <si>
    <t>Faiz Karmani</t>
  </si>
  <si>
    <t>08/269291/TK/34395</t>
  </si>
  <si>
    <t>Dwiyanthi Kusumawardhani</t>
  </si>
  <si>
    <t>08/269287/TK/34392</t>
  </si>
  <si>
    <t>Riza Taufiq Akbar</t>
  </si>
  <si>
    <t>07/252524/TK/32923</t>
  </si>
  <si>
    <t>Wendhi Aptara Kustomo</t>
  </si>
  <si>
    <t>07/251963/TK/32720</t>
  </si>
  <si>
    <t>Martein Adigana</t>
  </si>
  <si>
    <t>08/269172/TK/34313</t>
  </si>
  <si>
    <t>Pratita Yuniasri</t>
  </si>
  <si>
    <t>07/252851/TK/33218</t>
  </si>
  <si>
    <t>RADITYA DANAR S.</t>
  </si>
  <si>
    <t>06/193990/TK/31727</t>
  </si>
  <si>
    <t>24/07/2013</t>
  </si>
  <si>
    <t>TIA RIZKA NUZULA R</t>
  </si>
  <si>
    <t>08/269307/TK/34404</t>
  </si>
  <si>
    <t>NOVI PRISTIANTI</t>
  </si>
  <si>
    <t>09/285418/TK/35781</t>
  </si>
  <si>
    <t>MUKTI FATIMAH</t>
  </si>
  <si>
    <t>09/284828/TK/35513</t>
  </si>
  <si>
    <t>YULI PURWANINGSIH</t>
  </si>
  <si>
    <t>09/289215/TK/36043</t>
  </si>
  <si>
    <t>FETRI AGO H.R</t>
  </si>
  <si>
    <t>08/268850/TK/34106</t>
  </si>
  <si>
    <t>I MADE DIKY ADE HERMAWAN</t>
  </si>
  <si>
    <t>08/269394/TK/34459</t>
  </si>
  <si>
    <t>REZA ANANDA</t>
  </si>
  <si>
    <t>09/285260/TK/35705</t>
  </si>
  <si>
    <t>SAFIRA YUDHA WIJAYANTI</t>
  </si>
  <si>
    <t>09/285847/TK/35898</t>
  </si>
  <si>
    <t>YULIA INDRI ASTUTY</t>
  </si>
  <si>
    <t>09/289058/TK/35983</t>
  </si>
  <si>
    <t>NEINTIEN YENISARI</t>
  </si>
  <si>
    <t>07/252343/TK/32856</t>
  </si>
  <si>
    <t>GITA DELLA MARAHATI</t>
  </si>
  <si>
    <t>09/281307/TK/34922</t>
  </si>
  <si>
    <t>MERLINDA NORMA P</t>
  </si>
  <si>
    <t>09/289190/TK/36031</t>
  </si>
  <si>
    <t>BAGAS TRIARAHMADHANA</t>
  </si>
  <si>
    <t>09/285656/TK/35876</t>
  </si>
  <si>
    <t>ERNA KUSUMAWATI</t>
  </si>
  <si>
    <t>09/285158/TK/35664</t>
  </si>
  <si>
    <t>TRI UTAMI HANDAYANINGSIH</t>
  </si>
  <si>
    <t>09/289002/TK/35952</t>
  </si>
  <si>
    <t>YUNANTA CAHYA DANISWARA</t>
  </si>
  <si>
    <t>09/285044/TK/35613</t>
  </si>
  <si>
    <t>MAULIDA FITRI</t>
  </si>
  <si>
    <t>09/284561/TK/35375</t>
  </si>
  <si>
    <t>JALI OCTARIADY</t>
  </si>
  <si>
    <t>09/281075/TK/34770</t>
  </si>
  <si>
    <t>ISNAINI ANNURIAH M</t>
  </si>
  <si>
    <t>09/286541/TK/35904</t>
  </si>
  <si>
    <t>ANITA PRIYANI</t>
  </si>
  <si>
    <t>09/280077/TK/34653</t>
  </si>
  <si>
    <t>NANI FREA WIKA</t>
  </si>
  <si>
    <t>08/269010/TK/34207</t>
  </si>
  <si>
    <t>SARI KURNIAWATI</t>
  </si>
  <si>
    <t>09/289036/TK/35971</t>
  </si>
  <si>
    <t>MULYA SINA DIPUTRA</t>
  </si>
  <si>
    <t>07/251044/TK/32535</t>
  </si>
  <si>
    <t>SLAMET RISWANTO</t>
  </si>
  <si>
    <t>09/288484/TK/35930</t>
  </si>
  <si>
    <t>RAHADIAN FAUZI</t>
  </si>
  <si>
    <t>08/269223/TK/34347</t>
  </si>
  <si>
    <t>YANUAR REZA YUWANA</t>
  </si>
  <si>
    <t>09/289023/TK/35964</t>
  </si>
  <si>
    <t>JUANDA CAHYAPUTRA</t>
  </si>
  <si>
    <t>08/269426/TK/34478</t>
  </si>
  <si>
    <t>RASTIKA WIDIASTUTI</t>
  </si>
  <si>
    <t>09/285198/TK/35676</t>
  </si>
  <si>
    <t>AZMIYATUL ARIFATI</t>
  </si>
  <si>
    <t>09/284564/TK/35377</t>
  </si>
  <si>
    <t>ELYSABETH JANE P</t>
  </si>
  <si>
    <t>08/269358/TK/34437</t>
  </si>
  <si>
    <t>2013/2014</t>
  </si>
  <si>
    <t>I Gede Widana</t>
  </si>
  <si>
    <t>09/281135/TK/34814</t>
  </si>
  <si>
    <t>30/08/2013</t>
  </si>
  <si>
    <t>Rr. Suspima Wulandari</t>
  </si>
  <si>
    <t>09/285349/TK/35747</t>
  </si>
  <si>
    <t>Gia Adi Pramanda</t>
  </si>
  <si>
    <t>09/284961/TK/35576</t>
  </si>
  <si>
    <t>Irene Septifa Wihasti</t>
  </si>
  <si>
    <t>09/289008/TK/35956</t>
  </si>
  <si>
    <t>Dwi Purnasari</t>
  </si>
  <si>
    <t>09/284654/TK/35422</t>
  </si>
  <si>
    <t>Budhi Aprianti</t>
  </si>
  <si>
    <t>09/289230/TK/36050</t>
  </si>
  <si>
    <t>Putri Hilda Zubaidiyah</t>
  </si>
  <si>
    <t>08/269097/TK/34263</t>
  </si>
  <si>
    <t>Elisa Maiyenti</t>
  </si>
  <si>
    <t>08/269476/TK/34510</t>
  </si>
  <si>
    <t>27/09/2013</t>
  </si>
  <si>
    <t>I Wayan Agus Darma</t>
  </si>
  <si>
    <t>09/285392/TK/35771</t>
  </si>
  <si>
    <t>Sekar Pranadita</t>
  </si>
  <si>
    <t>09/286680/TK/35908</t>
  </si>
  <si>
    <t>Zuriabangkit Muazisanjaya</t>
  </si>
  <si>
    <t>08/269245/TK/34363</t>
  </si>
  <si>
    <t>24/10/2013</t>
  </si>
  <si>
    <t>Nur Fajriah</t>
  </si>
  <si>
    <t>09/285328/TK/35738</t>
  </si>
  <si>
    <t>Juang Putra Widyangga</t>
  </si>
  <si>
    <t>08/269138/TK/34288</t>
  </si>
  <si>
    <t>Fitria Laili Azizah</t>
  </si>
  <si>
    <t>09/284411/TK/35299</t>
  </si>
  <si>
    <t>Haryo Widianing Wibowo</t>
  </si>
  <si>
    <t>08/269043/TK/34226</t>
  </si>
  <si>
    <t>Khusnul Fathoni</t>
  </si>
  <si>
    <t>09/285182/TK/35670</t>
  </si>
  <si>
    <t>Aryati Widiastuti</t>
  </si>
  <si>
    <t>06/198498/TK/32261</t>
  </si>
  <si>
    <t>31/12/2013</t>
  </si>
  <si>
    <t>477</t>
  </si>
  <si>
    <t>Agung Nugroho</t>
  </si>
  <si>
    <t>06/197736/TK/32109</t>
  </si>
  <si>
    <t>563</t>
  </si>
  <si>
    <t>Wafa Ginanjar Putra</t>
  </si>
  <si>
    <t>08/272748/TK/34576</t>
  </si>
  <si>
    <t>464</t>
  </si>
  <si>
    <t>Ari Wicaksono</t>
  </si>
  <si>
    <t>09/285228/TK/35689</t>
  </si>
  <si>
    <t>22/01/2014</t>
  </si>
  <si>
    <t>Mochamad Reza Novaryanto</t>
  </si>
  <si>
    <t>09/284914/TK/35553</t>
  </si>
  <si>
    <t>Hafidzur Rosyad Al Makhi</t>
  </si>
  <si>
    <t>09/286933/TK/35916</t>
  </si>
  <si>
    <t>Restu Khoerul Umam</t>
  </si>
  <si>
    <t>09/288521/TK/35935</t>
  </si>
  <si>
    <t>Dinal Haqie</t>
  </si>
  <si>
    <t>06/197835/TK/32142</t>
  </si>
  <si>
    <t>Pega Aji Sitama</t>
  </si>
  <si>
    <t>09/289047/TK/35977</t>
  </si>
  <si>
    <t>Farchan Safri Banna</t>
  </si>
  <si>
    <t>08/268876/TK/34123</t>
  </si>
  <si>
    <t>Singgih Ari Wibowo</t>
  </si>
  <si>
    <t>08/268902/TK/34134</t>
  </si>
  <si>
    <t>Retna Handayani</t>
  </si>
  <si>
    <t>09/281407/TK/34971</t>
  </si>
  <si>
    <t>Githa Eka Rosalina</t>
  </si>
  <si>
    <t>07/252074/TK/32748</t>
  </si>
  <si>
    <t>I Gst Ngr Yoga Jayantara</t>
  </si>
  <si>
    <t>09/281097/TK/34787</t>
  </si>
  <si>
    <t>Nurul Rahma Putri Dika</t>
  </si>
  <si>
    <t>08/268937/TK/34158</t>
  </si>
  <si>
    <t>Hardian Iskandar</t>
  </si>
  <si>
    <t>08/269146/TK/34293</t>
  </si>
  <si>
    <t>Aghuts Salim</t>
  </si>
  <si>
    <t>08/269463/TK/34501</t>
  </si>
  <si>
    <t>Agus Sukma Yogiswara</t>
  </si>
  <si>
    <t>08/265658/TK/33774</t>
  </si>
  <si>
    <t>Wahyu Eko Purnomo</t>
  </si>
  <si>
    <t>08/269440/TK/34489</t>
  </si>
  <si>
    <t>Paolo Tuanakotta Siregar</t>
  </si>
  <si>
    <t>07/252063/TK/32745</t>
  </si>
  <si>
    <t>Nadila Tania</t>
  </si>
  <si>
    <t>08/269268/TK/34378</t>
  </si>
  <si>
    <t>Zulaika Sukma</t>
  </si>
  <si>
    <t>07/253042/TK/33264</t>
  </si>
  <si>
    <t>Sekendi Andriaji</t>
  </si>
  <si>
    <t>08/268921/TK/34144</t>
  </si>
  <si>
    <t>Ady Satya Kurniawan</t>
  </si>
  <si>
    <t>06/193911/TK/31711</t>
  </si>
  <si>
    <t>30/01/2014</t>
  </si>
  <si>
    <t>Irfani Indra Nur Rokhman</t>
  </si>
  <si>
    <t>08/269279/TK/34385</t>
  </si>
  <si>
    <t>Rizky Al Ikhlas</t>
  </si>
  <si>
    <t>08/268843/TK/34101</t>
  </si>
  <si>
    <t>Fitri Wulandari</t>
  </si>
  <si>
    <t>09/285451/TK/35795</t>
  </si>
  <si>
    <t>Zulfa Syathari</t>
  </si>
  <si>
    <t>09/285015/TK/35602</t>
  </si>
  <si>
    <t>22/04/2014</t>
  </si>
  <si>
    <t>Muhammad Ainun Najib</t>
  </si>
  <si>
    <t>08/270172/TK/34523</t>
  </si>
  <si>
    <t>Monzeri Desilva</t>
  </si>
  <si>
    <t>07/253324/TK/33302</t>
  </si>
  <si>
    <t>Gogo Matondi Rambe</t>
  </si>
  <si>
    <t>08/268877/TK/34124</t>
  </si>
  <si>
    <t>I Nyoman Hendy Gian Janitra</t>
  </si>
  <si>
    <t>08/269115/TK/34275</t>
  </si>
  <si>
    <t>Berlin Janrico Makarios Naibaho</t>
  </si>
  <si>
    <t>07/252625/TK/32993</t>
  </si>
  <si>
    <t>Aqil Rahmatullah</t>
  </si>
  <si>
    <t>09/285009/TK/35598</t>
  </si>
  <si>
    <t>Sufyan Noviansyah</t>
  </si>
  <si>
    <t>08/269299/TK/34399</t>
  </si>
  <si>
    <t>Rizky Erlangga</t>
  </si>
  <si>
    <t>08/269225/TK/34349</t>
  </si>
  <si>
    <t>Gusti Hurmuzan Ardiansyah</t>
  </si>
  <si>
    <t>07/250788/TK/32389</t>
  </si>
  <si>
    <t>Rosit Setiawan</t>
  </si>
  <si>
    <t>09/285207/TK/35678</t>
  </si>
  <si>
    <t>Audi Rahmat Avicienda</t>
  </si>
  <si>
    <t>09/285055/TK/35619</t>
  </si>
  <si>
    <t>Dewanto Prasetyo Aji</t>
  </si>
  <si>
    <t>08/265829/TK/33850</t>
  </si>
  <si>
    <t>Febrian Bayu Dwi Pramana Putra</t>
  </si>
  <si>
    <t>08/269258/TK/34372</t>
  </si>
  <si>
    <t>Agung Widcha Aulia Rachman</t>
  </si>
  <si>
    <t>08/269035/TK/34221</t>
  </si>
  <si>
    <t>30/05/2014</t>
  </si>
  <si>
    <t>Ardy Setya Prayoga</t>
  </si>
  <si>
    <t>08/269193/TK/34329</t>
  </si>
  <si>
    <t>22/07/2014</t>
  </si>
  <si>
    <t>Aizzat Abd Fattah</t>
  </si>
  <si>
    <t>08/273045/TK/34634</t>
  </si>
  <si>
    <t>Sri Windari</t>
  </si>
  <si>
    <t>10/298000/TK/36510</t>
  </si>
  <si>
    <t>Siti Nurjanah</t>
  </si>
  <si>
    <t>10/296840/TK/36233</t>
  </si>
  <si>
    <t>Edward Wijaya</t>
  </si>
  <si>
    <t>10/300931/TK/36711</t>
  </si>
  <si>
    <t>Dhani Aditya</t>
  </si>
  <si>
    <t>10/296492/TK/36157</t>
  </si>
  <si>
    <t>Muhamad Saydul Bilad</t>
  </si>
  <si>
    <t>10/301252/TK/36884</t>
  </si>
  <si>
    <t>Sang Putu Indra Gunawan</t>
  </si>
  <si>
    <t>09/285040/TK/35610</t>
  </si>
  <si>
    <t>Erlyna Nour Arrofiqoh</t>
  </si>
  <si>
    <t>10/300971/TK/36735</t>
  </si>
  <si>
    <t>Hilmiyati Ulinnuha</t>
  </si>
  <si>
    <t>10/302140/TK/37306</t>
  </si>
  <si>
    <t>Rahmat Sidik</t>
  </si>
  <si>
    <t>10/296695/TK/36194</t>
  </si>
  <si>
    <t>Yoga Bayu Aji Pradana</t>
  </si>
  <si>
    <t>10/301790/TK/37155</t>
  </si>
  <si>
    <t>Indro Wicaksono</t>
  </si>
  <si>
    <t>08/269313/TK/34408</t>
  </si>
  <si>
    <t>Ida Melasari</t>
  </si>
  <si>
    <t>10/298164/TK/36620</t>
  </si>
  <si>
    <t>Dessy Apriyanti</t>
  </si>
  <si>
    <t>10/301417/TK/36979</t>
  </si>
  <si>
    <t>Yasir Agus Hartanto</t>
  </si>
  <si>
    <t>09/284785/TK/35491</t>
  </si>
  <si>
    <t>Darnila</t>
  </si>
  <si>
    <t>10/301268/TK/36896</t>
  </si>
  <si>
    <t>Wulansari Ebtasetyaningsih</t>
  </si>
  <si>
    <t>09/28516/TK/35665</t>
  </si>
  <si>
    <t>Brigitta Yolanda Puspa Persada</t>
  </si>
  <si>
    <t>09/285119/TK/35643</t>
  </si>
  <si>
    <t>Dicky Prima Dimantikha</t>
  </si>
  <si>
    <t>10/296469/TK/36150</t>
  </si>
  <si>
    <t>Dian Kristiana Tanjung</t>
  </si>
  <si>
    <t>07/257239/TK/33488</t>
  </si>
  <si>
    <t>Heppy Wulandari</t>
  </si>
  <si>
    <t>08/269156/TK/34300</t>
  </si>
  <si>
    <t>Siti Rahmi Pratiwi</t>
  </si>
  <si>
    <t>10/301923/TK/37204</t>
  </si>
  <si>
    <t>Isna Uswatun Khasanah</t>
  </si>
  <si>
    <t>10/305484/TK/37532</t>
  </si>
  <si>
    <t>Dito Prasetyo</t>
  </si>
  <si>
    <t>07/252031/TK/32739</t>
  </si>
  <si>
    <t>Arys Setya Gusmana</t>
  </si>
  <si>
    <t>07/252850/TK/33217</t>
  </si>
  <si>
    <t>Cendekia Ivanna Fatmawati</t>
  </si>
  <si>
    <t>09/281445/TK/34998</t>
  </si>
  <si>
    <t>Ginanjar Ihsan Prabowo</t>
  </si>
  <si>
    <t>09/284367/TK/35270</t>
  </si>
  <si>
    <t>Sukma Nur Oktavia</t>
  </si>
  <si>
    <t>09/285492/TK/35811</t>
  </si>
  <si>
    <t>2014/2015</t>
  </si>
  <si>
    <t>Kompre</t>
  </si>
  <si>
    <t>Arum Wahyu Hastuti</t>
  </si>
  <si>
    <t>10/296841/TK/36234</t>
  </si>
  <si>
    <t>01/09/2014</t>
  </si>
  <si>
    <t>Azizul Izza</t>
  </si>
  <si>
    <t>09/285371/TK/35758</t>
  </si>
  <si>
    <t>Ramdhan Hidayat</t>
  </si>
  <si>
    <t>09/285206/TK/35677</t>
  </si>
  <si>
    <t>Diah Kartikasari Nasution</t>
  </si>
  <si>
    <t>09/285138/TK/35651</t>
  </si>
  <si>
    <t>26/09/2014</t>
  </si>
  <si>
    <t>Hanif Ilmawan</t>
  </si>
  <si>
    <t>10/301146/TK/36831</t>
  </si>
  <si>
    <t>Winda Kurniawati</t>
  </si>
  <si>
    <t>10/298219/TK/36652</t>
  </si>
  <si>
    <t>24/10/2014</t>
  </si>
  <si>
    <t>Muhammad Ashar</t>
  </si>
  <si>
    <t>10/301996/TK/37242</t>
  </si>
  <si>
    <t>Nimas Hayu Merlina Anggarini</t>
  </si>
  <si>
    <t>10/300870/TK/36676</t>
  </si>
  <si>
    <t>Charlinda Puspitasari</t>
  </si>
  <si>
    <t>08/269049/TK/34229</t>
  </si>
  <si>
    <t>Novi Aristia</t>
  </si>
  <si>
    <t>10/301288/TK/36904</t>
  </si>
  <si>
    <t>Sugandi</t>
  </si>
  <si>
    <t>09/281592/TK/35076</t>
  </si>
  <si>
    <t>Nikma Fista Safrina</t>
  </si>
  <si>
    <t>10/305390/TK/37495</t>
  </si>
  <si>
    <t>Widastama Angga Permana</t>
  </si>
  <si>
    <t>09/285229/TK/35690</t>
  </si>
  <si>
    <t>Pethit Gantang Dewantoro</t>
  </si>
  <si>
    <t>09/285547/TK/35836</t>
  </si>
  <si>
    <t>Miranty Noor Sulistyawati</t>
  </si>
  <si>
    <t>10/301580/TK/37056</t>
  </si>
  <si>
    <t>Septin Mulatsih Rezki</t>
  </si>
  <si>
    <t>10/301440/TK/36992</t>
  </si>
  <si>
    <t>Dian Sulaksono</t>
  </si>
  <si>
    <t>08/269108/TK/34271</t>
  </si>
  <si>
    <t>Zulfan Nazal</t>
  </si>
  <si>
    <t>09/281297/TK/34916</t>
  </si>
  <si>
    <t>Anindya Sricandra Prasidya</t>
  </si>
  <si>
    <t>10/302619/TK/37370</t>
  </si>
  <si>
    <t>Made Ayu Juni Hartini</t>
  </si>
  <si>
    <t>09/281136/TK/34815</t>
  </si>
  <si>
    <t>24/11/2014</t>
  </si>
  <si>
    <t>Rizky Ayu Pratiwi</t>
  </si>
  <si>
    <t>10/301693/TK/37108</t>
  </si>
  <si>
    <t>Achmad Radama Rinardi</t>
  </si>
  <si>
    <t>10/301198/TK/36858</t>
  </si>
  <si>
    <t>Muhammad Rahadian Barnadib</t>
  </si>
  <si>
    <t>07/253011/TK/33255</t>
  </si>
  <si>
    <t>I Made Indra Wirawan</t>
  </si>
  <si>
    <t>07/252642/TK/33010</t>
  </si>
  <si>
    <t>30/12/2014</t>
  </si>
  <si>
    <t>Abdussalam Hidayat</t>
  </si>
  <si>
    <t>07/252003/TK/32733</t>
  </si>
  <si>
    <t>23/01/2015</t>
  </si>
  <si>
    <t>Wardono</t>
  </si>
  <si>
    <t>07/252676/TK/33044</t>
  </si>
  <si>
    <t>Dedyk Ade Iskandar</t>
  </si>
  <si>
    <t>07/252718/TK/33086</t>
  </si>
  <si>
    <t>Ajeng Arimiratna Kripsiana</t>
  </si>
  <si>
    <t>08/265477/TK/33679</t>
  </si>
  <si>
    <t>M. Rizqi</t>
  </si>
  <si>
    <t>08/265497/TK/33695</t>
  </si>
  <si>
    <t>Yoga Aratama</t>
  </si>
  <si>
    <t>08/268841/TK/34099</t>
  </si>
  <si>
    <t>Heri Yusman</t>
  </si>
  <si>
    <t>08/269165/TK/34307</t>
  </si>
  <si>
    <t>Rizqie Adhitrisna Budhi</t>
  </si>
  <si>
    <t>09/284247/TK/35201</t>
  </si>
  <si>
    <t>Bayu Afdilla Al-Husain</t>
  </si>
  <si>
    <t>09/285372/TK/35759</t>
  </si>
  <si>
    <t>Fahmi Yuni Andari</t>
  </si>
  <si>
    <t>10/298182/TK/36632</t>
  </si>
  <si>
    <t>Ibnu Listian Kautsartama</t>
  </si>
  <si>
    <t>10/301087/TK/36801</t>
  </si>
  <si>
    <t>Siti Noor Chayati</t>
  </si>
  <si>
    <t>10/301204/TK/36863</t>
  </si>
  <si>
    <t>Brilyan Jati Wijaya</t>
  </si>
  <si>
    <t>10/301374/TK/36961</t>
  </si>
  <si>
    <t>Muhammad Ardian</t>
  </si>
  <si>
    <t>10/301394/TK/36972</t>
  </si>
  <si>
    <t>Patra Manda Sinulingga</t>
  </si>
  <si>
    <t>10/301415/TK/36978</t>
  </si>
  <si>
    <t>Ussisa Annisari</t>
  </si>
  <si>
    <t>10/301430/TK/36986</t>
  </si>
  <si>
    <t>Afradon Aditya Setyawan</t>
  </si>
  <si>
    <t>10/301482/TK/37011</t>
  </si>
  <si>
    <t>Guge Faizal Rahman Bastarie</t>
  </si>
  <si>
    <t>10/305189/TK/37403</t>
  </si>
  <si>
    <t>Qori Tri Kurnia</t>
  </si>
  <si>
    <t>10/305214/TK/37415</t>
  </si>
  <si>
    <t>Saptiana Mardhiyah</t>
  </si>
  <si>
    <t>10/305586/TK/37542</t>
  </si>
  <si>
    <t>Christanto Michael Pandapotan Nainggolan</t>
  </si>
  <si>
    <t>09/284565/TK/35378</t>
  </si>
  <si>
    <t>27/02/2015</t>
  </si>
  <si>
    <t>Fajar Sidiq Palupi</t>
  </si>
  <si>
    <t>10/302102/TK/37288</t>
  </si>
  <si>
    <t>Hastika Darmawati</t>
  </si>
  <si>
    <t>08/269298/TK/34398</t>
  </si>
  <si>
    <t>30/03/2015</t>
  </si>
  <si>
    <t>I Made Surya Adi Chandra</t>
  </si>
  <si>
    <t>10/296393/TK/36126</t>
  </si>
  <si>
    <t>23/04/2015</t>
  </si>
  <si>
    <t>Kusmantoyo Ardi Pamungkas</t>
  </si>
  <si>
    <t>08/269054/TK/34232</t>
  </si>
  <si>
    <t>Muhammad Irsan Sinaga</t>
  </si>
  <si>
    <t>10/301217/TK/36871</t>
  </si>
  <si>
    <t>Nurulita Dewi Tri Aryuni</t>
  </si>
  <si>
    <t>08/272765/TK/34582</t>
  </si>
  <si>
    <t>30/03/3015</t>
  </si>
  <si>
    <t>Ahmad Arvy Fachrully</t>
  </si>
  <si>
    <t>10/302310/TK/37338</t>
  </si>
  <si>
    <t>29/05/2015</t>
  </si>
  <si>
    <t>Ali Ibadurohman</t>
  </si>
  <si>
    <t>09/284902/TK/35547</t>
  </si>
  <si>
    <t>Riya Nur Azizah</t>
  </si>
  <si>
    <t>10/301147/TK/36832</t>
  </si>
  <si>
    <t>Muhammad Reza Muzadhin</t>
  </si>
  <si>
    <t>10/301350/TK/36942</t>
  </si>
  <si>
    <t>13/07/2015</t>
  </si>
  <si>
    <t>Riki Nursetiyadi</t>
  </si>
  <si>
    <t>11/318985/TK/38132</t>
  </si>
  <si>
    <t>Anisa Adinaningrum</t>
  </si>
  <si>
    <t>10/302001/TK/37243</t>
  </si>
  <si>
    <t>Muhammad Arif Sudibyo</t>
  </si>
  <si>
    <t>10/301726/TK/37123</t>
  </si>
  <si>
    <t>Ni Putu Praja Chintya</t>
  </si>
  <si>
    <t>11/318965/TK/38114</t>
  </si>
  <si>
    <t>60</t>
  </si>
  <si>
    <t>Ita Margasari</t>
  </si>
  <si>
    <t>11/313240/TK/37851</t>
  </si>
  <si>
    <t>55</t>
  </si>
  <si>
    <t>Wildan Wahyu Saputra</t>
  </si>
  <si>
    <t>11/313232/TK/37847</t>
  </si>
  <si>
    <t>Syafrisar Putra Asbintari</t>
  </si>
  <si>
    <t>11/318999/TK/38142</t>
  </si>
  <si>
    <t>65</t>
  </si>
  <si>
    <t>Okky Aditia Nur Pratama</t>
  </si>
  <si>
    <t>11/319024/TK/38162</t>
  </si>
  <si>
    <t>Yudhono Prakoso</t>
  </si>
  <si>
    <t>11/320120/TK/38974</t>
  </si>
  <si>
    <t>Arif Setyaji</t>
  </si>
  <si>
    <t>08/269045/TK/34227</t>
  </si>
  <si>
    <t>Nur Aini Salamah</t>
  </si>
  <si>
    <t>11/313618/TK/37972</t>
  </si>
  <si>
    <t>Fresy Bastyan Nosicca</t>
  </si>
  <si>
    <t>10/301771/TK/37146</t>
  </si>
  <si>
    <t>Maritsa Faridatunnisa</t>
  </si>
  <si>
    <t>11/319096/TK/38228</t>
  </si>
  <si>
    <t>Adeit Arafat</t>
  </si>
  <si>
    <t>08/265386/TK/33636</t>
  </si>
  <si>
    <t>Adib Muhammad Shodiq</t>
  </si>
  <si>
    <t>11/319033/TK/38170</t>
  </si>
  <si>
    <t>Annisaa Mayangsari</t>
  </si>
  <si>
    <t>11/319137/TK/38268</t>
  </si>
  <si>
    <t>Adelia Rahmah</t>
  </si>
  <si>
    <t>11/312718/TK/37605</t>
  </si>
  <si>
    <t>Hesti Nur Septa Anggraini</t>
  </si>
  <si>
    <t>11/319243/TK/38373</t>
  </si>
  <si>
    <t>Dwi Wahyuningrum</t>
  </si>
  <si>
    <t>11/319256/TK/38386</t>
  </si>
  <si>
    <t>Monica Maharani</t>
  </si>
  <si>
    <t>11/319157/TK/38288</t>
  </si>
  <si>
    <t>Rahmawati Dwi Kusumasari</t>
  </si>
  <si>
    <t>11/314523/TK/38065</t>
  </si>
  <si>
    <t>Adelino Soares Fernandes</t>
  </si>
  <si>
    <t>09/290445/TK/36091</t>
  </si>
  <si>
    <t>Kusumo Nugroho</t>
  </si>
  <si>
    <t>11/319088/TK/38220</t>
  </si>
  <si>
    <t>Lintang Ratri</t>
  </si>
  <si>
    <t>11/318964/TK/38113</t>
  </si>
  <si>
    <t>Ardyanto Dito Prayogo</t>
  </si>
  <si>
    <t>11/312971/TK/37735</t>
  </si>
  <si>
    <t>Diyah Nova Nurjanah</t>
  </si>
  <si>
    <t>11/313661/TK/37987</t>
  </si>
  <si>
    <t>M. Fariz Yudistira</t>
  </si>
  <si>
    <t>11/312938/TK/37716</t>
  </si>
  <si>
    <t>Lutfi Laudza'i</t>
  </si>
  <si>
    <t>11/313640/TK/37977</t>
  </si>
  <si>
    <t>70</t>
  </si>
  <si>
    <t>Akhla Sabila</t>
  </si>
  <si>
    <t>11/319062/TK/38196</t>
  </si>
  <si>
    <t>Muhamad Aridha</t>
  </si>
  <si>
    <t>08/269183/TK/34322</t>
  </si>
  <si>
    <t>Zhafirah Syarafina</t>
  </si>
  <si>
    <t>11/312712/TK/37600</t>
  </si>
  <si>
    <t>2015/2016</t>
  </si>
  <si>
    <t>Advent Cahya Aji</t>
  </si>
  <si>
    <t>11/319007/TK/38147</t>
  </si>
  <si>
    <t>Angga Vergianto</t>
  </si>
  <si>
    <t>11/319117/TK/38249</t>
  </si>
  <si>
    <t>Muhammad Reza Hasan Fahmi</t>
  </si>
  <si>
    <t>09/281488/TK/35021</t>
  </si>
  <si>
    <t>Teguh Sulistian</t>
  </si>
  <si>
    <t>11/319057/TK/38191</t>
  </si>
  <si>
    <t>Wahyu Dwiyani Eko</t>
  </si>
  <si>
    <t>11/319090/TK/38222</t>
  </si>
  <si>
    <t>Muhammad Aulia Adhyawan</t>
  </si>
  <si>
    <t>11/318958/TK/38108</t>
  </si>
  <si>
    <t>Niken Dwi Sulistyaningrum</t>
  </si>
  <si>
    <t>11/313626/TK/37975</t>
  </si>
  <si>
    <t>Shafira Dwi Cahyani</t>
  </si>
  <si>
    <t>11/319048/TK/38183</t>
  </si>
  <si>
    <t>Maria Yozantika</t>
  </si>
  <si>
    <t>11/313310/TK/37872</t>
  </si>
  <si>
    <t>Endy Agustian</t>
  </si>
  <si>
    <t>11/311643/TK/37558</t>
  </si>
  <si>
    <t>Halim Wiranata</t>
  </si>
  <si>
    <t>11/316673/TK/38073</t>
  </si>
  <si>
    <t>Saiful Annas</t>
  </si>
  <si>
    <t>11/313166/TK/37825</t>
  </si>
  <si>
    <t>Muhammad Syahrullah Fathulhuda</t>
  </si>
  <si>
    <t>11/319105/TK/38237</t>
  </si>
  <si>
    <t>Bayu Tri Wibowo</t>
  </si>
  <si>
    <t>11/319023/TK/38161</t>
  </si>
  <si>
    <t>Aldila Desy Nuryana Putri</t>
  </si>
  <si>
    <t>11/318980/TK/38127</t>
  </si>
  <si>
    <t>Febrian Catur Wahyu Saputra</t>
  </si>
  <si>
    <t>11/319040/TK/38177</t>
  </si>
  <si>
    <t>Susana Da Costa Marcal Fraga</t>
  </si>
  <si>
    <t>09/290457/TK/36095</t>
  </si>
  <si>
    <t>Ivan Busthomi</t>
  </si>
  <si>
    <t>09/283111/TK/35162</t>
  </si>
  <si>
    <t>Agung Prastyo Nugroho</t>
  </si>
  <si>
    <t>11/313609/TK/37970</t>
  </si>
  <si>
    <t>Syahrial</t>
  </si>
  <si>
    <t>11/319092/TK/38224</t>
  </si>
  <si>
    <t>Reza Ariesta Muhammad</t>
  </si>
  <si>
    <t>11/312968/TK/37733</t>
  </si>
  <si>
    <t>Yulfa Intan Yuraida</t>
  </si>
  <si>
    <t>10/297893/TK/36433</t>
  </si>
  <si>
    <t>Made Yoga Permana</t>
  </si>
  <si>
    <t>10/298020/TK/36527</t>
  </si>
  <si>
    <t>Yanu Agung Wicaksono</t>
  </si>
  <si>
    <t>10/301931/TK/37209</t>
  </si>
  <si>
    <t>Muhammad Afzal</t>
  </si>
  <si>
    <t>11/319206/TK/38336</t>
  </si>
  <si>
    <t>Afifuddin</t>
  </si>
  <si>
    <t>11/319111/TK/38243</t>
  </si>
  <si>
    <t>Horas Philip Bergins Togatorop</t>
  </si>
  <si>
    <t>11/319184/TK/38314</t>
  </si>
  <si>
    <t>Muhammad Hardien Alfath Tegar Lestantyo</t>
  </si>
  <si>
    <t>11/319128/TK/38259</t>
  </si>
  <si>
    <t>Reza Yudha Prasetya</t>
  </si>
  <si>
    <t>11/319261/TK/38391</t>
  </si>
  <si>
    <t>Fitrawan Pradanakusuma</t>
  </si>
  <si>
    <t>10/301023/TK/36765</t>
  </si>
  <si>
    <t>Yusva Hardiyanti</t>
  </si>
  <si>
    <t>11/319132/TK/38263</t>
  </si>
  <si>
    <t>Imron Syaifulloh Ahmad</t>
  </si>
  <si>
    <t>11/318959/TK/38109</t>
  </si>
  <si>
    <t>Adinda Herdia Rahmawati</t>
  </si>
  <si>
    <t>11/319093/TK/38225</t>
  </si>
  <si>
    <t>Jane Warda Karima</t>
  </si>
  <si>
    <t>11/313666/TK/37988</t>
  </si>
  <si>
    <t>Arum Suryandari</t>
  </si>
  <si>
    <t>11/319061/TK/38195</t>
  </si>
  <si>
    <t>M. Andya Duta Ardha Rosyadi</t>
  </si>
  <si>
    <t>10/297731/TK/36325</t>
  </si>
  <si>
    <t>Dasita Meygan Pratiwi</t>
  </si>
  <si>
    <t>11/319442/TK/38570</t>
  </si>
  <si>
    <t>Dwi Putra Ananta</t>
  </si>
  <si>
    <t>10/297851/TK/36406</t>
  </si>
  <si>
    <t>Kesi Dewi Emawati</t>
  </si>
  <si>
    <t>11/319423/TK/38552</t>
  </si>
  <si>
    <t>Kristin Apriani Yeninar</t>
  </si>
  <si>
    <t>08/265295/TK/33603</t>
  </si>
  <si>
    <t>Trias Sugeng Prayoga</t>
  </si>
  <si>
    <t>11/319267/TK/38397</t>
  </si>
  <si>
    <t>Bayu Murti Wijayanto</t>
  </si>
  <si>
    <t>11/319018/TK/38156</t>
  </si>
  <si>
    <t>Irwan Diaprianda</t>
  </si>
  <si>
    <t>10/297737/TK/36331</t>
  </si>
  <si>
    <t>Muhammad Ulil Azmi Rasyidin</t>
  </si>
  <si>
    <t>09/280191/TK/34670</t>
  </si>
  <si>
    <t>Ilda Mariana Da Silva</t>
  </si>
  <si>
    <t>09/290447/TK/36093</t>
  </si>
  <si>
    <t>M. Bagas Lail Ramadhan</t>
  </si>
  <si>
    <t>11/320029/TK/38959</t>
  </si>
  <si>
    <t>Windiarto</t>
  </si>
  <si>
    <t>09/286692/TK/35909</t>
  </si>
  <si>
    <t>Cahyati Sari Endah</t>
  </si>
  <si>
    <t>10/297777/TK/36358</t>
  </si>
  <si>
    <t>Endy Prasetyo</t>
  </si>
  <si>
    <t>11/319969/TK/38953</t>
  </si>
  <si>
    <t>Irfan Ammar Perdana</t>
  </si>
  <si>
    <t>11/312690/TK/37591</t>
  </si>
  <si>
    <t>11/318177/TK/38102</t>
  </si>
  <si>
    <t>Rio Andi Pancaraka</t>
  </si>
  <si>
    <t>11/319161/TK/38292</t>
  </si>
  <si>
    <t>Rizqy Ismail</t>
  </si>
  <si>
    <t>08/269074/TK/34247</t>
  </si>
  <si>
    <t>Cherli Estefania Soares Dos Santos</t>
  </si>
  <si>
    <t>09/290449/TK/36094</t>
  </si>
  <si>
    <t>Fatimah Tri Ayuningsih</t>
  </si>
  <si>
    <t>11/319229/TK/38359</t>
  </si>
  <si>
    <t>Faiz Mahbubi</t>
  </si>
  <si>
    <t>11/319191/TK/38321</t>
  </si>
  <si>
    <t>Kajat Muntalib</t>
  </si>
  <si>
    <t>10/302120/TK/37299</t>
  </si>
  <si>
    <t>Diyas Syaiful Rohman</t>
  </si>
  <si>
    <t>10/302135/TK/37304</t>
  </si>
  <si>
    <t>Hamari Sikyarto</t>
  </si>
  <si>
    <t>11/319247/TK/38377</t>
  </si>
  <si>
    <t>Rd. Akhmad Faizal Prabowo Sarwono</t>
  </si>
  <si>
    <t>11/319127/TK/38258</t>
  </si>
  <si>
    <t>Septi Dwi Astuti</t>
  </si>
  <si>
    <t>11/319095/TK/38227</t>
  </si>
  <si>
    <t>Banu Try Anggodo</t>
  </si>
  <si>
    <t>11/319758/TK/38875</t>
  </si>
  <si>
    <t>Fauzi Antoni</t>
  </si>
  <si>
    <t>11/318981/TK/38128</t>
  </si>
  <si>
    <t>Made Ngurah Adhi Wangsa Wigraha</t>
  </si>
  <si>
    <t>11/319030/TK/38168</t>
  </si>
  <si>
    <t>Muhamad Thariq</t>
  </si>
  <si>
    <t>11/319252/TK/38382</t>
  </si>
  <si>
    <t>Ivan Sidabutar</t>
  </si>
  <si>
    <t>11/319193/TK/38323</t>
  </si>
  <si>
    <t>Ahmad Khatib</t>
  </si>
  <si>
    <t>10/305479/TK/37531</t>
  </si>
  <si>
    <t>Lidya Antika Sari</t>
  </si>
  <si>
    <t>11/319140/TK/38271</t>
  </si>
  <si>
    <t>Josua Sahala Silaban</t>
  </si>
  <si>
    <t>11/314067/TK/38037</t>
  </si>
  <si>
    <t>Purwoto Hutagalung</t>
  </si>
  <si>
    <t>11/319255/TK/38385</t>
  </si>
  <si>
    <t>Mentari Diantifani Putri</t>
  </si>
  <si>
    <t>12/329837/TK/39079</t>
  </si>
  <si>
    <t>Imung Arta Gumeidhidta</t>
  </si>
  <si>
    <t>12/329701/TK/39014</t>
  </si>
  <si>
    <t>Rosita Andari Eka Putri</t>
  </si>
  <si>
    <t>12/330276/TK/39454</t>
  </si>
  <si>
    <t>Rizki Iman Sari</t>
  </si>
  <si>
    <t>12/333727/TK/40070</t>
  </si>
  <si>
    <t>Auliantya Ayurin Putri</t>
  </si>
  <si>
    <t>12/330247/TK/39429</t>
  </si>
  <si>
    <t>Bondan Galih Dewanto</t>
  </si>
  <si>
    <t>12/332934/TK/39648</t>
  </si>
  <si>
    <t>Eldynand Trissandi Tyawarman</t>
  </si>
  <si>
    <t>12/333395/TK/39761</t>
  </si>
  <si>
    <t>Muhammad Anugrah Juni Ardian</t>
  </si>
  <si>
    <t>11/312914/TK/37708</t>
  </si>
  <si>
    <t>Al Antra Adefan</t>
  </si>
  <si>
    <t>12/330131/TK/39318</t>
  </si>
  <si>
    <t>Puji Nurhidayah</t>
  </si>
  <si>
    <t>12/330456/TK/39598</t>
  </si>
  <si>
    <t>Susilo Utomo</t>
  </si>
  <si>
    <t>12/330487/TK/39608</t>
  </si>
  <si>
    <t>Kartika Vina Pramita</t>
  </si>
  <si>
    <t>12/333511/TK/39862</t>
  </si>
  <si>
    <t>Galih Yudha Wahyu Saputra</t>
  </si>
  <si>
    <t>12/329856/TK/39090</t>
  </si>
  <si>
    <t>Arsha Yuditha Amiranti</t>
  </si>
  <si>
    <t>12/333533/TK/39883</t>
  </si>
  <si>
    <t>Aninda Rizki Dhani Susanto</t>
  </si>
  <si>
    <t>12/329834/TK/39076</t>
  </si>
  <si>
    <t>Muamar Mujab</t>
  </si>
  <si>
    <t>12/330042/TK/39234</t>
  </si>
  <si>
    <t>Aeny Sugianto</t>
  </si>
  <si>
    <t>12/330070/TK/39261</t>
  </si>
  <si>
    <t>I Made Sapta Hadi</t>
  </si>
  <si>
    <t>12/330081/TK/39272</t>
  </si>
  <si>
    <t>Rudi Asdi Yanto</t>
  </si>
  <si>
    <t>11/319122/TK/38253</t>
  </si>
  <si>
    <t>Ria Purnama Putri</t>
  </si>
  <si>
    <t>12/330542/TK/39631</t>
  </si>
  <si>
    <t>Abdurrosyid</t>
  </si>
  <si>
    <t>12/329937/TK/39140</t>
  </si>
  <si>
    <t>Muhammad Ghaly Kurniawan</t>
  </si>
  <si>
    <t>12/333262/TK/39680</t>
  </si>
  <si>
    <t>Kevin Alkindy</t>
  </si>
  <si>
    <t>12/333418/TK/39780</t>
  </si>
  <si>
    <t>Isna Oktiana Nur Rachma</t>
  </si>
  <si>
    <t>12/330122/TK/39310</t>
  </si>
  <si>
    <t>Ilham Satria</t>
  </si>
  <si>
    <t>11/319245/TK/38375</t>
  </si>
  <si>
    <t>Mahendra Ari Perdana</t>
  </si>
  <si>
    <t>12/330208/TK/39392</t>
  </si>
  <si>
    <t>Aulia Fadhilah Zahro</t>
  </si>
  <si>
    <t>12/333330/TK/39716</t>
  </si>
  <si>
    <t>Hammam Abdurrahman</t>
  </si>
  <si>
    <t>12/329746/TK/39032</t>
  </si>
  <si>
    <t>Retno Agus Pratiwi</t>
  </si>
  <si>
    <t>12/333239/TK/39671</t>
  </si>
  <si>
    <t>Sheila Amalia Burhanudin</t>
  </si>
  <si>
    <t>12/330242/TK/39424</t>
  </si>
  <si>
    <t>Made Ditha Ary Sanjaya</t>
  </si>
  <si>
    <t>12/329972/TK/39168</t>
  </si>
  <si>
    <t>Raymond Abdi Imanuel Simamora</t>
  </si>
  <si>
    <t>11/314243/TK/38058</t>
  </si>
  <si>
    <t>2016/2017</t>
  </si>
  <si>
    <t>Fandi Riwanto</t>
  </si>
  <si>
    <t>12/330327/TK/39503</t>
  </si>
  <si>
    <t>24/10/2016</t>
  </si>
  <si>
    <t>Fanny Zafira Mukti</t>
  </si>
  <si>
    <t>12/333490/TK/39843</t>
  </si>
  <si>
    <t>Muhamad Milzam Muharam</t>
  </si>
  <si>
    <t>12/329790/TK/39055</t>
  </si>
  <si>
    <t>Rusdiyanto</t>
  </si>
  <si>
    <t>12/333668/TK/40011</t>
  </si>
  <si>
    <t>Agnes Ryskintia Radiastuti</t>
  </si>
  <si>
    <t>12/330549/TK/39635</t>
  </si>
  <si>
    <t>Elpakhri Akmal</t>
  </si>
  <si>
    <t>12/333383/TK/39751</t>
  </si>
  <si>
    <t>Agustina Nur Syafarianty</t>
  </si>
  <si>
    <t>12/333575/TK/39923</t>
  </si>
  <si>
    <t>Dendy Syahrir Pradana</t>
  </si>
  <si>
    <t>12/333771/TK/40113</t>
  </si>
  <si>
    <t>Amalia Nurwijayanti</t>
  </si>
  <si>
    <t>12/333387/TK/39755</t>
  </si>
  <si>
    <t>Fuad Alwi Swastiko</t>
  </si>
  <si>
    <t>12/333513/TK/39864</t>
  </si>
  <si>
    <t>Masitha Pangulu</t>
  </si>
  <si>
    <t>12/330312/TK/39488</t>
  </si>
  <si>
    <t>Luthfi Ghina Barka</t>
  </si>
  <si>
    <t>12/330231/TK/39413</t>
  </si>
  <si>
    <t>Praditya Mukti Ali</t>
  </si>
  <si>
    <t>12/333279/TK/39692</t>
  </si>
  <si>
    <t>Dwi Cahyo Wicaksono</t>
  </si>
  <si>
    <t>12/333748/TK/40091</t>
  </si>
  <si>
    <t>Luthfi Izzaty</t>
  </si>
  <si>
    <t>11/319011/TK/38151</t>
  </si>
  <si>
    <t>Aditya Sanjaya</t>
  </si>
  <si>
    <t>12/333479/TK/39832</t>
  </si>
  <si>
    <t>28/11/2016</t>
  </si>
  <si>
    <t>479</t>
  </si>
  <si>
    <t>Muhammad Nur Abrianto</t>
  </si>
  <si>
    <t>12/333733/TK/40076</t>
  </si>
  <si>
    <t>23/12/2016</t>
  </si>
  <si>
    <t>510</t>
  </si>
  <si>
    <t>78</t>
  </si>
  <si>
    <t>Teguh Prihanto</t>
  </si>
  <si>
    <t>12/333793/TK/40135</t>
  </si>
  <si>
    <t>453</t>
  </si>
  <si>
    <t>75</t>
  </si>
  <si>
    <t>Ridho Furqan Bakas Abdullah</t>
  </si>
  <si>
    <t>12/333502/TK/39854</t>
  </si>
  <si>
    <t>480</t>
  </si>
  <si>
    <t>Rahmat Hanif Ashari</t>
  </si>
  <si>
    <t>12/333836/TK/40178</t>
  </si>
  <si>
    <t>500</t>
  </si>
  <si>
    <t>79</t>
  </si>
  <si>
    <t>Ulfah Syahlianawati</t>
  </si>
  <si>
    <t>12/333140/TK/39666</t>
  </si>
  <si>
    <t>Iqromatul Fadliyah</t>
  </si>
  <si>
    <t>12/333840/TK/40182</t>
  </si>
  <si>
    <t>527</t>
  </si>
  <si>
    <t>Oktavinno Permadi</t>
  </si>
  <si>
    <t>12/333753/TK/40095</t>
  </si>
  <si>
    <t>503</t>
  </si>
  <si>
    <t>76</t>
  </si>
  <si>
    <t>Dedi Wahyu Sasongko</t>
  </si>
  <si>
    <t>12/339829/TK/40266</t>
  </si>
  <si>
    <t>71</t>
  </si>
  <si>
    <t>Sidik Dwi Pamungkas</t>
  </si>
  <si>
    <t>12/333404/TK/39768</t>
  </si>
  <si>
    <t>23/01/2017</t>
  </si>
  <si>
    <t>457</t>
  </si>
  <si>
    <t>Yunan Zainuddin Afandi</t>
  </si>
  <si>
    <t>12/333422/TK/39784</t>
  </si>
  <si>
    <t>11/312719/TK/37606</t>
  </si>
  <si>
    <t>490</t>
  </si>
  <si>
    <t>51</t>
  </si>
  <si>
    <t>Muhammad Anugrah Firdaus</t>
  </si>
  <si>
    <t>10/296334/TK/36110</t>
  </si>
  <si>
    <t>483</t>
  </si>
  <si>
    <t>Adi Susilo</t>
  </si>
  <si>
    <t>12/330096/TK/39285</t>
  </si>
  <si>
    <t>443</t>
  </si>
  <si>
    <t>Herwinda Rosyid</t>
  </si>
  <si>
    <t>12/333809/TK/40151</t>
  </si>
  <si>
    <t>600</t>
  </si>
  <si>
    <t>Mira Sri Yuanda</t>
  </si>
  <si>
    <t>12/339813/TK/40265</t>
  </si>
  <si>
    <t>Raudah Husna</t>
  </si>
  <si>
    <t>12/333135/TK/39665</t>
  </si>
  <si>
    <t>Ika Safitri Kurniastuti</t>
  </si>
  <si>
    <t>12/333399/TK/39763</t>
  </si>
  <si>
    <t>440</t>
  </si>
  <si>
    <t>Ajeng Hening Tyas Wulansari</t>
  </si>
  <si>
    <t>12/329930/TK/39135</t>
  </si>
  <si>
    <t>423</t>
  </si>
  <si>
    <t>Vebrianka Primatura</t>
  </si>
  <si>
    <t>10/297896/TK/36436</t>
  </si>
  <si>
    <t>493</t>
  </si>
  <si>
    <t>Ryan Aditya Yuwono</t>
  </si>
  <si>
    <t>09/281707/TK/35132</t>
  </si>
  <si>
    <t>Evan Berta Pramudhita</t>
  </si>
  <si>
    <t>12/330213/TK/39397</t>
  </si>
  <si>
    <t>Siti Gora Krisdhi Ramadhania Putri</t>
  </si>
  <si>
    <t>12/330171/TK/39357</t>
  </si>
  <si>
    <t>Resda Widhi Arstuti</t>
  </si>
  <si>
    <t>12/330237/TK/39419</t>
  </si>
  <si>
    <t>Miftah Al-Ilmi</t>
  </si>
  <si>
    <t>10/298183/TK/36633</t>
  </si>
  <si>
    <t>Arie Sudrajat</t>
  </si>
  <si>
    <t>09/285447/TK/35794</t>
  </si>
  <si>
    <t>Muhammad Iqbal Tawakal</t>
  </si>
  <si>
    <t>11/319068/TK/38202</t>
  </si>
  <si>
    <t>Enggar Budhi Suryo Hutomo</t>
  </si>
  <si>
    <t>10/301628/TK/37078</t>
  </si>
  <si>
    <t>Bil Afin</t>
  </si>
  <si>
    <t>12/330281/TK/39459</t>
  </si>
  <si>
    <t>Desy Ana Ari Isyudrianti</t>
  </si>
  <si>
    <t>12/330025/TK/39218</t>
  </si>
  <si>
    <t>Arie Januar Budianto</t>
  </si>
  <si>
    <t>11/319123/TK/38254</t>
  </si>
  <si>
    <t>Andrian Eka Pramudita</t>
  </si>
  <si>
    <t>13/348733/TK/40996</t>
  </si>
  <si>
    <t>21/07/2017</t>
  </si>
  <si>
    <t>487</t>
  </si>
  <si>
    <t>Zufri Arifiansyah</t>
  </si>
  <si>
    <t>12/333535/TK/39885</t>
  </si>
  <si>
    <t>Lani'Ah</t>
  </si>
  <si>
    <t>10/303067/TK/37374</t>
  </si>
  <si>
    <t>450</t>
  </si>
  <si>
    <t>Rahmatika Linggar M</t>
  </si>
  <si>
    <t>12/333667/TK/40010</t>
  </si>
  <si>
    <t>507</t>
  </si>
  <si>
    <t>66</t>
  </si>
  <si>
    <t>Putri Azizah</t>
  </si>
  <si>
    <t>13/346356/TK/40512</t>
  </si>
  <si>
    <t>553</t>
  </si>
  <si>
    <t>59</t>
  </si>
  <si>
    <t>Lukman Hakim</t>
  </si>
  <si>
    <t>12/336312/TK/40240</t>
  </si>
  <si>
    <t>80</t>
  </si>
  <si>
    <t>Audita Widya Astuti</t>
  </si>
  <si>
    <t>13/353670/TK/41373</t>
  </si>
  <si>
    <t>57</t>
  </si>
  <si>
    <t>Puji Setianingsih</t>
  </si>
  <si>
    <t>13/348724/TK/40993</t>
  </si>
  <si>
    <t>533</t>
  </si>
  <si>
    <t>Buana Putra Rimba Giri</t>
  </si>
  <si>
    <t>12/329904/TK/39119</t>
  </si>
  <si>
    <t>61</t>
  </si>
  <si>
    <t>Adhisye Rahmawati</t>
  </si>
  <si>
    <t>13/347644/TK/40766</t>
  </si>
  <si>
    <t>593</t>
  </si>
  <si>
    <t>Rofiqoh</t>
  </si>
  <si>
    <t>13/348544/TK/40968</t>
  </si>
  <si>
    <t>Nuaim Hammad Ausi</t>
  </si>
  <si>
    <t>13/347536/TK/40741</t>
  </si>
  <si>
    <t>497</t>
  </si>
  <si>
    <t>Mus Mukandar</t>
  </si>
  <si>
    <t>13/348864/TK/41036</t>
  </si>
  <si>
    <t>570</t>
  </si>
  <si>
    <t>Imasti Dhani Pratiwi</t>
  </si>
  <si>
    <t>13/347458/TK/40726</t>
  </si>
  <si>
    <t>62</t>
  </si>
  <si>
    <t>Andri Darmansyah Putra Perdana</t>
  </si>
  <si>
    <t>13/348767/TK/41000</t>
  </si>
  <si>
    <t>437</t>
  </si>
  <si>
    <t>Tegar Pualam Syuhada</t>
  </si>
  <si>
    <t>13/348709/TK/40991</t>
  </si>
  <si>
    <t>53</t>
  </si>
  <si>
    <t>Rachmat Hidayat</t>
  </si>
  <si>
    <t>13/347331/TK/40721</t>
  </si>
  <si>
    <t>413</t>
  </si>
  <si>
    <t>Akbar Dwi Kusuma</t>
  </si>
  <si>
    <t>13/347467/TK/40728</t>
  </si>
  <si>
    <t>560</t>
  </si>
  <si>
    <t>Azidan Pradityatama</t>
  </si>
  <si>
    <t>11/319164/TK/38295</t>
  </si>
  <si>
    <t>Bima Adi Nugraha Immanuel</t>
  </si>
  <si>
    <t>13/348855/TK/41030</t>
  </si>
  <si>
    <t>58</t>
  </si>
  <si>
    <t>Ahmad Fitrian Akbar</t>
  </si>
  <si>
    <t>13/347542/TK/40743</t>
  </si>
  <si>
    <t>Nur Izzahudin</t>
  </si>
  <si>
    <t>13/347558/TK/40748</t>
  </si>
  <si>
    <t>543</t>
  </si>
  <si>
    <t>Sardila Nurulhikmah Sailellah</t>
  </si>
  <si>
    <t>13/351797/TK/41276</t>
  </si>
  <si>
    <t>Sherly Shinta Emalia</t>
  </si>
  <si>
    <t>13/353565/TK/41361</t>
  </si>
  <si>
    <t>470</t>
  </si>
  <si>
    <t>Khoirunnisaa' Ronaa' Fairuuz</t>
  </si>
  <si>
    <t>13/353570/TK/41362</t>
  </si>
  <si>
    <t>463</t>
  </si>
  <si>
    <t>Rahmah Devi Hapsari</t>
  </si>
  <si>
    <t>13/347095/TK/40718</t>
  </si>
  <si>
    <t>573</t>
  </si>
  <si>
    <t>Eka Pertiwi</t>
  </si>
  <si>
    <t>13/352875/TK/41311</t>
  </si>
  <si>
    <t>460</t>
  </si>
  <si>
    <t>Rachmadhiya Salsabila</t>
  </si>
  <si>
    <t>13/347541/TK/40742</t>
  </si>
  <si>
    <t>Buyung Wahyu Prinatama</t>
  </si>
  <si>
    <t>13/348784/TK/41004</t>
  </si>
  <si>
    <t>Ela Novalinda.Ar</t>
  </si>
  <si>
    <t>13/348786/TK/41005</t>
  </si>
  <si>
    <t>Ni Komang Supartini</t>
  </si>
  <si>
    <t>13/347457/TK/40725</t>
  </si>
  <si>
    <t>50</t>
  </si>
  <si>
    <t>Larassita Ninda Pradana</t>
  </si>
  <si>
    <t>13/353680/TK/41375</t>
  </si>
  <si>
    <t>417</t>
  </si>
  <si>
    <t>Yuda Saputra</t>
  </si>
  <si>
    <t>13/347544/TK/40744</t>
  </si>
  <si>
    <t>447</t>
  </si>
  <si>
    <t>Irghan Santiz Ruqi A</t>
  </si>
  <si>
    <t>13/347534/TK/40739</t>
  </si>
  <si>
    <t>Andes Saragi</t>
  </si>
  <si>
    <t>13/353558/TK/41358</t>
  </si>
  <si>
    <t>Febrian Fitryanik Susanta</t>
  </si>
  <si>
    <t>13/347357/TK/40722</t>
  </si>
  <si>
    <t>Ginanjar Kukuh Pramana</t>
  </si>
  <si>
    <t>13/347495/TK/40732</t>
  </si>
  <si>
    <t>Muhammad Afif</t>
  </si>
  <si>
    <t>13/348844/TK/41023</t>
  </si>
  <si>
    <t>Siti Syarafina Yuliandari</t>
  </si>
  <si>
    <t>13/353561/TK/41359</t>
  </si>
  <si>
    <t>467</t>
  </si>
  <si>
    <t>Nur Fani Habibah</t>
  </si>
  <si>
    <t>13/347512/TK/40735</t>
  </si>
  <si>
    <t>Ramadhani Abdan Syakuro</t>
  </si>
  <si>
    <t>13/347570/TK/40752</t>
  </si>
  <si>
    <t>580</t>
  </si>
  <si>
    <t>Kevin Rifky Pratama</t>
  </si>
  <si>
    <t>13/347574/TK/40754</t>
  </si>
  <si>
    <t>Nur Ikhsan</t>
  </si>
  <si>
    <t>12/330111/TK/39299</t>
  </si>
  <si>
    <t>Rafi Aulia Rahman</t>
  </si>
  <si>
    <t>13/347604/TK/40761</t>
  </si>
  <si>
    <t>64</t>
  </si>
  <si>
    <t>Farikhotul Chusnayah</t>
  </si>
  <si>
    <t>13/348819/TK/41015</t>
  </si>
  <si>
    <t>Sulastri</t>
  </si>
  <si>
    <t>10/302043/TK/37264</t>
  </si>
  <si>
    <t>Ade Surakhman</t>
  </si>
  <si>
    <t>13/348865/TK/41037</t>
  </si>
  <si>
    <t>56</t>
  </si>
  <si>
    <t>Kholqi Azam Rizaldi</t>
  </si>
  <si>
    <t>13/347573/TK/40753</t>
  </si>
  <si>
    <t>Ghina Kusumawardhani</t>
  </si>
  <si>
    <t>13/348762/TK/40999</t>
  </si>
  <si>
    <t>Ilham Rakhmatullah</t>
  </si>
  <si>
    <t>11/319183/TK/38313</t>
  </si>
  <si>
    <t>430</t>
  </si>
  <si>
    <t>Fitriadi Alimuddin</t>
  </si>
  <si>
    <t>11/319906/TK/38936</t>
  </si>
  <si>
    <t>69</t>
  </si>
  <si>
    <t>Febriana Hidayati</t>
  </si>
  <si>
    <t>12/330326/TK/39502</t>
  </si>
  <si>
    <t>Syam Nugraha</t>
  </si>
  <si>
    <t>13/347499/TK/40734</t>
  </si>
  <si>
    <t>Ikhsan Yulianto</t>
  </si>
  <si>
    <t>09/284536/TK/35363</t>
  </si>
  <si>
    <t>2017/2018</t>
  </si>
  <si>
    <t>Zefanya Marum Lumban Raja</t>
  </si>
  <si>
    <t>13/348816/TK/41013</t>
  </si>
  <si>
    <t>Hanif Hatta Mustofa</t>
  </si>
  <si>
    <t>13/351270/TK/41274</t>
  </si>
  <si>
    <t>Rais Afif</t>
  </si>
  <si>
    <t>13/347566/TK/40750</t>
  </si>
  <si>
    <t>Rizcky Ridho Prasetio</t>
  </si>
  <si>
    <t>13/347528/TK/40737</t>
  </si>
  <si>
    <t>Nur Latifah</t>
  </si>
  <si>
    <t>13/347568/TK/40751</t>
  </si>
  <si>
    <t>Dita Ardya Gharini</t>
  </si>
  <si>
    <t>13/347656/TK/40767</t>
  </si>
  <si>
    <t>Barnabas Jamot Tambun</t>
  </si>
  <si>
    <t>10/301480/TK/37009</t>
  </si>
  <si>
    <t>Gunayel Kharis</t>
  </si>
  <si>
    <t>13/348777/TK/41002</t>
  </si>
  <si>
    <t>Yoseph Dimas Ardian</t>
  </si>
  <si>
    <t>13/348813/TK/41012</t>
  </si>
  <si>
    <t>Steffan Rico Ronaldo</t>
  </si>
  <si>
    <t>12/333693/TK/40036</t>
  </si>
  <si>
    <t>Gugun Mitra Perdana Sitorus</t>
  </si>
  <si>
    <t>12/333637/TK/39982</t>
  </si>
  <si>
    <t>Dinda Chyntia Jamal</t>
  </si>
  <si>
    <t>13/353657/TK/41371</t>
  </si>
  <si>
    <t>Septi Rohmiyani</t>
  </si>
  <si>
    <t>13/348841/TK/41021</t>
  </si>
  <si>
    <t>Gilang Rizky Ramadhan</t>
  </si>
  <si>
    <t>13/347488/TK/40730</t>
  </si>
  <si>
    <t>Umar Abdurrohman</t>
  </si>
  <si>
    <t>12/340252/TK/40270</t>
  </si>
  <si>
    <t>Raka Andrian Noor</t>
  </si>
  <si>
    <t>13/348738/TK/40997</t>
  </si>
  <si>
    <t>Ghotfani Kaukabi</t>
  </si>
  <si>
    <t>13/353678/TK/41374</t>
  </si>
  <si>
    <t>I Gede Sukma Nata Permana</t>
  </si>
  <si>
    <t>12/329876/TK/39104</t>
  </si>
  <si>
    <t>Reza Alimarda Budhimeida</t>
  </si>
  <si>
    <t>13/347496/TK/40733</t>
  </si>
  <si>
    <t>Sahit Tuntas Sadono</t>
  </si>
  <si>
    <t>13/347581/TK/40758</t>
  </si>
  <si>
    <t>Dita Dwi Agustina</t>
  </si>
  <si>
    <t>13/353653/TK/41370</t>
  </si>
  <si>
    <t>Rivan Arief</t>
  </si>
  <si>
    <t>13/347565/TK/40749</t>
  </si>
  <si>
    <t>Fajar Pranata</t>
  </si>
  <si>
    <t>13/346772/TK/40621</t>
  </si>
  <si>
    <t>Jovid Florian`</t>
  </si>
  <si>
    <t>13/347525/TK/40736</t>
  </si>
  <si>
    <t>Khaerul Hidayatullah</t>
  </si>
  <si>
    <t>13/352764/TK/41300</t>
  </si>
  <si>
    <t>Ratna Prastyani</t>
  </si>
  <si>
    <t>14/364073/TK/41877</t>
  </si>
  <si>
    <t>25/04/2018</t>
  </si>
  <si>
    <t>Dewa Ayu Wahyu Risnaadi</t>
  </si>
  <si>
    <t>14/363562/TK/41659</t>
  </si>
  <si>
    <t>Muhammad Darwin Hammaadi</t>
  </si>
  <si>
    <t>12/333765/TK/40107</t>
  </si>
  <si>
    <t>Luthfia Rachmatika Noeris</t>
  </si>
  <si>
    <t>14/364067/TK/41872</t>
  </si>
  <si>
    <t>Dwi Septri Hastuti</t>
  </si>
  <si>
    <t>14/367158/TK/42373</t>
  </si>
  <si>
    <t>Ridho Ilahi</t>
  </si>
  <si>
    <t>14/363764/TK/41782</t>
  </si>
  <si>
    <t>Nabila Hasnah Wisnuwardhani</t>
  </si>
  <si>
    <t>14/368034/TK/42551</t>
  </si>
  <si>
    <t>Yuri Gama Rivandi</t>
  </si>
  <si>
    <t>14/367049/TK/42302</t>
  </si>
  <si>
    <t>Rendra Fauzi</t>
  </si>
  <si>
    <t>14/364025/TK/41847</t>
  </si>
  <si>
    <t>Nevy Ardianto</t>
  </si>
  <si>
    <t>14/363605/TK/41693</t>
  </si>
  <si>
    <t>Regina Egar Fajrine Swadwipa</t>
  </si>
  <si>
    <t>14/364047/TK/41864</t>
  </si>
  <si>
    <t>Devito Nugraha</t>
  </si>
  <si>
    <t>14/367044/TK/42298</t>
  </si>
  <si>
    <t>Deny Saputra Yusuf</t>
  </si>
  <si>
    <t>14/367359/TK/42493</t>
  </si>
  <si>
    <t>Rafie Mikram Sani</t>
  </si>
  <si>
    <t>14/364030/TK/41852</t>
  </si>
  <si>
    <t>Afridoni Pradipta</t>
  </si>
  <si>
    <t>14/367082/TK/42331</t>
  </si>
  <si>
    <t>Muhammad Irham Akbar Hasri</t>
  </si>
  <si>
    <t>14/364027/TK/41849</t>
  </si>
  <si>
    <t>Nurkhalis Rahili</t>
  </si>
  <si>
    <t>14/364045/TK/41862</t>
  </si>
  <si>
    <t>Rachmat Nitriansyah</t>
  </si>
  <si>
    <t>14/363489/TK/41605</t>
  </si>
  <si>
    <t>Rahman Nurabriansyah</t>
  </si>
  <si>
    <t>14/367192/TK/42390</t>
  </si>
  <si>
    <t>Diah Pratiwi</t>
  </si>
  <si>
    <t>14/364074/TK/41878</t>
  </si>
  <si>
    <t>Mohamad Bagas Setiawan</t>
  </si>
  <si>
    <t>14/363794/TK/41800</t>
  </si>
  <si>
    <t>Mega Ratri Adiela Sari</t>
  </si>
  <si>
    <t>14/367179/TK/42382</t>
  </si>
  <si>
    <t>Aditya Saputra</t>
  </si>
  <si>
    <t>11/320252/TK/38991</t>
  </si>
  <si>
    <t>Jongko Satrio Aji</t>
  </si>
  <si>
    <t>14/367042/TK/42296</t>
  </si>
  <si>
    <t>Novia Dini Pangestu</t>
  </si>
  <si>
    <t>14/367114/TK/42356</t>
  </si>
  <si>
    <t>Fauzan Ramadhan</t>
  </si>
  <si>
    <t>14/367048/TK/42301</t>
  </si>
  <si>
    <t>Fajar Andi Sugiyanto</t>
  </si>
  <si>
    <t>14/364043/TK/41860</t>
  </si>
  <si>
    <t>Yoanna Anita Christy</t>
  </si>
  <si>
    <t>14/364066/TK/41871</t>
  </si>
  <si>
    <t>Siti Nur Sa'Idah</t>
  </si>
  <si>
    <t>14/364013/TK/41839</t>
  </si>
  <si>
    <t>Anggraita Darmata Nanda</t>
  </si>
  <si>
    <t>14/364071/TK/41875</t>
  </si>
  <si>
    <t>Rio Muhammad Fadhli</t>
  </si>
  <si>
    <t>12/336277/TK/40237</t>
  </si>
  <si>
    <t>6 IELTS</t>
  </si>
  <si>
    <t>Febriananda Ladivanov</t>
  </si>
  <si>
    <t>14/364028/TK/41850</t>
  </si>
  <si>
    <t>Muhammad Ulin Nuha</t>
  </si>
  <si>
    <t>14/363924/TK/41831</t>
  </si>
  <si>
    <t>Adhiana Mulawarman</t>
  </si>
  <si>
    <t>12/330246/TK/39428</t>
  </si>
  <si>
    <t>Naveda Harditya Pratama</t>
  </si>
  <si>
    <t>11/319056/TK/38190</t>
  </si>
  <si>
    <t>Arinda Pinasti</t>
  </si>
  <si>
    <t>14/364026/TK/41848</t>
  </si>
  <si>
    <t>Riska Fajrul Ummi</t>
  </si>
  <si>
    <t>14/363934/TK/41833</t>
  </si>
  <si>
    <t>Renika Purwanti</t>
  </si>
  <si>
    <t>14/364022/TK/41844</t>
  </si>
  <si>
    <t>Een Lujainatul Isnaini</t>
  </si>
  <si>
    <t>14/364024/TK/41846</t>
  </si>
  <si>
    <t>Agatha Astrisele</t>
  </si>
  <si>
    <t>14/367058/TK/42310</t>
  </si>
  <si>
    <t>30/07/2018</t>
  </si>
  <si>
    <t>550</t>
  </si>
  <si>
    <t>Zulfa Sinta Filavati</t>
  </si>
  <si>
    <t>14/368474/TK/42569</t>
  </si>
  <si>
    <t>Anugerah Satria Pradana Budiyono</t>
  </si>
  <si>
    <t>14/364029/TK/41851</t>
  </si>
  <si>
    <t>513</t>
  </si>
  <si>
    <t>Panji Krisdianto</t>
  </si>
  <si>
    <t>14/363732/TK/41770</t>
  </si>
  <si>
    <t>517</t>
  </si>
  <si>
    <t>Fatikhah Nurrahmi Andina</t>
  </si>
  <si>
    <t>14/367131/TK/42365</t>
  </si>
  <si>
    <t>Roeslely Wandasari</t>
  </si>
  <si>
    <t>13/347015/TK/40713</t>
  </si>
  <si>
    <t>Taufiq Irawan</t>
  </si>
  <si>
    <t>11/319507/TK/38635</t>
  </si>
  <si>
    <t>475</t>
  </si>
  <si>
    <t>Zelin Resiana</t>
  </si>
  <si>
    <t>14/366475/TK/42117</t>
  </si>
  <si>
    <t>Ganjil 2018/2019</t>
  </si>
  <si>
    <t>Egix Turnando</t>
  </si>
  <si>
    <t>13/347529/TK/40738</t>
  </si>
  <si>
    <t>Abdullah Hamas Faqih</t>
  </si>
  <si>
    <t>14/367085/TK/42334</t>
  </si>
  <si>
    <t>Tulus Kurniawan</t>
  </si>
  <si>
    <t>13/353644/TK/41369</t>
  </si>
  <si>
    <t>Kurniawan Adi Pradana</t>
  </si>
  <si>
    <t>14/367047/TK/42300</t>
  </si>
  <si>
    <t>Fauzie Aditya</t>
  </si>
  <si>
    <t>14/369752/TK/42666</t>
  </si>
  <si>
    <t>Yoakhim Satrio Waskito</t>
  </si>
  <si>
    <t>14/369683/TK/42657</t>
  </si>
  <si>
    <t>Satria Kusuma Putra</t>
  </si>
  <si>
    <t>14/364046/TK/41863</t>
  </si>
  <si>
    <t>Yan Erick O. Baransano</t>
  </si>
  <si>
    <t>11/314034/TK/38017</t>
  </si>
  <si>
    <t>Dwi Haryati</t>
  </si>
  <si>
    <t>13/347610/TK/40763</t>
  </si>
  <si>
    <t>Yoga Adhitama</t>
  </si>
  <si>
    <t>14/362450/TK/41379</t>
  </si>
  <si>
    <t>Daniel Eka Prasetya Nugraha</t>
  </si>
  <si>
    <t>14/367088/TK/42337</t>
  </si>
  <si>
    <t>Citra Amalia Putri</t>
  </si>
  <si>
    <t>14/364075/TK/41879</t>
  </si>
  <si>
    <t>Carisa Pravitasari</t>
  </si>
  <si>
    <t>14/367356/TK/42490</t>
  </si>
  <si>
    <t>Winni Annisa</t>
  </si>
  <si>
    <t>14/369782/TK/42668</t>
  </si>
  <si>
    <t>Herry Supriyanto</t>
  </si>
  <si>
    <t>13/347593/TK/40759</t>
  </si>
  <si>
    <t>27/12/2018</t>
  </si>
  <si>
    <t>410</t>
  </si>
  <si>
    <t>Novia Ardelia</t>
  </si>
  <si>
    <t>14/362681/TK/41380</t>
  </si>
  <si>
    <t>Imam Ahmad Kodri</t>
  </si>
  <si>
    <t>14/366433/TK/42113</t>
  </si>
  <si>
    <t>Sutantyo Budy Pramono S. P.</t>
  </si>
  <si>
    <t>14/364068/TK/41873</t>
  </si>
  <si>
    <t>Muchammad Reza Nugraha</t>
  </si>
  <si>
    <t>14/367102/TK/42347</t>
  </si>
  <si>
    <t>Zafira Nur Pratiwi</t>
  </si>
  <si>
    <t>14/363772/TK/41786</t>
  </si>
  <si>
    <t>Joel Tony Hottas</t>
  </si>
  <si>
    <t>14/367040/TK/42295</t>
  </si>
  <si>
    <t>Virgiawan Aji Saputra</t>
  </si>
  <si>
    <t>14/363417/TK/41544</t>
  </si>
  <si>
    <t>Wan Mardhiyah</t>
  </si>
  <si>
    <t>14/364129/TK/41906</t>
  </si>
  <si>
    <t>Nurul Aisyah Amini</t>
  </si>
  <si>
    <t>14/364297/TK/41948</t>
  </si>
  <si>
    <t>Raden Muhammad Lukman Fauzi Perkesit</t>
  </si>
  <si>
    <t>14/364002/TK/41838</t>
  </si>
  <si>
    <t>Jannatul Firdaus</t>
  </si>
  <si>
    <t>13/347545/TK/40745</t>
  </si>
  <si>
    <t>Ardiansyah Reza Pahlevi</t>
  </si>
  <si>
    <t>14/363851/TK/41820</t>
  </si>
  <si>
    <t>Genap 2018/2019</t>
  </si>
  <si>
    <t>Muthia Khanza Alifta Putri</t>
  </si>
  <si>
    <t>13/347576/TK/40756</t>
  </si>
  <si>
    <t>Novie Chiuman</t>
  </si>
  <si>
    <t>15/378897/TK/42839</t>
  </si>
  <si>
    <t>Wiby Setya Permana</t>
  </si>
  <si>
    <t>14/364076/TK/41880</t>
  </si>
  <si>
    <t>Faqih Rohmatulloh</t>
  </si>
  <si>
    <t>14/363724/TK/41766</t>
  </si>
  <si>
    <t>M. Dariz Fauzan</t>
  </si>
  <si>
    <t>14/363767/TK/41783</t>
  </si>
  <si>
    <t>Rizqy Tri Argarini</t>
  </si>
  <si>
    <t>15/379928/TK/43193</t>
  </si>
  <si>
    <t>Wahyu Banitara</t>
  </si>
  <si>
    <t>15/378906/TK/42848</t>
  </si>
  <si>
    <t>Jhontrado Aprilando Haloho</t>
  </si>
  <si>
    <t>14/369140/TK/42603</t>
  </si>
  <si>
    <t>Fuad Rizki Wibowo</t>
  </si>
  <si>
    <t>15/381189/TK/43367</t>
  </si>
  <si>
    <t>Krishna Fitranto Nugroho</t>
  </si>
  <si>
    <t>15/378890/TK/42832</t>
  </si>
  <si>
    <t>Bagas Dwi Prasetyo</t>
  </si>
  <si>
    <t>15/384983/TK/43645</t>
  </si>
  <si>
    <t>Eric Kurniawan</t>
  </si>
  <si>
    <t>15/381188/TK/43366</t>
  </si>
  <si>
    <t>Muhammad Syafiq</t>
  </si>
  <si>
    <t>15/378894/TK/42836</t>
  </si>
  <si>
    <t>Nadya Haniffa Masnur</t>
  </si>
  <si>
    <t>15/378895/TK/42837</t>
  </si>
  <si>
    <t>Romy Indra Widjayanta</t>
  </si>
  <si>
    <t>14/364044/TK/41861</t>
  </si>
  <si>
    <t>Farahmitha Aulia Prijadi</t>
  </si>
  <si>
    <t>15/379920/TK/43185</t>
  </si>
  <si>
    <t>Syamsudin Al Amin</t>
  </si>
  <si>
    <t>13/353562/TK/41360</t>
  </si>
  <si>
    <t>Akmal Wahyu Fakhruddin</t>
  </si>
  <si>
    <t>15/378876/TK/42818</t>
  </si>
  <si>
    <t>David Muhamad Yusuf</t>
  </si>
  <si>
    <t>15/384987/TK/43649</t>
  </si>
  <si>
    <t>Laksita Amelia Paramesti</t>
  </si>
  <si>
    <t>15/385006/TK/43668</t>
  </si>
  <si>
    <t>Akhlis Herin Prabowo Putra</t>
  </si>
  <si>
    <t>15/378875/TK/42817</t>
  </si>
  <si>
    <t>Lutfiah Dwi Utami</t>
  </si>
  <si>
    <t>15/378891/TK/42833</t>
  </si>
  <si>
    <t>Rizqa Dzulkafi Maulana</t>
  </si>
  <si>
    <t>15/379927/TK/43192</t>
  </si>
  <si>
    <t>Mohammad Faishal Ruffendi</t>
  </si>
  <si>
    <t>14/367043/TK/42297</t>
  </si>
  <si>
    <t>Sonia Pradana Indah Sari</t>
  </si>
  <si>
    <t>15/378902/TK/42844</t>
  </si>
  <si>
    <t>Wahyuni</t>
  </si>
  <si>
    <t>15/378907/TK/42849</t>
  </si>
  <si>
    <t>Muhammad Ichsan Fadhil Arafah</t>
  </si>
  <si>
    <t>15/385013/TK/43675</t>
  </si>
  <si>
    <t>Adieb Muttaqie Yulmi</t>
  </si>
  <si>
    <t>15/384969/TK/43631</t>
  </si>
  <si>
    <t>Pradia Mutiara Ainihafsah</t>
  </si>
  <si>
    <t>15/378898/TK/42840</t>
  </si>
  <si>
    <t>Tasya Vuji Al-Vatia</t>
  </si>
  <si>
    <t>15/378903/TK/42845</t>
  </si>
  <si>
    <t>Dawam Muhtar</t>
  </si>
  <si>
    <t>15/384988/TK/43650</t>
  </si>
  <si>
    <t>Lukas Tatang Prasetya</t>
  </si>
  <si>
    <t>15/385717/TK/44099</t>
  </si>
  <si>
    <t>Ayu Fitria</t>
  </si>
  <si>
    <t>15/384981/TK/43643</t>
  </si>
  <si>
    <t>Rindhy Dwiantikagustin</t>
  </si>
  <si>
    <t>15/378900/TK/42842</t>
  </si>
  <si>
    <t>Annan Fahry</t>
  </si>
  <si>
    <t>15/379919/TK/43184</t>
  </si>
  <si>
    <t>Lilis Widyaningsih</t>
  </si>
  <si>
    <t>15/385008/TK/43670</t>
  </si>
  <si>
    <t>Adlyani Husna</t>
  </si>
  <si>
    <t>15/378871/TK/42813</t>
  </si>
  <si>
    <t>Dewi Candraningtyas</t>
  </si>
  <si>
    <t>15/378881/TK/42823</t>
  </si>
  <si>
    <t>Michael Tanoto</t>
  </si>
  <si>
    <t>15/385010/TK/43672</t>
  </si>
  <si>
    <t>537 IELTS</t>
  </si>
  <si>
    <t>Hilmy Fauzan</t>
  </si>
  <si>
    <t>15/378888/TK/42830</t>
  </si>
  <si>
    <t>Citra Amalia Wulansari</t>
  </si>
  <si>
    <t>15/378880/TK/42822</t>
  </si>
  <si>
    <t>Aisyah Novitarima</t>
  </si>
  <si>
    <t>15/381344/TK/43412</t>
  </si>
  <si>
    <t>Andi Hasta Permana</t>
  </si>
  <si>
    <t>15/384975/TK/43637</t>
  </si>
  <si>
    <t>Fauzia Aristalindra</t>
  </si>
  <si>
    <t>15/378884/TK/42826</t>
  </si>
  <si>
    <t>Herning Ivan Sabastian</t>
  </si>
  <si>
    <t>15/379923/TK/43188</t>
  </si>
  <si>
    <t>Panji Suprobo</t>
  </si>
  <si>
    <t>15/385017/TK/43679</t>
  </si>
  <si>
    <t>Dwiky Rama Yanuar</t>
  </si>
  <si>
    <t>15/384991/TK/43653</t>
  </si>
  <si>
    <t>Anjar Ilham Pambudi</t>
  </si>
  <si>
    <t>15/384976/TK/43638</t>
  </si>
  <si>
    <t>Amalia Tiera Siddiq</t>
  </si>
  <si>
    <t>15/384974/TK/43636</t>
  </si>
  <si>
    <t>Fildzah Zainati Fadhilah</t>
  </si>
  <si>
    <t>15/379921/TK/43186</t>
  </si>
  <si>
    <t>Shelli Yanti Arini</t>
  </si>
  <si>
    <t>15/378901/TK/42843</t>
  </si>
  <si>
    <t>Iffati Ifadati</t>
  </si>
  <si>
    <t>15/385003/TK/43665</t>
  </si>
  <si>
    <t>Fadilatul Arrohmah Maisyaroh</t>
  </si>
  <si>
    <t>15/384995/TK/43657</t>
  </si>
  <si>
    <t>Indah Restumi</t>
  </si>
  <si>
    <t>15/381191/TK/43369</t>
  </si>
  <si>
    <t>Ermawanto</t>
  </si>
  <si>
    <t>14/367261/TK/42425</t>
  </si>
  <si>
    <t>Ni Luh Kompyang Sariani</t>
  </si>
  <si>
    <t>15/385015/TK/43677</t>
  </si>
  <si>
    <t>Alfi Khazanah Vanga</t>
  </si>
  <si>
    <t>11/319314/TK/38443</t>
  </si>
  <si>
    <t>Muhammad Amar Fazlul Rahman</t>
  </si>
  <si>
    <t>15/385009/TK/43671</t>
  </si>
  <si>
    <t>Sesar Andi Prayitno</t>
  </si>
  <si>
    <t>15/385024/TK/43686</t>
  </si>
  <si>
    <t>Ganjil 2019/2020</t>
  </si>
  <si>
    <t>15/384984/TK/43646</t>
  </si>
  <si>
    <t>15/384997/TK/43659</t>
  </si>
  <si>
    <t>15/384985/TK/43647</t>
  </si>
  <si>
    <t>15/384994/TK/43656</t>
  </si>
  <si>
    <t>15/378885/TK/42827</t>
  </si>
  <si>
    <t>15/384971/TK/43633</t>
  </si>
  <si>
    <t>15/385023/TK/43685</t>
  </si>
  <si>
    <t>15/378873/TK/42815</t>
  </si>
  <si>
    <t>15/379925/TK/43190</t>
  </si>
  <si>
    <t>Rt. IPK</t>
  </si>
  <si>
    <t>15/385025/TK/43687</t>
  </si>
  <si>
    <t>15/378882/TK/42824</t>
  </si>
  <si>
    <t>15/384972/TK/43634</t>
  </si>
  <si>
    <t>14/369702/TK/42658</t>
  </si>
  <si>
    <t>rata2 ganjil genap</t>
  </si>
  <si>
    <t>15/385019/TK/43681</t>
  </si>
  <si>
    <t>15/378892/TK/42834</t>
  </si>
  <si>
    <t>15/378874/TK/42816</t>
  </si>
  <si>
    <t>13/348818/TK/41014</t>
  </si>
  <si>
    <t>12/330008/TK/39202</t>
  </si>
  <si>
    <t>15/381192/TK/43370</t>
  </si>
  <si>
    <t>15/385001/TK/43663</t>
  </si>
  <si>
    <t>15/384977/TK/43639</t>
  </si>
  <si>
    <t>14/369783/TK/42669</t>
  </si>
  <si>
    <t>15/378877/TK/42819</t>
  </si>
  <si>
    <t>15/385003/TK/43664</t>
  </si>
  <si>
    <t>15/385028/TK/43690</t>
  </si>
  <si>
    <t>14/367108/TK/42351</t>
  </si>
  <si>
    <t>15/385018/TK/43680</t>
  </si>
  <si>
    <t>Genap 2019/2020</t>
  </si>
  <si>
    <t>15/385029/TK/43691</t>
  </si>
  <si>
    <t>15/384998/TK/43660</t>
  </si>
  <si>
    <t>15/384973/TK/43635</t>
  </si>
  <si>
    <t>15/378883/TK/42825</t>
  </si>
  <si>
    <t>15/385016/TK/43678</t>
  </si>
  <si>
    <t>15/378887/TK/42829</t>
  </si>
  <si>
    <t>13/353508/TK/41354</t>
  </si>
  <si>
    <t>15/379922/TK/43187</t>
  </si>
  <si>
    <t>16/395032/TK/44324</t>
  </si>
  <si>
    <t>16/400011/TK/45025</t>
  </si>
  <si>
    <t>15/385004/TK/43666</t>
  </si>
  <si>
    <t>16/395027/TK/44319</t>
  </si>
  <si>
    <t>15/384970/TK/43632</t>
  </si>
  <si>
    <t>16/400020/TK/45034</t>
  </si>
  <si>
    <t xml:space="preserve">Rt IPK </t>
  </si>
  <si>
    <t>16/400000/TK/45014</t>
  </si>
  <si>
    <t>16/399986/TK/45000</t>
  </si>
  <si>
    <t>16/395018/TK/44310</t>
  </si>
  <si>
    <t>16/395044/TK/44336</t>
  </si>
  <si>
    <t>16/395861/TK/44743</t>
  </si>
  <si>
    <t>16/400015/TK/45029</t>
  </si>
  <si>
    <t>16/399972/TK/44986</t>
  </si>
  <si>
    <t>16/399987/TK/45001</t>
  </si>
  <si>
    <t>16/395026/TK/44318</t>
  </si>
  <si>
    <t>16/395046/TK/44338</t>
  </si>
  <si>
    <t>16/395019/TK/44311</t>
  </si>
  <si>
    <t>16/399996/TK/45010</t>
  </si>
  <si>
    <t>16/399977/TK/44991</t>
  </si>
  <si>
    <t>15/385000/TK/43662</t>
  </si>
  <si>
    <t>15/385021/TK/43683</t>
  </si>
  <si>
    <t>16/400004/TK/45018</t>
  </si>
  <si>
    <t>16/395036/TK/44328</t>
  </si>
  <si>
    <t>15/381190/TK/43368</t>
  </si>
  <si>
    <t>16/395048/TK/44340</t>
  </si>
  <si>
    <t>16/395582/TK/44718</t>
  </si>
  <si>
    <t>16/395860/TK/44742</t>
  </si>
  <si>
    <t>12/330007/TK/39201</t>
  </si>
  <si>
    <t>12/329679/TK/39009</t>
  </si>
  <si>
    <t>13/347327/TK/40720</t>
  </si>
  <si>
    <t>13/347614/TK/40764</t>
  </si>
  <si>
    <t>12/329973/TK/39169</t>
  </si>
  <si>
    <t>13/347553/TK/40746</t>
  </si>
  <si>
    <t>15/378872/TK/42814</t>
  </si>
  <si>
    <t>15/384992/TK/43654</t>
  </si>
  <si>
    <t>16/395015/TK/44307</t>
  </si>
  <si>
    <t>16/395017/TK/44309</t>
  </si>
  <si>
    <t>16/395020/TK/44312</t>
  </si>
  <si>
    <t>16/395024/TK/44316</t>
  </si>
  <si>
    <t>16/395028/TK/44320</t>
  </si>
  <si>
    <t>16/395029/TK/44321</t>
  </si>
  <si>
    <t>16/395034/TK/44326</t>
  </si>
  <si>
    <t>16/395045/TK/44337</t>
  </si>
  <si>
    <t>16/395862/TK/44744</t>
  </si>
  <si>
    <t>16/395863/TK/44745</t>
  </si>
  <si>
    <t>16/399970/TK/44984</t>
  </si>
  <si>
    <t>16/399971/TK/44985</t>
  </si>
  <si>
    <t>16/399979/TK/44993</t>
  </si>
  <si>
    <t>16/399983/TK/44997</t>
  </si>
  <si>
    <t>16/399990/TK/45004</t>
  </si>
  <si>
    <t>16/399991/TK/45005</t>
  </si>
  <si>
    <t>16/400002/TK/45016</t>
  </si>
  <si>
    <t>16/400018/TK/45032</t>
  </si>
  <si>
    <t>Ganjil 2020/2021</t>
  </si>
  <si>
    <t>13/353682/TK/41376</t>
  </si>
  <si>
    <t>16/395583/TK/44719</t>
  </si>
  <si>
    <t>16/395041/TK/44333</t>
  </si>
  <si>
    <t>16/395037/TK/44329</t>
  </si>
  <si>
    <t>15/385020/TK/43682</t>
  </si>
  <si>
    <t>16/399976/TK/44990</t>
  </si>
  <si>
    <t>16/399980/TK/44994</t>
  </si>
  <si>
    <t>16/395050/TK/44342</t>
  </si>
  <si>
    <t>235 (AcEPT)</t>
  </si>
  <si>
    <t>lm Studi</t>
  </si>
  <si>
    <t>13/353437/TK/41351</t>
  </si>
  <si>
    <t xml:space="preserve">Rt. IPK </t>
  </si>
  <si>
    <t>16/400009/TK/45023</t>
  </si>
  <si>
    <t>16/395033/TK/44325</t>
  </si>
  <si>
    <t>13/347555/TK/40747</t>
  </si>
  <si>
    <t>15/379924/TK/43189</t>
  </si>
  <si>
    <t>16/395013/TK/44305</t>
  </si>
  <si>
    <t>Acept : 182</t>
  </si>
  <si>
    <t>16/399969/TK/44983</t>
  </si>
  <si>
    <t>16/395025/TK/44317</t>
  </si>
  <si>
    <t>15/384986/TK/43648</t>
  </si>
  <si>
    <t>16/395042/TK/44334</t>
  </si>
  <si>
    <t>16/395047/TK/44339</t>
  </si>
  <si>
    <t>16/395023/TK/44315</t>
  </si>
  <si>
    <t>16/395040/TK/44332</t>
  </si>
  <si>
    <t>16/400012/TK/45026</t>
  </si>
  <si>
    <t>16/400003/TK/45017</t>
  </si>
  <si>
    <t>15/384980/TK/43642</t>
  </si>
  <si>
    <t>Genap 2020/2021</t>
  </si>
  <si>
    <t>Ryan Kurniahadi</t>
  </si>
  <si>
    <t>16/400014/TK/45028</t>
  </si>
  <si>
    <t>Bagus Wijanarko</t>
  </si>
  <si>
    <t>16/399975/TK/44989</t>
  </si>
  <si>
    <t>Iga Refianti</t>
  </si>
  <si>
    <t>16/399992/TK/45006</t>
  </si>
  <si>
    <t>Muhammad Muas Ramadhani</t>
  </si>
  <si>
    <t>16/399999/TK/45013</t>
  </si>
  <si>
    <t>Tika Widya Sari</t>
  </si>
  <si>
    <t>17/413621/TK/46061</t>
  </si>
  <si>
    <t>Yehezkiel Ara Deo Haloho</t>
  </si>
  <si>
    <t>16/400019/TK/45033</t>
  </si>
  <si>
    <t>Izha Ananta Azra</t>
  </si>
  <si>
    <t>17/413604/TK/46044</t>
  </si>
  <si>
    <t>Mega Andina</t>
  </si>
  <si>
    <t>17/413609/TK/46049</t>
  </si>
  <si>
    <t>M. Arif Mumtaz</t>
  </si>
  <si>
    <t>17/415142/TK/46431</t>
  </si>
  <si>
    <t>470 (ACEPT-233)</t>
  </si>
  <si>
    <t>Adelia Sekarsari</t>
  </si>
  <si>
    <t>17/415133/TK/46422</t>
  </si>
  <si>
    <t>Annisa Nasywa Atsilah</t>
  </si>
  <si>
    <t>17/413584/TK/46024</t>
  </si>
  <si>
    <t>Agan Aul Rizki</t>
  </si>
  <si>
    <t>17/413580/TK/46020</t>
  </si>
  <si>
    <t>Annisa Nur Rahmati</t>
  </si>
  <si>
    <t>14/364072/TK/41876</t>
  </si>
  <si>
    <t>Retno Eka Yuni Purwaningsih</t>
  </si>
  <si>
    <t>17/415149/TK/46438</t>
  </si>
  <si>
    <t>Ghea Ayunda Siami</t>
  </si>
  <si>
    <t>17/410209/TK/45566</t>
  </si>
  <si>
    <t>Taufiq Andri Setiawan</t>
  </si>
  <si>
    <t>17/413620/TK/46060</t>
  </si>
  <si>
    <t>Anisya Apriliyanti Putri</t>
  </si>
  <si>
    <t>17/410198/TK/45555</t>
  </si>
  <si>
    <t>Gabriella Trisna Yudhanti</t>
  </si>
  <si>
    <t>17/410208/TK/45565</t>
  </si>
  <si>
    <t>Kresna Hadhinata</t>
  </si>
  <si>
    <t>16/399998/TK/45012</t>
  </si>
  <si>
    <t>Mohammad Jihan Kholid</t>
  </si>
  <si>
    <t>14/367121/TK/42361</t>
  </si>
  <si>
    <t>Marselia Dora Sanjaya</t>
  </si>
  <si>
    <t>17/410215/TK/45572</t>
  </si>
  <si>
    <t>Ceriil Alfa Karina</t>
  </si>
  <si>
    <t>17/410203/TK/45560</t>
  </si>
  <si>
    <t>Bagus Eko Saputra</t>
  </si>
  <si>
    <t>17/413589/TK/46029</t>
  </si>
  <si>
    <t>Fenny Tri Adhisty</t>
  </si>
  <si>
    <t>17/410207/TK/45564</t>
  </si>
  <si>
    <t>Annisa Nur Afifah</t>
  </si>
  <si>
    <t>17/413585/TK/46025</t>
  </si>
  <si>
    <t>Rizky Fadzilah Nur</t>
  </si>
  <si>
    <t>17/415150/TK/46439</t>
  </si>
  <si>
    <t>Bayu Nata</t>
  </si>
  <si>
    <t>17/413590/TK/46030</t>
  </si>
  <si>
    <t>143 / 389</t>
  </si>
  <si>
    <t>Vincent Tandy</t>
  </si>
  <si>
    <t>17/415152/TK/46441</t>
  </si>
  <si>
    <t>Ana Mardhiyana Alawiyah</t>
  </si>
  <si>
    <t>17/415136/TK/46425</t>
  </si>
  <si>
    <t>Muhammad Ruzaldi Puluala</t>
  </si>
  <si>
    <t>17/415146/TK/46435</t>
  </si>
  <si>
    <t>Yustina Novi Anggari</t>
  </si>
  <si>
    <t>17/413623/TK/46063</t>
  </si>
  <si>
    <t>Nabilla Dwi Chandra Kumala</t>
  </si>
  <si>
    <t>17/413615/TK/46055</t>
  </si>
  <si>
    <t>Lantip Setiasmara Saputra</t>
  </si>
  <si>
    <t>17/413607/TK/46047</t>
  </si>
  <si>
    <t>Rahmadika Dandianto</t>
  </si>
  <si>
    <t>17/415147/TK/46436</t>
  </si>
  <si>
    <t>Damon Petersoni Alfiqi</t>
  </si>
  <si>
    <t>17/413592/TK/46032</t>
  </si>
  <si>
    <t>Vebryan Nour Oktavianto</t>
  </si>
  <si>
    <t>17/413622/TK/46062</t>
  </si>
  <si>
    <t>Nurul Fitri Febryani</t>
  </si>
  <si>
    <t>17/413618/TK/46058</t>
  </si>
  <si>
    <t>Haifa Embun Berdita</t>
  </si>
  <si>
    <t>17/410210/TK/45567</t>
  </si>
  <si>
    <t>Yofita Indah Saputri</t>
  </si>
  <si>
    <t>17/410229/TK/45586</t>
  </si>
  <si>
    <t>Abdul Hafish</t>
  </si>
  <si>
    <t>17/410195/TK/45552</t>
  </si>
  <si>
    <t>Abdurrohman Rizal</t>
  </si>
  <si>
    <t>17/415132/TK/46421</t>
  </si>
  <si>
    <t>Priyo Arif Sadewo</t>
  </si>
  <si>
    <t>17/413619/TK/46059</t>
  </si>
  <si>
    <t>Anindika Nursyahrani Putri</t>
  </si>
  <si>
    <t>17/413583/TK/46023</t>
  </si>
  <si>
    <t>Salma Ari Nur Annisa</t>
  </si>
  <si>
    <t>17/410222/TK?45579</t>
  </si>
  <si>
    <t>Frida Carisa Rosyada</t>
  </si>
  <si>
    <t>17/413601/TK/46041</t>
  </si>
  <si>
    <t>Primaning Pangasa</t>
  </si>
  <si>
    <t>17/410219/TK/45576</t>
  </si>
  <si>
    <t>Bella Ayu Permata</t>
  </si>
  <si>
    <t>15/378878/TK/42820</t>
  </si>
  <si>
    <t>17/413595/TK/46035</t>
  </si>
  <si>
    <t>Adi Nurcahyo</t>
  </si>
  <si>
    <t>17/413579/TK/46019</t>
  </si>
  <si>
    <t>Maelani Puspitasari</t>
  </si>
  <si>
    <t>17/411373/TK/45858</t>
  </si>
  <si>
    <t>Berliana Adinda Putri</t>
  </si>
  <si>
    <t>17/410202/TK/45559</t>
  </si>
  <si>
    <t>Evi Listyorini</t>
  </si>
  <si>
    <t>17/413599/TK/46039</t>
  </si>
  <si>
    <t>Esatmaja Hanief Sinatria</t>
  </si>
  <si>
    <t>16/399981/TK/44995</t>
  </si>
  <si>
    <t>Adita Kusuma Wardani</t>
  </si>
  <si>
    <t>17/410197/TK/45554</t>
  </si>
  <si>
    <t>FA Lugas Surya Pratama</t>
  </si>
  <si>
    <t>16/399982/TK/44996</t>
  </si>
  <si>
    <t>Dinda Amar Pradana</t>
  </si>
  <si>
    <t>17/413596/TK/46036</t>
  </si>
  <si>
    <t>Nindita Shita Devi</t>
  </si>
  <si>
    <t>17/410217/TK/45574</t>
  </si>
  <si>
    <t>Ganjil 2021/2022</t>
  </si>
  <si>
    <t>Rakhadito Edra Fadhil</t>
  </si>
  <si>
    <t>17/415148/TK/46437</t>
  </si>
  <si>
    <t>Min</t>
  </si>
  <si>
    <t>Muhammad Farisi Gustaf Ferdinan</t>
  </si>
  <si>
    <t>17/413611/TK/46051</t>
  </si>
  <si>
    <t>73,75</t>
  </si>
  <si>
    <t>Max</t>
  </si>
  <si>
    <t>Ignatius Ivan Rizky Marcelino</t>
  </si>
  <si>
    <t>17/413602/TK/46042</t>
  </si>
  <si>
    <t>68,75</t>
  </si>
  <si>
    <t>Rata2</t>
  </si>
  <si>
    <t>Rizki Abdilah</t>
  </si>
  <si>
    <t>17/410221/TK/45578</t>
  </si>
  <si>
    <t>Annisa Baroroh</t>
  </si>
  <si>
    <t>17/410199/TK/45556</t>
  </si>
  <si>
    <t>63,75</t>
  </si>
  <si>
    <t>Muhammad Faqih Muqaddam</t>
  </si>
  <si>
    <t>15/385012/TK/43674</t>
  </si>
  <si>
    <t>171 Accept</t>
  </si>
  <si>
    <t>77,5</t>
  </si>
  <si>
    <t>Mahasin Raihan Farras</t>
  </si>
  <si>
    <t>17/413608/TK/46048</t>
  </si>
  <si>
    <t>Sarah Chairunisa</t>
  </si>
  <si>
    <t>15/385022/TK/43684</t>
  </si>
  <si>
    <t>Salsabila Ramadhani Prasetya</t>
  </si>
  <si>
    <t>17/410223/TK/45580</t>
  </si>
  <si>
    <t>81,25</t>
  </si>
  <si>
    <t>Caesar Aprilia Kurnia Sari</t>
  </si>
  <si>
    <t>17/413591/TK/46031</t>
  </si>
  <si>
    <t>67,2</t>
  </si>
  <si>
    <t>Cahyo Wibowo</t>
  </si>
  <si>
    <t>17/415139/TK/46428</t>
  </si>
  <si>
    <t>61,25</t>
  </si>
  <si>
    <t>M. Wildan Habibi</t>
  </si>
  <si>
    <t>16/400001/TK/45015</t>
  </si>
  <si>
    <t>Faisal Budi Hermawan</t>
  </si>
  <si>
    <t>15/384996/TK/43658</t>
  </si>
  <si>
    <t>Wilsa Nazuha Syahansyah</t>
  </si>
  <si>
    <t>15/385027/TK/43689</t>
  </si>
  <si>
    <t>Dwi Nawaseptia Rakhman</t>
  </si>
  <si>
    <t>17/413597/TK/46037</t>
  </si>
  <si>
    <t>65,63</t>
  </si>
  <si>
    <t>Nawangsih Ayuningtyas</t>
  </si>
  <si>
    <t>16/400006/TK/45020</t>
  </si>
  <si>
    <t>3,20</t>
  </si>
  <si>
    <t>Muhammad Bima Perkasa</t>
  </si>
  <si>
    <t>15/379926/TK/43191</t>
  </si>
  <si>
    <t>2,26</t>
  </si>
  <si>
    <t>72,5</t>
  </si>
  <si>
    <t>Jihan Maulia</t>
  </si>
  <si>
    <t>16/399995/TK/45009</t>
  </si>
  <si>
    <t>Erlita Singgih Maulani</t>
  </si>
  <si>
    <t>17/413598/TK/46038</t>
  </si>
  <si>
    <t>Moh Arief Herusiswoyo</t>
  </si>
  <si>
    <t>17/413610/TK/46050</t>
  </si>
  <si>
    <t>Hafidza Safara Zahratunnisa</t>
  </si>
  <si>
    <t>17/415141/TK/46430</t>
  </si>
  <si>
    <t>3,37</t>
  </si>
  <si>
    <t>Akbar Nugroho</t>
  </si>
  <si>
    <t>16/399968/TK/44982</t>
  </si>
  <si>
    <t>3,42</t>
  </si>
  <si>
    <t>Genap 2021/2022</t>
  </si>
  <si>
    <t>Yeni Ikawati</t>
  </si>
  <si>
    <t>17/410228/TK/45585</t>
  </si>
  <si>
    <t>67,5</t>
  </si>
  <si>
    <t>Naufal Azhar Pratama</t>
  </si>
  <si>
    <t>17/413616/TK/46056</t>
  </si>
  <si>
    <t>Naufal Javier Iza</t>
  </si>
  <si>
    <t>17/413617/TK/46057</t>
  </si>
  <si>
    <t>73,13</t>
  </si>
  <si>
    <t>Ajiputra Arisyah Prayoga</t>
  </si>
  <si>
    <t>17/415134/TK/46423</t>
  </si>
  <si>
    <t>76,25</t>
  </si>
  <si>
    <t>Imam Nur Aziz</t>
  </si>
  <si>
    <t>17/410213/TK/45570</t>
  </si>
  <si>
    <t>Royafitrah Andami Nafa</t>
  </si>
  <si>
    <t>16/395043/TK/44335</t>
  </si>
  <si>
    <t>Annisa Rizky Kusuma</t>
  </si>
  <si>
    <t>18/431125/TK/47718</t>
  </si>
  <si>
    <t>Antonius Raditya Seno Aji</t>
  </si>
  <si>
    <t>17/413586/TK/46026</t>
  </si>
  <si>
    <t>Evi Dwi Kurniasari</t>
  </si>
  <si>
    <t>18/425034/TK/46729</t>
  </si>
  <si>
    <t>Melinda Alamsyah</t>
  </si>
  <si>
    <t>16/395030/TK/44322</t>
  </si>
  <si>
    <t>Nani P. Magdalena Simanjuntak</t>
  </si>
  <si>
    <t>15/378896/TK/42838</t>
  </si>
  <si>
    <t>Rafif Fadhil</t>
  </si>
  <si>
    <t>17/410220/TK/45577</t>
  </si>
  <si>
    <t>457,6</t>
  </si>
  <si>
    <t>Dwi Larasati Melliningrum</t>
  </si>
  <si>
    <t>18/425033/TK/46728</t>
  </si>
  <si>
    <t>Lulus</t>
  </si>
  <si>
    <t>agust</t>
  </si>
  <si>
    <t>Irma Yusiyanti</t>
  </si>
  <si>
    <t>18/425040/TK/46735</t>
  </si>
  <si>
    <t>sept</t>
  </si>
  <si>
    <t>Moh. Mahrus Ali</t>
  </si>
  <si>
    <t>18/425044/TK/46739</t>
  </si>
  <si>
    <t>219 (ACEPT)</t>
  </si>
  <si>
    <t>okt.</t>
  </si>
  <si>
    <t>Rizal Mubarok</t>
  </si>
  <si>
    <t>18/425053/TK/46748</t>
  </si>
  <si>
    <t>des</t>
  </si>
  <si>
    <t>Sheilla Evelinda</t>
  </si>
  <si>
    <t>18/425059/TK/46754</t>
  </si>
  <si>
    <t>TOEFL=458</t>
  </si>
  <si>
    <t>Siti Nurul Annisa</t>
  </si>
  <si>
    <t>18/425060/TK/46755</t>
  </si>
  <si>
    <t>216 (ACEPT)</t>
  </si>
  <si>
    <t>jan</t>
  </si>
  <si>
    <t>Khynant Fadil Muhamad</t>
  </si>
  <si>
    <t>18/428716/TK/47218</t>
  </si>
  <si>
    <t>18/428740/TK/47242</t>
  </si>
  <si>
    <t>243(Acept) 480</t>
  </si>
  <si>
    <t>feb</t>
  </si>
  <si>
    <t>Vanny Milenia</t>
  </si>
  <si>
    <t>18/428741/TK/47243</t>
  </si>
  <si>
    <t>maret</t>
  </si>
  <si>
    <t>Calvin Wijaya</t>
  </si>
  <si>
    <t>18/431127/TK/47720</t>
  </si>
  <si>
    <t>apr</t>
  </si>
  <si>
    <t>Labisa Wafdan</t>
  </si>
  <si>
    <t>18/431137/TK/47730</t>
  </si>
  <si>
    <t>AcEPT 237</t>
  </si>
  <si>
    <t>Rr. Wuye Handini Wulantantri</t>
  </si>
  <si>
    <t>18/431150/TK/47743</t>
  </si>
  <si>
    <t>Rizka Auliya Dianisa</t>
  </si>
  <si>
    <t>18/431148/TK/47741</t>
  </si>
  <si>
    <t>Ganjil 2022/2023</t>
  </si>
  <si>
    <t>Jadhug Ario Bismo</t>
  </si>
  <si>
    <t>17/413605/TK/46045</t>
  </si>
  <si>
    <t>L. Rinaldi Rizky Mulia</t>
  </si>
  <si>
    <t>18/425042/TK/46737</t>
  </si>
  <si>
    <t>Romanza Wiradinata Putra</t>
  </si>
  <si>
    <t>18/425055/TK/46750</t>
  </si>
  <si>
    <t>Tiara Ana Ndofah</t>
  </si>
  <si>
    <t>18/425061/TK/46756</t>
  </si>
  <si>
    <t>Chika Laksita Dewi</t>
  </si>
  <si>
    <t>18/428701/TK/47203</t>
  </si>
  <si>
    <t>Ikhlas Ibnu Pamungkas</t>
  </si>
  <si>
    <t>18/428710/TK/47212</t>
  </si>
  <si>
    <t>Indana Zulfa</t>
  </si>
  <si>
    <t>18/428711/TK/47213</t>
  </si>
  <si>
    <t>Rayhan Muhammad Herlambang</t>
  </si>
  <si>
    <t>18/428731/TK/47233</t>
  </si>
  <si>
    <t>min</t>
  </si>
  <si>
    <t>Tutus Al-Meyda Mujahid</t>
  </si>
  <si>
    <t>18/431155/TK/47748</t>
  </si>
  <si>
    <t>max</t>
  </si>
  <si>
    <t>Muhammad Naufal Jaladika</t>
  </si>
  <si>
    <t>17/413612/TK/46052</t>
  </si>
  <si>
    <t>Rivaldo</t>
  </si>
  <si>
    <t>18/428732/TK/47234</t>
  </si>
  <si>
    <t>Fadiya Salsabila</t>
  </si>
  <si>
    <t>18/425035/TK/46730</t>
  </si>
  <si>
    <t>I Made Andi Darma Kesuma</t>
  </si>
  <si>
    <t>18/428709/TK/47211</t>
  </si>
  <si>
    <t>237 (ACEPT)</t>
  </si>
  <si>
    <t xml:space="preserve">rata2 masa studi 2015 </t>
  </si>
  <si>
    <t>Rozana Zakiyya Nabila</t>
  </si>
  <si>
    <t>18/425056/TK/46751</t>
  </si>
  <si>
    <t>Prasa Fakhriyah Mumtaz</t>
  </si>
  <si>
    <t>Yanuar Nugraha</t>
  </si>
  <si>
    <t>18/431156/TK/47749</t>
  </si>
  <si>
    <t>Muh. Pijar Putra Alda</t>
  </si>
  <si>
    <t>18/428720/TK/47222</t>
  </si>
  <si>
    <t>Sekar Ayu Retno Palupi</t>
  </si>
  <si>
    <t>18/425058/TK/46753</t>
  </si>
  <si>
    <t>Muhammad Faris Hazim</t>
  </si>
  <si>
    <t>18/431142/TK/47735</t>
  </si>
  <si>
    <t>Fairuz Nabilah</t>
  </si>
  <si>
    <t>18/425036/TK/46731</t>
  </si>
  <si>
    <t>Naufal Fata Anshafa</t>
  </si>
  <si>
    <t>18/428727/TK/47229</t>
  </si>
  <si>
    <t>215 (ACEPT)</t>
  </si>
  <si>
    <t>Meutia Santi Nurmalita</t>
  </si>
  <si>
    <t>17/415143/TK/46432</t>
  </si>
  <si>
    <t>278(AcEPT)</t>
  </si>
  <si>
    <t>Akhmad Zamharir Zuhdi</t>
  </si>
  <si>
    <t>17/413581/TK/46021</t>
  </si>
  <si>
    <t>Rachel Maleka Layyena</t>
  </si>
  <si>
    <t>18/428729/TK/47231</t>
  </si>
  <si>
    <t>229(AcEPT)</t>
  </si>
  <si>
    <t>Isna Mutia Rini</t>
  </si>
  <si>
    <t>18/431133/TK/47726</t>
  </si>
  <si>
    <t>Venny Nur Farida</t>
  </si>
  <si>
    <t>18/428742/TK/47244</t>
  </si>
  <si>
    <t>Rika Kartika</t>
  </si>
  <si>
    <t>18/431147/TK/47740</t>
  </si>
  <si>
    <t>Narlita Saras Ulkharimah</t>
  </si>
  <si>
    <t>18/425049/TK/46744</t>
  </si>
  <si>
    <t>Sandy Setyanagara</t>
  </si>
  <si>
    <t>18/428735/TK/47237</t>
  </si>
  <si>
    <t>Adiyatma Aria Wardana</t>
  </si>
  <si>
    <t>18/428692/TK/47194</t>
  </si>
  <si>
    <t>289(AcEPT)</t>
  </si>
  <si>
    <t>Nadia Fadillatul Husna</t>
  </si>
  <si>
    <t>18/425047/TK/46742</t>
  </si>
  <si>
    <t>Ansgarius Asa</t>
  </si>
  <si>
    <t>15/390167/TK/44117</t>
  </si>
  <si>
    <t>Raka Yudha Manuari</t>
  </si>
  <si>
    <t>16/400010/TK.45024</t>
  </si>
  <si>
    <t>Azizil Jabarri</t>
  </si>
  <si>
    <t>15/384982/TK/43644</t>
  </si>
  <si>
    <t>Amelia Dwi Nugraheni</t>
  </si>
  <si>
    <t>18/428695/TK/47197</t>
  </si>
  <si>
    <t>Karien Alifatullaili</t>
  </si>
  <si>
    <t>18/425041/TK/46736</t>
  </si>
  <si>
    <t>Umi Fadillah</t>
  </si>
  <si>
    <t>18/425062/TK/46757</t>
  </si>
  <si>
    <t>Winda Eka Putri</t>
  </si>
  <si>
    <t>17/415153/TK/46442</t>
  </si>
  <si>
    <t>273 (AcEPT)</t>
  </si>
  <si>
    <t>Yaumi Khoirotul Fajriyah</t>
  </si>
  <si>
    <t>18/431157/TK/47750</t>
  </si>
  <si>
    <t>238 (AcEPT)</t>
  </si>
  <si>
    <t>Puguh Bekti Utomo</t>
  </si>
  <si>
    <t>16/400008/TK/45022</t>
  </si>
  <si>
    <t>Saiful Rahmad</t>
  </si>
  <si>
    <t>18/431152/TK/47745</t>
  </si>
  <si>
    <t>220 (AcEPT)</t>
  </si>
  <si>
    <t>Yesi Tri Winarni</t>
  </si>
  <si>
    <t>18/425063/TK/46758</t>
  </si>
  <si>
    <t>Salwa Ramadhanti</t>
  </si>
  <si>
    <t>18/428734/TK/47236</t>
  </si>
  <si>
    <t>271 (AcEPT)</t>
  </si>
  <si>
    <t>Syofia Rafifa Jauhar</t>
  </si>
  <si>
    <t>18/428739/TK/47241</t>
  </si>
  <si>
    <t>Ahmad Nur Aly</t>
  </si>
  <si>
    <t>18/425025/TK/46720</t>
  </si>
  <si>
    <t>262 (AcEPT)</t>
  </si>
  <si>
    <t>Mohammad Zainul Mukhlis</t>
  </si>
  <si>
    <t>18/431140/TK/47733</t>
  </si>
  <si>
    <t>224 (AcEPT)</t>
  </si>
  <si>
    <t>Muhammad Naufal Fadil Mutawakkil ‘Alallah</t>
  </si>
  <si>
    <t>18/428724/TK/47226</t>
  </si>
  <si>
    <t>Dani Suprayogo</t>
  </si>
  <si>
    <t>18/428702/TK/47204</t>
  </si>
  <si>
    <t>3,32</t>
  </si>
  <si>
    <t>239 (AcEPT)</t>
  </si>
  <si>
    <t>26 Juli 2023 =</t>
  </si>
  <si>
    <t>Muhammad Imran Hafiduddin</t>
  </si>
  <si>
    <t>18/428718/TK/47220</t>
  </si>
  <si>
    <t>3,06</t>
  </si>
  <si>
    <t>244 (AcEPT)</t>
  </si>
  <si>
    <t>Latif Yusron Ramadhan</t>
  </si>
  <si>
    <t>18/431138/TK/47731</t>
  </si>
  <si>
    <t>3,07</t>
  </si>
  <si>
    <t>242 (AcEPT)</t>
  </si>
  <si>
    <t>Agnezte Berthryvena</t>
  </si>
  <si>
    <t>19/439640/TK/48370</t>
  </si>
  <si>
    <t>3,84</t>
  </si>
  <si>
    <t>Dinar Putri Bintari</t>
  </si>
  <si>
    <t>19/440258/TK/48585</t>
  </si>
  <si>
    <t>3,68</t>
  </si>
  <si>
    <t>Yuni Sari</t>
  </si>
  <si>
    <t>19/439659/TK/48389</t>
  </si>
  <si>
    <t>Nugroho Dwi Yulianto</t>
  </si>
  <si>
    <t>16/395035/TK/44327</t>
  </si>
  <si>
    <t>Firman Budi Satya</t>
  </si>
  <si>
    <t>16/399985/TK/44999</t>
  </si>
  <si>
    <t>Irfan Wahyu Wicaksono</t>
  </si>
  <si>
    <t>16/399994/TK/45008</t>
  </si>
  <si>
    <t>Farhan Akmal Noer Rosadi</t>
  </si>
  <si>
    <t>18/428706/TK/47208</t>
  </si>
  <si>
    <t>Muhamad Robi Rusdianto</t>
  </si>
  <si>
    <t>18/431141/TK/47734</t>
  </si>
  <si>
    <t>Ridho Dhiya'ul Haq</t>
  </si>
  <si>
    <t>18/431146/TK/47739</t>
  </si>
  <si>
    <t>Sondang Riski Wanti Sihombing</t>
  </si>
  <si>
    <t>19/439654/TK/48384</t>
  </si>
  <si>
    <t>Adrian Nugroho Pamungkas</t>
  </si>
  <si>
    <t>19/440252/TK/48579</t>
  </si>
  <si>
    <t>Anisa'ul Khoiriyah Afandi</t>
  </si>
  <si>
    <t>19/440254/TK/48581</t>
  </si>
  <si>
    <t>Arinda Tasya Avrianti</t>
  </si>
  <si>
    <t>19/440255/TK/48582</t>
  </si>
  <si>
    <t>Aulia Nurusyifa</t>
  </si>
  <si>
    <t>19/443661/TK/48857</t>
  </si>
  <si>
    <t>Bonatua Palsius Situmorang</t>
  </si>
  <si>
    <t>19/443663/TK/48859</t>
  </si>
  <si>
    <t>Fairuz Akmal Pradana</t>
  </si>
  <si>
    <t>19/443673/TK/48869</t>
  </si>
  <si>
    <t>Firman Ramadhan Putra</t>
  </si>
  <si>
    <t>19/443676/TK/48872</t>
  </si>
  <si>
    <t>Hafizh Ryan Kurniawan</t>
  </si>
  <si>
    <t>19/443679/TK/48875</t>
  </si>
  <si>
    <t>Joseph Arimathea Sahala Siagian</t>
  </si>
  <si>
    <t>19/443685/TK/48881</t>
  </si>
  <si>
    <t>Nafra Anandya Caesarea</t>
  </si>
  <si>
    <t>19/443698/TK/48894</t>
  </si>
  <si>
    <t>Nopris Pratama Putra</t>
  </si>
  <si>
    <t>19/443699/TK/48895</t>
  </si>
  <si>
    <t>19/443707/TK/48903</t>
  </si>
  <si>
    <t>Wahyu Ismi Azizah</t>
  </si>
  <si>
    <t>19/443708/TK/48904</t>
  </si>
  <si>
    <t>Alfarobi Maula Zakka</t>
  </si>
  <si>
    <t>19/446537/TK/49642</t>
  </si>
  <si>
    <t>Esther Riris Yunita Sinamo</t>
  </si>
  <si>
    <t>19/446544/TK/49649</t>
  </si>
  <si>
    <t>Mega Srinuryati</t>
  </si>
  <si>
    <t>19/446555/TK/49660</t>
  </si>
  <si>
    <t>Rifqi Alghifari Wibowo</t>
  </si>
  <si>
    <t>19/446564/TK/49669</t>
  </si>
  <si>
    <t>Tegar Putra Pamungkas</t>
  </si>
  <si>
    <t>19/446569/TK/49674</t>
  </si>
  <si>
    <t>Aida Maliyatullah Missasi</t>
  </si>
  <si>
    <t>16/395011/TK/44303</t>
  </si>
  <si>
    <t>Farizan Qolbu Alkhudia</t>
  </si>
  <si>
    <t>18/428707/TK/47209</t>
  </si>
  <si>
    <t>Rafiqi Ariawidoyoko Raharjo</t>
  </si>
  <si>
    <t>18/428730/TK/47232</t>
  </si>
  <si>
    <t>Iqbal Pratama Nugraha</t>
  </si>
  <si>
    <t>18/431132/TK/47725</t>
  </si>
  <si>
    <t>Imawan Wichaksana</t>
  </si>
  <si>
    <t>19/443683/TK/48879</t>
  </si>
  <si>
    <t>Romi Fajar Prihutomo</t>
  </si>
  <si>
    <t>19/443702/TK/48898</t>
  </si>
  <si>
    <t>Febriana Krisna Putri</t>
  </si>
  <si>
    <t>19/446545/Tk/49650</t>
  </si>
  <si>
    <t>Yana Oktaviana</t>
  </si>
  <si>
    <t>19/439658/TK/48388</t>
  </si>
  <si>
    <t>Hendra Noviantara</t>
  </si>
  <si>
    <t>19/443681/TK/48877</t>
  </si>
  <si>
    <t>Jeremi Benito Sihombing</t>
  </si>
  <si>
    <t>19/443684/Tk/48880</t>
  </si>
  <si>
    <t>Muhammad Iqbal Habiburrohim</t>
  </si>
  <si>
    <t>19/443694/TK/48890</t>
  </si>
  <si>
    <t>Muhammad Zulfa Lazuardhy</t>
  </si>
  <si>
    <t>19/443697/TK/48893</t>
  </si>
  <si>
    <t>Pungky Susilo Rachmawati</t>
  </si>
  <si>
    <t>19/443700/TK/48896</t>
  </si>
  <si>
    <t>Dilan Janiyar Ramadhani</t>
  </si>
  <si>
    <t>18/428703/TK/47205</t>
  </si>
  <si>
    <t>Rochmat Darmawan</t>
  </si>
  <si>
    <t>18/428733/TK/47235</t>
  </si>
  <si>
    <t>Asy Syifa Sekarariani</t>
  </si>
  <si>
    <t>19/439643/TK/48373</t>
  </si>
  <si>
    <t>Michael Valeri S</t>
  </si>
  <si>
    <t>19/439648/TK/48378</t>
  </si>
  <si>
    <t>Frastiwi Widya Azkiyya</t>
  </si>
  <si>
    <t>19/440260/TK/48587</t>
  </si>
  <si>
    <t>Dennis Surya</t>
  </si>
  <si>
    <t>19/443668/TK/48864</t>
  </si>
  <si>
    <t>Mahfud Amin</t>
  </si>
  <si>
    <t>19/443689/TK/48885</t>
  </si>
  <si>
    <t>Muhammad Ibnu Hananto</t>
  </si>
  <si>
    <t>19/443693/TK/48889</t>
  </si>
  <si>
    <t>Sekar Nur Amalia</t>
  </si>
  <si>
    <t>19/446566/TK/49671</t>
  </si>
  <si>
    <t>Arif Candra Prasetya</t>
  </si>
  <si>
    <t>17/413587/TK/46027</t>
  </si>
  <si>
    <t>Imania Nur Anissa</t>
  </si>
  <si>
    <t>17/413603/TK/46043</t>
  </si>
  <si>
    <t>Candra Kurniawan</t>
  </si>
  <si>
    <t>18/428700/TK/47202</t>
  </si>
  <si>
    <t>Ade Irma Kurnia Putri</t>
  </si>
  <si>
    <t>19/439639/TK/48369</t>
  </si>
  <si>
    <t>Hyatma Adikara Ajrin</t>
  </si>
  <si>
    <t>19/439645/TK/48375</t>
  </si>
  <si>
    <t>Nida Makarim</t>
  </si>
  <si>
    <t>19/439652/TK/48382</t>
  </si>
  <si>
    <t>Farda Fadila</t>
  </si>
  <si>
    <t>19/440259/TK/48586</t>
  </si>
  <si>
    <t>Prasasti Nurmaning Ratri</t>
  </si>
  <si>
    <t>19/440262/TK/48589</t>
  </si>
  <si>
    <t>Farhan Aji Kumara</t>
  </si>
  <si>
    <t>18/428705/TK/47207</t>
  </si>
  <si>
    <t>18/425028/TK/46723</t>
  </si>
  <si>
    <t>Safira Indah Andika Putri</t>
  </si>
  <si>
    <t>18/431151/TK/47744</t>
  </si>
  <si>
    <t>Kristoforus Alvin Andrian Mugiyono</t>
  </si>
  <si>
    <t>19/439647/TK/48377</t>
  </si>
  <si>
    <t>18/428712/TK/47214</t>
  </si>
  <si>
    <t>Aisha Heyda</t>
  </si>
  <si>
    <t>19/440253/TK/48580</t>
  </si>
  <si>
    <t>18/428721/TK/47223</t>
  </si>
  <si>
    <t>Nur Aisyah Lutfi Fatmawati</t>
  </si>
  <si>
    <t>19/440858/TK/48652</t>
  </si>
  <si>
    <t>Afnan Ainun Na'im</t>
  </si>
  <si>
    <t>19/443657/TK/48853</t>
  </si>
  <si>
    <t>19/439641/TK/48371</t>
  </si>
  <si>
    <t>Faiz Ahmad Maulana Khan</t>
  </si>
  <si>
    <t>19/443674/TK/48870</t>
  </si>
  <si>
    <t>Asmaa'ul Husna Eka Andhyni</t>
  </si>
  <si>
    <t>Indira Sekar Ningtyas</t>
  </si>
  <si>
    <t>Muhammad Afif Rahman</t>
  </si>
  <si>
    <t>Arga Ibnu Kurniawan</t>
  </si>
  <si>
    <t>Khairul Amiruddin</t>
  </si>
  <si>
    <t>19/439646/TK/48376</t>
  </si>
  <si>
    <t>19/440263/TK/48590</t>
  </si>
  <si>
    <t>Rindu Hidayatul Ardi</t>
  </si>
  <si>
    <t>19/440856/TK/48650</t>
  </si>
  <si>
    <t>Fawwaz Zufarysa Aryoko</t>
  </si>
  <si>
    <t>Maria Maharani Gloria Nusantara</t>
  </si>
  <si>
    <t>19/443690/TK/48886</t>
  </si>
  <si>
    <t>Arya Wiranata</t>
  </si>
  <si>
    <t>19/446540/TK/49645</t>
  </si>
  <si>
    <t>Feraldo Trio Carrera</t>
  </si>
  <si>
    <t>19/439644/TK/48374</t>
  </si>
  <si>
    <t>Teguh Arya Wibawa</t>
  </si>
  <si>
    <t>19/439655/TK/48385</t>
  </si>
  <si>
    <t>Adhe Aulia Rahadian</t>
  </si>
  <si>
    <t>19/443656/TK/48852</t>
  </si>
  <si>
    <t>Andi Kristian Purba</t>
  </si>
  <si>
    <t>19/443659/TK/48855</t>
  </si>
  <si>
    <t>Aulia Dwi Rachmawati</t>
  </si>
  <si>
    <t>19/443660/TK/48856</t>
  </si>
  <si>
    <t>Defrian Krisnasurya</t>
  </si>
  <si>
    <t>19/443667/TK/48863</t>
  </si>
  <si>
    <t>Farizki Kharisa Indrawan</t>
  </si>
  <si>
    <t>19/443675/TK/48871</t>
  </si>
  <si>
    <t>Idfiga Este Islamey</t>
  </si>
  <si>
    <t>19/443682/TK/48878</t>
  </si>
  <si>
    <t>Kholiftia Mu'arifah</t>
  </si>
  <si>
    <t>19/443687/TK/48883</t>
  </si>
  <si>
    <t>Muhammad Fauzan</t>
  </si>
  <si>
    <t>19/443691/TK/48887</t>
  </si>
  <si>
    <t>19/443695/TK/48891</t>
  </si>
  <si>
    <t>Salimah Nur Huda</t>
  </si>
  <si>
    <t>19/443703/TK/48899</t>
  </si>
  <si>
    <t>Syafri Nurmaulana Sya'bani</t>
  </si>
  <si>
    <t>19/443704/TK/48900</t>
  </si>
  <si>
    <t>Deri Arya Wiratama</t>
  </si>
  <si>
    <t>19/446542/TK/49647</t>
  </si>
  <si>
    <t>Hefni Rae Rafsanzani Azzahra</t>
  </si>
  <si>
    <t>19/446548/TK/49653</t>
  </si>
  <si>
    <t>Imaduddin Saktyo Nagoro</t>
  </si>
  <si>
    <t>19/446550/TK/49655</t>
  </si>
  <si>
    <t>Ridho Aziz Priambudi</t>
  </si>
  <si>
    <t>19/446562/TK/49667</t>
  </si>
  <si>
    <t>Sigit Pamungkas</t>
  </si>
  <si>
    <t>19/446568/TK/49673</t>
  </si>
  <si>
    <t>Yudha Shidqi Annas</t>
  </si>
  <si>
    <t>19/446571/TK/49676</t>
  </si>
  <si>
    <t>Kode angkatan</t>
  </si>
  <si>
    <t>widuda 21 Febr 2024</t>
  </si>
  <si>
    <t>Genap 2022/2023</t>
  </si>
  <si>
    <t>Ganjil 2023/2024</t>
  </si>
  <si>
    <t>FAKULTAS TEKNIK UGM 1959 - 2023</t>
  </si>
  <si>
    <t>Fina Alfi Khasanah</t>
  </si>
  <si>
    <t>19/446546/TK/49651</t>
  </si>
  <si>
    <t>Nandisa Dwiliana Yuandina</t>
  </si>
  <si>
    <t>19/439650/TK/48380</t>
  </si>
  <si>
    <t>Kinanthi Puteri Nastiti</t>
  </si>
  <si>
    <t>19/443688/TK/48884</t>
  </si>
  <si>
    <t>Wisuda Mei 2024</t>
  </si>
  <si>
    <t>BARA ARANANDITA FATA</t>
  </si>
  <si>
    <t>4 TAHUN</t>
  </si>
  <si>
    <t>3,13</t>
  </si>
  <si>
    <t>FAJAR AJI NIDYAMUKTI</t>
  </si>
  <si>
    <t>4 tahun</t>
  </si>
  <si>
    <t>3,10</t>
  </si>
  <si>
    <t>BRIGITTA MARIA IEDHA</t>
  </si>
  <si>
    <t>3,31</t>
  </si>
  <si>
    <t>ERISON NATHANAEL</t>
  </si>
  <si>
    <t>4 TAHUN 2 BULAN</t>
  </si>
  <si>
    <t>3,39</t>
  </si>
  <si>
    <t>HADI WIJAYA KUSUMA ABDILLAH</t>
  </si>
  <si>
    <t>3,74</t>
  </si>
  <si>
    <t>AFIT BUDIMANTORO</t>
  </si>
  <si>
    <t>4 tahun 2 bulan</t>
  </si>
  <si>
    <t>3,89</t>
  </si>
  <si>
    <t>SEPTI ARINI</t>
  </si>
  <si>
    <t>AINAL MARDIAH HASIBUAN</t>
  </si>
  <si>
    <t>3,03</t>
  </si>
  <si>
    <t>MONIKHA DYAH WULANDARI</t>
  </si>
  <si>
    <t>4 tahun 3 bulan</t>
  </si>
  <si>
    <t>SISKA NURUL INAYATI</t>
  </si>
  <si>
    <t>3,40</t>
  </si>
  <si>
    <t>DOVAN PRILIANDIKA</t>
  </si>
  <si>
    <t>4 Tahun 2 Bulan</t>
  </si>
  <si>
    <t>3,19</t>
  </si>
  <si>
    <t>AJENG PUTRI LARASATI</t>
  </si>
  <si>
    <t>3,65</t>
  </si>
  <si>
    <t>NAUFAL SANDRO</t>
  </si>
  <si>
    <t>5 tahun 2 bulan</t>
  </si>
  <si>
    <t>2,55</t>
  </si>
  <si>
    <t>RIDZKY ZULFIKAR WIDYO BASKORO</t>
  </si>
  <si>
    <t>4 TAHUN 3 BULAN</t>
  </si>
  <si>
    <t>3,16</t>
  </si>
  <si>
    <t>LUTHFIANI AZIZAH</t>
  </si>
  <si>
    <t>4 Tahun 3 Bulan</t>
  </si>
  <si>
    <t>3,54</t>
  </si>
  <si>
    <t>AJENG RAMADHANI GUNAWAN</t>
  </si>
  <si>
    <t>MUHAMMAD ARSYAD FAUZI</t>
  </si>
  <si>
    <t>6 TAHUN 4 BULAN</t>
  </si>
  <si>
    <t>3,41</t>
  </si>
  <si>
    <t>IRMA RISWANDA LAKSITA</t>
  </si>
  <si>
    <t>7 tahun 4 bulan</t>
  </si>
  <si>
    <t>2,87</t>
  </si>
  <si>
    <t>MUHAMMAD FAIZ ZULFIKAR</t>
  </si>
  <si>
    <t>4 tahun 6 bulan</t>
  </si>
  <si>
    <t>3,64</t>
  </si>
  <si>
    <t>FIRMANIA YOGASTINA</t>
  </si>
  <si>
    <t>ANNISA WULANDARI</t>
  </si>
  <si>
    <t>4 TAHUN 7 BULAN</t>
  </si>
  <si>
    <t>3,00</t>
  </si>
  <si>
    <t>ABDULLAH BIN ABAD</t>
  </si>
  <si>
    <t>5 TAHUN 6 BULAN</t>
  </si>
  <si>
    <t>2,86</t>
  </si>
  <si>
    <t>BAYU WISNU PUTRA</t>
  </si>
  <si>
    <t>4 Tahun 5 Bulan</t>
  </si>
  <si>
    <t>FITRIAN ADIYAKSA</t>
  </si>
  <si>
    <t>3,34</t>
  </si>
  <si>
    <t>YUDHA NOOR RACHMAT</t>
  </si>
  <si>
    <t>2,97</t>
  </si>
  <si>
    <t>JUNUS RAMADHANI</t>
  </si>
  <si>
    <t>5 Tahun 5 Bulan</t>
  </si>
  <si>
    <t>2,79</t>
  </si>
  <si>
    <t>RANGGA JATI SUPROJO</t>
  </si>
  <si>
    <t>4 TAHUN 5 BULAN</t>
  </si>
  <si>
    <t>YUNITA KARTIKA SARI</t>
  </si>
  <si>
    <t>3 April 2020</t>
  </si>
  <si>
    <t>4 TAHUN 6 BULAN</t>
  </si>
  <si>
    <t>3,33</t>
  </si>
  <si>
    <t>FAJAR SUTEJO</t>
  </si>
  <si>
    <t>4 Tahun 6 Bulan</t>
  </si>
  <si>
    <t>3,11</t>
  </si>
  <si>
    <t>ALIAN FATHIRA KHOMAINI</t>
  </si>
  <si>
    <t>EKO PRAYETNO</t>
  </si>
  <si>
    <t>4 tahun 7 bulan</t>
  </si>
  <si>
    <t>2,85</t>
  </si>
  <si>
    <t>PANDU KURNIA</t>
  </si>
  <si>
    <t>3,24</t>
  </si>
  <si>
    <t>HELMI NURUL WAHID</t>
  </si>
  <si>
    <t>4 tahun 8 bulan</t>
  </si>
  <si>
    <t>3,26</t>
  </si>
  <si>
    <t>HANDUNG RAMADHAN DIVIDO</t>
  </si>
  <si>
    <t>7 tahun</t>
  </si>
  <si>
    <t>GUSTINI RIZKI FUDIANTI</t>
  </si>
  <si>
    <t>4 tahun 9 bulan</t>
  </si>
  <si>
    <t>NAFISA ANDIKA PUTRI</t>
  </si>
  <si>
    <t>3 tahun 11 bulan</t>
  </si>
  <si>
    <t>RIDHA NUR RAHMAWATI</t>
  </si>
  <si>
    <t>IKHSAN LUTHFI ARADEA</t>
  </si>
  <si>
    <t>4 tahun 10 bulan</t>
  </si>
  <si>
    <t>HERA RATNAWATI</t>
  </si>
  <si>
    <t>ADITYA AJIE FIRMANSYAH MARSOEDY</t>
  </si>
  <si>
    <t>4 tahun 11 bulan</t>
  </si>
  <si>
    <t>YUSUF</t>
  </si>
  <si>
    <t>MUHAMMAD WAHYU DWIMULYO</t>
  </si>
  <si>
    <t>GHIESELVA LA TOYA</t>
  </si>
  <si>
    <t>3 Tahun 11 Bulan</t>
  </si>
  <si>
    <t>ASTIKA NOVIA PRAMUNDITA</t>
  </si>
  <si>
    <t>SEPTI PRAJA ABDIANA</t>
  </si>
  <si>
    <t>3 TAHUN 11 BULAN</t>
  </si>
  <si>
    <t>NOVITA NUGRAHENI</t>
  </si>
  <si>
    <t>SAFIRA NAOMI SUGIANTO</t>
  </si>
  <si>
    <t>ANES ANGGRAENI</t>
  </si>
  <si>
    <t>4 Tahun 0 Bulan</t>
  </si>
  <si>
    <t>GUSTOMI ARRY WIDODO</t>
  </si>
  <si>
    <t>3,70</t>
  </si>
  <si>
    <t>GILANG AKHYUTA</t>
  </si>
  <si>
    <t>SISKASARI SATOTO</t>
  </si>
  <si>
    <t>AYUDYA NOSHICO HUSNA</t>
  </si>
  <si>
    <t>3 TAHUN 10 BULAN</t>
  </si>
  <si>
    <t>JIYON ATAA NURMUFTI ADAM</t>
  </si>
  <si>
    <t>DHEGA WASI WIHIKAN</t>
  </si>
  <si>
    <t>FIKRI FATTAH FIRDAUS</t>
  </si>
  <si>
    <t>SAIDINA ABID MUNAWWAR</t>
  </si>
  <si>
    <t>NADIA HANIFAH AYUNINGTYAS</t>
  </si>
  <si>
    <t>NURUL NINATIN</t>
  </si>
  <si>
    <t>IHZA RIZKI FAUZI</t>
  </si>
  <si>
    <t>4 Tahun 11 Bulan</t>
  </si>
  <si>
    <t>SUCI TRESNA NOVIANTI</t>
  </si>
  <si>
    <t>3 Tahun 11 bulan</t>
  </si>
  <si>
    <t>ALI SUROJAYA</t>
  </si>
  <si>
    <t>LANTIP SUPRATIKO</t>
  </si>
  <si>
    <t>MUSTIKA DEWI SIBURIAN</t>
  </si>
  <si>
    <t>7 tahun 10 bulan</t>
  </si>
  <si>
    <t>2,70</t>
  </si>
  <si>
    <t>ANISAH</t>
  </si>
  <si>
    <t>8tahun</t>
  </si>
  <si>
    <t>GEDE BAYU WIRAWAN</t>
  </si>
  <si>
    <t>6 tahun 10 bulan</t>
  </si>
  <si>
    <t>2,10</t>
  </si>
  <si>
    <t>FEBRIANI NURSANTI</t>
  </si>
  <si>
    <t>6 tahun 11 bulan</t>
  </si>
  <si>
    <t>PUTU ADIPRATAMA BARATHA WANGSA</t>
  </si>
  <si>
    <t>Agustus 2020</t>
  </si>
  <si>
    <t>8 TAHUN 0 BULAN</t>
  </si>
  <si>
    <t>MUHAMMAD SOFYAN SATARI</t>
  </si>
  <si>
    <t>7 Tahun</t>
  </si>
  <si>
    <t>AGIA CIKA ALAMANDA</t>
  </si>
  <si>
    <t>5 Tahun</t>
  </si>
  <si>
    <t>ELANG MANGLARMONGA ASSIDIQ</t>
  </si>
  <si>
    <t>ANDIKA ANGGARA PRIBADI</t>
  </si>
  <si>
    <t>4 tahun 0 bulan</t>
  </si>
  <si>
    <t>ASDIZTIA NURUL FATIMA</t>
  </si>
  <si>
    <t>AZIZUN ROHMAN</t>
  </si>
  <si>
    <t>FADHILA SANITYASARI</t>
  </si>
  <si>
    <t>IMAM SHOLICHIN</t>
  </si>
  <si>
    <t>4 Tahun</t>
  </si>
  <si>
    <t>KARTIKA HARYO KUSUMO</t>
  </si>
  <si>
    <t>NERISSA MUTIARA CHRISTY</t>
  </si>
  <si>
    <t>SHERIN AJENG NORLIANI</t>
  </si>
  <si>
    <t>OGGY VIANA NELLA PUTRI WIDYANATA</t>
  </si>
  <si>
    <t>TRIZCHIA APRILLITA</t>
  </si>
  <si>
    <t>ALUN SAGARA PUTRA</t>
  </si>
  <si>
    <t>4 Tahun 1 Bulan</t>
  </si>
  <si>
    <t>ANANTA WIWEKA DHARMAWAN</t>
  </si>
  <si>
    <t>DITA DWI ARYANI</t>
  </si>
  <si>
    <t>FADILLA IVANA AYUNINGTYAS</t>
  </si>
  <si>
    <t>HASAN AL BANNA</t>
  </si>
  <si>
    <t>IDA NURUL AZIZAH</t>
  </si>
  <si>
    <t>MAYANG LUMONGGA</t>
  </si>
  <si>
    <t>WINDY HAPSARI</t>
  </si>
  <si>
    <t>INTAN NURIA MAHARANI</t>
  </si>
  <si>
    <t>Oktober 2020</t>
  </si>
  <si>
    <t>7 TAHUN 2 BULAN</t>
  </si>
  <si>
    <t>2,75</t>
  </si>
  <si>
    <t>WINARCI PUJI LESTARI</t>
  </si>
  <si>
    <t>RIFDA DWI LESTARI</t>
  </si>
  <si>
    <t>4 tahun 1 bulan</t>
  </si>
  <si>
    <t>POPPY ANDRIANI WIRAWAN</t>
  </si>
  <si>
    <t>RIFQI HANIF</t>
  </si>
  <si>
    <t>DEMMAX'S IRIYANTO ASSO</t>
  </si>
  <si>
    <t>DZULFIKAR ALI RIDHO</t>
  </si>
  <si>
    <t>2,99</t>
  </si>
  <si>
    <t>TRI HADI WARSONO SITANGGANG</t>
  </si>
  <si>
    <t>3,51</t>
  </si>
  <si>
    <t>KRISNA DIPA YANA PUTRA</t>
  </si>
  <si>
    <t>PUJI LESTARI HANDAYANI</t>
  </si>
  <si>
    <t>NATASYA SAFETYANI</t>
  </si>
  <si>
    <t>HERLITA AYU PRATIWI</t>
  </si>
  <si>
    <t>M BINTANG ANUGERAH</t>
  </si>
  <si>
    <t>4 Januari 2020</t>
  </si>
  <si>
    <t>5 TAHUN 3 BULAN</t>
  </si>
  <si>
    <t>ALI NURUL IHSAN</t>
  </si>
  <si>
    <t>3,60</t>
  </si>
  <si>
    <t>ALDA OKTAVIANI MIFTAH PUTRI</t>
  </si>
  <si>
    <t>4 tahun 4 bulan</t>
  </si>
  <si>
    <t>GARNISA PRIMA NIDA DEVI</t>
  </si>
  <si>
    <t>3,62</t>
  </si>
  <si>
    <t>BUANA SYABAN AKBAR</t>
  </si>
  <si>
    <t>5 tahun 6 bulan</t>
  </si>
  <si>
    <t>SUCI PRIMA PUTRI</t>
  </si>
  <si>
    <t>Maret 2021</t>
  </si>
  <si>
    <t>DWIRANTY APRILLYA</t>
  </si>
  <si>
    <t>RANISA AMALIA SHOLIKHAH</t>
  </si>
  <si>
    <t>RIFAN YUNANTARA</t>
  </si>
  <si>
    <t>MONICHA SHERLY MARSHELA</t>
  </si>
  <si>
    <t>ATANASIUS SINDHU ADI PRADANA</t>
  </si>
  <si>
    <t>5 tahun 8 bulan</t>
  </si>
  <si>
    <t>ROSSA PURNAMA DEWI</t>
  </si>
  <si>
    <t>Juni 2021</t>
  </si>
  <si>
    <t>5 tahun</t>
  </si>
  <si>
    <t>3 tahun 9 bulan</t>
  </si>
  <si>
    <t>16 Juli 2021</t>
  </si>
  <si>
    <t>3 tahun 10 bulan</t>
  </si>
  <si>
    <t>3,82</t>
  </si>
  <si>
    <t>3 tahun 11bulan</t>
  </si>
  <si>
    <t>3,48</t>
  </si>
  <si>
    <t>3,80</t>
  </si>
  <si>
    <t>3,14</t>
  </si>
  <si>
    <t>3,57</t>
  </si>
  <si>
    <t>3,66</t>
  </si>
  <si>
    <t>3,67</t>
  </si>
  <si>
    <t>3 Tahun 10 Bulan</t>
  </si>
  <si>
    <t>3,75</t>
  </si>
  <si>
    <t>3,59</t>
  </si>
  <si>
    <t>3,58</t>
  </si>
  <si>
    <t>3,69</t>
  </si>
  <si>
    <t>3,73</t>
  </si>
  <si>
    <t>3,23</t>
  </si>
  <si>
    <t>3,55</t>
  </si>
  <si>
    <t>3,36</t>
  </si>
  <si>
    <t>29 Juli 2021</t>
  </si>
  <si>
    <t>5 tahun 10 bulan</t>
  </si>
  <si>
    <t>3,25</t>
  </si>
  <si>
    <t>Dea Andara Sari</t>
  </si>
  <si>
    <t>3,21</t>
  </si>
  <si>
    <t>3,50</t>
  </si>
  <si>
    <t>2,94</t>
  </si>
  <si>
    <t>5 tahun 0 bulan</t>
  </si>
  <si>
    <t>Faishal Fakhri</t>
  </si>
  <si>
    <t>17/413600/TK/46040</t>
  </si>
  <si>
    <t>27 Agustus 2021</t>
  </si>
  <si>
    <t>Rohmat Fauzi</t>
  </si>
  <si>
    <t>17/415151/TK/46440</t>
  </si>
  <si>
    <t>Fatchul Arifin</t>
  </si>
  <si>
    <t>17/415140/TK/46429</t>
  </si>
  <si>
    <t>Akram Sripandam Prihanantya</t>
  </si>
  <si>
    <t>17/415135/TK/46424</t>
  </si>
  <si>
    <t>Silvia Tri Anugradewi</t>
  </si>
  <si>
    <t>17/410226/TK/45583</t>
  </si>
  <si>
    <t>22 Oktober 2021</t>
  </si>
  <si>
    <t>3,45</t>
  </si>
  <si>
    <t>3,43</t>
  </si>
  <si>
    <t>6 tahun 4 bulan</t>
  </si>
  <si>
    <t>2,89</t>
  </si>
  <si>
    <t>3,29</t>
  </si>
  <si>
    <t>6 tahun 2 bulan</t>
  </si>
  <si>
    <t>20 Desember 2021</t>
  </si>
  <si>
    <t>4 Tahun 4 Bulan</t>
  </si>
  <si>
    <t>5 Tahun 4 Bulan</t>
  </si>
  <si>
    <t>6 tahun 5 bulan</t>
  </si>
  <si>
    <t>3,04</t>
  </si>
  <si>
    <t>2,68</t>
  </si>
  <si>
    <t>4 tahun 5 bulan</t>
  </si>
  <si>
    <t>27 Januari 2022</t>
  </si>
  <si>
    <t>5 tahun 5 bulan</t>
  </si>
  <si>
    <t>4 Tahun 7 Bulan</t>
  </si>
  <si>
    <t>28 Maret 2022</t>
  </si>
  <si>
    <t>4 Tahun 7 bulan</t>
  </si>
  <si>
    <t>4 Tahun 8 Bulan</t>
  </si>
  <si>
    <t>6 Juni 2022</t>
  </si>
  <si>
    <t>3,28</t>
  </si>
  <si>
    <t>29 Juni 2022</t>
  </si>
  <si>
    <t>5 tahun 11 bulan</t>
  </si>
  <si>
    <t>6 Tahun 0 Bulan</t>
  </si>
  <si>
    <t>22 Juli 2022</t>
  </si>
  <si>
    <t>3,35</t>
  </si>
  <si>
    <t>Tattyana Wening Kalbuadi Prajardi</t>
  </si>
  <si>
    <t>3,98</t>
  </si>
  <si>
    <t>Muhammad Hasnan Fadlullah</t>
  </si>
  <si>
    <t>18/428723/TK/47225</t>
  </si>
  <si>
    <t>29 Juli 2022</t>
  </si>
  <si>
    <t>Indira Vania Utami</t>
  </si>
  <si>
    <t>18/428713/TK/47215</t>
  </si>
  <si>
    <t>Yon Ernes Simbolon</t>
  </si>
  <si>
    <t>18/431158/TK/47751</t>
  </si>
  <si>
    <t>Fadly Askalani Permana</t>
  </si>
  <si>
    <t>18/431128/TK/47721</t>
  </si>
  <si>
    <t>Bernadus Aditya Driarkara</t>
  </si>
  <si>
    <t>18/431126/TK/47719</t>
  </si>
  <si>
    <t>Rayhan Bagus Pratama</t>
  </si>
  <si>
    <t>18/425052/TK/46747</t>
  </si>
  <si>
    <t>Farida Sofyana Andaruni</t>
  </si>
  <si>
    <t>18/425037/TK/46732</t>
  </si>
  <si>
    <t>Nanda Putri Prihandini</t>
  </si>
  <si>
    <t>18/425048/TK/46743</t>
  </si>
  <si>
    <t>Helmy Refka Kaunganten</t>
  </si>
  <si>
    <t>18/431131/TK/47724</t>
  </si>
  <si>
    <t>2,76</t>
  </si>
  <si>
    <t>Mulia Haqqi Nadhar</t>
  </si>
  <si>
    <t>18/425046/TK/46741</t>
  </si>
  <si>
    <t>Affina Dyan Setyawati</t>
  </si>
  <si>
    <t>18/431120/TK/47713</t>
  </si>
  <si>
    <t>Muhammad Aldy Fakhryan</t>
  </si>
  <si>
    <t>18/425045/TK/46740</t>
  </si>
  <si>
    <t>30 Agustus 2022</t>
  </si>
  <si>
    <t>5 Tahun 0 Bulan</t>
  </si>
  <si>
    <t>4 tahun 0 bulan 18 hari</t>
  </si>
  <si>
    <t>18/431144/tk/47737</t>
  </si>
  <si>
    <t>4 tahun 1bulan</t>
  </si>
  <si>
    <t>26 Oktober 2022</t>
  </si>
  <si>
    <t>5 Tahun 3 Bulan</t>
  </si>
  <si>
    <t>5 Tahun 2 Bulan</t>
  </si>
  <si>
    <t>Nu'man Aldiansyah</t>
  </si>
  <si>
    <t>16/400007/TK/45021</t>
  </si>
  <si>
    <t>1 Desember 2022</t>
  </si>
  <si>
    <t>6 tahun 3 bulan</t>
  </si>
  <si>
    <t>Daffa Akbar Dwifa</t>
  </si>
  <si>
    <t>18/425031/TK/46726</t>
  </si>
  <si>
    <t>Joel Piero Nainggolan</t>
  </si>
  <si>
    <t>18/431135/TK/47728</t>
  </si>
  <si>
    <t>Muhammad Rizki Ryanza</t>
  </si>
  <si>
    <t>18/425043/TK/46738</t>
  </si>
  <si>
    <t>Syaiful Rohman</t>
  </si>
  <si>
    <t>18/431154/TK/47747</t>
  </si>
  <si>
    <t>26 Januari 2023</t>
  </si>
  <si>
    <t>Syauqi Maula Rohman</t>
  </si>
  <si>
    <t>18/428738/TK/47240</t>
  </si>
  <si>
    <t>Elisabeth Vena Andarisna</t>
  </si>
  <si>
    <t>18/428704/TK/47206</t>
  </si>
  <si>
    <t>Aqshal Subhan Bani Nugraha</t>
  </si>
  <si>
    <t>18/428698/TK/47200</t>
  </si>
  <si>
    <t>Nayaka Pandya</t>
  </si>
  <si>
    <t>18/428728/TK/47230</t>
  </si>
  <si>
    <t>Raniah Salsabila</t>
  </si>
  <si>
    <t>18/425051/TK/46746</t>
  </si>
  <si>
    <t>Andhana Pratistha Nugraha</t>
  </si>
  <si>
    <t>18/428696/TK/47198</t>
  </si>
  <si>
    <t>Intan Arianti</t>
  </si>
  <si>
    <t>18/428714/TK/47216</t>
  </si>
  <si>
    <t>Rr. Widyaningrum Dyah Aprianne</t>
  </si>
  <si>
    <t>18/431149/TK/47742</t>
  </si>
  <si>
    <t>Aditia Avin Prasetya</t>
  </si>
  <si>
    <t>18/428691/TK/47193</t>
  </si>
  <si>
    <t>30 Januari 2023</t>
  </si>
  <si>
    <t>7 tahun 6 bulan</t>
  </si>
  <si>
    <t>6 tahun 6 bulan</t>
  </si>
  <si>
    <t>7 tahun 5 bulan</t>
  </si>
  <si>
    <t>3,01</t>
  </si>
  <si>
    <t>27 Februari 2023</t>
  </si>
  <si>
    <t>30 Maret 2023</t>
  </si>
  <si>
    <t>6 tahun 9 bulan</t>
  </si>
  <si>
    <t>2,80</t>
  </si>
  <si>
    <t>26 Mei 2023</t>
  </si>
  <si>
    <t>Juni 2023</t>
  </si>
  <si>
    <t>26 Juli 2023</t>
  </si>
  <si>
    <t>6 Tahun 11 Bulan</t>
  </si>
  <si>
    <t>7 Tahun 0 Bulan</t>
  </si>
  <si>
    <t>4 Tahun 10 Bulan</t>
  </si>
  <si>
    <t>5 Tahun 11 Bulan</t>
  </si>
  <si>
    <t>2,82</t>
  </si>
  <si>
    <t>3,61</t>
  </si>
  <si>
    <t>Tsania Mazaya Rahajeng Laksmiwati</t>
  </si>
  <si>
    <t>31 Juli 2023</t>
  </si>
  <si>
    <t>7 tahun 0 bulan</t>
  </si>
  <si>
    <t>Muhammad Raihan Arkan</t>
  </si>
  <si>
    <t>19/446553/TK/49658</t>
  </si>
  <si>
    <t>25 Agustus 2023</t>
  </si>
  <si>
    <t>3,81</t>
  </si>
  <si>
    <t>16 Agustus 2023</t>
  </si>
  <si>
    <t>2 Agustus 2023</t>
  </si>
  <si>
    <t>28 Agustus 2023</t>
  </si>
  <si>
    <t>5 tahun 1 bulan</t>
  </si>
  <si>
    <t>5 tahun 0 Bulan</t>
  </si>
  <si>
    <t>3,71</t>
  </si>
  <si>
    <t>Tio Dominggus Sihotang</t>
  </si>
  <si>
    <t>19/446570/TK/49675</t>
  </si>
  <si>
    <t>3,46</t>
  </si>
  <si>
    <t>23 Oktober 2023</t>
  </si>
  <si>
    <t>6 Tahun 3 Bulan</t>
  </si>
  <si>
    <t>3,83</t>
  </si>
  <si>
    <t>Daffa Athallah Pangestu</t>
  </si>
  <si>
    <t>19/443665/TK/48861</t>
  </si>
  <si>
    <t>Elizabeth Angela Prasetyarini</t>
  </si>
  <si>
    <t>19/443671/TK/48867</t>
  </si>
  <si>
    <t>Handika Setiawan Putra</t>
  </si>
  <si>
    <t>19/443680/TK/48876</t>
  </si>
  <si>
    <t>Rahadian Fajar Sulistyo</t>
  </si>
  <si>
    <t>19/443701/TK/48897</t>
  </si>
  <si>
    <t>Syifa Foila Para Fauzia</t>
  </si>
  <si>
    <t>19/443705/TK/48901</t>
  </si>
  <si>
    <t>Yulia Eka Sulistyoningrum</t>
  </si>
  <si>
    <t>19/443711/TK/48907</t>
  </si>
  <si>
    <t>3,76</t>
  </si>
  <si>
    <t>Dinar Surya Nugraheni</t>
  </si>
  <si>
    <t>19/446543/TK/49648</t>
  </si>
  <si>
    <t>Iqbal Habib Ramadhan</t>
  </si>
  <si>
    <t>19/446551/TK/49656</t>
  </si>
  <si>
    <t>Naqibah Putri Zahrah</t>
  </si>
  <si>
    <t>19/446560/TK/49665</t>
  </si>
  <si>
    <t>Rifka Handitasari</t>
  </si>
  <si>
    <t>19/446563/TK/49668</t>
  </si>
  <si>
    <t>24 Oktober 2023</t>
  </si>
  <si>
    <t>Beladona Nisa Realita</t>
  </si>
  <si>
    <t>19/440257/TK/48584</t>
  </si>
  <si>
    <t>5 Desember 2023</t>
  </si>
  <si>
    <t>5 tahun 4 bulan</t>
  </si>
  <si>
    <t>3,77</t>
  </si>
  <si>
    <t>3,52</t>
  </si>
  <si>
    <t>Muhammad Mikail Al - Farisi</t>
  </si>
  <si>
    <t>3,27</t>
  </si>
  <si>
    <t>28 Desember 2023</t>
  </si>
  <si>
    <t>5 tahun 3 bulan</t>
  </si>
  <si>
    <t>3,30</t>
  </si>
  <si>
    <t>19 Januari 2024</t>
  </si>
  <si>
    <t>Januari 2024</t>
  </si>
  <si>
    <t>22 Januari 2024</t>
  </si>
  <si>
    <t>Balqis Dera Lingswand Asrofi</t>
  </si>
  <si>
    <t>19/443662/TK/48858</t>
  </si>
  <si>
    <t>17 Januari 2024</t>
  </si>
  <si>
    <t>3,05</t>
  </si>
  <si>
    <t>20 Januari 2024</t>
  </si>
  <si>
    <t>3,49</t>
  </si>
  <si>
    <t>25 Januari 2025</t>
  </si>
  <si>
    <t>18 Januari 2024</t>
  </si>
  <si>
    <t>Muhammad Dimitry Nanda Shahreza</t>
  </si>
  <si>
    <t>19/446552/TK/49657</t>
  </si>
  <si>
    <t>Selvyana Ayu Pratiwi</t>
  </si>
  <si>
    <t>19/446567/TK/48672</t>
  </si>
  <si>
    <t>18 Januari 2023</t>
  </si>
  <si>
    <t>3,12</t>
  </si>
  <si>
    <t>25 Januari 2024</t>
  </si>
  <si>
    <t>3,38</t>
  </si>
  <si>
    <t>29 Januari 2024</t>
  </si>
  <si>
    <t>DAFTAR REKAP KELULUSAN MARET 2024 S/D JULI 2025</t>
  </si>
  <si>
    <t>Jml</t>
  </si>
  <si>
    <t>Genap 2023/2024</t>
  </si>
  <si>
    <t>Februai - Juli 2024</t>
  </si>
  <si>
    <t>Ganjil 2024/2025</t>
  </si>
  <si>
    <t>Genap 2024/2025</t>
  </si>
  <si>
    <t>Lama</t>
  </si>
  <si>
    <t>Studi</t>
  </si>
  <si>
    <t>7.4</t>
  </si>
  <si>
    <t>bl</t>
  </si>
  <si>
    <t>6.4</t>
  </si>
  <si>
    <t>5.4</t>
  </si>
  <si>
    <t>4.4</t>
  </si>
  <si>
    <t>7.3</t>
  </si>
  <si>
    <t>8.8</t>
  </si>
  <si>
    <t>5.8</t>
  </si>
  <si>
    <t>4.8</t>
  </si>
  <si>
    <t>lama</t>
  </si>
  <si>
    <t>studi</t>
  </si>
  <si>
    <t>TAHUN</t>
  </si>
  <si>
    <t>tahun</t>
  </si>
  <si>
    <t>BULAN</t>
  </si>
  <si>
    <t>bulan</t>
  </si>
  <si>
    <t>Tahun</t>
  </si>
  <si>
    <t>Bulan</t>
  </si>
  <si>
    <t>11bulan</t>
  </si>
  <si>
    <t>hari</t>
  </si>
  <si>
    <t>2021/2022-2</t>
  </si>
  <si>
    <t>2022/2023-1</t>
  </si>
  <si>
    <t>2022/2023-2</t>
  </si>
  <si>
    <t>2023/2024-1</t>
  </si>
  <si>
    <t>2023/2024-2</t>
  </si>
  <si>
    <t>Jonathan Edward</t>
  </si>
  <si>
    <t>20/463318/TK/51310</t>
  </si>
  <si>
    <t>3.31</t>
  </si>
  <si>
    <t>Ardiansyah Nugroho Wicaksono</t>
  </si>
  <si>
    <t>20/460243/TK/50832</t>
  </si>
  <si>
    <t>3.15</t>
  </si>
  <si>
    <t>Muhammad Odi Rizkiansyah</t>
  </si>
  <si>
    <t>20/460267/TK/50856</t>
  </si>
  <si>
    <t>3.38</t>
  </si>
  <si>
    <t>Swilfred Gabriel Damanik</t>
  </si>
  <si>
    <t>20/463338/TK/51330</t>
  </si>
  <si>
    <t>3.10</t>
  </si>
  <si>
    <r>
      <rPr>
        <sz val="11"/>
        <rFont val="Times New Roman"/>
        <family val="1"/>
      </rPr>
      <t>Henry Alin Setiawan</t>
    </r>
  </si>
  <si>
    <r>
      <rPr>
        <sz val="11"/>
        <rFont val="Times New Roman"/>
        <family val="1"/>
      </rPr>
      <t>17/410212/TK/45569</t>
    </r>
  </si>
  <si>
    <r>
      <rPr>
        <sz val="11"/>
        <rFont val="Times New Roman"/>
        <family val="1"/>
      </rPr>
      <t>Alya Sitaningrum</t>
    </r>
  </si>
  <si>
    <r>
      <rPr>
        <sz val="11"/>
        <rFont val="Times New Roman"/>
        <family val="1"/>
      </rPr>
      <t>20/456138/TK/50268</t>
    </r>
  </si>
  <si>
    <r>
      <rPr>
        <sz val="11"/>
        <rFont val="Times New Roman"/>
        <family val="1"/>
      </rPr>
      <t>Fredy Rizal Pratama</t>
    </r>
  </si>
  <si>
    <r>
      <rPr>
        <sz val="11"/>
        <rFont val="Times New Roman"/>
        <family val="1"/>
      </rPr>
      <t>20/456146/TK/50276</t>
    </r>
  </si>
  <si>
    <r>
      <rPr>
        <sz val="11"/>
        <rFont val="Times New Roman"/>
        <family val="1"/>
      </rPr>
      <t>Muhammad Apriliano Bagaskara</t>
    </r>
  </si>
  <si>
    <r>
      <rPr>
        <sz val="11"/>
        <rFont val="Times New Roman"/>
        <family val="1"/>
      </rPr>
      <t>19/446556/TK/49661</t>
    </r>
  </si>
  <si>
    <r>
      <rPr>
        <sz val="11"/>
        <rFont val="Times New Roman"/>
        <family val="1"/>
      </rPr>
      <t>Virra Hanindia</t>
    </r>
  </si>
  <si>
    <r>
      <rPr>
        <sz val="11"/>
        <rFont val="Times New Roman"/>
        <family val="1"/>
      </rPr>
      <t>19/440264/TK/48591</t>
    </r>
  </si>
  <si>
    <r>
      <rPr>
        <sz val="11"/>
        <rFont val="Times New Roman"/>
        <family val="1"/>
      </rPr>
      <t>Farry Handika Nuradhiba</t>
    </r>
  </si>
  <si>
    <r>
      <rPr>
        <sz val="11"/>
        <rFont val="Times New Roman"/>
        <family val="1"/>
      </rPr>
      <t>17/410206/TK/45563</t>
    </r>
  </si>
  <si>
    <r>
      <rPr>
        <sz val="11"/>
        <rFont val="Times New Roman"/>
        <family val="1"/>
      </rPr>
      <t>Muhamad Rury Romdani</t>
    </r>
  </si>
  <si>
    <r>
      <rPr>
        <sz val="11"/>
        <rFont val="Times New Roman"/>
        <family val="1"/>
      </rPr>
      <t>17/415145/Tk/46434</t>
    </r>
  </si>
  <si>
    <r>
      <rPr>
        <sz val="11"/>
        <rFont val="Times New Roman"/>
        <family val="1"/>
      </rPr>
      <t>Muhammad Zaqia Mumtaz</t>
    </r>
  </si>
  <si>
    <r>
      <rPr>
        <sz val="11"/>
        <rFont val="Times New Roman"/>
        <family val="1"/>
      </rPr>
      <t>19/446554/TK/49659</t>
    </r>
  </si>
  <si>
    <r>
      <rPr>
        <sz val="11"/>
        <rFont val="Times New Roman"/>
        <family val="1"/>
      </rPr>
      <t>Nando Yudhanto Ajisukma</t>
    </r>
  </si>
  <si>
    <r>
      <rPr>
        <sz val="11"/>
        <rFont val="Times New Roman"/>
        <family val="1"/>
      </rPr>
      <t>19/446559/TK/49664</t>
    </r>
  </si>
  <si>
    <r>
      <rPr>
        <sz val="11"/>
        <rFont val="Times New Roman"/>
        <family val="1"/>
      </rPr>
      <t>Miftachul Huda</t>
    </r>
  </si>
  <si>
    <r>
      <rPr>
        <sz val="11"/>
        <rFont val="Times New Roman"/>
        <family val="1"/>
      </rPr>
      <t>20/456158/TK/50288</t>
    </r>
  </si>
  <si>
    <r>
      <rPr>
        <sz val="11"/>
        <rFont val="Times New Roman"/>
        <family val="1"/>
      </rPr>
      <t>Salma Hanun Hanifah</t>
    </r>
  </si>
  <si>
    <r>
      <rPr>
        <sz val="11"/>
        <rFont val="Times New Roman"/>
        <family val="1"/>
      </rPr>
      <t>20/456168/TK/50298</t>
    </r>
  </si>
  <si>
    <r>
      <rPr>
        <sz val="11"/>
        <rFont val="Times New Roman"/>
        <family val="1"/>
      </rPr>
      <t>Leo Nanda Renaldo Syah</t>
    </r>
  </si>
  <si>
    <r>
      <rPr>
        <sz val="11"/>
        <rFont val="Times New Roman"/>
        <family val="1"/>
      </rPr>
      <t>20/456740/TK/50564</t>
    </r>
  </si>
  <si>
    <r>
      <rPr>
        <sz val="11"/>
        <rFont val="Times New Roman"/>
        <family val="1"/>
      </rPr>
      <t>Sultan Dzaki Zhulfaliant</t>
    </r>
  </si>
  <si>
    <r>
      <rPr>
        <sz val="11"/>
        <rFont val="Times New Roman"/>
        <family val="1"/>
      </rPr>
      <t>20/460278/TK/50867</t>
    </r>
  </si>
  <si>
    <r>
      <rPr>
        <sz val="11"/>
        <rFont val="Times New Roman"/>
        <family val="1"/>
      </rPr>
      <t>Asha Devyanika</t>
    </r>
  </si>
  <si>
    <r>
      <rPr>
        <sz val="11"/>
        <rFont val="Times New Roman"/>
        <family val="1"/>
      </rPr>
      <t>20/463301/TK/51293</t>
    </r>
  </si>
  <si>
    <t>Hawa' Qurrota A'yun</t>
  </si>
  <si>
    <t>Muhammad Rifky Reza</t>
  </si>
  <si>
    <t>Rizky Firstia Nita Putri Uluputty</t>
  </si>
  <si>
    <t>Ade Mawardi</t>
  </si>
  <si>
    <t>Gabriel Saud Sihombing</t>
  </si>
  <si>
    <t>Muhammad Farhan Abiyyu</t>
  </si>
  <si>
    <t>Sheva Aulia Rahman</t>
  </si>
  <si>
    <t>Aris Dwi Setyawan</t>
  </si>
  <si>
    <t>Ifan Maulana</t>
  </si>
  <si>
    <t>Lutfy Angsoka Novita</t>
  </si>
  <si>
    <t>Muhammad Adikka Bagus Mahendra</t>
  </si>
  <si>
    <t>Pasadina Dwi Tatakun</t>
  </si>
  <si>
    <t>Divara Bonifasia Sutopo</t>
  </si>
  <si>
    <t>Khilda Nadhifa</t>
  </si>
  <si>
    <t>Muhammad Rifki</t>
  </si>
  <si>
    <t>Muhadzdzib Dzaky Ra'uf</t>
  </si>
  <si>
    <t>Daffa Mumtaza Jabbar</t>
  </si>
  <si>
    <t>Pavel Parulian Sihaloho</t>
  </si>
  <si>
    <t>Affero Sulthan Abyan</t>
  </si>
  <si>
    <t>Aji Sugiantoro</t>
  </si>
  <si>
    <t>Faradilla Rizki Rufia</t>
  </si>
  <si>
    <t>Nisrina Firdausi Ramadhani</t>
  </si>
  <si>
    <t>Praba Sultan Arian Alhamdy Syukron</t>
  </si>
  <si>
    <t>Putri Rut Monica Aprinia</t>
  </si>
  <si>
    <t>Muhammad Zaenal Abidin</t>
  </si>
  <si>
    <t>Hasna Silvia Widiyani</t>
  </si>
  <si>
    <t>Shinta Puspa Megawanti</t>
  </si>
  <si>
    <t>Mayla Tasya Nabila</t>
  </si>
  <si>
    <t>Devin Vedyan Arkananta</t>
  </si>
  <si>
    <t>Farah Fadila Winarko</t>
  </si>
  <si>
    <t>Rahardiani Retnaningtyas</t>
  </si>
  <si>
    <t>Safira Ardelia Oktaviani</t>
  </si>
  <si>
    <t>Vernika Silviana</t>
  </si>
  <si>
    <t>Dimas Hammam Abyan</t>
  </si>
  <si>
    <t>Enjel Lyka Siahaan</t>
  </si>
  <si>
    <t>Yolanda Wulandari</t>
  </si>
  <si>
    <t>Adilla Hana Salsabila</t>
  </si>
  <si>
    <t>Divina Diananda Putri</t>
  </si>
  <si>
    <t>Wiritania Raisa Maharani</t>
  </si>
  <si>
    <t>Mukhammad Naufal Ali Khayati</t>
  </si>
  <si>
    <t>MS. Diyan Daflisal Putra</t>
  </si>
  <si>
    <t>Ahmad Nafi'ul Lubab</t>
  </si>
  <si>
    <t>Syarafina Rizka Lutviani</t>
  </si>
  <si>
    <t>Alfin Adiasmara Jati</t>
  </si>
  <si>
    <t>Firda Nur Azizah</t>
  </si>
  <si>
    <t>Michael Krisna Revio Putra</t>
  </si>
  <si>
    <t>Adinda Widya Kusuma Dewi</t>
  </si>
  <si>
    <t>David Cleo Gultom</t>
  </si>
  <si>
    <t>Fairus Naveel Mubarok</t>
  </si>
  <si>
    <t>Gregorius Pragnya Dipta Baskara</t>
  </si>
  <si>
    <t>Assyfa Hesa Maharani</t>
  </si>
  <si>
    <t>Molek Dara Cahayamata</t>
  </si>
  <si>
    <t>Noviana Firdha Devira Ramadhanti</t>
  </si>
  <si>
    <t>Rahimima Dyah Nur Aisyah</t>
  </si>
  <si>
    <t>Satria Arya Wibisono</t>
  </si>
  <si>
    <t>Yudhisthira Lukman Kestiarto</t>
  </si>
  <si>
    <t>Akmal Noor Hidayat</t>
  </si>
  <si>
    <t>Nisrina Azza Salma</t>
  </si>
  <si>
    <t>Nanda Aragani Putra</t>
  </si>
  <si>
    <t>Muhamad Dani</t>
  </si>
  <si>
    <t>Muhammad Dzaki Pratama Ramadaniyoko</t>
  </si>
  <si>
    <t>Ridwan Widahana</t>
  </si>
  <si>
    <t>Rizky Diyan Adityo</t>
  </si>
  <si>
    <t>Rizky Ghiffaari Hafydh</t>
  </si>
  <si>
    <t>Muhammad Ibnu Fauzi</t>
  </si>
  <si>
    <t>Sonia Mahiranisa</t>
  </si>
  <si>
    <t>Muhammad Fakhreza Atfiansyah</t>
  </si>
  <si>
    <t>Alvin Diro</t>
  </si>
  <si>
    <t>Muhammad Azhar Rafi' Samudra</t>
  </si>
  <si>
    <t>Nayunda Ichda Malikul Chusna</t>
  </si>
  <si>
    <t>Anda Lusia</t>
  </si>
  <si>
    <t>Tiara Asri Aryati</t>
  </si>
  <si>
    <t>Muhammad Zikri Ramadhan Hr</t>
  </si>
  <si>
    <t>Muhammad Alif Arrasyid Hurraeroh</t>
  </si>
  <si>
    <t>Mutiara Yulia Bunga Pertiwi</t>
  </si>
  <si>
    <t>Salsabila Hamada Wisanggeni</t>
  </si>
  <si>
    <t>Raphael Aji Kuncoro</t>
  </si>
  <si>
    <t>Raffi Satya Nugraha</t>
  </si>
  <si>
    <t>Fiqri Fahra</t>
  </si>
  <si>
    <t>Zahra Tul Fuada</t>
  </si>
  <si>
    <t>Dimas Aldy Yuditama</t>
  </si>
  <si>
    <t>Catra Adya Pradipta</t>
  </si>
  <si>
    <t>Ardine Bagus Fernanda</t>
  </si>
  <si>
    <t>Kirana Pirandika Ayuputri</t>
  </si>
  <si>
    <t>Maisya Wafda Yushinayuha</t>
  </si>
  <si>
    <t>Arindra Wening Safira</t>
  </si>
  <si>
    <t>Mohammad Zulfi Rahadi Putra</t>
  </si>
  <si>
    <t>Alya Rahmadiani Faiza</t>
  </si>
  <si>
    <t>Zulviana Rahmadina</t>
  </si>
  <si>
    <t>Mardiyah Ayu Parahita</t>
  </si>
  <si>
    <t>Najieda Azka</t>
  </si>
  <si>
    <t>Wahyu Cahyaningrum Kusumawati</t>
  </si>
  <si>
    <t>Salzabila Enzal Putri</t>
  </si>
  <si>
    <t>Anak Agung Adi Putra Wiguna Jaya</t>
  </si>
  <si>
    <t>Aviena Lovi Istiqomah</t>
  </si>
  <si>
    <t>Abel Sanova Haspi</t>
  </si>
  <si>
    <t>Krishna Duta Wibisono</t>
  </si>
  <si>
    <t>Roy Fikrian</t>
  </si>
  <si>
    <t>Lintang Restu Fatikhah</t>
  </si>
  <si>
    <t>Affan Syamaidzar</t>
  </si>
  <si>
    <t>Fadia Aulia Wirdanayah</t>
  </si>
  <si>
    <t>Muhammad Rakha Fadhila</t>
  </si>
  <si>
    <t>Galendra Brilliana Putsa Johanna</t>
  </si>
  <si>
    <t>Cantika Prameswari Darmawan</t>
  </si>
  <si>
    <t>Natasha Devy Larasati</t>
  </si>
  <si>
    <t>Yuafa Natasha Amanna</t>
  </si>
  <si>
    <t>Naila Nabila Zulfah</t>
  </si>
  <si>
    <t>Muhammad Rafi Hakimi</t>
  </si>
  <si>
    <t>Bayana Afifah Dharmajati</t>
  </si>
  <si>
    <t>Nur Intan Komala Dewi</t>
  </si>
  <si>
    <t>Lissatu Qurrotil Ainiyyah</t>
  </si>
  <si>
    <t>Rifqi Dhiya Musyaffa</t>
  </si>
  <si>
    <t>Sinta Alfi Royanul Mansurina</t>
  </si>
  <si>
    <t>Daniel Hisar Siahaan</t>
  </si>
  <si>
    <t>Naflah Khansa Imtinan</t>
  </si>
  <si>
    <t>Wiranto Aji Abimanyu</t>
  </si>
  <si>
    <t>Muhammad Irfan Fadlil Amal</t>
  </si>
  <si>
    <t>Azis Mulya Affandy</t>
  </si>
  <si>
    <t>Afifudin Nudianto</t>
  </si>
  <si>
    <t>Kevin Duta Mulia</t>
  </si>
  <si>
    <t>Mochammad Irdan Bagus Prasetyo</t>
  </si>
  <si>
    <t>Muhammad Ichsanuddin Naufal</t>
  </si>
  <si>
    <t>Medhia Miftahurroyan</t>
  </si>
  <si>
    <t>Nabila Putri Azzahra</t>
  </si>
  <si>
    <t>Rusdy Wastu Kancana</t>
  </si>
  <si>
    <t>Ketut Angga Nadiartha</t>
  </si>
  <si>
    <t>Michael Ariel Brema Pinem</t>
  </si>
  <si>
    <t>Sayyida Amalia Zahra</t>
  </si>
  <si>
    <t>Ade Putri Nurvadia</t>
  </si>
  <si>
    <t>Putri Ainul Hamdi</t>
  </si>
  <si>
    <t>Dionysius Swedha Cahya Danendra</t>
  </si>
  <si>
    <t>Widya Desy Inaya Rawi</t>
  </si>
  <si>
    <t>Anqori Shofia Alfariza Baroroh</t>
  </si>
  <si>
    <t>Fahrudinar Rosyid Muhammad</t>
  </si>
  <si>
    <t>Muhammad Ahsanul Adib</t>
  </si>
  <si>
    <t>Bramudya Rizqi Alvianto</t>
  </si>
  <si>
    <t>Aisya Nur Rahmawati</t>
  </si>
  <si>
    <t>Larasati Salma Rosyadi</t>
  </si>
  <si>
    <t>Farashya Zikrina Dewantoro</t>
  </si>
  <si>
    <t>20/456150/TK/50280</t>
  </si>
  <si>
    <t>20/456160/TK/50290</t>
  </si>
  <si>
    <t>20/456165/TK/50295</t>
  </si>
  <si>
    <t>20/460236/TK/50825</t>
  </si>
  <si>
    <t>20/460252/TK/50841</t>
  </si>
  <si>
    <t>20/460260/TK/50849</t>
  </si>
  <si>
    <t>20/460277/TK/50866</t>
  </si>
  <si>
    <t>20/463300/TK/51292</t>
  </si>
  <si>
    <t>20/463315/TK/51307</t>
  </si>
  <si>
    <t>20/463319/TK/51311</t>
  </si>
  <si>
    <t>20/463320/TK51312</t>
  </si>
  <si>
    <t>20/463327/TK/51319</t>
  </si>
  <si>
    <t>20/456143/TK/50273</t>
  </si>
  <si>
    <t>20/456153/TK/50283</t>
  </si>
  <si>
    <t>20/456159/TK/50289</t>
  </si>
  <si>
    <t>20/463324/TK/51316</t>
  </si>
  <si>
    <t>19/443666/TK/48862</t>
  </si>
  <si>
    <t>20/456743/TK/50567</t>
  </si>
  <si>
    <t>20/460240/TK/50829</t>
  </si>
  <si>
    <t>20/460241/TK/50830</t>
  </si>
  <si>
    <t>20/460250/TK/50839</t>
  </si>
  <si>
    <t>20/460272/TK/50861</t>
  </si>
  <si>
    <t>20/460273/TK/50862</t>
  </si>
  <si>
    <t>20/460274/TK/50863</t>
  </si>
  <si>
    <t>20/463323/TK/51315</t>
  </si>
  <si>
    <t>20/456149/TK/50279</t>
  </si>
  <si>
    <t>20/456748/TK/50572</t>
  </si>
  <si>
    <t>20/460261/TK/50850</t>
  </si>
  <si>
    <t>20/463309/TK/51301</t>
  </si>
  <si>
    <t>20/463314/TK/51306</t>
  </si>
  <si>
    <t>20/463328/TK/51320</t>
  </si>
  <si>
    <t>20/463335/TK/51327</t>
  </si>
  <si>
    <t>20/463340/TK/51332</t>
  </si>
  <si>
    <t>20/460248/TK/50837</t>
  </si>
  <si>
    <t>20/456739/TK/50563</t>
  </si>
  <si>
    <t>20/463344/TK/51336</t>
  </si>
  <si>
    <t>20/460238/TK/50827</t>
  </si>
  <si>
    <t>20/456144/TK/50274</t>
  </si>
  <si>
    <t>20/463343/TK/51335</t>
  </si>
  <si>
    <t>20/463325/TK/51317</t>
  </si>
  <si>
    <t>20/460263/TK/50852</t>
  </si>
  <si>
    <t>18/428694/TK/47196</t>
  </si>
  <si>
    <t>18/428737/TK/47239</t>
  </si>
  <si>
    <t>18/431123/TK/47716</t>
  </si>
  <si>
    <t>20/456145/TK/50275</t>
  </si>
  <si>
    <t>20/456157/TK/50287</t>
  </si>
  <si>
    <t>20/460239/TK/50828</t>
  </si>
  <si>
    <t>20/460246/TK/50835</t>
  </si>
  <si>
    <t>20/460249/TK/50838</t>
  </si>
  <si>
    <t>20/460253/TK/50842</t>
  </si>
  <si>
    <t>20/463302/TK/51294</t>
  </si>
  <si>
    <t>20/463322/TK/51314</t>
  </si>
  <si>
    <t>20/463326/TK/51318</t>
  </si>
  <si>
    <t>20/463329/TK/51321</t>
  </si>
  <si>
    <t>20/463336/TK/51328</t>
  </si>
  <si>
    <t>19/443710/TK/48906</t>
  </si>
  <si>
    <t>20/463297/TK/51289</t>
  </si>
  <si>
    <t>20/456164/TK/50294</t>
  </si>
  <si>
    <t>20/460268/TK/50857</t>
  </si>
  <si>
    <t>20/460264/Tk/50853</t>
  </si>
  <si>
    <t>20/460265/Tk/50854</t>
  </si>
  <si>
    <t>20/463331/TK/51323</t>
  </si>
  <si>
    <t>20/456746/Tk/50570</t>
  </si>
  <si>
    <t>20/456747/TK/50571</t>
  </si>
  <si>
    <t>20/460266/TK/50855</t>
  </si>
  <si>
    <t>21/480485/TK/53014</t>
  </si>
  <si>
    <t>20/463321/TK/51313</t>
  </si>
  <si>
    <t>20/463298/TK/51290</t>
  </si>
  <si>
    <t>21/473930/TK/52258</t>
  </si>
  <si>
    <t>21/481730/TK/53167</t>
  </si>
  <si>
    <t>21/475331/TK/52466</t>
  </si>
  <si>
    <t>19/439656/TK/48386</t>
  </si>
  <si>
    <t>19/443696/TK/48892</t>
  </si>
  <si>
    <t>20/456154/TK/50284</t>
  </si>
  <si>
    <t>20/456161/TK/50291</t>
  </si>
  <si>
    <t>20/460276/TK/50865</t>
  </si>
  <si>
    <t>20/463330/TK/51322</t>
  </si>
  <si>
    <t>21/473263/TK/52148</t>
  </si>
  <si>
    <t>21/473296/TK/52153</t>
  </si>
  <si>
    <t>21/473690/TK/52212</t>
  </si>
  <si>
    <t>21/473725/TK/52222</t>
  </si>
  <si>
    <t>21/474042/TK/52276</t>
  </si>
  <si>
    <t>21/474374/TK/52337</t>
  </si>
  <si>
    <t>21/474429/TK/52345</t>
  </si>
  <si>
    <t>21/474618/TK/52361</t>
  </si>
  <si>
    <t>21/474680/TK/52370</t>
  </si>
  <si>
    <t>21/474695/TK/52374</t>
  </si>
  <si>
    <t>21/474764/TK/52385</t>
  </si>
  <si>
    <t>21/474845/TK/52405</t>
  </si>
  <si>
    <t>21/474859/TK/52409</t>
  </si>
  <si>
    <t>21/474881/TK/52415</t>
  </si>
  <si>
    <t>21/475332/TK/52467</t>
  </si>
  <si>
    <t>21/475426/TK/52482</t>
  </si>
  <si>
    <t>21/476573/TK/52484</t>
  </si>
  <si>
    <t>21/476728/TK/52500</t>
  </si>
  <si>
    <t>21/477538/TK/52596</t>
  </si>
  <si>
    <t>21/477815/TK/52631</t>
  </si>
  <si>
    <t>21/477839/TK/52634</t>
  </si>
  <si>
    <t>21/478359/TK/52715</t>
  </si>
  <si>
    <t>21/478449/TK/52723</t>
  </si>
  <si>
    <t>21/479001/TK/52787</t>
  </si>
  <si>
    <t>21/479212/TK/52830</t>
  </si>
  <si>
    <t>21/479283/TK/52847</t>
  </si>
  <si>
    <t>21/479284/TK/52848</t>
  </si>
  <si>
    <t>21/479289/TK/52851</t>
  </si>
  <si>
    <t>21/479301/TK/52857</t>
  </si>
  <si>
    <t>21/479308/TK/52859</t>
  </si>
  <si>
    <t>21/479315/TK/52862</t>
  </si>
  <si>
    <t>21/479425/TK/52896</t>
  </si>
  <si>
    <t>21/480077/TK/52972</t>
  </si>
  <si>
    <t>21/480268/TK/52994</t>
  </si>
  <si>
    <t>21/481431/TK/53140</t>
  </si>
  <si>
    <t>21/482524/TK/53299</t>
  </si>
  <si>
    <t>21/482609/TK/53322</t>
  </si>
  <si>
    <t>21/482735/TK/53355</t>
  </si>
  <si>
    <t>21/482784/TK/53369</t>
  </si>
  <si>
    <t>21/482862/TK/53384</t>
  </si>
  <si>
    <t>21/482897/TK/53388</t>
  </si>
  <si>
    <t>18/428693/TK/47195</t>
  </si>
  <si>
    <t>18/428715/TK/47217</t>
  </si>
  <si>
    <t>18/428719/TK/47221</t>
  </si>
  <si>
    <t>18/431139/TK/47732</t>
  </si>
  <si>
    <t>20/456156/TK/50286</t>
  </si>
  <si>
    <t>20/456162/TK/50292</t>
  </si>
  <si>
    <t>20/456166/TK/50296</t>
  </si>
  <si>
    <t>20/460257/TK/50846</t>
  </si>
  <si>
    <t>21/473164/TK/52135</t>
  </si>
  <si>
    <t>21/473489/TK/52186</t>
  </si>
  <si>
    <t>21/473813/TK/52236</t>
  </si>
  <si>
    <t>21/473962/TK/52264</t>
  </si>
  <si>
    <t>21/474007/TK/52270</t>
  </si>
  <si>
    <t>21/474665/TK/52366</t>
  </si>
  <si>
    <t>21/478132/TK/52689</t>
  </si>
  <si>
    <t>21/479333/TK/52865</t>
  </si>
  <si>
    <t>21/479397/TK/52884</t>
  </si>
  <si>
    <t>21/480455/TK/53012</t>
  </si>
  <si>
    <t>21/482082/TK/53215</t>
  </si>
  <si>
    <t>21/482322/TK/53253</t>
  </si>
  <si>
    <t>21/482568/TK/53311</t>
  </si>
  <si>
    <t>3,56</t>
  </si>
  <si>
    <t>3,18</t>
  </si>
  <si>
    <t>3,44</t>
  </si>
  <si>
    <t>3,79</t>
  </si>
  <si>
    <t>Acept 263</t>
  </si>
  <si>
    <t>2,90</t>
  </si>
  <si>
    <t>211 (AcEPT)</t>
  </si>
  <si>
    <t>3,17</t>
  </si>
  <si>
    <t>245 (AcEPT)</t>
  </si>
  <si>
    <t>2,91</t>
  </si>
  <si>
    <t>3,02</t>
  </si>
  <si>
    <t>333 (AcEPT)</t>
  </si>
  <si>
    <t>3,08</t>
  </si>
  <si>
    <t>288 (AcEPT)</t>
  </si>
  <si>
    <t>3,86</t>
  </si>
  <si>
    <t>371 (Accept)</t>
  </si>
  <si>
    <t>347 (AcEPT)</t>
  </si>
  <si>
    <t>321 (AcEPT)</t>
  </si>
  <si>
    <t>231 (AcEPT)</t>
  </si>
  <si>
    <t>2,60</t>
  </si>
  <si>
    <t>3,15</t>
  </si>
  <si>
    <t>Asha Devyanika</t>
  </si>
  <si>
    <t>masa studi</t>
  </si>
  <si>
    <t>bulan 18 hari</t>
  </si>
  <si>
    <t>ulan</t>
  </si>
  <si>
    <t>3 tahun 7 bulan</t>
  </si>
  <si>
    <t>3 tahun 8 bulan</t>
  </si>
  <si>
    <t>Mochammad Afifuddin</t>
  </si>
  <si>
    <t>20/456742/TK/50566</t>
  </si>
  <si>
    <t>Hani Nikmah Syafira</t>
  </si>
  <si>
    <t>21/474839/TK/52403</t>
  </si>
  <si>
    <t>Ilham Satria Wiwoho</t>
  </si>
  <si>
    <t>21/477847/TK/52637</t>
  </si>
  <si>
    <t>Muhammad Farrell Wardhana</t>
  </si>
  <si>
    <t>21/480089/TK/52974</t>
  </si>
  <si>
    <t>Rizqi Adi Bagus Wicaksono</t>
  </si>
  <si>
    <t>21/482600/TK/53319</t>
  </si>
  <si>
    <t>Ferina Ade Ratri</t>
  </si>
  <si>
    <t>21/474254/TK/52313</t>
  </si>
  <si>
    <t>307 (AcEPT)</t>
  </si>
  <si>
    <t>Bias Rambu Suchinta</t>
  </si>
  <si>
    <t>21/477197/TK/52552</t>
  </si>
  <si>
    <t>210 (AcEPT)</t>
  </si>
  <si>
    <t>Ikraminuzul Shiyam Husaini</t>
  </si>
  <si>
    <t>21/478197/TK/52697</t>
  </si>
  <si>
    <t>223 (AcEPT)</t>
  </si>
  <si>
    <t>Rafy Hendriawan</t>
  </si>
  <si>
    <t>21/479394/TK/52883</t>
  </si>
  <si>
    <t>Feni Kusuma Maharani</t>
  </si>
  <si>
    <t>21/480522/TK/53020</t>
  </si>
  <si>
    <t>5.5 (IELTS)</t>
  </si>
  <si>
    <t>Muhammad Abdul Ghofur Assyauqy</t>
  </si>
  <si>
    <t>21/482313/TK/53251</t>
  </si>
  <si>
    <t>304 (AcEPT)</t>
  </si>
  <si>
    <t>Yasmin Menanda Haliza</t>
  </si>
  <si>
    <t>21/474901/TK/52419</t>
  </si>
  <si>
    <t>Rahmat Dwi Kurniawan</t>
  </si>
  <si>
    <t>21/476764/TK/52503</t>
  </si>
  <si>
    <t>214 (AcEPT)</t>
  </si>
  <si>
    <t>Jevan Rofelix Pardede</t>
  </si>
  <si>
    <t>21/479210/TK/52828</t>
  </si>
  <si>
    <t>Nadia Angelina Putri</t>
  </si>
  <si>
    <t>21/479256/TK/52839</t>
  </si>
  <si>
    <t>236 (AcEPT)</t>
  </si>
  <si>
    <t>Falah Ahsan Muhammad</t>
  </si>
  <si>
    <t>21/479831/TK/52945</t>
  </si>
  <si>
    <t>216 (AcEPT)</t>
  </si>
  <si>
    <t>Nugroho Faisal Pawiro</t>
  </si>
  <si>
    <t>21/479854/TK/52950</t>
  </si>
  <si>
    <t>Adhy Prasongko</t>
  </si>
  <si>
    <t>21/480437/TK/53009</t>
  </si>
  <si>
    <t>Naufal Hilmi Yanuar</t>
  </si>
  <si>
    <t>21/480790/TK/53059</t>
  </si>
  <si>
    <t>Nada Nafilatu Zulfa</t>
  </si>
  <si>
    <t>21/482339/TK/53260</t>
  </si>
  <si>
    <t>269 (AcEPT)</t>
  </si>
  <si>
    <t>Ardhian Raka Saputra</t>
  </si>
  <si>
    <t>21/482393/TK/53274</t>
  </si>
  <si>
    <t>323 (AcEPT)</t>
  </si>
  <si>
    <t>Ganjil 2025/2026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</si>
</sst>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_(* #,##0.00_);_(* \(#,##0.00\);_(* &quot;-&quot;??_);_(@_)"/>
    <numFmt numFmtId="165" formatCode="0.0"/>
    <numFmt numFmtId="166" formatCode="_(* #,##0_);_(* \(#,##0\);_(* &quot;-&quot;??_);_(@_)"/>
    <numFmt numFmtId="167" formatCode="[$-F800]dddd\,\ mmmm\ dd\,\ yyyy"/>
    <numFmt numFmtId="168" formatCode="dd/mm/yy;@"/>
    <numFmt numFmtId="169" formatCode="[$-13809]dd\ mmmm\ yyyy;@"/>
    <numFmt numFmtId="170" formatCode="[$-13809]dd/mm/yyyy;@"/>
    <numFmt numFmtId="171" formatCode="dd/mm/yyyy;@"/>
  </numFmts>
  <fonts count="37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0"/>
      <name val="Arial Narrow"/>
      <family val="2"/>
    </font>
    <font>
      <sz val="10"/>
      <color indexed="12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0"/>
      <color indexed="8"/>
      <name val="Arial"/>
      <family val="2"/>
    </font>
    <font>
      <sz val="10"/>
      <color theme="1"/>
      <name val="Arial Narrow"/>
      <family val="2"/>
    </font>
    <font>
      <sz val="10"/>
      <color indexed="8"/>
      <name val="Arial Narrow"/>
      <family val="2"/>
    </font>
    <font>
      <sz val="11"/>
      <color indexed="8"/>
      <name val="Calibri"/>
      <family val="2"/>
    </font>
    <font>
      <sz val="10"/>
      <color rgb="FF000000"/>
      <name val="Arial Narrow"/>
      <family val="2"/>
    </font>
    <font>
      <sz val="11"/>
      <color theme="1"/>
      <name val="Aptos Narrow"/>
      <family val="2"/>
      <charset val="1"/>
      <scheme val="minor"/>
    </font>
    <font>
      <sz val="11"/>
      <name val="Arial"/>
      <family val="2"/>
    </font>
    <font>
      <sz val="11"/>
      <color theme="1"/>
      <name val="Arial"/>
      <family val="2"/>
    </font>
    <font>
      <b/>
      <u/>
      <sz val="11"/>
      <name val="Arial"/>
      <family val="2"/>
    </font>
    <font>
      <sz val="11"/>
      <color indexed="12"/>
      <name val="Arial"/>
      <family val="2"/>
    </font>
    <font>
      <b/>
      <sz val="11"/>
      <name val="Arial"/>
      <family val="2"/>
    </font>
    <font>
      <i/>
      <sz val="11"/>
      <name val="Arial"/>
      <family val="2"/>
    </font>
    <font>
      <sz val="11"/>
      <color indexed="10"/>
      <name val="Arial"/>
      <family val="2"/>
    </font>
    <font>
      <b/>
      <sz val="11"/>
      <color theme="1"/>
      <name val="Arial"/>
      <family val="2"/>
    </font>
    <font>
      <sz val="11"/>
      <color indexed="8"/>
      <name val="Arial"/>
      <family val="2"/>
    </font>
    <font>
      <sz val="11"/>
      <color rgb="FF000000"/>
      <name val="Arial"/>
      <family val="2"/>
    </font>
    <font>
      <b/>
      <sz val="11"/>
      <color indexed="8"/>
      <name val="Arial"/>
      <family val="2"/>
    </font>
    <font>
      <b/>
      <sz val="11"/>
      <color rgb="FF000000"/>
      <name val="Arial"/>
      <family val="2"/>
    </font>
    <font>
      <i/>
      <sz val="11"/>
      <color theme="1"/>
      <name val="Arial"/>
      <family val="2"/>
    </font>
    <font>
      <sz val="11"/>
      <color rgb="FF333333"/>
      <name val="Arial"/>
      <family val="2"/>
    </font>
    <font>
      <sz val="11"/>
      <color rgb="FFFF0000"/>
      <name val="Arial"/>
      <family val="2"/>
    </font>
    <font>
      <sz val="10"/>
      <color theme="1"/>
      <name val="Arial"/>
      <family val="2"/>
    </font>
    <font>
      <sz val="8"/>
      <name val="Aptos Narrow"/>
      <family val="2"/>
      <scheme val="minor"/>
    </font>
    <font>
      <sz val="12"/>
      <color theme="1"/>
      <name val="Times New Roman"/>
      <family val="1"/>
    </font>
    <font>
      <b/>
      <sz val="11"/>
      <color theme="1"/>
      <name val="Aptos Narrow"/>
      <family val="2"/>
      <scheme val="minor"/>
    </font>
    <font>
      <b/>
      <sz val="12"/>
      <color theme="1"/>
      <name val="Arial"/>
      <family val="2"/>
    </font>
    <font>
      <b/>
      <sz val="11"/>
      <color theme="1"/>
      <name val="Aptos Narrow"/>
      <family val="2"/>
      <scheme val="minor"/>
    </font>
    <font>
      <b/>
      <sz val="10"/>
      <color theme="1"/>
      <name val="Arial"/>
      <family val="2"/>
    </font>
    <font>
      <sz val="11"/>
      <color theme="1"/>
      <name val="Times New Roman"/>
      <family val="1"/>
    </font>
    <font>
      <sz val="11"/>
      <name val="Times New Roman"/>
      <family val="1"/>
    </font>
    <font>
      <sz val="11"/>
      <color rgb="FF000000"/>
      <name val="Times New Roman"/>
      <family val="2"/>
    </font>
  </fonts>
  <fills count="1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79998168889431442"/>
        <bgColor indexed="64"/>
      </patternFill>
    </fill>
  </fills>
  <borders count="26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/>
      <top/>
      <bottom/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 style="thin">
        <color indexed="22"/>
      </left>
      <right style="thin">
        <color indexed="22"/>
      </right>
      <top/>
      <bottom/>
      <diagonal/>
    </border>
    <border>
      <left style="thin">
        <color indexed="22"/>
      </left>
      <right style="thin">
        <color indexed="22"/>
      </right>
      <top/>
      <bottom style="thin">
        <color indexed="2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 style="thin">
        <color indexed="22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3">
    <xf numFmtId="0" fontId="0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1" fillId="0" borderId="0"/>
  </cellStyleXfs>
  <cellXfs count="415">
    <xf numFmtId="0" fontId="0" fillId="0" borderId="0" xfId="0"/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/>
    <xf numFmtId="0" fontId="0" fillId="2" borderId="0" xfId="0" applyFill="1"/>
    <xf numFmtId="0" fontId="3" fillId="0" borderId="0" xfId="0" applyFont="1"/>
    <xf numFmtId="0" fontId="4" fillId="0" borderId="0" xfId="0" applyFont="1"/>
    <xf numFmtId="0" fontId="7" fillId="0" borderId="0" xfId="0" applyFont="1" applyAlignment="1">
      <alignment vertical="top" wrapText="1"/>
    </xf>
    <xf numFmtId="0" fontId="9" fillId="0" borderId="1" xfId="1" applyFont="1" applyBorder="1" applyAlignment="1">
      <alignment wrapText="1"/>
    </xf>
    <xf numFmtId="0" fontId="10" fillId="0" borderId="0" xfId="0" applyFont="1" applyAlignment="1">
      <alignment vertical="top" wrapText="1"/>
    </xf>
    <xf numFmtId="0" fontId="9" fillId="0" borderId="1" xfId="3" applyFont="1" applyBorder="1" applyAlignment="1">
      <alignment horizontal="center" vertical="center" wrapText="1"/>
    </xf>
    <xf numFmtId="1" fontId="0" fillId="0" borderId="0" xfId="0" applyNumberFormat="1"/>
    <xf numFmtId="0" fontId="9" fillId="0" borderId="0" xfId="3" applyFont="1" applyAlignment="1">
      <alignment horizontal="center" vertical="center" wrapText="1"/>
    </xf>
    <xf numFmtId="0" fontId="8" fillId="0" borderId="1" xfId="10" applyFont="1" applyBorder="1" applyAlignment="1">
      <alignment horizontal="center" wrapText="1"/>
    </xf>
    <xf numFmtId="2" fontId="0" fillId="0" borderId="0" xfId="0" applyNumberFormat="1"/>
    <xf numFmtId="0" fontId="5" fillId="2" borderId="0" xfId="0" applyFont="1" applyFill="1"/>
    <xf numFmtId="2" fontId="5" fillId="2" borderId="0" xfId="0" applyNumberFormat="1" applyFont="1" applyFill="1"/>
    <xf numFmtId="165" fontId="5" fillId="2" borderId="0" xfId="0" applyNumberFormat="1" applyFont="1" applyFill="1"/>
    <xf numFmtId="0" fontId="12" fillId="0" borderId="0" xfId="0" applyFont="1" applyAlignment="1">
      <alignment horizontal="center"/>
    </xf>
    <xf numFmtId="0" fontId="12" fillId="0" borderId="0" xfId="0" applyFont="1"/>
    <xf numFmtId="0" fontId="13" fillId="0" borderId="0" xfId="0" applyFont="1" applyAlignment="1">
      <alignment horizontal="center"/>
    </xf>
    <xf numFmtId="0" fontId="13" fillId="0" borderId="0" xfId="0" applyFont="1"/>
    <xf numFmtId="0" fontId="12" fillId="2" borderId="0" xfId="0" applyFont="1" applyFill="1" applyAlignment="1">
      <alignment horizontal="center"/>
    </xf>
    <xf numFmtId="0" fontId="13" fillId="2" borderId="0" xfId="0" applyFont="1" applyFill="1" applyAlignment="1">
      <alignment horizontal="center"/>
    </xf>
    <xf numFmtId="0" fontId="13" fillId="2" borderId="0" xfId="0" applyFont="1" applyFill="1"/>
    <xf numFmtId="0" fontId="12" fillId="2" borderId="0" xfId="0" applyFont="1" applyFill="1"/>
    <xf numFmtId="0" fontId="15" fillId="0" borderId="0" xfId="0" applyFont="1" applyAlignment="1">
      <alignment horizontal="center"/>
    </xf>
    <xf numFmtId="0" fontId="15" fillId="0" borderId="0" xfId="0" applyFont="1"/>
    <xf numFmtId="17" fontId="12" fillId="0" borderId="0" xfId="0" applyNumberFormat="1" applyFont="1" applyAlignment="1">
      <alignment horizontal="center"/>
    </xf>
    <xf numFmtId="0" fontId="16" fillId="0" borderId="0" xfId="0" applyFont="1"/>
    <xf numFmtId="2" fontId="16" fillId="0" borderId="0" xfId="0" applyNumberFormat="1" applyFont="1"/>
    <xf numFmtId="0" fontId="12" fillId="0" borderId="0" xfId="0" applyFont="1" applyAlignment="1">
      <alignment horizontal="right"/>
    </xf>
    <xf numFmtId="2" fontId="12" fillId="0" borderId="0" xfId="0" applyNumberFormat="1" applyFont="1" applyAlignment="1">
      <alignment horizontal="right"/>
    </xf>
    <xf numFmtId="0" fontId="16" fillId="0" borderId="0" xfId="0" applyFont="1" applyAlignment="1">
      <alignment horizontal="left"/>
    </xf>
    <xf numFmtId="165" fontId="16" fillId="0" borderId="0" xfId="0" applyNumberFormat="1" applyFont="1"/>
    <xf numFmtId="164" fontId="16" fillId="0" borderId="0" xfId="0" applyNumberFormat="1" applyFont="1"/>
    <xf numFmtId="166" fontId="16" fillId="0" borderId="0" xfId="0" applyNumberFormat="1" applyFont="1"/>
    <xf numFmtId="0" fontId="18" fillId="0" borderId="0" xfId="0" applyFont="1" applyAlignment="1">
      <alignment horizontal="center"/>
    </xf>
    <xf numFmtId="0" fontId="20" fillId="0" borderId="1" xfId="1" applyFont="1" applyBorder="1" applyAlignment="1">
      <alignment wrapText="1"/>
    </xf>
    <xf numFmtId="0" fontId="20" fillId="0" borderId="1" xfId="1" applyFont="1" applyBorder="1" applyAlignment="1">
      <alignment horizontal="center" wrapText="1"/>
    </xf>
    <xf numFmtId="1" fontId="16" fillId="0" borderId="0" xfId="0" applyNumberFormat="1" applyFont="1"/>
    <xf numFmtId="0" fontId="20" fillId="0" borderId="0" xfId="1" applyFont="1" applyAlignment="1">
      <alignment horizontal="center" wrapText="1"/>
    </xf>
    <xf numFmtId="0" fontId="16" fillId="0" borderId="0" xfId="0" applyFont="1" applyAlignment="1">
      <alignment horizontal="center"/>
    </xf>
    <xf numFmtId="0" fontId="13" fillId="0" borderId="0" xfId="0" applyFont="1" applyAlignment="1">
      <alignment vertical="top" wrapText="1"/>
    </xf>
    <xf numFmtId="0" fontId="13" fillId="0" borderId="0" xfId="0" applyFont="1" applyAlignment="1">
      <alignment horizontal="center" vertical="top" wrapText="1"/>
    </xf>
    <xf numFmtId="0" fontId="21" fillId="0" borderId="0" xfId="0" applyFont="1" applyAlignment="1">
      <alignment horizontal="center" vertical="top" wrapText="1"/>
    </xf>
    <xf numFmtId="0" fontId="22" fillId="0" borderId="1" xfId="1" applyFont="1" applyBorder="1" applyAlignment="1">
      <alignment wrapText="1"/>
    </xf>
    <xf numFmtId="0" fontId="20" fillId="0" borderId="1" xfId="3" applyFont="1" applyBorder="1" applyAlignment="1">
      <alignment wrapText="1"/>
    </xf>
    <xf numFmtId="0" fontId="20" fillId="0" borderId="1" xfId="3" applyFont="1" applyBorder="1" applyAlignment="1">
      <alignment horizontal="center" wrapText="1"/>
    </xf>
    <xf numFmtId="0" fontId="20" fillId="0" borderId="1" xfId="4" applyFont="1" applyBorder="1" applyAlignment="1">
      <alignment wrapText="1"/>
    </xf>
    <xf numFmtId="0" fontId="20" fillId="0" borderId="1" xfId="6" applyFont="1" applyBorder="1" applyAlignment="1">
      <alignment wrapText="1"/>
    </xf>
    <xf numFmtId="0" fontId="20" fillId="0" borderId="1" xfId="6" applyFont="1" applyBorder="1" applyAlignment="1">
      <alignment horizontal="center" wrapText="1"/>
    </xf>
    <xf numFmtId="0" fontId="22" fillId="0" borderId="1" xfId="6" applyFont="1" applyBorder="1" applyAlignment="1">
      <alignment horizontal="center" wrapText="1"/>
    </xf>
    <xf numFmtId="0" fontId="22" fillId="0" borderId="2" xfId="1" applyFont="1" applyBorder="1" applyAlignment="1">
      <alignment horizontal="center" wrapText="1"/>
    </xf>
    <xf numFmtId="0" fontId="21" fillId="0" borderId="3" xfId="0" applyFont="1" applyBorder="1" applyAlignment="1">
      <alignment vertical="center" wrapText="1"/>
    </xf>
    <xf numFmtId="1" fontId="23" fillId="0" borderId="3" xfId="0" applyNumberFormat="1" applyFont="1" applyBorder="1" applyAlignment="1">
      <alignment vertical="center" wrapText="1"/>
    </xf>
    <xf numFmtId="0" fontId="23" fillId="0" borderId="3" xfId="0" applyFont="1" applyBorder="1" applyAlignment="1">
      <alignment vertical="center" wrapText="1"/>
    </xf>
    <xf numFmtId="0" fontId="22" fillId="0" borderId="0" xfId="1" applyFont="1" applyAlignment="1">
      <alignment horizontal="center" wrapText="1"/>
    </xf>
    <xf numFmtId="0" fontId="20" fillId="0" borderId="1" xfId="7" applyFont="1" applyBorder="1" applyAlignment="1">
      <alignment horizontal="center" wrapText="1"/>
    </xf>
    <xf numFmtId="1" fontId="13" fillId="0" borderId="0" xfId="0" applyNumberFormat="1" applyFont="1"/>
    <xf numFmtId="0" fontId="20" fillId="0" borderId="1" xfId="8" applyFont="1" applyBorder="1" applyAlignment="1">
      <alignment wrapText="1"/>
    </xf>
    <xf numFmtId="0" fontId="20" fillId="0" borderId="0" xfId="3" applyFont="1" applyAlignment="1">
      <alignment wrapText="1"/>
    </xf>
    <xf numFmtId="0" fontId="20" fillId="0" borderId="0" xfId="7" applyFont="1" applyAlignment="1">
      <alignment horizontal="center" wrapText="1"/>
    </xf>
    <xf numFmtId="0" fontId="20" fillId="0" borderId="5" xfId="7" applyFont="1" applyBorder="1" applyAlignment="1">
      <alignment horizontal="center" wrapText="1"/>
    </xf>
    <xf numFmtId="0" fontId="20" fillId="0" borderId="1" xfId="9" applyFont="1" applyBorder="1" applyAlignment="1">
      <alignment wrapText="1"/>
    </xf>
    <xf numFmtId="0" fontId="20" fillId="0" borderId="1" xfId="9" applyFont="1" applyBorder="1" applyAlignment="1">
      <alignment horizontal="center" wrapText="1"/>
    </xf>
    <xf numFmtId="0" fontId="20" fillId="0" borderId="0" xfId="9" applyFont="1" applyAlignment="1">
      <alignment wrapText="1"/>
    </xf>
    <xf numFmtId="0" fontId="20" fillId="0" borderId="0" xfId="9" applyFont="1" applyAlignment="1">
      <alignment horizontal="center" wrapText="1"/>
    </xf>
    <xf numFmtId="0" fontId="21" fillId="0" borderId="0" xfId="0" applyFont="1" applyAlignment="1">
      <alignment vertical="center"/>
    </xf>
    <xf numFmtId="0" fontId="21" fillId="0" borderId="0" xfId="0" applyFont="1" applyAlignment="1">
      <alignment horizontal="center" vertical="center"/>
    </xf>
    <xf numFmtId="0" fontId="21" fillId="0" borderId="0" xfId="0" applyFont="1" applyAlignment="1">
      <alignment horizontal="left" vertical="center"/>
    </xf>
    <xf numFmtId="0" fontId="20" fillId="0" borderId="1" xfId="10" applyFont="1" applyBorder="1" applyAlignment="1">
      <alignment wrapText="1"/>
    </xf>
    <xf numFmtId="1" fontId="20" fillId="0" borderId="1" xfId="10" applyNumberFormat="1" applyFont="1" applyBorder="1" applyAlignment="1">
      <alignment wrapText="1"/>
    </xf>
    <xf numFmtId="0" fontId="21" fillId="0" borderId="0" xfId="0" applyFont="1" applyAlignment="1">
      <alignment horizontal="center" vertical="center" wrapText="1"/>
    </xf>
    <xf numFmtId="0" fontId="21" fillId="0" borderId="0" xfId="0" applyFont="1" applyAlignment="1">
      <alignment horizontal="left" vertical="center" wrapText="1"/>
    </xf>
    <xf numFmtId="0" fontId="20" fillId="0" borderId="1" xfId="11" applyFont="1" applyBorder="1" applyAlignment="1">
      <alignment horizontal="center" wrapText="1"/>
    </xf>
    <xf numFmtId="0" fontId="20" fillId="0" borderId="1" xfId="3" applyFont="1" applyBorder="1" applyAlignment="1">
      <alignment horizontal="center"/>
    </xf>
    <xf numFmtId="0" fontId="21" fillId="0" borderId="0" xfId="12" applyFont="1" applyAlignment="1">
      <alignment vertical="center"/>
    </xf>
    <xf numFmtId="0" fontId="21" fillId="0" borderId="0" xfId="12" applyFont="1" applyAlignment="1">
      <alignment horizontal="center" vertical="center"/>
    </xf>
    <xf numFmtId="0" fontId="20" fillId="0" borderId="4" xfId="3" applyFont="1" applyBorder="1" applyAlignment="1">
      <alignment horizontal="center"/>
    </xf>
    <xf numFmtId="165" fontId="13" fillId="0" borderId="0" xfId="0" applyNumberFormat="1" applyFont="1"/>
    <xf numFmtId="0" fontId="21" fillId="0" borderId="0" xfId="0" applyFont="1" applyAlignment="1">
      <alignment horizontal="center" vertical="top"/>
    </xf>
    <xf numFmtId="0" fontId="21" fillId="2" borderId="0" xfId="0" applyFont="1" applyFill="1" applyAlignment="1">
      <alignment horizontal="center" vertical="center"/>
    </xf>
    <xf numFmtId="0" fontId="21" fillId="2" borderId="0" xfId="0" applyFont="1" applyFill="1" applyAlignment="1">
      <alignment horizontal="center" vertical="top"/>
    </xf>
    <xf numFmtId="2" fontId="12" fillId="0" borderId="0" xfId="0" applyNumberFormat="1" applyFont="1"/>
    <xf numFmtId="165" fontId="12" fillId="0" borderId="0" xfId="0" applyNumberFormat="1" applyFont="1"/>
    <xf numFmtId="2" fontId="13" fillId="0" borderId="0" xfId="0" applyNumberFormat="1" applyFont="1"/>
    <xf numFmtId="0" fontId="13" fillId="0" borderId="0" xfId="0" applyFont="1" applyAlignment="1">
      <alignment horizontal="right"/>
    </xf>
    <xf numFmtId="0" fontId="21" fillId="0" borderId="0" xfId="0" applyFont="1" applyAlignment="1">
      <alignment horizontal="right" vertical="center"/>
    </xf>
    <xf numFmtId="1" fontId="21" fillId="0" borderId="0" xfId="0" applyNumberFormat="1" applyFont="1" applyAlignment="1">
      <alignment horizontal="center" vertical="top" shrinkToFit="1"/>
    </xf>
    <xf numFmtId="1" fontId="16" fillId="0" borderId="0" xfId="0" applyNumberFormat="1" applyFont="1" applyAlignment="1">
      <alignment horizontal="center"/>
    </xf>
    <xf numFmtId="0" fontId="20" fillId="0" borderId="7" xfId="7" applyFont="1" applyBorder="1" applyAlignment="1">
      <alignment horizontal="center" wrapText="1"/>
    </xf>
    <xf numFmtId="0" fontId="20" fillId="0" borderId="7" xfId="1" applyFont="1" applyBorder="1" applyAlignment="1">
      <alignment horizontal="center" wrapText="1"/>
    </xf>
    <xf numFmtId="0" fontId="20" fillId="0" borderId="8" xfId="1" applyFont="1" applyBorder="1" applyAlignment="1">
      <alignment horizontal="center" wrapText="1"/>
    </xf>
    <xf numFmtId="0" fontId="20" fillId="0" borderId="7" xfId="11" applyFont="1" applyBorder="1" applyAlignment="1">
      <alignment horizontal="center" wrapText="1"/>
    </xf>
    <xf numFmtId="0" fontId="20" fillId="0" borderId="7" xfId="3" applyFont="1" applyBorder="1" applyAlignment="1">
      <alignment horizontal="center"/>
    </xf>
    <xf numFmtId="1" fontId="21" fillId="0" borderId="9" xfId="0" applyNumberFormat="1" applyFont="1" applyBorder="1" applyAlignment="1">
      <alignment horizontal="center" vertical="top" shrinkToFit="1"/>
    </xf>
    <xf numFmtId="1" fontId="21" fillId="0" borderId="10" xfId="0" applyNumberFormat="1" applyFont="1" applyBorder="1" applyAlignment="1">
      <alignment horizontal="center" vertical="top" shrinkToFit="1"/>
    </xf>
    <xf numFmtId="0" fontId="12" fillId="0" borderId="10" xfId="0" applyFont="1" applyBorder="1" applyAlignment="1">
      <alignment horizontal="left" vertical="top"/>
    </xf>
    <xf numFmtId="0" fontId="12" fillId="0" borderId="6" xfId="0" applyFont="1" applyBorder="1" applyAlignment="1">
      <alignment horizontal="center"/>
    </xf>
    <xf numFmtId="0" fontId="16" fillId="0" borderId="6" xfId="0" applyFont="1" applyBorder="1" applyAlignment="1">
      <alignment horizontal="center"/>
    </xf>
    <xf numFmtId="0" fontId="12" fillId="0" borderId="6" xfId="0" applyFont="1" applyBorder="1"/>
    <xf numFmtId="1" fontId="12" fillId="0" borderId="6" xfId="0" applyNumberFormat="1" applyFont="1" applyBorder="1" applyAlignment="1">
      <alignment horizontal="center"/>
    </xf>
    <xf numFmtId="14" fontId="12" fillId="0" borderId="6" xfId="0" applyNumberFormat="1" applyFont="1" applyBorder="1" applyAlignment="1">
      <alignment horizontal="center"/>
    </xf>
    <xf numFmtId="1" fontId="12" fillId="0" borderId="6" xfId="0" applyNumberFormat="1" applyFont="1" applyBorder="1"/>
    <xf numFmtId="0" fontId="12" fillId="2" borderId="6" xfId="0" applyFont="1" applyFill="1" applyBorder="1" applyAlignment="1">
      <alignment horizontal="center"/>
    </xf>
    <xf numFmtId="1" fontId="12" fillId="2" borderId="6" xfId="0" applyNumberFormat="1" applyFont="1" applyFill="1" applyBorder="1"/>
    <xf numFmtId="1" fontId="12" fillId="2" borderId="6" xfId="0" applyNumberFormat="1" applyFont="1" applyFill="1" applyBorder="1" applyAlignment="1">
      <alignment horizontal="center"/>
    </xf>
    <xf numFmtId="14" fontId="12" fillId="2" borderId="6" xfId="0" applyNumberFormat="1" applyFont="1" applyFill="1" applyBorder="1" applyAlignment="1">
      <alignment horizontal="center"/>
    </xf>
    <xf numFmtId="164" fontId="12" fillId="0" borderId="6" xfId="0" applyNumberFormat="1" applyFont="1" applyBorder="1" applyAlignment="1">
      <alignment horizontal="center"/>
    </xf>
    <xf numFmtId="1" fontId="14" fillId="0" borderId="6" xfId="0" applyNumberFormat="1" applyFont="1" applyBorder="1"/>
    <xf numFmtId="1" fontId="12" fillId="0" borderId="6" xfId="0" applyNumberFormat="1" applyFont="1" applyBorder="1" applyAlignment="1">
      <alignment horizontal="left"/>
    </xf>
    <xf numFmtId="0" fontId="14" fillId="0" borderId="6" xfId="0" applyFont="1" applyBorder="1"/>
    <xf numFmtId="0" fontId="12" fillId="2" borderId="6" xfId="0" applyFont="1" applyFill="1" applyBorder="1"/>
    <xf numFmtId="0" fontId="12" fillId="0" borderId="6" xfId="0" applyFont="1" applyBorder="1" applyAlignment="1">
      <alignment horizontal="justify" vertical="top" wrapText="1"/>
    </xf>
    <xf numFmtId="0" fontId="12" fillId="3" borderId="6" xfId="0" applyFont="1" applyFill="1" applyBorder="1" applyAlignment="1">
      <alignment horizontal="center" vertical="top" wrapText="1"/>
    </xf>
    <xf numFmtId="0" fontId="14" fillId="0" borderId="6" xfId="0" applyFont="1" applyBorder="1" applyAlignment="1">
      <alignment horizontal="justify" vertical="top" wrapText="1"/>
    </xf>
    <xf numFmtId="0" fontId="12" fillId="0" borderId="6" xfId="0" applyFont="1" applyBorder="1" applyAlignment="1">
      <alignment vertical="top" wrapText="1"/>
    </xf>
    <xf numFmtId="0" fontId="15" fillId="0" borderId="6" xfId="0" applyFont="1" applyBorder="1" applyAlignment="1">
      <alignment horizontal="justify" vertical="top" wrapText="1"/>
    </xf>
    <xf numFmtId="0" fontId="15" fillId="3" borderId="6" xfId="0" applyFont="1" applyFill="1" applyBorder="1" applyAlignment="1">
      <alignment horizontal="center" vertical="top" wrapText="1"/>
    </xf>
    <xf numFmtId="14" fontId="15" fillId="0" borderId="6" xfId="0" applyNumberFormat="1" applyFont="1" applyBorder="1" applyAlignment="1">
      <alignment horizontal="center"/>
    </xf>
    <xf numFmtId="0" fontId="15" fillId="0" borderId="6" xfId="0" applyFont="1" applyBorder="1" applyAlignment="1">
      <alignment horizontal="center"/>
    </xf>
    <xf numFmtId="0" fontId="12" fillId="0" borderId="6" xfId="0" applyFont="1" applyBorder="1" applyAlignment="1">
      <alignment horizontal="center" vertical="top" wrapText="1"/>
    </xf>
    <xf numFmtId="0" fontId="12" fillId="4" borderId="6" xfId="0" applyFont="1" applyFill="1" applyBorder="1" applyAlignment="1">
      <alignment horizontal="center"/>
    </xf>
    <xf numFmtId="164" fontId="12" fillId="4" borderId="6" xfId="0" applyNumberFormat="1" applyFont="1" applyFill="1" applyBorder="1" applyAlignment="1">
      <alignment horizontal="center"/>
    </xf>
    <xf numFmtId="0" fontId="12" fillId="0" borderId="6" xfId="0" applyFont="1" applyBorder="1" applyAlignment="1">
      <alignment horizontal="left"/>
    </xf>
    <xf numFmtId="0" fontId="17" fillId="0" borderId="6" xfId="0" applyFont="1" applyBorder="1" applyAlignment="1">
      <alignment horizontal="center" vertical="top" wrapText="1"/>
    </xf>
    <xf numFmtId="0" fontId="17" fillId="4" borderId="6" xfId="0" applyFont="1" applyFill="1" applyBorder="1" applyAlignment="1">
      <alignment horizontal="center" vertical="top" wrapText="1"/>
    </xf>
    <xf numFmtId="0" fontId="16" fillId="0" borderId="6" xfId="0" applyFont="1" applyBorder="1" applyAlignment="1">
      <alignment vertical="top" wrapText="1"/>
    </xf>
    <xf numFmtId="2" fontId="12" fillId="0" borderId="6" xfId="0" applyNumberFormat="1" applyFont="1" applyBorder="1" applyAlignment="1">
      <alignment horizontal="center"/>
    </xf>
    <xf numFmtId="2" fontId="17" fillId="0" borderId="6" xfId="0" applyNumberFormat="1" applyFont="1" applyBorder="1" applyAlignment="1">
      <alignment horizontal="center" vertical="top" wrapText="1"/>
    </xf>
    <xf numFmtId="0" fontId="13" fillId="0" borderId="6" xfId="0" applyFont="1" applyBorder="1"/>
    <xf numFmtId="0" fontId="12" fillId="3" borderId="6" xfId="0" applyFont="1" applyFill="1" applyBorder="1" applyAlignment="1">
      <alignment horizontal="justify" vertical="top" wrapText="1"/>
    </xf>
    <xf numFmtId="2" fontId="12" fillId="3" borderId="6" xfId="0" applyNumberFormat="1" applyFont="1" applyFill="1" applyBorder="1" applyAlignment="1">
      <alignment horizontal="center" vertical="top" wrapText="1"/>
    </xf>
    <xf numFmtId="0" fontId="12" fillId="3" borderId="6" xfId="0" applyFont="1" applyFill="1" applyBorder="1" applyAlignment="1">
      <alignment vertical="top" wrapText="1"/>
    </xf>
    <xf numFmtId="0" fontId="12" fillId="0" borderId="6" xfId="0" applyFont="1" applyBorder="1" applyAlignment="1">
      <alignment wrapText="1"/>
    </xf>
    <xf numFmtId="0" fontId="12" fillId="0" borderId="6" xfId="0" applyFont="1" applyBorder="1" applyAlignment="1">
      <alignment horizontal="center" wrapText="1"/>
    </xf>
    <xf numFmtId="14" fontId="12" fillId="0" borderId="6" xfId="0" applyNumberFormat="1" applyFont="1" applyBorder="1" applyAlignment="1">
      <alignment horizontal="center" wrapText="1"/>
    </xf>
    <xf numFmtId="2" fontId="12" fillId="0" borderId="6" xfId="0" applyNumberFormat="1" applyFont="1" applyBorder="1" applyAlignment="1">
      <alignment horizontal="center" wrapText="1"/>
    </xf>
    <xf numFmtId="0" fontId="16" fillId="0" borderId="6" xfId="0" applyFont="1" applyBorder="1" applyAlignment="1">
      <alignment wrapText="1"/>
    </xf>
    <xf numFmtId="2" fontId="12" fillId="0" borderId="6" xfId="0" applyNumberFormat="1" applyFont="1" applyBorder="1" applyAlignment="1">
      <alignment horizontal="center" vertical="top" wrapText="1"/>
    </xf>
    <xf numFmtId="0" fontId="19" fillId="5" borderId="6" xfId="0" applyFont="1" applyFill="1" applyBorder="1" applyAlignment="1">
      <alignment horizontal="center" vertical="top" wrapText="1"/>
    </xf>
    <xf numFmtId="0" fontId="12" fillId="2" borderId="6" xfId="0" applyFont="1" applyFill="1" applyBorder="1" applyAlignment="1">
      <alignment vertical="top" wrapText="1"/>
    </xf>
    <xf numFmtId="0" fontId="20" fillId="0" borderId="6" xfId="1" applyFont="1" applyBorder="1" applyAlignment="1">
      <alignment horizontal="center" wrapText="1"/>
    </xf>
    <xf numFmtId="0" fontId="17" fillId="3" borderId="6" xfId="0" applyFont="1" applyFill="1" applyBorder="1" applyAlignment="1">
      <alignment horizontal="center" vertical="top" wrapText="1"/>
    </xf>
    <xf numFmtId="165" fontId="16" fillId="0" borderId="6" xfId="0" applyNumberFormat="1" applyFont="1" applyBorder="1" applyAlignment="1">
      <alignment horizontal="center"/>
    </xf>
    <xf numFmtId="0" fontId="16" fillId="0" borderId="6" xfId="0" applyFont="1" applyBorder="1"/>
    <xf numFmtId="0" fontId="13" fillId="5" borderId="6" xfId="0" applyFont="1" applyFill="1" applyBorder="1" applyAlignment="1">
      <alignment horizontal="center" vertical="top" wrapText="1"/>
    </xf>
    <xf numFmtId="0" fontId="19" fillId="0" borderId="6" xfId="0" applyFont="1" applyBorder="1" applyAlignment="1">
      <alignment horizontal="center" vertical="top" wrapText="1"/>
    </xf>
    <xf numFmtId="0" fontId="12" fillId="2" borderId="6" xfId="0" applyFont="1" applyFill="1" applyBorder="1" applyAlignment="1">
      <alignment horizontal="center" vertical="top" wrapText="1"/>
    </xf>
    <xf numFmtId="1" fontId="12" fillId="2" borderId="6" xfId="0" applyNumberFormat="1" applyFont="1" applyFill="1" applyBorder="1" applyAlignment="1">
      <alignment horizontal="center" vertical="top" wrapText="1"/>
    </xf>
    <xf numFmtId="0" fontId="13" fillId="2" borderId="6" xfId="0" applyFont="1" applyFill="1" applyBorder="1" applyAlignment="1">
      <alignment horizontal="center"/>
    </xf>
    <xf numFmtId="1" fontId="12" fillId="0" borderId="6" xfId="0" applyNumberFormat="1" applyFont="1" applyBorder="1" applyAlignment="1">
      <alignment horizontal="center" vertical="top" wrapText="1"/>
    </xf>
    <xf numFmtId="0" fontId="13" fillId="0" borderId="6" xfId="0" applyFont="1" applyBorder="1" applyAlignment="1">
      <alignment horizontal="center"/>
    </xf>
    <xf numFmtId="1" fontId="12" fillId="3" borderId="6" xfId="0" applyNumberFormat="1" applyFont="1" applyFill="1" applyBorder="1" applyAlignment="1">
      <alignment horizontal="center" vertical="top" wrapText="1"/>
    </xf>
    <xf numFmtId="0" fontId="20" fillId="0" borderId="6" xfId="2" applyFont="1" applyBorder="1" applyAlignment="1">
      <alignment wrapText="1"/>
    </xf>
    <xf numFmtId="0" fontId="20" fillId="0" borderId="6" xfId="2" applyFont="1" applyBorder="1" applyAlignment="1">
      <alignment horizontal="center" wrapText="1"/>
    </xf>
    <xf numFmtId="1" fontId="20" fillId="0" borderId="6" xfId="2" applyNumberFormat="1" applyFont="1" applyBorder="1" applyAlignment="1">
      <alignment horizontal="center" wrapText="1"/>
    </xf>
    <xf numFmtId="0" fontId="13" fillId="0" borderId="6" xfId="0" applyFont="1" applyBorder="1" applyAlignment="1">
      <alignment vertical="top" wrapText="1"/>
    </xf>
    <xf numFmtId="0" fontId="13" fillId="0" borderId="6" xfId="0" applyFont="1" applyBorder="1" applyAlignment="1">
      <alignment horizontal="center" vertical="top" wrapText="1"/>
    </xf>
    <xf numFmtId="1" fontId="13" fillId="0" borderId="6" xfId="0" applyNumberFormat="1" applyFont="1" applyBorder="1" applyAlignment="1">
      <alignment horizontal="center" vertical="top" wrapText="1"/>
    </xf>
    <xf numFmtId="14" fontId="13" fillId="0" borderId="6" xfId="0" applyNumberFormat="1" applyFont="1" applyBorder="1" applyAlignment="1">
      <alignment horizontal="center" vertical="top" wrapText="1"/>
    </xf>
    <xf numFmtId="0" fontId="21" fillId="0" borderId="6" xfId="0" applyFont="1" applyBorder="1" applyAlignment="1">
      <alignment vertical="top" wrapText="1"/>
    </xf>
    <xf numFmtId="0" fontId="21" fillId="0" borderId="6" xfId="0" applyFont="1" applyBorder="1" applyAlignment="1">
      <alignment horizontal="center" vertical="top" wrapText="1"/>
    </xf>
    <xf numFmtId="1" fontId="21" fillId="0" borderId="6" xfId="0" applyNumberFormat="1" applyFont="1" applyBorder="1" applyAlignment="1">
      <alignment horizontal="center" vertical="top" wrapText="1"/>
    </xf>
    <xf numFmtId="0" fontId="20" fillId="0" borderId="6" xfId="3" applyFont="1" applyBorder="1" applyAlignment="1">
      <alignment wrapText="1"/>
    </xf>
    <xf numFmtId="0" fontId="20" fillId="0" borderId="6" xfId="3" applyFont="1" applyBorder="1" applyAlignment="1">
      <alignment horizontal="center" wrapText="1"/>
    </xf>
    <xf numFmtId="0" fontId="20" fillId="0" borderId="6" xfId="4" applyFont="1" applyBorder="1" applyAlignment="1">
      <alignment wrapText="1"/>
    </xf>
    <xf numFmtId="0" fontId="20" fillId="0" borderId="6" xfId="4" applyFont="1" applyBorder="1" applyAlignment="1">
      <alignment horizontal="center" wrapText="1"/>
    </xf>
    <xf numFmtId="0" fontId="20" fillId="0" borderId="6" xfId="5" applyFont="1" applyBorder="1" applyAlignment="1">
      <alignment horizontal="left" wrapText="1"/>
    </xf>
    <xf numFmtId="0" fontId="20" fillId="0" borderId="6" xfId="5" applyFont="1" applyBorder="1" applyAlignment="1">
      <alignment horizontal="center" wrapText="1"/>
    </xf>
    <xf numFmtId="0" fontId="13" fillId="2" borderId="6" xfId="0" applyFont="1" applyFill="1" applyBorder="1" applyAlignment="1">
      <alignment vertical="top" wrapText="1"/>
    </xf>
    <xf numFmtId="0" fontId="13" fillId="2" borderId="6" xfId="0" applyFont="1" applyFill="1" applyBorder="1" applyAlignment="1">
      <alignment horizontal="center" vertical="top" wrapText="1"/>
    </xf>
    <xf numFmtId="2" fontId="13" fillId="0" borderId="6" xfId="0" applyNumberFormat="1" applyFont="1" applyBorder="1" applyAlignment="1">
      <alignment horizontal="center" vertical="top" wrapText="1"/>
    </xf>
    <xf numFmtId="0" fontId="13" fillId="6" borderId="6" xfId="0" applyFont="1" applyFill="1" applyBorder="1" applyAlignment="1">
      <alignment vertical="top" wrapText="1"/>
    </xf>
    <xf numFmtId="0" fontId="13" fillId="5" borderId="6" xfId="0" applyFont="1" applyFill="1" applyBorder="1" applyAlignment="1">
      <alignment vertical="top" wrapText="1"/>
    </xf>
    <xf numFmtId="0" fontId="19" fillId="5" borderId="6" xfId="0" applyFont="1" applyFill="1" applyBorder="1" applyAlignment="1">
      <alignment vertical="top" wrapText="1"/>
    </xf>
    <xf numFmtId="0" fontId="12" fillId="5" borderId="6" xfId="0" applyFont="1" applyFill="1" applyBorder="1" applyAlignment="1">
      <alignment horizontal="center" vertical="top" wrapText="1"/>
    </xf>
    <xf numFmtId="2" fontId="12" fillId="5" borderId="6" xfId="0" applyNumberFormat="1" applyFont="1" applyFill="1" applyBorder="1" applyAlignment="1">
      <alignment horizontal="center" vertical="top" wrapText="1"/>
    </xf>
    <xf numFmtId="0" fontId="20" fillId="0" borderId="6" xfId="6" applyFont="1" applyBorder="1" applyAlignment="1">
      <alignment wrapText="1"/>
    </xf>
    <xf numFmtId="0" fontId="20" fillId="0" borderId="6" xfId="6" applyFont="1" applyBorder="1" applyAlignment="1">
      <alignment horizontal="center" wrapText="1"/>
    </xf>
    <xf numFmtId="2" fontId="20" fillId="0" borderId="6" xfId="6" applyNumberFormat="1" applyFont="1" applyBorder="1" applyAlignment="1">
      <alignment horizontal="center" wrapText="1"/>
    </xf>
    <xf numFmtId="0" fontId="20" fillId="0" borderId="6" xfId="1" applyFont="1" applyBorder="1" applyAlignment="1">
      <alignment wrapText="1"/>
    </xf>
    <xf numFmtId="2" fontId="20" fillId="0" borderId="6" xfId="1" applyNumberFormat="1" applyFont="1" applyBorder="1" applyAlignment="1">
      <alignment horizontal="center" wrapText="1"/>
    </xf>
    <xf numFmtId="14" fontId="12" fillId="0" borderId="6" xfId="0" applyNumberFormat="1" applyFont="1" applyBorder="1" applyAlignment="1">
      <alignment horizontal="center" vertical="top" wrapText="1"/>
    </xf>
    <xf numFmtId="0" fontId="21" fillId="0" borderId="6" xfId="0" applyFont="1" applyBorder="1" applyAlignment="1">
      <alignment horizontal="center" wrapText="1"/>
    </xf>
    <xf numFmtId="2" fontId="24" fillId="0" borderId="6" xfId="0" applyNumberFormat="1" applyFont="1" applyBorder="1" applyAlignment="1">
      <alignment horizontal="center" vertical="top" wrapText="1"/>
    </xf>
    <xf numFmtId="0" fontId="24" fillId="0" borderId="6" xfId="0" applyFont="1" applyBorder="1" applyAlignment="1">
      <alignment horizontal="center" vertical="top" wrapText="1"/>
    </xf>
    <xf numFmtId="0" fontId="13" fillId="0" borderId="6" xfId="0" applyFont="1" applyBorder="1" applyAlignment="1">
      <alignment horizontal="center" wrapText="1"/>
    </xf>
    <xf numFmtId="0" fontId="25" fillId="0" borderId="6" xfId="0" applyFont="1" applyBorder="1" applyAlignment="1">
      <alignment vertical="top"/>
    </xf>
    <xf numFmtId="0" fontId="25" fillId="0" borderId="6" xfId="0" applyFont="1" applyBorder="1" applyAlignment="1">
      <alignment horizontal="center" vertical="top" wrapText="1"/>
    </xf>
    <xf numFmtId="0" fontId="20" fillId="2" borderId="6" xfId="1" applyFont="1" applyFill="1" applyBorder="1" applyAlignment="1">
      <alignment horizontal="center" wrapText="1"/>
    </xf>
    <xf numFmtId="14" fontId="21" fillId="0" borderId="6" xfId="0" applyNumberFormat="1" applyFont="1" applyBorder="1" applyAlignment="1">
      <alignment horizontal="center" vertical="top" wrapText="1"/>
    </xf>
    <xf numFmtId="0" fontId="21" fillId="2" borderId="6" xfId="0" applyFont="1" applyFill="1" applyBorder="1" applyAlignment="1">
      <alignment horizontal="center" vertical="top" wrapText="1"/>
    </xf>
    <xf numFmtId="0" fontId="20" fillId="0" borderId="6" xfId="7" applyFont="1" applyBorder="1" applyAlignment="1">
      <alignment wrapText="1"/>
    </xf>
    <xf numFmtId="0" fontId="20" fillId="0" borderId="6" xfId="7" applyFont="1" applyBorder="1" applyAlignment="1">
      <alignment horizontal="center" wrapText="1"/>
    </xf>
    <xf numFmtId="0" fontId="20" fillId="0" borderId="6" xfId="3" applyFont="1" applyBorder="1" applyAlignment="1">
      <alignment horizontal="center" vertical="center" wrapText="1"/>
    </xf>
    <xf numFmtId="0" fontId="21" fillId="0" borderId="6" xfId="0" applyFont="1" applyBorder="1"/>
    <xf numFmtId="0" fontId="21" fillId="0" borderId="6" xfId="0" applyFont="1" applyBorder="1" applyAlignment="1">
      <alignment horizontal="left" vertical="top" wrapText="1"/>
    </xf>
    <xf numFmtId="0" fontId="20" fillId="0" borderId="6" xfId="8" applyFont="1" applyBorder="1" applyAlignment="1">
      <alignment horizontal="center" wrapText="1"/>
    </xf>
    <xf numFmtId="49" fontId="12" fillId="0" borderId="6" xfId="0" applyNumberFormat="1" applyFont="1" applyBorder="1" applyAlignment="1">
      <alignment horizontal="center"/>
    </xf>
    <xf numFmtId="0" fontId="12" fillId="0" borderId="6" xfId="0" applyFont="1" applyBorder="1" applyAlignment="1">
      <alignment horizontal="center" vertical="center"/>
    </xf>
    <xf numFmtId="2" fontId="12" fillId="0" borderId="6" xfId="0" applyNumberFormat="1" applyFont="1" applyBorder="1" applyAlignment="1">
      <alignment horizontal="center" vertical="center"/>
    </xf>
    <xf numFmtId="1" fontId="20" fillId="0" borderId="6" xfId="1" applyNumberFormat="1" applyFont="1" applyBorder="1" applyAlignment="1">
      <alignment horizontal="center" wrapText="1"/>
    </xf>
    <xf numFmtId="1" fontId="20" fillId="0" borderId="6" xfId="7" applyNumberFormat="1" applyFont="1" applyBorder="1" applyAlignment="1">
      <alignment horizontal="center" wrapText="1"/>
    </xf>
    <xf numFmtId="0" fontId="20" fillId="0" borderId="6" xfId="9" applyFont="1" applyBorder="1" applyAlignment="1">
      <alignment wrapText="1"/>
    </xf>
    <xf numFmtId="0" fontId="20" fillId="0" borderId="6" xfId="9" applyFont="1" applyBorder="1" applyAlignment="1">
      <alignment horizontal="center" wrapText="1"/>
    </xf>
    <xf numFmtId="1" fontId="20" fillId="0" borderId="6" xfId="9" applyNumberFormat="1" applyFont="1" applyBorder="1" applyAlignment="1">
      <alignment horizontal="center" wrapText="1"/>
    </xf>
    <xf numFmtId="0" fontId="21" fillId="0" borderId="6" xfId="0" applyFont="1" applyBorder="1" applyAlignment="1">
      <alignment vertical="center"/>
    </xf>
    <xf numFmtId="0" fontId="21" fillId="0" borderId="6" xfId="0" applyFont="1" applyBorder="1" applyAlignment="1">
      <alignment horizontal="center" vertical="center"/>
    </xf>
    <xf numFmtId="14" fontId="21" fillId="0" borderId="6" xfId="0" applyNumberFormat="1" applyFont="1" applyBorder="1" applyAlignment="1">
      <alignment horizontal="center" vertical="center"/>
    </xf>
    <xf numFmtId="1" fontId="20" fillId="0" borderId="6" xfId="10" applyNumberFormat="1" applyFont="1" applyBorder="1" applyAlignment="1">
      <alignment horizontal="center" wrapText="1"/>
    </xf>
    <xf numFmtId="0" fontId="21" fillId="7" borderId="6" xfId="0" applyFont="1" applyFill="1" applyBorder="1" applyAlignment="1">
      <alignment horizontal="center" vertical="center"/>
    </xf>
    <xf numFmtId="0" fontId="21" fillId="0" borderId="6" xfId="0" applyFont="1" applyBorder="1" applyAlignment="1">
      <alignment vertical="center" wrapText="1"/>
    </xf>
    <xf numFmtId="0" fontId="21" fillId="0" borderId="6" xfId="0" applyFont="1" applyBorder="1" applyAlignment="1">
      <alignment horizontal="center" vertical="center" wrapText="1"/>
    </xf>
    <xf numFmtId="14" fontId="21" fillId="0" borderId="6" xfId="0" applyNumberFormat="1" applyFont="1" applyBorder="1" applyAlignment="1">
      <alignment horizontal="center" vertical="center" wrapText="1"/>
    </xf>
    <xf numFmtId="1" fontId="20" fillId="0" borderId="6" xfId="3" applyNumberFormat="1" applyFont="1" applyBorder="1" applyAlignment="1">
      <alignment horizontal="center" wrapText="1"/>
    </xf>
    <xf numFmtId="0" fontId="23" fillId="0" borderId="6" xfId="0" applyFont="1" applyBorder="1" applyAlignment="1">
      <alignment vertical="center"/>
    </xf>
    <xf numFmtId="1" fontId="20" fillId="0" borderId="6" xfId="9" applyNumberFormat="1" applyFont="1" applyBorder="1" applyAlignment="1">
      <alignment horizontal="center"/>
    </xf>
    <xf numFmtId="1" fontId="20" fillId="0" borderId="6" xfId="7" applyNumberFormat="1" applyFont="1" applyBorder="1" applyAlignment="1">
      <alignment horizontal="center"/>
    </xf>
    <xf numFmtId="0" fontId="20" fillId="0" borderId="6" xfId="11" applyFont="1" applyBorder="1" applyAlignment="1">
      <alignment wrapText="1"/>
    </xf>
    <xf numFmtId="0" fontId="20" fillId="0" borderId="6" xfId="11" applyFont="1" applyBorder="1" applyAlignment="1">
      <alignment horizontal="center" wrapText="1"/>
    </xf>
    <xf numFmtId="0" fontId="21" fillId="0" borderId="6" xfId="0" applyFont="1" applyBorder="1" applyAlignment="1" applyProtection="1">
      <alignment horizontal="center" vertical="center" wrapText="1"/>
      <protection locked="0"/>
    </xf>
    <xf numFmtId="0" fontId="13" fillId="0" borderId="6" xfId="0" applyFont="1" applyBorder="1" applyAlignment="1">
      <alignment horizontal="center" vertical="center" wrapText="1"/>
    </xf>
    <xf numFmtId="0" fontId="21" fillId="0" borderId="6" xfId="0" applyFont="1" applyBorder="1" applyAlignment="1" applyProtection="1">
      <alignment horizontal="center" vertical="center"/>
      <protection locked="0"/>
    </xf>
    <xf numFmtId="0" fontId="20" fillId="0" borderId="6" xfId="3" applyFont="1" applyBorder="1"/>
    <xf numFmtId="0" fontId="20" fillId="0" borderId="6" xfId="3" applyFont="1" applyBorder="1" applyAlignment="1">
      <alignment horizontal="center"/>
    </xf>
    <xf numFmtId="0" fontId="21" fillId="0" borderId="6" xfId="12" applyFont="1" applyBorder="1" applyAlignment="1">
      <alignment vertical="center"/>
    </xf>
    <xf numFmtId="0" fontId="21" fillId="0" borderId="6" xfId="12" applyFont="1" applyBorder="1" applyAlignment="1">
      <alignment horizontal="center" vertical="center"/>
    </xf>
    <xf numFmtId="14" fontId="13" fillId="0" borderId="6" xfId="12" applyNumberFormat="1" applyFont="1" applyBorder="1" applyAlignment="1">
      <alignment horizontal="center" vertical="center"/>
    </xf>
    <xf numFmtId="0" fontId="23" fillId="0" borderId="6" xfId="12" applyFont="1" applyBorder="1" applyAlignment="1">
      <alignment vertical="center"/>
    </xf>
    <xf numFmtId="14" fontId="13" fillId="0" borderId="6" xfId="12" applyNumberFormat="1" applyFont="1" applyBorder="1" applyAlignment="1">
      <alignment horizontal="center"/>
    </xf>
    <xf numFmtId="14" fontId="13" fillId="0" borderId="6" xfId="0" applyNumberFormat="1" applyFont="1" applyBorder="1" applyAlignment="1">
      <alignment horizontal="center" vertical="center" wrapText="1"/>
    </xf>
    <xf numFmtId="0" fontId="21" fillId="2" borderId="6" xfId="0" applyFont="1" applyFill="1" applyBorder="1" applyAlignment="1">
      <alignment vertical="center"/>
    </xf>
    <xf numFmtId="0" fontId="21" fillId="2" borderId="6" xfId="0" applyFont="1" applyFill="1" applyBorder="1" applyAlignment="1">
      <alignment horizontal="center" vertical="center"/>
    </xf>
    <xf numFmtId="14" fontId="13" fillId="2" borderId="6" xfId="0" applyNumberFormat="1" applyFont="1" applyFill="1" applyBorder="1" applyAlignment="1">
      <alignment horizontal="center"/>
    </xf>
    <xf numFmtId="14" fontId="13" fillId="0" borderId="6" xfId="0" applyNumberFormat="1" applyFont="1" applyBorder="1" applyAlignment="1">
      <alignment horizontal="center"/>
    </xf>
    <xf numFmtId="0" fontId="21" fillId="0" borderId="6" xfId="0" applyFont="1" applyBorder="1" applyAlignment="1">
      <alignment horizontal="left" vertical="center"/>
    </xf>
    <xf numFmtId="14" fontId="12" fillId="0" borderId="6" xfId="0" applyNumberFormat="1" applyFont="1" applyBorder="1"/>
    <xf numFmtId="0" fontId="13" fillId="0" borderId="6" xfId="0" applyFont="1" applyBorder="1" applyAlignment="1">
      <alignment vertical="center"/>
    </xf>
    <xf numFmtId="0" fontId="16" fillId="8" borderId="6" xfId="0" applyFont="1" applyFill="1" applyBorder="1" applyAlignment="1">
      <alignment horizontal="center"/>
    </xf>
    <xf numFmtId="1" fontId="16" fillId="8" borderId="6" xfId="0" applyNumberFormat="1" applyFont="1" applyFill="1" applyBorder="1"/>
    <xf numFmtId="1" fontId="16" fillId="8" borderId="6" xfId="0" applyNumberFormat="1" applyFont="1" applyFill="1" applyBorder="1" applyAlignment="1">
      <alignment horizontal="center"/>
    </xf>
    <xf numFmtId="0" fontId="16" fillId="8" borderId="6" xfId="0" applyFont="1" applyFill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3" fillId="0" borderId="12" xfId="0" applyFont="1" applyBorder="1"/>
    <xf numFmtId="0" fontId="12" fillId="0" borderId="11" xfId="0" applyFont="1" applyBorder="1" applyAlignment="1">
      <alignment horizontal="center"/>
    </xf>
    <xf numFmtId="0" fontId="13" fillId="9" borderId="0" xfId="0" applyFont="1" applyFill="1"/>
    <xf numFmtId="0" fontId="12" fillId="0" borderId="15" xfId="0" applyFont="1" applyBorder="1" applyAlignment="1">
      <alignment horizontal="center"/>
    </xf>
    <xf numFmtId="0" fontId="13" fillId="9" borderId="14" xfId="0" applyFont="1" applyFill="1" applyBorder="1"/>
    <xf numFmtId="0" fontId="27" fillId="10" borderId="0" xfId="0" applyFont="1" applyFill="1" applyAlignment="1">
      <alignment horizontal="left"/>
    </xf>
    <xf numFmtId="0" fontId="26" fillId="10" borderId="16" xfId="0" applyFont="1" applyFill="1" applyBorder="1" applyAlignment="1">
      <alignment horizontal="center"/>
    </xf>
    <xf numFmtId="0" fontId="26" fillId="10" borderId="17" xfId="0" applyFont="1" applyFill="1" applyBorder="1"/>
    <xf numFmtId="0" fontId="26" fillId="10" borderId="19" xfId="0" applyFont="1" applyFill="1" applyBorder="1" applyAlignment="1">
      <alignment horizontal="center"/>
    </xf>
    <xf numFmtId="0" fontId="27" fillId="0" borderId="22" xfId="0" applyFont="1" applyBorder="1" applyAlignment="1">
      <alignment horizontal="left" vertical="top"/>
    </xf>
    <xf numFmtId="167" fontId="27" fillId="0" borderId="22" xfId="0" applyNumberFormat="1" applyFont="1" applyBorder="1"/>
    <xf numFmtId="0" fontId="27" fillId="0" borderId="22" xfId="0" applyFont="1" applyBorder="1"/>
    <xf numFmtId="0" fontId="0" fillId="0" borderId="0" xfId="0" applyAlignment="1">
      <alignment horizontal="center" vertical="top"/>
    </xf>
    <xf numFmtId="0" fontId="27" fillId="0" borderId="22" xfId="0" applyFont="1" applyBorder="1" applyAlignment="1">
      <alignment vertical="top"/>
    </xf>
    <xf numFmtId="14" fontId="13" fillId="0" borderId="15" xfId="12" applyNumberFormat="1" applyFont="1" applyBorder="1" applyAlignment="1">
      <alignment horizontal="center"/>
    </xf>
    <xf numFmtId="167" fontId="13" fillId="0" borderId="0" xfId="12" applyNumberFormat="1" applyFont="1" applyAlignment="1">
      <alignment horizontal="center"/>
    </xf>
    <xf numFmtId="0" fontId="27" fillId="0" borderId="23" xfId="0" applyFont="1" applyBorder="1"/>
    <xf numFmtId="167" fontId="13" fillId="0" borderId="6" xfId="12" applyNumberFormat="1" applyFont="1" applyBorder="1" applyAlignment="1">
      <alignment horizontal="center"/>
    </xf>
    <xf numFmtId="0" fontId="0" fillId="0" borderId="0" xfId="0" applyAlignment="1">
      <alignment vertical="top"/>
    </xf>
    <xf numFmtId="49" fontId="27" fillId="0" borderId="22" xfId="0" applyNumberFormat="1" applyFont="1" applyBorder="1" applyAlignment="1">
      <alignment horizontal="right"/>
    </xf>
    <xf numFmtId="167" fontId="27" fillId="0" borderId="22" xfId="0" applyNumberFormat="1" applyFont="1" applyBorder="1" applyAlignment="1">
      <alignment horizontal="right"/>
    </xf>
    <xf numFmtId="49" fontId="0" fillId="0" borderId="0" xfId="0" applyNumberFormat="1" applyAlignment="1">
      <alignment horizontal="center"/>
    </xf>
    <xf numFmtId="167" fontId="12" fillId="0" borderId="0" xfId="0" applyNumberFormat="1" applyFont="1" applyAlignment="1">
      <alignment horizontal="center"/>
    </xf>
    <xf numFmtId="49" fontId="0" fillId="0" borderId="0" xfId="0" applyNumberFormat="1" applyAlignment="1">
      <alignment horizontal="center" vertical="top"/>
    </xf>
    <xf numFmtId="0" fontId="27" fillId="0" borderId="23" xfId="0" applyFont="1" applyBorder="1" applyAlignment="1">
      <alignment vertical="top"/>
    </xf>
    <xf numFmtId="0" fontId="27" fillId="0" borderId="23" xfId="0" applyFont="1" applyBorder="1" applyAlignment="1">
      <alignment horizontal="right"/>
    </xf>
    <xf numFmtId="0" fontId="27" fillId="0" borderId="0" xfId="0" applyFont="1" applyAlignment="1">
      <alignment vertical="top"/>
    </xf>
    <xf numFmtId="0" fontId="27" fillId="0" borderId="22" xfId="0" applyFont="1" applyBorder="1" applyAlignment="1">
      <alignment horizontal="right"/>
    </xf>
    <xf numFmtId="17" fontId="27" fillId="0" borderId="22" xfId="0" applyNumberFormat="1" applyFont="1" applyBorder="1"/>
    <xf numFmtId="167" fontId="27" fillId="0" borderId="22" xfId="0" applyNumberFormat="1" applyFont="1" applyBorder="1" applyAlignment="1">
      <alignment horizontal="left" vertical="top"/>
    </xf>
    <xf numFmtId="15" fontId="27" fillId="0" borderId="22" xfId="0" applyNumberFormat="1" applyFont="1" applyBorder="1"/>
    <xf numFmtId="167" fontId="27" fillId="0" borderId="22" xfId="0" applyNumberFormat="1" applyFont="1" applyBorder="1" applyAlignment="1">
      <alignment vertical="top"/>
    </xf>
    <xf numFmtId="168" fontId="27" fillId="0" borderId="22" xfId="0" applyNumberFormat="1" applyFont="1" applyBorder="1" applyAlignment="1">
      <alignment horizontal="left" vertical="top"/>
    </xf>
    <xf numFmtId="0" fontId="0" fillId="0" borderId="22" xfId="0" applyBorder="1" applyAlignment="1">
      <alignment vertical="top"/>
    </xf>
    <xf numFmtId="49" fontId="27" fillId="0" borderId="22" xfId="0" applyNumberFormat="1" applyFont="1" applyBorder="1"/>
    <xf numFmtId="49" fontId="29" fillId="0" borderId="0" xfId="0" applyNumberFormat="1" applyFont="1" applyAlignment="1">
      <alignment horizontal="center" vertical="top"/>
    </xf>
    <xf numFmtId="0" fontId="27" fillId="0" borderId="0" xfId="0" applyFont="1"/>
    <xf numFmtId="0" fontId="27" fillId="0" borderId="22" xfId="0" applyFont="1" applyBorder="1" applyAlignment="1">
      <alignment vertical="center"/>
    </xf>
    <xf numFmtId="49" fontId="0" fillId="0" borderId="0" xfId="0" applyNumberFormat="1" applyAlignment="1">
      <alignment horizontal="center" vertical="center"/>
    </xf>
    <xf numFmtId="0" fontId="27" fillId="0" borderId="0" xfId="0" applyFont="1" applyAlignment="1">
      <alignment horizontal="center" wrapText="1"/>
    </xf>
    <xf numFmtId="49" fontId="0" fillId="0" borderId="22" xfId="0" applyNumberFormat="1" applyBorder="1" applyAlignment="1">
      <alignment horizontal="center"/>
    </xf>
    <xf numFmtId="0" fontId="0" fillId="0" borderId="22" xfId="0" applyBorder="1" applyAlignment="1">
      <alignment horizontal="center"/>
    </xf>
    <xf numFmtId="49" fontId="27" fillId="0" borderId="22" xfId="0" applyNumberFormat="1" applyFont="1" applyBorder="1" applyAlignment="1">
      <alignment horizontal="center" wrapText="1"/>
    </xf>
    <xf numFmtId="14" fontId="27" fillId="0" borderId="22" xfId="0" applyNumberFormat="1" applyFont="1" applyBorder="1"/>
    <xf numFmtId="0" fontId="30" fillId="0" borderId="0" xfId="0" applyFont="1"/>
    <xf numFmtId="0" fontId="31" fillId="0" borderId="24" xfId="0" applyFont="1" applyBorder="1" applyAlignment="1">
      <alignment horizontal="left" vertical="top"/>
    </xf>
    <xf numFmtId="0" fontId="31" fillId="0" borderId="24" xfId="0" applyFont="1" applyBorder="1" applyAlignment="1">
      <alignment vertical="top"/>
    </xf>
    <xf numFmtId="0" fontId="31" fillId="0" borderId="24" xfId="0" applyFont="1" applyBorder="1"/>
    <xf numFmtId="0" fontId="12" fillId="0" borderId="12" xfId="0" applyFont="1" applyBorder="1" applyAlignment="1">
      <alignment horizontal="center"/>
    </xf>
    <xf numFmtId="0" fontId="16" fillId="0" borderId="15" xfId="0" applyFont="1" applyBorder="1" applyAlignment="1">
      <alignment horizontal="center"/>
    </xf>
    <xf numFmtId="0" fontId="12" fillId="0" borderId="20" xfId="0" applyFont="1" applyBorder="1" applyAlignment="1">
      <alignment horizontal="center"/>
    </xf>
    <xf numFmtId="0" fontId="12" fillId="0" borderId="18" xfId="0" applyFont="1" applyBorder="1" applyAlignment="1">
      <alignment horizontal="center"/>
    </xf>
    <xf numFmtId="0" fontId="1" fillId="0" borderId="13" xfId="0" applyFont="1" applyBorder="1" applyAlignment="1">
      <alignment vertical="center" wrapText="1"/>
    </xf>
    <xf numFmtId="0" fontId="26" fillId="0" borderId="0" xfId="0" applyFont="1"/>
    <xf numFmtId="0" fontId="32" fillId="0" borderId="0" xfId="0" applyFont="1"/>
    <xf numFmtId="0" fontId="0" fillId="0" borderId="0" xfId="0" applyAlignment="1">
      <alignment horizontal="left"/>
    </xf>
    <xf numFmtId="0" fontId="0" fillId="0" borderId="6" xfId="0" applyBorder="1"/>
    <xf numFmtId="0" fontId="32" fillId="0" borderId="6" xfId="0" applyFont="1" applyBorder="1"/>
    <xf numFmtId="0" fontId="32" fillId="0" borderId="6" xfId="0" applyFont="1" applyBorder="1" applyAlignment="1">
      <alignment horizontal="center"/>
    </xf>
    <xf numFmtId="14" fontId="0" fillId="0" borderId="6" xfId="0" applyNumberFormat="1" applyBorder="1"/>
    <xf numFmtId="1" fontId="0" fillId="0" borderId="6" xfId="0" applyNumberFormat="1" applyBorder="1" applyAlignment="1">
      <alignment horizontal="center"/>
    </xf>
    <xf numFmtId="1" fontId="32" fillId="0" borderId="6" xfId="0" applyNumberFormat="1" applyFont="1" applyBorder="1" applyAlignment="1">
      <alignment horizontal="center"/>
    </xf>
    <xf numFmtId="0" fontId="0" fillId="0" borderId="6" xfId="0" applyBorder="1" applyAlignment="1">
      <alignment horizontal="center"/>
    </xf>
    <xf numFmtId="14" fontId="0" fillId="0" borderId="0" xfId="0" applyNumberFormat="1"/>
    <xf numFmtId="1" fontId="0" fillId="0" borderId="0" xfId="0" applyNumberFormat="1" applyAlignment="1">
      <alignment horizontal="center"/>
    </xf>
    <xf numFmtId="14" fontId="27" fillId="0" borderId="22" xfId="0" applyNumberFormat="1" applyFont="1" applyBorder="1" applyAlignment="1">
      <alignment horizontal="left" vertical="top"/>
    </xf>
    <xf numFmtId="169" fontId="27" fillId="0" borderId="22" xfId="0" applyNumberFormat="1" applyFont="1" applyBorder="1" applyAlignment="1">
      <alignment horizontal="left"/>
    </xf>
    <xf numFmtId="0" fontId="23" fillId="0" borderId="0" xfId="0" applyFont="1" applyAlignment="1">
      <alignment horizontal="center" vertical="center"/>
    </xf>
    <xf numFmtId="0" fontId="19" fillId="0" borderId="0" xfId="0" applyFont="1" applyAlignment="1">
      <alignment horizontal="center"/>
    </xf>
    <xf numFmtId="0" fontId="27" fillId="0" borderId="24" xfId="0" applyFont="1" applyBorder="1"/>
    <xf numFmtId="167" fontId="27" fillId="0" borderId="0" xfId="0" applyNumberFormat="1" applyFont="1"/>
    <xf numFmtId="0" fontId="33" fillId="0" borderId="0" xfId="0" applyFont="1"/>
    <xf numFmtId="0" fontId="34" fillId="0" borderId="0" xfId="0" applyFont="1" applyAlignment="1">
      <alignment vertical="top" wrapText="1"/>
    </xf>
    <xf numFmtId="0" fontId="34" fillId="0" borderId="0" xfId="0" applyFont="1" applyAlignment="1">
      <alignment horizontal="center" vertical="top" wrapText="1"/>
    </xf>
    <xf numFmtId="2" fontId="34" fillId="0" borderId="0" xfId="0" applyNumberFormat="1" applyFont="1" applyAlignment="1">
      <alignment horizontal="center" vertical="top" wrapText="1"/>
    </xf>
    <xf numFmtId="170" fontId="34" fillId="0" borderId="0" xfId="0" applyNumberFormat="1" applyFont="1" applyAlignment="1">
      <alignment horizontal="center" vertical="top" wrapText="1"/>
    </xf>
    <xf numFmtId="0" fontId="35" fillId="0" borderId="25" xfId="0" applyFont="1" applyBorder="1" applyAlignment="1">
      <alignment horizontal="left" vertical="top" wrapText="1"/>
    </xf>
    <xf numFmtId="0" fontId="35" fillId="0" borderId="25" xfId="0" applyFont="1" applyBorder="1" applyAlignment="1">
      <alignment horizontal="center" vertical="top" wrapText="1"/>
    </xf>
    <xf numFmtId="1" fontId="36" fillId="0" borderId="25" xfId="0" applyNumberFormat="1" applyFont="1" applyBorder="1" applyAlignment="1">
      <alignment horizontal="center" vertical="top" shrinkToFit="1"/>
    </xf>
    <xf numFmtId="2" fontId="36" fillId="0" borderId="25" xfId="0" applyNumberFormat="1" applyFont="1" applyBorder="1" applyAlignment="1">
      <alignment horizontal="center" vertical="top" shrinkToFit="1"/>
    </xf>
    <xf numFmtId="14" fontId="0" fillId="0" borderId="0" xfId="0" applyNumberFormat="1" applyAlignment="1">
      <alignment horizontal="center"/>
    </xf>
    <xf numFmtId="0" fontId="0" fillId="0" borderId="25" xfId="0" applyBorder="1" applyAlignment="1">
      <alignment horizontal="center" vertical="top" wrapText="1"/>
    </xf>
    <xf numFmtId="0" fontId="27" fillId="0" borderId="22" xfId="0" applyFont="1" applyBorder="1" applyAlignment="1">
      <alignment wrapText="1"/>
    </xf>
    <xf numFmtId="0" fontId="27" fillId="0" borderId="22" xfId="0" applyFont="1" applyBorder="1" applyAlignment="1">
      <alignment horizontal="center"/>
    </xf>
    <xf numFmtId="49" fontId="27" fillId="0" borderId="22" xfId="0" applyNumberFormat="1" applyFont="1" applyBorder="1" applyAlignment="1">
      <alignment horizontal="center"/>
    </xf>
    <xf numFmtId="0" fontId="27" fillId="0" borderId="22" xfId="0" applyFont="1" applyBorder="1" applyAlignment="1">
      <alignment horizontal="center" vertical="top"/>
    </xf>
    <xf numFmtId="0" fontId="27" fillId="0" borderId="22" xfId="0" applyFont="1" applyBorder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0" fillId="0" borderId="22" xfId="0" applyBorder="1"/>
    <xf numFmtId="49" fontId="0" fillId="0" borderId="0" xfId="0" applyNumberFormat="1"/>
    <xf numFmtId="49" fontId="27" fillId="0" borderId="0" xfId="0" applyNumberFormat="1" applyFont="1" applyAlignment="1">
      <alignment horizontal="right"/>
    </xf>
    <xf numFmtId="49" fontId="0" fillId="0" borderId="0" xfId="0" applyNumberFormat="1" applyAlignment="1">
      <alignment horizontal="left" vertical="top"/>
    </xf>
    <xf numFmtId="49" fontId="0" fillId="0" borderId="22" xfId="0" applyNumberFormat="1" applyBorder="1"/>
    <xf numFmtId="49" fontId="27" fillId="0" borderId="0" xfId="0" applyNumberFormat="1" applyFont="1"/>
    <xf numFmtId="49" fontId="27" fillId="0" borderId="0" xfId="0" applyNumberFormat="1" applyFont="1" applyAlignment="1">
      <alignment wrapText="1"/>
    </xf>
    <xf numFmtId="171" fontId="27" fillId="0" borderId="22" xfId="0" applyNumberFormat="1" applyFont="1" applyBorder="1" applyAlignment="1">
      <alignment horizontal="center"/>
    </xf>
    <xf numFmtId="0" fontId="35" fillId="0" borderId="0" xfId="0" applyFont="1" applyAlignment="1">
      <alignment horizontal="left" vertical="top" wrapText="1"/>
    </xf>
    <xf numFmtId="0" fontId="35" fillId="0" borderId="0" xfId="0" applyFont="1" applyAlignment="1">
      <alignment horizontal="center" vertical="top" wrapText="1"/>
    </xf>
    <xf numFmtId="2" fontId="36" fillId="0" borderId="0" xfId="0" applyNumberFormat="1" applyFont="1" applyAlignment="1">
      <alignment horizontal="center" vertical="top" shrinkToFit="1"/>
    </xf>
    <xf numFmtId="1" fontId="36" fillId="0" borderId="0" xfId="0" applyNumberFormat="1" applyFont="1" applyAlignment="1">
      <alignment horizontal="center" vertical="top" shrinkToFit="1"/>
    </xf>
    <xf numFmtId="0" fontId="33" fillId="0" borderId="22" xfId="0" applyFont="1" applyBorder="1"/>
    <xf numFmtId="0" fontId="27" fillId="0" borderId="24" xfId="0" applyFont="1" applyBorder="1" applyAlignment="1">
      <alignment vertical="top"/>
    </xf>
    <xf numFmtId="167" fontId="27" fillId="0" borderId="0" xfId="0" applyNumberFormat="1" applyFont="1" applyAlignment="1">
      <alignment vertical="top"/>
    </xf>
    <xf numFmtId="0" fontId="27" fillId="0" borderId="24" xfId="0" applyFont="1" applyBorder="1" applyAlignment="1">
      <alignment horizontal="left" vertical="top"/>
    </xf>
    <xf numFmtId="0" fontId="27" fillId="0" borderId="0" xfId="0" applyFont="1" applyAlignment="1">
      <alignment horizontal="left" vertical="top"/>
    </xf>
    <xf numFmtId="0" fontId="0" fillId="0" borderId="13" xfId="0" applyBorder="1"/>
    <xf numFmtId="0" fontId="1" fillId="0" borderId="0" xfId="0" applyFont="1" applyAlignment="1">
      <alignment vertical="center" wrapText="1"/>
    </xf>
    <xf numFmtId="0" fontId="0" fillId="0" borderId="11" xfId="0" applyBorder="1"/>
    <xf numFmtId="0" fontId="35" fillId="0" borderId="22" xfId="0" applyFont="1" applyBorder="1" applyAlignment="1">
      <alignment horizontal="left" vertical="top" wrapText="1"/>
    </xf>
    <xf numFmtId="0" fontId="35" fillId="0" borderId="22" xfId="0" applyFont="1" applyBorder="1" applyAlignment="1">
      <alignment horizontal="center" vertical="top" wrapText="1"/>
    </xf>
    <xf numFmtId="0" fontId="27" fillId="0" borderId="0" xfId="0" applyFont="1" applyAlignment="1">
      <alignment horizontal="center"/>
    </xf>
    <xf numFmtId="0" fontId="0" fillId="0" borderId="0" xfId="0" applyAlignment="1">
      <alignment horizontal="center" vertical="top" wrapText="1"/>
    </xf>
    <xf numFmtId="14" fontId="0" fillId="0" borderId="22" xfId="0" applyNumberFormat="1" applyBorder="1" applyAlignment="1">
      <alignment horizontal="center"/>
    </xf>
    <xf numFmtId="49" fontId="0" fillId="0" borderId="25" xfId="0" applyNumberFormat="1" applyBorder="1" applyAlignment="1">
      <alignment horizontal="center" vertical="top"/>
    </xf>
    <xf numFmtId="49" fontId="27" fillId="0" borderId="0" xfId="0" applyNumberFormat="1" applyFont="1" applyAlignment="1">
      <alignment horizontal="center" wrapText="1"/>
    </xf>
    <xf numFmtId="0" fontId="0" fillId="0" borderId="22" xfId="0" applyBorder="1" applyAlignment="1">
      <alignment horizontal="center" vertical="top"/>
    </xf>
    <xf numFmtId="0" fontId="16" fillId="8" borderId="0" xfId="0" applyFont="1" applyFill="1" applyAlignment="1">
      <alignment horizontal="center" vertical="center"/>
    </xf>
    <xf numFmtId="0" fontId="26" fillId="10" borderId="0" xfId="0" applyFont="1" applyFill="1" applyAlignment="1">
      <alignment horizontal="center"/>
    </xf>
    <xf numFmtId="0" fontId="12" fillId="0" borderId="19" xfId="0" applyFont="1" applyBorder="1" applyAlignment="1">
      <alignment horizontal="center"/>
    </xf>
    <xf numFmtId="0" fontId="26" fillId="10" borderId="0" xfId="0" applyFont="1" applyFill="1"/>
    <xf numFmtId="0" fontId="12" fillId="0" borderId="17" xfId="0" applyFont="1" applyBorder="1" applyAlignment="1">
      <alignment horizontal="center"/>
    </xf>
    <xf numFmtId="0" fontId="13" fillId="0" borderId="25" xfId="0" applyFont="1" applyBorder="1"/>
    <xf numFmtId="1" fontId="21" fillId="0" borderId="22" xfId="0" applyNumberFormat="1" applyFont="1" applyBorder="1" applyAlignment="1">
      <alignment horizontal="center" vertical="top" shrinkToFit="1"/>
    </xf>
    <xf numFmtId="0" fontId="27" fillId="0" borderId="0" xfId="0" applyFont="1" applyAlignment="1">
      <alignment horizontal="right"/>
    </xf>
    <xf numFmtId="0" fontId="13" fillId="0" borderId="22" xfId="0" applyFont="1" applyBorder="1" applyAlignment="1">
      <alignment horizontal="center"/>
    </xf>
    <xf numFmtId="0" fontId="13" fillId="0" borderId="22" xfId="0" applyFont="1" applyBorder="1"/>
    <xf numFmtId="1" fontId="21" fillId="0" borderId="25" xfId="0" applyNumberFormat="1" applyFont="1" applyBorder="1" applyAlignment="1">
      <alignment horizontal="center" vertical="top" shrinkToFit="1"/>
    </xf>
    <xf numFmtId="0" fontId="27" fillId="0" borderId="9" xfId="0" applyFont="1" applyBorder="1"/>
    <xf numFmtId="0" fontId="12" fillId="0" borderId="22" xfId="0" applyFont="1" applyBorder="1"/>
    <xf numFmtId="0" fontId="27" fillId="0" borderId="10" xfId="0" applyFont="1" applyBorder="1" applyAlignment="1">
      <alignment horizontal="right"/>
    </xf>
    <xf numFmtId="49" fontId="27" fillId="0" borderId="10" xfId="0" applyNumberFormat="1" applyFont="1" applyBorder="1" applyAlignment="1">
      <alignment horizontal="right"/>
    </xf>
    <xf numFmtId="0" fontId="27" fillId="0" borderId="9" xfId="0" applyFont="1" applyBorder="1" applyAlignment="1">
      <alignment horizontal="right"/>
    </xf>
    <xf numFmtId="0" fontId="13" fillId="0" borderId="25" xfId="0" applyFont="1" applyBorder="1" applyAlignment="1">
      <alignment horizontal="center"/>
    </xf>
    <xf numFmtId="0" fontId="27" fillId="0" borderId="10" xfId="0" applyFont="1" applyBorder="1"/>
    <xf numFmtId="49" fontId="27" fillId="0" borderId="9" xfId="0" applyNumberFormat="1" applyFont="1" applyBorder="1" applyAlignment="1">
      <alignment horizontal="right"/>
    </xf>
    <xf numFmtId="0" fontId="12" fillId="0" borderId="22" xfId="0" applyFont="1" applyBorder="1" applyAlignment="1">
      <alignment horizontal="left" vertical="top"/>
    </xf>
    <xf numFmtId="1" fontId="36" fillId="0" borderId="22" xfId="0" applyNumberFormat="1" applyFont="1" applyBorder="1" applyAlignment="1">
      <alignment horizontal="center" vertical="top" shrinkToFit="1"/>
    </xf>
    <xf numFmtId="0" fontId="27" fillId="10" borderId="22" xfId="0" applyFont="1" applyFill="1" applyBorder="1" applyAlignment="1">
      <alignment horizontal="left"/>
    </xf>
    <xf numFmtId="0" fontId="13" fillId="9" borderId="22" xfId="0" applyFont="1" applyFill="1" applyBorder="1"/>
    <xf numFmtId="0" fontId="12" fillId="0" borderId="14" xfId="0" applyFont="1" applyBorder="1" applyAlignment="1">
      <alignment horizontal="left" vertical="top"/>
    </xf>
    <xf numFmtId="0" fontId="13" fillId="2" borderId="22" xfId="0" applyFont="1" applyFill="1" applyBorder="1" applyAlignment="1">
      <alignment horizontal="center"/>
    </xf>
    <xf numFmtId="0" fontId="12" fillId="0" borderId="0" xfId="0" applyFont="1" applyAlignment="1">
      <alignment horizontal="left" vertical="top"/>
    </xf>
    <xf numFmtId="0" fontId="16" fillId="0" borderId="18" xfId="0" applyFont="1" applyBorder="1" applyAlignment="1">
      <alignment horizontal="center"/>
    </xf>
    <xf numFmtId="0" fontId="27" fillId="0" borderId="25" xfId="0" applyFont="1" applyBorder="1"/>
    <xf numFmtId="0" fontId="34" fillId="0" borderId="25" xfId="0" applyFont="1" applyBorder="1" applyAlignment="1">
      <alignment vertical="top" wrapText="1"/>
    </xf>
    <xf numFmtId="0" fontId="27" fillId="0" borderId="25" xfId="0" applyFont="1" applyBorder="1" applyAlignment="1">
      <alignment horizontal="left" vertical="top"/>
    </xf>
    <xf numFmtId="0" fontId="34" fillId="0" borderId="25" xfId="0" applyFont="1" applyBorder="1" applyAlignment="1">
      <alignment horizontal="center" vertical="top" wrapText="1"/>
    </xf>
    <xf numFmtId="14" fontId="27" fillId="0" borderId="0" xfId="0" applyNumberFormat="1" applyFont="1"/>
    <xf numFmtId="49" fontId="0" fillId="0" borderId="25" xfId="0" applyNumberFormat="1" applyBorder="1" applyAlignment="1">
      <alignment horizontal="center"/>
    </xf>
    <xf numFmtId="2" fontId="34" fillId="0" borderId="25" xfId="0" applyNumberFormat="1" applyFont="1" applyBorder="1" applyAlignment="1">
      <alignment horizontal="center" vertical="top" wrapText="1"/>
    </xf>
    <xf numFmtId="0" fontId="13" fillId="0" borderId="16" xfId="0" applyFont="1" applyBorder="1"/>
    <xf numFmtId="0" fontId="2" fillId="0" borderId="6" xfId="0" applyFont="1" applyBorder="1" applyAlignment="1">
      <alignment horizontal="center"/>
    </xf>
    <xf numFmtId="0" fontId="0" fillId="7" borderId="0" xfId="0" applyFill="1" applyAlignment="1">
      <alignment horizontal="center"/>
    </xf>
    <xf numFmtId="165" fontId="0" fillId="0" borderId="0" xfId="0" applyNumberFormat="1"/>
    <xf numFmtId="0" fontId="0" fillId="11" borderId="0" xfId="0" applyFill="1" applyAlignment="1">
      <alignment horizontal="center" vertical="top" wrapText="1"/>
    </xf>
    <xf numFmtId="0" fontId="0" fillId="11" borderId="0" xfId="0" applyFill="1" applyAlignment="1">
      <alignment horizontal="center"/>
    </xf>
    <xf numFmtId="0" fontId="0" fillId="11" borderId="25" xfId="0" applyFill="1" applyBorder="1" applyAlignment="1">
      <alignment horizontal="center"/>
    </xf>
    <xf numFmtId="165" fontId="32" fillId="0" borderId="0" xfId="0" applyNumberFormat="1" applyFont="1"/>
    <xf numFmtId="0" fontId="0" fillId="12" borderId="0" xfId="0" applyFill="1" applyAlignment="1">
      <alignment horizontal="center"/>
    </xf>
    <xf numFmtId="0" fontId="0" fillId="12" borderId="0" xfId="0" applyFill="1"/>
    <xf numFmtId="0" fontId="0" fillId="13" borderId="0" xfId="0" applyFill="1"/>
    <xf numFmtId="0" fontId="16" fillId="0" borderId="11" xfId="0" applyFont="1" applyBorder="1" applyAlignment="1">
      <alignment horizontal="center"/>
    </xf>
    <xf numFmtId="0" fontId="16" fillId="0" borderId="12" xfId="0" applyFont="1" applyBorder="1" applyAlignment="1">
      <alignment horizontal="center"/>
    </xf>
    <xf numFmtId="0" fontId="16" fillId="0" borderId="20" xfId="0" applyFont="1" applyBorder="1" applyAlignment="1">
      <alignment horizontal="center"/>
    </xf>
    <xf numFmtId="0" fontId="16" fillId="0" borderId="21" xfId="0" applyFont="1" applyBorder="1" applyAlignment="1">
      <alignment horizontal="center"/>
    </xf>
    <xf numFmtId="0" fontId="32" fillId="0" borderId="0" xfId="0" applyFont="1" applyAlignment="1">
      <alignment horizontal="center"/>
    </xf>
    <xf numFmtId="49" fontId="27" fillId="0" borderId="0" xfId="0" applyNumberFormat="1" applyFont="1" applyAlignment="1">
      <alignment horizontal="center"/>
    </xf>
    <xf numFmtId="0" fontId="1" fillId="0" borderId="13" xfId="0" applyFont="1" applyBorder="1" applyAlignment="1">
      <alignment horizontal="center" vertical="center" wrapText="1"/>
    </xf>
    <xf numFmtId="14" fontId="27" fillId="0" borderId="0" xfId="0" applyNumberFormat="1" applyFont="1" applyAlignment="1">
      <alignment horizontal="center"/>
    </xf>
    <xf numFmtId="0" fontId="33" fillId="0" borderId="0" xfId="0" applyFont="1" applyFill="1" applyBorder="1"/>
  </cellXfs>
  <cellStyles count="13">
    <cellStyle name="Normal" xfId="0" builtinId="0"/>
    <cellStyle name="Normal 2" xfId="12" xr:uid="{00000000-0005-0000-0000-000001000000}"/>
    <cellStyle name="Normal_REGULER" xfId="4" xr:uid="{00000000-0005-0000-0000-000002000000}"/>
    <cellStyle name="Normal_REGULER_1" xfId="6" xr:uid="{00000000-0005-0000-0000-000003000000}"/>
    <cellStyle name="Normal_Sheet1" xfId="1" xr:uid="{00000000-0005-0000-0000-000004000000}"/>
    <cellStyle name="Normal_Sheet1_1" xfId="2" xr:uid="{00000000-0005-0000-0000-000005000000}"/>
    <cellStyle name="Normal_Sheet2" xfId="3" xr:uid="{00000000-0005-0000-0000-000006000000}"/>
    <cellStyle name="Normal_Sheet2_2" xfId="5" xr:uid="{00000000-0005-0000-0000-000007000000}"/>
    <cellStyle name="Normal_Sheet3" xfId="7" xr:uid="{00000000-0005-0000-0000-000008000000}"/>
    <cellStyle name="Normal_Sheet3_1" xfId="9" xr:uid="{00000000-0005-0000-0000-000009000000}"/>
    <cellStyle name="Normal_Sheet4" xfId="8" xr:uid="{00000000-0005-0000-0000-00000A000000}"/>
    <cellStyle name="Normal_Sheet4_1" xfId="10" xr:uid="{00000000-0005-0000-0000-00000B000000}"/>
    <cellStyle name="Normal_Sheet6" xfId="11" xr:uid="{00000000-0005-0000-0000-00000C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3300"/>
  <sheetViews>
    <sheetView tabSelected="1" topLeftCell="C3287" workbookViewId="0">
      <selection activeCell="B3279" sqref="B3279:M3300"/>
    </sheetView>
  </sheetViews>
  <sheetFormatPr defaultRowHeight="14.5" x14ac:dyDescent="0.35"/>
  <cols>
    <col min="1" max="1" width="9"/>
    <col min="2" max="2" width="9.08984375" style="410" bestFit="1" customWidth="1"/>
    <col min="3" max="3" width="30.08984375" customWidth="1"/>
    <col min="4" max="4" width="21.453125" customWidth="1"/>
    <col min="5" max="5" width="15.6328125" customWidth="1"/>
    <col min="6" max="6" width="19" customWidth="1"/>
    <col min="7" max="7" width="12.7265625" customWidth="1"/>
    <col min="8" max="8" width="9.90625" style="2" customWidth="1"/>
    <col min="9" max="9" width="13.36328125" customWidth="1"/>
    <col min="10" max="11" width="9.08984375" bestFit="1" customWidth="1"/>
    <col min="12" max="12" width="11.453125" customWidth="1"/>
    <col min="13" max="15" width="9.08984375" customWidth="1"/>
    <col min="16" max="16" width="8.7265625" customWidth="1"/>
  </cols>
  <sheetData>
    <row r="1" spans="2:19" ht="14.15" customHeight="1" x14ac:dyDescent="0.35">
      <c r="B1" s="42"/>
      <c r="C1" s="29" t="s">
        <v>0</v>
      </c>
      <c r="D1" s="90"/>
      <c r="E1" s="90"/>
      <c r="F1" s="42"/>
      <c r="G1" s="18"/>
      <c r="H1" s="18"/>
      <c r="I1" s="18"/>
      <c r="J1" s="2"/>
    </row>
    <row r="2" spans="2:19" ht="14.15" customHeight="1" x14ac:dyDescent="0.35">
      <c r="B2" s="42"/>
      <c r="C2" s="29" t="s">
        <v>4594</v>
      </c>
      <c r="D2" s="90"/>
      <c r="E2" s="90"/>
      <c r="F2" s="42"/>
      <c r="G2" s="18"/>
      <c r="H2" s="18"/>
      <c r="I2" s="18"/>
      <c r="J2" s="2"/>
    </row>
    <row r="3" spans="2:19" ht="14.15" customHeight="1" x14ac:dyDescent="0.35">
      <c r="B3" s="100" t="s">
        <v>1</v>
      </c>
      <c r="C3" s="241" t="s">
        <v>2</v>
      </c>
      <c r="D3" s="242" t="s">
        <v>3</v>
      </c>
      <c r="E3" s="242" t="s">
        <v>4590</v>
      </c>
      <c r="F3" s="240" t="s">
        <v>4</v>
      </c>
      <c r="G3" s="240" t="s">
        <v>5</v>
      </c>
      <c r="H3" s="240" t="s">
        <v>6</v>
      </c>
      <c r="I3" s="240" t="s">
        <v>5</v>
      </c>
      <c r="J3" s="2"/>
      <c r="R3" t="s">
        <v>5032</v>
      </c>
      <c r="S3" t="s">
        <v>5033</v>
      </c>
    </row>
    <row r="4" spans="2:19" ht="14.15" customHeight="1" x14ac:dyDescent="0.35">
      <c r="B4" s="100">
        <v>1</v>
      </c>
      <c r="C4" s="101" t="s">
        <v>7</v>
      </c>
      <c r="D4" s="102">
        <v>603614</v>
      </c>
      <c r="E4" s="102"/>
      <c r="F4" s="103">
        <v>25455</v>
      </c>
      <c r="G4" s="99"/>
      <c r="H4" s="99"/>
      <c r="I4" s="99"/>
      <c r="J4" s="20"/>
      <c r="K4" s="21"/>
      <c r="L4" s="21"/>
      <c r="M4" s="21"/>
      <c r="N4" s="21"/>
      <c r="O4" s="21"/>
    </row>
    <row r="5" spans="2:19" ht="14.15" customHeight="1" x14ac:dyDescent="0.35">
      <c r="B5" s="100">
        <f t="shared" ref="B5:B68" si="0">(B4+1)</f>
        <v>2</v>
      </c>
      <c r="C5" s="104" t="s">
        <v>8</v>
      </c>
      <c r="D5" s="102">
        <v>614257</v>
      </c>
      <c r="E5" s="102"/>
      <c r="F5" s="103">
        <v>25473</v>
      </c>
      <c r="G5" s="99"/>
      <c r="H5" s="99"/>
      <c r="I5" s="99"/>
      <c r="J5" s="20"/>
      <c r="K5" s="21"/>
      <c r="L5" s="21"/>
      <c r="M5" s="21"/>
      <c r="N5" s="21"/>
      <c r="O5" s="21"/>
    </row>
    <row r="6" spans="2:19" ht="14.15" customHeight="1" x14ac:dyDescent="0.35">
      <c r="B6" s="100">
        <f t="shared" si="0"/>
        <v>3</v>
      </c>
      <c r="C6" s="104" t="s">
        <v>9</v>
      </c>
      <c r="D6" s="102">
        <v>603692</v>
      </c>
      <c r="E6" s="102"/>
      <c r="F6" s="103">
        <v>25778</v>
      </c>
      <c r="G6" s="99"/>
      <c r="H6" s="99"/>
      <c r="I6" s="99"/>
      <c r="J6" s="20"/>
      <c r="K6" s="21"/>
      <c r="L6" s="21"/>
      <c r="M6" s="21"/>
      <c r="N6" s="21"/>
      <c r="O6" s="21"/>
    </row>
    <row r="7" spans="2:19" ht="14.15" customHeight="1" x14ac:dyDescent="0.35">
      <c r="B7" s="100">
        <f t="shared" si="0"/>
        <v>4</v>
      </c>
      <c r="C7" s="104" t="s">
        <v>10</v>
      </c>
      <c r="D7" s="102">
        <v>603643</v>
      </c>
      <c r="E7" s="102"/>
      <c r="F7" s="103">
        <v>25779</v>
      </c>
      <c r="G7" s="99"/>
      <c r="H7" s="99"/>
      <c r="I7" s="99"/>
      <c r="J7" s="20"/>
      <c r="K7" s="21"/>
      <c r="L7" s="21"/>
      <c r="M7" s="21"/>
      <c r="N7" s="21"/>
      <c r="O7" s="21"/>
    </row>
    <row r="8" spans="2:19" ht="14.15" customHeight="1" x14ac:dyDescent="0.35">
      <c r="B8" s="100">
        <f t="shared" si="0"/>
        <v>5</v>
      </c>
      <c r="C8" s="104" t="s">
        <v>11</v>
      </c>
      <c r="D8" s="102">
        <v>603750</v>
      </c>
      <c r="E8" s="102"/>
      <c r="F8" s="103">
        <v>25870</v>
      </c>
      <c r="G8" s="99"/>
      <c r="H8" s="99"/>
      <c r="I8" s="99"/>
      <c r="J8" s="20"/>
      <c r="K8" s="21"/>
      <c r="L8" s="21"/>
      <c r="M8" s="21"/>
      <c r="N8" s="21"/>
      <c r="O8" s="21"/>
    </row>
    <row r="9" spans="2:19" ht="14.15" customHeight="1" x14ac:dyDescent="0.35">
      <c r="B9" s="100">
        <f t="shared" si="0"/>
        <v>6</v>
      </c>
      <c r="C9" s="104" t="s">
        <v>12</v>
      </c>
      <c r="D9" s="102">
        <v>603709</v>
      </c>
      <c r="E9" s="102"/>
      <c r="F9" s="103">
        <v>25963</v>
      </c>
      <c r="G9" s="99"/>
      <c r="H9" s="99"/>
      <c r="I9" s="99"/>
      <c r="J9" s="20"/>
      <c r="K9" s="21"/>
      <c r="L9" s="21"/>
      <c r="M9" s="21"/>
      <c r="N9" s="21"/>
      <c r="O9" s="21"/>
    </row>
    <row r="10" spans="2:19" ht="14.15" customHeight="1" x14ac:dyDescent="0.35">
      <c r="B10" s="100">
        <f t="shared" si="0"/>
        <v>7</v>
      </c>
      <c r="C10" s="104" t="s">
        <v>13</v>
      </c>
      <c r="D10" s="102">
        <v>603719</v>
      </c>
      <c r="E10" s="102"/>
      <c r="F10" s="103">
        <v>26149</v>
      </c>
      <c r="G10" s="99"/>
      <c r="H10" s="99"/>
      <c r="I10" s="99"/>
      <c r="J10" s="20"/>
      <c r="K10" s="21"/>
      <c r="L10" s="21"/>
      <c r="M10" s="21"/>
      <c r="N10" s="21"/>
      <c r="O10" s="21"/>
    </row>
    <row r="11" spans="2:19" ht="14.15" customHeight="1" x14ac:dyDescent="0.35">
      <c r="B11" s="100">
        <f t="shared" si="0"/>
        <v>8</v>
      </c>
      <c r="C11" s="104" t="s">
        <v>14</v>
      </c>
      <c r="D11" s="102">
        <v>603973</v>
      </c>
      <c r="E11" s="102"/>
      <c r="F11" s="103">
        <v>26320</v>
      </c>
      <c r="G11" s="99"/>
      <c r="H11" s="99"/>
      <c r="I11" s="99"/>
      <c r="J11" s="20"/>
      <c r="K11" s="21"/>
      <c r="L11" s="21"/>
      <c r="M11" s="21"/>
      <c r="N11" s="21"/>
      <c r="O11" s="21"/>
    </row>
    <row r="12" spans="2:19" ht="14.15" customHeight="1" x14ac:dyDescent="0.35">
      <c r="B12" s="100">
        <f t="shared" si="0"/>
        <v>9</v>
      </c>
      <c r="C12" s="104" t="s">
        <v>15</v>
      </c>
      <c r="D12" s="102">
        <v>614048</v>
      </c>
      <c r="E12" s="102"/>
      <c r="F12" s="103">
        <v>26339</v>
      </c>
      <c r="G12" s="99"/>
      <c r="H12" s="99"/>
      <c r="I12" s="99"/>
      <c r="J12" s="20"/>
      <c r="K12" s="21"/>
      <c r="L12" s="21"/>
      <c r="M12" s="21"/>
      <c r="N12" s="21"/>
      <c r="O12" s="21"/>
    </row>
    <row r="13" spans="2:19" ht="14.15" customHeight="1" x14ac:dyDescent="0.35">
      <c r="B13" s="100">
        <f t="shared" si="0"/>
        <v>10</v>
      </c>
      <c r="C13" s="104" t="s">
        <v>16</v>
      </c>
      <c r="D13" s="102">
        <v>603746</v>
      </c>
      <c r="E13" s="102"/>
      <c r="F13" s="103">
        <v>27052</v>
      </c>
      <c r="G13" s="99"/>
      <c r="H13" s="99"/>
      <c r="I13" s="99"/>
      <c r="J13" s="20"/>
      <c r="K13" s="21"/>
      <c r="L13" s="21"/>
      <c r="M13" s="21"/>
      <c r="N13" s="21"/>
      <c r="O13" s="21"/>
    </row>
    <row r="14" spans="2:19" ht="14.15" customHeight="1" x14ac:dyDescent="0.35">
      <c r="B14" s="100">
        <f t="shared" si="0"/>
        <v>11</v>
      </c>
      <c r="C14" s="104" t="s">
        <v>17</v>
      </c>
      <c r="D14" s="102">
        <v>593551</v>
      </c>
      <c r="E14" s="102"/>
      <c r="F14" s="103">
        <v>27064</v>
      </c>
      <c r="G14" s="99"/>
      <c r="H14" s="99"/>
      <c r="I14" s="99"/>
      <c r="J14" s="20"/>
      <c r="K14" s="21"/>
      <c r="L14" s="21"/>
      <c r="M14" s="21"/>
      <c r="N14" s="21"/>
      <c r="O14" s="21"/>
    </row>
    <row r="15" spans="2:19" ht="14.15" customHeight="1" x14ac:dyDescent="0.35">
      <c r="B15" s="100">
        <f t="shared" si="0"/>
        <v>12</v>
      </c>
      <c r="C15" s="104" t="s">
        <v>18</v>
      </c>
      <c r="D15" s="102">
        <v>603665</v>
      </c>
      <c r="E15" s="102"/>
      <c r="F15" s="103">
        <v>27442</v>
      </c>
      <c r="G15" s="99"/>
      <c r="H15" s="99"/>
      <c r="I15" s="99"/>
      <c r="J15" s="20"/>
      <c r="K15" s="21"/>
      <c r="L15" s="21"/>
      <c r="M15" s="21"/>
      <c r="N15" s="21"/>
      <c r="O15" s="21"/>
    </row>
    <row r="16" spans="2:19" ht="14.15" customHeight="1" x14ac:dyDescent="0.35">
      <c r="B16" s="100">
        <f t="shared" si="0"/>
        <v>13</v>
      </c>
      <c r="C16" s="104" t="s">
        <v>19</v>
      </c>
      <c r="D16" s="102">
        <v>686469</v>
      </c>
      <c r="E16" s="102"/>
      <c r="F16" s="103">
        <v>28131</v>
      </c>
      <c r="G16" s="99"/>
      <c r="H16" s="99"/>
      <c r="I16" s="99"/>
      <c r="J16" s="20"/>
      <c r="K16" s="21"/>
      <c r="L16" s="21"/>
      <c r="M16" s="21"/>
      <c r="N16" s="21"/>
      <c r="O16" s="21"/>
    </row>
    <row r="17" spans="2:15" ht="14.15" customHeight="1" x14ac:dyDescent="0.35">
      <c r="B17" s="100">
        <f t="shared" si="0"/>
        <v>14</v>
      </c>
      <c r="C17" s="104" t="s">
        <v>20</v>
      </c>
      <c r="D17" s="102">
        <v>706810</v>
      </c>
      <c r="E17" s="102"/>
      <c r="F17" s="103">
        <v>28490</v>
      </c>
      <c r="G17" s="99"/>
      <c r="H17" s="99"/>
      <c r="I17" s="99"/>
      <c r="J17" s="20"/>
      <c r="K17" s="21"/>
      <c r="L17" s="21"/>
      <c r="M17" s="21"/>
      <c r="N17" s="21"/>
      <c r="O17" s="21"/>
    </row>
    <row r="18" spans="2:15" ht="14.15" customHeight="1" x14ac:dyDescent="0.35">
      <c r="B18" s="100">
        <f t="shared" si="0"/>
        <v>15</v>
      </c>
      <c r="C18" s="104" t="s">
        <v>21</v>
      </c>
      <c r="D18" s="102">
        <v>706797</v>
      </c>
      <c r="E18" s="102"/>
      <c r="F18" s="103">
        <v>28518</v>
      </c>
      <c r="G18" s="99"/>
      <c r="H18" s="99"/>
      <c r="I18" s="99"/>
      <c r="J18" s="20"/>
      <c r="K18" s="21"/>
      <c r="L18" s="21"/>
      <c r="M18" s="21"/>
      <c r="N18" s="21"/>
      <c r="O18" s="21"/>
    </row>
    <row r="19" spans="2:15" ht="14.15" customHeight="1" x14ac:dyDescent="0.35">
      <c r="B19" s="100">
        <f t="shared" si="0"/>
        <v>16</v>
      </c>
      <c r="C19" s="104" t="s">
        <v>22</v>
      </c>
      <c r="D19" s="102">
        <v>706875</v>
      </c>
      <c r="E19" s="102"/>
      <c r="F19" s="103">
        <v>28518</v>
      </c>
      <c r="G19" s="99"/>
      <c r="H19" s="99"/>
      <c r="I19" s="99"/>
      <c r="J19" s="20"/>
      <c r="K19" s="21"/>
      <c r="L19" s="21"/>
      <c r="M19" s="21"/>
      <c r="N19" s="21"/>
      <c r="O19" s="21"/>
    </row>
    <row r="20" spans="2:15" ht="14.15" customHeight="1" x14ac:dyDescent="0.35">
      <c r="B20" s="100">
        <f t="shared" si="0"/>
        <v>17</v>
      </c>
      <c r="C20" s="104" t="s">
        <v>23</v>
      </c>
      <c r="D20" s="102">
        <v>706755</v>
      </c>
      <c r="E20" s="102"/>
      <c r="F20" s="103">
        <v>28576</v>
      </c>
      <c r="G20" s="99"/>
      <c r="H20" s="99"/>
      <c r="I20" s="99"/>
      <c r="J20" s="20"/>
      <c r="K20" s="21"/>
      <c r="L20" s="21"/>
      <c r="M20" s="21"/>
      <c r="N20" s="21"/>
      <c r="O20" s="21"/>
    </row>
    <row r="21" spans="2:15" ht="14.15" customHeight="1" x14ac:dyDescent="0.35">
      <c r="B21" s="100">
        <f t="shared" si="0"/>
        <v>18</v>
      </c>
      <c r="C21" s="104" t="s">
        <v>24</v>
      </c>
      <c r="D21" s="102">
        <v>717127</v>
      </c>
      <c r="E21" s="102"/>
      <c r="F21" s="103">
        <v>28588</v>
      </c>
      <c r="G21" s="99"/>
      <c r="H21" s="99"/>
      <c r="I21" s="99"/>
      <c r="J21" s="20"/>
      <c r="K21" s="21"/>
      <c r="L21" s="21"/>
      <c r="M21" s="21"/>
      <c r="N21" s="21"/>
      <c r="O21" s="21"/>
    </row>
    <row r="22" spans="2:15" ht="14.15" customHeight="1" x14ac:dyDescent="0.35">
      <c r="B22" s="100">
        <f t="shared" si="0"/>
        <v>19</v>
      </c>
      <c r="C22" s="104" t="s">
        <v>25</v>
      </c>
      <c r="D22" s="102">
        <v>706851</v>
      </c>
      <c r="E22" s="102"/>
      <c r="F22" s="103">
        <v>28639</v>
      </c>
      <c r="G22" s="99"/>
      <c r="H22" s="99"/>
      <c r="I22" s="99"/>
      <c r="J22" s="20"/>
      <c r="K22" s="21"/>
      <c r="L22" s="21"/>
      <c r="M22" s="21"/>
      <c r="N22" s="21"/>
      <c r="O22" s="21"/>
    </row>
    <row r="23" spans="2:15" ht="14.15" customHeight="1" x14ac:dyDescent="0.35">
      <c r="B23" s="100">
        <f t="shared" si="0"/>
        <v>20</v>
      </c>
      <c r="C23" s="104" t="s">
        <v>26</v>
      </c>
      <c r="D23" s="102">
        <v>696683</v>
      </c>
      <c r="E23" s="102"/>
      <c r="F23" s="103">
        <v>28721</v>
      </c>
      <c r="G23" s="99"/>
      <c r="H23" s="99"/>
      <c r="I23" s="99"/>
      <c r="J23" s="20"/>
      <c r="K23" s="21"/>
      <c r="L23" s="21"/>
      <c r="M23" s="21"/>
      <c r="N23" s="21"/>
      <c r="O23" s="21"/>
    </row>
    <row r="24" spans="2:15" ht="14.15" customHeight="1" x14ac:dyDescent="0.35">
      <c r="B24" s="100">
        <f t="shared" si="0"/>
        <v>21</v>
      </c>
      <c r="C24" s="104" t="s">
        <v>27</v>
      </c>
      <c r="D24" s="102">
        <v>696684</v>
      </c>
      <c r="E24" s="102"/>
      <c r="F24" s="103">
        <v>28721</v>
      </c>
      <c r="G24" s="99"/>
      <c r="H24" s="99"/>
      <c r="I24" s="99"/>
      <c r="J24" s="20"/>
      <c r="K24" s="21"/>
      <c r="L24" s="21"/>
      <c r="M24" s="21"/>
      <c r="N24" s="21"/>
      <c r="O24" s="21"/>
    </row>
    <row r="25" spans="2:15" ht="14.15" customHeight="1" x14ac:dyDescent="0.35">
      <c r="B25" s="100">
        <f t="shared" si="0"/>
        <v>22</v>
      </c>
      <c r="C25" s="104" t="s">
        <v>28</v>
      </c>
      <c r="D25" s="102">
        <v>686417</v>
      </c>
      <c r="E25" s="102"/>
      <c r="F25" s="103">
        <v>28836</v>
      </c>
      <c r="G25" s="99"/>
      <c r="H25" s="99"/>
      <c r="I25" s="99"/>
      <c r="J25" s="20"/>
      <c r="K25" s="21"/>
      <c r="L25" s="21"/>
      <c r="M25" s="21"/>
      <c r="N25" s="21"/>
      <c r="O25" s="21"/>
    </row>
    <row r="26" spans="2:15" ht="14.15" customHeight="1" x14ac:dyDescent="0.35">
      <c r="B26" s="100">
        <f t="shared" si="0"/>
        <v>23</v>
      </c>
      <c r="C26" s="104" t="s">
        <v>29</v>
      </c>
      <c r="D26" s="102">
        <v>737965</v>
      </c>
      <c r="E26" s="102"/>
      <c r="F26" s="103">
        <v>29056</v>
      </c>
      <c r="G26" s="99"/>
      <c r="H26" s="99"/>
      <c r="I26" s="99"/>
      <c r="J26" s="20"/>
      <c r="K26" s="21"/>
      <c r="L26" s="21"/>
      <c r="M26" s="21"/>
      <c r="N26" s="21"/>
      <c r="O26" s="21"/>
    </row>
    <row r="27" spans="2:15" ht="14.15" customHeight="1" x14ac:dyDescent="0.35">
      <c r="B27" s="100">
        <f t="shared" si="0"/>
        <v>24</v>
      </c>
      <c r="C27" s="104" t="s">
        <v>30</v>
      </c>
      <c r="D27" s="102">
        <v>738094</v>
      </c>
      <c r="E27" s="102"/>
      <c r="F27" s="103">
        <v>29070</v>
      </c>
      <c r="G27" s="99"/>
      <c r="H27" s="99"/>
      <c r="I27" s="99"/>
      <c r="J27" s="20"/>
      <c r="K27" s="21"/>
      <c r="L27" s="21"/>
      <c r="M27" s="21"/>
      <c r="N27" s="21"/>
      <c r="O27" s="21"/>
    </row>
    <row r="28" spans="2:15" ht="14.15" customHeight="1" x14ac:dyDescent="0.35">
      <c r="B28" s="100">
        <f t="shared" si="0"/>
        <v>25</v>
      </c>
      <c r="C28" s="104" t="s">
        <v>31</v>
      </c>
      <c r="D28" s="102">
        <v>737881</v>
      </c>
      <c r="E28" s="102"/>
      <c r="F28" s="103">
        <v>29077</v>
      </c>
      <c r="G28" s="99"/>
      <c r="H28" s="99"/>
      <c r="I28" s="99"/>
      <c r="J28" s="20"/>
      <c r="K28" s="21"/>
      <c r="L28" s="21"/>
      <c r="M28" s="21"/>
      <c r="N28" s="21"/>
      <c r="O28" s="21"/>
    </row>
    <row r="29" spans="2:15" ht="14.15" customHeight="1" x14ac:dyDescent="0.35">
      <c r="B29" s="100">
        <f t="shared" si="0"/>
        <v>26</v>
      </c>
      <c r="C29" s="104" t="s">
        <v>32</v>
      </c>
      <c r="D29" s="102">
        <v>727379</v>
      </c>
      <c r="E29" s="102"/>
      <c r="F29" s="103">
        <v>29112</v>
      </c>
      <c r="G29" s="99"/>
      <c r="H29" s="99"/>
      <c r="I29" s="99"/>
      <c r="J29" s="20"/>
      <c r="K29" s="21"/>
      <c r="L29" s="21"/>
      <c r="M29" s="21"/>
      <c r="N29" s="21"/>
      <c r="O29" s="21"/>
    </row>
    <row r="30" spans="2:15" ht="14.15" customHeight="1" x14ac:dyDescent="0.35">
      <c r="B30" s="100">
        <f t="shared" si="0"/>
        <v>27</v>
      </c>
      <c r="C30" s="104" t="s">
        <v>33</v>
      </c>
      <c r="D30" s="102">
        <v>727371</v>
      </c>
      <c r="E30" s="102"/>
      <c r="F30" s="103">
        <v>29140</v>
      </c>
      <c r="G30" s="99"/>
      <c r="H30" s="99"/>
      <c r="I30" s="99"/>
      <c r="J30" s="20"/>
      <c r="K30" s="21"/>
      <c r="L30" s="21"/>
      <c r="M30" s="21"/>
      <c r="N30" s="21"/>
      <c r="O30" s="21"/>
    </row>
    <row r="31" spans="2:15" ht="14.15" customHeight="1" x14ac:dyDescent="0.35">
      <c r="B31" s="100">
        <f t="shared" si="0"/>
        <v>28</v>
      </c>
      <c r="C31" s="104" t="s">
        <v>34</v>
      </c>
      <c r="D31" s="102">
        <v>737948</v>
      </c>
      <c r="E31" s="102"/>
      <c r="F31" s="103">
        <v>29148</v>
      </c>
      <c r="G31" s="99"/>
      <c r="H31" s="99"/>
      <c r="I31" s="99"/>
      <c r="J31" s="20"/>
      <c r="K31" s="21"/>
      <c r="L31" s="21"/>
      <c r="M31" s="21"/>
      <c r="N31" s="21"/>
      <c r="O31" s="21"/>
    </row>
    <row r="32" spans="2:15" ht="14.15" customHeight="1" x14ac:dyDescent="0.35">
      <c r="B32" s="100">
        <f t="shared" si="0"/>
        <v>29</v>
      </c>
      <c r="C32" s="104" t="s">
        <v>35</v>
      </c>
      <c r="D32" s="102">
        <v>748395</v>
      </c>
      <c r="E32" s="102"/>
      <c r="F32" s="103">
        <v>29148</v>
      </c>
      <c r="G32" s="99"/>
      <c r="H32" s="99"/>
      <c r="I32" s="99"/>
      <c r="J32" s="20"/>
      <c r="K32" s="21"/>
      <c r="L32" s="21"/>
      <c r="M32" s="21"/>
      <c r="N32" s="21"/>
      <c r="O32" s="21"/>
    </row>
    <row r="33" spans="2:15" ht="14.15" customHeight="1" x14ac:dyDescent="0.35">
      <c r="B33" s="100">
        <f t="shared" si="0"/>
        <v>30</v>
      </c>
      <c r="C33" s="104" t="s">
        <v>36</v>
      </c>
      <c r="D33" s="102">
        <v>727618</v>
      </c>
      <c r="E33" s="102"/>
      <c r="F33" s="103">
        <v>29155</v>
      </c>
      <c r="G33" s="99"/>
      <c r="H33" s="99"/>
      <c r="I33" s="99"/>
      <c r="J33" s="20"/>
      <c r="K33" s="21"/>
      <c r="L33" s="21"/>
      <c r="M33" s="21"/>
      <c r="N33" s="21"/>
      <c r="O33" s="21"/>
    </row>
    <row r="34" spans="2:15" ht="14.15" customHeight="1" x14ac:dyDescent="0.35">
      <c r="B34" s="100">
        <f t="shared" si="0"/>
        <v>31</v>
      </c>
      <c r="C34" s="104" t="s">
        <v>37</v>
      </c>
      <c r="D34" s="102">
        <v>727735</v>
      </c>
      <c r="E34" s="102"/>
      <c r="F34" s="103">
        <v>29155</v>
      </c>
      <c r="G34" s="99"/>
      <c r="H34" s="99"/>
      <c r="I34" s="99"/>
      <c r="J34" s="20"/>
      <c r="K34" s="21"/>
      <c r="L34" s="21"/>
      <c r="M34" s="21"/>
      <c r="N34" s="21"/>
      <c r="O34" s="21"/>
    </row>
    <row r="35" spans="2:15" ht="14.15" customHeight="1" x14ac:dyDescent="0.35">
      <c r="B35" s="100">
        <f t="shared" si="0"/>
        <v>32</v>
      </c>
      <c r="C35" s="104" t="s">
        <v>38</v>
      </c>
      <c r="D35" s="102">
        <v>717193</v>
      </c>
      <c r="E35" s="102"/>
      <c r="F35" s="103">
        <v>29168</v>
      </c>
      <c r="G35" s="99"/>
      <c r="H35" s="99"/>
      <c r="I35" s="99"/>
      <c r="J35" s="20"/>
      <c r="K35" s="21"/>
      <c r="L35" s="21"/>
      <c r="M35" s="21"/>
      <c r="N35" s="21"/>
      <c r="O35" s="21"/>
    </row>
    <row r="36" spans="2:15" ht="14.15" customHeight="1" x14ac:dyDescent="0.35">
      <c r="B36" s="100">
        <f t="shared" si="0"/>
        <v>33</v>
      </c>
      <c r="C36" s="104" t="s">
        <v>39</v>
      </c>
      <c r="D36" s="102">
        <v>717151</v>
      </c>
      <c r="E36" s="102"/>
      <c r="F36" s="103">
        <v>29183</v>
      </c>
      <c r="G36" s="99"/>
      <c r="H36" s="99"/>
      <c r="I36" s="99"/>
      <c r="J36" s="20"/>
      <c r="K36" s="21"/>
      <c r="L36" s="21"/>
      <c r="M36" s="21"/>
      <c r="N36" s="21"/>
      <c r="O36" s="21"/>
    </row>
    <row r="37" spans="2:15" ht="14.15" customHeight="1" x14ac:dyDescent="0.35">
      <c r="B37" s="100">
        <f t="shared" si="0"/>
        <v>34</v>
      </c>
      <c r="C37" s="104" t="s">
        <v>40</v>
      </c>
      <c r="D37" s="102">
        <v>717188</v>
      </c>
      <c r="E37" s="102"/>
      <c r="F37" s="103">
        <v>29183</v>
      </c>
      <c r="G37" s="99"/>
      <c r="H37" s="99"/>
      <c r="I37" s="99"/>
      <c r="J37" s="20"/>
      <c r="K37" s="21"/>
      <c r="L37" s="21"/>
      <c r="M37" s="21"/>
      <c r="N37" s="21"/>
      <c r="O37" s="21"/>
    </row>
    <row r="38" spans="2:15" ht="14.15" customHeight="1" x14ac:dyDescent="0.35">
      <c r="B38" s="100">
        <f t="shared" si="0"/>
        <v>35</v>
      </c>
      <c r="C38" s="104" t="s">
        <v>41</v>
      </c>
      <c r="D38" s="102">
        <v>737765</v>
      </c>
      <c r="E38" s="102"/>
      <c r="F38" s="103">
        <v>29183</v>
      </c>
      <c r="G38" s="99"/>
      <c r="H38" s="99"/>
      <c r="I38" s="99"/>
      <c r="J38" s="20"/>
      <c r="K38" s="21"/>
      <c r="L38" s="21"/>
      <c r="M38" s="21"/>
      <c r="N38" s="21"/>
      <c r="O38" s="21"/>
    </row>
    <row r="39" spans="2:15" ht="14.15" customHeight="1" x14ac:dyDescent="0.35">
      <c r="B39" s="100">
        <f t="shared" si="0"/>
        <v>36</v>
      </c>
      <c r="C39" s="104" t="s">
        <v>42</v>
      </c>
      <c r="D39" s="102">
        <v>717152</v>
      </c>
      <c r="E39" s="102"/>
      <c r="F39" s="103">
        <v>29187</v>
      </c>
      <c r="G39" s="99"/>
      <c r="H39" s="99"/>
      <c r="I39" s="99"/>
      <c r="J39" s="20"/>
      <c r="K39" s="21"/>
      <c r="L39" s="21"/>
      <c r="M39" s="21"/>
      <c r="N39" s="21"/>
      <c r="O39" s="21"/>
    </row>
    <row r="40" spans="2:15" ht="14.15" customHeight="1" x14ac:dyDescent="0.35">
      <c r="B40" s="100">
        <f t="shared" si="0"/>
        <v>37</v>
      </c>
      <c r="C40" s="104" t="s">
        <v>43</v>
      </c>
      <c r="D40" s="102">
        <v>717155</v>
      </c>
      <c r="E40" s="102"/>
      <c r="F40" s="103">
        <v>29187</v>
      </c>
      <c r="G40" s="99"/>
      <c r="H40" s="99"/>
      <c r="I40" s="99"/>
      <c r="J40" s="20"/>
      <c r="K40" s="21"/>
      <c r="L40" s="21"/>
      <c r="M40" s="21"/>
      <c r="N40" s="21"/>
      <c r="O40" s="21"/>
    </row>
    <row r="41" spans="2:15" ht="14.15" customHeight="1" x14ac:dyDescent="0.35">
      <c r="B41" s="100">
        <f t="shared" si="0"/>
        <v>38</v>
      </c>
      <c r="C41" s="104" t="s">
        <v>44</v>
      </c>
      <c r="D41" s="102">
        <v>727562</v>
      </c>
      <c r="E41" s="102"/>
      <c r="F41" s="103">
        <v>29187</v>
      </c>
      <c r="G41" s="99"/>
      <c r="H41" s="99"/>
      <c r="I41" s="99"/>
      <c r="J41" s="20"/>
      <c r="K41" s="21"/>
      <c r="L41" s="21"/>
      <c r="M41" s="21"/>
      <c r="N41" s="21"/>
      <c r="O41" s="21"/>
    </row>
    <row r="42" spans="2:15" ht="14.15" customHeight="1" x14ac:dyDescent="0.35">
      <c r="B42" s="100">
        <f t="shared" si="0"/>
        <v>39</v>
      </c>
      <c r="C42" s="104" t="s">
        <v>45</v>
      </c>
      <c r="D42" s="102">
        <v>748347</v>
      </c>
      <c r="E42" s="102"/>
      <c r="F42" s="103">
        <v>29194</v>
      </c>
      <c r="G42" s="99"/>
      <c r="H42" s="99"/>
      <c r="I42" s="99"/>
      <c r="J42" s="20"/>
      <c r="K42" s="21"/>
      <c r="L42" s="21"/>
      <c r="M42" s="21"/>
      <c r="N42" s="21"/>
      <c r="O42" s="21"/>
    </row>
    <row r="43" spans="2:15" ht="14.15" customHeight="1" x14ac:dyDescent="0.35">
      <c r="B43" s="100">
        <f t="shared" si="0"/>
        <v>40</v>
      </c>
      <c r="C43" s="104" t="s">
        <v>46</v>
      </c>
      <c r="D43" s="102">
        <v>686459</v>
      </c>
      <c r="E43" s="102"/>
      <c r="F43" s="103">
        <v>29199</v>
      </c>
      <c r="G43" s="99"/>
      <c r="H43" s="99"/>
      <c r="I43" s="99"/>
      <c r="J43" s="20"/>
      <c r="K43" s="21"/>
      <c r="L43" s="21"/>
      <c r="M43" s="21"/>
      <c r="N43" s="21"/>
      <c r="O43" s="21"/>
    </row>
    <row r="44" spans="2:15" ht="14.15" customHeight="1" x14ac:dyDescent="0.35">
      <c r="B44" s="100">
        <f t="shared" si="0"/>
        <v>41</v>
      </c>
      <c r="C44" s="104" t="s">
        <v>47</v>
      </c>
      <c r="D44" s="102">
        <v>727574</v>
      </c>
      <c r="E44" s="102"/>
      <c r="F44" s="103">
        <v>29199</v>
      </c>
      <c r="G44" s="99"/>
      <c r="H44" s="99"/>
      <c r="I44" s="99"/>
      <c r="J44" s="20"/>
      <c r="K44" s="21"/>
      <c r="L44" s="21"/>
      <c r="M44" s="21"/>
      <c r="N44" s="21"/>
      <c r="O44" s="21"/>
    </row>
    <row r="45" spans="2:15" ht="14.15" customHeight="1" x14ac:dyDescent="0.35">
      <c r="B45" s="100">
        <f t="shared" si="0"/>
        <v>42</v>
      </c>
      <c r="C45" s="104" t="s">
        <v>48</v>
      </c>
      <c r="D45" s="102">
        <v>737959</v>
      </c>
      <c r="E45" s="102"/>
      <c r="F45" s="103">
        <v>29234</v>
      </c>
      <c r="G45" s="99"/>
      <c r="H45" s="99"/>
      <c r="I45" s="99"/>
      <c r="J45" s="20"/>
      <c r="K45" s="21"/>
      <c r="L45" s="21"/>
      <c r="M45" s="21"/>
      <c r="N45" s="21"/>
      <c r="O45" s="21"/>
    </row>
    <row r="46" spans="2:15" ht="14.15" customHeight="1" x14ac:dyDescent="0.35">
      <c r="B46" s="100">
        <f t="shared" si="0"/>
        <v>43</v>
      </c>
      <c r="C46" s="104" t="s">
        <v>49</v>
      </c>
      <c r="D46" s="102">
        <v>727372</v>
      </c>
      <c r="E46" s="102"/>
      <c r="F46" s="103">
        <v>29248</v>
      </c>
      <c r="G46" s="99"/>
      <c r="H46" s="99"/>
      <c r="I46" s="99"/>
      <c r="J46" s="20"/>
      <c r="K46" s="21"/>
      <c r="L46" s="21"/>
      <c r="M46" s="21"/>
      <c r="N46" s="21"/>
      <c r="O46" s="21"/>
    </row>
    <row r="47" spans="2:15" ht="14.15" customHeight="1" x14ac:dyDescent="0.35">
      <c r="B47" s="100">
        <f t="shared" si="0"/>
        <v>44</v>
      </c>
      <c r="C47" s="104" t="s">
        <v>50</v>
      </c>
      <c r="D47" s="102">
        <v>748400</v>
      </c>
      <c r="E47" s="102"/>
      <c r="F47" s="103">
        <v>29252</v>
      </c>
      <c r="G47" s="99"/>
      <c r="H47" s="99"/>
      <c r="I47" s="99"/>
      <c r="J47" s="20"/>
      <c r="K47" s="21"/>
      <c r="L47" s="21"/>
      <c r="M47" s="21"/>
      <c r="N47" s="21"/>
      <c r="O47" s="21"/>
    </row>
    <row r="48" spans="2:15" ht="14.15" customHeight="1" x14ac:dyDescent="0.35">
      <c r="B48" s="100">
        <f t="shared" si="0"/>
        <v>45</v>
      </c>
      <c r="C48" s="104" t="s">
        <v>51</v>
      </c>
      <c r="D48" s="102">
        <v>717296</v>
      </c>
      <c r="E48" s="102"/>
      <c r="F48" s="103">
        <v>29264</v>
      </c>
      <c r="G48" s="99"/>
      <c r="H48" s="99"/>
      <c r="I48" s="99"/>
      <c r="J48" s="20"/>
      <c r="K48" s="21"/>
      <c r="L48" s="21"/>
      <c r="M48" s="21"/>
      <c r="N48" s="21"/>
      <c r="O48" s="21"/>
    </row>
    <row r="49" spans="2:15" ht="14.15" customHeight="1" x14ac:dyDescent="0.35">
      <c r="B49" s="100">
        <f t="shared" si="0"/>
        <v>46</v>
      </c>
      <c r="C49" s="104" t="s">
        <v>52</v>
      </c>
      <c r="D49" s="102">
        <v>706888</v>
      </c>
      <c r="E49" s="102"/>
      <c r="F49" s="103">
        <v>29294</v>
      </c>
      <c r="G49" s="99"/>
      <c r="H49" s="99"/>
      <c r="I49" s="99"/>
      <c r="J49" s="20"/>
      <c r="K49" s="21"/>
      <c r="L49" s="21"/>
      <c r="M49" s="21"/>
      <c r="N49" s="21"/>
      <c r="O49" s="21"/>
    </row>
    <row r="50" spans="2:15" ht="14.15" customHeight="1" x14ac:dyDescent="0.35">
      <c r="B50" s="100">
        <f t="shared" si="0"/>
        <v>47</v>
      </c>
      <c r="C50" s="104" t="s">
        <v>53</v>
      </c>
      <c r="D50" s="102">
        <v>727588</v>
      </c>
      <c r="E50" s="102"/>
      <c r="F50" s="103">
        <v>29294</v>
      </c>
      <c r="G50" s="99"/>
      <c r="H50" s="99"/>
      <c r="I50" s="99"/>
      <c r="J50" s="20"/>
      <c r="K50" s="21"/>
      <c r="L50" s="21"/>
      <c r="M50" s="21"/>
      <c r="N50" s="21"/>
      <c r="O50" s="21"/>
    </row>
    <row r="51" spans="2:15" ht="14.15" customHeight="1" x14ac:dyDescent="0.35">
      <c r="B51" s="100">
        <f t="shared" si="0"/>
        <v>48</v>
      </c>
      <c r="C51" s="104" t="s">
        <v>54</v>
      </c>
      <c r="D51" s="102">
        <v>737885</v>
      </c>
      <c r="E51" s="102"/>
      <c r="F51" s="103">
        <v>29309</v>
      </c>
      <c r="G51" s="99"/>
      <c r="H51" s="99"/>
      <c r="I51" s="99"/>
      <c r="J51" s="20"/>
      <c r="K51" s="21"/>
      <c r="L51" s="21"/>
      <c r="M51" s="21"/>
      <c r="N51" s="21"/>
      <c r="O51" s="21"/>
    </row>
    <row r="52" spans="2:15" ht="14.15" customHeight="1" x14ac:dyDescent="0.35">
      <c r="B52" s="100">
        <f t="shared" si="0"/>
        <v>49</v>
      </c>
      <c r="C52" s="104" t="s">
        <v>55</v>
      </c>
      <c r="D52" s="102">
        <v>737890</v>
      </c>
      <c r="E52" s="102"/>
      <c r="F52" s="103">
        <v>29316</v>
      </c>
      <c r="G52" s="99"/>
      <c r="H52" s="99"/>
      <c r="I52" s="99"/>
      <c r="J52" s="20"/>
      <c r="K52" s="21"/>
      <c r="L52" s="21"/>
      <c r="M52" s="21"/>
      <c r="N52" s="21"/>
      <c r="O52" s="21"/>
    </row>
    <row r="53" spans="2:15" ht="14.15" customHeight="1" x14ac:dyDescent="0.35">
      <c r="B53" s="100">
        <f t="shared" si="0"/>
        <v>50</v>
      </c>
      <c r="C53" s="104" t="s">
        <v>56</v>
      </c>
      <c r="D53" s="102">
        <v>706869</v>
      </c>
      <c r="E53" s="102"/>
      <c r="F53" s="103">
        <v>29319</v>
      </c>
      <c r="G53" s="99"/>
      <c r="H53" s="99"/>
      <c r="I53" s="99"/>
      <c r="J53" s="20"/>
      <c r="K53" s="21"/>
      <c r="L53" s="21"/>
      <c r="M53" s="21"/>
      <c r="N53" s="21"/>
      <c r="O53" s="21"/>
    </row>
    <row r="54" spans="2:15" ht="14.15" customHeight="1" x14ac:dyDescent="0.35">
      <c r="B54" s="100">
        <f t="shared" si="0"/>
        <v>51</v>
      </c>
      <c r="C54" s="104" t="s">
        <v>57</v>
      </c>
      <c r="D54" s="102">
        <v>727479</v>
      </c>
      <c r="E54" s="102"/>
      <c r="F54" s="103">
        <v>29319</v>
      </c>
      <c r="G54" s="99"/>
      <c r="H54" s="99"/>
      <c r="I54" s="99"/>
      <c r="J54" s="20"/>
      <c r="K54" s="21"/>
      <c r="L54" s="21"/>
      <c r="M54" s="21"/>
      <c r="N54" s="21"/>
      <c r="O54" s="21"/>
    </row>
    <row r="55" spans="2:15" ht="14.15" customHeight="1" x14ac:dyDescent="0.35">
      <c r="B55" s="100">
        <f t="shared" si="0"/>
        <v>52</v>
      </c>
      <c r="C55" s="104" t="s">
        <v>58</v>
      </c>
      <c r="D55" s="102">
        <v>737781</v>
      </c>
      <c r="E55" s="102"/>
      <c r="F55" s="103">
        <v>29319</v>
      </c>
      <c r="G55" s="99"/>
      <c r="H55" s="99"/>
      <c r="I55" s="99"/>
      <c r="J55" s="20"/>
      <c r="K55" s="21"/>
      <c r="L55" s="21"/>
      <c r="M55" s="21"/>
      <c r="N55" s="21"/>
      <c r="O55" s="21"/>
    </row>
    <row r="56" spans="2:15" ht="14.15" customHeight="1" x14ac:dyDescent="0.35">
      <c r="B56" s="100">
        <f t="shared" si="0"/>
        <v>53</v>
      </c>
      <c r="C56" s="104" t="s">
        <v>59</v>
      </c>
      <c r="D56" s="102">
        <v>748324</v>
      </c>
      <c r="E56" s="102"/>
      <c r="F56" s="103">
        <v>29327</v>
      </c>
      <c r="G56" s="99"/>
      <c r="H56" s="99"/>
      <c r="I56" s="99"/>
      <c r="J56" s="20"/>
      <c r="K56" s="21"/>
      <c r="L56" s="21"/>
      <c r="M56" s="21"/>
      <c r="N56" s="21"/>
      <c r="O56" s="21"/>
    </row>
    <row r="57" spans="2:15" ht="14.15" customHeight="1" x14ac:dyDescent="0.35">
      <c r="B57" s="100">
        <f t="shared" si="0"/>
        <v>54</v>
      </c>
      <c r="C57" s="104" t="s">
        <v>60</v>
      </c>
      <c r="D57" s="102">
        <v>727496</v>
      </c>
      <c r="E57" s="102"/>
      <c r="F57" s="103">
        <v>29328</v>
      </c>
      <c r="G57" s="99"/>
      <c r="H57" s="99"/>
      <c r="I57" s="99"/>
      <c r="J57" s="20"/>
      <c r="K57" s="21"/>
      <c r="L57" s="21"/>
      <c r="M57" s="21"/>
      <c r="N57" s="21"/>
      <c r="O57" s="21"/>
    </row>
    <row r="58" spans="2:15" ht="14.15" customHeight="1" x14ac:dyDescent="0.35">
      <c r="B58" s="100">
        <f t="shared" si="0"/>
        <v>55</v>
      </c>
      <c r="C58" s="104" t="s">
        <v>61</v>
      </c>
      <c r="D58" s="102">
        <v>727940</v>
      </c>
      <c r="E58" s="102"/>
      <c r="F58" s="103">
        <v>29328</v>
      </c>
      <c r="G58" s="99"/>
      <c r="H58" s="99"/>
      <c r="I58" s="99"/>
      <c r="J58" s="20"/>
      <c r="K58" s="21"/>
      <c r="L58" s="21"/>
      <c r="M58" s="21"/>
      <c r="N58" s="21"/>
      <c r="O58" s="21"/>
    </row>
    <row r="59" spans="2:15" ht="14.15" customHeight="1" x14ac:dyDescent="0.35">
      <c r="B59" s="100">
        <f t="shared" si="0"/>
        <v>56</v>
      </c>
      <c r="C59" s="104" t="s">
        <v>62</v>
      </c>
      <c r="D59" s="102">
        <v>717106</v>
      </c>
      <c r="E59" s="102"/>
      <c r="F59" s="103">
        <v>29333</v>
      </c>
      <c r="G59" s="99"/>
      <c r="H59" s="99"/>
      <c r="I59" s="99"/>
      <c r="J59" s="20"/>
      <c r="K59" s="21"/>
      <c r="L59" s="21"/>
      <c r="M59" s="21"/>
      <c r="N59" s="21"/>
      <c r="O59" s="21"/>
    </row>
    <row r="60" spans="2:15" ht="14.15" customHeight="1" x14ac:dyDescent="0.35">
      <c r="B60" s="100">
        <f t="shared" si="0"/>
        <v>57</v>
      </c>
      <c r="C60" s="104" t="s">
        <v>63</v>
      </c>
      <c r="D60" s="102">
        <v>696533</v>
      </c>
      <c r="E60" s="102"/>
      <c r="F60" s="103">
        <v>29344</v>
      </c>
      <c r="G60" s="99"/>
      <c r="H60" s="99"/>
      <c r="I60" s="99"/>
      <c r="J60" s="20"/>
      <c r="K60" s="21"/>
      <c r="L60" s="21"/>
      <c r="M60" s="21"/>
      <c r="N60" s="21"/>
      <c r="O60" s="21"/>
    </row>
    <row r="61" spans="2:15" ht="14.15" customHeight="1" x14ac:dyDescent="0.35">
      <c r="B61" s="100">
        <f t="shared" si="0"/>
        <v>58</v>
      </c>
      <c r="C61" s="104" t="s">
        <v>64</v>
      </c>
      <c r="D61" s="102">
        <v>727632</v>
      </c>
      <c r="E61" s="102"/>
      <c r="F61" s="103">
        <v>29344</v>
      </c>
      <c r="G61" s="99"/>
      <c r="H61" s="99"/>
      <c r="I61" s="99"/>
      <c r="J61" s="20"/>
      <c r="K61" s="21"/>
      <c r="L61" s="21"/>
      <c r="M61" s="21"/>
      <c r="N61" s="21"/>
      <c r="O61" s="21"/>
    </row>
    <row r="62" spans="2:15" ht="14.15" customHeight="1" x14ac:dyDescent="0.35">
      <c r="B62" s="100">
        <f t="shared" si="0"/>
        <v>59</v>
      </c>
      <c r="C62" s="104" t="s">
        <v>65</v>
      </c>
      <c r="D62" s="102">
        <v>717190</v>
      </c>
      <c r="E62" s="102"/>
      <c r="F62" s="103">
        <v>29376</v>
      </c>
      <c r="G62" s="99"/>
      <c r="H62" s="99"/>
      <c r="I62" s="99"/>
      <c r="J62" s="20"/>
      <c r="K62" s="21"/>
      <c r="L62" s="21"/>
      <c r="M62" s="21"/>
      <c r="N62" s="21"/>
      <c r="O62" s="21"/>
    </row>
    <row r="63" spans="2:15" ht="14.15" customHeight="1" x14ac:dyDescent="0.35">
      <c r="B63" s="100">
        <f t="shared" si="0"/>
        <v>60</v>
      </c>
      <c r="C63" s="104" t="s">
        <v>66</v>
      </c>
      <c r="D63" s="102">
        <v>738048</v>
      </c>
      <c r="E63" s="102"/>
      <c r="F63" s="103">
        <v>29378</v>
      </c>
      <c r="G63" s="99"/>
      <c r="H63" s="99"/>
      <c r="I63" s="99"/>
      <c r="J63" s="20"/>
      <c r="K63" s="21"/>
      <c r="L63" s="21"/>
      <c r="M63" s="21"/>
      <c r="N63" s="21"/>
      <c r="O63" s="21"/>
    </row>
    <row r="64" spans="2:15" ht="14.15" customHeight="1" x14ac:dyDescent="0.35">
      <c r="B64" s="100">
        <f t="shared" si="0"/>
        <v>61</v>
      </c>
      <c r="C64" s="104" t="s">
        <v>67</v>
      </c>
      <c r="D64" s="102">
        <v>727555</v>
      </c>
      <c r="E64" s="102"/>
      <c r="F64" s="103">
        <v>29379</v>
      </c>
      <c r="G64" s="99"/>
      <c r="H64" s="99"/>
      <c r="I64" s="99"/>
      <c r="J64" s="20"/>
      <c r="K64" s="21"/>
      <c r="L64" s="21"/>
      <c r="M64" s="21"/>
      <c r="N64" s="21"/>
      <c r="O64" s="21"/>
    </row>
    <row r="65" spans="2:15" ht="14.15" customHeight="1" x14ac:dyDescent="0.35">
      <c r="B65" s="100">
        <f t="shared" si="0"/>
        <v>62</v>
      </c>
      <c r="C65" s="104" t="s">
        <v>68</v>
      </c>
      <c r="D65" s="102">
        <v>748357</v>
      </c>
      <c r="E65" s="102"/>
      <c r="F65" s="103">
        <v>29389</v>
      </c>
      <c r="G65" s="99"/>
      <c r="H65" s="99"/>
      <c r="I65" s="99"/>
      <c r="J65" s="20"/>
      <c r="K65" s="21"/>
      <c r="L65" s="21"/>
      <c r="M65" s="21"/>
      <c r="N65" s="21"/>
      <c r="O65" s="21"/>
    </row>
    <row r="66" spans="2:15" ht="14.15" customHeight="1" x14ac:dyDescent="0.35">
      <c r="B66" s="100">
        <f t="shared" si="0"/>
        <v>63</v>
      </c>
      <c r="C66" s="104" t="s">
        <v>69</v>
      </c>
      <c r="D66" s="102">
        <v>706770</v>
      </c>
      <c r="E66" s="102"/>
      <c r="F66" s="103">
        <v>29398</v>
      </c>
      <c r="G66" s="99"/>
      <c r="H66" s="99"/>
      <c r="I66" s="99"/>
      <c r="J66" s="20"/>
      <c r="K66" s="21"/>
      <c r="L66" s="21"/>
      <c r="M66" s="21"/>
      <c r="N66" s="21"/>
      <c r="O66" s="21"/>
    </row>
    <row r="67" spans="2:15" ht="14.15" customHeight="1" x14ac:dyDescent="0.35">
      <c r="B67" s="100">
        <f t="shared" si="0"/>
        <v>64</v>
      </c>
      <c r="C67" s="104" t="s">
        <v>70</v>
      </c>
      <c r="D67" s="102">
        <v>727617</v>
      </c>
      <c r="E67" s="102"/>
      <c r="F67" s="103">
        <v>29428</v>
      </c>
      <c r="G67" s="99"/>
      <c r="H67" s="99"/>
      <c r="I67" s="99"/>
      <c r="J67" s="20"/>
      <c r="K67" s="21"/>
      <c r="L67" s="21"/>
      <c r="M67" s="21"/>
      <c r="N67" s="21"/>
      <c r="O67" s="21"/>
    </row>
    <row r="68" spans="2:15" ht="14.15" customHeight="1" x14ac:dyDescent="0.35">
      <c r="B68" s="100">
        <f t="shared" si="0"/>
        <v>65</v>
      </c>
      <c r="C68" s="104" t="s">
        <v>71</v>
      </c>
      <c r="D68" s="102">
        <v>686337</v>
      </c>
      <c r="E68" s="102"/>
      <c r="F68" s="103">
        <v>29433</v>
      </c>
      <c r="G68" s="99"/>
      <c r="H68" s="99"/>
      <c r="I68" s="99"/>
      <c r="J68" s="20"/>
      <c r="K68" s="21"/>
      <c r="L68" s="21"/>
      <c r="M68" s="21"/>
      <c r="N68" s="21"/>
      <c r="O68" s="21"/>
    </row>
    <row r="69" spans="2:15" ht="14.15" customHeight="1" x14ac:dyDescent="0.35">
      <c r="B69" s="100">
        <f t="shared" ref="B69:B132" si="1">(B68+1)</f>
        <v>66</v>
      </c>
      <c r="C69" s="104" t="s">
        <v>72</v>
      </c>
      <c r="D69" s="102">
        <v>727664</v>
      </c>
      <c r="E69" s="102"/>
      <c r="F69" s="103">
        <v>29433</v>
      </c>
      <c r="G69" s="99"/>
      <c r="H69" s="99"/>
      <c r="I69" s="99"/>
      <c r="J69" s="20"/>
      <c r="K69" s="21"/>
      <c r="L69" s="21"/>
      <c r="M69" s="21"/>
      <c r="N69" s="21"/>
      <c r="O69" s="21"/>
    </row>
    <row r="70" spans="2:15" ht="14.15" customHeight="1" x14ac:dyDescent="0.35">
      <c r="B70" s="100">
        <f t="shared" si="1"/>
        <v>67</v>
      </c>
      <c r="C70" s="104" t="s">
        <v>73</v>
      </c>
      <c r="D70" s="102">
        <v>748312</v>
      </c>
      <c r="E70" s="102"/>
      <c r="F70" s="103">
        <v>29433</v>
      </c>
      <c r="G70" s="99"/>
      <c r="H70" s="99"/>
      <c r="I70" s="99"/>
      <c r="J70" s="20"/>
      <c r="K70" s="21"/>
      <c r="L70" s="21"/>
      <c r="M70" s="21"/>
      <c r="N70" s="21"/>
      <c r="O70" s="21"/>
    </row>
    <row r="71" spans="2:15" ht="14.15" customHeight="1" x14ac:dyDescent="0.35">
      <c r="B71" s="100">
        <f t="shared" si="1"/>
        <v>68</v>
      </c>
      <c r="C71" s="104" t="s">
        <v>74</v>
      </c>
      <c r="D71" s="102">
        <v>727523</v>
      </c>
      <c r="E71" s="102"/>
      <c r="F71" s="103">
        <v>29448</v>
      </c>
      <c r="G71" s="99"/>
      <c r="H71" s="99"/>
      <c r="I71" s="99"/>
      <c r="J71" s="20"/>
      <c r="K71" s="21"/>
      <c r="L71" s="21"/>
      <c r="M71" s="21"/>
      <c r="N71" s="21"/>
      <c r="O71" s="21"/>
    </row>
    <row r="72" spans="2:15" ht="14.15" customHeight="1" x14ac:dyDescent="0.35">
      <c r="B72" s="100">
        <f t="shared" si="1"/>
        <v>69</v>
      </c>
      <c r="C72" s="104" t="s">
        <v>75</v>
      </c>
      <c r="D72" s="102">
        <v>727441</v>
      </c>
      <c r="E72" s="102"/>
      <c r="F72" s="103">
        <v>29461</v>
      </c>
      <c r="G72" s="99"/>
      <c r="H72" s="99"/>
      <c r="I72" s="99"/>
      <c r="J72" s="20"/>
      <c r="K72" s="21"/>
      <c r="L72" s="21"/>
      <c r="M72" s="21"/>
      <c r="N72" s="21"/>
      <c r="O72" s="21"/>
    </row>
    <row r="73" spans="2:15" ht="14.15" customHeight="1" x14ac:dyDescent="0.35">
      <c r="B73" s="100">
        <f t="shared" si="1"/>
        <v>70</v>
      </c>
      <c r="C73" s="104" t="s">
        <v>76</v>
      </c>
      <c r="D73" s="102">
        <v>717062</v>
      </c>
      <c r="E73" s="102"/>
      <c r="F73" s="103">
        <v>29477</v>
      </c>
      <c r="G73" s="99"/>
      <c r="H73" s="99"/>
      <c r="I73" s="99"/>
      <c r="J73" s="20"/>
      <c r="K73" s="21"/>
      <c r="L73" s="21"/>
      <c r="M73" s="21"/>
      <c r="N73" s="21"/>
      <c r="O73" s="21"/>
    </row>
    <row r="74" spans="2:15" ht="14.15" customHeight="1" x14ac:dyDescent="0.35">
      <c r="B74" s="100">
        <f t="shared" si="1"/>
        <v>71</v>
      </c>
      <c r="C74" s="104" t="s">
        <v>77</v>
      </c>
      <c r="D74" s="102">
        <v>727464</v>
      </c>
      <c r="E74" s="102"/>
      <c r="F74" s="103">
        <v>29483</v>
      </c>
      <c r="G74" s="99"/>
      <c r="H74" s="99"/>
      <c r="I74" s="99"/>
      <c r="J74" s="20"/>
      <c r="K74" s="21"/>
      <c r="L74" s="21"/>
      <c r="M74" s="21"/>
      <c r="N74" s="21"/>
      <c r="O74" s="21"/>
    </row>
    <row r="75" spans="2:15" ht="14.15" customHeight="1" x14ac:dyDescent="0.35">
      <c r="B75" s="100">
        <f t="shared" si="1"/>
        <v>72</v>
      </c>
      <c r="C75" s="104" t="s">
        <v>78</v>
      </c>
      <c r="D75" s="102">
        <v>727456</v>
      </c>
      <c r="E75" s="102"/>
      <c r="F75" s="103">
        <v>29486</v>
      </c>
      <c r="G75" s="99"/>
      <c r="H75" s="99"/>
      <c r="I75" s="99"/>
      <c r="J75" s="20"/>
      <c r="K75" s="21"/>
      <c r="L75" s="21"/>
      <c r="M75" s="21"/>
      <c r="N75" s="21"/>
      <c r="O75" s="21"/>
    </row>
    <row r="76" spans="2:15" ht="14.15" customHeight="1" x14ac:dyDescent="0.35">
      <c r="B76" s="100">
        <f t="shared" si="1"/>
        <v>73</v>
      </c>
      <c r="C76" s="104" t="s">
        <v>79</v>
      </c>
      <c r="D76" s="102">
        <v>748369</v>
      </c>
      <c r="E76" s="102"/>
      <c r="F76" s="103">
        <v>29495</v>
      </c>
      <c r="G76" s="99"/>
      <c r="H76" s="99"/>
      <c r="I76" s="99"/>
      <c r="J76" s="20"/>
      <c r="K76" s="21"/>
      <c r="L76" s="21"/>
      <c r="M76" s="21"/>
      <c r="N76" s="21"/>
      <c r="O76" s="21"/>
    </row>
    <row r="77" spans="2:15" ht="14.15" customHeight="1" x14ac:dyDescent="0.35">
      <c r="B77" s="100">
        <f t="shared" si="1"/>
        <v>74</v>
      </c>
      <c r="C77" s="104" t="s">
        <v>80</v>
      </c>
      <c r="D77" s="102">
        <v>706874</v>
      </c>
      <c r="E77" s="102"/>
      <c r="F77" s="103">
        <v>29498</v>
      </c>
      <c r="G77" s="99"/>
      <c r="H77" s="99"/>
      <c r="I77" s="99"/>
      <c r="J77" s="20"/>
      <c r="K77" s="21"/>
      <c r="L77" s="21"/>
      <c r="M77" s="21"/>
      <c r="N77" s="21"/>
      <c r="O77" s="21"/>
    </row>
    <row r="78" spans="2:15" ht="14.15" customHeight="1" x14ac:dyDescent="0.35">
      <c r="B78" s="100">
        <f t="shared" si="1"/>
        <v>75</v>
      </c>
      <c r="C78" s="104" t="s">
        <v>81</v>
      </c>
      <c r="D78" s="102">
        <v>738104</v>
      </c>
      <c r="E78" s="102"/>
      <c r="F78" s="103">
        <v>29500</v>
      </c>
      <c r="G78" s="99"/>
      <c r="H78" s="99"/>
      <c r="I78" s="99"/>
      <c r="J78" s="20"/>
      <c r="K78" s="21"/>
      <c r="L78" s="21"/>
      <c r="M78" s="21"/>
      <c r="N78" s="21"/>
      <c r="O78" s="21"/>
    </row>
    <row r="79" spans="2:15" ht="14.15" customHeight="1" x14ac:dyDescent="0.35">
      <c r="B79" s="100">
        <f t="shared" si="1"/>
        <v>76</v>
      </c>
      <c r="C79" s="104" t="s">
        <v>82</v>
      </c>
      <c r="D79" s="102">
        <v>696670</v>
      </c>
      <c r="E79" s="102"/>
      <c r="F79" s="103">
        <v>29501</v>
      </c>
      <c r="G79" s="99"/>
      <c r="H79" s="99"/>
      <c r="I79" s="99"/>
      <c r="J79" s="20"/>
      <c r="K79" s="21"/>
      <c r="L79" s="21"/>
      <c r="M79" s="21"/>
      <c r="N79" s="21"/>
      <c r="O79" s="21"/>
    </row>
    <row r="80" spans="2:15" ht="14.15" customHeight="1" x14ac:dyDescent="0.35">
      <c r="B80" s="100">
        <f t="shared" si="1"/>
        <v>77</v>
      </c>
      <c r="C80" s="104" t="s">
        <v>83</v>
      </c>
      <c r="D80" s="102">
        <v>748281</v>
      </c>
      <c r="E80" s="102"/>
      <c r="F80" s="103">
        <v>29504</v>
      </c>
      <c r="G80" s="99"/>
      <c r="H80" s="99"/>
      <c r="I80" s="99"/>
      <c r="J80" s="20"/>
      <c r="K80" s="21"/>
      <c r="L80" s="21"/>
      <c r="M80" s="21"/>
      <c r="N80" s="21"/>
      <c r="O80" s="21"/>
    </row>
    <row r="81" spans="2:15" ht="14.15" customHeight="1" x14ac:dyDescent="0.35">
      <c r="B81" s="100">
        <f t="shared" si="1"/>
        <v>78</v>
      </c>
      <c r="C81" s="104" t="s">
        <v>84</v>
      </c>
      <c r="D81" s="102">
        <v>727509</v>
      </c>
      <c r="E81" s="102"/>
      <c r="F81" s="103">
        <v>29508</v>
      </c>
      <c r="G81" s="99"/>
      <c r="H81" s="99"/>
      <c r="I81" s="99"/>
      <c r="J81" s="20"/>
      <c r="K81" s="21"/>
      <c r="L81" s="21"/>
      <c r="M81" s="21"/>
      <c r="N81" s="21"/>
      <c r="O81" s="21"/>
    </row>
    <row r="82" spans="2:15" ht="14.15" customHeight="1" x14ac:dyDescent="0.35">
      <c r="B82" s="100">
        <f t="shared" si="1"/>
        <v>79</v>
      </c>
      <c r="C82" s="104" t="s">
        <v>85</v>
      </c>
      <c r="D82" s="102">
        <v>717191</v>
      </c>
      <c r="E82" s="102"/>
      <c r="F82" s="103">
        <v>29515</v>
      </c>
      <c r="G82" s="99"/>
      <c r="H82" s="99"/>
      <c r="I82" s="99"/>
      <c r="J82" s="20"/>
      <c r="K82" s="21"/>
      <c r="L82" s="21"/>
      <c r="M82" s="21"/>
      <c r="N82" s="21"/>
      <c r="O82" s="21"/>
    </row>
    <row r="83" spans="2:15" ht="14.15" customHeight="1" x14ac:dyDescent="0.35">
      <c r="B83" s="100">
        <f t="shared" si="1"/>
        <v>80</v>
      </c>
      <c r="C83" s="104" t="s">
        <v>86</v>
      </c>
      <c r="D83" s="102">
        <v>737957</v>
      </c>
      <c r="E83" s="102"/>
      <c r="F83" s="103">
        <v>29547</v>
      </c>
      <c r="G83" s="99"/>
      <c r="H83" s="99"/>
      <c r="I83" s="99"/>
      <c r="J83" s="20"/>
      <c r="K83" s="21"/>
      <c r="L83" s="21"/>
      <c r="M83" s="21"/>
      <c r="N83" s="21"/>
      <c r="O83" s="21"/>
    </row>
    <row r="84" spans="2:15" ht="14.15" customHeight="1" x14ac:dyDescent="0.35">
      <c r="B84" s="100">
        <f t="shared" si="1"/>
        <v>81</v>
      </c>
      <c r="C84" s="104" t="s">
        <v>87</v>
      </c>
      <c r="D84" s="102">
        <v>748249</v>
      </c>
      <c r="E84" s="102"/>
      <c r="F84" s="103">
        <v>29554</v>
      </c>
      <c r="G84" s="99"/>
      <c r="H84" s="99"/>
      <c r="I84" s="99"/>
      <c r="J84" s="20"/>
      <c r="K84" s="21"/>
      <c r="L84" s="21"/>
      <c r="M84" s="21"/>
      <c r="N84" s="21"/>
      <c r="O84" s="21"/>
    </row>
    <row r="85" spans="2:15" ht="14.15" customHeight="1" x14ac:dyDescent="0.35">
      <c r="B85" s="100">
        <f t="shared" si="1"/>
        <v>82</v>
      </c>
      <c r="C85" s="104" t="s">
        <v>88</v>
      </c>
      <c r="D85" s="102">
        <v>748351</v>
      </c>
      <c r="E85" s="102"/>
      <c r="F85" s="103">
        <v>29558</v>
      </c>
      <c r="G85" s="99"/>
      <c r="H85" s="99"/>
      <c r="I85" s="99"/>
      <c r="J85" s="20"/>
      <c r="K85" s="21"/>
      <c r="L85" s="21"/>
      <c r="M85" s="21"/>
      <c r="N85" s="21"/>
      <c r="O85" s="21"/>
    </row>
    <row r="86" spans="2:15" ht="14.15" customHeight="1" x14ac:dyDescent="0.35">
      <c r="B86" s="100">
        <f t="shared" si="1"/>
        <v>83</v>
      </c>
      <c r="C86" s="104" t="s">
        <v>89</v>
      </c>
      <c r="D86" s="102">
        <v>748300</v>
      </c>
      <c r="E86" s="102"/>
      <c r="F86" s="103">
        <v>29566</v>
      </c>
      <c r="G86" s="99"/>
      <c r="H86" s="99"/>
      <c r="I86" s="99"/>
      <c r="J86" s="20"/>
      <c r="K86" s="21"/>
      <c r="L86" s="21"/>
      <c r="M86" s="21"/>
      <c r="N86" s="21"/>
      <c r="O86" s="21"/>
    </row>
    <row r="87" spans="2:15" ht="14.15" customHeight="1" x14ac:dyDescent="0.35">
      <c r="B87" s="100">
        <f t="shared" si="1"/>
        <v>84</v>
      </c>
      <c r="C87" s="104" t="s">
        <v>90</v>
      </c>
      <c r="D87" s="102">
        <v>727450</v>
      </c>
      <c r="E87" s="102"/>
      <c r="F87" s="103">
        <v>29568</v>
      </c>
      <c r="G87" s="99"/>
      <c r="H87" s="99"/>
      <c r="I87" s="99"/>
      <c r="J87" s="20"/>
      <c r="K87" s="21"/>
      <c r="L87" s="21"/>
      <c r="M87" s="21"/>
      <c r="N87" s="21"/>
      <c r="O87" s="21"/>
    </row>
    <row r="88" spans="2:15" ht="14.15" customHeight="1" x14ac:dyDescent="0.35">
      <c r="B88" s="100">
        <f t="shared" si="1"/>
        <v>85</v>
      </c>
      <c r="C88" s="104" t="s">
        <v>91</v>
      </c>
      <c r="D88" s="102">
        <v>696652</v>
      </c>
      <c r="E88" s="102"/>
      <c r="F88" s="103">
        <v>29570</v>
      </c>
      <c r="G88" s="99"/>
      <c r="H88" s="99"/>
      <c r="I88" s="99"/>
      <c r="J88" s="20"/>
      <c r="K88" s="21"/>
      <c r="L88" s="21"/>
      <c r="M88" s="21"/>
      <c r="N88" s="21"/>
      <c r="O88" s="21"/>
    </row>
    <row r="89" spans="2:15" ht="14.15" customHeight="1" x14ac:dyDescent="0.35">
      <c r="B89" s="100">
        <f t="shared" si="1"/>
        <v>86</v>
      </c>
      <c r="C89" s="104" t="s">
        <v>92</v>
      </c>
      <c r="D89" s="102">
        <v>738080</v>
      </c>
      <c r="E89" s="102"/>
      <c r="F89" s="103">
        <v>29570</v>
      </c>
      <c r="G89" s="99"/>
      <c r="H89" s="99"/>
      <c r="I89" s="99"/>
      <c r="J89" s="20"/>
      <c r="K89" s="21"/>
      <c r="L89" s="21"/>
      <c r="M89" s="21"/>
      <c r="N89" s="21"/>
      <c r="O89" s="21"/>
    </row>
    <row r="90" spans="2:15" ht="14.15" customHeight="1" x14ac:dyDescent="0.35">
      <c r="B90" s="100">
        <f t="shared" si="1"/>
        <v>87</v>
      </c>
      <c r="C90" s="104" t="s">
        <v>93</v>
      </c>
      <c r="D90" s="102">
        <v>748448</v>
      </c>
      <c r="E90" s="102"/>
      <c r="F90" s="103">
        <v>29571</v>
      </c>
      <c r="G90" s="99"/>
      <c r="H90" s="99"/>
      <c r="I90" s="99"/>
      <c r="J90" s="20"/>
      <c r="K90" s="21"/>
      <c r="L90" s="21"/>
      <c r="M90" s="21"/>
      <c r="N90" s="21"/>
      <c r="O90" s="21"/>
    </row>
    <row r="91" spans="2:15" ht="14.15" customHeight="1" x14ac:dyDescent="0.35">
      <c r="B91" s="100">
        <f t="shared" si="1"/>
        <v>88</v>
      </c>
      <c r="C91" s="104" t="s">
        <v>94</v>
      </c>
      <c r="D91" s="102">
        <v>727579</v>
      </c>
      <c r="E91" s="102"/>
      <c r="F91" s="103">
        <v>29610</v>
      </c>
      <c r="G91" s="99"/>
      <c r="H91" s="99"/>
      <c r="I91" s="99"/>
      <c r="J91" s="20"/>
      <c r="K91" s="21"/>
      <c r="L91" s="21"/>
      <c r="M91" s="21"/>
      <c r="N91" s="21"/>
      <c r="O91" s="21"/>
    </row>
    <row r="92" spans="2:15" ht="14.15" customHeight="1" x14ac:dyDescent="0.35">
      <c r="B92" s="100">
        <f t="shared" si="1"/>
        <v>89</v>
      </c>
      <c r="C92" s="104" t="s">
        <v>95</v>
      </c>
      <c r="D92" s="102">
        <v>737804</v>
      </c>
      <c r="E92" s="102"/>
      <c r="F92" s="103">
        <v>29616</v>
      </c>
      <c r="G92" s="99"/>
      <c r="H92" s="99"/>
      <c r="I92" s="99"/>
      <c r="J92" s="20"/>
      <c r="K92" s="21"/>
      <c r="L92" s="21"/>
      <c r="M92" s="21"/>
      <c r="N92" s="21"/>
      <c r="O92" s="21"/>
    </row>
    <row r="93" spans="2:15" ht="14.15" customHeight="1" x14ac:dyDescent="0.35">
      <c r="B93" s="100">
        <f t="shared" si="1"/>
        <v>90</v>
      </c>
      <c r="C93" s="104" t="s">
        <v>96</v>
      </c>
      <c r="D93" s="102">
        <v>737840</v>
      </c>
      <c r="E93" s="102"/>
      <c r="F93" s="103">
        <v>29619</v>
      </c>
      <c r="G93" s="99"/>
      <c r="H93" s="99"/>
      <c r="I93" s="99"/>
      <c r="J93" s="20"/>
      <c r="K93" s="21"/>
      <c r="L93" s="21"/>
      <c r="M93" s="21"/>
      <c r="N93" s="21"/>
      <c r="O93" s="21"/>
    </row>
    <row r="94" spans="2:15" ht="14.15" customHeight="1" x14ac:dyDescent="0.35">
      <c r="B94" s="100">
        <f t="shared" si="1"/>
        <v>91</v>
      </c>
      <c r="C94" s="104" t="s">
        <v>97</v>
      </c>
      <c r="D94" s="102">
        <v>748349</v>
      </c>
      <c r="E94" s="102"/>
      <c r="F94" s="103">
        <v>29621</v>
      </c>
      <c r="G94" s="99"/>
      <c r="H94" s="99"/>
      <c r="I94" s="99"/>
      <c r="J94" s="20"/>
      <c r="K94" s="21"/>
      <c r="L94" s="21"/>
      <c r="M94" s="21"/>
      <c r="N94" s="21"/>
      <c r="O94" s="21"/>
    </row>
    <row r="95" spans="2:15" ht="14.15" customHeight="1" x14ac:dyDescent="0.35">
      <c r="B95" s="100">
        <f t="shared" si="1"/>
        <v>92</v>
      </c>
      <c r="C95" s="104" t="s">
        <v>98</v>
      </c>
      <c r="D95" s="102">
        <v>748370</v>
      </c>
      <c r="E95" s="102"/>
      <c r="F95" s="103">
        <v>29621</v>
      </c>
      <c r="G95" s="99"/>
      <c r="H95" s="99"/>
      <c r="I95" s="99"/>
      <c r="J95" s="20"/>
      <c r="K95" s="21"/>
      <c r="L95" s="21"/>
      <c r="M95" s="21"/>
      <c r="N95" s="21"/>
      <c r="O95" s="21"/>
    </row>
    <row r="96" spans="2:15" ht="14.15" customHeight="1" x14ac:dyDescent="0.35">
      <c r="B96" s="100">
        <f t="shared" si="1"/>
        <v>93</v>
      </c>
      <c r="C96" s="104" t="s">
        <v>99</v>
      </c>
      <c r="D96" s="102">
        <v>748431</v>
      </c>
      <c r="E96" s="102"/>
      <c r="F96" s="103">
        <v>29657</v>
      </c>
      <c r="G96" s="99"/>
      <c r="H96" s="99"/>
      <c r="I96" s="99"/>
      <c r="J96" s="20"/>
      <c r="K96" s="21"/>
      <c r="L96" s="21"/>
      <c r="M96" s="21"/>
      <c r="N96" s="21"/>
      <c r="O96" s="21"/>
    </row>
    <row r="97" spans="2:15" ht="14.15" customHeight="1" x14ac:dyDescent="0.35">
      <c r="B97" s="100">
        <f t="shared" si="1"/>
        <v>94</v>
      </c>
      <c r="C97" s="104" t="s">
        <v>100</v>
      </c>
      <c r="D97" s="102">
        <v>727469</v>
      </c>
      <c r="E97" s="102"/>
      <c r="F97" s="103">
        <v>29685</v>
      </c>
      <c r="G97" s="99"/>
      <c r="H97" s="99"/>
      <c r="I97" s="99"/>
      <c r="J97" s="20"/>
      <c r="K97" s="21"/>
      <c r="L97" s="21"/>
      <c r="M97" s="21"/>
      <c r="N97" s="21"/>
      <c r="O97" s="21"/>
    </row>
    <row r="98" spans="2:15" ht="14.15" customHeight="1" x14ac:dyDescent="0.35">
      <c r="B98" s="100">
        <f t="shared" si="1"/>
        <v>95</v>
      </c>
      <c r="C98" s="104" t="s">
        <v>101</v>
      </c>
      <c r="D98" s="102">
        <v>727718</v>
      </c>
      <c r="E98" s="102"/>
      <c r="F98" s="103">
        <v>29689</v>
      </c>
      <c r="G98" s="99"/>
      <c r="H98" s="99"/>
      <c r="I98" s="99"/>
      <c r="J98" s="20"/>
      <c r="K98" s="21"/>
      <c r="L98" s="21"/>
      <c r="M98" s="21"/>
      <c r="N98" s="21"/>
      <c r="O98" s="21"/>
    </row>
    <row r="99" spans="2:15" ht="14.15" customHeight="1" x14ac:dyDescent="0.35">
      <c r="B99" s="100">
        <f t="shared" si="1"/>
        <v>96</v>
      </c>
      <c r="C99" s="104" t="s">
        <v>102</v>
      </c>
      <c r="D99" s="102">
        <v>706739</v>
      </c>
      <c r="E99" s="102"/>
      <c r="F99" s="103">
        <v>29691</v>
      </c>
      <c r="G99" s="99"/>
      <c r="H99" s="99"/>
      <c r="I99" s="99"/>
      <c r="J99" s="20"/>
      <c r="K99" s="21"/>
      <c r="L99" s="21"/>
      <c r="M99" s="21"/>
      <c r="N99" s="21"/>
      <c r="O99" s="21"/>
    </row>
    <row r="100" spans="2:15" ht="14.15" customHeight="1" x14ac:dyDescent="0.35">
      <c r="B100" s="100">
        <f t="shared" si="1"/>
        <v>97</v>
      </c>
      <c r="C100" s="104" t="s">
        <v>103</v>
      </c>
      <c r="D100" s="102">
        <v>738093</v>
      </c>
      <c r="E100" s="102"/>
      <c r="F100" s="103">
        <v>29691</v>
      </c>
      <c r="G100" s="99"/>
      <c r="H100" s="99"/>
      <c r="I100" s="99"/>
      <c r="J100" s="20"/>
      <c r="K100" s="21"/>
      <c r="L100" s="21"/>
      <c r="M100" s="21"/>
      <c r="N100" s="21"/>
      <c r="O100" s="21"/>
    </row>
    <row r="101" spans="2:15" ht="14.15" customHeight="1" x14ac:dyDescent="0.35">
      <c r="B101" s="100">
        <f t="shared" si="1"/>
        <v>98</v>
      </c>
      <c r="C101" s="104" t="s">
        <v>104</v>
      </c>
      <c r="D101" s="102">
        <v>737891</v>
      </c>
      <c r="E101" s="102"/>
      <c r="F101" s="103">
        <v>29715</v>
      </c>
      <c r="G101" s="99"/>
      <c r="H101" s="99"/>
      <c r="I101" s="99"/>
      <c r="J101" s="20"/>
      <c r="K101" s="21"/>
      <c r="L101" s="21"/>
      <c r="M101" s="21"/>
      <c r="N101" s="21"/>
      <c r="O101" s="21"/>
    </row>
    <row r="102" spans="2:15" ht="14.15" customHeight="1" x14ac:dyDescent="0.35">
      <c r="B102" s="100">
        <f t="shared" si="1"/>
        <v>99</v>
      </c>
      <c r="C102" s="104" t="s">
        <v>105</v>
      </c>
      <c r="D102" s="102">
        <v>748299</v>
      </c>
      <c r="E102" s="102"/>
      <c r="F102" s="103">
        <v>29720</v>
      </c>
      <c r="G102" s="99"/>
      <c r="H102" s="99"/>
      <c r="I102" s="99"/>
      <c r="J102" s="20"/>
      <c r="K102" s="21"/>
      <c r="L102" s="21"/>
      <c r="M102" s="21"/>
      <c r="N102" s="21"/>
      <c r="O102" s="21"/>
    </row>
    <row r="103" spans="2:15" ht="14.15" customHeight="1" x14ac:dyDescent="0.35">
      <c r="B103" s="100">
        <f t="shared" si="1"/>
        <v>100</v>
      </c>
      <c r="C103" s="104" t="s">
        <v>106</v>
      </c>
      <c r="D103" s="102">
        <v>758614</v>
      </c>
      <c r="E103" s="102"/>
      <c r="F103" s="103">
        <v>29766</v>
      </c>
      <c r="G103" s="99"/>
      <c r="H103" s="99"/>
      <c r="I103" s="99"/>
      <c r="J103" s="20"/>
      <c r="K103" s="21"/>
      <c r="L103" s="21"/>
      <c r="M103" s="21"/>
      <c r="N103" s="21"/>
      <c r="O103" s="21"/>
    </row>
    <row r="104" spans="2:15" ht="14.15" customHeight="1" x14ac:dyDescent="0.35">
      <c r="B104" s="100">
        <f t="shared" si="1"/>
        <v>101</v>
      </c>
      <c r="C104" s="104" t="s">
        <v>107</v>
      </c>
      <c r="D104" s="102">
        <v>758631</v>
      </c>
      <c r="E104" s="102"/>
      <c r="F104" s="103">
        <v>29766</v>
      </c>
      <c r="G104" s="99"/>
      <c r="H104" s="99"/>
      <c r="I104" s="99"/>
      <c r="J104" s="20"/>
      <c r="K104" s="21"/>
      <c r="L104" s="21"/>
      <c r="M104" s="21"/>
      <c r="N104" s="21"/>
      <c r="O104" s="21"/>
    </row>
    <row r="105" spans="2:15" ht="14.15" customHeight="1" x14ac:dyDescent="0.35">
      <c r="B105" s="100">
        <f t="shared" si="1"/>
        <v>102</v>
      </c>
      <c r="C105" s="104" t="s">
        <v>108</v>
      </c>
      <c r="D105" s="102">
        <v>686468</v>
      </c>
      <c r="E105" s="102"/>
      <c r="F105" s="103">
        <v>29767</v>
      </c>
      <c r="G105" s="99"/>
      <c r="H105" s="99"/>
      <c r="I105" s="99"/>
      <c r="J105" s="20"/>
      <c r="K105" s="21"/>
      <c r="L105" s="21"/>
      <c r="M105" s="21"/>
      <c r="N105" s="21"/>
      <c r="O105" s="21"/>
    </row>
    <row r="106" spans="2:15" ht="14.15" customHeight="1" x14ac:dyDescent="0.35">
      <c r="B106" s="100">
        <f t="shared" si="1"/>
        <v>103</v>
      </c>
      <c r="C106" s="104" t="s">
        <v>109</v>
      </c>
      <c r="D106" s="102">
        <v>727511</v>
      </c>
      <c r="E106" s="102"/>
      <c r="F106" s="103">
        <v>29769</v>
      </c>
      <c r="G106" s="99"/>
      <c r="H106" s="99"/>
      <c r="I106" s="99"/>
      <c r="J106" s="20"/>
      <c r="K106" s="21"/>
      <c r="L106" s="21"/>
      <c r="M106" s="21"/>
      <c r="N106" s="21"/>
      <c r="O106" s="21"/>
    </row>
    <row r="107" spans="2:15" ht="14.15" customHeight="1" x14ac:dyDescent="0.35">
      <c r="B107" s="100">
        <f t="shared" si="1"/>
        <v>104</v>
      </c>
      <c r="C107" s="104" t="s">
        <v>110</v>
      </c>
      <c r="D107" s="102">
        <v>758876</v>
      </c>
      <c r="E107" s="102"/>
      <c r="F107" s="103">
        <v>29769</v>
      </c>
      <c r="G107" s="99"/>
      <c r="H107" s="99"/>
      <c r="I107" s="99"/>
      <c r="J107" s="20"/>
      <c r="K107" s="21"/>
      <c r="L107" s="21"/>
      <c r="M107" s="21"/>
      <c r="N107" s="21"/>
      <c r="O107" s="21"/>
    </row>
    <row r="108" spans="2:15" ht="14.15" customHeight="1" x14ac:dyDescent="0.35">
      <c r="B108" s="100">
        <f t="shared" si="1"/>
        <v>105</v>
      </c>
      <c r="C108" s="104" t="s">
        <v>111</v>
      </c>
      <c r="D108" s="102">
        <v>758801</v>
      </c>
      <c r="E108" s="102"/>
      <c r="F108" s="103">
        <v>29773</v>
      </c>
      <c r="G108" s="99"/>
      <c r="H108" s="99"/>
      <c r="I108" s="99"/>
      <c r="J108" s="20"/>
      <c r="K108" s="21"/>
      <c r="L108" s="21"/>
      <c r="M108" s="21"/>
      <c r="N108" s="21"/>
      <c r="O108" s="21"/>
    </row>
    <row r="109" spans="2:15" ht="14.15" customHeight="1" x14ac:dyDescent="0.35">
      <c r="B109" s="100">
        <f t="shared" si="1"/>
        <v>106</v>
      </c>
      <c r="C109" s="104" t="s">
        <v>112</v>
      </c>
      <c r="D109" s="102">
        <v>769090</v>
      </c>
      <c r="E109" s="102"/>
      <c r="F109" s="103">
        <v>29776</v>
      </c>
      <c r="G109" s="99"/>
      <c r="H109" s="99"/>
      <c r="I109" s="99"/>
      <c r="J109" s="20"/>
      <c r="K109" s="21"/>
      <c r="L109" s="21"/>
      <c r="M109" s="21"/>
      <c r="N109" s="21"/>
      <c r="O109" s="21"/>
    </row>
    <row r="110" spans="2:15" ht="14.15" customHeight="1" x14ac:dyDescent="0.35">
      <c r="B110" s="100">
        <f t="shared" si="1"/>
        <v>107</v>
      </c>
      <c r="C110" s="104" t="s">
        <v>113</v>
      </c>
      <c r="D110" s="102">
        <v>717083</v>
      </c>
      <c r="E110" s="102"/>
      <c r="F110" s="103">
        <v>29782</v>
      </c>
      <c r="G110" s="99"/>
      <c r="H110" s="99"/>
      <c r="I110" s="99"/>
      <c r="J110" s="20"/>
      <c r="K110" s="21"/>
      <c r="L110" s="21"/>
      <c r="M110" s="21"/>
      <c r="N110" s="21"/>
      <c r="O110" s="21"/>
    </row>
    <row r="111" spans="2:15" ht="14.15" customHeight="1" x14ac:dyDescent="0.35">
      <c r="B111" s="100">
        <f t="shared" si="1"/>
        <v>108</v>
      </c>
      <c r="C111" s="104" t="s">
        <v>114</v>
      </c>
      <c r="D111" s="102">
        <v>717168</v>
      </c>
      <c r="E111" s="102"/>
      <c r="F111" s="103">
        <v>29785</v>
      </c>
      <c r="G111" s="99"/>
      <c r="H111" s="99"/>
      <c r="I111" s="99"/>
      <c r="J111" s="20"/>
      <c r="K111" s="21"/>
      <c r="L111" s="21"/>
      <c r="M111" s="21"/>
      <c r="N111" s="21"/>
      <c r="O111" s="21"/>
    </row>
    <row r="112" spans="2:15" ht="14.15" customHeight="1" x14ac:dyDescent="0.35">
      <c r="B112" s="100">
        <f t="shared" si="1"/>
        <v>109</v>
      </c>
      <c r="C112" s="104" t="s">
        <v>115</v>
      </c>
      <c r="D112" s="102">
        <v>727508</v>
      </c>
      <c r="E112" s="102"/>
      <c r="F112" s="103">
        <v>29785</v>
      </c>
      <c r="G112" s="99"/>
      <c r="H112" s="99"/>
      <c r="I112" s="99"/>
      <c r="J112" s="20"/>
      <c r="K112" s="21"/>
      <c r="L112" s="21"/>
      <c r="M112" s="21"/>
      <c r="N112" s="21"/>
      <c r="O112" s="21"/>
    </row>
    <row r="113" spans="2:15" ht="14.15" customHeight="1" x14ac:dyDescent="0.35">
      <c r="B113" s="100">
        <f t="shared" si="1"/>
        <v>110</v>
      </c>
      <c r="C113" s="104" t="s">
        <v>116</v>
      </c>
      <c r="D113" s="102">
        <v>738073</v>
      </c>
      <c r="E113" s="102"/>
      <c r="F113" s="103">
        <v>29785</v>
      </c>
      <c r="G113" s="99"/>
      <c r="H113" s="99"/>
      <c r="I113" s="99"/>
      <c r="J113" s="20"/>
      <c r="K113" s="21"/>
      <c r="L113" s="21"/>
      <c r="M113" s="21"/>
      <c r="N113" s="21"/>
      <c r="O113" s="21"/>
    </row>
    <row r="114" spans="2:15" ht="14.15" customHeight="1" x14ac:dyDescent="0.35">
      <c r="B114" s="100">
        <f t="shared" si="1"/>
        <v>111</v>
      </c>
      <c r="C114" s="104" t="s">
        <v>117</v>
      </c>
      <c r="D114" s="102">
        <v>696611</v>
      </c>
      <c r="E114" s="102"/>
      <c r="F114" s="103">
        <v>29787</v>
      </c>
      <c r="G114" s="99"/>
      <c r="H114" s="99"/>
      <c r="I114" s="99"/>
      <c r="J114" s="20"/>
      <c r="K114" s="21"/>
      <c r="L114" s="21"/>
      <c r="M114" s="21"/>
      <c r="N114" s="21"/>
      <c r="O114" s="21"/>
    </row>
    <row r="115" spans="2:15" ht="14.15" customHeight="1" x14ac:dyDescent="0.35">
      <c r="B115" s="100">
        <f t="shared" si="1"/>
        <v>112</v>
      </c>
      <c r="C115" s="104" t="s">
        <v>118</v>
      </c>
      <c r="D115" s="102">
        <v>717238</v>
      </c>
      <c r="E115" s="102"/>
      <c r="F115" s="103">
        <v>29787</v>
      </c>
      <c r="G115" s="99"/>
      <c r="H115" s="99"/>
      <c r="I115" s="99"/>
      <c r="J115" s="20"/>
      <c r="K115" s="21"/>
      <c r="L115" s="21"/>
      <c r="M115" s="21"/>
      <c r="N115" s="21"/>
      <c r="O115" s="21"/>
    </row>
    <row r="116" spans="2:15" ht="14.15" customHeight="1" x14ac:dyDescent="0.35">
      <c r="B116" s="100">
        <f t="shared" si="1"/>
        <v>113</v>
      </c>
      <c r="C116" s="104" t="s">
        <v>119</v>
      </c>
      <c r="D116" s="102">
        <v>717249</v>
      </c>
      <c r="E116" s="102"/>
      <c r="F116" s="103">
        <v>29787</v>
      </c>
      <c r="G116" s="99"/>
      <c r="H116" s="99"/>
      <c r="I116" s="99"/>
      <c r="J116" s="20"/>
      <c r="K116" s="21"/>
      <c r="L116" s="21"/>
      <c r="M116" s="21"/>
      <c r="N116" s="21"/>
      <c r="O116" s="21"/>
    </row>
    <row r="117" spans="2:15" ht="14.15" customHeight="1" x14ac:dyDescent="0.35">
      <c r="B117" s="100">
        <f t="shared" si="1"/>
        <v>114</v>
      </c>
      <c r="C117" s="104" t="s">
        <v>120</v>
      </c>
      <c r="D117" s="102">
        <v>727402</v>
      </c>
      <c r="E117" s="102"/>
      <c r="F117" s="103">
        <v>29787</v>
      </c>
      <c r="G117" s="99"/>
      <c r="H117" s="99"/>
      <c r="I117" s="99"/>
      <c r="J117" s="20"/>
      <c r="K117" s="21"/>
      <c r="L117" s="21"/>
      <c r="M117" s="21"/>
      <c r="N117" s="21"/>
      <c r="O117" s="21"/>
    </row>
    <row r="118" spans="2:15" ht="14.15" customHeight="1" x14ac:dyDescent="0.35">
      <c r="B118" s="100">
        <f t="shared" si="1"/>
        <v>115</v>
      </c>
      <c r="C118" s="104" t="s">
        <v>121</v>
      </c>
      <c r="D118" s="102">
        <v>717052</v>
      </c>
      <c r="E118" s="102"/>
      <c r="F118" s="103">
        <v>29794</v>
      </c>
      <c r="G118" s="99"/>
      <c r="H118" s="99"/>
      <c r="I118" s="99"/>
      <c r="J118" s="20"/>
      <c r="K118" s="21"/>
      <c r="L118" s="21"/>
      <c r="M118" s="21"/>
      <c r="N118" s="21"/>
      <c r="O118" s="21"/>
    </row>
    <row r="119" spans="2:15" ht="14.15" customHeight="1" x14ac:dyDescent="0.35">
      <c r="B119" s="100">
        <f t="shared" si="1"/>
        <v>116</v>
      </c>
      <c r="C119" s="104" t="s">
        <v>122</v>
      </c>
      <c r="D119" s="102">
        <v>727435</v>
      </c>
      <c r="E119" s="102"/>
      <c r="F119" s="103">
        <v>29794</v>
      </c>
      <c r="G119" s="99"/>
      <c r="H119" s="99"/>
      <c r="I119" s="99"/>
      <c r="J119" s="20"/>
      <c r="K119" s="21"/>
      <c r="L119" s="21"/>
      <c r="M119" s="21"/>
      <c r="N119" s="21"/>
      <c r="O119" s="21"/>
    </row>
    <row r="120" spans="2:15" ht="14.15" customHeight="1" x14ac:dyDescent="0.35">
      <c r="B120" s="100">
        <f t="shared" si="1"/>
        <v>117</v>
      </c>
      <c r="C120" s="104" t="s">
        <v>123</v>
      </c>
      <c r="D120" s="102">
        <v>748269</v>
      </c>
      <c r="E120" s="102"/>
      <c r="F120" s="103">
        <v>29794</v>
      </c>
      <c r="G120" s="99"/>
      <c r="H120" s="99"/>
      <c r="I120" s="99"/>
      <c r="J120" s="20"/>
      <c r="K120" s="21"/>
      <c r="L120" s="21"/>
      <c r="M120" s="21"/>
      <c r="N120" s="21"/>
      <c r="O120" s="21"/>
    </row>
    <row r="121" spans="2:15" ht="14.15" customHeight="1" x14ac:dyDescent="0.35">
      <c r="B121" s="100">
        <f t="shared" si="1"/>
        <v>118</v>
      </c>
      <c r="C121" s="104" t="s">
        <v>124</v>
      </c>
      <c r="D121" s="102">
        <v>758720</v>
      </c>
      <c r="E121" s="102"/>
      <c r="F121" s="103">
        <v>29794</v>
      </c>
      <c r="G121" s="99"/>
      <c r="H121" s="99"/>
      <c r="I121" s="99"/>
      <c r="J121" s="20"/>
      <c r="K121" s="21"/>
      <c r="L121" s="21"/>
      <c r="M121" s="21"/>
      <c r="N121" s="21"/>
      <c r="O121" s="21"/>
    </row>
    <row r="122" spans="2:15" ht="14.15" customHeight="1" x14ac:dyDescent="0.35">
      <c r="B122" s="100">
        <f t="shared" si="1"/>
        <v>119</v>
      </c>
      <c r="C122" s="104" t="s">
        <v>125</v>
      </c>
      <c r="D122" s="102">
        <v>758877</v>
      </c>
      <c r="E122" s="102"/>
      <c r="F122" s="103">
        <v>29794</v>
      </c>
      <c r="G122" s="99"/>
      <c r="H122" s="99"/>
      <c r="I122" s="99"/>
      <c r="J122" s="20"/>
      <c r="K122" s="21"/>
      <c r="L122" s="21"/>
      <c r="M122" s="21"/>
      <c r="N122" s="21"/>
      <c r="O122" s="21"/>
    </row>
    <row r="123" spans="2:15" ht="14.15" customHeight="1" x14ac:dyDescent="0.35">
      <c r="B123" s="100">
        <f t="shared" si="1"/>
        <v>120</v>
      </c>
      <c r="C123" s="104" t="s">
        <v>126</v>
      </c>
      <c r="D123" s="102">
        <v>738063</v>
      </c>
      <c r="E123" s="102"/>
      <c r="F123" s="103">
        <v>29795</v>
      </c>
      <c r="G123" s="99"/>
      <c r="H123" s="99"/>
      <c r="I123" s="99"/>
      <c r="J123" s="20"/>
      <c r="K123" s="21"/>
      <c r="L123" s="21"/>
      <c r="M123" s="21"/>
      <c r="N123" s="21"/>
      <c r="O123" s="21"/>
    </row>
    <row r="124" spans="2:15" ht="14.15" customHeight="1" x14ac:dyDescent="0.35">
      <c r="B124" s="100">
        <f t="shared" si="1"/>
        <v>121</v>
      </c>
      <c r="C124" s="104" t="s">
        <v>127</v>
      </c>
      <c r="D124" s="102">
        <v>717295</v>
      </c>
      <c r="E124" s="102"/>
      <c r="F124" s="103">
        <v>29796</v>
      </c>
      <c r="G124" s="99"/>
      <c r="H124" s="99"/>
      <c r="I124" s="99"/>
      <c r="J124" s="20"/>
      <c r="K124" s="21"/>
      <c r="L124" s="21"/>
      <c r="M124" s="21"/>
      <c r="N124" s="21"/>
      <c r="O124" s="21"/>
    </row>
    <row r="125" spans="2:15" ht="14.15" customHeight="1" x14ac:dyDescent="0.35">
      <c r="B125" s="100">
        <f t="shared" si="1"/>
        <v>122</v>
      </c>
      <c r="C125" s="104" t="s">
        <v>128</v>
      </c>
      <c r="D125" s="102">
        <v>748394</v>
      </c>
      <c r="E125" s="102"/>
      <c r="F125" s="103">
        <v>29796</v>
      </c>
      <c r="G125" s="99"/>
      <c r="H125" s="99"/>
      <c r="I125" s="99"/>
      <c r="J125" s="20"/>
      <c r="K125" s="21"/>
      <c r="L125" s="21"/>
      <c r="M125" s="21"/>
      <c r="N125" s="21"/>
      <c r="O125" s="21"/>
    </row>
    <row r="126" spans="2:15" ht="14.15" customHeight="1" x14ac:dyDescent="0.35">
      <c r="B126" s="100">
        <f t="shared" si="1"/>
        <v>123</v>
      </c>
      <c r="C126" s="104" t="s">
        <v>129</v>
      </c>
      <c r="D126" s="102">
        <v>717309</v>
      </c>
      <c r="E126" s="102"/>
      <c r="F126" s="103">
        <v>29804</v>
      </c>
      <c r="G126" s="99"/>
      <c r="H126" s="99"/>
      <c r="I126" s="99"/>
      <c r="J126" s="20"/>
      <c r="K126" s="21"/>
      <c r="L126" s="21"/>
      <c r="M126" s="21"/>
      <c r="N126" s="21"/>
      <c r="O126" s="21"/>
    </row>
    <row r="127" spans="2:15" ht="14.15" customHeight="1" x14ac:dyDescent="0.35">
      <c r="B127" s="100">
        <f t="shared" si="1"/>
        <v>124</v>
      </c>
      <c r="C127" s="104" t="s">
        <v>130</v>
      </c>
      <c r="D127" s="102">
        <v>748418</v>
      </c>
      <c r="E127" s="102"/>
      <c r="F127" s="103">
        <v>29809</v>
      </c>
      <c r="G127" s="99"/>
      <c r="H127" s="99"/>
      <c r="I127" s="99"/>
      <c r="J127" s="20"/>
      <c r="K127" s="21"/>
      <c r="L127" s="21"/>
      <c r="M127" s="21"/>
      <c r="N127" s="21"/>
      <c r="O127" s="21"/>
    </row>
    <row r="128" spans="2:15" ht="14.15" customHeight="1" x14ac:dyDescent="0.35">
      <c r="B128" s="100">
        <f t="shared" si="1"/>
        <v>125</v>
      </c>
      <c r="C128" s="104" t="s">
        <v>131</v>
      </c>
      <c r="D128" s="102">
        <v>727634</v>
      </c>
      <c r="E128" s="102"/>
      <c r="F128" s="103">
        <v>29811</v>
      </c>
      <c r="G128" s="99"/>
      <c r="H128" s="99"/>
      <c r="I128" s="99"/>
      <c r="J128" s="20"/>
      <c r="K128" s="21"/>
      <c r="L128" s="21"/>
      <c r="M128" s="21"/>
      <c r="N128" s="21"/>
      <c r="O128" s="21"/>
    </row>
    <row r="129" spans="2:15" ht="14.15" customHeight="1" x14ac:dyDescent="0.35">
      <c r="B129" s="100">
        <f t="shared" si="1"/>
        <v>126</v>
      </c>
      <c r="C129" s="104" t="s">
        <v>132</v>
      </c>
      <c r="D129" s="102">
        <v>748411</v>
      </c>
      <c r="E129" s="102"/>
      <c r="F129" s="103">
        <v>29811</v>
      </c>
      <c r="G129" s="99"/>
      <c r="H129" s="99"/>
      <c r="I129" s="99"/>
      <c r="J129" s="20"/>
      <c r="K129" s="21"/>
      <c r="L129" s="21"/>
      <c r="M129" s="21"/>
      <c r="N129" s="21"/>
      <c r="O129" s="21"/>
    </row>
    <row r="130" spans="2:15" ht="14.15" customHeight="1" x14ac:dyDescent="0.35">
      <c r="B130" s="100">
        <f t="shared" si="1"/>
        <v>127</v>
      </c>
      <c r="C130" s="104" t="s">
        <v>133</v>
      </c>
      <c r="D130" s="102">
        <v>717196</v>
      </c>
      <c r="E130" s="102"/>
      <c r="F130" s="103">
        <v>29812</v>
      </c>
      <c r="G130" s="99"/>
      <c r="H130" s="99"/>
      <c r="I130" s="99"/>
      <c r="J130" s="20"/>
      <c r="K130" s="21"/>
      <c r="L130" s="21"/>
      <c r="M130" s="21"/>
      <c r="N130" s="21"/>
      <c r="O130" s="21"/>
    </row>
    <row r="131" spans="2:15" ht="14.15" customHeight="1" x14ac:dyDescent="0.35">
      <c r="B131" s="100">
        <f t="shared" si="1"/>
        <v>128</v>
      </c>
      <c r="C131" s="104" t="s">
        <v>134</v>
      </c>
      <c r="D131" s="102">
        <v>727531</v>
      </c>
      <c r="E131" s="102"/>
      <c r="F131" s="103">
        <v>29812</v>
      </c>
      <c r="G131" s="99"/>
      <c r="H131" s="99"/>
      <c r="I131" s="99"/>
      <c r="J131" s="20"/>
      <c r="K131" s="21"/>
      <c r="L131" s="21"/>
      <c r="M131" s="21"/>
      <c r="N131" s="21"/>
      <c r="O131" s="21"/>
    </row>
    <row r="132" spans="2:15" ht="14.15" customHeight="1" x14ac:dyDescent="0.35">
      <c r="B132" s="100">
        <f t="shared" si="1"/>
        <v>129</v>
      </c>
      <c r="C132" s="104" t="s">
        <v>135</v>
      </c>
      <c r="D132" s="102">
        <v>758770</v>
      </c>
      <c r="E132" s="102"/>
      <c r="F132" s="103">
        <v>29812</v>
      </c>
      <c r="G132" s="99"/>
      <c r="H132" s="99"/>
      <c r="I132" s="99"/>
      <c r="J132" s="20"/>
      <c r="K132" s="21"/>
      <c r="L132" s="21"/>
      <c r="M132" s="21"/>
      <c r="N132" s="21"/>
      <c r="O132" s="21"/>
    </row>
    <row r="133" spans="2:15" ht="14.15" customHeight="1" x14ac:dyDescent="0.35">
      <c r="B133" s="100">
        <f t="shared" ref="B133:B196" si="2">(B132+1)</f>
        <v>130</v>
      </c>
      <c r="C133" s="104" t="s">
        <v>136</v>
      </c>
      <c r="D133" s="102">
        <v>727733</v>
      </c>
      <c r="E133" s="102"/>
      <c r="F133" s="103">
        <v>29861</v>
      </c>
      <c r="G133" s="99"/>
      <c r="H133" s="99"/>
      <c r="I133" s="99"/>
      <c r="J133" s="20"/>
      <c r="K133" s="21"/>
      <c r="L133" s="21"/>
      <c r="M133" s="21"/>
      <c r="N133" s="21"/>
      <c r="O133" s="21"/>
    </row>
    <row r="134" spans="2:15" ht="14.15" customHeight="1" x14ac:dyDescent="0.35">
      <c r="B134" s="100">
        <f t="shared" si="2"/>
        <v>131</v>
      </c>
      <c r="C134" s="104" t="s">
        <v>137</v>
      </c>
      <c r="D134" s="102">
        <v>738064</v>
      </c>
      <c r="E134" s="102"/>
      <c r="F134" s="103">
        <v>29861</v>
      </c>
      <c r="G134" s="99"/>
      <c r="H134" s="99"/>
      <c r="I134" s="99"/>
      <c r="J134" s="20"/>
      <c r="K134" s="21"/>
      <c r="L134" s="21"/>
      <c r="M134" s="21"/>
      <c r="N134" s="21"/>
      <c r="O134" s="21"/>
    </row>
    <row r="135" spans="2:15" ht="14.15" customHeight="1" x14ac:dyDescent="0.35">
      <c r="B135" s="100">
        <f t="shared" si="2"/>
        <v>132</v>
      </c>
      <c r="C135" s="104" t="s">
        <v>138</v>
      </c>
      <c r="D135" s="102">
        <v>748393</v>
      </c>
      <c r="E135" s="102"/>
      <c r="F135" s="103">
        <v>29878</v>
      </c>
      <c r="G135" s="99"/>
      <c r="H135" s="99"/>
      <c r="I135" s="99"/>
      <c r="J135" s="20"/>
      <c r="K135" s="21"/>
      <c r="L135" s="21"/>
      <c r="M135" s="21"/>
      <c r="N135" s="21"/>
      <c r="O135" s="21"/>
    </row>
    <row r="136" spans="2:15" ht="14.15" customHeight="1" x14ac:dyDescent="0.35">
      <c r="B136" s="100">
        <f t="shared" si="2"/>
        <v>133</v>
      </c>
      <c r="C136" s="104" t="s">
        <v>139</v>
      </c>
      <c r="D136" s="102">
        <v>717053</v>
      </c>
      <c r="E136" s="102"/>
      <c r="F136" s="103">
        <v>29901</v>
      </c>
      <c r="G136" s="99"/>
      <c r="H136" s="99"/>
      <c r="I136" s="99"/>
      <c r="J136" s="20"/>
      <c r="K136" s="21"/>
      <c r="L136" s="21"/>
      <c r="M136" s="21"/>
      <c r="N136" s="21"/>
      <c r="O136" s="21"/>
    </row>
    <row r="137" spans="2:15" ht="14.15" customHeight="1" x14ac:dyDescent="0.35">
      <c r="B137" s="100">
        <f t="shared" si="2"/>
        <v>134</v>
      </c>
      <c r="C137" s="104" t="s">
        <v>140</v>
      </c>
      <c r="D137" s="102">
        <v>748379</v>
      </c>
      <c r="E137" s="102"/>
      <c r="F137" s="103">
        <v>29932</v>
      </c>
      <c r="G137" s="99"/>
      <c r="H137" s="99"/>
      <c r="I137" s="99"/>
      <c r="J137" s="20"/>
      <c r="K137" s="21"/>
      <c r="L137" s="21"/>
      <c r="M137" s="21"/>
      <c r="N137" s="21"/>
      <c r="O137" s="21"/>
    </row>
    <row r="138" spans="2:15" ht="14.15" customHeight="1" x14ac:dyDescent="0.35">
      <c r="B138" s="100">
        <f t="shared" si="2"/>
        <v>135</v>
      </c>
      <c r="C138" s="104" t="s">
        <v>141</v>
      </c>
      <c r="D138" s="102">
        <v>738075</v>
      </c>
      <c r="E138" s="102"/>
      <c r="F138" s="103">
        <v>29934</v>
      </c>
      <c r="G138" s="99"/>
      <c r="H138" s="99"/>
      <c r="I138" s="99"/>
      <c r="J138" s="20"/>
      <c r="K138" s="21"/>
      <c r="L138" s="21"/>
      <c r="M138" s="21"/>
      <c r="N138" s="21"/>
      <c r="O138" s="21"/>
    </row>
    <row r="139" spans="2:15" ht="14.15" customHeight="1" x14ac:dyDescent="0.35">
      <c r="B139" s="100">
        <f t="shared" si="2"/>
        <v>136</v>
      </c>
      <c r="C139" s="104" t="s">
        <v>142</v>
      </c>
      <c r="D139" s="102">
        <v>717195</v>
      </c>
      <c r="E139" s="102"/>
      <c r="F139" s="103">
        <v>29937</v>
      </c>
      <c r="G139" s="99"/>
      <c r="H139" s="99"/>
      <c r="I139" s="99"/>
      <c r="J139" s="20"/>
      <c r="K139" s="21"/>
      <c r="L139" s="21"/>
      <c r="M139" s="21"/>
      <c r="N139" s="21"/>
      <c r="O139" s="21"/>
    </row>
    <row r="140" spans="2:15" ht="14.15" customHeight="1" x14ac:dyDescent="0.35">
      <c r="B140" s="100">
        <f t="shared" si="2"/>
        <v>137</v>
      </c>
      <c r="C140" s="104" t="s">
        <v>51</v>
      </c>
      <c r="D140" s="102">
        <v>748439</v>
      </c>
      <c r="E140" s="102"/>
      <c r="F140" s="103">
        <v>29937</v>
      </c>
      <c r="G140" s="99"/>
      <c r="H140" s="99"/>
      <c r="I140" s="99"/>
      <c r="J140" s="20"/>
      <c r="K140" s="21"/>
      <c r="L140" s="21"/>
      <c r="M140" s="21"/>
      <c r="N140" s="21"/>
      <c r="O140" s="21"/>
    </row>
    <row r="141" spans="2:15" ht="14.15" customHeight="1" x14ac:dyDescent="0.35">
      <c r="B141" s="100">
        <f t="shared" si="2"/>
        <v>138</v>
      </c>
      <c r="C141" s="104" t="s">
        <v>143</v>
      </c>
      <c r="D141" s="102">
        <v>748450</v>
      </c>
      <c r="E141" s="102"/>
      <c r="F141" s="103">
        <v>29938</v>
      </c>
      <c r="G141" s="99"/>
      <c r="H141" s="99"/>
      <c r="I141" s="99"/>
      <c r="J141" s="20"/>
      <c r="K141" s="21"/>
      <c r="L141" s="21"/>
      <c r="M141" s="21"/>
      <c r="N141" s="21"/>
      <c r="O141" s="21"/>
    </row>
    <row r="142" spans="2:15" ht="14.15" customHeight="1" x14ac:dyDescent="0.35">
      <c r="B142" s="100">
        <f t="shared" si="2"/>
        <v>139</v>
      </c>
      <c r="C142" s="104" t="s">
        <v>144</v>
      </c>
      <c r="D142" s="102">
        <v>768946</v>
      </c>
      <c r="E142" s="102"/>
      <c r="F142" s="103">
        <v>29941</v>
      </c>
      <c r="G142" s="99"/>
      <c r="H142" s="99"/>
      <c r="I142" s="99"/>
      <c r="J142" s="20"/>
      <c r="K142" s="21"/>
      <c r="L142" s="21"/>
      <c r="M142" s="21"/>
      <c r="N142" s="21"/>
      <c r="O142" s="21"/>
    </row>
    <row r="143" spans="2:15" ht="14.15" customHeight="1" x14ac:dyDescent="0.35">
      <c r="B143" s="100">
        <f t="shared" si="2"/>
        <v>140</v>
      </c>
      <c r="C143" s="104" t="s">
        <v>145</v>
      </c>
      <c r="D143" s="102">
        <v>738105</v>
      </c>
      <c r="E143" s="102"/>
      <c r="F143" s="103">
        <v>30015</v>
      </c>
      <c r="G143" s="99"/>
      <c r="H143" s="99"/>
      <c r="I143" s="99"/>
      <c r="J143" s="20"/>
      <c r="K143" s="21"/>
      <c r="L143" s="21"/>
      <c r="M143" s="21"/>
      <c r="N143" s="21"/>
      <c r="O143" s="21"/>
    </row>
    <row r="144" spans="2:15" ht="14.15" customHeight="1" x14ac:dyDescent="0.35">
      <c r="B144" s="100">
        <f t="shared" si="2"/>
        <v>141</v>
      </c>
      <c r="C144" s="104" t="s">
        <v>146</v>
      </c>
      <c r="D144" s="102">
        <v>717233</v>
      </c>
      <c r="E144" s="102"/>
      <c r="F144" s="103">
        <v>30025</v>
      </c>
      <c r="G144" s="99"/>
      <c r="H144" s="99"/>
      <c r="I144" s="99"/>
      <c r="J144" s="20"/>
      <c r="K144" s="21"/>
      <c r="L144" s="21"/>
      <c r="M144" s="21"/>
      <c r="N144" s="21"/>
      <c r="O144" s="21"/>
    </row>
    <row r="145" spans="2:15" ht="14.15" customHeight="1" x14ac:dyDescent="0.35">
      <c r="B145" s="100">
        <f t="shared" si="2"/>
        <v>142</v>
      </c>
      <c r="C145" s="104" t="s">
        <v>147</v>
      </c>
      <c r="D145" s="102">
        <v>727458</v>
      </c>
      <c r="E145" s="102"/>
      <c r="F145" s="103">
        <v>30025</v>
      </c>
      <c r="G145" s="99"/>
      <c r="H145" s="99"/>
      <c r="I145" s="99"/>
      <c r="J145" s="20"/>
      <c r="K145" s="21"/>
      <c r="L145" s="21"/>
      <c r="M145" s="21"/>
      <c r="N145" s="21"/>
      <c r="O145" s="21"/>
    </row>
    <row r="146" spans="2:15" ht="14.15" customHeight="1" x14ac:dyDescent="0.35">
      <c r="B146" s="100">
        <f t="shared" si="2"/>
        <v>143</v>
      </c>
      <c r="C146" s="104" t="s">
        <v>148</v>
      </c>
      <c r="D146" s="102">
        <v>717158</v>
      </c>
      <c r="E146" s="102"/>
      <c r="F146" s="103">
        <v>30043</v>
      </c>
      <c r="G146" s="99"/>
      <c r="H146" s="99"/>
      <c r="I146" s="99"/>
      <c r="J146" s="20"/>
      <c r="K146" s="21"/>
      <c r="L146" s="21"/>
      <c r="M146" s="21"/>
      <c r="N146" s="21"/>
      <c r="O146" s="21"/>
    </row>
    <row r="147" spans="2:15" ht="14.15" customHeight="1" x14ac:dyDescent="0.35">
      <c r="B147" s="100">
        <f t="shared" si="2"/>
        <v>144</v>
      </c>
      <c r="C147" s="104" t="s">
        <v>149</v>
      </c>
      <c r="D147" s="102">
        <v>737994</v>
      </c>
      <c r="E147" s="102"/>
      <c r="F147" s="103">
        <v>30047</v>
      </c>
      <c r="G147" s="99"/>
      <c r="H147" s="99"/>
      <c r="I147" s="99"/>
      <c r="J147" s="20"/>
      <c r="K147" s="21"/>
      <c r="L147" s="21"/>
      <c r="M147" s="21"/>
      <c r="N147" s="21"/>
      <c r="O147" s="21"/>
    </row>
    <row r="148" spans="2:15" ht="14.15" customHeight="1" x14ac:dyDescent="0.35">
      <c r="B148" s="100">
        <f t="shared" si="2"/>
        <v>145</v>
      </c>
      <c r="C148" s="104" t="s">
        <v>150</v>
      </c>
      <c r="D148" s="102">
        <v>717308</v>
      </c>
      <c r="E148" s="102"/>
      <c r="F148" s="103">
        <v>30055</v>
      </c>
      <c r="G148" s="99"/>
      <c r="H148" s="99"/>
      <c r="I148" s="99"/>
      <c r="J148" s="20"/>
      <c r="K148" s="21"/>
      <c r="L148" s="21"/>
      <c r="M148" s="21"/>
      <c r="N148" s="21"/>
      <c r="O148" s="21"/>
    </row>
    <row r="149" spans="2:15" ht="14.15" customHeight="1" x14ac:dyDescent="0.35">
      <c r="B149" s="100">
        <f t="shared" si="2"/>
        <v>146</v>
      </c>
      <c r="C149" s="104" t="s">
        <v>151</v>
      </c>
      <c r="D149" s="102">
        <v>737970</v>
      </c>
      <c r="E149" s="102"/>
      <c r="F149" s="103">
        <v>30056</v>
      </c>
      <c r="G149" s="99"/>
      <c r="H149" s="99"/>
      <c r="I149" s="99"/>
      <c r="J149" s="20"/>
      <c r="K149" s="21"/>
      <c r="L149" s="21"/>
      <c r="M149" s="21"/>
      <c r="N149" s="21"/>
      <c r="O149" s="21"/>
    </row>
    <row r="150" spans="2:15" ht="14.15" customHeight="1" x14ac:dyDescent="0.35">
      <c r="B150" s="100">
        <f t="shared" si="2"/>
        <v>147</v>
      </c>
      <c r="C150" s="104" t="s">
        <v>152</v>
      </c>
      <c r="D150" s="102">
        <v>748278</v>
      </c>
      <c r="E150" s="102"/>
      <c r="F150" s="103">
        <v>30056</v>
      </c>
      <c r="G150" s="99"/>
      <c r="H150" s="99"/>
      <c r="I150" s="99"/>
      <c r="J150" s="20"/>
      <c r="K150" s="21"/>
      <c r="L150" s="21"/>
      <c r="M150" s="21"/>
      <c r="N150" s="21"/>
      <c r="O150" s="21"/>
    </row>
    <row r="151" spans="2:15" ht="14.15" customHeight="1" x14ac:dyDescent="0.35">
      <c r="B151" s="100">
        <f t="shared" si="2"/>
        <v>148</v>
      </c>
      <c r="C151" s="104" t="s">
        <v>153</v>
      </c>
      <c r="D151" s="102">
        <v>768942</v>
      </c>
      <c r="E151" s="102"/>
      <c r="F151" s="103">
        <v>30056</v>
      </c>
      <c r="G151" s="99"/>
      <c r="H151" s="99"/>
      <c r="I151" s="99"/>
      <c r="J151" s="20"/>
      <c r="K151" s="21"/>
      <c r="L151" s="21"/>
      <c r="M151" s="21"/>
      <c r="N151" s="21"/>
      <c r="O151" s="21"/>
    </row>
    <row r="152" spans="2:15" ht="14.15" customHeight="1" x14ac:dyDescent="0.35">
      <c r="B152" s="100">
        <f t="shared" si="2"/>
        <v>149</v>
      </c>
      <c r="C152" s="104" t="s">
        <v>154</v>
      </c>
      <c r="D152" s="102">
        <v>737916</v>
      </c>
      <c r="E152" s="102"/>
      <c r="F152" s="103">
        <v>30116</v>
      </c>
      <c r="G152" s="99"/>
      <c r="H152" s="99"/>
      <c r="I152" s="99"/>
      <c r="J152" s="20"/>
      <c r="K152" s="21"/>
      <c r="L152" s="21"/>
      <c r="M152" s="21"/>
      <c r="N152" s="21"/>
      <c r="O152" s="21"/>
    </row>
    <row r="153" spans="2:15" ht="14.15" customHeight="1" x14ac:dyDescent="0.35">
      <c r="B153" s="100">
        <f t="shared" si="2"/>
        <v>150</v>
      </c>
      <c r="C153" s="104" t="s">
        <v>50</v>
      </c>
      <c r="D153" s="102">
        <v>758906</v>
      </c>
      <c r="E153" s="102"/>
      <c r="F153" s="103">
        <v>30141</v>
      </c>
      <c r="G153" s="99"/>
      <c r="H153" s="99"/>
      <c r="I153" s="99"/>
      <c r="J153" s="20"/>
      <c r="K153" s="21"/>
      <c r="L153" s="21"/>
      <c r="M153" s="21"/>
      <c r="N153" s="21"/>
      <c r="O153" s="21"/>
    </row>
    <row r="154" spans="2:15" ht="14.15" customHeight="1" x14ac:dyDescent="0.35">
      <c r="B154" s="100">
        <f t="shared" si="2"/>
        <v>151</v>
      </c>
      <c r="C154" s="104" t="s">
        <v>155</v>
      </c>
      <c r="D154" s="102">
        <v>759011</v>
      </c>
      <c r="E154" s="102"/>
      <c r="F154" s="103">
        <v>30147</v>
      </c>
      <c r="G154" s="99"/>
      <c r="H154" s="99"/>
      <c r="I154" s="99"/>
      <c r="J154" s="20"/>
      <c r="K154" s="21"/>
      <c r="L154" s="21"/>
      <c r="M154" s="21"/>
      <c r="N154" s="21"/>
      <c r="O154" s="21"/>
    </row>
    <row r="155" spans="2:15" ht="14.15" customHeight="1" x14ac:dyDescent="0.35">
      <c r="B155" s="100">
        <f t="shared" si="2"/>
        <v>152</v>
      </c>
      <c r="C155" s="104" t="s">
        <v>156</v>
      </c>
      <c r="D155" s="102">
        <v>748285</v>
      </c>
      <c r="E155" s="102"/>
      <c r="F155" s="103">
        <v>30161</v>
      </c>
      <c r="G155" s="99"/>
      <c r="H155" s="99"/>
      <c r="I155" s="99"/>
      <c r="J155" s="20"/>
      <c r="K155" s="21"/>
      <c r="L155" s="21"/>
      <c r="M155" s="21"/>
      <c r="N155" s="21"/>
      <c r="O155" s="21"/>
    </row>
    <row r="156" spans="2:15" ht="14.15" customHeight="1" x14ac:dyDescent="0.35">
      <c r="B156" s="100">
        <f t="shared" si="2"/>
        <v>153</v>
      </c>
      <c r="C156" s="104" t="s">
        <v>157</v>
      </c>
      <c r="D156" s="102">
        <v>748339</v>
      </c>
      <c r="E156" s="102"/>
      <c r="F156" s="103">
        <v>30176</v>
      </c>
      <c r="G156" s="99"/>
      <c r="H156" s="99"/>
      <c r="I156" s="99"/>
      <c r="J156" s="20"/>
      <c r="K156" s="21"/>
      <c r="L156" s="21"/>
      <c r="M156" s="21"/>
      <c r="N156" s="21"/>
      <c r="O156" s="21"/>
    </row>
    <row r="157" spans="2:15" ht="14.15" customHeight="1" x14ac:dyDescent="0.35">
      <c r="B157" s="100">
        <f t="shared" si="2"/>
        <v>154</v>
      </c>
      <c r="C157" s="104" t="s">
        <v>158</v>
      </c>
      <c r="D157" s="102">
        <v>748212</v>
      </c>
      <c r="E157" s="102"/>
      <c r="F157" s="103">
        <v>30177</v>
      </c>
      <c r="G157" s="99"/>
      <c r="H157" s="99"/>
      <c r="I157" s="99"/>
      <c r="J157" s="20"/>
      <c r="K157" s="21"/>
      <c r="L157" s="21"/>
      <c r="M157" s="21"/>
      <c r="N157" s="21"/>
      <c r="O157" s="21"/>
    </row>
    <row r="158" spans="2:15" ht="14.15" customHeight="1" x14ac:dyDescent="0.35">
      <c r="B158" s="100">
        <f t="shared" si="2"/>
        <v>155</v>
      </c>
      <c r="C158" s="104" t="s">
        <v>159</v>
      </c>
      <c r="D158" s="102">
        <v>758854</v>
      </c>
      <c r="E158" s="102"/>
      <c r="F158" s="103">
        <v>30179</v>
      </c>
      <c r="G158" s="99"/>
      <c r="H158" s="99"/>
      <c r="I158" s="99"/>
      <c r="J158" s="20"/>
      <c r="K158" s="21"/>
      <c r="L158" s="21"/>
      <c r="M158" s="21"/>
      <c r="N158" s="21"/>
      <c r="O158" s="21"/>
    </row>
    <row r="159" spans="2:15" ht="14.15" customHeight="1" x14ac:dyDescent="0.35">
      <c r="B159" s="100">
        <f t="shared" si="2"/>
        <v>156</v>
      </c>
      <c r="C159" s="104" t="s">
        <v>160</v>
      </c>
      <c r="D159" s="102">
        <v>748427</v>
      </c>
      <c r="E159" s="102"/>
      <c r="F159" s="103">
        <v>30181</v>
      </c>
      <c r="G159" s="99"/>
      <c r="H159" s="99"/>
      <c r="I159" s="99"/>
      <c r="J159" s="20"/>
      <c r="K159" s="21"/>
      <c r="L159" s="21"/>
      <c r="M159" s="21"/>
      <c r="N159" s="21"/>
      <c r="O159" s="21"/>
    </row>
    <row r="160" spans="2:15" ht="14.15" customHeight="1" x14ac:dyDescent="0.35">
      <c r="B160" s="100">
        <f t="shared" si="2"/>
        <v>157</v>
      </c>
      <c r="C160" s="104" t="s">
        <v>161</v>
      </c>
      <c r="D160" s="102">
        <v>738061</v>
      </c>
      <c r="E160" s="102"/>
      <c r="F160" s="103">
        <v>30187</v>
      </c>
      <c r="G160" s="99"/>
      <c r="H160" s="99"/>
      <c r="I160" s="99"/>
      <c r="J160" s="20"/>
      <c r="K160" s="21"/>
      <c r="L160" s="21"/>
      <c r="M160" s="21"/>
      <c r="N160" s="21"/>
      <c r="O160" s="21"/>
    </row>
    <row r="161" spans="2:15" ht="14.15" customHeight="1" x14ac:dyDescent="0.35">
      <c r="B161" s="100">
        <f t="shared" si="2"/>
        <v>158</v>
      </c>
      <c r="C161" s="104" t="s">
        <v>162</v>
      </c>
      <c r="D161" s="102">
        <v>758848</v>
      </c>
      <c r="E161" s="102"/>
      <c r="F161" s="103">
        <v>30209</v>
      </c>
      <c r="G161" s="99"/>
      <c r="H161" s="99"/>
      <c r="I161" s="99"/>
      <c r="J161" s="20"/>
      <c r="K161" s="21"/>
      <c r="L161" s="21"/>
      <c r="M161" s="21"/>
      <c r="N161" s="21"/>
      <c r="O161" s="21"/>
    </row>
    <row r="162" spans="2:15" ht="14.15" customHeight="1" x14ac:dyDescent="0.35">
      <c r="B162" s="100">
        <f t="shared" si="2"/>
        <v>159</v>
      </c>
      <c r="C162" s="104" t="s">
        <v>163</v>
      </c>
      <c r="D162" s="102">
        <v>769121</v>
      </c>
      <c r="E162" s="102"/>
      <c r="F162" s="103">
        <v>30210</v>
      </c>
      <c r="G162" s="99"/>
      <c r="H162" s="99"/>
      <c r="I162" s="99"/>
      <c r="J162" s="20"/>
      <c r="K162" s="21"/>
      <c r="L162" s="21"/>
      <c r="M162" s="21"/>
      <c r="N162" s="21"/>
      <c r="O162" s="21"/>
    </row>
    <row r="163" spans="2:15" ht="14.15" customHeight="1" x14ac:dyDescent="0.35">
      <c r="B163" s="100">
        <f t="shared" si="2"/>
        <v>160</v>
      </c>
      <c r="C163" s="104" t="s">
        <v>164</v>
      </c>
      <c r="D163" s="102">
        <v>769047</v>
      </c>
      <c r="E163" s="102"/>
      <c r="F163" s="103">
        <v>30226</v>
      </c>
      <c r="G163" s="99"/>
      <c r="H163" s="99"/>
      <c r="I163" s="99"/>
      <c r="J163" s="20"/>
      <c r="K163" s="21"/>
      <c r="L163" s="21"/>
      <c r="M163" s="21"/>
      <c r="N163" s="21"/>
      <c r="O163" s="21"/>
    </row>
    <row r="164" spans="2:15" ht="14.15" customHeight="1" x14ac:dyDescent="0.35">
      <c r="B164" s="100">
        <f t="shared" si="2"/>
        <v>161</v>
      </c>
      <c r="C164" s="104" t="s">
        <v>165</v>
      </c>
      <c r="D164" s="102">
        <v>748323</v>
      </c>
      <c r="E164" s="102"/>
      <c r="F164" s="103">
        <v>30250</v>
      </c>
      <c r="G164" s="99"/>
      <c r="H164" s="99"/>
      <c r="I164" s="99"/>
      <c r="J164" s="20"/>
      <c r="K164" s="21"/>
      <c r="L164" s="21"/>
      <c r="M164" s="21"/>
      <c r="N164" s="21"/>
      <c r="O164" s="21"/>
    </row>
    <row r="165" spans="2:15" ht="14.15" customHeight="1" x14ac:dyDescent="0.35">
      <c r="B165" s="100">
        <f t="shared" si="2"/>
        <v>162</v>
      </c>
      <c r="C165" s="104" t="s">
        <v>166</v>
      </c>
      <c r="D165" s="102">
        <v>738095</v>
      </c>
      <c r="E165" s="102"/>
      <c r="F165" s="103">
        <v>30287</v>
      </c>
      <c r="G165" s="99"/>
      <c r="H165" s="99"/>
      <c r="I165" s="99"/>
      <c r="J165" s="20"/>
      <c r="K165" s="21"/>
      <c r="L165" s="21"/>
      <c r="M165" s="21"/>
      <c r="N165" s="21"/>
      <c r="O165" s="21"/>
    </row>
    <row r="166" spans="2:15" ht="14.15" customHeight="1" x14ac:dyDescent="0.35">
      <c r="B166" s="100">
        <f t="shared" si="2"/>
        <v>163</v>
      </c>
      <c r="C166" s="104" t="s">
        <v>167</v>
      </c>
      <c r="D166" s="102">
        <v>738037</v>
      </c>
      <c r="E166" s="102"/>
      <c r="F166" s="103">
        <v>30344</v>
      </c>
      <c r="G166" s="99"/>
      <c r="H166" s="99"/>
      <c r="I166" s="99"/>
      <c r="J166" s="20"/>
      <c r="K166" s="21"/>
      <c r="L166" s="21"/>
      <c r="M166" s="21"/>
      <c r="N166" s="21"/>
      <c r="O166" s="21"/>
    </row>
    <row r="167" spans="2:15" ht="14.15" customHeight="1" x14ac:dyDescent="0.35">
      <c r="B167" s="100">
        <f t="shared" si="2"/>
        <v>164</v>
      </c>
      <c r="C167" s="104" t="s">
        <v>168</v>
      </c>
      <c r="D167" s="102">
        <v>748421</v>
      </c>
      <c r="E167" s="102"/>
      <c r="F167" s="103">
        <v>30359</v>
      </c>
      <c r="G167" s="99"/>
      <c r="H167" s="99"/>
      <c r="I167" s="99"/>
      <c r="J167" s="20"/>
      <c r="K167" s="21"/>
      <c r="L167" s="21"/>
      <c r="M167" s="21"/>
      <c r="N167" s="21"/>
      <c r="O167" s="21"/>
    </row>
    <row r="168" spans="2:15" ht="14.15" customHeight="1" x14ac:dyDescent="0.35">
      <c r="B168" s="100">
        <f t="shared" si="2"/>
        <v>165</v>
      </c>
      <c r="C168" s="104" t="s">
        <v>169</v>
      </c>
      <c r="D168" s="102">
        <v>758758</v>
      </c>
      <c r="E168" s="102"/>
      <c r="F168" s="103">
        <v>30359</v>
      </c>
      <c r="G168" s="99"/>
      <c r="H168" s="99"/>
      <c r="I168" s="99"/>
      <c r="J168" s="20"/>
      <c r="K168" s="21"/>
      <c r="L168" s="21"/>
      <c r="M168" s="21"/>
      <c r="N168" s="21"/>
      <c r="O168" s="21"/>
    </row>
    <row r="169" spans="2:15" ht="14.15" customHeight="1" x14ac:dyDescent="0.35">
      <c r="B169" s="100">
        <f t="shared" si="2"/>
        <v>166</v>
      </c>
      <c r="C169" s="104" t="s">
        <v>170</v>
      </c>
      <c r="D169" s="102">
        <v>748299</v>
      </c>
      <c r="E169" s="102"/>
      <c r="F169" s="103">
        <v>30360</v>
      </c>
      <c r="G169" s="99"/>
      <c r="H169" s="99"/>
      <c r="I169" s="99"/>
      <c r="J169" s="20"/>
      <c r="K169" s="21"/>
      <c r="L169" s="21"/>
      <c r="M169" s="21"/>
      <c r="N169" s="21"/>
      <c r="O169" s="21"/>
    </row>
    <row r="170" spans="2:15" ht="14.15" customHeight="1" x14ac:dyDescent="0.35">
      <c r="B170" s="100">
        <f t="shared" si="2"/>
        <v>167</v>
      </c>
      <c r="C170" s="104" t="s">
        <v>171</v>
      </c>
      <c r="D170" s="102">
        <v>748409</v>
      </c>
      <c r="E170" s="102"/>
      <c r="F170" s="103">
        <v>30361</v>
      </c>
      <c r="G170" s="99"/>
      <c r="H170" s="99"/>
      <c r="I170" s="99"/>
      <c r="J170" s="20"/>
      <c r="K170" s="21"/>
      <c r="L170" s="21"/>
      <c r="M170" s="21"/>
      <c r="N170" s="21"/>
      <c r="O170" s="21"/>
    </row>
    <row r="171" spans="2:15" ht="14.15" customHeight="1" x14ac:dyDescent="0.35">
      <c r="B171" s="100">
        <f t="shared" si="2"/>
        <v>168</v>
      </c>
      <c r="C171" s="104" t="s">
        <v>172</v>
      </c>
      <c r="D171" s="102">
        <v>779327</v>
      </c>
      <c r="E171" s="102"/>
      <c r="F171" s="103">
        <v>30391</v>
      </c>
      <c r="G171" s="99"/>
      <c r="H171" s="99"/>
      <c r="I171" s="99"/>
      <c r="J171" s="20"/>
      <c r="K171" s="21"/>
      <c r="L171" s="21"/>
      <c r="M171" s="21"/>
      <c r="N171" s="21"/>
      <c r="O171" s="21"/>
    </row>
    <row r="172" spans="2:15" ht="14.15" customHeight="1" x14ac:dyDescent="0.35">
      <c r="B172" s="100">
        <f t="shared" si="2"/>
        <v>169</v>
      </c>
      <c r="C172" s="104" t="s">
        <v>173</v>
      </c>
      <c r="D172" s="102">
        <v>758863</v>
      </c>
      <c r="E172" s="102"/>
      <c r="F172" s="103">
        <v>30411</v>
      </c>
      <c r="G172" s="99"/>
      <c r="H172" s="99"/>
      <c r="I172" s="99"/>
      <c r="J172" s="20"/>
      <c r="K172" s="21"/>
      <c r="L172" s="21"/>
      <c r="M172" s="21"/>
      <c r="N172" s="21"/>
      <c r="O172" s="21"/>
    </row>
    <row r="173" spans="2:15" ht="14.15" customHeight="1" x14ac:dyDescent="0.35">
      <c r="B173" s="100">
        <f t="shared" si="2"/>
        <v>170</v>
      </c>
      <c r="C173" s="104" t="s">
        <v>174</v>
      </c>
      <c r="D173" s="102">
        <v>769217</v>
      </c>
      <c r="E173" s="102"/>
      <c r="F173" s="103">
        <v>30433</v>
      </c>
      <c r="G173" s="99"/>
      <c r="H173" s="99"/>
      <c r="I173" s="99"/>
      <c r="J173" s="20"/>
      <c r="K173" s="21"/>
      <c r="L173" s="21"/>
      <c r="M173" s="21"/>
      <c r="N173" s="21"/>
      <c r="O173" s="21"/>
    </row>
    <row r="174" spans="2:15" ht="14.15" customHeight="1" x14ac:dyDescent="0.35">
      <c r="B174" s="100">
        <f t="shared" si="2"/>
        <v>171</v>
      </c>
      <c r="C174" s="104" t="s">
        <v>175</v>
      </c>
      <c r="D174" s="102">
        <v>779517</v>
      </c>
      <c r="E174" s="102"/>
      <c r="F174" s="103">
        <v>30440</v>
      </c>
      <c r="G174" s="99"/>
      <c r="H174" s="99"/>
      <c r="I174" s="99"/>
      <c r="J174" s="20"/>
      <c r="K174" s="21"/>
      <c r="L174" s="21"/>
      <c r="M174" s="21"/>
      <c r="N174" s="21"/>
      <c r="O174" s="21"/>
    </row>
    <row r="175" spans="2:15" ht="14.15" customHeight="1" x14ac:dyDescent="0.35">
      <c r="B175" s="100">
        <f t="shared" si="2"/>
        <v>172</v>
      </c>
      <c r="C175" s="104" t="s">
        <v>176</v>
      </c>
      <c r="D175" s="102">
        <v>779410</v>
      </c>
      <c r="E175" s="102"/>
      <c r="F175" s="103">
        <v>30441</v>
      </c>
      <c r="G175" s="99"/>
      <c r="H175" s="99"/>
      <c r="I175" s="99"/>
      <c r="J175" s="20"/>
      <c r="K175" s="21"/>
      <c r="L175" s="21"/>
      <c r="M175" s="21"/>
      <c r="N175" s="21"/>
      <c r="O175" s="21"/>
    </row>
    <row r="176" spans="2:15" ht="14.15" customHeight="1" x14ac:dyDescent="0.35">
      <c r="B176" s="100">
        <f t="shared" si="2"/>
        <v>173</v>
      </c>
      <c r="C176" s="104" t="s">
        <v>177</v>
      </c>
      <c r="D176" s="102">
        <v>758840</v>
      </c>
      <c r="E176" s="102"/>
      <c r="F176" s="103">
        <v>30445</v>
      </c>
      <c r="G176" s="99"/>
      <c r="H176" s="99"/>
      <c r="I176" s="99"/>
      <c r="J176" s="20"/>
      <c r="K176" s="21"/>
      <c r="L176" s="21"/>
      <c r="M176" s="21"/>
      <c r="N176" s="21"/>
      <c r="O176" s="21"/>
    </row>
    <row r="177" spans="2:15" ht="14.15" customHeight="1" x14ac:dyDescent="0.35">
      <c r="B177" s="100">
        <f t="shared" si="2"/>
        <v>174</v>
      </c>
      <c r="C177" s="104" t="s">
        <v>178</v>
      </c>
      <c r="D177" s="102">
        <v>717153</v>
      </c>
      <c r="E177" s="102"/>
      <c r="F177" s="103">
        <v>30447</v>
      </c>
      <c r="G177" s="99"/>
      <c r="H177" s="99"/>
      <c r="I177" s="99"/>
      <c r="J177" s="20"/>
      <c r="K177" s="21"/>
      <c r="L177" s="21"/>
      <c r="M177" s="21"/>
      <c r="N177" s="21"/>
      <c r="O177" s="21"/>
    </row>
    <row r="178" spans="2:15" ht="14.15" customHeight="1" x14ac:dyDescent="0.35">
      <c r="B178" s="100">
        <f t="shared" si="2"/>
        <v>175</v>
      </c>
      <c r="C178" s="104" t="s">
        <v>179</v>
      </c>
      <c r="D178" s="102">
        <v>706897</v>
      </c>
      <c r="E178" s="102"/>
      <c r="F178" s="103">
        <v>30449</v>
      </c>
      <c r="G178" s="99"/>
      <c r="H178" s="99"/>
      <c r="I178" s="99"/>
      <c r="J178" s="20"/>
      <c r="K178" s="21"/>
      <c r="L178" s="21"/>
      <c r="M178" s="21"/>
      <c r="N178" s="21"/>
      <c r="O178" s="21"/>
    </row>
    <row r="179" spans="2:15" ht="14.15" customHeight="1" x14ac:dyDescent="0.35">
      <c r="B179" s="100">
        <f t="shared" si="2"/>
        <v>176</v>
      </c>
      <c r="C179" s="104" t="s">
        <v>180</v>
      </c>
      <c r="D179" s="102">
        <v>769115</v>
      </c>
      <c r="E179" s="102"/>
      <c r="F179" s="103">
        <v>30450</v>
      </c>
      <c r="G179" s="99"/>
      <c r="H179" s="99"/>
      <c r="I179" s="99"/>
      <c r="J179" s="20"/>
      <c r="K179" s="21"/>
      <c r="L179" s="21"/>
      <c r="M179" s="21"/>
      <c r="N179" s="21"/>
      <c r="O179" s="21"/>
    </row>
    <row r="180" spans="2:15" ht="14.15" customHeight="1" x14ac:dyDescent="0.35">
      <c r="B180" s="100">
        <f t="shared" si="2"/>
        <v>177</v>
      </c>
      <c r="C180" s="104" t="s">
        <v>181</v>
      </c>
      <c r="D180" s="102">
        <v>779465</v>
      </c>
      <c r="E180" s="102"/>
      <c r="F180" s="103">
        <v>30492</v>
      </c>
      <c r="G180" s="99"/>
      <c r="H180" s="99"/>
      <c r="I180" s="99"/>
      <c r="J180" s="20"/>
      <c r="K180" s="21"/>
      <c r="L180" s="21"/>
      <c r="M180" s="21"/>
      <c r="N180" s="21"/>
      <c r="O180" s="21"/>
    </row>
    <row r="181" spans="2:15" ht="14.15" customHeight="1" x14ac:dyDescent="0.35">
      <c r="B181" s="100">
        <f t="shared" si="2"/>
        <v>178</v>
      </c>
      <c r="C181" s="104" t="s">
        <v>182</v>
      </c>
      <c r="D181" s="102">
        <v>717247</v>
      </c>
      <c r="E181" s="102"/>
      <c r="F181" s="103">
        <v>30536</v>
      </c>
      <c r="G181" s="99"/>
      <c r="H181" s="99"/>
      <c r="I181" s="99"/>
      <c r="J181" s="20"/>
      <c r="K181" s="21"/>
      <c r="L181" s="21"/>
      <c r="M181" s="21"/>
      <c r="N181" s="21"/>
      <c r="O181" s="21"/>
    </row>
    <row r="182" spans="2:15" ht="14.15" customHeight="1" x14ac:dyDescent="0.35">
      <c r="B182" s="100">
        <f t="shared" si="2"/>
        <v>179</v>
      </c>
      <c r="C182" s="104" t="s">
        <v>183</v>
      </c>
      <c r="D182" s="102">
        <v>769019</v>
      </c>
      <c r="E182" s="102"/>
      <c r="F182" s="103">
        <v>30536</v>
      </c>
      <c r="G182" s="99"/>
      <c r="H182" s="99"/>
      <c r="I182" s="99"/>
      <c r="J182" s="20"/>
      <c r="K182" s="21"/>
      <c r="L182" s="21"/>
      <c r="M182" s="21"/>
      <c r="N182" s="21"/>
      <c r="O182" s="21"/>
    </row>
    <row r="183" spans="2:15" ht="14.15" customHeight="1" x14ac:dyDescent="0.35">
      <c r="B183" s="100">
        <f t="shared" si="2"/>
        <v>180</v>
      </c>
      <c r="C183" s="104" t="s">
        <v>184</v>
      </c>
      <c r="D183" s="102">
        <v>779364</v>
      </c>
      <c r="E183" s="102"/>
      <c r="F183" s="103">
        <v>30536</v>
      </c>
      <c r="G183" s="99"/>
      <c r="H183" s="99"/>
      <c r="I183" s="99"/>
      <c r="J183" s="20"/>
      <c r="K183" s="21"/>
      <c r="L183" s="21"/>
      <c r="M183" s="21"/>
      <c r="N183" s="21"/>
      <c r="O183" s="21"/>
    </row>
    <row r="184" spans="2:15" ht="14.15" customHeight="1" x14ac:dyDescent="0.35">
      <c r="B184" s="100">
        <f t="shared" si="2"/>
        <v>181</v>
      </c>
      <c r="C184" s="104" t="s">
        <v>185</v>
      </c>
      <c r="D184" s="102">
        <v>779365</v>
      </c>
      <c r="E184" s="102"/>
      <c r="F184" s="103">
        <v>30536</v>
      </c>
      <c r="G184" s="99"/>
      <c r="H184" s="99"/>
      <c r="I184" s="99"/>
      <c r="J184" s="20"/>
      <c r="K184" s="21"/>
      <c r="L184" s="21"/>
      <c r="M184" s="21"/>
      <c r="N184" s="21"/>
      <c r="O184" s="21"/>
    </row>
    <row r="185" spans="2:15" ht="14.15" customHeight="1" x14ac:dyDescent="0.35">
      <c r="B185" s="100">
        <f t="shared" si="2"/>
        <v>182</v>
      </c>
      <c r="C185" s="104" t="s">
        <v>186</v>
      </c>
      <c r="D185" s="102">
        <v>779390</v>
      </c>
      <c r="E185" s="102"/>
      <c r="F185" s="103">
        <v>30536</v>
      </c>
      <c r="G185" s="99"/>
      <c r="H185" s="99"/>
      <c r="I185" s="99"/>
      <c r="J185" s="20"/>
      <c r="K185" s="21"/>
      <c r="L185" s="21"/>
      <c r="M185" s="21"/>
      <c r="N185" s="21"/>
      <c r="O185" s="21"/>
    </row>
    <row r="186" spans="2:15" ht="14.15" customHeight="1" x14ac:dyDescent="0.35">
      <c r="B186" s="100">
        <f t="shared" si="2"/>
        <v>183</v>
      </c>
      <c r="C186" s="104" t="s">
        <v>187</v>
      </c>
      <c r="D186" s="102">
        <v>779575</v>
      </c>
      <c r="E186" s="102"/>
      <c r="F186" s="103">
        <v>30536</v>
      </c>
      <c r="G186" s="99"/>
      <c r="H186" s="99"/>
      <c r="I186" s="99"/>
      <c r="J186" s="20"/>
      <c r="K186" s="21"/>
      <c r="L186" s="21"/>
      <c r="M186" s="21"/>
      <c r="N186" s="21"/>
      <c r="O186" s="21"/>
    </row>
    <row r="187" spans="2:15" ht="14.15" customHeight="1" x14ac:dyDescent="0.35">
      <c r="B187" s="100">
        <f t="shared" si="2"/>
        <v>184</v>
      </c>
      <c r="C187" s="104" t="s">
        <v>188</v>
      </c>
      <c r="D187" s="102">
        <v>779541</v>
      </c>
      <c r="E187" s="102"/>
      <c r="F187" s="103">
        <v>30537</v>
      </c>
      <c r="G187" s="99"/>
      <c r="H187" s="99"/>
      <c r="I187" s="99"/>
      <c r="J187" s="20"/>
      <c r="K187" s="21"/>
      <c r="L187" s="21"/>
      <c r="M187" s="21"/>
      <c r="N187" s="21"/>
      <c r="O187" s="21"/>
    </row>
    <row r="188" spans="2:15" ht="14.15" customHeight="1" x14ac:dyDescent="0.35">
      <c r="B188" s="100">
        <f t="shared" si="2"/>
        <v>185</v>
      </c>
      <c r="C188" s="104" t="s">
        <v>189</v>
      </c>
      <c r="D188" s="102">
        <v>779480</v>
      </c>
      <c r="E188" s="102"/>
      <c r="F188" s="103">
        <v>30538</v>
      </c>
      <c r="G188" s="99"/>
      <c r="H188" s="99"/>
      <c r="I188" s="99"/>
      <c r="J188" s="20"/>
      <c r="K188" s="21"/>
      <c r="L188" s="21"/>
      <c r="M188" s="21"/>
      <c r="N188" s="21"/>
      <c r="O188" s="21"/>
    </row>
    <row r="189" spans="2:15" ht="14.15" customHeight="1" x14ac:dyDescent="0.35">
      <c r="B189" s="100">
        <f t="shared" si="2"/>
        <v>186</v>
      </c>
      <c r="C189" s="104" t="s">
        <v>190</v>
      </c>
      <c r="D189" s="102">
        <v>717278</v>
      </c>
      <c r="E189" s="102"/>
      <c r="F189" s="103">
        <v>30575</v>
      </c>
      <c r="G189" s="99"/>
      <c r="H189" s="99"/>
      <c r="I189" s="99"/>
      <c r="J189" s="20"/>
      <c r="K189" s="21"/>
      <c r="L189" s="21"/>
      <c r="M189" s="21"/>
      <c r="N189" s="21"/>
      <c r="O189" s="21"/>
    </row>
    <row r="190" spans="2:15" ht="14.15" customHeight="1" x14ac:dyDescent="0.35">
      <c r="B190" s="100">
        <f t="shared" si="2"/>
        <v>187</v>
      </c>
      <c r="C190" s="104" t="s">
        <v>191</v>
      </c>
      <c r="D190" s="102">
        <v>768985</v>
      </c>
      <c r="E190" s="102"/>
      <c r="F190" s="103">
        <v>30575</v>
      </c>
      <c r="G190" s="99"/>
      <c r="H190" s="99"/>
      <c r="I190" s="99"/>
      <c r="J190" s="20"/>
      <c r="K190" s="21"/>
      <c r="L190" s="21"/>
      <c r="M190" s="21"/>
      <c r="N190" s="21"/>
      <c r="O190" s="21"/>
    </row>
    <row r="191" spans="2:15" ht="14.15" customHeight="1" x14ac:dyDescent="0.35">
      <c r="B191" s="100">
        <f t="shared" si="2"/>
        <v>188</v>
      </c>
      <c r="C191" s="104" t="s">
        <v>192</v>
      </c>
      <c r="D191" s="102">
        <v>779566</v>
      </c>
      <c r="E191" s="102"/>
      <c r="F191" s="103">
        <v>30575</v>
      </c>
      <c r="G191" s="99"/>
      <c r="H191" s="99"/>
      <c r="I191" s="99"/>
      <c r="J191" s="20"/>
      <c r="K191" s="21"/>
      <c r="L191" s="21"/>
      <c r="M191" s="21"/>
      <c r="N191" s="21"/>
      <c r="O191" s="21"/>
    </row>
    <row r="192" spans="2:15" ht="14.15" customHeight="1" x14ac:dyDescent="0.35">
      <c r="B192" s="100">
        <f t="shared" si="2"/>
        <v>189</v>
      </c>
      <c r="C192" s="104" t="s">
        <v>193</v>
      </c>
      <c r="D192" s="102">
        <v>758657</v>
      </c>
      <c r="E192" s="102"/>
      <c r="F192" s="103">
        <v>30592</v>
      </c>
      <c r="G192" s="99"/>
      <c r="H192" s="99"/>
      <c r="I192" s="99"/>
      <c r="J192" s="20"/>
      <c r="K192" s="21"/>
      <c r="L192" s="21"/>
      <c r="M192" s="21"/>
      <c r="N192" s="21"/>
      <c r="O192" s="21"/>
    </row>
    <row r="193" spans="2:15" ht="14.15" customHeight="1" x14ac:dyDescent="0.35">
      <c r="B193" s="100">
        <f t="shared" si="2"/>
        <v>190</v>
      </c>
      <c r="C193" s="104" t="s">
        <v>194</v>
      </c>
      <c r="D193" s="102">
        <v>779407</v>
      </c>
      <c r="E193" s="102"/>
      <c r="F193" s="103">
        <v>30595</v>
      </c>
      <c r="G193" s="99"/>
      <c r="H193" s="99"/>
      <c r="I193" s="99"/>
      <c r="J193" s="20"/>
      <c r="K193" s="21"/>
      <c r="L193" s="21"/>
      <c r="M193" s="21"/>
      <c r="N193" s="21"/>
      <c r="O193" s="21"/>
    </row>
    <row r="194" spans="2:15" ht="14.15" customHeight="1" x14ac:dyDescent="0.35">
      <c r="B194" s="100">
        <f t="shared" si="2"/>
        <v>191</v>
      </c>
      <c r="C194" s="104" t="s">
        <v>195</v>
      </c>
      <c r="D194" s="102">
        <v>727613</v>
      </c>
      <c r="E194" s="102"/>
      <c r="F194" s="103">
        <v>30600</v>
      </c>
      <c r="G194" s="99"/>
      <c r="H194" s="99"/>
      <c r="I194" s="99"/>
      <c r="J194" s="20"/>
      <c r="K194" s="21"/>
      <c r="L194" s="21"/>
      <c r="M194" s="21"/>
      <c r="N194" s="21"/>
      <c r="O194" s="21"/>
    </row>
    <row r="195" spans="2:15" ht="14.15" customHeight="1" x14ac:dyDescent="0.35">
      <c r="B195" s="100">
        <f t="shared" si="2"/>
        <v>192</v>
      </c>
      <c r="C195" s="104" t="s">
        <v>196</v>
      </c>
      <c r="D195" s="102">
        <v>758803</v>
      </c>
      <c r="E195" s="102"/>
      <c r="F195" s="103">
        <v>30601</v>
      </c>
      <c r="G195" s="99"/>
      <c r="H195" s="99"/>
      <c r="I195" s="99"/>
      <c r="J195" s="20"/>
      <c r="K195" s="21"/>
      <c r="L195" s="21"/>
      <c r="M195" s="21"/>
      <c r="N195" s="21"/>
      <c r="O195" s="21"/>
    </row>
    <row r="196" spans="2:15" ht="14.15" customHeight="1" x14ac:dyDescent="0.35">
      <c r="B196" s="100">
        <f t="shared" si="2"/>
        <v>193</v>
      </c>
      <c r="C196" s="104" t="s">
        <v>197</v>
      </c>
      <c r="D196" s="102">
        <v>768944</v>
      </c>
      <c r="E196" s="102"/>
      <c r="F196" s="103">
        <v>30601</v>
      </c>
      <c r="G196" s="99"/>
      <c r="H196" s="99"/>
      <c r="I196" s="99"/>
      <c r="J196" s="20"/>
      <c r="K196" s="21"/>
      <c r="L196" s="21"/>
      <c r="M196" s="21"/>
      <c r="N196" s="21"/>
      <c r="O196" s="21"/>
    </row>
    <row r="197" spans="2:15" ht="14.15" customHeight="1" x14ac:dyDescent="0.35">
      <c r="B197" s="100">
        <f t="shared" ref="B197:B260" si="3">(B196+1)</f>
        <v>194</v>
      </c>
      <c r="C197" s="104" t="s">
        <v>198</v>
      </c>
      <c r="D197" s="102">
        <v>758596</v>
      </c>
      <c r="E197" s="102"/>
      <c r="F197" s="103">
        <v>30606</v>
      </c>
      <c r="G197" s="99"/>
      <c r="H197" s="99"/>
      <c r="I197" s="99"/>
      <c r="J197" s="20"/>
      <c r="K197" s="21"/>
      <c r="L197" s="21"/>
      <c r="M197" s="21"/>
      <c r="N197" s="21"/>
      <c r="O197" s="21"/>
    </row>
    <row r="198" spans="2:15" ht="14.15" customHeight="1" x14ac:dyDescent="0.35">
      <c r="B198" s="100">
        <f t="shared" si="3"/>
        <v>195</v>
      </c>
      <c r="C198" s="104" t="s">
        <v>199</v>
      </c>
      <c r="D198" s="102">
        <v>789865</v>
      </c>
      <c r="E198" s="102"/>
      <c r="F198" s="103">
        <v>30627</v>
      </c>
      <c r="G198" s="99"/>
      <c r="H198" s="99"/>
      <c r="I198" s="99"/>
      <c r="J198" s="20"/>
      <c r="K198" s="21"/>
      <c r="L198" s="21"/>
      <c r="M198" s="21"/>
      <c r="N198" s="21"/>
      <c r="O198" s="21"/>
    </row>
    <row r="199" spans="2:15" ht="14.15" customHeight="1" x14ac:dyDescent="0.35">
      <c r="B199" s="100">
        <f t="shared" si="3"/>
        <v>196</v>
      </c>
      <c r="C199" s="104" t="s">
        <v>200</v>
      </c>
      <c r="D199" s="102">
        <v>779318</v>
      </c>
      <c r="E199" s="102"/>
      <c r="F199" s="103">
        <v>30645</v>
      </c>
      <c r="G199" s="99"/>
      <c r="H199" s="99"/>
      <c r="I199" s="99"/>
      <c r="J199" s="20"/>
      <c r="K199" s="21"/>
      <c r="L199" s="21"/>
      <c r="M199" s="21"/>
      <c r="N199" s="21"/>
      <c r="O199" s="21"/>
    </row>
    <row r="200" spans="2:15" ht="14.15" customHeight="1" x14ac:dyDescent="0.35">
      <c r="B200" s="100">
        <f t="shared" si="3"/>
        <v>197</v>
      </c>
      <c r="C200" s="104" t="s">
        <v>201</v>
      </c>
      <c r="D200" s="102">
        <v>779546</v>
      </c>
      <c r="E200" s="102"/>
      <c r="F200" s="103">
        <v>30679</v>
      </c>
      <c r="G200" s="99"/>
      <c r="H200" s="99"/>
      <c r="I200" s="99"/>
      <c r="J200" s="20"/>
      <c r="K200" s="21"/>
      <c r="L200" s="21"/>
      <c r="M200" s="21"/>
      <c r="N200" s="21"/>
      <c r="O200" s="21"/>
    </row>
    <row r="201" spans="2:15" ht="14.15" customHeight="1" x14ac:dyDescent="0.35">
      <c r="B201" s="100">
        <f t="shared" si="3"/>
        <v>198</v>
      </c>
      <c r="C201" s="104" t="s">
        <v>202</v>
      </c>
      <c r="D201" s="102">
        <v>769173</v>
      </c>
      <c r="E201" s="102"/>
      <c r="F201" s="103">
        <v>30684</v>
      </c>
      <c r="G201" s="99"/>
      <c r="H201" s="99"/>
      <c r="I201" s="99"/>
      <c r="J201" s="20"/>
      <c r="K201" s="21"/>
      <c r="L201" s="21"/>
      <c r="M201" s="21"/>
      <c r="N201" s="21"/>
      <c r="O201" s="21"/>
    </row>
    <row r="202" spans="2:15" ht="14.15" customHeight="1" x14ac:dyDescent="0.35">
      <c r="B202" s="100">
        <f t="shared" si="3"/>
        <v>199</v>
      </c>
      <c r="C202" s="104" t="s">
        <v>203</v>
      </c>
      <c r="D202" s="102">
        <v>769211</v>
      </c>
      <c r="E202" s="102"/>
      <c r="F202" s="103">
        <v>30695</v>
      </c>
      <c r="G202" s="99"/>
      <c r="H202" s="99"/>
      <c r="I202" s="99"/>
      <c r="J202" s="20"/>
      <c r="K202" s="21"/>
      <c r="L202" s="21"/>
      <c r="M202" s="21"/>
      <c r="N202" s="21"/>
      <c r="O202" s="21"/>
    </row>
    <row r="203" spans="2:15" ht="14.15" customHeight="1" x14ac:dyDescent="0.35">
      <c r="B203" s="100">
        <f t="shared" si="3"/>
        <v>200</v>
      </c>
      <c r="C203" s="104" t="s">
        <v>204</v>
      </c>
      <c r="D203" s="102">
        <v>769146</v>
      </c>
      <c r="E203" s="102"/>
      <c r="F203" s="103">
        <v>30721</v>
      </c>
      <c r="G203" s="99"/>
      <c r="H203" s="99"/>
      <c r="I203" s="99"/>
      <c r="J203" s="20"/>
      <c r="K203" s="21"/>
      <c r="L203" s="21"/>
      <c r="M203" s="21"/>
      <c r="N203" s="21"/>
      <c r="O203" s="21"/>
    </row>
    <row r="204" spans="2:15" ht="14.15" customHeight="1" x14ac:dyDescent="0.35">
      <c r="B204" s="100">
        <f t="shared" si="3"/>
        <v>201</v>
      </c>
      <c r="C204" s="104" t="s">
        <v>205</v>
      </c>
      <c r="D204" s="102">
        <v>7909237</v>
      </c>
      <c r="E204" s="102"/>
      <c r="F204" s="103">
        <v>30721</v>
      </c>
      <c r="G204" s="99"/>
      <c r="H204" s="99"/>
      <c r="I204" s="99"/>
      <c r="J204" s="20"/>
      <c r="K204" s="21"/>
      <c r="L204" s="21"/>
      <c r="M204" s="21"/>
      <c r="N204" s="21"/>
      <c r="O204" s="21"/>
    </row>
    <row r="205" spans="2:15" ht="14.15" customHeight="1" x14ac:dyDescent="0.35">
      <c r="B205" s="100">
        <f t="shared" si="3"/>
        <v>202</v>
      </c>
      <c r="C205" s="104" t="s">
        <v>206</v>
      </c>
      <c r="D205" s="102">
        <v>779489</v>
      </c>
      <c r="E205" s="102"/>
      <c r="F205" s="103">
        <v>30741</v>
      </c>
      <c r="G205" s="99"/>
      <c r="H205" s="99"/>
      <c r="I205" s="99"/>
      <c r="J205" s="20"/>
      <c r="K205" s="21"/>
      <c r="L205" s="21"/>
      <c r="M205" s="21"/>
      <c r="N205" s="21"/>
      <c r="O205" s="21"/>
    </row>
    <row r="206" spans="2:15" ht="14.15" customHeight="1" x14ac:dyDescent="0.35">
      <c r="B206" s="100">
        <f t="shared" si="3"/>
        <v>203</v>
      </c>
      <c r="C206" s="104" t="s">
        <v>207</v>
      </c>
      <c r="D206" s="102">
        <v>738097</v>
      </c>
      <c r="E206" s="102"/>
      <c r="F206" s="103">
        <v>30749</v>
      </c>
      <c r="G206" s="99"/>
      <c r="H206" s="99"/>
      <c r="I206" s="99"/>
      <c r="J206" s="20"/>
      <c r="K206" s="21"/>
      <c r="L206" s="21"/>
      <c r="M206" s="21"/>
      <c r="N206" s="21"/>
      <c r="O206" s="21"/>
    </row>
    <row r="207" spans="2:15" ht="14.15" customHeight="1" x14ac:dyDescent="0.35">
      <c r="B207" s="100">
        <f t="shared" si="3"/>
        <v>204</v>
      </c>
      <c r="C207" s="104" t="s">
        <v>208</v>
      </c>
      <c r="D207" s="102">
        <v>769220</v>
      </c>
      <c r="E207" s="102"/>
      <c r="F207" s="103">
        <v>30750</v>
      </c>
      <c r="G207" s="99"/>
      <c r="H207" s="99"/>
      <c r="I207" s="99"/>
      <c r="J207" s="20"/>
      <c r="K207" s="21"/>
      <c r="L207" s="21"/>
      <c r="M207" s="21"/>
      <c r="N207" s="21"/>
      <c r="O207" s="21"/>
    </row>
    <row r="208" spans="2:15" ht="14.15" customHeight="1" x14ac:dyDescent="0.35">
      <c r="B208" s="100">
        <f t="shared" si="3"/>
        <v>205</v>
      </c>
      <c r="C208" s="104" t="s">
        <v>209</v>
      </c>
      <c r="D208" s="102">
        <v>769225</v>
      </c>
      <c r="E208" s="102"/>
      <c r="F208" s="103">
        <v>30750</v>
      </c>
      <c r="G208" s="99"/>
      <c r="H208" s="99"/>
      <c r="I208" s="99"/>
      <c r="J208" s="20"/>
      <c r="K208" s="21"/>
      <c r="L208" s="21"/>
      <c r="M208" s="21"/>
      <c r="N208" s="21"/>
      <c r="O208" s="21"/>
    </row>
    <row r="209" spans="2:15" ht="14.15" customHeight="1" x14ac:dyDescent="0.35">
      <c r="B209" s="100">
        <f t="shared" si="3"/>
        <v>206</v>
      </c>
      <c r="C209" s="104" t="s">
        <v>210</v>
      </c>
      <c r="D209" s="102">
        <v>781039</v>
      </c>
      <c r="E209" s="102"/>
      <c r="F209" s="103">
        <v>30776</v>
      </c>
      <c r="G209" s="99"/>
      <c r="H209" s="99"/>
      <c r="I209" s="99"/>
      <c r="J209" s="20"/>
      <c r="K209" s="21"/>
      <c r="L209" s="21"/>
      <c r="M209" s="21"/>
      <c r="N209" s="21"/>
      <c r="O209" s="21"/>
    </row>
    <row r="210" spans="2:15" ht="14.15" customHeight="1" x14ac:dyDescent="0.35">
      <c r="B210" s="100">
        <f t="shared" si="3"/>
        <v>207</v>
      </c>
      <c r="C210" s="104" t="s">
        <v>211</v>
      </c>
      <c r="D210" s="102">
        <v>779370</v>
      </c>
      <c r="E210" s="102"/>
      <c r="F210" s="103">
        <v>30796</v>
      </c>
      <c r="G210" s="99"/>
      <c r="H210" s="99"/>
      <c r="I210" s="99"/>
      <c r="J210" s="20"/>
      <c r="K210" s="21"/>
      <c r="L210" s="21"/>
      <c r="M210" s="21"/>
      <c r="N210" s="21"/>
      <c r="O210" s="21"/>
    </row>
    <row r="211" spans="2:15" ht="14.15" customHeight="1" x14ac:dyDescent="0.35">
      <c r="B211" s="100">
        <f t="shared" si="3"/>
        <v>208</v>
      </c>
      <c r="C211" s="104" t="s">
        <v>212</v>
      </c>
      <c r="D211" s="102">
        <v>717128</v>
      </c>
      <c r="E211" s="102"/>
      <c r="F211" s="103">
        <v>30834</v>
      </c>
      <c r="G211" s="99"/>
      <c r="H211" s="99"/>
      <c r="I211" s="99"/>
      <c r="J211" s="20"/>
      <c r="K211" s="21"/>
      <c r="L211" s="21"/>
      <c r="M211" s="21"/>
      <c r="N211" s="21"/>
      <c r="O211" s="21"/>
    </row>
    <row r="212" spans="2:15" ht="14.15" customHeight="1" x14ac:dyDescent="0.35">
      <c r="B212" s="100">
        <f t="shared" si="3"/>
        <v>209</v>
      </c>
      <c r="C212" s="104" t="s">
        <v>213</v>
      </c>
      <c r="D212" s="102">
        <v>779858</v>
      </c>
      <c r="E212" s="102"/>
      <c r="F212" s="103">
        <v>30834</v>
      </c>
      <c r="G212" s="99"/>
      <c r="H212" s="99"/>
      <c r="I212" s="99"/>
      <c r="J212" s="20"/>
      <c r="K212" s="21"/>
      <c r="L212" s="21"/>
      <c r="M212" s="21"/>
      <c r="N212" s="21"/>
      <c r="O212" s="21"/>
    </row>
    <row r="213" spans="2:15" ht="14.15" customHeight="1" x14ac:dyDescent="0.35">
      <c r="B213" s="100">
        <f t="shared" si="3"/>
        <v>210</v>
      </c>
      <c r="C213" s="104" t="s">
        <v>214</v>
      </c>
      <c r="D213" s="102">
        <v>789819</v>
      </c>
      <c r="E213" s="102"/>
      <c r="F213" s="103">
        <v>30890</v>
      </c>
      <c r="G213" s="99"/>
      <c r="H213" s="99"/>
      <c r="I213" s="99"/>
      <c r="J213" s="20"/>
      <c r="K213" s="21"/>
      <c r="L213" s="21"/>
      <c r="M213" s="21"/>
      <c r="N213" s="21"/>
      <c r="O213" s="21"/>
    </row>
    <row r="214" spans="2:15" ht="14.15" customHeight="1" x14ac:dyDescent="0.35">
      <c r="B214" s="100">
        <f t="shared" si="3"/>
        <v>211</v>
      </c>
      <c r="C214" s="104" t="s">
        <v>215</v>
      </c>
      <c r="D214" s="102">
        <v>758911</v>
      </c>
      <c r="E214" s="102"/>
      <c r="F214" s="103">
        <v>30898</v>
      </c>
      <c r="G214" s="99"/>
      <c r="H214" s="99"/>
      <c r="I214" s="99"/>
      <c r="J214" s="20"/>
      <c r="K214" s="21"/>
      <c r="L214" s="21"/>
      <c r="M214" s="21"/>
      <c r="N214" s="21"/>
      <c r="O214" s="21"/>
    </row>
    <row r="215" spans="2:15" ht="14.15" customHeight="1" x14ac:dyDescent="0.35">
      <c r="B215" s="100">
        <f t="shared" si="3"/>
        <v>212</v>
      </c>
      <c r="C215" s="104" t="s">
        <v>216</v>
      </c>
      <c r="D215" s="102">
        <v>7809984</v>
      </c>
      <c r="E215" s="102"/>
      <c r="F215" s="103">
        <v>30898</v>
      </c>
      <c r="G215" s="99"/>
      <c r="H215" s="99"/>
      <c r="I215" s="99"/>
      <c r="J215" s="20"/>
      <c r="K215" s="21"/>
      <c r="L215" s="21"/>
      <c r="M215" s="21"/>
      <c r="N215" s="21"/>
      <c r="O215" s="21"/>
    </row>
    <row r="216" spans="2:15" ht="14.15" customHeight="1" x14ac:dyDescent="0.35">
      <c r="B216" s="100">
        <f t="shared" si="3"/>
        <v>213</v>
      </c>
      <c r="C216" s="104" t="s">
        <v>217</v>
      </c>
      <c r="D216" s="102">
        <v>779322</v>
      </c>
      <c r="E216" s="102"/>
      <c r="F216" s="103">
        <v>30900</v>
      </c>
      <c r="G216" s="99"/>
      <c r="H216" s="99"/>
      <c r="I216" s="99"/>
      <c r="J216" s="20"/>
      <c r="K216" s="21"/>
      <c r="L216" s="21"/>
      <c r="M216" s="21"/>
      <c r="N216" s="21"/>
      <c r="O216" s="21"/>
    </row>
    <row r="217" spans="2:15" ht="14.15" customHeight="1" x14ac:dyDescent="0.35">
      <c r="B217" s="100">
        <f t="shared" si="3"/>
        <v>214</v>
      </c>
      <c r="C217" s="104" t="s">
        <v>218</v>
      </c>
      <c r="D217" s="102">
        <v>758757</v>
      </c>
      <c r="E217" s="102"/>
      <c r="F217" s="103">
        <v>30902</v>
      </c>
      <c r="G217" s="99"/>
      <c r="H217" s="99"/>
      <c r="I217" s="99"/>
      <c r="J217" s="20"/>
      <c r="K217" s="21"/>
      <c r="L217" s="21"/>
      <c r="M217" s="21"/>
      <c r="N217" s="21"/>
      <c r="O217" s="21"/>
    </row>
    <row r="218" spans="2:15" ht="14.15" customHeight="1" x14ac:dyDescent="0.35">
      <c r="B218" s="100">
        <f t="shared" si="3"/>
        <v>215</v>
      </c>
      <c r="C218" s="104" t="s">
        <v>219</v>
      </c>
      <c r="D218" s="102">
        <v>758913</v>
      </c>
      <c r="E218" s="102"/>
      <c r="F218" s="103">
        <v>30902</v>
      </c>
      <c r="G218" s="99"/>
      <c r="H218" s="99"/>
      <c r="I218" s="99"/>
      <c r="J218" s="20"/>
      <c r="K218" s="21"/>
      <c r="L218" s="21"/>
      <c r="M218" s="21"/>
      <c r="N218" s="21"/>
      <c r="O218" s="21"/>
    </row>
    <row r="219" spans="2:15" ht="14.15" customHeight="1" x14ac:dyDescent="0.35">
      <c r="B219" s="100">
        <f t="shared" si="3"/>
        <v>216</v>
      </c>
      <c r="C219" s="104" t="s">
        <v>220</v>
      </c>
      <c r="D219" s="102">
        <v>779458</v>
      </c>
      <c r="E219" s="102"/>
      <c r="F219" s="103">
        <v>30935</v>
      </c>
      <c r="G219" s="99"/>
      <c r="H219" s="99"/>
      <c r="I219" s="99"/>
      <c r="J219" s="20"/>
      <c r="K219" s="21"/>
      <c r="L219" s="21"/>
      <c r="M219" s="21"/>
      <c r="N219" s="21"/>
      <c r="O219" s="21"/>
    </row>
    <row r="220" spans="2:15" ht="14.15" customHeight="1" x14ac:dyDescent="0.35">
      <c r="B220" s="100">
        <f t="shared" si="3"/>
        <v>217</v>
      </c>
      <c r="C220" s="104" t="s">
        <v>221</v>
      </c>
      <c r="D220" s="102">
        <v>706858</v>
      </c>
      <c r="E220" s="102"/>
      <c r="F220" s="103">
        <v>30964</v>
      </c>
      <c r="G220" s="99"/>
      <c r="H220" s="99"/>
      <c r="I220" s="99"/>
      <c r="J220" s="20"/>
      <c r="K220" s="21"/>
      <c r="L220" s="21"/>
      <c r="M220" s="21"/>
      <c r="N220" s="21"/>
      <c r="O220" s="21"/>
    </row>
    <row r="221" spans="2:15" ht="14.15" customHeight="1" x14ac:dyDescent="0.35">
      <c r="B221" s="100">
        <f t="shared" si="3"/>
        <v>218</v>
      </c>
      <c r="C221" s="104" t="s">
        <v>222</v>
      </c>
      <c r="D221" s="102">
        <v>789705</v>
      </c>
      <c r="E221" s="102"/>
      <c r="F221" s="103">
        <v>30982</v>
      </c>
      <c r="G221" s="99"/>
      <c r="H221" s="99"/>
      <c r="I221" s="99"/>
      <c r="J221" s="20"/>
      <c r="K221" s="21"/>
      <c r="L221" s="21"/>
      <c r="M221" s="21"/>
      <c r="N221" s="21"/>
      <c r="O221" s="21"/>
    </row>
    <row r="222" spans="2:15" ht="14.15" customHeight="1" x14ac:dyDescent="0.35">
      <c r="B222" s="100">
        <f t="shared" si="3"/>
        <v>219</v>
      </c>
      <c r="C222" s="104" t="s">
        <v>223</v>
      </c>
      <c r="D222" s="102">
        <v>748396</v>
      </c>
      <c r="E222" s="102"/>
      <c r="F222" s="103">
        <v>30991</v>
      </c>
      <c r="G222" s="99"/>
      <c r="H222" s="99"/>
      <c r="I222" s="99"/>
      <c r="J222" s="20"/>
      <c r="K222" s="21"/>
      <c r="L222" s="21"/>
      <c r="M222" s="21"/>
      <c r="N222" s="21"/>
      <c r="O222" s="21"/>
    </row>
    <row r="223" spans="2:15" ht="14.15" customHeight="1" x14ac:dyDescent="0.35">
      <c r="B223" s="100">
        <f t="shared" si="3"/>
        <v>220</v>
      </c>
      <c r="C223" s="104" t="s">
        <v>224</v>
      </c>
      <c r="D223" s="102">
        <v>789977</v>
      </c>
      <c r="E223" s="102"/>
      <c r="F223" s="103">
        <v>30994</v>
      </c>
      <c r="G223" s="99"/>
      <c r="H223" s="99"/>
      <c r="I223" s="99"/>
      <c r="J223" s="20"/>
      <c r="K223" s="21"/>
      <c r="L223" s="21"/>
      <c r="M223" s="21"/>
      <c r="N223" s="21"/>
      <c r="O223" s="21"/>
    </row>
    <row r="224" spans="2:15" ht="14.15" customHeight="1" x14ac:dyDescent="0.35">
      <c r="B224" s="100">
        <f t="shared" si="3"/>
        <v>221</v>
      </c>
      <c r="C224" s="104" t="s">
        <v>225</v>
      </c>
      <c r="D224" s="102">
        <v>7909977</v>
      </c>
      <c r="E224" s="102"/>
      <c r="F224" s="103">
        <v>30994</v>
      </c>
      <c r="G224" s="99"/>
      <c r="H224" s="99"/>
      <c r="I224" s="99"/>
      <c r="J224" s="20"/>
      <c r="K224" s="21"/>
      <c r="L224" s="21"/>
      <c r="M224" s="21"/>
      <c r="N224" s="21"/>
      <c r="O224" s="21"/>
    </row>
    <row r="225" spans="2:15" ht="14.15" customHeight="1" x14ac:dyDescent="0.35">
      <c r="B225" s="100">
        <f t="shared" si="3"/>
        <v>222</v>
      </c>
      <c r="C225" s="104" t="s">
        <v>226</v>
      </c>
      <c r="D225" s="102">
        <v>717175</v>
      </c>
      <c r="E225" s="102"/>
      <c r="F225" s="103">
        <v>31069</v>
      </c>
      <c r="G225" s="99"/>
      <c r="H225" s="99"/>
      <c r="I225" s="99"/>
      <c r="J225" s="20"/>
      <c r="K225" s="21"/>
      <c r="L225" s="21"/>
      <c r="M225" s="21"/>
      <c r="N225" s="21"/>
      <c r="O225" s="21"/>
    </row>
    <row r="226" spans="2:15" ht="14.15" customHeight="1" x14ac:dyDescent="0.35">
      <c r="B226" s="100">
        <f t="shared" si="3"/>
        <v>223</v>
      </c>
      <c r="C226" s="104" t="s">
        <v>227</v>
      </c>
      <c r="D226" s="102">
        <v>789900</v>
      </c>
      <c r="E226" s="102"/>
      <c r="F226" s="103">
        <v>31085</v>
      </c>
      <c r="G226" s="99"/>
      <c r="H226" s="99"/>
      <c r="I226" s="99"/>
      <c r="J226" s="20"/>
      <c r="K226" s="21"/>
      <c r="L226" s="21"/>
      <c r="M226" s="21"/>
      <c r="N226" s="21"/>
      <c r="O226" s="21"/>
    </row>
    <row r="227" spans="2:15" ht="14.15" customHeight="1" x14ac:dyDescent="0.35">
      <c r="B227" s="100">
        <f t="shared" si="3"/>
        <v>224</v>
      </c>
      <c r="C227" s="104" t="s">
        <v>228</v>
      </c>
      <c r="D227" s="102">
        <v>758739</v>
      </c>
      <c r="E227" s="102"/>
      <c r="F227" s="103">
        <v>31101</v>
      </c>
      <c r="G227" s="99"/>
      <c r="H227" s="99"/>
      <c r="I227" s="99"/>
      <c r="J227" s="20"/>
      <c r="K227" s="21"/>
      <c r="L227" s="21"/>
      <c r="M227" s="21"/>
      <c r="N227" s="21"/>
      <c r="O227" s="21"/>
    </row>
    <row r="228" spans="2:15" ht="14.15" customHeight="1" x14ac:dyDescent="0.35">
      <c r="B228" s="100">
        <f t="shared" si="3"/>
        <v>225</v>
      </c>
      <c r="C228" s="104" t="s">
        <v>229</v>
      </c>
      <c r="D228" s="102">
        <v>779303</v>
      </c>
      <c r="E228" s="102"/>
      <c r="F228" s="103">
        <v>31109</v>
      </c>
      <c r="G228" s="99"/>
      <c r="H228" s="99"/>
      <c r="I228" s="99"/>
      <c r="J228" s="20"/>
      <c r="K228" s="21"/>
      <c r="L228" s="21"/>
      <c r="M228" s="21"/>
      <c r="N228" s="21"/>
      <c r="O228" s="21"/>
    </row>
    <row r="229" spans="2:15" ht="14.15" customHeight="1" x14ac:dyDescent="0.35">
      <c r="B229" s="100">
        <f t="shared" si="3"/>
        <v>226</v>
      </c>
      <c r="C229" s="104" t="s">
        <v>230</v>
      </c>
      <c r="D229" s="102">
        <v>789751</v>
      </c>
      <c r="E229" s="102"/>
      <c r="F229" s="103">
        <v>31109</v>
      </c>
      <c r="G229" s="99"/>
      <c r="H229" s="99"/>
      <c r="I229" s="99"/>
      <c r="J229" s="20"/>
      <c r="K229" s="21"/>
      <c r="L229" s="21"/>
      <c r="M229" s="21"/>
      <c r="N229" s="21"/>
      <c r="O229" s="21"/>
    </row>
    <row r="230" spans="2:15" ht="14.15" customHeight="1" x14ac:dyDescent="0.35">
      <c r="B230" s="100">
        <f t="shared" si="3"/>
        <v>227</v>
      </c>
      <c r="C230" s="104" t="s">
        <v>231</v>
      </c>
      <c r="D230" s="102">
        <v>738081</v>
      </c>
      <c r="E230" s="102"/>
      <c r="F230" s="103">
        <v>31119</v>
      </c>
      <c r="G230" s="99"/>
      <c r="H230" s="99"/>
      <c r="I230" s="99"/>
      <c r="J230" s="20"/>
      <c r="K230" s="21"/>
      <c r="L230" s="21"/>
      <c r="M230" s="21"/>
      <c r="N230" s="21"/>
      <c r="O230" s="21"/>
    </row>
    <row r="231" spans="2:15" ht="14.15" customHeight="1" x14ac:dyDescent="0.35">
      <c r="B231" s="100">
        <f t="shared" si="3"/>
        <v>228</v>
      </c>
      <c r="C231" s="104" t="s">
        <v>232</v>
      </c>
      <c r="D231" s="102">
        <v>789691</v>
      </c>
      <c r="E231" s="102"/>
      <c r="F231" s="103">
        <v>31119</v>
      </c>
      <c r="G231" s="99"/>
      <c r="H231" s="99"/>
      <c r="I231" s="99"/>
      <c r="J231" s="20"/>
      <c r="K231" s="21"/>
      <c r="L231" s="21"/>
      <c r="M231" s="21"/>
      <c r="N231" s="21"/>
      <c r="O231" s="21"/>
    </row>
    <row r="232" spans="2:15" ht="14.15" customHeight="1" x14ac:dyDescent="0.35">
      <c r="B232" s="100">
        <f t="shared" si="3"/>
        <v>229</v>
      </c>
      <c r="C232" s="104" t="s">
        <v>233</v>
      </c>
      <c r="D232" s="102">
        <v>7910263</v>
      </c>
      <c r="E232" s="102"/>
      <c r="F232" s="103">
        <v>31119</v>
      </c>
      <c r="G232" s="99"/>
      <c r="H232" s="99"/>
      <c r="I232" s="99"/>
      <c r="J232" s="20"/>
      <c r="K232" s="21"/>
      <c r="L232" s="21"/>
      <c r="M232" s="21"/>
      <c r="N232" s="21"/>
      <c r="O232" s="21"/>
    </row>
    <row r="233" spans="2:15" ht="14.15" customHeight="1" x14ac:dyDescent="0.35">
      <c r="B233" s="100">
        <f t="shared" si="3"/>
        <v>230</v>
      </c>
      <c r="C233" s="104" t="s">
        <v>234</v>
      </c>
      <c r="D233" s="102">
        <v>779430</v>
      </c>
      <c r="E233" s="102"/>
      <c r="F233" s="103">
        <v>31127</v>
      </c>
      <c r="G233" s="99"/>
      <c r="H233" s="99"/>
      <c r="I233" s="99"/>
      <c r="J233" s="20"/>
      <c r="K233" s="21"/>
      <c r="L233" s="21"/>
      <c r="M233" s="21"/>
      <c r="N233" s="21"/>
      <c r="O233" s="21"/>
    </row>
    <row r="234" spans="2:15" ht="14.15" customHeight="1" x14ac:dyDescent="0.35">
      <c r="B234" s="100">
        <f t="shared" si="3"/>
        <v>231</v>
      </c>
      <c r="C234" s="104" t="s">
        <v>235</v>
      </c>
      <c r="D234" s="102">
        <v>758882</v>
      </c>
      <c r="E234" s="102"/>
      <c r="F234" s="103">
        <v>31131</v>
      </c>
      <c r="G234" s="99"/>
      <c r="H234" s="99"/>
      <c r="I234" s="99"/>
      <c r="J234" s="20"/>
      <c r="K234" s="21"/>
      <c r="L234" s="21"/>
      <c r="M234" s="21"/>
      <c r="N234" s="21"/>
      <c r="O234" s="21"/>
    </row>
    <row r="235" spans="2:15" ht="14.15" customHeight="1" x14ac:dyDescent="0.35">
      <c r="B235" s="100">
        <f t="shared" si="3"/>
        <v>232</v>
      </c>
      <c r="C235" s="104" t="s">
        <v>236</v>
      </c>
      <c r="D235" s="102">
        <v>7910469</v>
      </c>
      <c r="E235" s="102"/>
      <c r="F235" s="103">
        <v>31135</v>
      </c>
      <c r="G235" s="99"/>
      <c r="H235" s="99"/>
      <c r="I235" s="99"/>
      <c r="J235" s="20"/>
      <c r="K235" s="21"/>
      <c r="L235" s="21"/>
      <c r="M235" s="21"/>
      <c r="N235" s="21"/>
      <c r="O235" s="21"/>
    </row>
    <row r="236" spans="2:15" ht="14.15" customHeight="1" x14ac:dyDescent="0.35">
      <c r="B236" s="100">
        <f t="shared" si="3"/>
        <v>233</v>
      </c>
      <c r="C236" s="104" t="s">
        <v>237</v>
      </c>
      <c r="D236" s="102">
        <v>768984</v>
      </c>
      <c r="E236" s="102"/>
      <c r="F236" s="103">
        <v>31152</v>
      </c>
      <c r="G236" s="99"/>
      <c r="H236" s="99"/>
      <c r="I236" s="99"/>
      <c r="J236" s="20"/>
      <c r="K236" s="21"/>
      <c r="L236" s="21"/>
      <c r="M236" s="21"/>
      <c r="N236" s="21"/>
      <c r="O236" s="21"/>
    </row>
    <row r="237" spans="2:15" ht="14.15" customHeight="1" x14ac:dyDescent="0.35">
      <c r="B237" s="100">
        <f t="shared" si="3"/>
        <v>234</v>
      </c>
      <c r="C237" s="104" t="s">
        <v>238</v>
      </c>
      <c r="D237" s="102">
        <v>7903710</v>
      </c>
      <c r="E237" s="102"/>
      <c r="F237" s="103">
        <v>31165</v>
      </c>
      <c r="G237" s="99"/>
      <c r="H237" s="99"/>
      <c r="I237" s="99"/>
      <c r="J237" s="20"/>
      <c r="K237" s="21"/>
      <c r="L237" s="21"/>
      <c r="M237" s="21"/>
      <c r="N237" s="21"/>
      <c r="O237" s="21"/>
    </row>
    <row r="238" spans="2:15" ht="14.15" customHeight="1" x14ac:dyDescent="0.35">
      <c r="B238" s="100">
        <f t="shared" si="3"/>
        <v>235</v>
      </c>
      <c r="C238" s="104" t="s">
        <v>239</v>
      </c>
      <c r="D238" s="102">
        <v>738011</v>
      </c>
      <c r="E238" s="102"/>
      <c r="F238" s="103">
        <v>31171</v>
      </c>
      <c r="G238" s="99"/>
      <c r="H238" s="99"/>
      <c r="I238" s="99"/>
      <c r="J238" s="20"/>
      <c r="K238" s="21"/>
      <c r="L238" s="21"/>
      <c r="M238" s="21"/>
      <c r="N238" s="21"/>
      <c r="O238" s="21"/>
    </row>
    <row r="239" spans="2:15" ht="14.15" customHeight="1" x14ac:dyDescent="0.35">
      <c r="B239" s="100">
        <f t="shared" si="3"/>
        <v>236</v>
      </c>
      <c r="C239" s="104" t="s">
        <v>240</v>
      </c>
      <c r="D239" s="102">
        <v>706923</v>
      </c>
      <c r="E239" s="102"/>
      <c r="F239" s="103">
        <v>31175</v>
      </c>
      <c r="G239" s="99"/>
      <c r="H239" s="99"/>
      <c r="I239" s="99"/>
      <c r="J239" s="20"/>
      <c r="K239" s="21"/>
      <c r="L239" s="21"/>
      <c r="M239" s="21"/>
      <c r="N239" s="21"/>
      <c r="O239" s="21"/>
    </row>
    <row r="240" spans="2:15" ht="14.15" customHeight="1" x14ac:dyDescent="0.35">
      <c r="B240" s="100">
        <f t="shared" si="3"/>
        <v>237</v>
      </c>
      <c r="C240" s="104" t="s">
        <v>192</v>
      </c>
      <c r="D240" s="102">
        <v>7810468</v>
      </c>
      <c r="E240" s="102"/>
      <c r="F240" s="103">
        <v>31175</v>
      </c>
      <c r="G240" s="99"/>
      <c r="H240" s="99"/>
      <c r="I240" s="99"/>
      <c r="J240" s="20"/>
      <c r="K240" s="21"/>
      <c r="L240" s="21"/>
      <c r="M240" s="21"/>
      <c r="N240" s="21"/>
      <c r="O240" s="21"/>
    </row>
    <row r="241" spans="2:15" ht="14.15" customHeight="1" x14ac:dyDescent="0.35">
      <c r="B241" s="100">
        <f t="shared" si="3"/>
        <v>238</v>
      </c>
      <c r="C241" s="104" t="s">
        <v>241</v>
      </c>
      <c r="D241" s="102">
        <v>769190</v>
      </c>
      <c r="E241" s="102"/>
      <c r="F241" s="103">
        <v>31245</v>
      </c>
      <c r="G241" s="99"/>
      <c r="H241" s="99"/>
      <c r="I241" s="99"/>
      <c r="J241" s="20"/>
      <c r="K241" s="21"/>
      <c r="L241" s="21"/>
      <c r="M241" s="21"/>
      <c r="N241" s="21"/>
      <c r="O241" s="21"/>
    </row>
    <row r="242" spans="2:15" ht="14.15" customHeight="1" x14ac:dyDescent="0.35">
      <c r="B242" s="100">
        <f t="shared" si="3"/>
        <v>239</v>
      </c>
      <c r="C242" s="104" t="s">
        <v>242</v>
      </c>
      <c r="D242" s="102">
        <v>789947</v>
      </c>
      <c r="E242" s="102"/>
      <c r="F242" s="103">
        <v>31304</v>
      </c>
      <c r="G242" s="99"/>
      <c r="H242" s="99"/>
      <c r="I242" s="99"/>
      <c r="J242" s="20"/>
      <c r="K242" s="21"/>
      <c r="L242" s="21"/>
      <c r="M242" s="21"/>
      <c r="N242" s="21"/>
      <c r="O242" s="21"/>
    </row>
    <row r="243" spans="2:15" ht="14.15" customHeight="1" x14ac:dyDescent="0.35">
      <c r="B243" s="100">
        <f t="shared" si="3"/>
        <v>240</v>
      </c>
      <c r="C243" s="104" t="s">
        <v>243</v>
      </c>
      <c r="D243" s="102">
        <v>779579</v>
      </c>
      <c r="E243" s="102"/>
      <c r="F243" s="103">
        <v>31308</v>
      </c>
      <c r="G243" s="99"/>
      <c r="H243" s="99"/>
      <c r="I243" s="99"/>
      <c r="J243" s="20"/>
      <c r="K243" s="21"/>
      <c r="L243" s="21"/>
      <c r="M243" s="21"/>
      <c r="N243" s="21"/>
      <c r="O243" s="21"/>
    </row>
    <row r="244" spans="2:15" ht="14.15" customHeight="1" x14ac:dyDescent="0.35">
      <c r="B244" s="100">
        <f t="shared" si="3"/>
        <v>241</v>
      </c>
      <c r="C244" s="104" t="s">
        <v>244</v>
      </c>
      <c r="D244" s="102">
        <v>769031</v>
      </c>
      <c r="E244" s="102"/>
      <c r="F244" s="103">
        <v>31320</v>
      </c>
      <c r="G244" s="99"/>
      <c r="H244" s="99"/>
      <c r="I244" s="99"/>
      <c r="J244" s="20"/>
      <c r="K244" s="21"/>
      <c r="L244" s="21"/>
      <c r="M244" s="21"/>
      <c r="N244" s="21"/>
      <c r="O244" s="21"/>
    </row>
    <row r="245" spans="2:15" ht="14.15" customHeight="1" x14ac:dyDescent="0.35">
      <c r="B245" s="100">
        <f t="shared" si="3"/>
        <v>242</v>
      </c>
      <c r="C245" s="104" t="s">
        <v>245</v>
      </c>
      <c r="D245" s="102">
        <v>789756</v>
      </c>
      <c r="E245" s="102"/>
      <c r="F245" s="103">
        <v>31341</v>
      </c>
      <c r="G245" s="99"/>
      <c r="H245" s="99"/>
      <c r="I245" s="99"/>
      <c r="J245" s="20"/>
      <c r="K245" s="21"/>
      <c r="L245" s="21"/>
      <c r="M245" s="21"/>
      <c r="N245" s="21"/>
      <c r="O245" s="21"/>
    </row>
    <row r="246" spans="2:15" ht="14.15" customHeight="1" x14ac:dyDescent="0.35">
      <c r="B246" s="100">
        <f t="shared" si="3"/>
        <v>243</v>
      </c>
      <c r="C246" s="104" t="s">
        <v>246</v>
      </c>
      <c r="D246" s="102">
        <v>7810062</v>
      </c>
      <c r="E246" s="102"/>
      <c r="F246" s="103">
        <v>31341</v>
      </c>
      <c r="G246" s="99"/>
      <c r="H246" s="99"/>
      <c r="I246" s="99"/>
      <c r="J246" s="20"/>
      <c r="K246" s="21"/>
      <c r="L246" s="21"/>
      <c r="M246" s="21"/>
      <c r="N246" s="21"/>
      <c r="O246" s="21"/>
    </row>
    <row r="247" spans="2:15" ht="14.15" customHeight="1" x14ac:dyDescent="0.35">
      <c r="B247" s="100">
        <f t="shared" si="3"/>
        <v>244</v>
      </c>
      <c r="C247" s="104" t="s">
        <v>247</v>
      </c>
      <c r="D247" s="102">
        <v>779537</v>
      </c>
      <c r="E247" s="102"/>
      <c r="F247" s="103">
        <v>31346</v>
      </c>
      <c r="G247" s="99"/>
      <c r="H247" s="99"/>
      <c r="I247" s="99"/>
      <c r="J247" s="20"/>
      <c r="K247" s="21"/>
      <c r="L247" s="21"/>
      <c r="M247" s="21"/>
      <c r="N247" s="21"/>
      <c r="O247" s="21"/>
    </row>
    <row r="248" spans="2:15" ht="14.15" customHeight="1" x14ac:dyDescent="0.35">
      <c r="B248" s="100">
        <f t="shared" si="3"/>
        <v>245</v>
      </c>
      <c r="C248" s="104" t="s">
        <v>248</v>
      </c>
      <c r="D248" s="102">
        <v>738398</v>
      </c>
      <c r="E248" s="102"/>
      <c r="F248" s="103">
        <v>31355</v>
      </c>
      <c r="G248" s="99"/>
      <c r="H248" s="99"/>
      <c r="I248" s="99"/>
      <c r="J248" s="20"/>
      <c r="K248" s="21"/>
      <c r="L248" s="21"/>
      <c r="M248" s="21"/>
      <c r="N248" s="21"/>
      <c r="O248" s="21"/>
    </row>
    <row r="249" spans="2:15" ht="14.15" customHeight="1" x14ac:dyDescent="0.35">
      <c r="B249" s="100">
        <f t="shared" si="3"/>
        <v>246</v>
      </c>
      <c r="C249" s="104" t="s">
        <v>249</v>
      </c>
      <c r="D249" s="102">
        <v>758786</v>
      </c>
      <c r="E249" s="102"/>
      <c r="F249" s="103">
        <v>31355</v>
      </c>
      <c r="G249" s="99"/>
      <c r="H249" s="99"/>
      <c r="I249" s="99"/>
      <c r="J249" s="20"/>
      <c r="K249" s="21"/>
      <c r="L249" s="21"/>
      <c r="M249" s="21"/>
      <c r="N249" s="21"/>
      <c r="O249" s="21"/>
    </row>
    <row r="250" spans="2:15" ht="14.15" customHeight="1" x14ac:dyDescent="0.35">
      <c r="B250" s="100">
        <f t="shared" si="3"/>
        <v>247</v>
      </c>
      <c r="C250" s="104" t="s">
        <v>250</v>
      </c>
      <c r="D250" s="102">
        <v>758893</v>
      </c>
      <c r="E250" s="102"/>
      <c r="F250" s="103">
        <v>31355</v>
      </c>
      <c r="G250" s="99"/>
      <c r="H250" s="99"/>
      <c r="I250" s="99"/>
      <c r="J250" s="20"/>
      <c r="K250" s="21"/>
      <c r="L250" s="21"/>
      <c r="M250" s="21"/>
      <c r="N250" s="21"/>
      <c r="O250" s="21"/>
    </row>
    <row r="251" spans="2:15" ht="14.15" customHeight="1" x14ac:dyDescent="0.35">
      <c r="B251" s="100">
        <f t="shared" si="3"/>
        <v>248</v>
      </c>
      <c r="C251" s="104" t="s">
        <v>251</v>
      </c>
      <c r="D251" s="102">
        <v>758914</v>
      </c>
      <c r="E251" s="102"/>
      <c r="F251" s="103">
        <v>31355</v>
      </c>
      <c r="G251" s="99"/>
      <c r="H251" s="99"/>
      <c r="I251" s="99"/>
      <c r="J251" s="20"/>
      <c r="K251" s="21"/>
      <c r="L251" s="21"/>
      <c r="M251" s="21"/>
      <c r="N251" s="21"/>
      <c r="O251" s="21"/>
    </row>
    <row r="252" spans="2:15" ht="14.15" customHeight="1" x14ac:dyDescent="0.35">
      <c r="B252" s="100">
        <f t="shared" si="3"/>
        <v>249</v>
      </c>
      <c r="C252" s="104" t="s">
        <v>252</v>
      </c>
      <c r="D252" s="102">
        <v>769076</v>
      </c>
      <c r="E252" s="102"/>
      <c r="F252" s="103">
        <v>31355</v>
      </c>
      <c r="G252" s="99"/>
      <c r="H252" s="99"/>
      <c r="I252" s="99"/>
      <c r="J252" s="20"/>
      <c r="K252" s="21"/>
      <c r="L252" s="21"/>
      <c r="M252" s="21"/>
      <c r="N252" s="21"/>
      <c r="O252" s="21"/>
    </row>
    <row r="253" spans="2:15" ht="14.15" customHeight="1" x14ac:dyDescent="0.35">
      <c r="B253" s="100">
        <f t="shared" si="3"/>
        <v>250</v>
      </c>
      <c r="C253" s="104" t="s">
        <v>253</v>
      </c>
      <c r="D253" s="102">
        <v>7910184</v>
      </c>
      <c r="E253" s="102"/>
      <c r="F253" s="103">
        <v>31355</v>
      </c>
      <c r="G253" s="99"/>
      <c r="H253" s="99"/>
      <c r="I253" s="99"/>
      <c r="J253" s="20"/>
      <c r="K253" s="21"/>
      <c r="L253" s="21"/>
      <c r="M253" s="21"/>
      <c r="N253" s="21"/>
      <c r="O253" s="21"/>
    </row>
    <row r="254" spans="2:15" ht="14.15" customHeight="1" x14ac:dyDescent="0.35">
      <c r="B254" s="100">
        <f t="shared" si="3"/>
        <v>251</v>
      </c>
      <c r="C254" s="104" t="s">
        <v>254</v>
      </c>
      <c r="D254" s="102">
        <v>7910409</v>
      </c>
      <c r="E254" s="102"/>
      <c r="F254" s="103">
        <v>31381</v>
      </c>
      <c r="G254" s="99"/>
      <c r="H254" s="99"/>
      <c r="I254" s="99"/>
      <c r="J254" s="20"/>
      <c r="K254" s="21"/>
      <c r="L254" s="21"/>
      <c r="M254" s="21"/>
      <c r="N254" s="21"/>
      <c r="O254" s="21"/>
    </row>
    <row r="255" spans="2:15" ht="14.15" customHeight="1" x14ac:dyDescent="0.35">
      <c r="B255" s="100">
        <f t="shared" si="3"/>
        <v>252</v>
      </c>
      <c r="C255" s="104" t="s">
        <v>255</v>
      </c>
      <c r="D255" s="102">
        <v>7910265</v>
      </c>
      <c r="E255" s="102"/>
      <c r="F255" s="103">
        <v>31391</v>
      </c>
      <c r="G255" s="99"/>
      <c r="H255" s="99"/>
      <c r="I255" s="99"/>
      <c r="J255" s="20"/>
      <c r="K255" s="21"/>
      <c r="L255" s="21"/>
      <c r="M255" s="21"/>
      <c r="N255" s="21"/>
      <c r="O255" s="21"/>
    </row>
    <row r="256" spans="2:15" ht="14.15" customHeight="1" x14ac:dyDescent="0.35">
      <c r="B256" s="100">
        <f t="shared" si="3"/>
        <v>253</v>
      </c>
      <c r="C256" s="104" t="s">
        <v>256</v>
      </c>
      <c r="D256" s="102">
        <v>757976</v>
      </c>
      <c r="E256" s="102"/>
      <c r="F256" s="103">
        <v>31402</v>
      </c>
      <c r="G256" s="99"/>
      <c r="H256" s="99"/>
      <c r="I256" s="99"/>
      <c r="J256" s="20"/>
      <c r="K256" s="21"/>
      <c r="L256" s="21"/>
      <c r="M256" s="21"/>
      <c r="N256" s="21"/>
      <c r="O256" s="21"/>
    </row>
    <row r="257" spans="2:15" ht="14.15" customHeight="1" x14ac:dyDescent="0.35">
      <c r="B257" s="100">
        <f t="shared" si="3"/>
        <v>254</v>
      </c>
      <c r="C257" s="104" t="s">
        <v>257</v>
      </c>
      <c r="D257" s="102">
        <v>7910463</v>
      </c>
      <c r="E257" s="102"/>
      <c r="F257" s="103">
        <v>31437</v>
      </c>
      <c r="G257" s="99"/>
      <c r="H257" s="99"/>
      <c r="I257" s="99"/>
      <c r="J257" s="20"/>
      <c r="K257" s="21"/>
      <c r="L257" s="21"/>
      <c r="M257" s="21"/>
      <c r="N257" s="21"/>
      <c r="O257" s="21"/>
    </row>
    <row r="258" spans="2:15" ht="14.15" customHeight="1" x14ac:dyDescent="0.35">
      <c r="B258" s="100">
        <f t="shared" si="3"/>
        <v>255</v>
      </c>
      <c r="C258" s="104" t="s">
        <v>258</v>
      </c>
      <c r="D258" s="102">
        <v>758892</v>
      </c>
      <c r="E258" s="102"/>
      <c r="F258" s="103">
        <v>31446</v>
      </c>
      <c r="G258" s="99"/>
      <c r="H258" s="99"/>
      <c r="I258" s="99"/>
      <c r="J258" s="20"/>
      <c r="K258" s="21"/>
      <c r="L258" s="21"/>
      <c r="M258" s="21"/>
      <c r="N258" s="21"/>
      <c r="O258" s="21"/>
    </row>
    <row r="259" spans="2:15" ht="14.15" customHeight="1" x14ac:dyDescent="0.35">
      <c r="B259" s="100">
        <f t="shared" si="3"/>
        <v>256</v>
      </c>
      <c r="C259" s="104" t="s">
        <v>259</v>
      </c>
      <c r="D259" s="102">
        <v>7910176</v>
      </c>
      <c r="E259" s="102"/>
      <c r="F259" s="103">
        <v>31467</v>
      </c>
      <c r="G259" s="99"/>
      <c r="H259" s="99"/>
      <c r="I259" s="99"/>
      <c r="J259" s="20"/>
      <c r="K259" s="21"/>
      <c r="L259" s="21"/>
      <c r="M259" s="21"/>
      <c r="N259" s="21"/>
      <c r="O259" s="21"/>
    </row>
    <row r="260" spans="2:15" ht="14.15" customHeight="1" x14ac:dyDescent="0.35">
      <c r="B260" s="100">
        <f t="shared" si="3"/>
        <v>257</v>
      </c>
      <c r="C260" s="104" t="s">
        <v>260</v>
      </c>
      <c r="D260" s="102">
        <v>7910153</v>
      </c>
      <c r="E260" s="102"/>
      <c r="F260" s="103">
        <v>31484</v>
      </c>
      <c r="G260" s="99"/>
      <c r="H260" s="99"/>
      <c r="I260" s="99"/>
      <c r="J260" s="20"/>
      <c r="K260" s="21"/>
      <c r="L260" s="21"/>
      <c r="M260" s="21"/>
      <c r="N260" s="21"/>
      <c r="O260" s="21"/>
    </row>
    <row r="261" spans="2:15" ht="14.15" customHeight="1" x14ac:dyDescent="0.35">
      <c r="B261" s="100">
        <f t="shared" ref="B261:B324" si="4">(B260+1)</f>
        <v>258</v>
      </c>
      <c r="C261" s="104" t="s">
        <v>261</v>
      </c>
      <c r="D261" s="102">
        <v>7910329</v>
      </c>
      <c r="E261" s="102"/>
      <c r="F261" s="103">
        <v>31488</v>
      </c>
      <c r="G261" s="99"/>
      <c r="H261" s="99"/>
      <c r="I261" s="99"/>
      <c r="J261" s="20"/>
      <c r="K261" s="21"/>
      <c r="L261" s="21"/>
      <c r="M261" s="21"/>
      <c r="N261" s="21"/>
      <c r="O261" s="21"/>
    </row>
    <row r="262" spans="2:15" ht="14.15" customHeight="1" x14ac:dyDescent="0.35">
      <c r="B262" s="100">
        <f t="shared" si="4"/>
        <v>259</v>
      </c>
      <c r="C262" s="104" t="s">
        <v>262</v>
      </c>
      <c r="D262" s="102">
        <v>7910293</v>
      </c>
      <c r="E262" s="102"/>
      <c r="F262" s="103">
        <v>31491</v>
      </c>
      <c r="G262" s="99"/>
      <c r="H262" s="99"/>
      <c r="I262" s="99"/>
      <c r="J262" s="20"/>
      <c r="K262" s="21"/>
      <c r="L262" s="21"/>
      <c r="M262" s="21"/>
      <c r="N262" s="21"/>
      <c r="O262" s="21"/>
    </row>
    <row r="263" spans="2:15" ht="14.15" customHeight="1" x14ac:dyDescent="0.35">
      <c r="B263" s="100">
        <f t="shared" si="4"/>
        <v>260</v>
      </c>
      <c r="C263" s="104" t="s">
        <v>263</v>
      </c>
      <c r="D263" s="102">
        <v>779524</v>
      </c>
      <c r="E263" s="102"/>
      <c r="F263" s="103">
        <v>31492</v>
      </c>
      <c r="G263" s="99"/>
      <c r="H263" s="99"/>
      <c r="I263" s="99"/>
      <c r="J263" s="20"/>
      <c r="K263" s="21"/>
      <c r="L263" s="21"/>
      <c r="M263" s="21"/>
      <c r="N263" s="21"/>
      <c r="O263" s="21"/>
    </row>
    <row r="264" spans="2:15" ht="14.15" customHeight="1" x14ac:dyDescent="0.35">
      <c r="B264" s="100">
        <f t="shared" si="4"/>
        <v>261</v>
      </c>
      <c r="C264" s="104" t="s">
        <v>264</v>
      </c>
      <c r="D264" s="102">
        <v>789694</v>
      </c>
      <c r="E264" s="102"/>
      <c r="F264" s="103">
        <v>31500</v>
      </c>
      <c r="G264" s="99"/>
      <c r="H264" s="99"/>
      <c r="I264" s="99"/>
      <c r="J264" s="20"/>
      <c r="K264" s="21"/>
      <c r="L264" s="21"/>
      <c r="M264" s="21"/>
      <c r="N264" s="21"/>
      <c r="O264" s="21"/>
    </row>
    <row r="265" spans="2:15" ht="14.15" customHeight="1" x14ac:dyDescent="0.35">
      <c r="B265" s="100">
        <f t="shared" si="4"/>
        <v>262</v>
      </c>
      <c r="C265" s="104" t="s">
        <v>265</v>
      </c>
      <c r="D265" s="102">
        <v>7910174</v>
      </c>
      <c r="E265" s="102"/>
      <c r="F265" s="103">
        <v>31517</v>
      </c>
      <c r="G265" s="99"/>
      <c r="H265" s="99"/>
      <c r="I265" s="99"/>
      <c r="J265" s="20"/>
      <c r="K265" s="21"/>
      <c r="L265" s="21"/>
      <c r="M265" s="21"/>
      <c r="N265" s="21"/>
      <c r="O265" s="21"/>
    </row>
    <row r="266" spans="2:15" ht="14.15" customHeight="1" x14ac:dyDescent="0.35">
      <c r="B266" s="100">
        <f t="shared" si="4"/>
        <v>263</v>
      </c>
      <c r="C266" s="104" t="s">
        <v>266</v>
      </c>
      <c r="D266" s="102">
        <v>769037</v>
      </c>
      <c r="E266" s="102"/>
      <c r="F266" s="103">
        <v>31519</v>
      </c>
      <c r="G266" s="99"/>
      <c r="H266" s="99"/>
      <c r="I266" s="99"/>
      <c r="J266" s="20"/>
      <c r="K266" s="21"/>
      <c r="L266" s="21"/>
      <c r="M266" s="21"/>
      <c r="N266" s="21"/>
      <c r="O266" s="21"/>
    </row>
    <row r="267" spans="2:15" ht="14.15" customHeight="1" x14ac:dyDescent="0.35">
      <c r="B267" s="100">
        <f t="shared" si="4"/>
        <v>264</v>
      </c>
      <c r="C267" s="104" t="s">
        <v>267</v>
      </c>
      <c r="D267" s="102">
        <v>8011059</v>
      </c>
      <c r="E267" s="102"/>
      <c r="F267" s="103">
        <v>31523</v>
      </c>
      <c r="G267" s="99"/>
      <c r="H267" s="99"/>
      <c r="I267" s="99"/>
      <c r="J267" s="20"/>
      <c r="K267" s="21"/>
      <c r="L267" s="21"/>
      <c r="M267" s="21"/>
      <c r="N267" s="21"/>
      <c r="O267" s="21"/>
    </row>
    <row r="268" spans="2:15" ht="14.15" customHeight="1" x14ac:dyDescent="0.35">
      <c r="B268" s="100">
        <f t="shared" si="4"/>
        <v>265</v>
      </c>
      <c r="C268" s="104" t="s">
        <v>268</v>
      </c>
      <c r="D268" s="102">
        <v>8010767</v>
      </c>
      <c r="E268" s="102"/>
      <c r="F268" s="103">
        <v>31537</v>
      </c>
      <c r="G268" s="99"/>
      <c r="H268" s="99"/>
      <c r="I268" s="99"/>
      <c r="J268" s="20"/>
      <c r="K268" s="21"/>
      <c r="L268" s="21"/>
      <c r="M268" s="21"/>
      <c r="N268" s="21"/>
      <c r="O268" s="21"/>
    </row>
    <row r="269" spans="2:15" ht="14.15" customHeight="1" x14ac:dyDescent="0.35">
      <c r="B269" s="100">
        <f t="shared" si="4"/>
        <v>266</v>
      </c>
      <c r="C269" s="104" t="s">
        <v>269</v>
      </c>
      <c r="D269" s="102">
        <v>7910333</v>
      </c>
      <c r="E269" s="102"/>
      <c r="F269" s="103">
        <v>31544</v>
      </c>
      <c r="G269" s="99"/>
      <c r="H269" s="99"/>
      <c r="I269" s="99"/>
      <c r="J269" s="20"/>
      <c r="K269" s="21"/>
      <c r="L269" s="21"/>
      <c r="M269" s="21"/>
      <c r="N269" s="21"/>
      <c r="O269" s="21"/>
    </row>
    <row r="270" spans="2:15" ht="14.15" customHeight="1" x14ac:dyDescent="0.35">
      <c r="B270" s="100">
        <f t="shared" si="4"/>
        <v>267</v>
      </c>
      <c r="C270" s="104" t="s">
        <v>270</v>
      </c>
      <c r="D270" s="102">
        <v>748264</v>
      </c>
      <c r="E270" s="102"/>
      <c r="F270" s="103">
        <v>31547</v>
      </c>
      <c r="G270" s="99"/>
      <c r="H270" s="99"/>
      <c r="I270" s="99"/>
      <c r="J270" s="20"/>
      <c r="K270" s="21"/>
      <c r="L270" s="21"/>
      <c r="M270" s="21"/>
      <c r="N270" s="21"/>
      <c r="O270" s="21"/>
    </row>
    <row r="271" spans="2:15" ht="14.15" customHeight="1" x14ac:dyDescent="0.35">
      <c r="B271" s="100">
        <f t="shared" si="4"/>
        <v>268</v>
      </c>
      <c r="C271" s="104" t="s">
        <v>271</v>
      </c>
      <c r="D271" s="102">
        <v>758885</v>
      </c>
      <c r="E271" s="102"/>
      <c r="F271" s="103">
        <v>31566</v>
      </c>
      <c r="G271" s="99"/>
      <c r="H271" s="99"/>
      <c r="I271" s="99"/>
      <c r="J271" s="20"/>
      <c r="K271" s="21"/>
      <c r="L271" s="21"/>
      <c r="M271" s="21"/>
      <c r="N271" s="21"/>
      <c r="O271" s="21"/>
    </row>
    <row r="272" spans="2:15" ht="14.15" customHeight="1" x14ac:dyDescent="0.35">
      <c r="B272" s="100">
        <f t="shared" si="4"/>
        <v>269</v>
      </c>
      <c r="C272" s="104" t="s">
        <v>272</v>
      </c>
      <c r="D272" s="102">
        <v>769236</v>
      </c>
      <c r="E272" s="102"/>
      <c r="F272" s="103">
        <v>31612</v>
      </c>
      <c r="G272" s="99"/>
      <c r="H272" s="99"/>
      <c r="I272" s="99"/>
      <c r="J272" s="20"/>
      <c r="K272" s="21"/>
      <c r="L272" s="21"/>
      <c r="M272" s="21"/>
      <c r="N272" s="21"/>
      <c r="O272" s="21"/>
    </row>
    <row r="273" spans="2:15" ht="14.15" customHeight="1" x14ac:dyDescent="0.35">
      <c r="B273" s="100">
        <f t="shared" si="4"/>
        <v>270</v>
      </c>
      <c r="C273" s="104" t="s">
        <v>273</v>
      </c>
      <c r="D273" s="102">
        <v>8010922</v>
      </c>
      <c r="E273" s="102"/>
      <c r="F273" s="103">
        <v>31615</v>
      </c>
      <c r="G273" s="99"/>
      <c r="H273" s="99"/>
      <c r="I273" s="99"/>
      <c r="J273" s="20"/>
      <c r="K273" s="21"/>
      <c r="L273" s="21"/>
      <c r="M273" s="21"/>
      <c r="N273" s="21"/>
      <c r="O273" s="21"/>
    </row>
    <row r="274" spans="2:15" ht="14.15" customHeight="1" x14ac:dyDescent="0.35">
      <c r="B274" s="100">
        <f t="shared" si="4"/>
        <v>271</v>
      </c>
      <c r="C274" s="104" t="s">
        <v>274</v>
      </c>
      <c r="D274" s="102">
        <v>7910283</v>
      </c>
      <c r="E274" s="102"/>
      <c r="F274" s="103">
        <v>31628</v>
      </c>
      <c r="G274" s="99"/>
      <c r="H274" s="99"/>
      <c r="I274" s="99"/>
      <c r="J274" s="20"/>
      <c r="K274" s="21"/>
      <c r="L274" s="21"/>
      <c r="M274" s="21"/>
      <c r="N274" s="21"/>
      <c r="O274" s="21"/>
    </row>
    <row r="275" spans="2:15" ht="14.15" customHeight="1" x14ac:dyDescent="0.35">
      <c r="B275" s="100">
        <f t="shared" si="4"/>
        <v>272</v>
      </c>
      <c r="C275" s="104" t="s">
        <v>50</v>
      </c>
      <c r="D275" s="102">
        <v>789742</v>
      </c>
      <c r="E275" s="102"/>
      <c r="F275" s="103">
        <v>31656</v>
      </c>
      <c r="G275" s="99"/>
      <c r="H275" s="99"/>
      <c r="I275" s="99"/>
      <c r="J275" s="20"/>
      <c r="K275" s="21"/>
      <c r="L275" s="21"/>
      <c r="M275" s="21"/>
      <c r="N275" s="21"/>
      <c r="O275" s="21"/>
    </row>
    <row r="276" spans="2:15" ht="14.15" customHeight="1" x14ac:dyDescent="0.35">
      <c r="B276" s="100">
        <f t="shared" si="4"/>
        <v>273</v>
      </c>
      <c r="C276" s="104" t="s">
        <v>275</v>
      </c>
      <c r="D276" s="102">
        <v>769228</v>
      </c>
      <c r="E276" s="102"/>
      <c r="F276" s="103">
        <v>31680</v>
      </c>
      <c r="G276" s="99"/>
      <c r="H276" s="99"/>
      <c r="I276" s="99"/>
      <c r="J276" s="20"/>
      <c r="K276" s="21"/>
      <c r="L276" s="21"/>
      <c r="M276" s="21"/>
      <c r="N276" s="21"/>
      <c r="O276" s="21"/>
    </row>
    <row r="277" spans="2:15" ht="14.15" customHeight="1" x14ac:dyDescent="0.35">
      <c r="B277" s="100">
        <f t="shared" si="4"/>
        <v>274</v>
      </c>
      <c r="C277" s="104" t="s">
        <v>276</v>
      </c>
      <c r="D277" s="102">
        <v>7811404</v>
      </c>
      <c r="E277" s="102"/>
      <c r="F277" s="103">
        <v>31684</v>
      </c>
      <c r="G277" s="99"/>
      <c r="H277" s="99"/>
      <c r="I277" s="99"/>
      <c r="J277" s="20"/>
      <c r="K277" s="21"/>
      <c r="L277" s="21"/>
      <c r="M277" s="21"/>
      <c r="N277" s="21"/>
      <c r="O277" s="21"/>
    </row>
    <row r="278" spans="2:15" ht="14.15" customHeight="1" x14ac:dyDescent="0.35">
      <c r="B278" s="100">
        <f t="shared" si="4"/>
        <v>275</v>
      </c>
      <c r="C278" s="104" t="s">
        <v>277</v>
      </c>
      <c r="D278" s="102">
        <v>7810017</v>
      </c>
      <c r="E278" s="102"/>
      <c r="F278" s="103">
        <v>31698</v>
      </c>
      <c r="G278" s="99"/>
      <c r="H278" s="99"/>
      <c r="I278" s="99"/>
      <c r="J278" s="20"/>
      <c r="K278" s="21"/>
      <c r="L278" s="21"/>
      <c r="M278" s="21"/>
      <c r="N278" s="21"/>
      <c r="O278" s="21"/>
    </row>
    <row r="279" spans="2:15" ht="14.15" customHeight="1" x14ac:dyDescent="0.35">
      <c r="B279" s="100">
        <f t="shared" si="4"/>
        <v>276</v>
      </c>
      <c r="C279" s="104" t="s">
        <v>278</v>
      </c>
      <c r="D279" s="102">
        <v>7910286</v>
      </c>
      <c r="E279" s="102"/>
      <c r="F279" s="103">
        <v>31708</v>
      </c>
      <c r="G279" s="99"/>
      <c r="H279" s="99"/>
      <c r="I279" s="99"/>
      <c r="J279" s="20"/>
      <c r="K279" s="21"/>
      <c r="L279" s="21"/>
      <c r="M279" s="21"/>
      <c r="N279" s="21"/>
      <c r="O279" s="21"/>
    </row>
    <row r="280" spans="2:15" ht="14.15" customHeight="1" x14ac:dyDescent="0.35">
      <c r="B280" s="100">
        <f t="shared" si="4"/>
        <v>277</v>
      </c>
      <c r="C280" s="104" t="s">
        <v>279</v>
      </c>
      <c r="D280" s="102">
        <v>8111482</v>
      </c>
      <c r="E280" s="102"/>
      <c r="F280" s="103">
        <v>31715</v>
      </c>
      <c r="G280" s="99"/>
      <c r="H280" s="99"/>
      <c r="I280" s="99"/>
      <c r="J280" s="20"/>
      <c r="K280" s="21"/>
      <c r="L280" s="21"/>
      <c r="M280" s="21"/>
      <c r="N280" s="21"/>
      <c r="O280" s="21"/>
    </row>
    <row r="281" spans="2:15" ht="14.15" customHeight="1" x14ac:dyDescent="0.35">
      <c r="B281" s="100">
        <f t="shared" si="4"/>
        <v>278</v>
      </c>
      <c r="C281" s="104" t="s">
        <v>280</v>
      </c>
      <c r="D281" s="102">
        <v>696560</v>
      </c>
      <c r="E281" s="102"/>
      <c r="F281" s="103">
        <v>31719</v>
      </c>
      <c r="G281" s="99"/>
      <c r="H281" s="99"/>
      <c r="I281" s="99"/>
      <c r="J281" s="20"/>
      <c r="K281" s="21"/>
      <c r="L281" s="21"/>
      <c r="M281" s="21"/>
      <c r="N281" s="21"/>
      <c r="O281" s="21"/>
    </row>
    <row r="282" spans="2:15" ht="14.15" customHeight="1" x14ac:dyDescent="0.35">
      <c r="B282" s="100">
        <f t="shared" si="4"/>
        <v>279</v>
      </c>
      <c r="C282" s="104" t="s">
        <v>281</v>
      </c>
      <c r="D282" s="102">
        <v>6811632</v>
      </c>
      <c r="E282" s="102"/>
      <c r="F282" s="103">
        <v>31719</v>
      </c>
      <c r="G282" s="99"/>
      <c r="H282" s="99"/>
      <c r="I282" s="99"/>
      <c r="J282" s="20"/>
      <c r="K282" s="21"/>
      <c r="L282" s="21"/>
      <c r="M282" s="21"/>
      <c r="N282" s="21"/>
      <c r="O282" s="21"/>
    </row>
    <row r="283" spans="2:15" ht="14.15" customHeight="1" x14ac:dyDescent="0.35">
      <c r="B283" s="100">
        <f t="shared" si="4"/>
        <v>280</v>
      </c>
      <c r="C283" s="104" t="s">
        <v>118</v>
      </c>
      <c r="D283" s="102">
        <v>8111426</v>
      </c>
      <c r="E283" s="102"/>
      <c r="F283" s="103">
        <v>31719</v>
      </c>
      <c r="G283" s="99"/>
      <c r="H283" s="99"/>
      <c r="I283" s="99"/>
      <c r="J283" s="20"/>
      <c r="K283" s="21"/>
      <c r="L283" s="21"/>
      <c r="M283" s="21"/>
      <c r="N283" s="21"/>
      <c r="O283" s="21"/>
    </row>
    <row r="284" spans="2:15" ht="14.15" customHeight="1" x14ac:dyDescent="0.35">
      <c r="B284" s="100">
        <f t="shared" si="4"/>
        <v>281</v>
      </c>
      <c r="C284" s="104" t="s">
        <v>282</v>
      </c>
      <c r="D284" s="102">
        <v>7910431</v>
      </c>
      <c r="E284" s="102"/>
      <c r="F284" s="103">
        <v>31720</v>
      </c>
      <c r="G284" s="99"/>
      <c r="H284" s="99"/>
      <c r="I284" s="99"/>
      <c r="J284" s="20"/>
      <c r="K284" s="21"/>
      <c r="L284" s="21"/>
      <c r="M284" s="21"/>
      <c r="N284" s="21"/>
      <c r="O284" s="21"/>
    </row>
    <row r="285" spans="2:15" ht="14.15" customHeight="1" x14ac:dyDescent="0.35">
      <c r="B285" s="100">
        <f t="shared" si="4"/>
        <v>282</v>
      </c>
      <c r="C285" s="104" t="s">
        <v>283</v>
      </c>
      <c r="D285" s="102">
        <v>706829</v>
      </c>
      <c r="E285" s="102"/>
      <c r="F285" s="103">
        <v>31729</v>
      </c>
      <c r="G285" s="99"/>
      <c r="H285" s="99"/>
      <c r="I285" s="99"/>
      <c r="J285" s="20"/>
      <c r="K285" s="21"/>
      <c r="L285" s="21"/>
      <c r="M285" s="21"/>
      <c r="N285" s="21"/>
      <c r="O285" s="21"/>
    </row>
    <row r="286" spans="2:15" ht="14.15" customHeight="1" x14ac:dyDescent="0.35">
      <c r="B286" s="100">
        <f t="shared" si="4"/>
        <v>283</v>
      </c>
      <c r="C286" s="104" t="s">
        <v>284</v>
      </c>
      <c r="D286" s="102">
        <v>8010681</v>
      </c>
      <c r="E286" s="102"/>
      <c r="F286" s="103">
        <v>31746</v>
      </c>
      <c r="G286" s="99"/>
      <c r="H286" s="99"/>
      <c r="I286" s="99"/>
      <c r="J286" s="20"/>
      <c r="K286" s="21"/>
      <c r="L286" s="21"/>
      <c r="M286" s="21"/>
      <c r="N286" s="21"/>
      <c r="O286" s="21"/>
    </row>
    <row r="287" spans="2:15" ht="14.15" customHeight="1" x14ac:dyDescent="0.35">
      <c r="B287" s="100">
        <f t="shared" si="4"/>
        <v>284</v>
      </c>
      <c r="C287" s="104" t="s">
        <v>285</v>
      </c>
      <c r="D287" s="102">
        <v>7910241</v>
      </c>
      <c r="E287" s="102"/>
      <c r="F287" s="103">
        <v>31769</v>
      </c>
      <c r="G287" s="99"/>
      <c r="H287" s="99"/>
      <c r="I287" s="99"/>
      <c r="J287" s="20"/>
      <c r="K287" s="21"/>
      <c r="L287" s="21"/>
      <c r="M287" s="21"/>
      <c r="N287" s="21"/>
      <c r="O287" s="21"/>
    </row>
    <row r="288" spans="2:15" ht="14.15" customHeight="1" x14ac:dyDescent="0.35">
      <c r="B288" s="100">
        <f t="shared" si="4"/>
        <v>285</v>
      </c>
      <c r="C288" s="104" t="s">
        <v>286</v>
      </c>
      <c r="D288" s="102">
        <v>717237</v>
      </c>
      <c r="E288" s="102"/>
      <c r="F288" s="103">
        <v>31798</v>
      </c>
      <c r="G288" s="99"/>
      <c r="H288" s="99"/>
      <c r="I288" s="99"/>
      <c r="J288" s="20"/>
      <c r="K288" s="21"/>
      <c r="L288" s="21"/>
      <c r="M288" s="21"/>
      <c r="N288" s="21"/>
      <c r="O288" s="21"/>
    </row>
    <row r="289" spans="2:18" ht="14.15" customHeight="1" x14ac:dyDescent="0.35">
      <c r="B289" s="100">
        <f t="shared" si="4"/>
        <v>286</v>
      </c>
      <c r="C289" s="104" t="s">
        <v>287</v>
      </c>
      <c r="D289" s="102">
        <v>749704</v>
      </c>
      <c r="E289" s="102"/>
      <c r="F289" s="103">
        <v>31803</v>
      </c>
      <c r="G289" s="99"/>
      <c r="H289" s="99"/>
      <c r="I289" s="99"/>
      <c r="J289" s="20"/>
      <c r="K289" s="21"/>
      <c r="L289" s="21"/>
      <c r="M289" s="21"/>
      <c r="N289" s="21"/>
      <c r="O289" s="21"/>
    </row>
    <row r="290" spans="2:18" ht="14.15" customHeight="1" x14ac:dyDescent="0.35">
      <c r="B290" s="100">
        <f t="shared" si="4"/>
        <v>287</v>
      </c>
      <c r="C290" s="104" t="s">
        <v>288</v>
      </c>
      <c r="D290" s="102">
        <v>7910455</v>
      </c>
      <c r="E290" s="102"/>
      <c r="F290" s="103">
        <v>31803</v>
      </c>
      <c r="G290" s="99"/>
      <c r="H290" s="99"/>
      <c r="I290" s="99"/>
      <c r="J290" s="20"/>
      <c r="K290" s="21"/>
      <c r="L290" s="21"/>
      <c r="M290" s="21"/>
      <c r="N290" s="21"/>
      <c r="O290" s="21"/>
    </row>
    <row r="291" spans="2:18" ht="14.15" customHeight="1" x14ac:dyDescent="0.35">
      <c r="B291" s="100">
        <f t="shared" si="4"/>
        <v>288</v>
      </c>
      <c r="C291" s="104" t="s">
        <v>289</v>
      </c>
      <c r="D291" s="102">
        <v>8211487</v>
      </c>
      <c r="E291" s="102"/>
      <c r="F291" s="103">
        <v>31809</v>
      </c>
      <c r="G291" s="99"/>
      <c r="H291" s="99"/>
      <c r="I291" s="99"/>
      <c r="J291" s="20"/>
      <c r="K291" s="21"/>
      <c r="L291" s="21"/>
      <c r="M291" s="21"/>
      <c r="N291" s="21"/>
      <c r="O291" s="21"/>
    </row>
    <row r="292" spans="2:18" ht="14.15" customHeight="1" x14ac:dyDescent="0.35">
      <c r="B292" s="100">
        <f t="shared" si="4"/>
        <v>289</v>
      </c>
      <c r="C292" s="104" t="s">
        <v>290</v>
      </c>
      <c r="D292" s="102">
        <v>7810036</v>
      </c>
      <c r="E292" s="102"/>
      <c r="F292" s="103">
        <v>31811</v>
      </c>
      <c r="G292" s="99"/>
      <c r="H292" s="99"/>
      <c r="I292" s="99"/>
      <c r="J292" s="20"/>
      <c r="K292" s="21"/>
      <c r="L292" s="21"/>
      <c r="M292" s="21"/>
      <c r="N292" s="21"/>
      <c r="O292" s="21"/>
    </row>
    <row r="293" spans="2:18" ht="14.15" customHeight="1" x14ac:dyDescent="0.35">
      <c r="B293" s="100">
        <f t="shared" si="4"/>
        <v>290</v>
      </c>
      <c r="C293" s="104" t="s">
        <v>291</v>
      </c>
      <c r="D293" s="102">
        <v>8010990</v>
      </c>
      <c r="E293" s="102"/>
      <c r="F293" s="103">
        <v>31815</v>
      </c>
      <c r="G293" s="99"/>
      <c r="H293" s="99"/>
      <c r="I293" s="99"/>
      <c r="J293" s="20"/>
      <c r="K293" s="21"/>
      <c r="L293" s="21"/>
      <c r="M293" s="21"/>
      <c r="N293" s="21"/>
      <c r="O293" s="21"/>
    </row>
    <row r="294" spans="2:18" ht="14.15" customHeight="1" x14ac:dyDescent="0.35">
      <c r="B294" s="100">
        <f t="shared" si="4"/>
        <v>291</v>
      </c>
      <c r="C294" s="104" t="s">
        <v>292</v>
      </c>
      <c r="D294" s="102">
        <v>8011452</v>
      </c>
      <c r="E294" s="102"/>
      <c r="F294" s="103">
        <v>31828</v>
      </c>
      <c r="G294" s="99"/>
      <c r="H294" s="99"/>
      <c r="I294" s="99"/>
      <c r="J294" s="20"/>
      <c r="K294" s="21"/>
      <c r="L294" s="21"/>
      <c r="M294" s="21"/>
      <c r="N294" s="21"/>
      <c r="O294" s="21"/>
    </row>
    <row r="295" spans="2:18" ht="14.15" customHeight="1" x14ac:dyDescent="0.35">
      <c r="B295" s="100">
        <f t="shared" si="4"/>
        <v>292</v>
      </c>
      <c r="C295" s="104" t="s">
        <v>293</v>
      </c>
      <c r="D295" s="102">
        <v>8010981</v>
      </c>
      <c r="E295" s="102"/>
      <c r="F295" s="103">
        <v>31831</v>
      </c>
      <c r="G295" s="99"/>
      <c r="H295" s="99"/>
      <c r="I295" s="99"/>
      <c r="J295" s="20"/>
      <c r="K295" s="21"/>
      <c r="L295" s="21"/>
      <c r="M295" s="21"/>
      <c r="N295" s="21"/>
      <c r="O295" s="21"/>
    </row>
    <row r="296" spans="2:18" ht="14.15" customHeight="1" x14ac:dyDescent="0.35">
      <c r="B296" s="100">
        <f t="shared" si="4"/>
        <v>293</v>
      </c>
      <c r="C296" s="104" t="s">
        <v>294</v>
      </c>
      <c r="D296" s="102">
        <v>8010858</v>
      </c>
      <c r="E296" s="102"/>
      <c r="F296" s="103">
        <v>31833</v>
      </c>
      <c r="G296" s="99"/>
      <c r="H296" s="99"/>
      <c r="I296" s="99"/>
      <c r="J296" s="20"/>
      <c r="K296" s="21"/>
      <c r="L296" s="21"/>
      <c r="M296" s="21"/>
      <c r="N296" s="21"/>
      <c r="O296" s="21"/>
    </row>
    <row r="297" spans="2:18" ht="14.15" customHeight="1" x14ac:dyDescent="0.35">
      <c r="B297" s="100">
        <f t="shared" si="4"/>
        <v>294</v>
      </c>
      <c r="C297" s="104" t="s">
        <v>295</v>
      </c>
      <c r="D297" s="102">
        <v>8010835</v>
      </c>
      <c r="E297" s="102"/>
      <c r="F297" s="103">
        <v>31836</v>
      </c>
      <c r="G297" s="99"/>
      <c r="H297" s="99"/>
      <c r="I297" s="99"/>
      <c r="J297" s="20"/>
      <c r="K297" s="21"/>
      <c r="L297" s="21"/>
      <c r="M297" s="21"/>
      <c r="N297" s="21"/>
      <c r="O297" s="21"/>
    </row>
    <row r="298" spans="2:18" ht="14.15" customHeight="1" x14ac:dyDescent="0.35">
      <c r="B298" s="100">
        <f t="shared" si="4"/>
        <v>295</v>
      </c>
      <c r="C298" s="106" t="s">
        <v>296</v>
      </c>
      <c r="D298" s="107">
        <v>8111419</v>
      </c>
      <c r="E298" s="107"/>
      <c r="F298" s="108">
        <v>31843</v>
      </c>
      <c r="G298" s="105" t="s">
        <v>297</v>
      </c>
      <c r="H298" s="99"/>
      <c r="I298" s="99" t="s">
        <v>297</v>
      </c>
      <c r="J298" s="20"/>
      <c r="K298" s="21"/>
      <c r="L298" s="21"/>
      <c r="M298" s="21"/>
      <c r="N298" s="21"/>
      <c r="O298" s="21"/>
      <c r="R298" t="s">
        <v>297</v>
      </c>
    </row>
    <row r="299" spans="2:18" ht="14.15" customHeight="1" x14ac:dyDescent="0.35">
      <c r="B299" s="100">
        <f t="shared" si="4"/>
        <v>296</v>
      </c>
      <c r="C299" s="104" t="s">
        <v>298</v>
      </c>
      <c r="D299" s="102">
        <v>779811</v>
      </c>
      <c r="E299" s="102"/>
      <c r="F299" s="103">
        <v>31882</v>
      </c>
      <c r="G299" s="99"/>
      <c r="H299" s="99"/>
      <c r="I299" s="99"/>
      <c r="J299" s="20"/>
      <c r="K299" s="21"/>
      <c r="L299" s="21"/>
      <c r="M299" s="21"/>
      <c r="N299" s="21"/>
      <c r="O299" s="21"/>
    </row>
    <row r="300" spans="2:18" ht="14.15" customHeight="1" x14ac:dyDescent="0.35">
      <c r="B300" s="100">
        <f t="shared" si="4"/>
        <v>297</v>
      </c>
      <c r="C300" s="104" t="s">
        <v>299</v>
      </c>
      <c r="D300" s="102">
        <v>8011047</v>
      </c>
      <c r="E300" s="102"/>
      <c r="F300" s="103">
        <v>31885</v>
      </c>
      <c r="G300" s="99"/>
      <c r="H300" s="99"/>
      <c r="I300" s="99"/>
      <c r="J300" s="20"/>
      <c r="K300" s="21"/>
      <c r="L300" s="21"/>
      <c r="M300" s="21"/>
      <c r="N300" s="21"/>
      <c r="O300" s="21"/>
    </row>
    <row r="301" spans="2:18" ht="14.15" customHeight="1" x14ac:dyDescent="0.35">
      <c r="B301" s="100">
        <f t="shared" si="4"/>
        <v>298</v>
      </c>
      <c r="C301" s="104" t="s">
        <v>300</v>
      </c>
      <c r="D301" s="102">
        <v>7910471</v>
      </c>
      <c r="E301" s="102"/>
      <c r="F301" s="103">
        <v>31894</v>
      </c>
      <c r="G301" s="99"/>
      <c r="H301" s="99"/>
      <c r="I301" s="99"/>
      <c r="J301" s="20"/>
      <c r="K301" s="21"/>
      <c r="L301" s="21"/>
      <c r="M301" s="21"/>
      <c r="N301" s="21"/>
      <c r="O301" s="21"/>
    </row>
    <row r="302" spans="2:18" ht="14.15" customHeight="1" x14ac:dyDescent="0.35">
      <c r="B302" s="100">
        <f t="shared" si="4"/>
        <v>299</v>
      </c>
      <c r="C302" s="104" t="s">
        <v>301</v>
      </c>
      <c r="D302" s="102">
        <v>779527</v>
      </c>
      <c r="E302" s="102"/>
      <c r="F302" s="103">
        <v>31901</v>
      </c>
      <c r="G302" s="99"/>
      <c r="H302" s="99"/>
      <c r="I302" s="99"/>
      <c r="J302" s="20"/>
      <c r="K302" s="21"/>
      <c r="L302" s="21"/>
      <c r="M302" s="21"/>
      <c r="N302" s="21"/>
      <c r="O302" s="21"/>
    </row>
    <row r="303" spans="2:18" ht="14.15" customHeight="1" x14ac:dyDescent="0.35">
      <c r="B303" s="100">
        <f t="shared" si="4"/>
        <v>300</v>
      </c>
      <c r="C303" s="104" t="s">
        <v>302</v>
      </c>
      <c r="D303" s="102">
        <v>8111268</v>
      </c>
      <c r="E303" s="102"/>
      <c r="F303" s="103">
        <v>31901</v>
      </c>
      <c r="G303" s="99"/>
      <c r="H303" s="99"/>
      <c r="I303" s="99"/>
      <c r="J303" s="20"/>
      <c r="K303" s="21"/>
      <c r="L303" s="21"/>
      <c r="M303" s="21"/>
      <c r="N303" s="21"/>
      <c r="O303" s="21"/>
    </row>
    <row r="304" spans="2:18" ht="14.15" customHeight="1" x14ac:dyDescent="0.35">
      <c r="B304" s="100">
        <f t="shared" si="4"/>
        <v>301</v>
      </c>
      <c r="C304" s="104" t="s">
        <v>303</v>
      </c>
      <c r="D304" s="102">
        <v>7910396</v>
      </c>
      <c r="E304" s="102"/>
      <c r="F304" s="103">
        <v>31922</v>
      </c>
      <c r="G304" s="99"/>
      <c r="H304" s="99"/>
      <c r="I304" s="99"/>
      <c r="J304" s="20"/>
      <c r="K304" s="21"/>
      <c r="L304" s="21"/>
      <c r="M304" s="21"/>
      <c r="N304" s="21"/>
      <c r="O304" s="21"/>
    </row>
    <row r="305" spans="2:15" ht="14.15" customHeight="1" x14ac:dyDescent="0.35">
      <c r="B305" s="100">
        <f t="shared" si="4"/>
        <v>302</v>
      </c>
      <c r="C305" s="104" t="s">
        <v>304</v>
      </c>
      <c r="D305" s="102">
        <v>768928</v>
      </c>
      <c r="E305" s="102"/>
      <c r="F305" s="103">
        <v>31939</v>
      </c>
      <c r="G305" s="99"/>
      <c r="H305" s="99"/>
      <c r="I305" s="99"/>
      <c r="J305" s="20"/>
      <c r="K305" s="21"/>
      <c r="L305" s="21"/>
      <c r="M305" s="21"/>
      <c r="N305" s="21"/>
      <c r="O305" s="21"/>
    </row>
    <row r="306" spans="2:15" ht="14.15" customHeight="1" x14ac:dyDescent="0.35">
      <c r="B306" s="100">
        <f t="shared" si="4"/>
        <v>303</v>
      </c>
      <c r="C306" s="104" t="s">
        <v>305</v>
      </c>
      <c r="D306" s="102">
        <v>727701</v>
      </c>
      <c r="E306" s="102"/>
      <c r="F306" s="103">
        <v>31948</v>
      </c>
      <c r="G306" s="99"/>
      <c r="H306" s="99"/>
      <c r="I306" s="99"/>
      <c r="J306" s="20"/>
      <c r="K306" s="21"/>
      <c r="L306" s="21"/>
      <c r="M306" s="21"/>
      <c r="N306" s="21"/>
      <c r="O306" s="21"/>
    </row>
    <row r="307" spans="2:15" ht="14.15" customHeight="1" x14ac:dyDescent="0.35">
      <c r="B307" s="100">
        <f t="shared" si="4"/>
        <v>304</v>
      </c>
      <c r="C307" s="104" t="s">
        <v>306</v>
      </c>
      <c r="D307" s="102">
        <v>769269</v>
      </c>
      <c r="E307" s="102"/>
      <c r="F307" s="103">
        <v>31948</v>
      </c>
      <c r="G307" s="99"/>
      <c r="H307" s="99"/>
      <c r="I307" s="99"/>
      <c r="J307" s="20"/>
      <c r="K307" s="21"/>
      <c r="L307" s="21"/>
      <c r="M307" s="21"/>
      <c r="N307" s="21"/>
      <c r="O307" s="21"/>
    </row>
    <row r="308" spans="2:15" ht="14.15" customHeight="1" x14ac:dyDescent="0.35">
      <c r="B308" s="100">
        <f t="shared" si="4"/>
        <v>305</v>
      </c>
      <c r="C308" s="104" t="s">
        <v>307</v>
      </c>
      <c r="D308" s="102">
        <v>7910416</v>
      </c>
      <c r="E308" s="102"/>
      <c r="F308" s="103">
        <v>31948</v>
      </c>
      <c r="G308" s="99"/>
      <c r="H308" s="99"/>
      <c r="I308" s="99"/>
      <c r="J308" s="20"/>
      <c r="K308" s="21"/>
      <c r="L308" s="21"/>
      <c r="M308" s="21"/>
      <c r="N308" s="21"/>
      <c r="O308" s="21"/>
    </row>
    <row r="309" spans="2:15" ht="14.15" customHeight="1" x14ac:dyDescent="0.35">
      <c r="B309" s="100">
        <f t="shared" si="4"/>
        <v>306</v>
      </c>
      <c r="C309" s="104" t="s">
        <v>308</v>
      </c>
      <c r="D309" s="102">
        <v>748441</v>
      </c>
      <c r="E309" s="102"/>
      <c r="F309" s="103">
        <v>31978</v>
      </c>
      <c r="G309" s="99"/>
      <c r="H309" s="99"/>
      <c r="I309" s="99"/>
      <c r="J309" s="20"/>
      <c r="K309" s="21"/>
      <c r="L309" s="21"/>
      <c r="M309" s="21"/>
      <c r="N309" s="21"/>
      <c r="O309" s="21"/>
    </row>
    <row r="310" spans="2:15" ht="14.15" customHeight="1" x14ac:dyDescent="0.35">
      <c r="B310" s="100">
        <f t="shared" si="4"/>
        <v>307</v>
      </c>
      <c r="C310" s="104" t="s">
        <v>309</v>
      </c>
      <c r="D310" s="102">
        <v>8111436</v>
      </c>
      <c r="E310" s="102"/>
      <c r="F310" s="103">
        <v>31990</v>
      </c>
      <c r="G310" s="99"/>
      <c r="H310" s="99"/>
      <c r="I310" s="99"/>
      <c r="J310" s="20"/>
      <c r="K310" s="21"/>
      <c r="L310" s="21"/>
      <c r="M310" s="21"/>
      <c r="N310" s="21"/>
      <c r="O310" s="21"/>
    </row>
    <row r="311" spans="2:15" ht="14.15" customHeight="1" x14ac:dyDescent="0.35">
      <c r="B311" s="100">
        <f t="shared" si="4"/>
        <v>308</v>
      </c>
      <c r="C311" s="104" t="s">
        <v>310</v>
      </c>
      <c r="D311" s="102">
        <v>6910558</v>
      </c>
      <c r="E311" s="102"/>
      <c r="F311" s="103">
        <v>31997</v>
      </c>
      <c r="G311" s="99"/>
      <c r="H311" s="99"/>
      <c r="I311" s="99"/>
      <c r="J311" s="20"/>
      <c r="K311" s="21"/>
      <c r="L311" s="21"/>
      <c r="M311" s="21"/>
      <c r="N311" s="21"/>
      <c r="O311" s="21"/>
    </row>
    <row r="312" spans="2:15" ht="14.15" customHeight="1" x14ac:dyDescent="0.35">
      <c r="B312" s="100">
        <f t="shared" si="4"/>
        <v>309</v>
      </c>
      <c r="C312" s="104" t="s">
        <v>311</v>
      </c>
      <c r="D312" s="102">
        <v>758886</v>
      </c>
      <c r="E312" s="102"/>
      <c r="F312" s="103">
        <v>32010</v>
      </c>
      <c r="G312" s="99"/>
      <c r="H312" s="99"/>
      <c r="I312" s="99"/>
      <c r="J312" s="20"/>
      <c r="K312" s="21"/>
      <c r="L312" s="21"/>
      <c r="M312" s="21"/>
      <c r="N312" s="21"/>
      <c r="O312" s="21"/>
    </row>
    <row r="313" spans="2:15" ht="14.15" customHeight="1" x14ac:dyDescent="0.35">
      <c r="B313" s="100">
        <f t="shared" si="4"/>
        <v>310</v>
      </c>
      <c r="C313" s="104" t="s">
        <v>312</v>
      </c>
      <c r="D313" s="102">
        <v>789899</v>
      </c>
      <c r="E313" s="102"/>
      <c r="F313" s="103">
        <v>32027</v>
      </c>
      <c r="G313" s="99"/>
      <c r="H313" s="99"/>
      <c r="I313" s="99"/>
      <c r="J313" s="20"/>
      <c r="K313" s="21"/>
      <c r="L313" s="21"/>
      <c r="M313" s="21"/>
      <c r="N313" s="21"/>
      <c r="O313" s="21"/>
    </row>
    <row r="314" spans="2:15" ht="14.15" customHeight="1" x14ac:dyDescent="0.35">
      <c r="B314" s="100">
        <f t="shared" si="4"/>
        <v>311</v>
      </c>
      <c r="C314" s="104" t="s">
        <v>313</v>
      </c>
      <c r="D314" s="102">
        <v>7910514</v>
      </c>
      <c r="E314" s="102"/>
      <c r="F314" s="103">
        <v>32039</v>
      </c>
      <c r="G314" s="99"/>
      <c r="H314" s="99"/>
      <c r="I314" s="99"/>
      <c r="J314" s="20"/>
      <c r="K314" s="21"/>
      <c r="L314" s="21"/>
      <c r="M314" s="21"/>
      <c r="N314" s="21"/>
      <c r="O314" s="21"/>
    </row>
    <row r="315" spans="2:15" ht="14.15" customHeight="1" x14ac:dyDescent="0.35">
      <c r="B315" s="100">
        <f t="shared" si="4"/>
        <v>312</v>
      </c>
      <c r="C315" s="104" t="s">
        <v>192</v>
      </c>
      <c r="D315" s="102">
        <v>9218089</v>
      </c>
      <c r="E315" s="102"/>
      <c r="F315" s="103">
        <v>32047</v>
      </c>
      <c r="G315" s="99"/>
      <c r="H315" s="99"/>
      <c r="I315" s="99"/>
      <c r="J315" s="20"/>
      <c r="K315" s="21"/>
      <c r="L315" s="21"/>
      <c r="M315" s="21"/>
      <c r="N315" s="21"/>
      <c r="O315" s="21"/>
    </row>
    <row r="316" spans="2:15" ht="14.15" customHeight="1" x14ac:dyDescent="0.35">
      <c r="B316" s="100">
        <f t="shared" si="4"/>
        <v>313</v>
      </c>
      <c r="C316" s="104" t="s">
        <v>314</v>
      </c>
      <c r="D316" s="102">
        <v>779553</v>
      </c>
      <c r="E316" s="102"/>
      <c r="F316" s="103">
        <v>32051</v>
      </c>
      <c r="G316" s="99"/>
      <c r="H316" s="99"/>
      <c r="I316" s="99"/>
      <c r="J316" s="20"/>
      <c r="K316" s="21"/>
      <c r="L316" s="21"/>
      <c r="M316" s="21"/>
      <c r="N316" s="21"/>
      <c r="O316" s="21"/>
    </row>
    <row r="317" spans="2:15" ht="14.15" customHeight="1" x14ac:dyDescent="0.35">
      <c r="B317" s="100">
        <f t="shared" si="4"/>
        <v>314</v>
      </c>
      <c r="C317" s="104" t="s">
        <v>315</v>
      </c>
      <c r="D317" s="102">
        <v>8010711</v>
      </c>
      <c r="E317" s="102"/>
      <c r="F317" s="103">
        <v>32059</v>
      </c>
      <c r="G317" s="99"/>
      <c r="H317" s="99"/>
      <c r="I317" s="99"/>
      <c r="J317" s="20"/>
      <c r="K317" s="21"/>
      <c r="L317" s="21"/>
      <c r="M317" s="21"/>
      <c r="N317" s="21"/>
      <c r="O317" s="21"/>
    </row>
    <row r="318" spans="2:15" ht="14.15" customHeight="1" x14ac:dyDescent="0.35">
      <c r="B318" s="100">
        <f t="shared" si="4"/>
        <v>315</v>
      </c>
      <c r="C318" s="104" t="s">
        <v>316</v>
      </c>
      <c r="D318" s="102">
        <v>8111424</v>
      </c>
      <c r="E318" s="102"/>
      <c r="F318" s="103">
        <v>32060</v>
      </c>
      <c r="G318" s="99"/>
      <c r="H318" s="99"/>
      <c r="I318" s="99"/>
      <c r="J318" s="20"/>
      <c r="K318" s="21"/>
      <c r="L318" s="21"/>
      <c r="M318" s="21"/>
      <c r="N318" s="21"/>
      <c r="O318" s="21"/>
    </row>
    <row r="319" spans="2:15" ht="14.15" customHeight="1" x14ac:dyDescent="0.35">
      <c r="B319" s="100">
        <f t="shared" si="4"/>
        <v>316</v>
      </c>
      <c r="C319" s="104" t="s">
        <v>317</v>
      </c>
      <c r="D319" s="102">
        <v>8010785</v>
      </c>
      <c r="E319" s="102"/>
      <c r="F319" s="103">
        <v>32067</v>
      </c>
      <c r="G319" s="99"/>
      <c r="H319" s="99"/>
      <c r="I319" s="99"/>
      <c r="J319" s="20"/>
      <c r="K319" s="21"/>
      <c r="L319" s="21"/>
      <c r="M319" s="21"/>
      <c r="N319" s="21"/>
      <c r="O319" s="21"/>
    </row>
    <row r="320" spans="2:15" ht="14.15" customHeight="1" x14ac:dyDescent="0.35">
      <c r="B320" s="100">
        <f t="shared" si="4"/>
        <v>317</v>
      </c>
      <c r="C320" s="104" t="s">
        <v>318</v>
      </c>
      <c r="D320" s="102">
        <v>8011042</v>
      </c>
      <c r="E320" s="102"/>
      <c r="F320" s="103">
        <v>32077</v>
      </c>
      <c r="G320" s="99"/>
      <c r="H320" s="99"/>
      <c r="I320" s="99"/>
      <c r="J320" s="20"/>
      <c r="K320" s="21"/>
      <c r="L320" s="21"/>
      <c r="M320" s="21"/>
      <c r="N320" s="21"/>
      <c r="O320" s="21"/>
    </row>
    <row r="321" spans="2:15" ht="14.15" customHeight="1" x14ac:dyDescent="0.35">
      <c r="B321" s="100">
        <f t="shared" si="4"/>
        <v>318</v>
      </c>
      <c r="C321" s="104" t="s">
        <v>319</v>
      </c>
      <c r="D321" s="102">
        <v>789830</v>
      </c>
      <c r="E321" s="102"/>
      <c r="F321" s="103">
        <v>32083</v>
      </c>
      <c r="G321" s="99"/>
      <c r="H321" s="99"/>
      <c r="I321" s="99"/>
      <c r="J321" s="20"/>
      <c r="K321" s="21"/>
      <c r="L321" s="21"/>
      <c r="M321" s="21"/>
      <c r="N321" s="21"/>
      <c r="O321" s="21"/>
    </row>
    <row r="322" spans="2:15" ht="14.15" customHeight="1" x14ac:dyDescent="0.35">
      <c r="B322" s="100">
        <f t="shared" si="4"/>
        <v>319</v>
      </c>
      <c r="C322" s="104" t="s">
        <v>320</v>
      </c>
      <c r="D322" s="102">
        <v>8010671</v>
      </c>
      <c r="E322" s="102"/>
      <c r="F322" s="103">
        <v>32083</v>
      </c>
      <c r="G322" s="99"/>
      <c r="H322" s="99"/>
      <c r="I322" s="99"/>
      <c r="J322" s="20"/>
      <c r="K322" s="21"/>
      <c r="L322" s="21"/>
      <c r="M322" s="21"/>
      <c r="N322" s="21"/>
      <c r="O322" s="21"/>
    </row>
    <row r="323" spans="2:15" ht="14.15" customHeight="1" x14ac:dyDescent="0.35">
      <c r="B323" s="100">
        <f t="shared" si="4"/>
        <v>320</v>
      </c>
      <c r="C323" s="104" t="s">
        <v>321</v>
      </c>
      <c r="D323" s="102">
        <v>8010832</v>
      </c>
      <c r="E323" s="102"/>
      <c r="F323" s="103">
        <v>32087</v>
      </c>
      <c r="G323" s="99"/>
      <c r="H323" s="99"/>
      <c r="I323" s="99"/>
      <c r="J323" s="20"/>
      <c r="K323" s="21"/>
      <c r="L323" s="21"/>
      <c r="M323" s="21"/>
      <c r="N323" s="21"/>
      <c r="O323" s="21"/>
    </row>
    <row r="324" spans="2:15" ht="14.15" customHeight="1" x14ac:dyDescent="0.35">
      <c r="B324" s="100">
        <f t="shared" si="4"/>
        <v>321</v>
      </c>
      <c r="C324" s="104" t="s">
        <v>322</v>
      </c>
      <c r="D324" s="102">
        <v>779469</v>
      </c>
      <c r="E324" s="102"/>
      <c r="F324" s="103">
        <v>32090</v>
      </c>
      <c r="G324" s="99"/>
      <c r="H324" s="99"/>
      <c r="I324" s="99"/>
      <c r="J324" s="20"/>
      <c r="K324" s="21"/>
      <c r="L324" s="21"/>
      <c r="M324" s="21"/>
      <c r="N324" s="21"/>
      <c r="O324" s="21"/>
    </row>
    <row r="325" spans="2:15" ht="14.15" customHeight="1" x14ac:dyDescent="0.35">
      <c r="B325" s="100">
        <f t="shared" ref="B325:B388" si="5">(B324+1)</f>
        <v>322</v>
      </c>
      <c r="C325" s="104" t="s">
        <v>323</v>
      </c>
      <c r="D325" s="102">
        <v>8111431</v>
      </c>
      <c r="E325" s="102"/>
      <c r="F325" s="103">
        <v>32109</v>
      </c>
      <c r="G325" s="99"/>
      <c r="H325" s="99"/>
      <c r="I325" s="99"/>
      <c r="J325" s="20"/>
      <c r="K325" s="21"/>
      <c r="L325" s="21"/>
      <c r="M325" s="21"/>
      <c r="N325" s="21"/>
      <c r="O325" s="21"/>
    </row>
    <row r="326" spans="2:15" ht="14.15" customHeight="1" x14ac:dyDescent="0.35">
      <c r="B326" s="100">
        <f t="shared" si="5"/>
        <v>323</v>
      </c>
      <c r="C326" s="104" t="s">
        <v>324</v>
      </c>
      <c r="D326" s="102">
        <v>8211748</v>
      </c>
      <c r="E326" s="102"/>
      <c r="F326" s="103">
        <v>32121</v>
      </c>
      <c r="G326" s="99"/>
      <c r="H326" s="99"/>
      <c r="I326" s="99"/>
      <c r="J326" s="20"/>
      <c r="K326" s="21"/>
      <c r="L326" s="21"/>
      <c r="M326" s="21"/>
      <c r="N326" s="21"/>
      <c r="O326" s="21"/>
    </row>
    <row r="327" spans="2:15" ht="14.15" customHeight="1" x14ac:dyDescent="0.35">
      <c r="B327" s="100">
        <f t="shared" si="5"/>
        <v>324</v>
      </c>
      <c r="C327" s="104" t="s">
        <v>325</v>
      </c>
      <c r="D327" s="102">
        <v>7910245</v>
      </c>
      <c r="E327" s="102"/>
      <c r="F327" s="103">
        <v>32123</v>
      </c>
      <c r="G327" s="99"/>
      <c r="H327" s="99"/>
      <c r="I327" s="99"/>
      <c r="J327" s="20"/>
      <c r="K327" s="21"/>
      <c r="L327" s="21"/>
      <c r="M327" s="21"/>
      <c r="N327" s="21"/>
      <c r="O327" s="21"/>
    </row>
    <row r="328" spans="2:15" ht="14.15" customHeight="1" x14ac:dyDescent="0.35">
      <c r="B328" s="100">
        <f t="shared" si="5"/>
        <v>325</v>
      </c>
      <c r="C328" s="104" t="s">
        <v>326</v>
      </c>
      <c r="D328" s="102">
        <v>8111423</v>
      </c>
      <c r="E328" s="102"/>
      <c r="F328" s="103">
        <v>32132</v>
      </c>
      <c r="G328" s="99"/>
      <c r="H328" s="99"/>
      <c r="I328" s="99"/>
      <c r="J328" s="20"/>
      <c r="K328" s="21"/>
      <c r="L328" s="21"/>
      <c r="M328" s="21"/>
      <c r="N328" s="21"/>
      <c r="O328" s="21"/>
    </row>
    <row r="329" spans="2:15" ht="14.15" customHeight="1" x14ac:dyDescent="0.35">
      <c r="B329" s="100">
        <f t="shared" si="5"/>
        <v>326</v>
      </c>
      <c r="C329" s="104" t="s">
        <v>327</v>
      </c>
      <c r="D329" s="102">
        <v>8111614</v>
      </c>
      <c r="E329" s="102"/>
      <c r="F329" s="103">
        <v>32132</v>
      </c>
      <c r="G329" s="99"/>
      <c r="H329" s="99"/>
      <c r="I329" s="99"/>
      <c r="J329" s="20"/>
      <c r="K329" s="21"/>
      <c r="L329" s="21"/>
      <c r="M329" s="21"/>
      <c r="N329" s="21"/>
      <c r="O329" s="21"/>
    </row>
    <row r="330" spans="2:15" ht="14.15" customHeight="1" x14ac:dyDescent="0.35">
      <c r="B330" s="100">
        <f t="shared" si="5"/>
        <v>327</v>
      </c>
      <c r="C330" s="104" t="s">
        <v>328</v>
      </c>
      <c r="D330" s="102">
        <v>8211735</v>
      </c>
      <c r="E330" s="102"/>
      <c r="F330" s="103">
        <v>32135</v>
      </c>
      <c r="G330" s="99"/>
      <c r="H330" s="99"/>
      <c r="I330" s="99"/>
      <c r="J330" s="20"/>
      <c r="K330" s="21"/>
      <c r="L330" s="21"/>
      <c r="M330" s="21"/>
      <c r="N330" s="21"/>
      <c r="O330" s="21"/>
    </row>
    <row r="331" spans="2:15" ht="14.15" customHeight="1" x14ac:dyDescent="0.35">
      <c r="B331" s="100">
        <f t="shared" si="5"/>
        <v>328</v>
      </c>
      <c r="C331" s="104" t="s">
        <v>329</v>
      </c>
      <c r="D331" s="102">
        <v>8111439</v>
      </c>
      <c r="E331" s="102"/>
      <c r="F331" s="103">
        <v>32142</v>
      </c>
      <c r="G331" s="99"/>
      <c r="H331" s="99"/>
      <c r="I331" s="99"/>
      <c r="J331" s="20"/>
      <c r="K331" s="21"/>
      <c r="L331" s="21"/>
      <c r="M331" s="21"/>
      <c r="N331" s="21"/>
      <c r="O331" s="21"/>
    </row>
    <row r="332" spans="2:15" ht="14.15" customHeight="1" x14ac:dyDescent="0.35">
      <c r="B332" s="100">
        <f t="shared" si="5"/>
        <v>329</v>
      </c>
      <c r="C332" s="104" t="s">
        <v>330</v>
      </c>
      <c r="D332" s="102">
        <v>8211747</v>
      </c>
      <c r="E332" s="102"/>
      <c r="F332" s="103">
        <v>32142</v>
      </c>
      <c r="G332" s="99"/>
      <c r="H332" s="99"/>
      <c r="I332" s="99"/>
      <c r="J332" s="20"/>
      <c r="K332" s="21"/>
      <c r="L332" s="21"/>
      <c r="M332" s="21"/>
      <c r="N332" s="21"/>
      <c r="O332" s="21"/>
    </row>
    <row r="333" spans="2:15" ht="14.15" customHeight="1" x14ac:dyDescent="0.35">
      <c r="B333" s="100">
        <f t="shared" si="5"/>
        <v>330</v>
      </c>
      <c r="C333" s="104" t="s">
        <v>331</v>
      </c>
      <c r="D333" s="102">
        <v>8211728</v>
      </c>
      <c r="E333" s="102"/>
      <c r="F333" s="103">
        <v>32168</v>
      </c>
      <c r="G333" s="99"/>
      <c r="H333" s="99"/>
      <c r="I333" s="99"/>
      <c r="J333" s="20"/>
      <c r="K333" s="21"/>
      <c r="L333" s="21"/>
      <c r="M333" s="21"/>
      <c r="N333" s="21"/>
      <c r="O333" s="21"/>
    </row>
    <row r="334" spans="2:15" ht="14.15" customHeight="1" x14ac:dyDescent="0.35">
      <c r="B334" s="100">
        <f t="shared" si="5"/>
        <v>331</v>
      </c>
      <c r="C334" s="104" t="s">
        <v>332</v>
      </c>
      <c r="D334" s="102">
        <v>8010819</v>
      </c>
      <c r="E334" s="102"/>
      <c r="F334" s="103">
        <v>32174</v>
      </c>
      <c r="G334" s="99"/>
      <c r="H334" s="99"/>
      <c r="I334" s="99"/>
      <c r="J334" s="20"/>
      <c r="K334" s="21"/>
      <c r="L334" s="21"/>
      <c r="M334" s="21"/>
      <c r="N334" s="21"/>
      <c r="O334" s="21"/>
    </row>
    <row r="335" spans="2:15" ht="14.15" customHeight="1" x14ac:dyDescent="0.35">
      <c r="B335" s="100">
        <f t="shared" si="5"/>
        <v>332</v>
      </c>
      <c r="C335" s="104" t="s">
        <v>333</v>
      </c>
      <c r="D335" s="102">
        <v>8111628</v>
      </c>
      <c r="E335" s="102"/>
      <c r="F335" s="103">
        <v>32175</v>
      </c>
      <c r="G335" s="99"/>
      <c r="H335" s="99"/>
      <c r="I335" s="99"/>
      <c r="J335" s="20"/>
      <c r="K335" s="21"/>
      <c r="L335" s="21"/>
      <c r="M335" s="21"/>
      <c r="N335" s="21"/>
      <c r="O335" s="21"/>
    </row>
    <row r="336" spans="2:15" ht="14.15" customHeight="1" x14ac:dyDescent="0.35">
      <c r="B336" s="100">
        <f t="shared" si="5"/>
        <v>333</v>
      </c>
      <c r="C336" s="104" t="s">
        <v>334</v>
      </c>
      <c r="D336" s="102">
        <v>7910511</v>
      </c>
      <c r="E336" s="102"/>
      <c r="F336" s="103">
        <v>32178</v>
      </c>
      <c r="G336" s="99"/>
      <c r="H336" s="99"/>
      <c r="I336" s="99"/>
      <c r="J336" s="20"/>
      <c r="K336" s="21"/>
      <c r="L336" s="21"/>
      <c r="M336" s="21"/>
      <c r="N336" s="21"/>
      <c r="O336" s="21"/>
    </row>
    <row r="337" spans="2:15" ht="14.15" customHeight="1" x14ac:dyDescent="0.35">
      <c r="B337" s="100">
        <f t="shared" si="5"/>
        <v>334</v>
      </c>
      <c r="C337" s="104" t="s">
        <v>335</v>
      </c>
      <c r="D337" s="102">
        <v>8010727</v>
      </c>
      <c r="E337" s="102"/>
      <c r="F337" s="103">
        <v>32178</v>
      </c>
      <c r="G337" s="99"/>
      <c r="H337" s="99"/>
      <c r="I337" s="99"/>
      <c r="J337" s="20"/>
      <c r="K337" s="21"/>
      <c r="L337" s="21"/>
      <c r="M337" s="21"/>
      <c r="N337" s="21"/>
      <c r="O337" s="21"/>
    </row>
    <row r="338" spans="2:15" ht="14.15" customHeight="1" x14ac:dyDescent="0.35">
      <c r="B338" s="100">
        <f t="shared" si="5"/>
        <v>335</v>
      </c>
      <c r="C338" s="104" t="s">
        <v>336</v>
      </c>
      <c r="D338" s="102">
        <v>8011039</v>
      </c>
      <c r="E338" s="102"/>
      <c r="F338" s="103">
        <v>32178</v>
      </c>
      <c r="G338" s="99"/>
      <c r="H338" s="99"/>
      <c r="I338" s="99"/>
      <c r="J338" s="20"/>
      <c r="K338" s="21"/>
      <c r="L338" s="21"/>
      <c r="M338" s="21"/>
      <c r="N338" s="21"/>
      <c r="O338" s="21"/>
    </row>
    <row r="339" spans="2:15" ht="14.15" customHeight="1" x14ac:dyDescent="0.35">
      <c r="B339" s="100">
        <f t="shared" si="5"/>
        <v>336</v>
      </c>
      <c r="C339" s="104" t="s">
        <v>337</v>
      </c>
      <c r="D339" s="102">
        <v>8111489</v>
      </c>
      <c r="E339" s="102"/>
      <c r="F339" s="103">
        <v>32178</v>
      </c>
      <c r="G339" s="99"/>
      <c r="H339" s="99"/>
      <c r="I339" s="99"/>
      <c r="J339" s="20"/>
      <c r="K339" s="21"/>
      <c r="L339" s="21"/>
      <c r="M339" s="21"/>
      <c r="N339" s="21"/>
      <c r="O339" s="21"/>
    </row>
    <row r="340" spans="2:15" ht="14.15" customHeight="1" x14ac:dyDescent="0.35">
      <c r="B340" s="100">
        <f t="shared" si="5"/>
        <v>337</v>
      </c>
      <c r="C340" s="104" t="s">
        <v>338</v>
      </c>
      <c r="D340" s="102">
        <v>779476</v>
      </c>
      <c r="E340" s="102"/>
      <c r="F340" s="103">
        <v>32179</v>
      </c>
      <c r="G340" s="99"/>
      <c r="H340" s="99"/>
      <c r="I340" s="99"/>
      <c r="J340" s="20"/>
      <c r="K340" s="21"/>
      <c r="L340" s="21"/>
      <c r="M340" s="21"/>
      <c r="N340" s="21"/>
      <c r="O340" s="21"/>
    </row>
    <row r="341" spans="2:15" ht="14.15" customHeight="1" x14ac:dyDescent="0.35">
      <c r="B341" s="100">
        <f t="shared" si="5"/>
        <v>338</v>
      </c>
      <c r="C341" s="104" t="s">
        <v>339</v>
      </c>
      <c r="D341" s="102">
        <v>7910179</v>
      </c>
      <c r="E341" s="102"/>
      <c r="F341" s="103">
        <v>32179</v>
      </c>
      <c r="G341" s="99"/>
      <c r="H341" s="99"/>
      <c r="I341" s="99"/>
      <c r="J341" s="20"/>
      <c r="K341" s="21"/>
      <c r="L341" s="21"/>
      <c r="M341" s="21"/>
      <c r="N341" s="21"/>
      <c r="O341" s="21"/>
    </row>
    <row r="342" spans="2:15" ht="14.15" customHeight="1" x14ac:dyDescent="0.35">
      <c r="B342" s="100">
        <f t="shared" si="5"/>
        <v>339</v>
      </c>
      <c r="C342" s="104" t="s">
        <v>340</v>
      </c>
      <c r="D342" s="102">
        <v>7910341</v>
      </c>
      <c r="E342" s="102"/>
      <c r="F342" s="103">
        <v>32179</v>
      </c>
      <c r="G342" s="99"/>
      <c r="H342" s="99"/>
      <c r="I342" s="99"/>
      <c r="J342" s="20"/>
      <c r="K342" s="21"/>
      <c r="L342" s="21"/>
      <c r="M342" s="21"/>
      <c r="N342" s="21"/>
      <c r="O342" s="21"/>
    </row>
    <row r="343" spans="2:15" ht="14.15" customHeight="1" x14ac:dyDescent="0.35">
      <c r="B343" s="100">
        <f t="shared" si="5"/>
        <v>340</v>
      </c>
      <c r="C343" s="104" t="s">
        <v>341</v>
      </c>
      <c r="D343" s="102">
        <v>7810061</v>
      </c>
      <c r="E343" s="102"/>
      <c r="F343" s="103">
        <v>32190</v>
      </c>
      <c r="G343" s="99"/>
      <c r="H343" s="99"/>
      <c r="I343" s="99"/>
      <c r="J343" s="20"/>
      <c r="K343" s="21"/>
      <c r="L343" s="21"/>
      <c r="M343" s="21"/>
      <c r="N343" s="21"/>
      <c r="O343" s="21"/>
    </row>
    <row r="344" spans="2:15" ht="14.15" customHeight="1" x14ac:dyDescent="0.35">
      <c r="B344" s="100">
        <f t="shared" si="5"/>
        <v>341</v>
      </c>
      <c r="C344" s="104" t="s">
        <v>342</v>
      </c>
      <c r="D344" s="102">
        <v>789813</v>
      </c>
      <c r="E344" s="102"/>
      <c r="F344" s="103">
        <v>32219</v>
      </c>
      <c r="G344" s="99"/>
      <c r="H344" s="99"/>
      <c r="I344" s="99"/>
      <c r="J344" s="20"/>
      <c r="K344" s="21"/>
      <c r="L344" s="21"/>
      <c r="M344" s="21"/>
      <c r="N344" s="21"/>
      <c r="O344" s="21"/>
    </row>
    <row r="345" spans="2:15" ht="14.15" customHeight="1" x14ac:dyDescent="0.35">
      <c r="B345" s="100">
        <f t="shared" si="5"/>
        <v>342</v>
      </c>
      <c r="C345" s="104" t="s">
        <v>343</v>
      </c>
      <c r="D345" s="102">
        <v>8010726</v>
      </c>
      <c r="E345" s="102"/>
      <c r="F345" s="103">
        <v>32219</v>
      </c>
      <c r="G345" s="99"/>
      <c r="H345" s="99"/>
      <c r="I345" s="99"/>
      <c r="J345" s="20"/>
      <c r="K345" s="21"/>
      <c r="L345" s="21"/>
      <c r="M345" s="21"/>
      <c r="N345" s="21"/>
      <c r="O345" s="21"/>
    </row>
    <row r="346" spans="2:15" ht="14.15" customHeight="1" x14ac:dyDescent="0.35">
      <c r="B346" s="100">
        <f t="shared" si="5"/>
        <v>343</v>
      </c>
      <c r="C346" s="104" t="s">
        <v>9</v>
      </c>
      <c r="D346" s="102">
        <v>748412</v>
      </c>
      <c r="E346" s="102"/>
      <c r="F346" s="103">
        <v>32232</v>
      </c>
      <c r="G346" s="99"/>
      <c r="H346" s="99"/>
      <c r="I346" s="99"/>
      <c r="J346" s="20"/>
      <c r="K346" s="21"/>
      <c r="L346" s="21"/>
      <c r="M346" s="21"/>
      <c r="N346" s="21"/>
      <c r="O346" s="21"/>
    </row>
    <row r="347" spans="2:15" ht="14.15" customHeight="1" x14ac:dyDescent="0.35">
      <c r="B347" s="100">
        <f t="shared" si="5"/>
        <v>344</v>
      </c>
      <c r="C347" s="104" t="s">
        <v>192</v>
      </c>
      <c r="D347" s="102">
        <v>748297</v>
      </c>
      <c r="E347" s="102"/>
      <c r="F347" s="103">
        <v>32244</v>
      </c>
      <c r="G347" s="99"/>
      <c r="H347" s="99"/>
      <c r="I347" s="99"/>
      <c r="J347" s="20"/>
      <c r="K347" s="21"/>
      <c r="L347" s="21"/>
      <c r="M347" s="21"/>
      <c r="N347" s="21"/>
      <c r="O347" s="21"/>
    </row>
    <row r="348" spans="2:15" ht="14.15" customHeight="1" x14ac:dyDescent="0.35">
      <c r="B348" s="100">
        <f t="shared" si="5"/>
        <v>345</v>
      </c>
      <c r="C348" s="104" t="s">
        <v>344</v>
      </c>
      <c r="D348" s="102">
        <v>779471</v>
      </c>
      <c r="E348" s="102"/>
      <c r="F348" s="103">
        <v>32246</v>
      </c>
      <c r="G348" s="99"/>
      <c r="H348" s="99"/>
      <c r="I348" s="99"/>
      <c r="J348" s="20"/>
      <c r="K348" s="21"/>
      <c r="L348" s="21"/>
      <c r="M348" s="21"/>
      <c r="N348" s="21"/>
      <c r="O348" s="21"/>
    </row>
    <row r="349" spans="2:15" ht="14.15" customHeight="1" x14ac:dyDescent="0.35">
      <c r="B349" s="100">
        <f t="shared" si="5"/>
        <v>346</v>
      </c>
      <c r="C349" s="104" t="s">
        <v>345</v>
      </c>
      <c r="D349" s="102">
        <v>8010853</v>
      </c>
      <c r="E349" s="102"/>
      <c r="F349" s="103">
        <v>32246</v>
      </c>
      <c r="G349" s="99"/>
      <c r="H349" s="99"/>
      <c r="I349" s="99"/>
      <c r="J349" s="20"/>
      <c r="K349" s="21"/>
      <c r="L349" s="21"/>
      <c r="M349" s="21"/>
      <c r="N349" s="21"/>
      <c r="O349" s="21"/>
    </row>
    <row r="350" spans="2:15" ht="14.15" customHeight="1" x14ac:dyDescent="0.35">
      <c r="B350" s="100">
        <f t="shared" si="5"/>
        <v>347</v>
      </c>
      <c r="C350" s="104" t="s">
        <v>346</v>
      </c>
      <c r="D350" s="102">
        <v>8011094</v>
      </c>
      <c r="E350" s="102"/>
      <c r="F350" s="103">
        <v>32246</v>
      </c>
      <c r="G350" s="99"/>
      <c r="H350" s="99"/>
      <c r="I350" s="99"/>
      <c r="J350" s="20"/>
      <c r="K350" s="21"/>
      <c r="L350" s="21"/>
      <c r="M350" s="21"/>
      <c r="N350" s="21"/>
      <c r="O350" s="21"/>
    </row>
    <row r="351" spans="2:15" ht="14.15" customHeight="1" x14ac:dyDescent="0.35">
      <c r="B351" s="100">
        <f t="shared" si="5"/>
        <v>348</v>
      </c>
      <c r="C351" s="104" t="s">
        <v>347</v>
      </c>
      <c r="D351" s="102">
        <v>8010754</v>
      </c>
      <c r="E351" s="102"/>
      <c r="F351" s="103">
        <v>32252</v>
      </c>
      <c r="G351" s="99"/>
      <c r="H351" s="99"/>
      <c r="I351" s="99"/>
      <c r="J351" s="20"/>
      <c r="K351" s="21"/>
      <c r="L351" s="21"/>
      <c r="M351" s="21"/>
      <c r="N351" s="21"/>
      <c r="O351" s="21"/>
    </row>
    <row r="352" spans="2:15" ht="14.15" customHeight="1" x14ac:dyDescent="0.35">
      <c r="B352" s="100">
        <f t="shared" si="5"/>
        <v>349</v>
      </c>
      <c r="C352" s="104" t="s">
        <v>348</v>
      </c>
      <c r="D352" s="102">
        <v>779464</v>
      </c>
      <c r="E352" s="102"/>
      <c r="F352" s="103">
        <v>32260</v>
      </c>
      <c r="G352" s="99"/>
      <c r="H352" s="99"/>
      <c r="I352" s="99"/>
      <c r="J352" s="20"/>
      <c r="K352" s="21"/>
      <c r="L352" s="21"/>
      <c r="M352" s="21"/>
      <c r="N352" s="21"/>
      <c r="O352" s="21"/>
    </row>
    <row r="353" spans="2:15" ht="14.15" customHeight="1" x14ac:dyDescent="0.35">
      <c r="B353" s="100">
        <f t="shared" si="5"/>
        <v>350</v>
      </c>
      <c r="C353" s="104" t="s">
        <v>349</v>
      </c>
      <c r="D353" s="102">
        <v>8010660</v>
      </c>
      <c r="E353" s="102"/>
      <c r="F353" s="103">
        <v>32263</v>
      </c>
      <c r="G353" s="99"/>
      <c r="H353" s="99"/>
      <c r="I353" s="99"/>
      <c r="J353" s="20"/>
      <c r="K353" s="21"/>
      <c r="L353" s="21"/>
      <c r="M353" s="21"/>
      <c r="N353" s="21"/>
      <c r="O353" s="21"/>
    </row>
    <row r="354" spans="2:15" ht="14.15" customHeight="1" x14ac:dyDescent="0.35">
      <c r="B354" s="100">
        <f t="shared" si="5"/>
        <v>351</v>
      </c>
      <c r="C354" s="104" t="s">
        <v>350</v>
      </c>
      <c r="D354" s="102">
        <v>8010637</v>
      </c>
      <c r="E354" s="102"/>
      <c r="F354" s="103">
        <v>32266</v>
      </c>
      <c r="G354" s="99"/>
      <c r="H354" s="99"/>
      <c r="I354" s="99"/>
      <c r="J354" s="20"/>
      <c r="K354" s="21"/>
      <c r="L354" s="21"/>
      <c r="M354" s="21"/>
      <c r="N354" s="21"/>
      <c r="O354" s="21"/>
    </row>
    <row r="355" spans="2:15" ht="14.15" customHeight="1" x14ac:dyDescent="0.35">
      <c r="B355" s="100">
        <f t="shared" si="5"/>
        <v>352</v>
      </c>
      <c r="C355" s="104" t="s">
        <v>351</v>
      </c>
      <c r="D355" s="102">
        <v>8010757</v>
      </c>
      <c r="E355" s="102"/>
      <c r="F355" s="103">
        <v>32266</v>
      </c>
      <c r="G355" s="99"/>
      <c r="H355" s="99"/>
      <c r="I355" s="99"/>
      <c r="J355" s="20"/>
      <c r="K355" s="21"/>
      <c r="L355" s="21"/>
      <c r="M355" s="21"/>
      <c r="N355" s="21"/>
      <c r="O355" s="21"/>
    </row>
    <row r="356" spans="2:15" ht="14.15" customHeight="1" x14ac:dyDescent="0.35">
      <c r="B356" s="100">
        <f t="shared" si="5"/>
        <v>353</v>
      </c>
      <c r="C356" s="104" t="s">
        <v>352</v>
      </c>
      <c r="D356" s="102">
        <v>7910244</v>
      </c>
      <c r="E356" s="102"/>
      <c r="F356" s="103">
        <v>32267</v>
      </c>
      <c r="G356" s="99"/>
      <c r="H356" s="99"/>
      <c r="I356" s="99"/>
      <c r="J356" s="20"/>
      <c r="K356" s="21"/>
      <c r="L356" s="21"/>
      <c r="M356" s="21"/>
      <c r="N356" s="21"/>
      <c r="O356" s="21"/>
    </row>
    <row r="357" spans="2:15" ht="14.15" customHeight="1" x14ac:dyDescent="0.35">
      <c r="B357" s="100">
        <f t="shared" si="5"/>
        <v>354</v>
      </c>
      <c r="C357" s="104" t="s">
        <v>353</v>
      </c>
      <c r="D357" s="102">
        <v>8111395</v>
      </c>
      <c r="E357" s="102"/>
      <c r="F357" s="103">
        <v>32267</v>
      </c>
      <c r="G357" s="99"/>
      <c r="H357" s="99"/>
      <c r="I357" s="99"/>
      <c r="J357" s="20"/>
      <c r="K357" s="21"/>
      <c r="L357" s="21"/>
      <c r="M357" s="21"/>
      <c r="N357" s="21"/>
      <c r="O357" s="21"/>
    </row>
    <row r="358" spans="2:15" ht="14.15" customHeight="1" x14ac:dyDescent="0.35">
      <c r="B358" s="100">
        <f t="shared" si="5"/>
        <v>355</v>
      </c>
      <c r="C358" s="104" t="s">
        <v>354</v>
      </c>
      <c r="D358" s="102">
        <v>8111420</v>
      </c>
      <c r="E358" s="102"/>
      <c r="F358" s="103">
        <v>32267</v>
      </c>
      <c r="G358" s="99"/>
      <c r="H358" s="99"/>
      <c r="I358" s="99"/>
      <c r="J358" s="20"/>
      <c r="K358" s="21"/>
      <c r="L358" s="21"/>
      <c r="M358" s="21"/>
      <c r="N358" s="21"/>
      <c r="O358" s="21"/>
    </row>
    <row r="359" spans="2:15" ht="14.15" customHeight="1" x14ac:dyDescent="0.35">
      <c r="B359" s="100">
        <f t="shared" si="5"/>
        <v>356</v>
      </c>
      <c r="C359" s="104" t="s">
        <v>355</v>
      </c>
      <c r="D359" s="102">
        <v>769039</v>
      </c>
      <c r="E359" s="102"/>
      <c r="F359" s="103">
        <v>32268</v>
      </c>
      <c r="G359" s="99"/>
      <c r="H359" s="99"/>
      <c r="I359" s="99"/>
      <c r="J359" s="20"/>
      <c r="K359" s="21"/>
      <c r="L359" s="21"/>
      <c r="M359" s="21"/>
      <c r="N359" s="21"/>
      <c r="O359" s="21"/>
    </row>
    <row r="360" spans="2:15" ht="14.15" customHeight="1" x14ac:dyDescent="0.35">
      <c r="B360" s="100">
        <f t="shared" si="5"/>
        <v>357</v>
      </c>
      <c r="C360" s="104" t="s">
        <v>356</v>
      </c>
      <c r="D360" s="102">
        <v>8111467</v>
      </c>
      <c r="E360" s="102"/>
      <c r="F360" s="103">
        <v>32268</v>
      </c>
      <c r="G360" s="99"/>
      <c r="H360" s="99"/>
      <c r="I360" s="99"/>
      <c r="J360" s="20"/>
      <c r="K360" s="21"/>
      <c r="L360" s="21"/>
      <c r="M360" s="21"/>
      <c r="N360" s="21"/>
      <c r="O360" s="21"/>
    </row>
    <row r="361" spans="2:15" ht="14.15" customHeight="1" x14ac:dyDescent="0.35">
      <c r="B361" s="100">
        <f t="shared" si="5"/>
        <v>358</v>
      </c>
      <c r="C361" s="104" t="s">
        <v>357</v>
      </c>
      <c r="D361" s="102">
        <v>789864</v>
      </c>
      <c r="E361" s="102"/>
      <c r="F361" s="103">
        <v>32272</v>
      </c>
      <c r="G361" s="99"/>
      <c r="H361" s="99"/>
      <c r="I361" s="99"/>
      <c r="J361" s="20"/>
      <c r="K361" s="21"/>
      <c r="L361" s="21"/>
      <c r="M361" s="21"/>
      <c r="N361" s="21"/>
      <c r="O361" s="21"/>
    </row>
    <row r="362" spans="2:15" ht="14.15" customHeight="1" x14ac:dyDescent="0.35">
      <c r="B362" s="100">
        <f t="shared" si="5"/>
        <v>359</v>
      </c>
      <c r="C362" s="104" t="s">
        <v>358</v>
      </c>
      <c r="D362" s="102">
        <v>7910194</v>
      </c>
      <c r="E362" s="102"/>
      <c r="F362" s="103">
        <v>32321</v>
      </c>
      <c r="G362" s="99"/>
      <c r="H362" s="99"/>
      <c r="I362" s="99"/>
      <c r="J362" s="20"/>
      <c r="K362" s="21"/>
      <c r="L362" s="21"/>
      <c r="M362" s="21"/>
      <c r="N362" s="21"/>
      <c r="O362" s="21"/>
    </row>
    <row r="363" spans="2:15" ht="14.15" customHeight="1" x14ac:dyDescent="0.35">
      <c r="B363" s="100">
        <f t="shared" si="5"/>
        <v>360</v>
      </c>
      <c r="C363" s="104" t="s">
        <v>359</v>
      </c>
      <c r="D363" s="102">
        <v>789917</v>
      </c>
      <c r="E363" s="102"/>
      <c r="F363" s="103">
        <v>32322</v>
      </c>
      <c r="G363" s="99"/>
      <c r="H363" s="99"/>
      <c r="I363" s="99"/>
      <c r="J363" s="20"/>
      <c r="K363" s="21"/>
      <c r="L363" s="21"/>
      <c r="M363" s="21"/>
      <c r="N363" s="21"/>
      <c r="O363" s="21"/>
    </row>
    <row r="364" spans="2:15" ht="14.15" customHeight="1" x14ac:dyDescent="0.35">
      <c r="B364" s="100">
        <f t="shared" si="5"/>
        <v>361</v>
      </c>
      <c r="C364" s="104" t="s">
        <v>360</v>
      </c>
      <c r="D364" s="102">
        <v>8010800</v>
      </c>
      <c r="E364" s="102"/>
      <c r="F364" s="103">
        <v>32323</v>
      </c>
      <c r="G364" s="99"/>
      <c r="H364" s="99"/>
      <c r="I364" s="99"/>
      <c r="J364" s="20"/>
      <c r="K364" s="21"/>
      <c r="L364" s="21"/>
      <c r="M364" s="21"/>
      <c r="N364" s="21"/>
      <c r="O364" s="21"/>
    </row>
    <row r="365" spans="2:15" ht="14.15" customHeight="1" x14ac:dyDescent="0.35">
      <c r="B365" s="100">
        <f t="shared" si="5"/>
        <v>362</v>
      </c>
      <c r="C365" s="104" t="s">
        <v>361</v>
      </c>
      <c r="D365" s="102">
        <v>8010888</v>
      </c>
      <c r="E365" s="102"/>
      <c r="F365" s="103">
        <v>32323</v>
      </c>
      <c r="G365" s="99"/>
      <c r="H365" s="99"/>
      <c r="I365" s="99"/>
      <c r="J365" s="20"/>
      <c r="K365" s="21"/>
      <c r="L365" s="21"/>
      <c r="M365" s="21"/>
      <c r="N365" s="21"/>
      <c r="O365" s="21"/>
    </row>
    <row r="366" spans="2:15" ht="14.15" customHeight="1" x14ac:dyDescent="0.35">
      <c r="B366" s="100">
        <f t="shared" si="5"/>
        <v>363</v>
      </c>
      <c r="C366" s="104" t="s">
        <v>362</v>
      </c>
      <c r="D366" s="102">
        <v>8011086</v>
      </c>
      <c r="E366" s="102"/>
      <c r="F366" s="103">
        <v>32324</v>
      </c>
      <c r="G366" s="99"/>
      <c r="H366" s="99"/>
      <c r="I366" s="99"/>
      <c r="J366" s="20"/>
      <c r="K366" s="21"/>
      <c r="L366" s="21"/>
      <c r="M366" s="21"/>
      <c r="N366" s="21"/>
      <c r="O366" s="21"/>
    </row>
    <row r="367" spans="2:15" ht="14.15" customHeight="1" x14ac:dyDescent="0.35">
      <c r="B367" s="100">
        <f t="shared" si="5"/>
        <v>364</v>
      </c>
      <c r="C367" s="104" t="s">
        <v>363</v>
      </c>
      <c r="D367" s="102">
        <v>8111458</v>
      </c>
      <c r="E367" s="102"/>
      <c r="F367" s="103">
        <v>32324</v>
      </c>
      <c r="G367" s="99"/>
      <c r="H367" s="99"/>
      <c r="I367" s="99"/>
      <c r="J367" s="20"/>
      <c r="K367" s="21"/>
      <c r="L367" s="21"/>
      <c r="M367" s="21"/>
      <c r="N367" s="21"/>
      <c r="O367" s="21"/>
    </row>
    <row r="368" spans="2:15" ht="14.15" customHeight="1" x14ac:dyDescent="0.35">
      <c r="B368" s="100">
        <f t="shared" si="5"/>
        <v>365</v>
      </c>
      <c r="C368" s="104" t="s">
        <v>364</v>
      </c>
      <c r="D368" s="102">
        <v>8111488</v>
      </c>
      <c r="E368" s="102"/>
      <c r="F368" s="103">
        <v>32324</v>
      </c>
      <c r="G368" s="99"/>
      <c r="H368" s="99"/>
      <c r="I368" s="99"/>
      <c r="J368" s="20"/>
      <c r="K368" s="21"/>
      <c r="L368" s="21"/>
      <c r="M368" s="21"/>
      <c r="N368" s="21"/>
      <c r="O368" s="21"/>
    </row>
    <row r="369" spans="2:15" ht="14.15" customHeight="1" x14ac:dyDescent="0.35">
      <c r="B369" s="100">
        <f t="shared" si="5"/>
        <v>366</v>
      </c>
      <c r="C369" s="104" t="s">
        <v>365</v>
      </c>
      <c r="D369" s="102">
        <v>8010941</v>
      </c>
      <c r="E369" s="102"/>
      <c r="F369" s="103">
        <v>32333</v>
      </c>
      <c r="G369" s="99"/>
      <c r="H369" s="99"/>
      <c r="I369" s="99"/>
      <c r="J369" s="20"/>
      <c r="K369" s="21"/>
      <c r="L369" s="21"/>
      <c r="M369" s="21"/>
      <c r="N369" s="21"/>
      <c r="O369" s="21"/>
    </row>
    <row r="370" spans="2:15" ht="14.15" customHeight="1" x14ac:dyDescent="0.35">
      <c r="B370" s="100">
        <f t="shared" si="5"/>
        <v>367</v>
      </c>
      <c r="C370" s="104" t="s">
        <v>366</v>
      </c>
      <c r="D370" s="102">
        <v>8010900</v>
      </c>
      <c r="E370" s="102"/>
      <c r="F370" s="103">
        <v>32336</v>
      </c>
      <c r="G370" s="99"/>
      <c r="H370" s="99"/>
      <c r="I370" s="99"/>
      <c r="J370" s="20"/>
      <c r="K370" s="21"/>
      <c r="L370" s="21"/>
      <c r="M370" s="21"/>
      <c r="N370" s="21"/>
      <c r="O370" s="21"/>
    </row>
    <row r="371" spans="2:15" ht="14.15" customHeight="1" x14ac:dyDescent="0.35">
      <c r="B371" s="100">
        <f t="shared" si="5"/>
        <v>368</v>
      </c>
      <c r="C371" s="104" t="s">
        <v>367</v>
      </c>
      <c r="D371" s="102">
        <v>8111453</v>
      </c>
      <c r="E371" s="102"/>
      <c r="F371" s="103">
        <v>32354</v>
      </c>
      <c r="G371" s="99"/>
      <c r="H371" s="99"/>
      <c r="I371" s="99"/>
      <c r="J371" s="20"/>
      <c r="K371" s="21"/>
      <c r="L371" s="21"/>
      <c r="M371" s="21"/>
      <c r="N371" s="21"/>
      <c r="O371" s="21"/>
    </row>
    <row r="372" spans="2:15" ht="14.15" customHeight="1" x14ac:dyDescent="0.35">
      <c r="B372" s="100">
        <f t="shared" si="5"/>
        <v>369</v>
      </c>
      <c r="C372" s="104" t="s">
        <v>368</v>
      </c>
      <c r="D372" s="102">
        <v>8011068</v>
      </c>
      <c r="E372" s="102"/>
      <c r="F372" s="103">
        <v>32357</v>
      </c>
      <c r="G372" s="99"/>
      <c r="H372" s="99"/>
      <c r="I372" s="99"/>
      <c r="J372" s="20"/>
      <c r="K372" s="21"/>
      <c r="L372" s="21"/>
      <c r="M372" s="21"/>
      <c r="N372" s="21"/>
      <c r="O372" s="21"/>
    </row>
    <row r="373" spans="2:15" ht="14.15" customHeight="1" x14ac:dyDescent="0.35">
      <c r="B373" s="100">
        <f t="shared" si="5"/>
        <v>370</v>
      </c>
      <c r="C373" s="104" t="s">
        <v>369</v>
      </c>
      <c r="D373" s="102">
        <v>789812</v>
      </c>
      <c r="E373" s="102"/>
      <c r="F373" s="103">
        <v>32358</v>
      </c>
      <c r="G373" s="99"/>
      <c r="H373" s="99"/>
      <c r="I373" s="99"/>
      <c r="J373" s="20"/>
      <c r="K373" s="21"/>
      <c r="L373" s="21"/>
      <c r="M373" s="21"/>
      <c r="N373" s="21"/>
      <c r="O373" s="21"/>
    </row>
    <row r="374" spans="2:15" ht="14.15" customHeight="1" x14ac:dyDescent="0.35">
      <c r="B374" s="100">
        <f t="shared" si="5"/>
        <v>371</v>
      </c>
      <c r="C374" s="104" t="s">
        <v>370</v>
      </c>
      <c r="D374" s="102">
        <v>789775</v>
      </c>
      <c r="E374" s="102"/>
      <c r="F374" s="103">
        <v>32359</v>
      </c>
      <c r="G374" s="99"/>
      <c r="H374" s="99"/>
      <c r="I374" s="99"/>
      <c r="J374" s="20"/>
      <c r="K374" s="21"/>
      <c r="L374" s="21"/>
      <c r="M374" s="21"/>
      <c r="N374" s="21"/>
      <c r="O374" s="21"/>
    </row>
    <row r="375" spans="2:15" ht="14.15" customHeight="1" x14ac:dyDescent="0.35">
      <c r="B375" s="100">
        <f t="shared" si="5"/>
        <v>372</v>
      </c>
      <c r="C375" s="104" t="s">
        <v>39</v>
      </c>
      <c r="D375" s="102">
        <v>8010803</v>
      </c>
      <c r="E375" s="102"/>
      <c r="F375" s="103">
        <v>32359</v>
      </c>
      <c r="G375" s="99"/>
      <c r="H375" s="99"/>
      <c r="I375" s="99"/>
      <c r="J375" s="20"/>
      <c r="K375" s="21"/>
      <c r="L375" s="21"/>
      <c r="M375" s="21"/>
      <c r="N375" s="21"/>
      <c r="O375" s="21"/>
    </row>
    <row r="376" spans="2:15" ht="14.15" customHeight="1" x14ac:dyDescent="0.35">
      <c r="B376" s="100">
        <f t="shared" si="5"/>
        <v>373</v>
      </c>
      <c r="C376" s="104" t="s">
        <v>371</v>
      </c>
      <c r="D376" s="102">
        <v>8111442</v>
      </c>
      <c r="E376" s="102"/>
      <c r="F376" s="103">
        <v>32360</v>
      </c>
      <c r="G376" s="99"/>
      <c r="H376" s="99"/>
      <c r="I376" s="99"/>
      <c r="J376" s="20"/>
      <c r="K376" s="21"/>
      <c r="L376" s="21"/>
      <c r="M376" s="21"/>
      <c r="N376" s="21"/>
      <c r="O376" s="21"/>
    </row>
    <row r="377" spans="2:15" ht="14.15" customHeight="1" x14ac:dyDescent="0.35">
      <c r="B377" s="100">
        <f t="shared" si="5"/>
        <v>374</v>
      </c>
      <c r="C377" s="104" t="s">
        <v>372</v>
      </c>
      <c r="D377" s="102">
        <v>717280</v>
      </c>
      <c r="E377" s="102"/>
      <c r="F377" s="103">
        <v>32361</v>
      </c>
      <c r="G377" s="99"/>
      <c r="H377" s="99"/>
      <c r="I377" s="99"/>
      <c r="J377" s="20"/>
      <c r="K377" s="21"/>
      <c r="L377" s="21"/>
      <c r="M377" s="21"/>
      <c r="N377" s="21"/>
      <c r="O377" s="21"/>
    </row>
    <row r="378" spans="2:15" ht="14.15" customHeight="1" x14ac:dyDescent="0.35">
      <c r="B378" s="100">
        <f t="shared" si="5"/>
        <v>375</v>
      </c>
      <c r="C378" s="104" t="s">
        <v>373</v>
      </c>
      <c r="D378" s="102">
        <v>738012</v>
      </c>
      <c r="E378" s="102"/>
      <c r="F378" s="103">
        <v>32361</v>
      </c>
      <c r="G378" s="99"/>
      <c r="H378" s="99"/>
      <c r="I378" s="99"/>
      <c r="J378" s="20"/>
      <c r="K378" s="21"/>
      <c r="L378" s="21"/>
      <c r="M378" s="21"/>
      <c r="N378" s="21"/>
      <c r="O378" s="21"/>
    </row>
    <row r="379" spans="2:15" ht="14.15" customHeight="1" x14ac:dyDescent="0.35">
      <c r="B379" s="100">
        <f t="shared" si="5"/>
        <v>376</v>
      </c>
      <c r="C379" s="104" t="s">
        <v>374</v>
      </c>
      <c r="D379" s="102">
        <v>768973</v>
      </c>
      <c r="E379" s="102"/>
      <c r="F379" s="103">
        <v>32400</v>
      </c>
      <c r="G379" s="99"/>
      <c r="H379" s="99"/>
      <c r="I379" s="99"/>
      <c r="J379" s="20"/>
      <c r="K379" s="21"/>
      <c r="L379" s="21"/>
      <c r="M379" s="21"/>
      <c r="N379" s="21"/>
      <c r="O379" s="21"/>
    </row>
    <row r="380" spans="2:15" ht="14.15" customHeight="1" x14ac:dyDescent="0.35">
      <c r="B380" s="100">
        <f t="shared" si="5"/>
        <v>377</v>
      </c>
      <c r="C380" s="104" t="s">
        <v>375</v>
      </c>
      <c r="D380" s="102">
        <v>7910177</v>
      </c>
      <c r="E380" s="102"/>
      <c r="F380" s="103">
        <v>32400</v>
      </c>
      <c r="G380" s="99"/>
      <c r="H380" s="99"/>
      <c r="I380" s="99"/>
      <c r="J380" s="20"/>
      <c r="K380" s="21"/>
      <c r="L380" s="21"/>
      <c r="M380" s="21"/>
      <c r="N380" s="21"/>
      <c r="O380" s="21"/>
    </row>
    <row r="381" spans="2:15" ht="14.15" customHeight="1" x14ac:dyDescent="0.35">
      <c r="B381" s="100">
        <f t="shared" si="5"/>
        <v>378</v>
      </c>
      <c r="C381" s="104" t="s">
        <v>376</v>
      </c>
      <c r="D381" s="102">
        <v>8211752</v>
      </c>
      <c r="E381" s="102"/>
      <c r="F381" s="103">
        <v>32406</v>
      </c>
      <c r="G381" s="99"/>
      <c r="H381" s="99"/>
      <c r="I381" s="99"/>
      <c r="J381" s="20"/>
      <c r="K381" s="21"/>
      <c r="L381" s="21"/>
      <c r="M381" s="21"/>
      <c r="N381" s="21"/>
      <c r="O381" s="21"/>
    </row>
    <row r="382" spans="2:15" ht="14.15" customHeight="1" x14ac:dyDescent="0.35">
      <c r="B382" s="100">
        <f t="shared" si="5"/>
        <v>379</v>
      </c>
      <c r="C382" s="104" t="s">
        <v>377</v>
      </c>
      <c r="D382" s="102">
        <v>727723</v>
      </c>
      <c r="E382" s="102"/>
      <c r="F382" s="103">
        <v>32412</v>
      </c>
      <c r="G382" s="99"/>
      <c r="H382" s="99"/>
      <c r="I382" s="99"/>
      <c r="J382" s="20"/>
      <c r="K382" s="21"/>
      <c r="L382" s="21"/>
      <c r="M382" s="21"/>
      <c r="N382" s="21"/>
      <c r="O382" s="21"/>
    </row>
    <row r="383" spans="2:15" ht="14.15" customHeight="1" x14ac:dyDescent="0.35">
      <c r="B383" s="100">
        <f t="shared" si="5"/>
        <v>380</v>
      </c>
      <c r="C383" s="104" t="s">
        <v>378</v>
      </c>
      <c r="D383" s="102">
        <v>768970</v>
      </c>
      <c r="E383" s="102"/>
      <c r="F383" s="103">
        <v>32416</v>
      </c>
      <c r="G383" s="99"/>
      <c r="H383" s="99"/>
      <c r="I383" s="99"/>
      <c r="J383" s="20"/>
      <c r="K383" s="21"/>
      <c r="L383" s="21"/>
      <c r="M383" s="21"/>
      <c r="N383" s="21"/>
      <c r="O383" s="21"/>
    </row>
    <row r="384" spans="2:15" ht="14.15" customHeight="1" x14ac:dyDescent="0.35">
      <c r="B384" s="100">
        <f t="shared" si="5"/>
        <v>381</v>
      </c>
      <c r="C384" s="104" t="s">
        <v>379</v>
      </c>
      <c r="D384" s="102">
        <v>8010937</v>
      </c>
      <c r="E384" s="102"/>
      <c r="F384" s="103">
        <v>32416</v>
      </c>
      <c r="G384" s="99"/>
      <c r="H384" s="99"/>
      <c r="I384" s="99"/>
      <c r="J384" s="20"/>
      <c r="K384" s="21"/>
      <c r="L384" s="21"/>
      <c r="M384" s="21"/>
      <c r="N384" s="21"/>
      <c r="O384" s="21"/>
    </row>
    <row r="385" spans="2:15" ht="14.15" customHeight="1" x14ac:dyDescent="0.35">
      <c r="B385" s="100">
        <f t="shared" si="5"/>
        <v>382</v>
      </c>
      <c r="C385" s="104" t="s">
        <v>380</v>
      </c>
      <c r="D385" s="102">
        <v>8111322</v>
      </c>
      <c r="E385" s="102"/>
      <c r="F385" s="103">
        <v>32422</v>
      </c>
      <c r="G385" s="99"/>
      <c r="H385" s="99"/>
      <c r="I385" s="99"/>
      <c r="J385" s="20"/>
      <c r="K385" s="21"/>
      <c r="L385" s="21"/>
      <c r="M385" s="21"/>
      <c r="N385" s="21"/>
      <c r="O385" s="21"/>
    </row>
    <row r="386" spans="2:15" ht="14.15" customHeight="1" x14ac:dyDescent="0.35">
      <c r="B386" s="100">
        <f t="shared" si="5"/>
        <v>383</v>
      </c>
      <c r="C386" s="104" t="s">
        <v>381</v>
      </c>
      <c r="D386" s="102">
        <v>779566</v>
      </c>
      <c r="E386" s="102"/>
      <c r="F386" s="103">
        <v>32426</v>
      </c>
      <c r="G386" s="99"/>
      <c r="H386" s="99"/>
      <c r="I386" s="99"/>
      <c r="J386" s="20"/>
      <c r="K386" s="21"/>
      <c r="L386" s="21"/>
      <c r="M386" s="21"/>
      <c r="N386" s="21"/>
      <c r="O386" s="21"/>
    </row>
    <row r="387" spans="2:15" ht="14.15" customHeight="1" x14ac:dyDescent="0.35">
      <c r="B387" s="100">
        <f t="shared" si="5"/>
        <v>384</v>
      </c>
      <c r="C387" s="104" t="s">
        <v>382</v>
      </c>
      <c r="D387" s="102">
        <v>8011013</v>
      </c>
      <c r="E387" s="102"/>
      <c r="F387" s="103">
        <v>32426</v>
      </c>
      <c r="G387" s="99"/>
      <c r="H387" s="99"/>
      <c r="I387" s="99"/>
      <c r="J387" s="20"/>
      <c r="K387" s="21"/>
      <c r="L387" s="21"/>
      <c r="M387" s="21"/>
      <c r="N387" s="21"/>
      <c r="O387" s="21"/>
    </row>
    <row r="388" spans="2:15" ht="14.15" customHeight="1" x14ac:dyDescent="0.35">
      <c r="B388" s="100">
        <f t="shared" si="5"/>
        <v>385</v>
      </c>
      <c r="C388" s="104" t="s">
        <v>383</v>
      </c>
      <c r="D388" s="102">
        <v>7810010</v>
      </c>
      <c r="E388" s="102"/>
      <c r="F388" s="103">
        <v>32427</v>
      </c>
      <c r="G388" s="99"/>
      <c r="H388" s="99"/>
      <c r="I388" s="99"/>
      <c r="J388" s="20"/>
      <c r="K388" s="21"/>
      <c r="L388" s="21"/>
      <c r="M388" s="21"/>
      <c r="N388" s="21"/>
      <c r="O388" s="21"/>
    </row>
    <row r="389" spans="2:15" ht="14.15" customHeight="1" x14ac:dyDescent="0.35">
      <c r="B389" s="100">
        <f t="shared" ref="B389:B452" si="6">(B388+1)</f>
        <v>386</v>
      </c>
      <c r="C389" s="104" t="s">
        <v>384</v>
      </c>
      <c r="D389" s="102">
        <v>789703</v>
      </c>
      <c r="E389" s="102"/>
      <c r="F389" s="103">
        <v>32431</v>
      </c>
      <c r="G389" s="99"/>
      <c r="H389" s="99"/>
      <c r="I389" s="99"/>
      <c r="J389" s="20"/>
      <c r="K389" s="21"/>
      <c r="L389" s="21"/>
      <c r="M389" s="21"/>
      <c r="N389" s="21"/>
      <c r="O389" s="21"/>
    </row>
    <row r="390" spans="2:15" ht="14.15" customHeight="1" x14ac:dyDescent="0.35">
      <c r="B390" s="100">
        <f t="shared" si="6"/>
        <v>387</v>
      </c>
      <c r="C390" s="104" t="s">
        <v>385</v>
      </c>
      <c r="D390" s="102">
        <v>8010709</v>
      </c>
      <c r="E390" s="102"/>
      <c r="F390" s="103">
        <v>32431</v>
      </c>
      <c r="G390" s="99"/>
      <c r="H390" s="99"/>
      <c r="I390" s="99"/>
      <c r="J390" s="20"/>
      <c r="K390" s="21"/>
      <c r="L390" s="21"/>
      <c r="M390" s="21"/>
      <c r="N390" s="21"/>
      <c r="O390" s="21"/>
    </row>
    <row r="391" spans="2:15" ht="14.15" customHeight="1" x14ac:dyDescent="0.35">
      <c r="B391" s="100">
        <f t="shared" si="6"/>
        <v>388</v>
      </c>
      <c r="C391" s="104" t="s">
        <v>386</v>
      </c>
      <c r="D391" s="102">
        <v>8312676</v>
      </c>
      <c r="E391" s="102"/>
      <c r="F391" s="103">
        <v>32433</v>
      </c>
      <c r="G391" s="99"/>
      <c r="H391" s="99"/>
      <c r="I391" s="99"/>
      <c r="J391" s="20"/>
      <c r="K391" s="21"/>
      <c r="L391" s="21"/>
      <c r="M391" s="21"/>
      <c r="N391" s="21"/>
      <c r="O391" s="21"/>
    </row>
    <row r="392" spans="2:15" ht="14.15" customHeight="1" x14ac:dyDescent="0.35">
      <c r="B392" s="100">
        <f t="shared" si="6"/>
        <v>389</v>
      </c>
      <c r="C392" s="104" t="s">
        <v>387</v>
      </c>
      <c r="D392" s="102">
        <v>779589</v>
      </c>
      <c r="E392" s="102"/>
      <c r="F392" s="103">
        <v>32435</v>
      </c>
      <c r="G392" s="99"/>
      <c r="H392" s="99"/>
      <c r="I392" s="99"/>
      <c r="J392" s="20"/>
      <c r="K392" s="21"/>
      <c r="L392" s="21"/>
      <c r="M392" s="21"/>
      <c r="N392" s="21"/>
      <c r="O392" s="21"/>
    </row>
    <row r="393" spans="2:15" ht="14.15" customHeight="1" x14ac:dyDescent="0.35">
      <c r="B393" s="100">
        <f t="shared" si="6"/>
        <v>390</v>
      </c>
      <c r="C393" s="104" t="s">
        <v>388</v>
      </c>
      <c r="D393" s="102">
        <v>8211734</v>
      </c>
      <c r="E393" s="102"/>
      <c r="F393" s="103">
        <v>32438</v>
      </c>
      <c r="G393" s="99"/>
      <c r="H393" s="99"/>
      <c r="I393" s="99"/>
      <c r="J393" s="20"/>
      <c r="K393" s="21"/>
      <c r="L393" s="21"/>
      <c r="M393" s="21"/>
      <c r="N393" s="21"/>
      <c r="O393" s="21"/>
    </row>
    <row r="394" spans="2:15" ht="14.15" customHeight="1" x14ac:dyDescent="0.35">
      <c r="B394" s="100">
        <f t="shared" si="6"/>
        <v>391</v>
      </c>
      <c r="C394" s="104" t="s">
        <v>389</v>
      </c>
      <c r="D394" s="102">
        <v>8111403</v>
      </c>
      <c r="E394" s="102"/>
      <c r="F394" s="103">
        <v>32440</v>
      </c>
      <c r="G394" s="99"/>
      <c r="H394" s="99"/>
      <c r="I394" s="99"/>
      <c r="J394" s="20"/>
      <c r="K394" s="21"/>
      <c r="L394" s="21"/>
      <c r="M394" s="21"/>
      <c r="N394" s="21"/>
      <c r="O394" s="21"/>
    </row>
    <row r="395" spans="2:15" ht="14.15" customHeight="1" x14ac:dyDescent="0.35">
      <c r="B395" s="100">
        <f t="shared" si="6"/>
        <v>392</v>
      </c>
      <c r="C395" s="104" t="s">
        <v>390</v>
      </c>
      <c r="D395" s="102">
        <v>8111491</v>
      </c>
      <c r="E395" s="102"/>
      <c r="F395" s="103">
        <v>32440</v>
      </c>
      <c r="G395" s="99"/>
      <c r="H395" s="99"/>
      <c r="I395" s="99"/>
      <c r="J395" s="20"/>
      <c r="K395" s="21"/>
      <c r="L395" s="21"/>
      <c r="M395" s="21"/>
      <c r="N395" s="21"/>
      <c r="O395" s="21"/>
    </row>
    <row r="396" spans="2:15" ht="14.15" customHeight="1" x14ac:dyDescent="0.35">
      <c r="B396" s="100">
        <f t="shared" si="6"/>
        <v>393</v>
      </c>
      <c r="C396" s="104" t="s">
        <v>391</v>
      </c>
      <c r="D396" s="102">
        <v>768967</v>
      </c>
      <c r="E396" s="102"/>
      <c r="F396" s="103">
        <v>32450</v>
      </c>
      <c r="G396" s="99"/>
      <c r="H396" s="99"/>
      <c r="I396" s="99"/>
      <c r="J396" s="20"/>
      <c r="K396" s="21"/>
      <c r="L396" s="21"/>
      <c r="M396" s="21"/>
      <c r="N396" s="21"/>
      <c r="O396" s="21"/>
    </row>
    <row r="397" spans="2:15" ht="14.15" customHeight="1" x14ac:dyDescent="0.35">
      <c r="B397" s="100">
        <f t="shared" si="6"/>
        <v>394</v>
      </c>
      <c r="C397" s="104" t="s">
        <v>392</v>
      </c>
      <c r="D397" s="102">
        <v>769261</v>
      </c>
      <c r="E397" s="102"/>
      <c r="F397" s="103">
        <v>32450</v>
      </c>
      <c r="G397" s="99"/>
      <c r="H397" s="99"/>
      <c r="I397" s="99"/>
      <c r="J397" s="20"/>
      <c r="K397" s="21"/>
      <c r="L397" s="21"/>
      <c r="M397" s="21"/>
      <c r="N397" s="21"/>
      <c r="O397" s="21"/>
    </row>
    <row r="398" spans="2:15" ht="14.15" customHeight="1" x14ac:dyDescent="0.35">
      <c r="B398" s="100">
        <f t="shared" si="6"/>
        <v>395</v>
      </c>
      <c r="C398" s="104" t="s">
        <v>393</v>
      </c>
      <c r="D398" s="102">
        <v>769284</v>
      </c>
      <c r="E398" s="102"/>
      <c r="F398" s="103">
        <v>32450</v>
      </c>
      <c r="G398" s="99"/>
      <c r="H398" s="99"/>
      <c r="I398" s="99"/>
      <c r="J398" s="20"/>
      <c r="K398" s="21"/>
      <c r="L398" s="21"/>
      <c r="M398" s="21"/>
      <c r="N398" s="21"/>
      <c r="O398" s="21"/>
    </row>
    <row r="399" spans="2:15" ht="14.15" customHeight="1" x14ac:dyDescent="0.35">
      <c r="B399" s="100">
        <f t="shared" si="6"/>
        <v>396</v>
      </c>
      <c r="C399" s="104" t="s">
        <v>394</v>
      </c>
      <c r="D399" s="102">
        <v>8111480</v>
      </c>
      <c r="E399" s="102"/>
      <c r="F399" s="103">
        <v>32450</v>
      </c>
      <c r="G399" s="99"/>
      <c r="H399" s="99"/>
      <c r="I399" s="99"/>
      <c r="J399" s="20"/>
      <c r="K399" s="21"/>
      <c r="L399" s="21"/>
      <c r="M399" s="21"/>
      <c r="N399" s="21"/>
      <c r="O399" s="21"/>
    </row>
    <row r="400" spans="2:15" ht="14.15" customHeight="1" x14ac:dyDescent="0.35">
      <c r="B400" s="100">
        <f t="shared" si="6"/>
        <v>397</v>
      </c>
      <c r="C400" s="104" t="s">
        <v>395</v>
      </c>
      <c r="D400" s="102">
        <v>8312623</v>
      </c>
      <c r="E400" s="102"/>
      <c r="F400" s="103">
        <v>32450</v>
      </c>
      <c r="G400" s="99"/>
      <c r="H400" s="99"/>
      <c r="I400" s="99"/>
      <c r="J400" s="20"/>
      <c r="K400" s="21"/>
      <c r="L400" s="21"/>
      <c r="M400" s="21"/>
      <c r="N400" s="21"/>
      <c r="O400" s="21"/>
    </row>
    <row r="401" spans="2:15" ht="14.15" customHeight="1" x14ac:dyDescent="0.35">
      <c r="B401" s="100">
        <f t="shared" si="6"/>
        <v>398</v>
      </c>
      <c r="C401" s="104" t="s">
        <v>396</v>
      </c>
      <c r="D401" s="102">
        <v>789878</v>
      </c>
      <c r="E401" s="102"/>
      <c r="F401" s="103">
        <v>32451</v>
      </c>
      <c r="G401" s="99"/>
      <c r="H401" s="99"/>
      <c r="I401" s="99"/>
      <c r="J401" s="20"/>
      <c r="K401" s="21"/>
      <c r="L401" s="21"/>
      <c r="M401" s="21"/>
      <c r="N401" s="21"/>
      <c r="O401" s="21"/>
    </row>
    <row r="402" spans="2:15" ht="14.15" customHeight="1" x14ac:dyDescent="0.35">
      <c r="B402" s="100">
        <f t="shared" si="6"/>
        <v>399</v>
      </c>
      <c r="C402" s="104" t="s">
        <v>397</v>
      </c>
      <c r="D402" s="102">
        <v>8111478</v>
      </c>
      <c r="E402" s="102"/>
      <c r="F402" s="103">
        <v>32451</v>
      </c>
      <c r="G402" s="99"/>
      <c r="H402" s="99"/>
      <c r="I402" s="99"/>
      <c r="J402" s="20"/>
      <c r="K402" s="21"/>
      <c r="L402" s="21"/>
      <c r="M402" s="21"/>
      <c r="N402" s="21"/>
      <c r="O402" s="21"/>
    </row>
    <row r="403" spans="2:15" ht="14.15" customHeight="1" x14ac:dyDescent="0.35">
      <c r="B403" s="100">
        <f t="shared" si="6"/>
        <v>400</v>
      </c>
      <c r="C403" s="104" t="s">
        <v>398</v>
      </c>
      <c r="D403" s="102">
        <v>8211799</v>
      </c>
      <c r="E403" s="102"/>
      <c r="F403" s="103">
        <v>32452</v>
      </c>
      <c r="G403" s="99"/>
      <c r="H403" s="99"/>
      <c r="I403" s="99"/>
      <c r="J403" s="20"/>
      <c r="K403" s="21"/>
      <c r="L403" s="21"/>
      <c r="M403" s="21"/>
      <c r="N403" s="21"/>
      <c r="O403" s="21"/>
    </row>
    <row r="404" spans="2:15" ht="14.15" customHeight="1" x14ac:dyDescent="0.35">
      <c r="B404" s="100">
        <f t="shared" si="6"/>
        <v>401</v>
      </c>
      <c r="C404" s="104" t="s">
        <v>399</v>
      </c>
      <c r="D404" s="102">
        <v>8312346</v>
      </c>
      <c r="E404" s="102"/>
      <c r="F404" s="103">
        <v>32466</v>
      </c>
      <c r="G404" s="99"/>
      <c r="H404" s="99"/>
      <c r="I404" s="99"/>
      <c r="J404" s="20"/>
      <c r="K404" s="21"/>
      <c r="L404" s="21"/>
      <c r="M404" s="21"/>
      <c r="N404" s="21"/>
      <c r="O404" s="21"/>
    </row>
    <row r="405" spans="2:15" ht="14.15" customHeight="1" x14ac:dyDescent="0.35">
      <c r="B405" s="100">
        <f t="shared" si="6"/>
        <v>402</v>
      </c>
      <c r="C405" s="104" t="s">
        <v>400</v>
      </c>
      <c r="D405" s="102">
        <v>8111402</v>
      </c>
      <c r="E405" s="102"/>
      <c r="F405" s="103">
        <v>32473</v>
      </c>
      <c r="G405" s="99"/>
      <c r="H405" s="99"/>
      <c r="I405" s="99"/>
      <c r="J405" s="20"/>
      <c r="K405" s="21"/>
      <c r="L405" s="21"/>
      <c r="M405" s="21"/>
      <c r="N405" s="21"/>
      <c r="O405" s="21"/>
    </row>
    <row r="406" spans="2:15" ht="14.15" customHeight="1" x14ac:dyDescent="0.35">
      <c r="B406" s="100">
        <f t="shared" si="6"/>
        <v>403</v>
      </c>
      <c r="C406" s="104" t="s">
        <v>401</v>
      </c>
      <c r="D406" s="102">
        <v>706921</v>
      </c>
      <c r="E406" s="102"/>
      <c r="F406" s="103">
        <v>32497</v>
      </c>
      <c r="G406" s="99"/>
      <c r="H406" s="99"/>
      <c r="I406" s="99"/>
      <c r="J406" s="20"/>
      <c r="K406" s="21"/>
      <c r="L406" s="21"/>
      <c r="M406" s="21"/>
      <c r="N406" s="21"/>
      <c r="O406" s="21"/>
    </row>
    <row r="407" spans="2:15" ht="14.15" customHeight="1" x14ac:dyDescent="0.35">
      <c r="B407" s="100">
        <f t="shared" si="6"/>
        <v>404</v>
      </c>
      <c r="C407" s="104" t="s">
        <v>402</v>
      </c>
      <c r="D407" s="102">
        <v>8111417</v>
      </c>
      <c r="E407" s="102"/>
      <c r="F407" s="103">
        <v>32497</v>
      </c>
      <c r="G407" s="99"/>
      <c r="H407" s="99"/>
      <c r="I407" s="99"/>
      <c r="J407" s="20"/>
      <c r="K407" s="21"/>
      <c r="L407" s="21"/>
      <c r="M407" s="21"/>
      <c r="N407" s="21"/>
      <c r="O407" s="21"/>
    </row>
    <row r="408" spans="2:15" ht="14.15" customHeight="1" x14ac:dyDescent="0.35">
      <c r="B408" s="100">
        <f t="shared" si="6"/>
        <v>405</v>
      </c>
      <c r="C408" s="104" t="s">
        <v>403</v>
      </c>
      <c r="D408" s="102">
        <v>789772</v>
      </c>
      <c r="E408" s="102"/>
      <c r="F408" s="103">
        <v>32533</v>
      </c>
      <c r="G408" s="99"/>
      <c r="H408" s="99"/>
      <c r="I408" s="99"/>
      <c r="J408" s="20"/>
      <c r="K408" s="21"/>
      <c r="L408" s="21"/>
      <c r="M408" s="21"/>
      <c r="N408" s="21"/>
      <c r="O408" s="21"/>
    </row>
    <row r="409" spans="2:15" ht="14.15" customHeight="1" x14ac:dyDescent="0.35">
      <c r="B409" s="100">
        <f t="shared" si="6"/>
        <v>406</v>
      </c>
      <c r="C409" s="104" t="s">
        <v>404</v>
      </c>
      <c r="D409" s="102">
        <v>8312327</v>
      </c>
      <c r="E409" s="102"/>
      <c r="F409" s="103">
        <v>32533</v>
      </c>
      <c r="G409" s="99"/>
      <c r="H409" s="99"/>
      <c r="I409" s="99"/>
      <c r="J409" s="20"/>
      <c r="K409" s="21"/>
      <c r="L409" s="21"/>
      <c r="M409" s="21"/>
      <c r="N409" s="21"/>
      <c r="O409" s="21"/>
    </row>
    <row r="410" spans="2:15" ht="14.15" customHeight="1" x14ac:dyDescent="0.35">
      <c r="B410" s="100">
        <f t="shared" si="6"/>
        <v>407</v>
      </c>
      <c r="C410" s="104" t="s">
        <v>405</v>
      </c>
      <c r="D410" s="102">
        <v>8010722</v>
      </c>
      <c r="E410" s="102"/>
      <c r="F410" s="103">
        <v>32534</v>
      </c>
      <c r="G410" s="99"/>
      <c r="H410" s="99"/>
      <c r="I410" s="99"/>
      <c r="J410" s="20"/>
      <c r="K410" s="21"/>
      <c r="L410" s="21"/>
      <c r="M410" s="21"/>
      <c r="N410" s="21"/>
      <c r="O410" s="21"/>
    </row>
    <row r="411" spans="2:15" ht="14.15" customHeight="1" x14ac:dyDescent="0.35">
      <c r="B411" s="100">
        <f t="shared" si="6"/>
        <v>408</v>
      </c>
      <c r="C411" s="104" t="s">
        <v>406</v>
      </c>
      <c r="D411" s="102">
        <v>8211721</v>
      </c>
      <c r="E411" s="102"/>
      <c r="F411" s="103">
        <v>32534</v>
      </c>
      <c r="G411" s="99"/>
      <c r="H411" s="99"/>
      <c r="I411" s="99"/>
      <c r="J411" s="20"/>
      <c r="K411" s="21"/>
      <c r="L411" s="21"/>
      <c r="M411" s="21"/>
      <c r="N411" s="21"/>
      <c r="O411" s="21"/>
    </row>
    <row r="412" spans="2:15" ht="14.15" customHeight="1" x14ac:dyDescent="0.35">
      <c r="B412" s="100">
        <f t="shared" si="6"/>
        <v>409</v>
      </c>
      <c r="C412" s="104" t="s">
        <v>407</v>
      </c>
      <c r="D412" s="102">
        <v>8211739</v>
      </c>
      <c r="E412" s="102"/>
      <c r="F412" s="103">
        <v>32534</v>
      </c>
      <c r="G412" s="99"/>
      <c r="H412" s="99"/>
      <c r="I412" s="99"/>
      <c r="J412" s="20"/>
      <c r="K412" s="21"/>
      <c r="L412" s="21"/>
      <c r="M412" s="21"/>
      <c r="N412" s="21"/>
      <c r="O412" s="21"/>
    </row>
    <row r="413" spans="2:15" ht="14.15" customHeight="1" x14ac:dyDescent="0.35">
      <c r="B413" s="100">
        <f t="shared" si="6"/>
        <v>410</v>
      </c>
      <c r="C413" s="104" t="s">
        <v>408</v>
      </c>
      <c r="D413" s="102">
        <v>779442</v>
      </c>
      <c r="E413" s="102"/>
      <c r="F413" s="103">
        <v>32536</v>
      </c>
      <c r="G413" s="99"/>
      <c r="H413" s="99"/>
      <c r="I413" s="99"/>
      <c r="J413" s="20"/>
      <c r="K413" s="21"/>
      <c r="L413" s="21"/>
      <c r="M413" s="21"/>
      <c r="N413" s="21"/>
      <c r="O413" s="21"/>
    </row>
    <row r="414" spans="2:15" ht="14.15" customHeight="1" x14ac:dyDescent="0.35">
      <c r="B414" s="100">
        <f t="shared" si="6"/>
        <v>411</v>
      </c>
      <c r="C414" s="104" t="s">
        <v>409</v>
      </c>
      <c r="D414" s="102">
        <v>8010724</v>
      </c>
      <c r="E414" s="102"/>
      <c r="F414" s="103">
        <v>32536</v>
      </c>
      <c r="G414" s="99"/>
      <c r="H414" s="99"/>
      <c r="I414" s="99"/>
      <c r="J414" s="20"/>
      <c r="K414" s="21"/>
      <c r="L414" s="21"/>
      <c r="M414" s="21"/>
      <c r="N414" s="21"/>
      <c r="O414" s="21"/>
    </row>
    <row r="415" spans="2:15" ht="14.15" customHeight="1" x14ac:dyDescent="0.35">
      <c r="B415" s="100">
        <f t="shared" si="6"/>
        <v>412</v>
      </c>
      <c r="C415" s="104" t="s">
        <v>410</v>
      </c>
      <c r="D415" s="102">
        <v>8211722</v>
      </c>
      <c r="E415" s="102"/>
      <c r="F415" s="103">
        <v>32540</v>
      </c>
      <c r="G415" s="99"/>
      <c r="H415" s="99"/>
      <c r="I415" s="99"/>
      <c r="J415" s="20"/>
      <c r="K415" s="21"/>
      <c r="L415" s="21"/>
      <c r="M415" s="21"/>
      <c r="N415" s="21"/>
      <c r="O415" s="21"/>
    </row>
    <row r="416" spans="2:15" ht="14.15" customHeight="1" x14ac:dyDescent="0.35">
      <c r="B416" s="100">
        <f t="shared" si="6"/>
        <v>413</v>
      </c>
      <c r="C416" s="104" t="s">
        <v>411</v>
      </c>
      <c r="D416" s="102">
        <v>8211797</v>
      </c>
      <c r="E416" s="102"/>
      <c r="F416" s="103">
        <v>32550</v>
      </c>
      <c r="G416" s="99"/>
      <c r="H416" s="99"/>
      <c r="I416" s="99"/>
      <c r="J416" s="20"/>
      <c r="K416" s="21"/>
      <c r="L416" s="21"/>
      <c r="M416" s="21"/>
      <c r="N416" s="21"/>
      <c r="O416" s="21"/>
    </row>
    <row r="417" spans="2:15" ht="14.15" customHeight="1" x14ac:dyDescent="0.35">
      <c r="B417" s="100">
        <f t="shared" si="6"/>
        <v>414</v>
      </c>
      <c r="C417" s="104" t="s">
        <v>412</v>
      </c>
      <c r="D417" s="102">
        <v>8010984</v>
      </c>
      <c r="E417" s="102"/>
      <c r="F417" s="103">
        <v>32554</v>
      </c>
      <c r="G417" s="99"/>
      <c r="H417" s="99"/>
      <c r="I417" s="99"/>
      <c r="J417" s="20"/>
      <c r="K417" s="21"/>
      <c r="L417" s="21"/>
      <c r="M417" s="21"/>
      <c r="N417" s="21"/>
      <c r="O417" s="21"/>
    </row>
    <row r="418" spans="2:15" ht="14.15" customHeight="1" x14ac:dyDescent="0.35">
      <c r="B418" s="100">
        <f t="shared" si="6"/>
        <v>415</v>
      </c>
      <c r="C418" s="104" t="s">
        <v>348</v>
      </c>
      <c r="D418" s="102">
        <v>7910197</v>
      </c>
      <c r="E418" s="102"/>
      <c r="F418" s="103">
        <v>32559</v>
      </c>
      <c r="G418" s="99"/>
      <c r="H418" s="99"/>
      <c r="I418" s="99"/>
      <c r="J418" s="20"/>
      <c r="K418" s="21"/>
      <c r="L418" s="21"/>
      <c r="M418" s="21"/>
      <c r="N418" s="21"/>
      <c r="O418" s="21"/>
    </row>
    <row r="419" spans="2:15" ht="14.15" customHeight="1" x14ac:dyDescent="0.35">
      <c r="B419" s="100">
        <f t="shared" si="6"/>
        <v>416</v>
      </c>
      <c r="C419" s="104" t="s">
        <v>413</v>
      </c>
      <c r="D419" s="102">
        <v>8312644</v>
      </c>
      <c r="E419" s="102"/>
      <c r="F419" s="103">
        <v>32562</v>
      </c>
      <c r="G419" s="99"/>
      <c r="H419" s="99"/>
      <c r="I419" s="99"/>
      <c r="J419" s="20"/>
      <c r="K419" s="21"/>
      <c r="L419" s="21"/>
      <c r="M419" s="21"/>
      <c r="N419" s="21"/>
      <c r="O419" s="21"/>
    </row>
    <row r="420" spans="2:15" ht="14.15" customHeight="1" x14ac:dyDescent="0.35">
      <c r="B420" s="100">
        <f t="shared" si="6"/>
        <v>417</v>
      </c>
      <c r="C420" s="104" t="s">
        <v>414</v>
      </c>
      <c r="D420" s="102">
        <v>789854</v>
      </c>
      <c r="E420" s="102"/>
      <c r="F420" s="103">
        <v>32573</v>
      </c>
      <c r="G420" s="99"/>
      <c r="H420" s="99"/>
      <c r="I420" s="99"/>
      <c r="J420" s="20"/>
      <c r="K420" s="21"/>
      <c r="L420" s="21"/>
      <c r="M420" s="21"/>
      <c r="N420" s="21"/>
      <c r="O420" s="21"/>
    </row>
    <row r="421" spans="2:15" ht="14.15" customHeight="1" x14ac:dyDescent="0.35">
      <c r="B421" s="100">
        <f t="shared" si="6"/>
        <v>418</v>
      </c>
      <c r="C421" s="104" t="s">
        <v>415</v>
      </c>
      <c r="D421" s="102">
        <v>8001857</v>
      </c>
      <c r="E421" s="102"/>
      <c r="F421" s="103">
        <v>32573</v>
      </c>
      <c r="G421" s="99"/>
      <c r="H421" s="99"/>
      <c r="I421" s="99"/>
      <c r="J421" s="20"/>
      <c r="K421" s="21"/>
      <c r="L421" s="21"/>
      <c r="M421" s="21"/>
      <c r="N421" s="21"/>
      <c r="O421" s="21"/>
    </row>
    <row r="422" spans="2:15" ht="14.15" customHeight="1" x14ac:dyDescent="0.35">
      <c r="B422" s="100">
        <f t="shared" si="6"/>
        <v>419</v>
      </c>
      <c r="C422" s="104" t="s">
        <v>416</v>
      </c>
      <c r="D422" s="102">
        <v>8211730</v>
      </c>
      <c r="E422" s="102"/>
      <c r="F422" s="103">
        <v>32585</v>
      </c>
      <c r="G422" s="99"/>
      <c r="H422" s="99"/>
      <c r="I422" s="99"/>
      <c r="J422" s="20"/>
      <c r="K422" s="21"/>
      <c r="L422" s="21"/>
      <c r="M422" s="21"/>
      <c r="N422" s="21"/>
      <c r="O422" s="21"/>
    </row>
    <row r="423" spans="2:15" ht="14.15" customHeight="1" x14ac:dyDescent="0.35">
      <c r="B423" s="100">
        <f t="shared" si="6"/>
        <v>420</v>
      </c>
      <c r="C423" s="104" t="s">
        <v>417</v>
      </c>
      <c r="D423" s="102">
        <v>8312679</v>
      </c>
      <c r="E423" s="102"/>
      <c r="F423" s="103">
        <v>32585</v>
      </c>
      <c r="G423" s="99"/>
      <c r="H423" s="99"/>
      <c r="I423" s="99"/>
      <c r="J423" s="20"/>
      <c r="K423" s="21"/>
      <c r="L423" s="21"/>
      <c r="M423" s="21"/>
      <c r="N423" s="21"/>
      <c r="O423" s="21"/>
    </row>
    <row r="424" spans="2:15" ht="14.15" customHeight="1" x14ac:dyDescent="0.35">
      <c r="B424" s="100">
        <f t="shared" si="6"/>
        <v>421</v>
      </c>
      <c r="C424" s="104" t="s">
        <v>418</v>
      </c>
      <c r="D424" s="102">
        <v>8111463</v>
      </c>
      <c r="E424" s="102"/>
      <c r="F424" s="103">
        <v>32588</v>
      </c>
      <c r="G424" s="99"/>
      <c r="H424" s="99"/>
      <c r="I424" s="99"/>
      <c r="J424" s="20"/>
      <c r="K424" s="21"/>
      <c r="L424" s="21"/>
      <c r="M424" s="21"/>
      <c r="N424" s="21"/>
      <c r="O424" s="21"/>
    </row>
    <row r="425" spans="2:15" ht="14.15" customHeight="1" x14ac:dyDescent="0.35">
      <c r="B425" s="100">
        <f t="shared" si="6"/>
        <v>422</v>
      </c>
      <c r="C425" s="104" t="s">
        <v>419</v>
      </c>
      <c r="D425" s="102">
        <v>8111443</v>
      </c>
      <c r="E425" s="102"/>
      <c r="F425" s="103">
        <v>32592</v>
      </c>
      <c r="G425" s="99"/>
      <c r="H425" s="99"/>
      <c r="I425" s="99"/>
      <c r="J425" s="20"/>
      <c r="K425" s="21"/>
      <c r="L425" s="21"/>
      <c r="M425" s="21"/>
      <c r="N425" s="21"/>
      <c r="O425" s="21"/>
    </row>
    <row r="426" spans="2:15" ht="14.15" customHeight="1" x14ac:dyDescent="0.35">
      <c r="B426" s="100">
        <f t="shared" si="6"/>
        <v>423</v>
      </c>
      <c r="C426" s="104" t="s">
        <v>420</v>
      </c>
      <c r="D426" s="102">
        <v>8211720</v>
      </c>
      <c r="E426" s="102"/>
      <c r="F426" s="103">
        <v>32594</v>
      </c>
      <c r="G426" s="99"/>
      <c r="H426" s="99"/>
      <c r="I426" s="99"/>
      <c r="J426" s="20"/>
      <c r="K426" s="21"/>
      <c r="L426" s="21"/>
      <c r="M426" s="21"/>
      <c r="N426" s="21"/>
      <c r="O426" s="21"/>
    </row>
    <row r="427" spans="2:15" ht="14.15" customHeight="1" x14ac:dyDescent="0.35">
      <c r="B427" s="100">
        <f t="shared" si="6"/>
        <v>424</v>
      </c>
      <c r="C427" s="104" t="s">
        <v>421</v>
      </c>
      <c r="D427" s="102">
        <v>789957</v>
      </c>
      <c r="E427" s="102"/>
      <c r="F427" s="103">
        <v>32595</v>
      </c>
      <c r="G427" s="99"/>
      <c r="H427" s="99"/>
      <c r="I427" s="99"/>
      <c r="J427" s="20"/>
      <c r="K427" s="21"/>
      <c r="L427" s="21"/>
      <c r="M427" s="21"/>
      <c r="N427" s="21"/>
      <c r="O427" s="21"/>
    </row>
    <row r="428" spans="2:15" ht="14.15" customHeight="1" x14ac:dyDescent="0.35">
      <c r="B428" s="100">
        <f t="shared" si="6"/>
        <v>425</v>
      </c>
      <c r="C428" s="104" t="s">
        <v>422</v>
      </c>
      <c r="D428" s="102">
        <v>717156</v>
      </c>
      <c r="E428" s="102"/>
      <c r="F428" s="103">
        <v>32599</v>
      </c>
      <c r="G428" s="99"/>
      <c r="H428" s="99"/>
      <c r="I428" s="99"/>
      <c r="J428" s="20"/>
      <c r="K428" s="21"/>
      <c r="L428" s="21"/>
      <c r="M428" s="21"/>
      <c r="N428" s="21"/>
      <c r="O428" s="21"/>
    </row>
    <row r="429" spans="2:15" ht="14.15" customHeight="1" x14ac:dyDescent="0.35">
      <c r="B429" s="100">
        <f t="shared" si="6"/>
        <v>426</v>
      </c>
      <c r="C429" s="104" t="s">
        <v>423</v>
      </c>
      <c r="D429" s="102">
        <v>8211736</v>
      </c>
      <c r="E429" s="102"/>
      <c r="F429" s="103">
        <v>32608</v>
      </c>
      <c r="G429" s="99"/>
      <c r="H429" s="99"/>
      <c r="I429" s="99"/>
      <c r="J429" s="20"/>
      <c r="K429" s="21"/>
      <c r="L429" s="21"/>
      <c r="M429" s="21"/>
      <c r="N429" s="21"/>
      <c r="O429" s="21"/>
    </row>
    <row r="430" spans="2:15" ht="14.15" customHeight="1" x14ac:dyDescent="0.35">
      <c r="B430" s="100">
        <f t="shared" si="6"/>
        <v>427</v>
      </c>
      <c r="C430" s="104" t="s">
        <v>424</v>
      </c>
      <c r="D430" s="102">
        <v>789686</v>
      </c>
      <c r="E430" s="102"/>
      <c r="F430" s="103">
        <v>32609</v>
      </c>
      <c r="G430" s="99"/>
      <c r="H430" s="99"/>
      <c r="I430" s="99"/>
      <c r="J430" s="20"/>
      <c r="K430" s="21"/>
      <c r="L430" s="21"/>
      <c r="M430" s="21"/>
      <c r="N430" s="21"/>
      <c r="O430" s="21"/>
    </row>
    <row r="431" spans="2:15" ht="14.15" customHeight="1" x14ac:dyDescent="0.35">
      <c r="B431" s="100">
        <f t="shared" si="6"/>
        <v>428</v>
      </c>
      <c r="C431" s="104" t="s">
        <v>425</v>
      </c>
      <c r="D431" s="102">
        <v>8211794</v>
      </c>
      <c r="E431" s="102"/>
      <c r="F431" s="103">
        <v>32618</v>
      </c>
      <c r="G431" s="99"/>
      <c r="H431" s="99"/>
      <c r="I431" s="99"/>
      <c r="J431" s="20"/>
      <c r="K431" s="21"/>
      <c r="L431" s="21"/>
      <c r="M431" s="21"/>
      <c r="N431" s="21"/>
      <c r="O431" s="21"/>
    </row>
    <row r="432" spans="2:15" ht="14.15" customHeight="1" x14ac:dyDescent="0.35">
      <c r="B432" s="100">
        <f t="shared" si="6"/>
        <v>429</v>
      </c>
      <c r="C432" s="104" t="s">
        <v>426</v>
      </c>
      <c r="D432" s="102">
        <v>737944</v>
      </c>
      <c r="E432" s="102"/>
      <c r="F432" s="103">
        <v>32629</v>
      </c>
      <c r="G432" s="99"/>
      <c r="H432" s="99"/>
      <c r="I432" s="99"/>
      <c r="J432" s="20"/>
      <c r="K432" s="21"/>
      <c r="L432" s="21"/>
      <c r="M432" s="21"/>
      <c r="N432" s="21"/>
      <c r="O432" s="21"/>
    </row>
    <row r="433" spans="2:15" ht="14.15" customHeight="1" x14ac:dyDescent="0.35">
      <c r="B433" s="100">
        <f t="shared" si="6"/>
        <v>430</v>
      </c>
      <c r="C433" s="104" t="s">
        <v>427</v>
      </c>
      <c r="D433" s="102">
        <v>8111437</v>
      </c>
      <c r="E433" s="102"/>
      <c r="F433" s="103">
        <v>32630</v>
      </c>
      <c r="G433" s="99"/>
      <c r="H433" s="99"/>
      <c r="I433" s="99"/>
      <c r="J433" s="20"/>
      <c r="K433" s="21"/>
      <c r="L433" s="21"/>
      <c r="M433" s="21"/>
      <c r="N433" s="21"/>
      <c r="O433" s="21"/>
    </row>
    <row r="434" spans="2:15" ht="14.15" customHeight="1" x14ac:dyDescent="0.35">
      <c r="B434" s="100">
        <f t="shared" si="6"/>
        <v>431</v>
      </c>
      <c r="C434" s="104" t="s">
        <v>428</v>
      </c>
      <c r="D434" s="102">
        <v>8111479</v>
      </c>
      <c r="E434" s="102"/>
      <c r="F434" s="103">
        <v>32651</v>
      </c>
      <c r="G434" s="99"/>
      <c r="H434" s="99"/>
      <c r="I434" s="99"/>
      <c r="J434" s="20"/>
      <c r="K434" s="21"/>
      <c r="L434" s="21"/>
      <c r="M434" s="21"/>
      <c r="N434" s="21"/>
      <c r="O434" s="21"/>
    </row>
    <row r="435" spans="2:15" ht="14.15" customHeight="1" x14ac:dyDescent="0.35">
      <c r="B435" s="100">
        <f t="shared" si="6"/>
        <v>432</v>
      </c>
      <c r="C435" s="104" t="s">
        <v>429</v>
      </c>
      <c r="D435" s="102">
        <v>789753</v>
      </c>
      <c r="E435" s="102"/>
      <c r="F435" s="103">
        <v>32661</v>
      </c>
      <c r="G435" s="99"/>
      <c r="H435" s="99"/>
      <c r="I435" s="99"/>
      <c r="J435" s="20"/>
      <c r="K435" s="21"/>
      <c r="L435" s="21"/>
      <c r="M435" s="21"/>
      <c r="N435" s="21"/>
      <c r="O435" s="21"/>
    </row>
    <row r="436" spans="2:15" ht="14.15" customHeight="1" x14ac:dyDescent="0.35">
      <c r="B436" s="100">
        <f t="shared" si="6"/>
        <v>433</v>
      </c>
      <c r="C436" s="104" t="s">
        <v>430</v>
      </c>
      <c r="D436" s="102">
        <v>8312657</v>
      </c>
      <c r="E436" s="102"/>
      <c r="F436" s="103">
        <v>32661</v>
      </c>
      <c r="G436" s="99"/>
      <c r="H436" s="99"/>
      <c r="I436" s="99"/>
      <c r="J436" s="20"/>
      <c r="K436" s="21"/>
      <c r="L436" s="21"/>
      <c r="M436" s="21"/>
      <c r="N436" s="21"/>
      <c r="O436" s="21"/>
    </row>
    <row r="437" spans="2:15" ht="14.15" customHeight="1" x14ac:dyDescent="0.35">
      <c r="B437" s="100">
        <f t="shared" si="6"/>
        <v>434</v>
      </c>
      <c r="C437" s="104" t="s">
        <v>431</v>
      </c>
      <c r="D437" s="102">
        <v>717194</v>
      </c>
      <c r="E437" s="102"/>
      <c r="F437" s="103">
        <v>32676</v>
      </c>
      <c r="G437" s="99"/>
      <c r="H437" s="99"/>
      <c r="I437" s="99"/>
      <c r="J437" s="20"/>
      <c r="K437" s="21"/>
      <c r="L437" s="21"/>
      <c r="M437" s="21"/>
      <c r="N437" s="21"/>
      <c r="O437" s="21"/>
    </row>
    <row r="438" spans="2:15" ht="14.15" customHeight="1" x14ac:dyDescent="0.35">
      <c r="B438" s="100">
        <f t="shared" si="6"/>
        <v>435</v>
      </c>
      <c r="C438" s="104" t="s">
        <v>432</v>
      </c>
      <c r="D438" s="102">
        <v>8111449</v>
      </c>
      <c r="E438" s="102"/>
      <c r="F438" s="103">
        <v>32676</v>
      </c>
      <c r="G438" s="99"/>
      <c r="H438" s="99"/>
      <c r="I438" s="99"/>
      <c r="J438" s="20"/>
      <c r="K438" s="21"/>
      <c r="L438" s="21"/>
      <c r="M438" s="21"/>
      <c r="N438" s="21"/>
      <c r="O438" s="21"/>
    </row>
    <row r="439" spans="2:15" ht="14.15" customHeight="1" x14ac:dyDescent="0.35">
      <c r="B439" s="100">
        <f t="shared" si="6"/>
        <v>436</v>
      </c>
      <c r="C439" s="104" t="s">
        <v>433</v>
      </c>
      <c r="D439" s="102">
        <v>717067</v>
      </c>
      <c r="E439" s="102"/>
      <c r="F439" s="103">
        <v>32682</v>
      </c>
      <c r="G439" s="99"/>
      <c r="H439" s="99"/>
      <c r="I439" s="99"/>
      <c r="J439" s="20"/>
      <c r="K439" s="21"/>
      <c r="L439" s="21"/>
      <c r="M439" s="21"/>
      <c r="N439" s="21"/>
      <c r="O439" s="21"/>
    </row>
    <row r="440" spans="2:15" ht="14.15" customHeight="1" x14ac:dyDescent="0.35">
      <c r="B440" s="100">
        <f t="shared" si="6"/>
        <v>437</v>
      </c>
      <c r="C440" s="104" t="s">
        <v>434</v>
      </c>
      <c r="D440" s="102">
        <v>789844</v>
      </c>
      <c r="E440" s="102"/>
      <c r="F440" s="103">
        <v>32683</v>
      </c>
      <c r="G440" s="99"/>
      <c r="H440" s="99"/>
      <c r="I440" s="99"/>
      <c r="J440" s="20"/>
      <c r="K440" s="21"/>
      <c r="L440" s="21"/>
      <c r="M440" s="21"/>
      <c r="N440" s="21"/>
      <c r="O440" s="21"/>
    </row>
    <row r="441" spans="2:15" ht="14.15" customHeight="1" x14ac:dyDescent="0.35">
      <c r="B441" s="100">
        <f t="shared" si="6"/>
        <v>438</v>
      </c>
      <c r="C441" s="104" t="s">
        <v>435</v>
      </c>
      <c r="D441" s="102">
        <v>8010870</v>
      </c>
      <c r="E441" s="102"/>
      <c r="F441" s="103">
        <v>32683</v>
      </c>
      <c r="G441" s="99"/>
      <c r="H441" s="99"/>
      <c r="I441" s="99"/>
      <c r="J441" s="20"/>
      <c r="K441" s="21"/>
      <c r="L441" s="21"/>
      <c r="M441" s="21"/>
      <c r="N441" s="21"/>
      <c r="O441" s="21"/>
    </row>
    <row r="442" spans="2:15" ht="14.15" customHeight="1" x14ac:dyDescent="0.35">
      <c r="B442" s="100">
        <f t="shared" si="6"/>
        <v>439</v>
      </c>
      <c r="C442" s="104" t="s">
        <v>436</v>
      </c>
      <c r="D442" s="102">
        <v>758818</v>
      </c>
      <c r="E442" s="102"/>
      <c r="F442" s="103">
        <v>32689</v>
      </c>
      <c r="G442" s="99"/>
      <c r="H442" s="99"/>
      <c r="I442" s="99"/>
      <c r="J442" s="20"/>
      <c r="K442" s="21"/>
      <c r="L442" s="21"/>
      <c r="M442" s="21"/>
      <c r="N442" s="21"/>
      <c r="O442" s="21"/>
    </row>
    <row r="443" spans="2:15" ht="14.15" customHeight="1" x14ac:dyDescent="0.35">
      <c r="B443" s="100">
        <f t="shared" si="6"/>
        <v>440</v>
      </c>
      <c r="C443" s="104" t="s">
        <v>437</v>
      </c>
      <c r="D443" s="102">
        <v>8715100</v>
      </c>
      <c r="E443" s="102"/>
      <c r="F443" s="103">
        <v>32689</v>
      </c>
      <c r="G443" s="99"/>
      <c r="H443" s="99"/>
      <c r="I443" s="99"/>
      <c r="J443" s="20"/>
      <c r="K443" s="21"/>
      <c r="L443" s="21"/>
      <c r="M443" s="21"/>
      <c r="N443" s="21"/>
      <c r="O443" s="21"/>
    </row>
    <row r="444" spans="2:15" ht="14.15" customHeight="1" x14ac:dyDescent="0.35">
      <c r="B444" s="100">
        <f t="shared" si="6"/>
        <v>441</v>
      </c>
      <c r="C444" s="104" t="s">
        <v>438</v>
      </c>
      <c r="D444" s="102">
        <v>769939</v>
      </c>
      <c r="E444" s="102"/>
      <c r="F444" s="103">
        <v>32713</v>
      </c>
      <c r="G444" s="99"/>
      <c r="H444" s="99"/>
      <c r="I444" s="99"/>
      <c r="J444" s="20"/>
      <c r="K444" s="21"/>
      <c r="L444" s="21"/>
      <c r="M444" s="21"/>
      <c r="N444" s="21"/>
      <c r="O444" s="21"/>
    </row>
    <row r="445" spans="2:15" ht="14.15" customHeight="1" x14ac:dyDescent="0.35">
      <c r="B445" s="100">
        <f t="shared" si="6"/>
        <v>442</v>
      </c>
      <c r="C445" s="104" t="s">
        <v>439</v>
      </c>
      <c r="D445" s="102">
        <v>8312643</v>
      </c>
      <c r="E445" s="102"/>
      <c r="F445" s="103">
        <v>32714</v>
      </c>
      <c r="G445" s="99"/>
      <c r="H445" s="99"/>
      <c r="I445" s="99"/>
      <c r="J445" s="20"/>
      <c r="K445" s="21"/>
      <c r="L445" s="21"/>
      <c r="M445" s="21"/>
      <c r="N445" s="21"/>
      <c r="O445" s="21"/>
    </row>
    <row r="446" spans="2:15" ht="14.15" customHeight="1" x14ac:dyDescent="0.35">
      <c r="B446" s="100">
        <f t="shared" si="6"/>
        <v>443</v>
      </c>
      <c r="C446" s="104" t="s">
        <v>440</v>
      </c>
      <c r="D446" s="102">
        <v>717075</v>
      </c>
      <c r="E446" s="102"/>
      <c r="F446" s="103">
        <v>32715</v>
      </c>
      <c r="G446" s="99"/>
      <c r="H446" s="99"/>
      <c r="I446" s="99"/>
      <c r="J446" s="20"/>
      <c r="K446" s="21"/>
      <c r="L446" s="21"/>
      <c r="M446" s="21"/>
      <c r="N446" s="21"/>
      <c r="O446" s="21"/>
    </row>
    <row r="447" spans="2:15" ht="14.15" customHeight="1" x14ac:dyDescent="0.35">
      <c r="B447" s="100">
        <f t="shared" si="6"/>
        <v>444</v>
      </c>
      <c r="C447" s="104" t="s">
        <v>441</v>
      </c>
      <c r="D447" s="102">
        <v>8312325</v>
      </c>
      <c r="E447" s="102"/>
      <c r="F447" s="103">
        <v>32715</v>
      </c>
      <c r="G447" s="99"/>
      <c r="H447" s="99"/>
      <c r="I447" s="99"/>
      <c r="J447" s="20"/>
      <c r="K447" s="21"/>
      <c r="L447" s="21"/>
      <c r="M447" s="21"/>
      <c r="N447" s="21"/>
      <c r="O447" s="21"/>
    </row>
    <row r="448" spans="2:15" ht="14.15" customHeight="1" x14ac:dyDescent="0.35">
      <c r="B448" s="100">
        <f t="shared" si="6"/>
        <v>445</v>
      </c>
      <c r="C448" s="104" t="s">
        <v>442</v>
      </c>
      <c r="D448" s="102">
        <v>8312625</v>
      </c>
      <c r="E448" s="102"/>
      <c r="F448" s="103">
        <v>32716</v>
      </c>
      <c r="G448" s="99"/>
      <c r="H448" s="99"/>
      <c r="I448" s="99"/>
      <c r="J448" s="20"/>
      <c r="K448" s="21"/>
      <c r="L448" s="21"/>
      <c r="M448" s="21"/>
      <c r="N448" s="21"/>
      <c r="O448" s="21"/>
    </row>
    <row r="449" spans="2:15" ht="14.15" customHeight="1" x14ac:dyDescent="0.35">
      <c r="B449" s="100">
        <f t="shared" si="6"/>
        <v>446</v>
      </c>
      <c r="C449" s="104" t="s">
        <v>443</v>
      </c>
      <c r="D449" s="102">
        <v>8312318</v>
      </c>
      <c r="E449" s="102"/>
      <c r="F449" s="103">
        <v>32717</v>
      </c>
      <c r="G449" s="99"/>
      <c r="H449" s="99"/>
      <c r="I449" s="99"/>
      <c r="J449" s="20"/>
      <c r="K449" s="21"/>
      <c r="L449" s="21"/>
      <c r="M449" s="21"/>
      <c r="N449" s="21"/>
      <c r="O449" s="21"/>
    </row>
    <row r="450" spans="2:15" ht="14.15" customHeight="1" x14ac:dyDescent="0.35">
      <c r="B450" s="100">
        <f t="shared" si="6"/>
        <v>447</v>
      </c>
      <c r="C450" s="104" t="s">
        <v>444</v>
      </c>
      <c r="D450" s="102">
        <v>8010657</v>
      </c>
      <c r="E450" s="102"/>
      <c r="F450" s="103">
        <v>32718</v>
      </c>
      <c r="G450" s="99"/>
      <c r="H450" s="99"/>
      <c r="I450" s="99"/>
      <c r="J450" s="20"/>
      <c r="K450" s="21"/>
      <c r="L450" s="21"/>
      <c r="M450" s="21"/>
      <c r="N450" s="21"/>
      <c r="O450" s="21"/>
    </row>
    <row r="451" spans="2:15" ht="14.15" customHeight="1" x14ac:dyDescent="0.35">
      <c r="B451" s="100">
        <f t="shared" si="6"/>
        <v>448</v>
      </c>
      <c r="C451" s="104" t="s">
        <v>445</v>
      </c>
      <c r="D451" s="102">
        <v>8211751</v>
      </c>
      <c r="E451" s="102"/>
      <c r="F451" s="103">
        <v>32718</v>
      </c>
      <c r="G451" s="99"/>
      <c r="H451" s="99"/>
      <c r="I451" s="99"/>
      <c r="J451" s="20"/>
      <c r="K451" s="21"/>
      <c r="L451" s="21"/>
      <c r="M451" s="21"/>
      <c r="N451" s="21"/>
      <c r="O451" s="21"/>
    </row>
    <row r="452" spans="2:15" ht="14.15" customHeight="1" x14ac:dyDescent="0.35">
      <c r="B452" s="100">
        <f t="shared" si="6"/>
        <v>449</v>
      </c>
      <c r="C452" s="104" t="s">
        <v>446</v>
      </c>
      <c r="D452" s="102">
        <v>8312335</v>
      </c>
      <c r="E452" s="102"/>
      <c r="F452" s="103">
        <v>32718</v>
      </c>
      <c r="G452" s="99"/>
      <c r="H452" s="99"/>
      <c r="I452" s="99"/>
      <c r="J452" s="20"/>
      <c r="K452" s="21"/>
      <c r="L452" s="21"/>
      <c r="M452" s="21"/>
      <c r="N452" s="21"/>
      <c r="O452" s="21"/>
    </row>
    <row r="453" spans="2:15" ht="14.15" customHeight="1" x14ac:dyDescent="0.35">
      <c r="B453" s="100">
        <f t="shared" ref="B453:B516" si="7">(B452+1)</f>
        <v>450</v>
      </c>
      <c r="C453" s="104" t="s">
        <v>447</v>
      </c>
      <c r="D453" s="102">
        <v>8312319</v>
      </c>
      <c r="E453" s="102"/>
      <c r="F453" s="103">
        <v>32720</v>
      </c>
      <c r="G453" s="99"/>
      <c r="H453" s="99"/>
      <c r="I453" s="99"/>
      <c r="J453" s="20"/>
      <c r="K453" s="21"/>
      <c r="L453" s="21"/>
      <c r="M453" s="21"/>
      <c r="N453" s="21"/>
      <c r="O453" s="21"/>
    </row>
    <row r="454" spans="2:15" ht="14.15" customHeight="1" x14ac:dyDescent="0.35">
      <c r="B454" s="100">
        <f t="shared" si="7"/>
        <v>451</v>
      </c>
      <c r="C454" s="104" t="s">
        <v>44</v>
      </c>
      <c r="D454" s="102">
        <v>8010861</v>
      </c>
      <c r="E454" s="102"/>
      <c r="F454" s="103">
        <v>32721</v>
      </c>
      <c r="G454" s="99"/>
      <c r="H454" s="99"/>
      <c r="I454" s="99"/>
      <c r="J454" s="20"/>
      <c r="K454" s="21"/>
      <c r="L454" s="21"/>
      <c r="M454" s="21"/>
      <c r="N454" s="21"/>
      <c r="O454" s="21"/>
    </row>
    <row r="455" spans="2:15" ht="14.15" customHeight="1" x14ac:dyDescent="0.35">
      <c r="B455" s="100">
        <f t="shared" si="7"/>
        <v>452</v>
      </c>
      <c r="C455" s="104" t="s">
        <v>448</v>
      </c>
      <c r="D455" s="102">
        <v>8211757</v>
      </c>
      <c r="E455" s="102"/>
      <c r="F455" s="103">
        <v>32721</v>
      </c>
      <c r="G455" s="99"/>
      <c r="H455" s="99"/>
      <c r="I455" s="99"/>
      <c r="J455" s="20"/>
      <c r="K455" s="21"/>
      <c r="L455" s="21"/>
      <c r="M455" s="21"/>
      <c r="N455" s="21"/>
      <c r="O455" s="21"/>
    </row>
    <row r="456" spans="2:15" ht="14.15" customHeight="1" x14ac:dyDescent="0.35">
      <c r="B456" s="100">
        <f t="shared" si="7"/>
        <v>453</v>
      </c>
      <c r="C456" s="104" t="s">
        <v>449</v>
      </c>
      <c r="D456" s="102">
        <v>769263</v>
      </c>
      <c r="E456" s="102"/>
      <c r="F456" s="103">
        <v>32724</v>
      </c>
      <c r="G456" s="99"/>
      <c r="H456" s="99"/>
      <c r="I456" s="99"/>
      <c r="J456" s="20"/>
      <c r="K456" s="21"/>
      <c r="L456" s="21"/>
      <c r="M456" s="21"/>
      <c r="N456" s="21"/>
      <c r="O456" s="21"/>
    </row>
    <row r="457" spans="2:15" ht="14.15" customHeight="1" x14ac:dyDescent="0.35">
      <c r="B457" s="100">
        <f t="shared" si="7"/>
        <v>454</v>
      </c>
      <c r="C457" s="104" t="s">
        <v>450</v>
      </c>
      <c r="D457" s="102">
        <v>8211753</v>
      </c>
      <c r="E457" s="102"/>
      <c r="F457" s="103">
        <v>32746</v>
      </c>
      <c r="G457" s="99"/>
      <c r="H457" s="99"/>
      <c r="I457" s="99"/>
      <c r="J457" s="20"/>
      <c r="K457" s="21"/>
      <c r="L457" s="21"/>
      <c r="M457" s="21"/>
      <c r="N457" s="21"/>
      <c r="O457" s="21"/>
    </row>
    <row r="458" spans="2:15" ht="14.15" customHeight="1" x14ac:dyDescent="0.35">
      <c r="B458" s="100">
        <f t="shared" si="7"/>
        <v>455</v>
      </c>
      <c r="C458" s="104" t="s">
        <v>451</v>
      </c>
      <c r="D458" s="102">
        <v>8111468</v>
      </c>
      <c r="E458" s="102"/>
      <c r="F458" s="103">
        <v>32748</v>
      </c>
      <c r="G458" s="99"/>
      <c r="H458" s="99"/>
      <c r="I458" s="99"/>
      <c r="J458" s="20"/>
      <c r="K458" s="21"/>
      <c r="L458" s="21"/>
      <c r="M458" s="21"/>
      <c r="N458" s="21"/>
      <c r="O458" s="21"/>
    </row>
    <row r="459" spans="2:15" ht="14.15" customHeight="1" x14ac:dyDescent="0.35">
      <c r="B459" s="100">
        <f t="shared" si="7"/>
        <v>456</v>
      </c>
      <c r="C459" s="104" t="s">
        <v>452</v>
      </c>
      <c r="D459" s="102">
        <v>8211729</v>
      </c>
      <c r="E459" s="102"/>
      <c r="F459" s="103">
        <v>32753</v>
      </c>
      <c r="G459" s="99"/>
      <c r="H459" s="99"/>
      <c r="I459" s="99"/>
      <c r="J459" s="20"/>
      <c r="K459" s="21"/>
      <c r="L459" s="21"/>
      <c r="M459" s="21"/>
      <c r="N459" s="21"/>
      <c r="O459" s="21"/>
    </row>
    <row r="460" spans="2:15" ht="14.15" customHeight="1" x14ac:dyDescent="0.35">
      <c r="B460" s="100">
        <f t="shared" si="7"/>
        <v>457</v>
      </c>
      <c r="C460" s="104" t="s">
        <v>453</v>
      </c>
      <c r="D460" s="102">
        <v>8412989</v>
      </c>
      <c r="E460" s="102"/>
      <c r="F460" s="103">
        <v>32767</v>
      </c>
      <c r="G460" s="99"/>
      <c r="H460" s="99"/>
      <c r="I460" s="99"/>
      <c r="J460" s="20"/>
      <c r="K460" s="21"/>
      <c r="L460" s="21"/>
      <c r="M460" s="21"/>
      <c r="N460" s="21"/>
      <c r="O460" s="21"/>
    </row>
    <row r="461" spans="2:15" ht="14.15" customHeight="1" x14ac:dyDescent="0.35">
      <c r="B461" s="100">
        <f t="shared" si="7"/>
        <v>458</v>
      </c>
      <c r="C461" s="104" t="s">
        <v>454</v>
      </c>
      <c r="D461" s="102">
        <v>8413033</v>
      </c>
      <c r="E461" s="102"/>
      <c r="F461" s="103">
        <v>32767</v>
      </c>
      <c r="G461" s="99"/>
      <c r="H461" s="99"/>
      <c r="I461" s="99"/>
      <c r="J461" s="20"/>
      <c r="K461" s="21"/>
      <c r="L461" s="21"/>
      <c r="M461" s="21"/>
      <c r="N461" s="21"/>
      <c r="O461" s="21"/>
    </row>
    <row r="462" spans="2:15" ht="14.15" customHeight="1" x14ac:dyDescent="0.35">
      <c r="B462" s="100">
        <f t="shared" si="7"/>
        <v>459</v>
      </c>
      <c r="C462" s="104" t="s">
        <v>455</v>
      </c>
      <c r="D462" s="102">
        <v>789741</v>
      </c>
      <c r="E462" s="102"/>
      <c r="F462" s="103">
        <v>32774</v>
      </c>
      <c r="G462" s="99"/>
      <c r="H462" s="99"/>
      <c r="I462" s="99"/>
      <c r="J462" s="20"/>
      <c r="K462" s="21"/>
      <c r="L462" s="21"/>
      <c r="M462" s="21"/>
      <c r="N462" s="21"/>
      <c r="O462" s="21"/>
    </row>
    <row r="463" spans="2:15" ht="14.15" customHeight="1" x14ac:dyDescent="0.35">
      <c r="B463" s="100">
        <f t="shared" si="7"/>
        <v>460</v>
      </c>
      <c r="C463" s="104" t="s">
        <v>456</v>
      </c>
      <c r="D463" s="102">
        <v>8211738</v>
      </c>
      <c r="E463" s="102"/>
      <c r="F463" s="103">
        <v>32781</v>
      </c>
      <c r="G463" s="99"/>
      <c r="H463" s="99"/>
      <c r="I463" s="99"/>
      <c r="J463" s="20"/>
      <c r="K463" s="21"/>
      <c r="L463" s="21"/>
      <c r="M463" s="21"/>
      <c r="N463" s="21"/>
      <c r="O463" s="21"/>
    </row>
    <row r="464" spans="2:15" ht="14.15" customHeight="1" x14ac:dyDescent="0.35">
      <c r="B464" s="100">
        <f t="shared" si="7"/>
        <v>461</v>
      </c>
      <c r="C464" s="104" t="s">
        <v>457</v>
      </c>
      <c r="D464" s="102">
        <v>8211758</v>
      </c>
      <c r="E464" s="102"/>
      <c r="F464" s="103">
        <v>32781</v>
      </c>
      <c r="G464" s="99"/>
      <c r="H464" s="99"/>
      <c r="I464" s="99"/>
      <c r="J464" s="20"/>
      <c r="K464" s="21"/>
      <c r="L464" s="21"/>
      <c r="M464" s="21"/>
      <c r="N464" s="21"/>
      <c r="O464" s="21"/>
    </row>
    <row r="465" spans="2:15" ht="14.15" customHeight="1" x14ac:dyDescent="0.35">
      <c r="B465" s="100">
        <f t="shared" si="7"/>
        <v>462</v>
      </c>
      <c r="C465" s="104" t="s">
        <v>458</v>
      </c>
      <c r="D465" s="102">
        <v>7910461</v>
      </c>
      <c r="E465" s="102"/>
      <c r="F465" s="103">
        <v>32786</v>
      </c>
      <c r="G465" s="99"/>
      <c r="H465" s="99"/>
      <c r="I465" s="99"/>
      <c r="J465" s="20"/>
      <c r="K465" s="21"/>
      <c r="L465" s="21"/>
      <c r="M465" s="21"/>
      <c r="N465" s="21"/>
      <c r="O465" s="21"/>
    </row>
    <row r="466" spans="2:15" ht="14.15" customHeight="1" x14ac:dyDescent="0.35">
      <c r="B466" s="100">
        <f t="shared" si="7"/>
        <v>463</v>
      </c>
      <c r="C466" s="104" t="s">
        <v>459</v>
      </c>
      <c r="D466" s="102">
        <v>748213</v>
      </c>
      <c r="E466" s="102"/>
      <c r="F466" s="103">
        <v>32788</v>
      </c>
      <c r="G466" s="99"/>
      <c r="H466" s="99"/>
      <c r="I466" s="99"/>
      <c r="J466" s="20"/>
      <c r="K466" s="21"/>
      <c r="L466" s="21"/>
      <c r="M466" s="21"/>
      <c r="N466" s="21"/>
      <c r="O466" s="21"/>
    </row>
    <row r="467" spans="2:15" ht="14.15" customHeight="1" x14ac:dyDescent="0.35">
      <c r="B467" s="100">
        <f t="shared" si="7"/>
        <v>464</v>
      </c>
      <c r="C467" s="104" t="s">
        <v>460</v>
      </c>
      <c r="D467" s="102">
        <v>8413097</v>
      </c>
      <c r="E467" s="102"/>
      <c r="F467" s="103">
        <v>32790</v>
      </c>
      <c r="G467" s="99"/>
      <c r="H467" s="99"/>
      <c r="I467" s="99"/>
      <c r="J467" s="20"/>
      <c r="K467" s="21"/>
      <c r="L467" s="21"/>
      <c r="M467" s="21"/>
      <c r="N467" s="21"/>
      <c r="O467" s="21"/>
    </row>
    <row r="468" spans="2:15" ht="14.15" customHeight="1" x14ac:dyDescent="0.35">
      <c r="B468" s="100">
        <f t="shared" si="7"/>
        <v>465</v>
      </c>
      <c r="C468" s="104" t="s">
        <v>461</v>
      </c>
      <c r="D468" s="102">
        <v>8312348</v>
      </c>
      <c r="E468" s="102"/>
      <c r="F468" s="103">
        <v>32809</v>
      </c>
      <c r="G468" s="99"/>
      <c r="H468" s="99"/>
      <c r="I468" s="99"/>
      <c r="J468" s="20"/>
      <c r="K468" s="21"/>
      <c r="L468" s="21"/>
      <c r="M468" s="21"/>
      <c r="N468" s="21"/>
      <c r="O468" s="21"/>
    </row>
    <row r="469" spans="2:15" ht="14.15" customHeight="1" x14ac:dyDescent="0.35">
      <c r="B469" s="100">
        <f t="shared" si="7"/>
        <v>466</v>
      </c>
      <c r="C469" s="104" t="s">
        <v>462</v>
      </c>
      <c r="D469" s="102">
        <v>769206</v>
      </c>
      <c r="E469" s="102"/>
      <c r="F469" s="103">
        <v>32823</v>
      </c>
      <c r="G469" s="99"/>
      <c r="H469" s="99"/>
      <c r="I469" s="99"/>
      <c r="J469" s="20"/>
      <c r="K469" s="21"/>
      <c r="L469" s="21"/>
      <c r="M469" s="21"/>
      <c r="N469" s="21"/>
      <c r="O469" s="21"/>
    </row>
    <row r="470" spans="2:15" ht="14.15" customHeight="1" x14ac:dyDescent="0.35">
      <c r="B470" s="100">
        <f t="shared" si="7"/>
        <v>467</v>
      </c>
      <c r="C470" s="104" t="s">
        <v>463</v>
      </c>
      <c r="D470" s="102">
        <v>8312622</v>
      </c>
      <c r="E470" s="102"/>
      <c r="F470" s="103">
        <v>32823</v>
      </c>
      <c r="G470" s="99"/>
      <c r="H470" s="99"/>
      <c r="I470" s="99"/>
      <c r="J470" s="20"/>
      <c r="K470" s="21"/>
      <c r="L470" s="21"/>
      <c r="M470" s="21"/>
      <c r="N470" s="21"/>
      <c r="O470" s="21"/>
    </row>
    <row r="471" spans="2:15" ht="14.15" customHeight="1" x14ac:dyDescent="0.35">
      <c r="B471" s="100">
        <f t="shared" si="7"/>
        <v>468</v>
      </c>
      <c r="C471" s="104" t="s">
        <v>464</v>
      </c>
      <c r="D471" s="102">
        <v>748331</v>
      </c>
      <c r="E471" s="102"/>
      <c r="F471" s="103">
        <v>32824</v>
      </c>
      <c r="G471" s="99"/>
      <c r="H471" s="99"/>
      <c r="I471" s="99"/>
      <c r="J471" s="20"/>
      <c r="K471" s="21"/>
      <c r="L471" s="21"/>
      <c r="M471" s="21"/>
      <c r="N471" s="21"/>
      <c r="O471" s="21"/>
    </row>
    <row r="472" spans="2:15" ht="14.15" customHeight="1" x14ac:dyDescent="0.35">
      <c r="B472" s="100">
        <f t="shared" si="7"/>
        <v>469</v>
      </c>
      <c r="C472" s="104" t="s">
        <v>465</v>
      </c>
      <c r="D472" s="102">
        <v>8312635</v>
      </c>
      <c r="E472" s="102"/>
      <c r="F472" s="103">
        <v>32825</v>
      </c>
      <c r="G472" s="99"/>
      <c r="H472" s="99"/>
      <c r="I472" s="99"/>
      <c r="J472" s="20"/>
      <c r="K472" s="21"/>
      <c r="L472" s="21"/>
      <c r="M472" s="21"/>
      <c r="N472" s="21"/>
      <c r="O472" s="21"/>
    </row>
    <row r="473" spans="2:15" ht="14.15" customHeight="1" x14ac:dyDescent="0.35">
      <c r="B473" s="100">
        <f t="shared" si="7"/>
        <v>470</v>
      </c>
      <c r="C473" s="104" t="s">
        <v>466</v>
      </c>
      <c r="D473" s="102">
        <v>8111415</v>
      </c>
      <c r="E473" s="102"/>
      <c r="F473" s="103">
        <v>32830</v>
      </c>
      <c r="G473" s="99"/>
      <c r="H473" s="99"/>
      <c r="I473" s="99"/>
      <c r="J473" s="20"/>
      <c r="K473" s="21"/>
      <c r="L473" s="21"/>
      <c r="M473" s="21"/>
      <c r="N473" s="21"/>
      <c r="O473" s="21"/>
    </row>
    <row r="474" spans="2:15" ht="14.15" customHeight="1" x14ac:dyDescent="0.35">
      <c r="B474" s="100">
        <f t="shared" si="7"/>
        <v>471</v>
      </c>
      <c r="C474" s="104" t="s">
        <v>467</v>
      </c>
      <c r="D474" s="102">
        <v>7910528</v>
      </c>
      <c r="E474" s="102"/>
      <c r="F474" s="103">
        <v>32832</v>
      </c>
      <c r="G474" s="99"/>
      <c r="H474" s="99"/>
      <c r="I474" s="99"/>
      <c r="J474" s="20"/>
      <c r="K474" s="21"/>
      <c r="L474" s="21"/>
      <c r="M474" s="21"/>
      <c r="N474" s="21"/>
      <c r="O474" s="21"/>
    </row>
    <row r="475" spans="2:15" ht="14.15" customHeight="1" x14ac:dyDescent="0.35">
      <c r="B475" s="100">
        <f t="shared" si="7"/>
        <v>472</v>
      </c>
      <c r="C475" s="104" t="s">
        <v>468</v>
      </c>
      <c r="D475" s="102">
        <v>789930</v>
      </c>
      <c r="E475" s="102"/>
      <c r="F475" s="103">
        <v>32833</v>
      </c>
      <c r="G475" s="99"/>
      <c r="H475" s="99"/>
      <c r="I475" s="99"/>
      <c r="J475" s="20"/>
      <c r="K475" s="21"/>
      <c r="L475" s="21"/>
      <c r="M475" s="21"/>
      <c r="N475" s="21"/>
      <c r="O475" s="21"/>
    </row>
    <row r="476" spans="2:15" ht="14.15" customHeight="1" x14ac:dyDescent="0.35">
      <c r="B476" s="100">
        <f t="shared" si="7"/>
        <v>473</v>
      </c>
      <c r="C476" s="104" t="s">
        <v>469</v>
      </c>
      <c r="D476" s="102">
        <v>789796</v>
      </c>
      <c r="E476" s="102"/>
      <c r="F476" s="103">
        <v>32835</v>
      </c>
      <c r="G476" s="99"/>
      <c r="H476" s="99"/>
      <c r="I476" s="99"/>
      <c r="J476" s="20"/>
      <c r="K476" s="21"/>
      <c r="L476" s="21"/>
      <c r="M476" s="21"/>
      <c r="N476" s="21"/>
      <c r="O476" s="21"/>
    </row>
    <row r="477" spans="2:15" ht="14.15" customHeight="1" x14ac:dyDescent="0.35">
      <c r="B477" s="100">
        <f t="shared" si="7"/>
        <v>474</v>
      </c>
      <c r="C477" s="104" t="s">
        <v>470</v>
      </c>
      <c r="D477" s="102">
        <v>8312612</v>
      </c>
      <c r="E477" s="102"/>
      <c r="F477" s="103">
        <v>32836</v>
      </c>
      <c r="G477" s="99"/>
      <c r="H477" s="99"/>
      <c r="I477" s="99"/>
      <c r="J477" s="20"/>
      <c r="K477" s="21"/>
      <c r="L477" s="21"/>
      <c r="M477" s="21"/>
      <c r="N477" s="21"/>
      <c r="O477" s="21"/>
    </row>
    <row r="478" spans="2:15" ht="14.15" customHeight="1" x14ac:dyDescent="0.35">
      <c r="B478" s="100">
        <f t="shared" si="7"/>
        <v>475</v>
      </c>
      <c r="C478" s="104" t="s">
        <v>471</v>
      </c>
      <c r="D478" s="102">
        <v>8010958</v>
      </c>
      <c r="E478" s="102"/>
      <c r="F478" s="103">
        <v>32837</v>
      </c>
      <c r="G478" s="99"/>
      <c r="H478" s="99"/>
      <c r="I478" s="99"/>
      <c r="J478" s="20"/>
      <c r="K478" s="21"/>
      <c r="L478" s="21"/>
      <c r="M478" s="21"/>
      <c r="N478" s="21"/>
      <c r="O478" s="21"/>
    </row>
    <row r="479" spans="2:15" ht="14.15" customHeight="1" x14ac:dyDescent="0.35">
      <c r="B479" s="100">
        <f t="shared" si="7"/>
        <v>476</v>
      </c>
      <c r="C479" s="104" t="s">
        <v>472</v>
      </c>
      <c r="D479" s="102">
        <v>8211726</v>
      </c>
      <c r="E479" s="102"/>
      <c r="F479" s="103">
        <v>32837</v>
      </c>
      <c r="G479" s="99"/>
      <c r="H479" s="99"/>
      <c r="I479" s="99"/>
      <c r="J479" s="20"/>
      <c r="K479" s="21"/>
      <c r="L479" s="21"/>
      <c r="M479" s="21"/>
      <c r="N479" s="21"/>
      <c r="O479" s="21"/>
    </row>
    <row r="480" spans="2:15" ht="14.15" customHeight="1" x14ac:dyDescent="0.35">
      <c r="B480" s="100">
        <f t="shared" si="7"/>
        <v>477</v>
      </c>
      <c r="C480" s="104" t="s">
        <v>473</v>
      </c>
      <c r="D480" s="102">
        <v>8211742</v>
      </c>
      <c r="E480" s="102"/>
      <c r="F480" s="103">
        <v>32837</v>
      </c>
      <c r="G480" s="99"/>
      <c r="H480" s="99"/>
      <c r="I480" s="99"/>
      <c r="J480" s="20"/>
      <c r="K480" s="21"/>
      <c r="L480" s="21"/>
      <c r="M480" s="21"/>
      <c r="N480" s="21"/>
      <c r="O480" s="21"/>
    </row>
    <row r="481" spans="2:15" ht="14.15" customHeight="1" x14ac:dyDescent="0.35">
      <c r="B481" s="100">
        <f t="shared" si="7"/>
        <v>478</v>
      </c>
      <c r="C481" s="104" t="s">
        <v>474</v>
      </c>
      <c r="D481" s="102">
        <v>8312316</v>
      </c>
      <c r="E481" s="102"/>
      <c r="F481" s="103">
        <v>32837</v>
      </c>
      <c r="G481" s="99"/>
      <c r="H481" s="99"/>
      <c r="I481" s="99"/>
      <c r="J481" s="20"/>
      <c r="K481" s="21"/>
      <c r="L481" s="21"/>
      <c r="M481" s="21"/>
      <c r="N481" s="21"/>
      <c r="O481" s="21"/>
    </row>
    <row r="482" spans="2:15" ht="14.15" customHeight="1" x14ac:dyDescent="0.35">
      <c r="B482" s="100">
        <f t="shared" si="7"/>
        <v>479</v>
      </c>
      <c r="C482" s="104" t="s">
        <v>475</v>
      </c>
      <c r="D482" s="102">
        <v>8312683</v>
      </c>
      <c r="E482" s="102"/>
      <c r="F482" s="103">
        <v>32839</v>
      </c>
      <c r="G482" s="99"/>
      <c r="H482" s="99"/>
      <c r="I482" s="99"/>
      <c r="J482" s="20"/>
      <c r="K482" s="21"/>
      <c r="L482" s="21"/>
      <c r="M482" s="21"/>
      <c r="N482" s="21"/>
      <c r="O482" s="21"/>
    </row>
    <row r="483" spans="2:15" ht="14.15" customHeight="1" x14ac:dyDescent="0.35">
      <c r="B483" s="100">
        <f t="shared" si="7"/>
        <v>480</v>
      </c>
      <c r="C483" s="104" t="s">
        <v>476</v>
      </c>
      <c r="D483" s="102">
        <v>8312343</v>
      </c>
      <c r="E483" s="102"/>
      <c r="F483" s="103">
        <v>32847</v>
      </c>
      <c r="G483" s="99"/>
      <c r="H483" s="99"/>
      <c r="I483" s="99"/>
      <c r="J483" s="20"/>
      <c r="K483" s="21"/>
      <c r="L483" s="21"/>
      <c r="M483" s="21"/>
      <c r="N483" s="21"/>
      <c r="O483" s="21"/>
    </row>
    <row r="484" spans="2:15" ht="14.15" customHeight="1" x14ac:dyDescent="0.35">
      <c r="B484" s="100">
        <f t="shared" si="7"/>
        <v>481</v>
      </c>
      <c r="C484" s="104" t="s">
        <v>477</v>
      </c>
      <c r="D484" s="102">
        <v>789980</v>
      </c>
      <c r="E484" s="102"/>
      <c r="F484" s="103">
        <v>32848</v>
      </c>
      <c r="G484" s="99"/>
      <c r="H484" s="99"/>
      <c r="I484" s="99"/>
      <c r="J484" s="20"/>
      <c r="K484" s="21"/>
      <c r="L484" s="21"/>
      <c r="M484" s="21"/>
      <c r="N484" s="21"/>
      <c r="O484" s="21"/>
    </row>
    <row r="485" spans="2:15" ht="14.15" customHeight="1" x14ac:dyDescent="0.35">
      <c r="B485" s="100">
        <f t="shared" si="7"/>
        <v>482</v>
      </c>
      <c r="C485" s="104" t="s">
        <v>478</v>
      </c>
      <c r="D485" s="102">
        <v>8312617</v>
      </c>
      <c r="E485" s="102"/>
      <c r="F485" s="103">
        <v>32848</v>
      </c>
      <c r="G485" s="99"/>
      <c r="H485" s="99"/>
      <c r="I485" s="99"/>
      <c r="J485" s="20"/>
      <c r="K485" s="21"/>
      <c r="L485" s="21"/>
      <c r="M485" s="21"/>
      <c r="N485" s="21"/>
      <c r="O485" s="21"/>
    </row>
    <row r="486" spans="2:15" ht="14.15" customHeight="1" x14ac:dyDescent="0.35">
      <c r="B486" s="100">
        <f t="shared" si="7"/>
        <v>483</v>
      </c>
      <c r="C486" s="104" t="s">
        <v>479</v>
      </c>
      <c r="D486" s="102">
        <v>748447</v>
      </c>
      <c r="E486" s="102"/>
      <c r="F486" s="103">
        <v>32854</v>
      </c>
      <c r="G486" s="99"/>
      <c r="H486" s="99"/>
      <c r="I486" s="99"/>
      <c r="J486" s="20"/>
      <c r="K486" s="21"/>
      <c r="L486" s="21"/>
      <c r="M486" s="21"/>
      <c r="N486" s="21"/>
      <c r="O486" s="21"/>
    </row>
    <row r="487" spans="2:15" ht="14.15" customHeight="1" x14ac:dyDescent="0.35">
      <c r="B487" s="100">
        <f t="shared" si="7"/>
        <v>484</v>
      </c>
      <c r="C487" s="104" t="s">
        <v>480</v>
      </c>
      <c r="D487" s="102">
        <v>758652</v>
      </c>
      <c r="E487" s="102"/>
      <c r="F487" s="103">
        <v>32871</v>
      </c>
      <c r="G487" s="99"/>
      <c r="H487" s="99"/>
      <c r="I487" s="99"/>
      <c r="J487" s="20"/>
      <c r="K487" s="21"/>
      <c r="L487" s="21"/>
      <c r="M487" s="21"/>
      <c r="N487" s="21"/>
      <c r="O487" s="21"/>
    </row>
    <row r="488" spans="2:15" ht="14.15" customHeight="1" x14ac:dyDescent="0.35">
      <c r="B488" s="100">
        <f t="shared" si="7"/>
        <v>485</v>
      </c>
      <c r="C488" s="104" t="s">
        <v>481</v>
      </c>
      <c r="D488" s="102">
        <v>8412898</v>
      </c>
      <c r="E488" s="102"/>
      <c r="F488" s="103">
        <v>32900</v>
      </c>
      <c r="G488" s="99"/>
      <c r="H488" s="99"/>
      <c r="I488" s="99"/>
      <c r="J488" s="20"/>
      <c r="K488" s="21"/>
      <c r="L488" s="21"/>
      <c r="M488" s="21"/>
      <c r="N488" s="21"/>
      <c r="O488" s="21"/>
    </row>
    <row r="489" spans="2:15" ht="14.15" customHeight="1" x14ac:dyDescent="0.35">
      <c r="B489" s="100">
        <f t="shared" si="7"/>
        <v>486</v>
      </c>
      <c r="C489" s="104" t="s">
        <v>482</v>
      </c>
      <c r="D489" s="102">
        <v>8312653</v>
      </c>
      <c r="E489" s="102"/>
      <c r="F489" s="103">
        <v>32902</v>
      </c>
      <c r="G489" s="99"/>
      <c r="H489" s="99"/>
      <c r="I489" s="99"/>
      <c r="J489" s="20"/>
      <c r="K489" s="21"/>
      <c r="L489" s="21"/>
      <c r="M489" s="21"/>
      <c r="N489" s="21"/>
      <c r="O489" s="21"/>
    </row>
    <row r="490" spans="2:15" ht="14.15" customHeight="1" x14ac:dyDescent="0.35">
      <c r="B490" s="100">
        <f t="shared" si="7"/>
        <v>487</v>
      </c>
      <c r="C490" s="104" t="s">
        <v>483</v>
      </c>
      <c r="D490" s="102">
        <v>8211746</v>
      </c>
      <c r="E490" s="102"/>
      <c r="F490" s="103">
        <v>32904</v>
      </c>
      <c r="G490" s="99"/>
      <c r="H490" s="99"/>
      <c r="I490" s="99"/>
      <c r="J490" s="20"/>
      <c r="K490" s="21"/>
      <c r="L490" s="21"/>
      <c r="M490" s="21"/>
      <c r="N490" s="21"/>
      <c r="O490" s="21"/>
    </row>
    <row r="491" spans="2:15" ht="14.15" customHeight="1" x14ac:dyDescent="0.35">
      <c r="B491" s="100">
        <f t="shared" si="7"/>
        <v>488</v>
      </c>
      <c r="C491" s="104" t="s">
        <v>484</v>
      </c>
      <c r="D491" s="102">
        <v>8312330</v>
      </c>
      <c r="E491" s="102"/>
      <c r="F491" s="103">
        <v>32904</v>
      </c>
      <c r="G491" s="99"/>
      <c r="H491" s="99"/>
      <c r="I491" s="99"/>
      <c r="J491" s="20"/>
      <c r="K491" s="21"/>
      <c r="L491" s="21"/>
      <c r="M491" s="21"/>
      <c r="N491" s="21"/>
      <c r="O491" s="21"/>
    </row>
    <row r="492" spans="2:15" ht="14.15" customHeight="1" x14ac:dyDescent="0.35">
      <c r="B492" s="100">
        <f t="shared" si="7"/>
        <v>489</v>
      </c>
      <c r="C492" s="104" t="s">
        <v>485</v>
      </c>
      <c r="D492" s="102">
        <v>8312649</v>
      </c>
      <c r="E492" s="102"/>
      <c r="F492" s="103">
        <v>32906</v>
      </c>
      <c r="G492" s="99"/>
      <c r="H492" s="99"/>
      <c r="I492" s="99"/>
      <c r="J492" s="20"/>
      <c r="K492" s="21"/>
      <c r="L492" s="21"/>
      <c r="M492" s="21"/>
      <c r="N492" s="21"/>
      <c r="O492" s="21"/>
    </row>
    <row r="493" spans="2:15" ht="14.15" customHeight="1" x14ac:dyDescent="0.35">
      <c r="B493" s="100">
        <f t="shared" si="7"/>
        <v>490</v>
      </c>
      <c r="C493" s="104" t="s">
        <v>486</v>
      </c>
      <c r="D493" s="102">
        <v>8614571</v>
      </c>
      <c r="E493" s="102"/>
      <c r="F493" s="103">
        <v>32907</v>
      </c>
      <c r="G493" s="99"/>
      <c r="H493" s="99"/>
      <c r="I493" s="99"/>
      <c r="J493" s="20"/>
      <c r="K493" s="21"/>
      <c r="L493" s="21"/>
      <c r="M493" s="21"/>
      <c r="N493" s="21"/>
      <c r="O493" s="21"/>
    </row>
    <row r="494" spans="2:15" ht="14.15" customHeight="1" x14ac:dyDescent="0.35">
      <c r="B494" s="100">
        <f t="shared" si="7"/>
        <v>491</v>
      </c>
      <c r="C494" s="104" t="s">
        <v>487</v>
      </c>
      <c r="D494" s="102">
        <v>738016</v>
      </c>
      <c r="E494" s="102"/>
      <c r="F494" s="103">
        <v>32921</v>
      </c>
      <c r="G494" s="99"/>
      <c r="H494" s="99"/>
      <c r="I494" s="99"/>
      <c r="J494" s="20"/>
      <c r="K494" s="21"/>
      <c r="L494" s="21"/>
      <c r="M494" s="21"/>
      <c r="N494" s="21"/>
      <c r="O494" s="21"/>
    </row>
    <row r="495" spans="2:15" ht="14.15" customHeight="1" x14ac:dyDescent="0.35">
      <c r="B495" s="100">
        <f t="shared" si="7"/>
        <v>492</v>
      </c>
      <c r="C495" s="104" t="s">
        <v>488</v>
      </c>
      <c r="D495" s="102">
        <v>748242</v>
      </c>
      <c r="E495" s="102"/>
      <c r="F495" s="103">
        <v>32921</v>
      </c>
      <c r="G495" s="99"/>
      <c r="H495" s="99"/>
      <c r="I495" s="99"/>
      <c r="J495" s="20"/>
      <c r="K495" s="21"/>
      <c r="L495" s="21"/>
      <c r="M495" s="21"/>
      <c r="N495" s="21"/>
      <c r="O495" s="21"/>
    </row>
    <row r="496" spans="2:15" ht="14.15" customHeight="1" x14ac:dyDescent="0.35">
      <c r="B496" s="100">
        <f t="shared" si="7"/>
        <v>493</v>
      </c>
      <c r="C496" s="104" t="s">
        <v>489</v>
      </c>
      <c r="D496" s="102">
        <v>8312652</v>
      </c>
      <c r="E496" s="102"/>
      <c r="F496" s="103">
        <v>32921</v>
      </c>
      <c r="G496" s="99"/>
      <c r="H496" s="99"/>
      <c r="I496" s="99"/>
      <c r="J496" s="20"/>
      <c r="K496" s="21"/>
      <c r="L496" s="21"/>
      <c r="M496" s="21"/>
      <c r="N496" s="21"/>
      <c r="O496" s="21"/>
    </row>
    <row r="497" spans="2:15" ht="14.15" customHeight="1" x14ac:dyDescent="0.35">
      <c r="B497" s="100">
        <f t="shared" si="7"/>
        <v>494</v>
      </c>
      <c r="C497" s="104" t="s">
        <v>490</v>
      </c>
      <c r="D497" s="102">
        <v>8413160</v>
      </c>
      <c r="E497" s="102"/>
      <c r="F497" s="103">
        <v>32921</v>
      </c>
      <c r="G497" s="99"/>
      <c r="H497" s="99"/>
      <c r="I497" s="99"/>
      <c r="J497" s="20"/>
      <c r="K497" s="21"/>
      <c r="L497" s="21"/>
      <c r="M497" s="21"/>
      <c r="N497" s="21"/>
      <c r="O497" s="21"/>
    </row>
    <row r="498" spans="2:15" ht="14.15" customHeight="1" x14ac:dyDescent="0.35">
      <c r="B498" s="100">
        <f t="shared" si="7"/>
        <v>495</v>
      </c>
      <c r="C498" s="104" t="s">
        <v>491</v>
      </c>
      <c r="D498" s="102">
        <v>738090</v>
      </c>
      <c r="E498" s="102"/>
      <c r="F498" s="103">
        <v>32930</v>
      </c>
      <c r="G498" s="99"/>
      <c r="H498" s="99"/>
      <c r="I498" s="99"/>
      <c r="J498" s="20"/>
      <c r="K498" s="21"/>
      <c r="L498" s="21"/>
      <c r="M498" s="21"/>
      <c r="N498" s="21"/>
      <c r="O498" s="21"/>
    </row>
    <row r="499" spans="2:15" ht="14.15" customHeight="1" x14ac:dyDescent="0.35">
      <c r="B499" s="100">
        <f t="shared" si="7"/>
        <v>496</v>
      </c>
      <c r="C499" s="104" t="s">
        <v>492</v>
      </c>
      <c r="D499" s="102">
        <v>8111407</v>
      </c>
      <c r="E499" s="102"/>
      <c r="F499" s="103">
        <v>32935</v>
      </c>
      <c r="G499" s="99"/>
      <c r="H499" s="99"/>
      <c r="I499" s="99"/>
      <c r="J499" s="20"/>
      <c r="K499" s="21"/>
      <c r="L499" s="21"/>
      <c r="M499" s="21"/>
      <c r="N499" s="21"/>
      <c r="O499" s="21"/>
    </row>
    <row r="500" spans="2:15" ht="14.15" customHeight="1" x14ac:dyDescent="0.35">
      <c r="B500" s="100">
        <f t="shared" si="7"/>
        <v>497</v>
      </c>
      <c r="C500" s="104" t="s">
        <v>493</v>
      </c>
      <c r="D500" s="102">
        <v>8312610</v>
      </c>
      <c r="E500" s="102"/>
      <c r="F500" s="103">
        <v>32940</v>
      </c>
      <c r="G500" s="99"/>
      <c r="H500" s="99"/>
      <c r="I500" s="99"/>
      <c r="J500" s="20"/>
      <c r="K500" s="21"/>
      <c r="L500" s="21"/>
      <c r="M500" s="21"/>
      <c r="N500" s="21"/>
      <c r="O500" s="21"/>
    </row>
    <row r="501" spans="2:15" ht="14.15" customHeight="1" x14ac:dyDescent="0.35">
      <c r="B501" s="100">
        <f t="shared" si="7"/>
        <v>498</v>
      </c>
      <c r="C501" s="104" t="s">
        <v>494</v>
      </c>
      <c r="D501" s="102">
        <v>8010622</v>
      </c>
      <c r="E501" s="102"/>
      <c r="F501" s="103">
        <v>32947</v>
      </c>
      <c r="G501" s="99"/>
      <c r="H501" s="99"/>
      <c r="I501" s="99"/>
      <c r="J501" s="20"/>
      <c r="K501" s="21"/>
      <c r="L501" s="21"/>
      <c r="M501" s="21"/>
      <c r="N501" s="21"/>
      <c r="O501" s="21"/>
    </row>
    <row r="502" spans="2:15" ht="14.15" customHeight="1" x14ac:dyDescent="0.35">
      <c r="B502" s="100">
        <f t="shared" si="7"/>
        <v>499</v>
      </c>
      <c r="C502" s="104" t="s">
        <v>495</v>
      </c>
      <c r="D502" s="102">
        <v>8211733</v>
      </c>
      <c r="E502" s="102"/>
      <c r="F502" s="103">
        <v>32947</v>
      </c>
      <c r="G502" s="99"/>
      <c r="H502" s="99"/>
      <c r="I502" s="99"/>
      <c r="J502" s="20"/>
      <c r="K502" s="21"/>
      <c r="L502" s="21"/>
      <c r="M502" s="21"/>
      <c r="N502" s="21"/>
      <c r="O502" s="21"/>
    </row>
    <row r="503" spans="2:15" ht="14.15" customHeight="1" x14ac:dyDescent="0.35">
      <c r="B503" s="100">
        <f t="shared" si="7"/>
        <v>500</v>
      </c>
      <c r="C503" s="104" t="s">
        <v>496</v>
      </c>
      <c r="D503" s="102">
        <v>789855</v>
      </c>
      <c r="E503" s="102"/>
      <c r="F503" s="103">
        <v>32956</v>
      </c>
      <c r="G503" s="99"/>
      <c r="H503" s="99"/>
      <c r="I503" s="99"/>
      <c r="J503" s="20"/>
      <c r="K503" s="21"/>
      <c r="L503" s="21"/>
      <c r="M503" s="21"/>
      <c r="N503" s="21"/>
      <c r="O503" s="21"/>
    </row>
    <row r="504" spans="2:15" ht="14.15" customHeight="1" x14ac:dyDescent="0.35">
      <c r="B504" s="100">
        <f t="shared" si="7"/>
        <v>501</v>
      </c>
      <c r="C504" s="104" t="s">
        <v>497</v>
      </c>
      <c r="D504" s="102">
        <v>769111</v>
      </c>
      <c r="E504" s="102"/>
      <c r="F504" s="103">
        <v>32961</v>
      </c>
      <c r="G504" s="99"/>
      <c r="H504" s="99"/>
      <c r="I504" s="99"/>
      <c r="J504" s="20"/>
      <c r="K504" s="21"/>
      <c r="L504" s="21"/>
      <c r="M504" s="21"/>
      <c r="N504" s="21"/>
      <c r="O504" s="21"/>
    </row>
    <row r="505" spans="2:15" ht="14.15" customHeight="1" x14ac:dyDescent="0.35">
      <c r="B505" s="100">
        <f t="shared" si="7"/>
        <v>502</v>
      </c>
      <c r="C505" s="104" t="s">
        <v>498</v>
      </c>
      <c r="D505" s="102">
        <v>8010893</v>
      </c>
      <c r="E505" s="102"/>
      <c r="F505" s="103">
        <v>32961</v>
      </c>
      <c r="G505" s="99"/>
      <c r="H505" s="99"/>
      <c r="I505" s="99"/>
      <c r="J505" s="20"/>
      <c r="K505" s="21"/>
      <c r="L505" s="21"/>
      <c r="M505" s="21"/>
      <c r="N505" s="21"/>
      <c r="O505" s="21"/>
    </row>
    <row r="506" spans="2:15" ht="14.15" customHeight="1" x14ac:dyDescent="0.35">
      <c r="B506" s="100">
        <f t="shared" si="7"/>
        <v>503</v>
      </c>
      <c r="C506" s="104" t="s">
        <v>499</v>
      </c>
      <c r="D506" s="102">
        <v>8312682</v>
      </c>
      <c r="E506" s="102"/>
      <c r="F506" s="103">
        <v>32963</v>
      </c>
      <c r="G506" s="99"/>
      <c r="H506" s="99"/>
      <c r="I506" s="99"/>
      <c r="J506" s="20"/>
      <c r="K506" s="21"/>
      <c r="L506" s="21"/>
      <c r="M506" s="21"/>
      <c r="N506" s="21"/>
      <c r="O506" s="21"/>
    </row>
    <row r="507" spans="2:15" ht="14.15" customHeight="1" x14ac:dyDescent="0.35">
      <c r="B507" s="100">
        <f t="shared" si="7"/>
        <v>504</v>
      </c>
      <c r="C507" s="104" t="s">
        <v>500</v>
      </c>
      <c r="D507" s="102">
        <v>8513052</v>
      </c>
      <c r="E507" s="102"/>
      <c r="F507" s="103">
        <v>32975</v>
      </c>
      <c r="G507" s="99"/>
      <c r="H507" s="99"/>
      <c r="I507" s="99"/>
      <c r="J507" s="20"/>
      <c r="K507" s="21"/>
      <c r="L507" s="21"/>
      <c r="M507" s="21"/>
      <c r="N507" s="21"/>
      <c r="O507" s="21"/>
    </row>
    <row r="508" spans="2:15" ht="14.15" customHeight="1" x14ac:dyDescent="0.35">
      <c r="B508" s="100">
        <f t="shared" si="7"/>
        <v>505</v>
      </c>
      <c r="C508" s="104" t="s">
        <v>501</v>
      </c>
      <c r="D508" s="102">
        <v>8412736</v>
      </c>
      <c r="E508" s="102"/>
      <c r="F508" s="103">
        <v>32984</v>
      </c>
      <c r="G508" s="99"/>
      <c r="H508" s="99"/>
      <c r="I508" s="99"/>
      <c r="J508" s="20"/>
      <c r="K508" s="21"/>
      <c r="L508" s="21"/>
      <c r="M508" s="21"/>
      <c r="N508" s="21"/>
      <c r="O508" s="21"/>
    </row>
    <row r="509" spans="2:15" ht="14.15" customHeight="1" x14ac:dyDescent="0.35">
      <c r="B509" s="100">
        <f t="shared" si="7"/>
        <v>506</v>
      </c>
      <c r="C509" s="104" t="s">
        <v>502</v>
      </c>
      <c r="D509" s="102">
        <v>8412739</v>
      </c>
      <c r="E509" s="102"/>
      <c r="F509" s="103">
        <v>32986</v>
      </c>
      <c r="G509" s="99"/>
      <c r="H509" s="99"/>
      <c r="I509" s="99"/>
      <c r="J509" s="20"/>
      <c r="K509" s="21"/>
      <c r="L509" s="21"/>
      <c r="M509" s="21"/>
      <c r="N509" s="21"/>
      <c r="O509" s="21"/>
    </row>
    <row r="510" spans="2:15" ht="14.15" customHeight="1" x14ac:dyDescent="0.35">
      <c r="B510" s="100">
        <f t="shared" si="7"/>
        <v>507</v>
      </c>
      <c r="C510" s="104" t="s">
        <v>503</v>
      </c>
      <c r="D510" s="102">
        <v>769078</v>
      </c>
      <c r="E510" s="102"/>
      <c r="F510" s="103">
        <v>33009</v>
      </c>
      <c r="G510" s="99"/>
      <c r="H510" s="99"/>
      <c r="I510" s="99"/>
      <c r="J510" s="20"/>
      <c r="K510" s="21"/>
      <c r="L510" s="21"/>
      <c r="M510" s="21"/>
      <c r="N510" s="21"/>
      <c r="O510" s="21"/>
    </row>
    <row r="511" spans="2:15" ht="14.15" customHeight="1" x14ac:dyDescent="0.35">
      <c r="B511" s="100">
        <f t="shared" si="7"/>
        <v>508</v>
      </c>
      <c r="C511" s="104" t="s">
        <v>504</v>
      </c>
      <c r="D511" s="102">
        <v>8412879</v>
      </c>
      <c r="E511" s="102"/>
      <c r="F511" s="103">
        <v>33021</v>
      </c>
      <c r="G511" s="99"/>
      <c r="H511" s="99"/>
      <c r="I511" s="99"/>
      <c r="J511" s="20"/>
      <c r="K511" s="21"/>
      <c r="L511" s="21"/>
      <c r="M511" s="21"/>
      <c r="N511" s="21"/>
      <c r="O511" s="21"/>
    </row>
    <row r="512" spans="2:15" ht="14.15" customHeight="1" x14ac:dyDescent="0.35">
      <c r="B512" s="100">
        <f t="shared" si="7"/>
        <v>509</v>
      </c>
      <c r="C512" s="104" t="s">
        <v>505</v>
      </c>
      <c r="D512" s="102">
        <v>8312650</v>
      </c>
      <c r="E512" s="102"/>
      <c r="F512" s="103">
        <v>33022</v>
      </c>
      <c r="G512" s="99"/>
      <c r="H512" s="99"/>
      <c r="I512" s="99"/>
      <c r="J512" s="20"/>
      <c r="K512" s="21"/>
      <c r="L512" s="21"/>
      <c r="M512" s="21"/>
      <c r="N512" s="21"/>
      <c r="O512" s="21"/>
    </row>
    <row r="513" spans="2:15" ht="14.15" customHeight="1" x14ac:dyDescent="0.35">
      <c r="B513" s="100">
        <f t="shared" si="7"/>
        <v>510</v>
      </c>
      <c r="C513" s="104" t="s">
        <v>506</v>
      </c>
      <c r="D513" s="102">
        <v>8513258</v>
      </c>
      <c r="E513" s="102"/>
      <c r="F513" s="103">
        <v>33023</v>
      </c>
      <c r="G513" s="99"/>
      <c r="H513" s="99"/>
      <c r="I513" s="99"/>
      <c r="J513" s="20"/>
      <c r="K513" s="21"/>
      <c r="L513" s="21"/>
      <c r="M513" s="21"/>
      <c r="N513" s="21"/>
      <c r="O513" s="21"/>
    </row>
    <row r="514" spans="2:15" ht="14.15" customHeight="1" x14ac:dyDescent="0.35">
      <c r="B514" s="100">
        <f t="shared" si="7"/>
        <v>511</v>
      </c>
      <c r="C514" s="104" t="s">
        <v>507</v>
      </c>
      <c r="D514" s="102">
        <v>8413020</v>
      </c>
      <c r="E514" s="102"/>
      <c r="F514" s="103">
        <v>33031</v>
      </c>
      <c r="G514" s="99"/>
      <c r="H514" s="99"/>
      <c r="I514" s="99"/>
      <c r="J514" s="20"/>
      <c r="K514" s="21"/>
      <c r="L514" s="21"/>
      <c r="M514" s="21"/>
      <c r="N514" s="21"/>
      <c r="O514" s="21"/>
    </row>
    <row r="515" spans="2:15" ht="14.15" customHeight="1" x14ac:dyDescent="0.35">
      <c r="B515" s="100">
        <f t="shared" si="7"/>
        <v>512</v>
      </c>
      <c r="C515" s="104" t="s">
        <v>508</v>
      </c>
      <c r="D515" s="102">
        <v>7810006</v>
      </c>
      <c r="E515" s="102"/>
      <c r="F515" s="103">
        <v>33032</v>
      </c>
      <c r="G515" s="99"/>
      <c r="H515" s="99"/>
      <c r="I515" s="99"/>
      <c r="J515" s="20"/>
      <c r="K515" s="21"/>
      <c r="L515" s="21"/>
      <c r="M515" s="21"/>
      <c r="N515" s="21"/>
      <c r="O515" s="21"/>
    </row>
    <row r="516" spans="2:15" ht="14.15" customHeight="1" x14ac:dyDescent="0.35">
      <c r="B516" s="100">
        <f t="shared" si="7"/>
        <v>513</v>
      </c>
      <c r="C516" s="104" t="s">
        <v>509</v>
      </c>
      <c r="D516" s="102">
        <v>8412969</v>
      </c>
      <c r="E516" s="102"/>
      <c r="F516" s="103">
        <v>33071</v>
      </c>
      <c r="G516" s="99"/>
      <c r="H516" s="99"/>
      <c r="I516" s="99"/>
      <c r="J516" s="20"/>
      <c r="K516" s="21"/>
      <c r="L516" s="21"/>
      <c r="M516" s="21"/>
      <c r="N516" s="21"/>
      <c r="O516" s="21"/>
    </row>
    <row r="517" spans="2:15" ht="14.15" customHeight="1" x14ac:dyDescent="0.35">
      <c r="B517" s="100">
        <f t="shared" ref="B517:B580" si="8">(B516+1)</f>
        <v>514</v>
      </c>
      <c r="C517" s="104" t="s">
        <v>510</v>
      </c>
      <c r="D517" s="102">
        <v>717150</v>
      </c>
      <c r="E517" s="102"/>
      <c r="F517" s="103">
        <v>33075</v>
      </c>
      <c r="G517" s="99"/>
      <c r="H517" s="99"/>
      <c r="I517" s="99"/>
      <c r="J517" s="20"/>
      <c r="K517" s="21"/>
      <c r="L517" s="21"/>
      <c r="M517" s="21"/>
      <c r="N517" s="21"/>
      <c r="O517" s="21"/>
    </row>
    <row r="518" spans="2:15" ht="14.15" customHeight="1" x14ac:dyDescent="0.35">
      <c r="B518" s="100">
        <f t="shared" si="8"/>
        <v>515</v>
      </c>
      <c r="C518" s="104" t="s">
        <v>511</v>
      </c>
      <c r="D518" s="102">
        <v>8513256</v>
      </c>
      <c r="E518" s="102"/>
      <c r="F518" s="103">
        <v>33078</v>
      </c>
      <c r="G518" s="99"/>
      <c r="H518" s="99"/>
      <c r="I518" s="99"/>
      <c r="J518" s="20"/>
      <c r="K518" s="21"/>
      <c r="L518" s="21"/>
      <c r="M518" s="21"/>
      <c r="N518" s="21"/>
      <c r="O518" s="21"/>
    </row>
    <row r="519" spans="2:15" ht="14.15" customHeight="1" x14ac:dyDescent="0.35">
      <c r="B519" s="100">
        <f t="shared" si="8"/>
        <v>516</v>
      </c>
      <c r="C519" s="104" t="s">
        <v>512</v>
      </c>
      <c r="D519" s="102">
        <v>8413126</v>
      </c>
      <c r="E519" s="102"/>
      <c r="F519" s="103">
        <v>33121</v>
      </c>
      <c r="G519" s="99"/>
      <c r="H519" s="99"/>
      <c r="I519" s="99"/>
      <c r="J519" s="20"/>
      <c r="K519" s="21"/>
      <c r="L519" s="21"/>
      <c r="M519" s="21"/>
      <c r="N519" s="21"/>
      <c r="O519" s="21"/>
    </row>
    <row r="520" spans="2:15" ht="14.15" customHeight="1" x14ac:dyDescent="0.35">
      <c r="B520" s="100">
        <f t="shared" si="8"/>
        <v>517</v>
      </c>
      <c r="C520" s="104" t="s">
        <v>513</v>
      </c>
      <c r="D520" s="102">
        <v>8312338</v>
      </c>
      <c r="E520" s="102"/>
      <c r="F520" s="103">
        <v>33124</v>
      </c>
      <c r="G520" s="99"/>
      <c r="H520" s="99"/>
      <c r="I520" s="99"/>
      <c r="J520" s="20"/>
      <c r="K520" s="21"/>
      <c r="L520" s="21"/>
      <c r="M520" s="21"/>
      <c r="N520" s="21"/>
      <c r="O520" s="21"/>
    </row>
    <row r="521" spans="2:15" ht="14.15" customHeight="1" x14ac:dyDescent="0.35">
      <c r="B521" s="100">
        <f t="shared" si="8"/>
        <v>518</v>
      </c>
      <c r="C521" s="104" t="s">
        <v>514</v>
      </c>
      <c r="D521" s="102">
        <v>8211740</v>
      </c>
      <c r="E521" s="102"/>
      <c r="F521" s="103">
        <v>33126</v>
      </c>
      <c r="G521" s="99"/>
      <c r="H521" s="99"/>
      <c r="I521" s="99"/>
      <c r="J521" s="20"/>
      <c r="K521" s="21"/>
      <c r="L521" s="21"/>
      <c r="M521" s="21"/>
      <c r="N521" s="21"/>
      <c r="O521" s="21"/>
    </row>
    <row r="522" spans="2:15" ht="14.15" customHeight="1" x14ac:dyDescent="0.35">
      <c r="B522" s="100">
        <f t="shared" si="8"/>
        <v>519</v>
      </c>
      <c r="C522" s="104" t="s">
        <v>515</v>
      </c>
      <c r="D522" s="102">
        <v>8412740</v>
      </c>
      <c r="E522" s="102"/>
      <c r="F522" s="103">
        <v>33158</v>
      </c>
      <c r="G522" s="99"/>
      <c r="H522" s="99"/>
      <c r="I522" s="99"/>
      <c r="J522" s="20"/>
      <c r="K522" s="21"/>
      <c r="L522" s="21"/>
      <c r="M522" s="21"/>
      <c r="N522" s="21"/>
      <c r="O522" s="21"/>
    </row>
    <row r="523" spans="2:15" ht="14.15" customHeight="1" x14ac:dyDescent="0.35">
      <c r="B523" s="100">
        <f t="shared" si="8"/>
        <v>520</v>
      </c>
      <c r="C523" s="104" t="s">
        <v>516</v>
      </c>
      <c r="D523" s="102">
        <v>8312636</v>
      </c>
      <c r="E523" s="102"/>
      <c r="F523" s="103">
        <v>33159</v>
      </c>
      <c r="G523" s="99"/>
      <c r="H523" s="99"/>
      <c r="I523" s="99"/>
      <c r="J523" s="20"/>
      <c r="K523" s="21"/>
      <c r="L523" s="21"/>
      <c r="M523" s="21"/>
      <c r="N523" s="21"/>
      <c r="O523" s="21"/>
    </row>
    <row r="524" spans="2:15" ht="14.15" customHeight="1" x14ac:dyDescent="0.35">
      <c r="B524" s="100">
        <f t="shared" si="8"/>
        <v>521</v>
      </c>
      <c r="C524" s="104" t="s">
        <v>517</v>
      </c>
      <c r="D524" s="102">
        <v>8413028</v>
      </c>
      <c r="E524" s="102"/>
      <c r="F524" s="103">
        <v>33159</v>
      </c>
      <c r="G524" s="99"/>
      <c r="H524" s="99"/>
      <c r="I524" s="99"/>
      <c r="J524" s="20"/>
      <c r="K524" s="21"/>
      <c r="L524" s="21"/>
      <c r="M524" s="21"/>
      <c r="N524" s="21"/>
      <c r="O524" s="21"/>
    </row>
    <row r="525" spans="2:15" ht="14.15" customHeight="1" x14ac:dyDescent="0.35">
      <c r="B525" s="100">
        <f t="shared" si="8"/>
        <v>522</v>
      </c>
      <c r="C525" s="104" t="s">
        <v>518</v>
      </c>
      <c r="D525" s="102">
        <v>8211723</v>
      </c>
      <c r="E525" s="102"/>
      <c r="F525" s="103">
        <v>33164</v>
      </c>
      <c r="G525" s="99"/>
      <c r="H525" s="99"/>
      <c r="I525" s="99"/>
      <c r="J525" s="20"/>
      <c r="K525" s="21"/>
      <c r="L525" s="21"/>
      <c r="M525" s="21"/>
      <c r="N525" s="21"/>
      <c r="O525" s="21"/>
    </row>
    <row r="526" spans="2:15" ht="14.15" customHeight="1" x14ac:dyDescent="0.35">
      <c r="B526" s="100">
        <f t="shared" si="8"/>
        <v>523</v>
      </c>
      <c r="C526" s="104" t="s">
        <v>519</v>
      </c>
      <c r="D526" s="102">
        <v>8010868</v>
      </c>
      <c r="E526" s="102"/>
      <c r="F526" s="103">
        <v>33166</v>
      </c>
      <c r="G526" s="99"/>
      <c r="H526" s="99"/>
      <c r="I526" s="99"/>
      <c r="J526" s="20"/>
      <c r="K526" s="21"/>
      <c r="L526" s="21"/>
      <c r="M526" s="21"/>
      <c r="N526" s="21"/>
      <c r="O526" s="21"/>
    </row>
    <row r="527" spans="2:15" ht="14.15" customHeight="1" x14ac:dyDescent="0.35">
      <c r="B527" s="100">
        <f t="shared" si="8"/>
        <v>524</v>
      </c>
      <c r="C527" s="104" t="s">
        <v>520</v>
      </c>
      <c r="D527" s="102">
        <v>8010696</v>
      </c>
      <c r="E527" s="102"/>
      <c r="F527" s="103">
        <v>33170</v>
      </c>
      <c r="G527" s="99"/>
      <c r="H527" s="99"/>
      <c r="I527" s="99"/>
      <c r="J527" s="20"/>
      <c r="K527" s="21"/>
      <c r="L527" s="21"/>
      <c r="M527" s="21"/>
      <c r="N527" s="21"/>
      <c r="O527" s="21"/>
    </row>
    <row r="528" spans="2:15" ht="14.15" customHeight="1" x14ac:dyDescent="0.35">
      <c r="B528" s="100">
        <f t="shared" si="8"/>
        <v>525</v>
      </c>
      <c r="C528" s="104" t="s">
        <v>521</v>
      </c>
      <c r="D528" s="102">
        <v>8111498</v>
      </c>
      <c r="E528" s="102"/>
      <c r="F528" s="103">
        <v>33170</v>
      </c>
      <c r="G528" s="99"/>
      <c r="H528" s="99"/>
      <c r="I528" s="99"/>
      <c r="J528" s="20"/>
      <c r="K528" s="21"/>
      <c r="L528" s="21"/>
      <c r="M528" s="21"/>
      <c r="N528" s="21"/>
      <c r="O528" s="21"/>
    </row>
    <row r="529" spans="2:15" ht="14.15" customHeight="1" x14ac:dyDescent="0.35">
      <c r="B529" s="100">
        <f t="shared" si="8"/>
        <v>526</v>
      </c>
      <c r="C529" s="104" t="s">
        <v>522</v>
      </c>
      <c r="D529" s="102">
        <v>8413092</v>
      </c>
      <c r="E529" s="102"/>
      <c r="F529" s="103">
        <v>33172</v>
      </c>
      <c r="G529" s="99"/>
      <c r="H529" s="99"/>
      <c r="I529" s="99"/>
      <c r="J529" s="20"/>
      <c r="K529" s="21"/>
      <c r="L529" s="21"/>
      <c r="M529" s="21"/>
      <c r="N529" s="21"/>
      <c r="O529" s="21"/>
    </row>
    <row r="530" spans="2:15" ht="14.15" customHeight="1" x14ac:dyDescent="0.35">
      <c r="B530" s="100">
        <f t="shared" si="8"/>
        <v>527</v>
      </c>
      <c r="C530" s="104" t="s">
        <v>523</v>
      </c>
      <c r="D530" s="102">
        <v>8212341</v>
      </c>
      <c r="E530" s="102"/>
      <c r="F530" s="103">
        <v>33183</v>
      </c>
      <c r="G530" s="99"/>
      <c r="H530" s="99"/>
      <c r="I530" s="99"/>
      <c r="J530" s="20"/>
      <c r="K530" s="21"/>
      <c r="L530" s="21"/>
      <c r="M530" s="21"/>
      <c r="N530" s="21"/>
      <c r="O530" s="21"/>
    </row>
    <row r="531" spans="2:15" ht="14.15" customHeight="1" x14ac:dyDescent="0.35">
      <c r="B531" s="100">
        <f t="shared" si="8"/>
        <v>528</v>
      </c>
      <c r="C531" s="104" t="s">
        <v>524</v>
      </c>
      <c r="D531" s="102">
        <v>8211744</v>
      </c>
      <c r="E531" s="102"/>
      <c r="F531" s="103">
        <v>33189</v>
      </c>
      <c r="G531" s="99"/>
      <c r="H531" s="99"/>
      <c r="I531" s="99"/>
      <c r="J531" s="20"/>
      <c r="K531" s="21"/>
      <c r="L531" s="21"/>
      <c r="M531" s="21"/>
      <c r="N531" s="21"/>
      <c r="O531" s="21"/>
    </row>
    <row r="532" spans="2:15" ht="14.15" customHeight="1" x14ac:dyDescent="0.35">
      <c r="B532" s="100">
        <f t="shared" si="8"/>
        <v>529</v>
      </c>
      <c r="C532" s="104" t="s">
        <v>525</v>
      </c>
      <c r="D532" s="102">
        <v>8111459</v>
      </c>
      <c r="E532" s="102"/>
      <c r="F532" s="103">
        <v>33190</v>
      </c>
      <c r="G532" s="99"/>
      <c r="H532" s="99"/>
      <c r="I532" s="99"/>
      <c r="J532" s="20"/>
      <c r="K532" s="21"/>
      <c r="L532" s="21"/>
      <c r="M532" s="21"/>
      <c r="N532" s="21"/>
      <c r="O532" s="21"/>
    </row>
    <row r="533" spans="2:15" ht="14.15" customHeight="1" x14ac:dyDescent="0.35">
      <c r="B533" s="100">
        <f t="shared" si="8"/>
        <v>530</v>
      </c>
      <c r="C533" s="104" t="s">
        <v>526</v>
      </c>
      <c r="D533" s="102">
        <v>8111454</v>
      </c>
      <c r="E533" s="102"/>
      <c r="F533" s="103">
        <v>33220</v>
      </c>
      <c r="G533" s="99"/>
      <c r="H533" s="99"/>
      <c r="I533" s="99"/>
      <c r="J533" s="20"/>
      <c r="K533" s="21"/>
      <c r="L533" s="21"/>
      <c r="M533" s="21"/>
      <c r="N533" s="21"/>
      <c r="O533" s="21"/>
    </row>
    <row r="534" spans="2:15" ht="14.15" customHeight="1" x14ac:dyDescent="0.35">
      <c r="B534" s="100">
        <f t="shared" si="8"/>
        <v>531</v>
      </c>
      <c r="C534" s="104" t="s">
        <v>527</v>
      </c>
      <c r="D534" s="102">
        <v>8114441</v>
      </c>
      <c r="E534" s="102"/>
      <c r="F534" s="103">
        <v>33225</v>
      </c>
      <c r="G534" s="99"/>
      <c r="H534" s="99"/>
      <c r="I534" s="99"/>
      <c r="J534" s="20"/>
      <c r="K534" s="21"/>
      <c r="L534" s="21"/>
      <c r="M534" s="21"/>
      <c r="N534" s="21"/>
      <c r="O534" s="21"/>
    </row>
    <row r="535" spans="2:15" ht="14.15" customHeight="1" x14ac:dyDescent="0.35">
      <c r="B535" s="100">
        <f t="shared" si="8"/>
        <v>532</v>
      </c>
      <c r="C535" s="104" t="s">
        <v>528</v>
      </c>
      <c r="D535" s="102">
        <v>8211741</v>
      </c>
      <c r="E535" s="102"/>
      <c r="F535" s="103">
        <v>33227</v>
      </c>
      <c r="G535" s="99"/>
      <c r="H535" s="99"/>
      <c r="I535" s="99"/>
      <c r="J535" s="20"/>
      <c r="K535" s="21"/>
      <c r="L535" s="21"/>
      <c r="M535" s="21"/>
      <c r="N535" s="21"/>
      <c r="O535" s="21"/>
    </row>
    <row r="536" spans="2:15" ht="14.15" customHeight="1" x14ac:dyDescent="0.35">
      <c r="B536" s="100">
        <f t="shared" si="8"/>
        <v>533</v>
      </c>
      <c r="C536" s="104" t="s">
        <v>529</v>
      </c>
      <c r="D536" s="102">
        <v>768951</v>
      </c>
      <c r="E536" s="102"/>
      <c r="F536" s="103">
        <v>33229</v>
      </c>
      <c r="G536" s="99"/>
      <c r="H536" s="99"/>
      <c r="I536" s="99"/>
      <c r="J536" s="20"/>
      <c r="K536" s="21"/>
      <c r="L536" s="21"/>
      <c r="M536" s="21"/>
      <c r="N536" s="21"/>
      <c r="O536" s="21"/>
    </row>
    <row r="537" spans="2:15" ht="14.15" customHeight="1" x14ac:dyDescent="0.35">
      <c r="B537" s="100">
        <f t="shared" si="8"/>
        <v>534</v>
      </c>
      <c r="C537" s="104" t="s">
        <v>530</v>
      </c>
      <c r="D537" s="102">
        <v>8111456</v>
      </c>
      <c r="E537" s="102"/>
      <c r="F537" s="103">
        <v>33236</v>
      </c>
      <c r="G537" s="99"/>
      <c r="H537" s="99"/>
      <c r="I537" s="99"/>
      <c r="J537" s="20"/>
      <c r="K537" s="21"/>
      <c r="L537" s="21"/>
      <c r="M537" s="21"/>
      <c r="N537" s="21"/>
      <c r="O537" s="21"/>
    </row>
    <row r="538" spans="2:15" ht="14.15" customHeight="1" x14ac:dyDescent="0.35">
      <c r="B538" s="100">
        <f t="shared" si="8"/>
        <v>535</v>
      </c>
      <c r="C538" s="104" t="s">
        <v>531</v>
      </c>
      <c r="D538" s="102">
        <v>8111494</v>
      </c>
      <c r="E538" s="102"/>
      <c r="F538" s="103">
        <v>33236</v>
      </c>
      <c r="G538" s="99"/>
      <c r="H538" s="99"/>
      <c r="I538" s="99"/>
      <c r="J538" s="20"/>
      <c r="K538" s="21"/>
      <c r="L538" s="21"/>
      <c r="M538" s="21"/>
      <c r="N538" s="21"/>
      <c r="O538" s="21"/>
    </row>
    <row r="539" spans="2:15" ht="14.15" customHeight="1" x14ac:dyDescent="0.35">
      <c r="B539" s="100">
        <f t="shared" si="8"/>
        <v>536</v>
      </c>
      <c r="C539" s="104" t="s">
        <v>532</v>
      </c>
      <c r="D539" s="102">
        <v>779435</v>
      </c>
      <c r="E539" s="102"/>
      <c r="F539" s="103">
        <v>33237</v>
      </c>
      <c r="G539" s="99"/>
      <c r="H539" s="99"/>
      <c r="I539" s="99"/>
      <c r="J539" s="20"/>
      <c r="K539" s="21"/>
      <c r="L539" s="21"/>
      <c r="M539" s="21"/>
      <c r="N539" s="21"/>
      <c r="O539" s="21"/>
    </row>
    <row r="540" spans="2:15" ht="14.15" customHeight="1" x14ac:dyDescent="0.35">
      <c r="B540" s="100">
        <f t="shared" si="8"/>
        <v>537</v>
      </c>
      <c r="C540" s="104" t="s">
        <v>533</v>
      </c>
      <c r="D540" s="102">
        <v>8011041</v>
      </c>
      <c r="E540" s="102"/>
      <c r="F540" s="103">
        <v>33237</v>
      </c>
      <c r="G540" s="99"/>
      <c r="H540" s="99"/>
      <c r="I540" s="99"/>
      <c r="J540" s="20"/>
      <c r="K540" s="21"/>
      <c r="L540" s="21"/>
      <c r="M540" s="21"/>
      <c r="N540" s="21"/>
      <c r="O540" s="21"/>
    </row>
    <row r="541" spans="2:15" ht="14.15" customHeight="1" x14ac:dyDescent="0.35">
      <c r="B541" s="100">
        <f t="shared" si="8"/>
        <v>538</v>
      </c>
      <c r="C541" s="104" t="s">
        <v>534</v>
      </c>
      <c r="D541" s="102">
        <v>727650</v>
      </c>
      <c r="E541" s="102"/>
      <c r="F541" s="103">
        <v>33238</v>
      </c>
      <c r="G541" s="99"/>
      <c r="H541" s="99"/>
      <c r="I541" s="99"/>
      <c r="J541" s="20"/>
      <c r="K541" s="21"/>
      <c r="L541" s="21"/>
      <c r="M541" s="21"/>
      <c r="N541" s="21"/>
      <c r="O541" s="21"/>
    </row>
    <row r="542" spans="2:15" ht="14.15" customHeight="1" x14ac:dyDescent="0.35">
      <c r="B542" s="100">
        <f t="shared" si="8"/>
        <v>539</v>
      </c>
      <c r="C542" s="104" t="s">
        <v>535</v>
      </c>
      <c r="D542" s="102">
        <v>738036</v>
      </c>
      <c r="E542" s="102"/>
      <c r="F542" s="103">
        <v>33238</v>
      </c>
      <c r="G542" s="99"/>
      <c r="H542" s="99"/>
      <c r="I542" s="99"/>
      <c r="J542" s="20"/>
      <c r="K542" s="21"/>
      <c r="L542" s="21"/>
      <c r="M542" s="21"/>
      <c r="N542" s="21"/>
      <c r="O542" s="21"/>
    </row>
    <row r="543" spans="2:15" ht="14.15" customHeight="1" x14ac:dyDescent="0.35">
      <c r="B543" s="100">
        <f t="shared" si="8"/>
        <v>540</v>
      </c>
      <c r="C543" s="104" t="s">
        <v>536</v>
      </c>
      <c r="D543" s="102">
        <v>8111475</v>
      </c>
      <c r="E543" s="102"/>
      <c r="F543" s="103">
        <v>33238</v>
      </c>
      <c r="G543" s="99"/>
      <c r="H543" s="99"/>
      <c r="I543" s="99"/>
      <c r="J543" s="20"/>
      <c r="K543" s="21"/>
      <c r="L543" s="21"/>
      <c r="M543" s="21"/>
      <c r="N543" s="21"/>
      <c r="O543" s="21"/>
    </row>
    <row r="544" spans="2:15" ht="14.15" customHeight="1" x14ac:dyDescent="0.35">
      <c r="B544" s="100">
        <f t="shared" si="8"/>
        <v>541</v>
      </c>
      <c r="C544" s="104" t="s">
        <v>537</v>
      </c>
      <c r="D544" s="102">
        <v>8312347</v>
      </c>
      <c r="E544" s="102"/>
      <c r="F544" s="103">
        <v>33264</v>
      </c>
      <c r="G544" s="99"/>
      <c r="H544" s="99"/>
      <c r="I544" s="99"/>
      <c r="J544" s="20"/>
      <c r="K544" s="21"/>
      <c r="L544" s="21"/>
      <c r="M544" s="21"/>
      <c r="N544" s="21"/>
      <c r="O544" s="21"/>
    </row>
    <row r="545" spans="2:15" ht="14.15" customHeight="1" x14ac:dyDescent="0.35">
      <c r="B545" s="100">
        <f t="shared" si="8"/>
        <v>542</v>
      </c>
      <c r="C545" s="104" t="s">
        <v>538</v>
      </c>
      <c r="D545" s="102">
        <v>8513263</v>
      </c>
      <c r="E545" s="102"/>
      <c r="F545" s="103">
        <v>33264</v>
      </c>
      <c r="G545" s="99"/>
      <c r="H545" s="99"/>
      <c r="I545" s="99"/>
      <c r="J545" s="20"/>
      <c r="K545" s="21"/>
      <c r="L545" s="21"/>
      <c r="M545" s="21"/>
      <c r="N545" s="21"/>
      <c r="O545" s="21"/>
    </row>
    <row r="546" spans="2:15" ht="14.15" customHeight="1" x14ac:dyDescent="0.35">
      <c r="B546" s="100">
        <f t="shared" si="8"/>
        <v>543</v>
      </c>
      <c r="C546" s="104" t="s">
        <v>539</v>
      </c>
      <c r="D546" s="102">
        <v>8513255</v>
      </c>
      <c r="E546" s="102"/>
      <c r="F546" s="103">
        <v>33267</v>
      </c>
      <c r="G546" s="99"/>
      <c r="H546" s="99"/>
      <c r="I546" s="99"/>
      <c r="J546" s="20"/>
      <c r="K546" s="21"/>
      <c r="L546" s="21"/>
      <c r="M546" s="21"/>
      <c r="N546" s="21"/>
      <c r="O546" s="21"/>
    </row>
    <row r="547" spans="2:15" ht="14.15" customHeight="1" x14ac:dyDescent="0.35">
      <c r="B547" s="100">
        <f t="shared" si="8"/>
        <v>544</v>
      </c>
      <c r="C547" s="104" t="s">
        <v>540</v>
      </c>
      <c r="D547" s="102">
        <v>8312333</v>
      </c>
      <c r="E547" s="102"/>
      <c r="F547" s="103">
        <v>33273</v>
      </c>
      <c r="G547" s="99"/>
      <c r="H547" s="99"/>
      <c r="I547" s="99"/>
      <c r="J547" s="20"/>
      <c r="K547" s="21"/>
      <c r="L547" s="21"/>
      <c r="M547" s="21"/>
      <c r="N547" s="21"/>
      <c r="O547" s="21"/>
    </row>
    <row r="548" spans="2:15" ht="14.15" customHeight="1" x14ac:dyDescent="0.35">
      <c r="B548" s="100">
        <f t="shared" si="8"/>
        <v>545</v>
      </c>
      <c r="C548" s="104" t="s">
        <v>541</v>
      </c>
      <c r="D548" s="102">
        <v>8312659</v>
      </c>
      <c r="E548" s="102"/>
      <c r="F548" s="103">
        <v>33278</v>
      </c>
      <c r="G548" s="99"/>
      <c r="H548" s="99"/>
      <c r="I548" s="99"/>
      <c r="J548" s="20"/>
      <c r="K548" s="21"/>
      <c r="L548" s="21"/>
      <c r="M548" s="21"/>
      <c r="N548" s="21"/>
      <c r="O548" s="21"/>
    </row>
    <row r="549" spans="2:15" ht="14.15" customHeight="1" x14ac:dyDescent="0.35">
      <c r="B549" s="100">
        <f t="shared" si="8"/>
        <v>546</v>
      </c>
      <c r="C549" s="104" t="s">
        <v>542</v>
      </c>
      <c r="D549" s="102">
        <v>8211788</v>
      </c>
      <c r="E549" s="102"/>
      <c r="F549" s="103">
        <v>33292</v>
      </c>
      <c r="G549" s="99"/>
      <c r="H549" s="99"/>
      <c r="I549" s="99"/>
      <c r="J549" s="20"/>
      <c r="K549" s="21"/>
      <c r="L549" s="21"/>
      <c r="M549" s="21"/>
      <c r="N549" s="21"/>
      <c r="O549" s="21"/>
    </row>
    <row r="550" spans="2:15" ht="14.15" customHeight="1" x14ac:dyDescent="0.35">
      <c r="B550" s="100">
        <f t="shared" si="8"/>
        <v>547</v>
      </c>
      <c r="C550" s="104" t="s">
        <v>543</v>
      </c>
      <c r="D550" s="102">
        <v>8412735</v>
      </c>
      <c r="E550" s="102"/>
      <c r="F550" s="103">
        <v>33294</v>
      </c>
      <c r="G550" s="99"/>
      <c r="H550" s="99"/>
      <c r="I550" s="99"/>
      <c r="J550" s="20"/>
      <c r="K550" s="21"/>
      <c r="L550" s="21"/>
      <c r="M550" s="21"/>
      <c r="N550" s="21"/>
      <c r="O550" s="21"/>
    </row>
    <row r="551" spans="2:15" ht="14.15" customHeight="1" x14ac:dyDescent="0.35">
      <c r="B551" s="100">
        <f t="shared" si="8"/>
        <v>548</v>
      </c>
      <c r="C551" s="104" t="s">
        <v>544</v>
      </c>
      <c r="D551" s="102">
        <v>8211802</v>
      </c>
      <c r="E551" s="102"/>
      <c r="F551" s="103">
        <v>33301</v>
      </c>
      <c r="G551" s="99"/>
      <c r="H551" s="99"/>
      <c r="I551" s="99"/>
      <c r="J551" s="20"/>
      <c r="K551" s="21"/>
      <c r="L551" s="21"/>
      <c r="M551" s="21"/>
      <c r="N551" s="21"/>
      <c r="O551" s="21"/>
    </row>
    <row r="552" spans="2:15" ht="14.15" customHeight="1" x14ac:dyDescent="0.35">
      <c r="B552" s="100">
        <f t="shared" si="8"/>
        <v>549</v>
      </c>
      <c r="C552" s="104" t="s">
        <v>545</v>
      </c>
      <c r="D552" s="102">
        <v>8312663</v>
      </c>
      <c r="E552" s="102"/>
      <c r="F552" s="103">
        <v>33306</v>
      </c>
      <c r="G552" s="99"/>
      <c r="H552" s="99"/>
      <c r="I552" s="99"/>
      <c r="J552" s="20"/>
      <c r="K552" s="21"/>
      <c r="L552" s="21"/>
      <c r="M552" s="21"/>
      <c r="N552" s="21"/>
      <c r="O552" s="21"/>
    </row>
    <row r="553" spans="2:15" ht="14.15" customHeight="1" x14ac:dyDescent="0.35">
      <c r="B553" s="100">
        <f t="shared" si="8"/>
        <v>550</v>
      </c>
      <c r="C553" s="104" t="s">
        <v>546</v>
      </c>
      <c r="D553" s="102">
        <v>8412780</v>
      </c>
      <c r="E553" s="102"/>
      <c r="F553" s="103">
        <v>33306</v>
      </c>
      <c r="G553" s="99"/>
      <c r="H553" s="99"/>
      <c r="I553" s="99"/>
      <c r="J553" s="20"/>
      <c r="K553" s="21"/>
      <c r="L553" s="21"/>
      <c r="M553" s="21"/>
      <c r="N553" s="21"/>
      <c r="O553" s="21"/>
    </row>
    <row r="554" spans="2:15" ht="14.15" customHeight="1" x14ac:dyDescent="0.35">
      <c r="B554" s="100">
        <f t="shared" si="8"/>
        <v>551</v>
      </c>
      <c r="C554" s="104" t="s">
        <v>547</v>
      </c>
      <c r="D554" s="102">
        <v>8111425</v>
      </c>
      <c r="E554" s="102"/>
      <c r="F554" s="103">
        <v>33331</v>
      </c>
      <c r="G554" s="99"/>
      <c r="H554" s="99"/>
      <c r="I554" s="99"/>
      <c r="J554" s="20"/>
      <c r="K554" s="21"/>
      <c r="L554" s="21"/>
      <c r="M554" s="21"/>
      <c r="N554" s="21"/>
      <c r="O554" s="21"/>
    </row>
    <row r="555" spans="2:15" ht="14.15" customHeight="1" x14ac:dyDescent="0.35">
      <c r="B555" s="100">
        <f t="shared" si="8"/>
        <v>552</v>
      </c>
      <c r="C555" s="104" t="s">
        <v>548</v>
      </c>
      <c r="D555" s="102">
        <v>8413105</v>
      </c>
      <c r="E555" s="102"/>
      <c r="F555" s="103">
        <v>33359</v>
      </c>
      <c r="G555" s="99"/>
      <c r="H555" s="99"/>
      <c r="I555" s="99"/>
      <c r="J555" s="20"/>
      <c r="K555" s="21"/>
      <c r="L555" s="21"/>
      <c r="M555" s="21"/>
      <c r="N555" s="21"/>
      <c r="O555" s="21"/>
    </row>
    <row r="556" spans="2:15" ht="14.15" customHeight="1" x14ac:dyDescent="0.35">
      <c r="B556" s="100">
        <f t="shared" si="8"/>
        <v>553</v>
      </c>
      <c r="C556" s="104" t="s">
        <v>549</v>
      </c>
      <c r="D556" s="102">
        <v>8412958</v>
      </c>
      <c r="E556" s="102"/>
      <c r="F556" s="103">
        <v>33361</v>
      </c>
      <c r="G556" s="99"/>
      <c r="H556" s="99"/>
      <c r="I556" s="99"/>
      <c r="J556" s="20"/>
      <c r="K556" s="21"/>
      <c r="L556" s="21"/>
      <c r="M556" s="21"/>
      <c r="N556" s="21"/>
      <c r="O556" s="21"/>
    </row>
    <row r="557" spans="2:15" ht="14.15" customHeight="1" x14ac:dyDescent="0.35">
      <c r="B557" s="100">
        <f t="shared" si="8"/>
        <v>554</v>
      </c>
      <c r="C557" s="104" t="s">
        <v>550</v>
      </c>
      <c r="D557" s="102">
        <v>8312689</v>
      </c>
      <c r="E557" s="102"/>
      <c r="F557" s="103">
        <v>33362</v>
      </c>
      <c r="G557" s="99"/>
      <c r="H557" s="99"/>
      <c r="I557" s="99"/>
      <c r="J557" s="20"/>
      <c r="K557" s="21"/>
      <c r="L557" s="21"/>
      <c r="M557" s="21"/>
      <c r="N557" s="21"/>
      <c r="O557" s="21"/>
    </row>
    <row r="558" spans="2:15" ht="14.15" customHeight="1" x14ac:dyDescent="0.35">
      <c r="B558" s="100">
        <f t="shared" si="8"/>
        <v>555</v>
      </c>
      <c r="C558" s="104" t="s">
        <v>551</v>
      </c>
      <c r="D558" s="102">
        <v>8513188</v>
      </c>
      <c r="E558" s="102"/>
      <c r="F558" s="103">
        <v>33366</v>
      </c>
      <c r="G558" s="99"/>
      <c r="H558" s="99"/>
      <c r="I558" s="99"/>
      <c r="J558" s="20"/>
      <c r="K558" s="21"/>
      <c r="L558" s="21"/>
      <c r="M558" s="21"/>
      <c r="N558" s="21"/>
      <c r="O558" s="21"/>
    </row>
    <row r="559" spans="2:15" ht="14.15" customHeight="1" x14ac:dyDescent="0.35">
      <c r="B559" s="100">
        <f t="shared" si="8"/>
        <v>556</v>
      </c>
      <c r="C559" s="104" t="s">
        <v>552</v>
      </c>
      <c r="D559" s="102">
        <v>738020</v>
      </c>
      <c r="E559" s="102"/>
      <c r="F559" s="103">
        <v>33444</v>
      </c>
      <c r="G559" s="99"/>
      <c r="H559" s="99"/>
      <c r="I559" s="99"/>
      <c r="J559" s="20"/>
      <c r="K559" s="21"/>
      <c r="L559" s="21"/>
      <c r="M559" s="21"/>
      <c r="N559" s="21"/>
      <c r="O559" s="21"/>
    </row>
    <row r="560" spans="2:15" ht="14.15" customHeight="1" x14ac:dyDescent="0.35">
      <c r="B560" s="100">
        <f t="shared" si="8"/>
        <v>557</v>
      </c>
      <c r="C560" s="104" t="s">
        <v>553</v>
      </c>
      <c r="D560" s="102">
        <v>8513861</v>
      </c>
      <c r="E560" s="102"/>
      <c r="F560" s="103">
        <v>33450</v>
      </c>
      <c r="G560" s="99"/>
      <c r="H560" s="99"/>
      <c r="I560" s="99"/>
      <c r="J560" s="20"/>
      <c r="K560" s="21"/>
      <c r="L560" s="21"/>
      <c r="M560" s="21"/>
      <c r="N560" s="21"/>
      <c r="O560" s="21"/>
    </row>
    <row r="561" spans="2:15" ht="14.15" customHeight="1" x14ac:dyDescent="0.35">
      <c r="B561" s="100">
        <f t="shared" si="8"/>
        <v>558</v>
      </c>
      <c r="C561" s="104" t="s">
        <v>554</v>
      </c>
      <c r="D561" s="102">
        <v>738079</v>
      </c>
      <c r="E561" s="102"/>
      <c r="F561" s="103">
        <v>33451</v>
      </c>
      <c r="G561" s="99"/>
      <c r="H561" s="99"/>
      <c r="I561" s="99"/>
      <c r="J561" s="20"/>
      <c r="K561" s="21"/>
      <c r="L561" s="21"/>
      <c r="M561" s="21"/>
      <c r="N561" s="21"/>
      <c r="O561" s="21"/>
    </row>
    <row r="562" spans="2:15" ht="14.15" customHeight="1" x14ac:dyDescent="0.35">
      <c r="B562" s="100">
        <f t="shared" si="8"/>
        <v>559</v>
      </c>
      <c r="C562" s="104" t="s">
        <v>555</v>
      </c>
      <c r="D562" s="102">
        <v>8211725</v>
      </c>
      <c r="E562" s="102"/>
      <c r="F562" s="103">
        <v>33465</v>
      </c>
      <c r="G562" s="99"/>
      <c r="H562" s="99"/>
      <c r="I562" s="99"/>
      <c r="J562" s="20"/>
      <c r="K562" s="21"/>
      <c r="L562" s="21"/>
      <c r="M562" s="21"/>
      <c r="N562" s="21"/>
      <c r="O562" s="21"/>
    </row>
    <row r="563" spans="2:15" ht="14.15" customHeight="1" x14ac:dyDescent="0.35">
      <c r="B563" s="100">
        <f t="shared" si="8"/>
        <v>560</v>
      </c>
      <c r="C563" s="104" t="s">
        <v>556</v>
      </c>
      <c r="D563" s="102">
        <v>8211786</v>
      </c>
      <c r="E563" s="102"/>
      <c r="F563" s="103">
        <v>33505</v>
      </c>
      <c r="G563" s="99"/>
      <c r="H563" s="99"/>
      <c r="I563" s="99"/>
      <c r="J563" s="20"/>
      <c r="K563" s="21"/>
      <c r="L563" s="21"/>
      <c r="M563" s="21"/>
      <c r="N563" s="21"/>
      <c r="O563" s="21"/>
    </row>
    <row r="564" spans="2:15" ht="14.15" customHeight="1" x14ac:dyDescent="0.35">
      <c r="B564" s="100">
        <f t="shared" si="8"/>
        <v>561</v>
      </c>
      <c r="C564" s="104" t="s">
        <v>557</v>
      </c>
      <c r="D564" s="102">
        <v>8312339</v>
      </c>
      <c r="E564" s="102"/>
      <c r="F564" s="103">
        <v>33512</v>
      </c>
      <c r="G564" s="99"/>
      <c r="H564" s="99"/>
      <c r="I564" s="99"/>
      <c r="J564" s="20"/>
      <c r="K564" s="21"/>
      <c r="L564" s="21"/>
      <c r="M564" s="21"/>
      <c r="N564" s="21"/>
      <c r="O564" s="21"/>
    </row>
    <row r="565" spans="2:15" ht="14.15" customHeight="1" x14ac:dyDescent="0.35">
      <c r="B565" s="100">
        <f t="shared" si="8"/>
        <v>562</v>
      </c>
      <c r="C565" s="104" t="s">
        <v>558</v>
      </c>
      <c r="D565" s="102">
        <v>8413021</v>
      </c>
      <c r="E565" s="102"/>
      <c r="F565" s="103">
        <v>33516</v>
      </c>
      <c r="G565" s="99"/>
      <c r="H565" s="99"/>
      <c r="I565" s="99"/>
      <c r="J565" s="20"/>
      <c r="K565" s="21"/>
      <c r="L565" s="21"/>
      <c r="M565" s="21"/>
      <c r="N565" s="21"/>
      <c r="O565" s="21"/>
    </row>
    <row r="566" spans="2:15" ht="14.15" customHeight="1" x14ac:dyDescent="0.35">
      <c r="B566" s="100">
        <f t="shared" si="8"/>
        <v>563</v>
      </c>
      <c r="C566" s="104" t="s">
        <v>559</v>
      </c>
      <c r="D566" s="102">
        <v>8412926</v>
      </c>
      <c r="E566" s="102"/>
      <c r="F566" s="103">
        <v>33523</v>
      </c>
      <c r="G566" s="99"/>
      <c r="H566" s="99"/>
      <c r="I566" s="99"/>
      <c r="J566" s="20"/>
      <c r="K566" s="21"/>
      <c r="L566" s="21"/>
      <c r="M566" s="21"/>
      <c r="N566" s="21"/>
      <c r="O566" s="21"/>
    </row>
    <row r="567" spans="2:15" ht="14.15" customHeight="1" x14ac:dyDescent="0.35">
      <c r="B567" s="100">
        <f t="shared" si="8"/>
        <v>564</v>
      </c>
      <c r="C567" s="104" t="s">
        <v>560</v>
      </c>
      <c r="D567" s="102">
        <v>8413211</v>
      </c>
      <c r="E567" s="102"/>
      <c r="F567" s="103">
        <v>33523</v>
      </c>
      <c r="G567" s="99"/>
      <c r="H567" s="99"/>
      <c r="I567" s="99"/>
      <c r="J567" s="20"/>
      <c r="K567" s="21"/>
      <c r="L567" s="21"/>
      <c r="M567" s="21"/>
      <c r="N567" s="21"/>
      <c r="O567" s="21"/>
    </row>
    <row r="568" spans="2:15" ht="14.15" customHeight="1" x14ac:dyDescent="0.35">
      <c r="B568" s="100">
        <f t="shared" si="8"/>
        <v>565</v>
      </c>
      <c r="C568" s="104" t="s">
        <v>561</v>
      </c>
      <c r="D568" s="102">
        <v>8211724</v>
      </c>
      <c r="E568" s="102"/>
      <c r="F568" s="103">
        <v>33533</v>
      </c>
      <c r="G568" s="99"/>
      <c r="H568" s="99"/>
      <c r="I568" s="99"/>
      <c r="J568" s="20"/>
      <c r="K568" s="21"/>
      <c r="L568" s="21"/>
      <c r="M568" s="21"/>
      <c r="N568" s="21"/>
      <c r="O568" s="21"/>
    </row>
    <row r="569" spans="2:15" ht="14.15" customHeight="1" x14ac:dyDescent="0.35">
      <c r="B569" s="100">
        <f t="shared" si="8"/>
        <v>566</v>
      </c>
      <c r="C569" s="104" t="s">
        <v>562</v>
      </c>
      <c r="D569" s="102">
        <v>8211731</v>
      </c>
      <c r="E569" s="102"/>
      <c r="F569" s="103">
        <v>33544</v>
      </c>
      <c r="G569" s="99"/>
      <c r="H569" s="99"/>
      <c r="I569" s="99"/>
      <c r="J569" s="20"/>
      <c r="K569" s="21"/>
      <c r="L569" s="21"/>
      <c r="M569" s="21"/>
      <c r="N569" s="21"/>
      <c r="O569" s="21"/>
    </row>
    <row r="570" spans="2:15" ht="14.15" customHeight="1" x14ac:dyDescent="0.35">
      <c r="B570" s="100">
        <f t="shared" si="8"/>
        <v>567</v>
      </c>
      <c r="C570" s="104" t="s">
        <v>563</v>
      </c>
      <c r="D570" s="102">
        <v>8513617</v>
      </c>
      <c r="E570" s="102"/>
      <c r="F570" s="103">
        <v>33569</v>
      </c>
      <c r="G570" s="99"/>
      <c r="H570" s="99"/>
      <c r="I570" s="99"/>
      <c r="J570" s="20"/>
      <c r="K570" s="21"/>
      <c r="L570" s="21"/>
      <c r="M570" s="21"/>
      <c r="N570" s="21"/>
      <c r="O570" s="21"/>
    </row>
    <row r="571" spans="2:15" ht="14.15" customHeight="1" x14ac:dyDescent="0.35">
      <c r="B571" s="100">
        <f t="shared" si="8"/>
        <v>568</v>
      </c>
      <c r="C571" s="104" t="s">
        <v>564</v>
      </c>
      <c r="D571" s="102">
        <v>8513252</v>
      </c>
      <c r="E571" s="102"/>
      <c r="F571" s="103">
        <v>33570</v>
      </c>
      <c r="G571" s="99"/>
      <c r="H571" s="99"/>
      <c r="I571" s="99"/>
      <c r="J571" s="20"/>
      <c r="K571" s="21"/>
      <c r="L571" s="21"/>
      <c r="M571" s="21"/>
      <c r="N571" s="21"/>
      <c r="O571" s="21"/>
    </row>
    <row r="572" spans="2:15" ht="14.15" customHeight="1" x14ac:dyDescent="0.35">
      <c r="B572" s="100">
        <f t="shared" si="8"/>
        <v>569</v>
      </c>
      <c r="C572" s="104" t="s">
        <v>565</v>
      </c>
      <c r="D572" s="102">
        <v>8413050</v>
      </c>
      <c r="E572" s="102"/>
      <c r="F572" s="103">
        <v>33571</v>
      </c>
      <c r="G572" s="99"/>
      <c r="H572" s="99"/>
      <c r="I572" s="99"/>
      <c r="J572" s="20"/>
      <c r="K572" s="21"/>
      <c r="L572" s="21"/>
      <c r="M572" s="21"/>
      <c r="N572" s="21"/>
      <c r="O572" s="21"/>
    </row>
    <row r="573" spans="2:15" ht="14.15" customHeight="1" x14ac:dyDescent="0.35">
      <c r="B573" s="100">
        <f t="shared" si="8"/>
        <v>570</v>
      </c>
      <c r="C573" s="104" t="s">
        <v>566</v>
      </c>
      <c r="D573" s="102">
        <v>8412839</v>
      </c>
      <c r="E573" s="102"/>
      <c r="F573" s="103">
        <v>33572</v>
      </c>
      <c r="G573" s="99"/>
      <c r="H573" s="99"/>
      <c r="I573" s="99"/>
      <c r="J573" s="20"/>
      <c r="K573" s="21"/>
      <c r="L573" s="21"/>
      <c r="M573" s="21"/>
      <c r="N573" s="21"/>
      <c r="O573" s="21"/>
    </row>
    <row r="574" spans="2:15" ht="14.15" customHeight="1" x14ac:dyDescent="0.35">
      <c r="B574" s="100">
        <f t="shared" si="8"/>
        <v>571</v>
      </c>
      <c r="C574" s="104" t="s">
        <v>567</v>
      </c>
      <c r="D574" s="102">
        <v>8513624</v>
      </c>
      <c r="E574" s="102"/>
      <c r="F574" s="103">
        <v>33583</v>
      </c>
      <c r="G574" s="99"/>
      <c r="H574" s="99"/>
      <c r="I574" s="99"/>
      <c r="J574" s="20"/>
      <c r="K574" s="21"/>
      <c r="L574" s="21"/>
      <c r="M574" s="21"/>
      <c r="N574" s="21"/>
      <c r="O574" s="21"/>
    </row>
    <row r="575" spans="2:15" ht="14.15" customHeight="1" x14ac:dyDescent="0.35">
      <c r="B575" s="100">
        <f t="shared" si="8"/>
        <v>572</v>
      </c>
      <c r="C575" s="104" t="s">
        <v>568</v>
      </c>
      <c r="D575" s="102">
        <v>8513868</v>
      </c>
      <c r="E575" s="102"/>
      <c r="F575" s="103">
        <v>33592</v>
      </c>
      <c r="G575" s="99"/>
      <c r="H575" s="99"/>
      <c r="I575" s="99"/>
      <c r="J575" s="20"/>
      <c r="K575" s="21"/>
      <c r="L575" s="21"/>
      <c r="M575" s="21"/>
      <c r="N575" s="21"/>
      <c r="O575" s="21"/>
    </row>
    <row r="576" spans="2:15" ht="14.15" customHeight="1" x14ac:dyDescent="0.35">
      <c r="B576" s="100">
        <f t="shared" si="8"/>
        <v>573</v>
      </c>
      <c r="C576" s="104" t="s">
        <v>569</v>
      </c>
      <c r="D576" s="102">
        <v>8211803</v>
      </c>
      <c r="E576" s="102"/>
      <c r="F576" s="103">
        <v>33593</v>
      </c>
      <c r="G576" s="99"/>
      <c r="H576" s="99"/>
      <c r="I576" s="99"/>
      <c r="J576" s="20"/>
      <c r="K576" s="21"/>
      <c r="L576" s="21"/>
      <c r="M576" s="21"/>
      <c r="N576" s="21"/>
      <c r="O576" s="21"/>
    </row>
    <row r="577" spans="2:15" ht="14.15" customHeight="1" x14ac:dyDescent="0.35">
      <c r="B577" s="100">
        <f t="shared" si="8"/>
        <v>574</v>
      </c>
      <c r="C577" s="104" t="s">
        <v>570</v>
      </c>
      <c r="D577" s="102">
        <v>8412781</v>
      </c>
      <c r="E577" s="102"/>
      <c r="F577" s="103">
        <v>33595</v>
      </c>
      <c r="G577" s="99"/>
      <c r="H577" s="99"/>
      <c r="I577" s="99"/>
      <c r="J577" s="20"/>
      <c r="K577" s="21"/>
      <c r="L577" s="21"/>
      <c r="M577" s="21"/>
      <c r="N577" s="21"/>
      <c r="O577" s="21"/>
    </row>
    <row r="578" spans="2:15" ht="14.15" customHeight="1" x14ac:dyDescent="0.35">
      <c r="B578" s="100">
        <f t="shared" si="8"/>
        <v>575</v>
      </c>
      <c r="C578" s="104" t="s">
        <v>571</v>
      </c>
      <c r="D578" s="102">
        <v>8211804</v>
      </c>
      <c r="E578" s="102"/>
      <c r="F578" s="103">
        <v>33624</v>
      </c>
      <c r="G578" s="99"/>
      <c r="H578" s="99"/>
      <c r="I578" s="99"/>
      <c r="J578" s="20"/>
      <c r="K578" s="21"/>
      <c r="L578" s="21"/>
      <c r="M578" s="21"/>
      <c r="N578" s="21"/>
      <c r="O578" s="21"/>
    </row>
    <row r="579" spans="2:15" ht="14.15" customHeight="1" x14ac:dyDescent="0.35">
      <c r="B579" s="100">
        <f t="shared" si="8"/>
        <v>576</v>
      </c>
      <c r="C579" s="104" t="s">
        <v>572</v>
      </c>
      <c r="D579" s="102">
        <v>8614290</v>
      </c>
      <c r="E579" s="102"/>
      <c r="F579" s="103">
        <v>33627</v>
      </c>
      <c r="G579" s="99"/>
      <c r="H579" s="99"/>
      <c r="I579" s="99"/>
      <c r="J579" s="20"/>
      <c r="K579" s="21"/>
      <c r="L579" s="21"/>
      <c r="M579" s="21"/>
      <c r="N579" s="21"/>
      <c r="O579" s="21"/>
    </row>
    <row r="580" spans="2:15" ht="14.15" customHeight="1" x14ac:dyDescent="0.35">
      <c r="B580" s="100">
        <f t="shared" si="8"/>
        <v>577</v>
      </c>
      <c r="C580" s="104" t="s">
        <v>573</v>
      </c>
      <c r="D580" s="102">
        <v>8211759</v>
      </c>
      <c r="E580" s="102"/>
      <c r="F580" s="103">
        <v>33630</v>
      </c>
      <c r="G580" s="99"/>
      <c r="H580" s="99"/>
      <c r="I580" s="99"/>
      <c r="J580" s="20"/>
      <c r="K580" s="21"/>
      <c r="L580" s="21"/>
      <c r="M580" s="21"/>
      <c r="N580" s="21"/>
      <c r="O580" s="21"/>
    </row>
    <row r="581" spans="2:15" ht="14.15" customHeight="1" x14ac:dyDescent="0.35">
      <c r="B581" s="100">
        <f t="shared" ref="B581:B644" si="9">(B580+1)</f>
        <v>578</v>
      </c>
      <c r="C581" s="104" t="s">
        <v>574</v>
      </c>
      <c r="D581" s="102">
        <v>8413208</v>
      </c>
      <c r="E581" s="102"/>
      <c r="F581" s="103">
        <v>33630</v>
      </c>
      <c r="G581" s="99"/>
      <c r="H581" s="99"/>
      <c r="I581" s="99"/>
      <c r="J581" s="20"/>
      <c r="K581" s="21"/>
      <c r="L581" s="21"/>
      <c r="M581" s="21"/>
      <c r="N581" s="21"/>
      <c r="O581" s="21"/>
    </row>
    <row r="582" spans="2:15" ht="14.15" customHeight="1" x14ac:dyDescent="0.35">
      <c r="B582" s="100">
        <f t="shared" si="9"/>
        <v>579</v>
      </c>
      <c r="C582" s="104" t="s">
        <v>575</v>
      </c>
      <c r="D582" s="102">
        <v>8412848</v>
      </c>
      <c r="E582" s="102"/>
      <c r="F582" s="103">
        <v>33631</v>
      </c>
      <c r="G582" s="99"/>
      <c r="H582" s="99"/>
      <c r="I582" s="99"/>
      <c r="J582" s="20"/>
      <c r="K582" s="21"/>
      <c r="L582" s="21"/>
      <c r="M582" s="21"/>
      <c r="N582" s="21"/>
      <c r="O582" s="21"/>
    </row>
    <row r="583" spans="2:15" ht="14.15" customHeight="1" x14ac:dyDescent="0.35">
      <c r="B583" s="100">
        <f t="shared" si="9"/>
        <v>580</v>
      </c>
      <c r="C583" s="104" t="s">
        <v>576</v>
      </c>
      <c r="D583" s="102">
        <v>8513571</v>
      </c>
      <c r="E583" s="102"/>
      <c r="F583" s="103">
        <v>33640</v>
      </c>
      <c r="G583" s="99"/>
      <c r="H583" s="99"/>
      <c r="I583" s="99"/>
      <c r="J583" s="20"/>
      <c r="K583" s="21"/>
      <c r="L583" s="21"/>
      <c r="M583" s="21"/>
      <c r="N583" s="21"/>
      <c r="O583" s="21"/>
    </row>
    <row r="584" spans="2:15" ht="14.15" customHeight="1" x14ac:dyDescent="0.35">
      <c r="B584" s="100">
        <f t="shared" si="9"/>
        <v>581</v>
      </c>
      <c r="C584" s="104" t="s">
        <v>577</v>
      </c>
      <c r="D584" s="102">
        <v>8513781</v>
      </c>
      <c r="E584" s="102"/>
      <c r="F584" s="103">
        <v>33649</v>
      </c>
      <c r="G584" s="99"/>
      <c r="H584" s="99"/>
      <c r="I584" s="99"/>
      <c r="J584" s="20"/>
      <c r="K584" s="21"/>
      <c r="L584" s="21"/>
      <c r="M584" s="21"/>
      <c r="N584" s="21"/>
      <c r="O584" s="21"/>
    </row>
    <row r="585" spans="2:15" ht="14.15" customHeight="1" x14ac:dyDescent="0.35">
      <c r="B585" s="100">
        <f t="shared" si="9"/>
        <v>582</v>
      </c>
      <c r="C585" s="104" t="s">
        <v>578</v>
      </c>
      <c r="D585" s="102">
        <v>8613971</v>
      </c>
      <c r="E585" s="102"/>
      <c r="F585" s="103">
        <v>33681</v>
      </c>
      <c r="G585" s="99"/>
      <c r="H585" s="99"/>
      <c r="I585" s="99"/>
      <c r="J585" s="20"/>
      <c r="K585" s="21"/>
      <c r="L585" s="21"/>
      <c r="M585" s="21"/>
      <c r="N585" s="21"/>
      <c r="O585" s="21"/>
    </row>
    <row r="586" spans="2:15" ht="14.15" customHeight="1" x14ac:dyDescent="0.35">
      <c r="B586" s="100">
        <f t="shared" si="9"/>
        <v>583</v>
      </c>
      <c r="C586" s="104" t="s">
        <v>579</v>
      </c>
      <c r="D586" s="102">
        <v>8413167</v>
      </c>
      <c r="E586" s="102"/>
      <c r="F586" s="103">
        <v>33697</v>
      </c>
      <c r="G586" s="99" t="s">
        <v>580</v>
      </c>
      <c r="H586" s="99"/>
      <c r="I586" s="99" t="s">
        <v>580</v>
      </c>
      <c r="J586" s="20"/>
      <c r="K586" s="21"/>
      <c r="L586" s="21"/>
      <c r="M586" s="21"/>
      <c r="N586" s="21"/>
      <c r="O586" s="21"/>
    </row>
    <row r="587" spans="2:15" ht="14.15" customHeight="1" x14ac:dyDescent="0.35">
      <c r="B587" s="100">
        <f t="shared" si="9"/>
        <v>584</v>
      </c>
      <c r="C587" s="104" t="s">
        <v>581</v>
      </c>
      <c r="D587" s="102">
        <v>8413180</v>
      </c>
      <c r="E587" s="102"/>
      <c r="F587" s="103">
        <v>33723</v>
      </c>
      <c r="G587" s="99"/>
      <c r="H587" s="99"/>
      <c r="I587" s="99"/>
      <c r="J587" s="20"/>
      <c r="K587" s="21"/>
      <c r="L587" s="21"/>
      <c r="M587" s="21"/>
      <c r="N587" s="21"/>
      <c r="O587" s="21"/>
    </row>
    <row r="588" spans="2:15" ht="14.15" customHeight="1" x14ac:dyDescent="0.35">
      <c r="B588" s="100">
        <f t="shared" si="9"/>
        <v>585</v>
      </c>
      <c r="C588" s="104" t="s">
        <v>582</v>
      </c>
      <c r="D588" s="102">
        <v>8513264</v>
      </c>
      <c r="E588" s="102"/>
      <c r="F588" s="103">
        <v>33723</v>
      </c>
      <c r="G588" s="99"/>
      <c r="H588" s="99"/>
      <c r="I588" s="99"/>
      <c r="J588" s="20"/>
      <c r="K588" s="21"/>
      <c r="L588" s="21"/>
      <c r="M588" s="21"/>
      <c r="N588" s="21"/>
      <c r="O588" s="21"/>
    </row>
    <row r="589" spans="2:15" ht="14.15" customHeight="1" x14ac:dyDescent="0.35">
      <c r="B589" s="100">
        <f t="shared" si="9"/>
        <v>586</v>
      </c>
      <c r="C589" s="104" t="s">
        <v>583</v>
      </c>
      <c r="D589" s="102">
        <v>696693</v>
      </c>
      <c r="E589" s="102"/>
      <c r="F589" s="103">
        <v>33728</v>
      </c>
      <c r="G589" s="99"/>
      <c r="H589" s="99"/>
      <c r="I589" s="99"/>
      <c r="J589" s="20"/>
      <c r="K589" s="21"/>
      <c r="L589" s="21"/>
      <c r="M589" s="21"/>
      <c r="N589" s="21"/>
      <c r="O589" s="21"/>
    </row>
    <row r="590" spans="2:15" ht="14.15" customHeight="1" x14ac:dyDescent="0.35">
      <c r="B590" s="100">
        <f t="shared" si="9"/>
        <v>587</v>
      </c>
      <c r="C590" s="104" t="s">
        <v>584</v>
      </c>
      <c r="D590" s="102">
        <v>8412933</v>
      </c>
      <c r="E590" s="102"/>
      <c r="F590" s="103">
        <v>33730</v>
      </c>
      <c r="G590" s="99"/>
      <c r="H590" s="99"/>
      <c r="I590" s="99"/>
      <c r="J590" s="20"/>
      <c r="K590" s="21"/>
      <c r="L590" s="21"/>
      <c r="M590" s="21"/>
      <c r="N590" s="21"/>
      <c r="O590" s="21"/>
    </row>
    <row r="591" spans="2:15" ht="14.15" customHeight="1" x14ac:dyDescent="0.35">
      <c r="B591" s="100">
        <f t="shared" si="9"/>
        <v>588</v>
      </c>
      <c r="C591" s="104" t="s">
        <v>585</v>
      </c>
      <c r="D591" s="102">
        <v>8312681</v>
      </c>
      <c r="E591" s="102"/>
      <c r="F591" s="103">
        <v>33733</v>
      </c>
      <c r="G591" s="99"/>
      <c r="H591" s="99"/>
      <c r="I591" s="99"/>
      <c r="J591" s="20"/>
      <c r="K591" s="21"/>
      <c r="L591" s="21"/>
      <c r="M591" s="21"/>
      <c r="N591" s="21"/>
      <c r="O591" s="21"/>
    </row>
    <row r="592" spans="2:15" ht="14.15" customHeight="1" x14ac:dyDescent="0.35">
      <c r="B592" s="100">
        <f t="shared" si="9"/>
        <v>589</v>
      </c>
      <c r="C592" s="104" t="s">
        <v>586</v>
      </c>
      <c r="D592" s="102">
        <v>8211756</v>
      </c>
      <c r="E592" s="102"/>
      <c r="F592" s="103">
        <v>33735</v>
      </c>
      <c r="G592" s="99"/>
      <c r="H592" s="99"/>
      <c r="I592" s="99"/>
      <c r="J592" s="20"/>
      <c r="K592" s="21"/>
      <c r="L592" s="21"/>
      <c r="M592" s="21"/>
      <c r="N592" s="21"/>
      <c r="O592" s="21"/>
    </row>
    <row r="593" spans="2:15" ht="14.15" customHeight="1" x14ac:dyDescent="0.35">
      <c r="B593" s="100">
        <f t="shared" si="9"/>
        <v>590</v>
      </c>
      <c r="C593" s="104" t="s">
        <v>587</v>
      </c>
      <c r="D593" s="102">
        <v>8211796</v>
      </c>
      <c r="E593" s="102"/>
      <c r="F593" s="103">
        <v>33735</v>
      </c>
      <c r="G593" s="99"/>
      <c r="H593" s="99"/>
      <c r="I593" s="99"/>
      <c r="J593" s="20"/>
      <c r="K593" s="21"/>
      <c r="L593" s="21"/>
      <c r="M593" s="21"/>
      <c r="N593" s="21"/>
      <c r="O593" s="21"/>
    </row>
    <row r="594" spans="2:15" ht="14.15" customHeight="1" x14ac:dyDescent="0.35">
      <c r="B594" s="100">
        <f t="shared" si="9"/>
        <v>591</v>
      </c>
      <c r="C594" s="104" t="s">
        <v>588</v>
      </c>
      <c r="D594" s="102">
        <v>8211732</v>
      </c>
      <c r="E594" s="102"/>
      <c r="F594" s="103">
        <v>33736</v>
      </c>
      <c r="G594" s="99"/>
      <c r="H594" s="99"/>
      <c r="I594" s="99"/>
      <c r="J594" s="20"/>
      <c r="K594" s="21"/>
      <c r="L594" s="21"/>
      <c r="M594" s="21"/>
      <c r="N594" s="21"/>
      <c r="O594" s="21"/>
    </row>
    <row r="595" spans="2:15" ht="14.15" customHeight="1" x14ac:dyDescent="0.35">
      <c r="B595" s="100">
        <f t="shared" si="9"/>
        <v>592</v>
      </c>
      <c r="C595" s="104" t="s">
        <v>589</v>
      </c>
      <c r="D595" s="102">
        <v>8413098</v>
      </c>
      <c r="E595" s="102"/>
      <c r="F595" s="103">
        <v>33737</v>
      </c>
      <c r="G595" s="99"/>
      <c r="H595" s="99"/>
      <c r="I595" s="99"/>
      <c r="J595" s="20"/>
      <c r="K595" s="21"/>
      <c r="L595" s="21"/>
      <c r="M595" s="21"/>
      <c r="N595" s="21"/>
      <c r="O595" s="21"/>
    </row>
    <row r="596" spans="2:15" ht="14.15" customHeight="1" x14ac:dyDescent="0.35">
      <c r="B596" s="100">
        <f t="shared" si="9"/>
        <v>593</v>
      </c>
      <c r="C596" s="104" t="s">
        <v>590</v>
      </c>
      <c r="D596" s="102">
        <v>8513625</v>
      </c>
      <c r="E596" s="102"/>
      <c r="F596" s="103">
        <v>33765</v>
      </c>
      <c r="G596" s="99"/>
      <c r="H596" s="99"/>
      <c r="I596" s="99"/>
      <c r="J596" s="20"/>
      <c r="K596" s="21"/>
      <c r="L596" s="21"/>
      <c r="M596" s="21"/>
      <c r="N596" s="21"/>
      <c r="O596" s="21"/>
    </row>
    <row r="597" spans="2:15" ht="14.15" customHeight="1" x14ac:dyDescent="0.35">
      <c r="B597" s="100">
        <f t="shared" si="9"/>
        <v>594</v>
      </c>
      <c r="C597" s="104" t="s">
        <v>591</v>
      </c>
      <c r="D597" s="102">
        <v>758762</v>
      </c>
      <c r="E597" s="102"/>
      <c r="F597" s="103">
        <v>33793</v>
      </c>
      <c r="G597" s="99"/>
      <c r="H597" s="99"/>
      <c r="I597" s="99"/>
      <c r="J597" s="20"/>
      <c r="K597" s="21"/>
      <c r="L597" s="21"/>
      <c r="M597" s="21"/>
      <c r="N597" s="21"/>
      <c r="O597" s="21"/>
    </row>
    <row r="598" spans="2:15" ht="14.15" customHeight="1" x14ac:dyDescent="0.35">
      <c r="B598" s="100">
        <f t="shared" si="9"/>
        <v>595</v>
      </c>
      <c r="C598" s="104" t="s">
        <v>592</v>
      </c>
      <c r="D598" s="102">
        <v>8412880</v>
      </c>
      <c r="E598" s="102"/>
      <c r="F598" s="103">
        <v>33796</v>
      </c>
      <c r="G598" s="99"/>
      <c r="H598" s="99"/>
      <c r="I598" s="99"/>
      <c r="J598" s="20"/>
      <c r="K598" s="21"/>
      <c r="L598" s="21"/>
      <c r="M598" s="21"/>
      <c r="N598" s="21"/>
      <c r="O598" s="21"/>
    </row>
    <row r="599" spans="2:15" ht="14.15" customHeight="1" x14ac:dyDescent="0.35">
      <c r="B599" s="100">
        <f t="shared" si="9"/>
        <v>596</v>
      </c>
      <c r="C599" s="104" t="s">
        <v>593</v>
      </c>
      <c r="D599" s="102">
        <v>8513262</v>
      </c>
      <c r="E599" s="102"/>
      <c r="F599" s="103">
        <v>33796</v>
      </c>
      <c r="G599" s="99"/>
      <c r="H599" s="99"/>
      <c r="I599" s="99"/>
      <c r="J599" s="20"/>
      <c r="K599" s="21"/>
      <c r="L599" s="21"/>
      <c r="M599" s="21"/>
      <c r="N599" s="21"/>
      <c r="O599" s="21"/>
    </row>
    <row r="600" spans="2:15" ht="14.15" customHeight="1" x14ac:dyDescent="0.35">
      <c r="B600" s="100">
        <f t="shared" si="9"/>
        <v>597</v>
      </c>
      <c r="C600" s="104" t="s">
        <v>594</v>
      </c>
      <c r="D600" s="102">
        <v>8412794</v>
      </c>
      <c r="E600" s="102"/>
      <c r="F600" s="103">
        <v>33798</v>
      </c>
      <c r="G600" s="99"/>
      <c r="H600" s="99"/>
      <c r="I600" s="99"/>
      <c r="J600" s="20"/>
      <c r="K600" s="21"/>
      <c r="L600" s="21"/>
      <c r="M600" s="21"/>
      <c r="N600" s="21"/>
      <c r="O600" s="21"/>
    </row>
    <row r="601" spans="2:15" ht="14.15" customHeight="1" x14ac:dyDescent="0.35">
      <c r="B601" s="100">
        <f t="shared" si="9"/>
        <v>598</v>
      </c>
      <c r="C601" s="104" t="s">
        <v>595</v>
      </c>
      <c r="D601" s="102">
        <v>8613902</v>
      </c>
      <c r="E601" s="102"/>
      <c r="F601" s="103">
        <v>33798</v>
      </c>
      <c r="G601" s="99"/>
      <c r="H601" s="99"/>
      <c r="I601" s="99"/>
      <c r="J601" s="20"/>
      <c r="K601" s="21"/>
      <c r="L601" s="21"/>
      <c r="M601" s="21"/>
      <c r="N601" s="21"/>
      <c r="O601" s="21"/>
    </row>
    <row r="602" spans="2:15" ht="14.15" customHeight="1" x14ac:dyDescent="0.35">
      <c r="B602" s="100">
        <f t="shared" si="9"/>
        <v>599</v>
      </c>
      <c r="C602" s="104" t="s">
        <v>596</v>
      </c>
      <c r="D602" s="102">
        <v>8613963</v>
      </c>
      <c r="E602" s="102"/>
      <c r="F602" s="103">
        <v>33805</v>
      </c>
      <c r="G602" s="99"/>
      <c r="H602" s="99"/>
      <c r="I602" s="99"/>
      <c r="J602" s="20"/>
      <c r="K602" s="21"/>
      <c r="L602" s="21"/>
      <c r="M602" s="21"/>
      <c r="N602" s="21"/>
      <c r="O602" s="21"/>
    </row>
    <row r="603" spans="2:15" ht="14.15" customHeight="1" x14ac:dyDescent="0.35">
      <c r="B603" s="100">
        <f t="shared" si="9"/>
        <v>600</v>
      </c>
      <c r="C603" s="104" t="s">
        <v>597</v>
      </c>
      <c r="D603" s="102">
        <v>8211755</v>
      </c>
      <c r="E603" s="102"/>
      <c r="F603" s="103">
        <v>33806</v>
      </c>
      <c r="G603" s="99"/>
      <c r="H603" s="99"/>
      <c r="I603" s="99"/>
      <c r="J603" s="20"/>
      <c r="K603" s="21"/>
      <c r="L603" s="21"/>
      <c r="M603" s="21"/>
      <c r="N603" s="21"/>
      <c r="O603" s="21"/>
    </row>
    <row r="604" spans="2:15" ht="14.15" customHeight="1" x14ac:dyDescent="0.35">
      <c r="B604" s="100">
        <f t="shared" si="9"/>
        <v>601</v>
      </c>
      <c r="C604" s="104" t="s">
        <v>598</v>
      </c>
      <c r="D604" s="102">
        <v>8513685</v>
      </c>
      <c r="E604" s="102"/>
      <c r="F604" s="103">
        <v>33806</v>
      </c>
      <c r="G604" s="99"/>
      <c r="H604" s="99"/>
      <c r="I604" s="99"/>
      <c r="J604" s="20"/>
      <c r="K604" s="21"/>
      <c r="L604" s="21"/>
      <c r="M604" s="21"/>
      <c r="N604" s="21"/>
      <c r="O604" s="21"/>
    </row>
    <row r="605" spans="2:15" ht="14.15" customHeight="1" x14ac:dyDescent="0.35">
      <c r="B605" s="100">
        <f t="shared" si="9"/>
        <v>602</v>
      </c>
      <c r="C605" s="104" t="s">
        <v>599</v>
      </c>
      <c r="D605" s="102">
        <v>8815198</v>
      </c>
      <c r="E605" s="102"/>
      <c r="F605" s="103">
        <v>33812</v>
      </c>
      <c r="G605" s="99"/>
      <c r="H605" s="99"/>
      <c r="I605" s="99"/>
      <c r="J605" s="20"/>
      <c r="K605" s="21"/>
      <c r="L605" s="21"/>
      <c r="M605" s="21"/>
      <c r="N605" s="21"/>
      <c r="O605" s="21"/>
    </row>
    <row r="606" spans="2:15" ht="14.15" customHeight="1" x14ac:dyDescent="0.35">
      <c r="B606" s="100">
        <f t="shared" si="9"/>
        <v>603</v>
      </c>
      <c r="C606" s="104" t="s">
        <v>600</v>
      </c>
      <c r="D606" s="102">
        <v>8312619</v>
      </c>
      <c r="E606" s="102"/>
      <c r="F606" s="103">
        <v>33817</v>
      </c>
      <c r="G606" s="99"/>
      <c r="H606" s="99"/>
      <c r="I606" s="99"/>
      <c r="J606" s="20"/>
      <c r="K606" s="21"/>
      <c r="L606" s="21"/>
      <c r="M606" s="21"/>
      <c r="N606" s="21"/>
      <c r="O606" s="21"/>
    </row>
    <row r="607" spans="2:15" ht="14.15" customHeight="1" x14ac:dyDescent="0.35">
      <c r="B607" s="100">
        <f t="shared" si="9"/>
        <v>604</v>
      </c>
      <c r="C607" s="104" t="s">
        <v>601</v>
      </c>
      <c r="D607" s="102">
        <v>8312345</v>
      </c>
      <c r="E607" s="102"/>
      <c r="F607" s="103">
        <v>33820</v>
      </c>
      <c r="G607" s="99"/>
      <c r="H607" s="99"/>
      <c r="I607" s="99"/>
      <c r="J607" s="20"/>
      <c r="K607" s="21"/>
      <c r="L607" s="21"/>
      <c r="M607" s="21"/>
      <c r="N607" s="21"/>
      <c r="O607" s="21"/>
    </row>
    <row r="608" spans="2:15" ht="14.15" customHeight="1" x14ac:dyDescent="0.35">
      <c r="B608" s="100">
        <f t="shared" si="9"/>
        <v>605</v>
      </c>
      <c r="C608" s="104" t="s">
        <v>602</v>
      </c>
      <c r="D608" s="102">
        <v>8413106</v>
      </c>
      <c r="E608" s="102"/>
      <c r="F608" s="103">
        <v>33822</v>
      </c>
      <c r="G608" s="99"/>
      <c r="H608" s="99"/>
      <c r="I608" s="99"/>
      <c r="J608" s="20"/>
      <c r="K608" s="21"/>
      <c r="L608" s="21"/>
      <c r="M608" s="21"/>
      <c r="N608" s="21"/>
      <c r="O608" s="21"/>
    </row>
    <row r="609" spans="2:18" ht="14.15" customHeight="1" x14ac:dyDescent="0.35">
      <c r="B609" s="100">
        <f t="shared" si="9"/>
        <v>606</v>
      </c>
      <c r="C609" s="104" t="s">
        <v>603</v>
      </c>
      <c r="D609" s="102">
        <v>8513877</v>
      </c>
      <c r="E609" s="102"/>
      <c r="F609" s="103">
        <v>33823</v>
      </c>
      <c r="G609" s="99"/>
      <c r="H609" s="99"/>
      <c r="I609" s="99"/>
      <c r="J609" s="20"/>
      <c r="K609" s="21"/>
      <c r="L609" s="21"/>
      <c r="M609" s="21"/>
      <c r="N609" s="21"/>
      <c r="O609" s="21"/>
    </row>
    <row r="610" spans="2:18" ht="14.15" customHeight="1" x14ac:dyDescent="0.35">
      <c r="B610" s="100">
        <f t="shared" si="9"/>
        <v>607</v>
      </c>
      <c r="C610" s="104" t="s">
        <v>604</v>
      </c>
      <c r="D610" s="102">
        <v>8614462</v>
      </c>
      <c r="E610" s="102"/>
      <c r="F610" s="103">
        <v>33836</v>
      </c>
      <c r="G610" s="99"/>
      <c r="H610" s="99"/>
      <c r="I610" s="99"/>
      <c r="J610" s="20"/>
      <c r="K610" s="21"/>
      <c r="L610" s="21"/>
      <c r="M610" s="21"/>
      <c r="N610" s="21"/>
      <c r="O610" s="21"/>
    </row>
    <row r="611" spans="2:18" ht="14.15" customHeight="1" x14ac:dyDescent="0.35">
      <c r="B611" s="100">
        <f t="shared" si="9"/>
        <v>608</v>
      </c>
      <c r="C611" s="104" t="s">
        <v>605</v>
      </c>
      <c r="D611" s="102">
        <v>8613969</v>
      </c>
      <c r="E611" s="102"/>
      <c r="F611" s="103">
        <v>33840</v>
      </c>
      <c r="G611" s="99"/>
      <c r="H611" s="99"/>
      <c r="I611" s="99"/>
      <c r="J611" s="20"/>
      <c r="K611" s="21"/>
      <c r="L611" s="21"/>
      <c r="M611" s="21"/>
      <c r="N611" s="21"/>
      <c r="O611" s="21"/>
    </row>
    <row r="612" spans="2:18" ht="14.15" customHeight="1" x14ac:dyDescent="0.35">
      <c r="B612" s="100">
        <f t="shared" si="9"/>
        <v>609</v>
      </c>
      <c r="C612" s="104" t="s">
        <v>606</v>
      </c>
      <c r="D612" s="102">
        <v>8312611</v>
      </c>
      <c r="E612" s="102"/>
      <c r="F612" s="103">
        <v>33841</v>
      </c>
      <c r="G612" s="99"/>
      <c r="H612" s="99"/>
      <c r="I612" s="99"/>
      <c r="J612" s="20"/>
      <c r="K612" s="21"/>
      <c r="L612" s="21"/>
      <c r="M612" s="21"/>
      <c r="N612" s="21"/>
      <c r="O612" s="21"/>
    </row>
    <row r="613" spans="2:18" ht="14.15" customHeight="1" x14ac:dyDescent="0.35">
      <c r="B613" s="100">
        <f t="shared" si="9"/>
        <v>610</v>
      </c>
      <c r="C613" s="104" t="s">
        <v>607</v>
      </c>
      <c r="D613" s="102">
        <v>8614401</v>
      </c>
      <c r="E613" s="102"/>
      <c r="F613" s="103">
        <v>33841</v>
      </c>
      <c r="G613" s="99"/>
      <c r="H613" s="99"/>
      <c r="I613" s="99"/>
      <c r="J613" s="20"/>
      <c r="K613" s="21"/>
      <c r="L613" s="21"/>
      <c r="M613" s="21"/>
      <c r="N613" s="21"/>
      <c r="O613" s="21"/>
    </row>
    <row r="614" spans="2:18" ht="14.15" customHeight="1" x14ac:dyDescent="0.35">
      <c r="B614" s="100">
        <f t="shared" si="9"/>
        <v>611</v>
      </c>
      <c r="C614" s="104" t="s">
        <v>608</v>
      </c>
      <c r="D614" s="102">
        <v>8614386</v>
      </c>
      <c r="E614" s="102"/>
      <c r="F614" s="103">
        <v>33862</v>
      </c>
      <c r="G614" s="99"/>
      <c r="H614" s="99"/>
      <c r="I614" s="99"/>
      <c r="J614" s="20"/>
      <c r="K614" s="21"/>
      <c r="L614" s="21"/>
      <c r="M614" s="21"/>
      <c r="N614" s="21"/>
      <c r="O614" s="21"/>
    </row>
    <row r="615" spans="2:18" ht="14.15" customHeight="1" x14ac:dyDescent="0.35">
      <c r="B615" s="100">
        <f t="shared" si="9"/>
        <v>612</v>
      </c>
      <c r="C615" s="104" t="s">
        <v>609</v>
      </c>
      <c r="D615" s="102">
        <v>8412939</v>
      </c>
      <c r="E615" s="102"/>
      <c r="F615" s="103">
        <v>33864</v>
      </c>
      <c r="G615" s="99"/>
      <c r="H615" s="99"/>
      <c r="I615" s="99"/>
      <c r="J615" s="20"/>
      <c r="K615" s="21"/>
      <c r="L615" s="21"/>
      <c r="M615" s="21"/>
      <c r="N615" s="21"/>
      <c r="O615" s="21"/>
    </row>
    <row r="616" spans="2:18" ht="14.15" customHeight="1" x14ac:dyDescent="0.35">
      <c r="B616" s="100">
        <f t="shared" si="9"/>
        <v>613</v>
      </c>
      <c r="C616" s="104" t="s">
        <v>610</v>
      </c>
      <c r="D616" s="102">
        <v>8614430</v>
      </c>
      <c r="E616" s="102"/>
      <c r="F616" s="103">
        <v>33868</v>
      </c>
      <c r="G616" s="99"/>
      <c r="H616" s="99"/>
      <c r="I616" s="99"/>
      <c r="J616" s="20"/>
      <c r="K616" s="21"/>
      <c r="L616" s="21"/>
      <c r="M616" s="21"/>
      <c r="N616" s="21"/>
      <c r="O616" s="21"/>
    </row>
    <row r="617" spans="2:18" ht="14.15" customHeight="1" x14ac:dyDescent="0.35">
      <c r="B617" s="100">
        <f t="shared" si="9"/>
        <v>614</v>
      </c>
      <c r="C617" s="104" t="s">
        <v>611</v>
      </c>
      <c r="D617" s="102">
        <v>8513481</v>
      </c>
      <c r="E617" s="102"/>
      <c r="F617" s="103">
        <v>33869</v>
      </c>
      <c r="G617" s="99"/>
      <c r="H617" s="99"/>
      <c r="I617" s="99"/>
      <c r="J617" s="20"/>
      <c r="K617" s="21"/>
      <c r="L617" s="21"/>
      <c r="M617" s="21"/>
      <c r="N617" s="21"/>
      <c r="O617" s="21"/>
    </row>
    <row r="618" spans="2:18" ht="14.15" customHeight="1" x14ac:dyDescent="0.35">
      <c r="B618" s="100">
        <f t="shared" si="9"/>
        <v>615</v>
      </c>
      <c r="C618" s="104" t="s">
        <v>612</v>
      </c>
      <c r="D618" s="102">
        <v>8614450</v>
      </c>
      <c r="E618" s="102"/>
      <c r="F618" s="103">
        <v>33869</v>
      </c>
      <c r="G618" s="99"/>
      <c r="H618" s="99"/>
      <c r="I618" s="99"/>
      <c r="J618" s="20"/>
      <c r="K618" s="21"/>
      <c r="L618" s="21"/>
      <c r="M618" s="21"/>
      <c r="N618" s="21"/>
      <c r="O618" s="21"/>
    </row>
    <row r="619" spans="2:18" ht="14.15" customHeight="1" x14ac:dyDescent="0.35">
      <c r="B619" s="100">
        <f t="shared" si="9"/>
        <v>616</v>
      </c>
      <c r="C619" s="104" t="s">
        <v>613</v>
      </c>
      <c r="D619" s="102">
        <v>8412922</v>
      </c>
      <c r="E619" s="102"/>
      <c r="F619" s="103">
        <v>33880</v>
      </c>
      <c r="G619" s="99"/>
      <c r="H619" s="99"/>
      <c r="I619" s="99"/>
      <c r="J619" s="20"/>
      <c r="K619" s="21"/>
      <c r="L619" s="21"/>
      <c r="M619" s="21"/>
      <c r="N619" s="21"/>
      <c r="O619" s="21"/>
    </row>
    <row r="620" spans="2:18" ht="14.15" customHeight="1" x14ac:dyDescent="0.35">
      <c r="B620" s="100">
        <f t="shared" si="9"/>
        <v>617</v>
      </c>
      <c r="C620" s="104" t="s">
        <v>614</v>
      </c>
      <c r="D620" s="102">
        <v>8815240</v>
      </c>
      <c r="E620" s="102"/>
      <c r="F620" s="103">
        <v>33903</v>
      </c>
      <c r="G620" s="99"/>
      <c r="H620" s="99"/>
      <c r="I620" s="99"/>
      <c r="J620" s="20"/>
      <c r="K620" s="21"/>
      <c r="L620" s="21"/>
      <c r="M620" s="21"/>
      <c r="N620" s="21"/>
      <c r="O620" s="21"/>
    </row>
    <row r="621" spans="2:18" ht="14.15" customHeight="1" x14ac:dyDescent="0.35">
      <c r="B621" s="100">
        <f t="shared" si="9"/>
        <v>618</v>
      </c>
      <c r="C621" s="104" t="s">
        <v>615</v>
      </c>
      <c r="D621" s="102">
        <v>8715091</v>
      </c>
      <c r="E621" s="102"/>
      <c r="F621" s="103">
        <v>33908</v>
      </c>
      <c r="G621" s="99"/>
      <c r="H621" s="99"/>
      <c r="I621" s="99"/>
      <c r="J621" s="20"/>
      <c r="K621" s="21"/>
      <c r="L621" s="21"/>
      <c r="M621" s="21"/>
      <c r="N621" s="21"/>
      <c r="O621" s="21"/>
    </row>
    <row r="622" spans="2:18" ht="14.15" customHeight="1" x14ac:dyDescent="0.35">
      <c r="B622" s="100">
        <f t="shared" si="9"/>
        <v>619</v>
      </c>
      <c r="C622" s="104" t="s">
        <v>616</v>
      </c>
      <c r="D622" s="102">
        <v>8312691</v>
      </c>
      <c r="E622" s="102"/>
      <c r="F622" s="103">
        <v>33919</v>
      </c>
      <c r="G622" s="99"/>
      <c r="H622" s="99"/>
      <c r="I622" s="99"/>
      <c r="J622" s="20"/>
      <c r="K622" s="21"/>
      <c r="L622" s="21"/>
      <c r="M622" s="21"/>
      <c r="N622" s="21"/>
      <c r="O622" s="21"/>
    </row>
    <row r="623" spans="2:18" ht="14.15" customHeight="1" x14ac:dyDescent="0.35">
      <c r="B623" s="100">
        <f t="shared" si="9"/>
        <v>620</v>
      </c>
      <c r="C623" s="104" t="s">
        <v>617</v>
      </c>
      <c r="D623" s="102">
        <v>8513599</v>
      </c>
      <c r="E623" s="102"/>
      <c r="F623" s="103">
        <v>33925</v>
      </c>
      <c r="G623" s="99"/>
      <c r="H623" s="99"/>
      <c r="I623" s="99"/>
      <c r="J623" s="20"/>
      <c r="K623" s="21"/>
      <c r="L623" s="21"/>
      <c r="M623" s="21"/>
      <c r="N623" s="21"/>
      <c r="O623" s="21"/>
    </row>
    <row r="624" spans="2:18" ht="14.15" customHeight="1" x14ac:dyDescent="0.35">
      <c r="B624" s="100">
        <f t="shared" si="9"/>
        <v>621</v>
      </c>
      <c r="C624" s="104" t="s">
        <v>618</v>
      </c>
      <c r="D624" s="102">
        <v>8513887</v>
      </c>
      <c r="E624" s="102"/>
      <c r="F624" s="103">
        <v>33947</v>
      </c>
      <c r="G624" s="99">
        <v>7</v>
      </c>
      <c r="H624" s="109">
        <v>2.64</v>
      </c>
      <c r="I624" s="99">
        <v>7</v>
      </c>
      <c r="J624" s="20"/>
      <c r="K624" s="21"/>
      <c r="L624" s="21"/>
      <c r="M624" s="21"/>
      <c r="N624" s="21"/>
      <c r="O624" s="21"/>
      <c r="R624">
        <v>7</v>
      </c>
    </row>
    <row r="625" spans="2:15" ht="14.15" customHeight="1" x14ac:dyDescent="0.35">
      <c r="B625" s="100">
        <f t="shared" si="9"/>
        <v>622</v>
      </c>
      <c r="C625" s="104" t="s">
        <v>619</v>
      </c>
      <c r="D625" s="102">
        <v>8513611</v>
      </c>
      <c r="E625" s="102"/>
      <c r="F625" s="103">
        <v>33948</v>
      </c>
      <c r="G625" s="99"/>
      <c r="H625" s="99"/>
      <c r="I625" s="99"/>
      <c r="J625" s="20"/>
      <c r="K625" s="21"/>
      <c r="L625" s="21"/>
      <c r="M625" s="21"/>
      <c r="N625" s="21"/>
      <c r="O625" s="21"/>
    </row>
    <row r="626" spans="2:15" ht="14.15" customHeight="1" x14ac:dyDescent="0.35">
      <c r="B626" s="100">
        <f t="shared" si="9"/>
        <v>623</v>
      </c>
      <c r="C626" s="104" t="s">
        <v>620</v>
      </c>
      <c r="D626" s="102">
        <v>8614468</v>
      </c>
      <c r="E626" s="102"/>
      <c r="F626" s="103">
        <v>33954</v>
      </c>
      <c r="G626" s="99"/>
      <c r="H626" s="99"/>
      <c r="I626" s="99"/>
      <c r="J626" s="20"/>
      <c r="K626" s="21"/>
      <c r="L626" s="21"/>
      <c r="M626" s="21"/>
      <c r="N626" s="21"/>
      <c r="O626" s="21"/>
    </row>
    <row r="627" spans="2:15" ht="14.15" customHeight="1" x14ac:dyDescent="0.35">
      <c r="B627" s="100">
        <f t="shared" si="9"/>
        <v>624</v>
      </c>
      <c r="C627" s="104" t="s">
        <v>621</v>
      </c>
      <c r="D627" s="102">
        <v>8715078</v>
      </c>
      <c r="E627" s="102"/>
      <c r="F627" s="103">
        <v>33955</v>
      </c>
      <c r="G627" s="99"/>
      <c r="H627" s="99"/>
      <c r="I627" s="99"/>
      <c r="J627" s="20"/>
      <c r="K627" s="21"/>
      <c r="L627" s="21"/>
      <c r="M627" s="21"/>
      <c r="N627" s="21"/>
      <c r="O627" s="21"/>
    </row>
    <row r="628" spans="2:15" ht="14.15" customHeight="1" x14ac:dyDescent="0.35">
      <c r="B628" s="100">
        <f t="shared" si="9"/>
        <v>625</v>
      </c>
      <c r="C628" s="104" t="s">
        <v>622</v>
      </c>
      <c r="D628" s="102">
        <v>8513511</v>
      </c>
      <c r="E628" s="102"/>
      <c r="F628" s="103">
        <v>33957</v>
      </c>
      <c r="G628" s="99"/>
      <c r="H628" s="99"/>
      <c r="I628" s="99"/>
      <c r="J628" s="20"/>
      <c r="K628" s="21"/>
      <c r="L628" s="21"/>
      <c r="M628" s="21"/>
      <c r="N628" s="21"/>
      <c r="O628" s="21"/>
    </row>
    <row r="629" spans="2:15" ht="14.15" customHeight="1" x14ac:dyDescent="0.35">
      <c r="B629" s="100">
        <f t="shared" si="9"/>
        <v>626</v>
      </c>
      <c r="C629" s="104" t="s">
        <v>623</v>
      </c>
      <c r="D629" s="102">
        <v>8815137</v>
      </c>
      <c r="E629" s="102"/>
      <c r="F629" s="103">
        <v>33959</v>
      </c>
      <c r="G629" s="99"/>
      <c r="H629" s="99"/>
      <c r="I629" s="99"/>
      <c r="J629" s="20"/>
      <c r="K629" s="21"/>
      <c r="L629" s="21"/>
      <c r="M629" s="21"/>
      <c r="N629" s="21"/>
      <c r="O629" s="21"/>
    </row>
    <row r="630" spans="2:15" ht="14.15" customHeight="1" x14ac:dyDescent="0.35">
      <c r="B630" s="100">
        <f t="shared" si="9"/>
        <v>627</v>
      </c>
      <c r="C630" s="104" t="s">
        <v>624</v>
      </c>
      <c r="D630" s="102">
        <v>8513265</v>
      </c>
      <c r="E630" s="102"/>
      <c r="F630" s="103">
        <v>33961</v>
      </c>
      <c r="G630" s="99"/>
      <c r="H630" s="99"/>
      <c r="I630" s="99"/>
      <c r="J630" s="20"/>
      <c r="K630" s="21"/>
      <c r="L630" s="21"/>
      <c r="M630" s="21"/>
      <c r="N630" s="21"/>
      <c r="O630" s="21"/>
    </row>
    <row r="631" spans="2:15" ht="14.15" customHeight="1" x14ac:dyDescent="0.35">
      <c r="B631" s="100">
        <f t="shared" si="9"/>
        <v>628</v>
      </c>
      <c r="C631" s="104" t="s">
        <v>625</v>
      </c>
      <c r="D631" s="102">
        <v>8412777</v>
      </c>
      <c r="E631" s="102"/>
      <c r="F631" s="103">
        <v>33973</v>
      </c>
      <c r="G631" s="99"/>
      <c r="H631" s="99"/>
      <c r="I631" s="99"/>
      <c r="J631" s="20"/>
      <c r="K631" s="21"/>
      <c r="L631" s="21"/>
      <c r="M631" s="21"/>
      <c r="N631" s="21"/>
      <c r="O631" s="21"/>
    </row>
    <row r="632" spans="2:15" ht="14.15" customHeight="1" x14ac:dyDescent="0.35">
      <c r="B632" s="100">
        <f t="shared" si="9"/>
        <v>629</v>
      </c>
      <c r="C632" s="104" t="s">
        <v>626</v>
      </c>
      <c r="D632" s="102">
        <v>8413072</v>
      </c>
      <c r="E632" s="102"/>
      <c r="F632" s="103">
        <v>33975</v>
      </c>
      <c r="G632" s="99"/>
      <c r="H632" s="99"/>
      <c r="I632" s="99"/>
      <c r="J632" s="20"/>
      <c r="K632" s="21"/>
      <c r="L632" s="21"/>
      <c r="M632" s="21"/>
      <c r="N632" s="21"/>
      <c r="O632" s="21"/>
    </row>
    <row r="633" spans="2:15" ht="14.15" customHeight="1" x14ac:dyDescent="0.35">
      <c r="B633" s="100">
        <f t="shared" si="9"/>
        <v>630</v>
      </c>
      <c r="C633" s="104" t="s">
        <v>627</v>
      </c>
      <c r="D633" s="102">
        <v>8614018</v>
      </c>
      <c r="E633" s="102"/>
      <c r="F633" s="103">
        <v>33984</v>
      </c>
      <c r="G633" s="99"/>
      <c r="H633" s="99"/>
      <c r="I633" s="99"/>
      <c r="J633" s="20"/>
      <c r="K633" s="21"/>
      <c r="L633" s="21"/>
      <c r="M633" s="21"/>
      <c r="N633" s="21"/>
      <c r="O633" s="21"/>
    </row>
    <row r="634" spans="2:15" ht="14.15" customHeight="1" x14ac:dyDescent="0.35">
      <c r="B634" s="100">
        <f t="shared" si="9"/>
        <v>631</v>
      </c>
      <c r="C634" s="104" t="s">
        <v>628</v>
      </c>
      <c r="D634" s="102">
        <v>8312613</v>
      </c>
      <c r="E634" s="102"/>
      <c r="F634" s="103">
        <v>33988</v>
      </c>
      <c r="G634" s="99"/>
      <c r="H634" s="99"/>
      <c r="I634" s="99"/>
      <c r="J634" s="20"/>
      <c r="K634" s="21"/>
      <c r="L634" s="21"/>
      <c r="M634" s="21"/>
      <c r="N634" s="21"/>
      <c r="O634" s="21"/>
    </row>
    <row r="635" spans="2:15" ht="14.15" customHeight="1" x14ac:dyDescent="0.35">
      <c r="B635" s="100">
        <f t="shared" si="9"/>
        <v>632</v>
      </c>
      <c r="C635" s="104" t="s">
        <v>629</v>
      </c>
      <c r="D635" s="102">
        <v>8614374</v>
      </c>
      <c r="E635" s="102"/>
      <c r="F635" s="103">
        <v>34009</v>
      </c>
      <c r="G635" s="99"/>
      <c r="H635" s="99"/>
      <c r="I635" s="99"/>
      <c r="J635" s="20"/>
      <c r="K635" s="21"/>
      <c r="L635" s="21"/>
      <c r="M635" s="21"/>
      <c r="N635" s="21"/>
      <c r="O635" s="21"/>
    </row>
    <row r="636" spans="2:15" ht="14.15" customHeight="1" x14ac:dyDescent="0.35">
      <c r="B636" s="100">
        <f t="shared" si="9"/>
        <v>633</v>
      </c>
      <c r="C636" s="104" t="s">
        <v>630</v>
      </c>
      <c r="D636" s="102">
        <v>8513251</v>
      </c>
      <c r="E636" s="102"/>
      <c r="F636" s="103">
        <v>34020</v>
      </c>
      <c r="G636" s="99"/>
      <c r="H636" s="99"/>
      <c r="I636" s="99"/>
      <c r="J636" s="20"/>
      <c r="K636" s="21"/>
      <c r="L636" s="21"/>
      <c r="M636" s="21"/>
      <c r="N636" s="21"/>
      <c r="O636" s="21"/>
    </row>
    <row r="637" spans="2:15" ht="14.15" customHeight="1" x14ac:dyDescent="0.35">
      <c r="B637" s="100">
        <f t="shared" si="9"/>
        <v>634</v>
      </c>
      <c r="C637" s="104" t="s">
        <v>631</v>
      </c>
      <c r="D637" s="102">
        <v>8513261</v>
      </c>
      <c r="E637" s="102"/>
      <c r="F637" s="103">
        <v>34020</v>
      </c>
      <c r="G637" s="99"/>
      <c r="H637" s="99"/>
      <c r="I637" s="99"/>
      <c r="J637" s="20"/>
      <c r="K637" s="21"/>
      <c r="L637" s="21"/>
      <c r="M637" s="21"/>
      <c r="N637" s="21"/>
      <c r="O637" s="21"/>
    </row>
    <row r="638" spans="2:15" ht="14.15" customHeight="1" x14ac:dyDescent="0.35">
      <c r="B638" s="100">
        <f t="shared" si="9"/>
        <v>635</v>
      </c>
      <c r="C638" s="104" t="s">
        <v>632</v>
      </c>
      <c r="D638" s="102">
        <v>8614377</v>
      </c>
      <c r="E638" s="102"/>
      <c r="F638" s="103">
        <v>34031</v>
      </c>
      <c r="G638" s="99"/>
      <c r="H638" s="99"/>
      <c r="I638" s="99"/>
      <c r="J638" s="20"/>
      <c r="K638" s="21"/>
      <c r="L638" s="21"/>
      <c r="M638" s="21"/>
      <c r="N638" s="21"/>
      <c r="O638" s="21"/>
    </row>
    <row r="639" spans="2:15" ht="14.15" customHeight="1" x14ac:dyDescent="0.35">
      <c r="B639" s="100">
        <f t="shared" si="9"/>
        <v>636</v>
      </c>
      <c r="C639" s="104" t="s">
        <v>633</v>
      </c>
      <c r="D639" s="102">
        <v>8714610</v>
      </c>
      <c r="E639" s="102"/>
      <c r="F639" s="103">
        <v>34032</v>
      </c>
      <c r="G639" s="99"/>
      <c r="H639" s="99"/>
      <c r="I639" s="99"/>
      <c r="J639" s="20"/>
      <c r="K639" s="21"/>
      <c r="L639" s="21"/>
      <c r="M639" s="21"/>
      <c r="N639" s="21"/>
      <c r="O639" s="21"/>
    </row>
    <row r="640" spans="2:15" ht="14.15" customHeight="1" x14ac:dyDescent="0.35">
      <c r="B640" s="100">
        <f t="shared" si="9"/>
        <v>637</v>
      </c>
      <c r="C640" s="104" t="s">
        <v>634</v>
      </c>
      <c r="D640" s="102">
        <v>8513425</v>
      </c>
      <c r="E640" s="102"/>
      <c r="F640" s="103">
        <v>34037</v>
      </c>
      <c r="G640" s="99"/>
      <c r="H640" s="99"/>
      <c r="I640" s="99"/>
      <c r="J640" s="20"/>
      <c r="K640" s="21"/>
      <c r="L640" s="21"/>
      <c r="M640" s="21"/>
      <c r="N640" s="21"/>
      <c r="O640" s="21"/>
    </row>
    <row r="641" spans="1:15" ht="14.15" customHeight="1" x14ac:dyDescent="0.35">
      <c r="B641" s="100">
        <f t="shared" si="9"/>
        <v>638</v>
      </c>
      <c r="C641" s="104" t="s">
        <v>635</v>
      </c>
      <c r="D641" s="102">
        <v>8614416</v>
      </c>
      <c r="E641" s="102"/>
      <c r="F641" s="103">
        <v>34037</v>
      </c>
      <c r="G641" s="99"/>
      <c r="H641" s="99"/>
      <c r="I641" s="99"/>
      <c r="J641" s="20"/>
      <c r="K641" s="21"/>
      <c r="L641" s="21"/>
      <c r="M641" s="21"/>
      <c r="N641" s="21"/>
      <c r="O641" s="21"/>
    </row>
    <row r="642" spans="1:15" ht="14.15" customHeight="1" x14ac:dyDescent="0.35">
      <c r="B642" s="100">
        <f t="shared" si="9"/>
        <v>639</v>
      </c>
      <c r="C642" s="104" t="s">
        <v>636</v>
      </c>
      <c r="D642" s="102">
        <v>8413129</v>
      </c>
      <c r="E642" s="102"/>
      <c r="F642" s="103">
        <v>34039</v>
      </c>
      <c r="G642" s="99"/>
      <c r="H642" s="99"/>
      <c r="I642" s="99"/>
      <c r="J642" s="20"/>
      <c r="K642" s="21"/>
      <c r="L642" s="21"/>
      <c r="M642" s="21"/>
      <c r="N642" s="21"/>
      <c r="O642" s="21"/>
    </row>
    <row r="643" spans="1:15" ht="14.15" customHeight="1" x14ac:dyDescent="0.35">
      <c r="B643" s="100">
        <f t="shared" si="9"/>
        <v>640</v>
      </c>
      <c r="C643" s="104" t="s">
        <v>347</v>
      </c>
      <c r="D643" s="102">
        <v>8614508</v>
      </c>
      <c r="E643" s="102"/>
      <c r="F643" s="103">
        <v>34039</v>
      </c>
      <c r="G643" s="99"/>
      <c r="H643" s="99"/>
      <c r="I643" s="99"/>
      <c r="J643" s="20"/>
      <c r="K643" s="21"/>
      <c r="L643" s="21"/>
      <c r="M643" s="21"/>
      <c r="N643" s="21"/>
      <c r="O643" s="21"/>
    </row>
    <row r="644" spans="1:15" ht="14.15" customHeight="1" x14ac:dyDescent="0.35">
      <c r="B644" s="100">
        <f t="shared" si="9"/>
        <v>641</v>
      </c>
      <c r="C644" s="104" t="s">
        <v>637</v>
      </c>
      <c r="D644" s="102">
        <v>8614409</v>
      </c>
      <c r="E644" s="102"/>
      <c r="F644" s="103">
        <v>34041</v>
      </c>
      <c r="G644" s="99"/>
      <c r="H644" s="99"/>
      <c r="I644" s="99"/>
      <c r="J644" s="20"/>
      <c r="K644" s="21"/>
      <c r="L644" s="21"/>
      <c r="M644" s="21"/>
      <c r="N644" s="21"/>
      <c r="O644" s="21"/>
    </row>
    <row r="645" spans="1:15" ht="14.15" customHeight="1" x14ac:dyDescent="0.35">
      <c r="B645" s="100">
        <f t="shared" ref="B645:B708" si="10">(B644+1)</f>
        <v>642</v>
      </c>
      <c r="C645" s="104" t="s">
        <v>638</v>
      </c>
      <c r="D645" s="102">
        <v>8513257</v>
      </c>
      <c r="E645" s="102"/>
      <c r="F645" s="103">
        <v>34044</v>
      </c>
      <c r="G645" s="99"/>
      <c r="H645" s="99"/>
      <c r="I645" s="99"/>
      <c r="J645" s="20"/>
      <c r="K645" s="21"/>
      <c r="L645" s="21"/>
      <c r="M645" s="21"/>
      <c r="N645" s="21"/>
      <c r="O645" s="21"/>
    </row>
    <row r="646" spans="1:15" ht="14.15" customHeight="1" x14ac:dyDescent="0.35">
      <c r="B646" s="100">
        <f t="shared" si="10"/>
        <v>643</v>
      </c>
      <c r="C646" s="104" t="s">
        <v>639</v>
      </c>
      <c r="D646" s="102">
        <v>8614443</v>
      </c>
      <c r="E646" s="102"/>
      <c r="F646" s="103">
        <v>34050</v>
      </c>
      <c r="G646" s="99"/>
      <c r="H646" s="99"/>
      <c r="I646" s="99"/>
      <c r="J646" s="20"/>
      <c r="K646" s="21"/>
      <c r="L646" s="21"/>
      <c r="M646" s="21"/>
      <c r="N646" s="21"/>
      <c r="O646" s="21"/>
    </row>
    <row r="647" spans="1:15" ht="14.15" customHeight="1" x14ac:dyDescent="0.35">
      <c r="B647" s="100">
        <f t="shared" si="10"/>
        <v>644</v>
      </c>
      <c r="C647" s="104" t="s">
        <v>640</v>
      </c>
      <c r="D647" s="102">
        <v>8614428</v>
      </c>
      <c r="E647" s="102"/>
      <c r="F647" s="103">
        <v>34085</v>
      </c>
      <c r="G647" s="99"/>
      <c r="H647" s="99"/>
      <c r="I647" s="99"/>
      <c r="J647" s="20"/>
      <c r="K647" s="21"/>
      <c r="L647" s="21"/>
      <c r="M647" s="21"/>
      <c r="N647" s="21"/>
      <c r="O647" s="21"/>
    </row>
    <row r="648" spans="1:15" ht="14.15" customHeight="1" x14ac:dyDescent="0.35">
      <c r="B648" s="100">
        <f t="shared" si="10"/>
        <v>645</v>
      </c>
      <c r="C648" s="104" t="s">
        <v>641</v>
      </c>
      <c r="D648" s="102">
        <v>8413176</v>
      </c>
      <c r="E648" s="102"/>
      <c r="F648" s="103">
        <v>34086</v>
      </c>
      <c r="G648" s="99"/>
      <c r="H648" s="99"/>
      <c r="I648" s="99"/>
      <c r="J648" s="20"/>
      <c r="K648" s="21"/>
      <c r="L648" s="21"/>
      <c r="M648" s="21"/>
      <c r="N648" s="21"/>
      <c r="O648" s="21"/>
    </row>
    <row r="649" spans="1:15" ht="14.15" customHeight="1" x14ac:dyDescent="0.35">
      <c r="B649" s="100">
        <f t="shared" si="10"/>
        <v>646</v>
      </c>
      <c r="C649" s="104" t="s">
        <v>642</v>
      </c>
      <c r="D649" s="102">
        <v>8513578</v>
      </c>
      <c r="E649" s="102"/>
      <c r="F649" s="103">
        <v>34090</v>
      </c>
      <c r="G649" s="99"/>
      <c r="H649" s="99"/>
      <c r="I649" s="99"/>
      <c r="J649" s="20"/>
      <c r="K649" s="21"/>
      <c r="L649" s="21"/>
      <c r="M649" s="21"/>
      <c r="N649" s="21"/>
      <c r="O649" s="21"/>
    </row>
    <row r="650" spans="1:15" ht="14.15" customHeight="1" x14ac:dyDescent="0.35">
      <c r="B650" s="100">
        <f t="shared" si="10"/>
        <v>647</v>
      </c>
      <c r="C650" s="104" t="s">
        <v>643</v>
      </c>
      <c r="D650" s="102">
        <v>8614434</v>
      </c>
      <c r="E650" s="102"/>
      <c r="F650" s="103">
        <v>34093</v>
      </c>
      <c r="G650" s="99"/>
      <c r="H650" s="99"/>
      <c r="I650" s="99"/>
      <c r="J650" s="20"/>
      <c r="K650" s="21"/>
      <c r="L650" s="21"/>
      <c r="M650" s="21"/>
      <c r="N650" s="21"/>
      <c r="O650" s="21"/>
    </row>
    <row r="651" spans="1:15" ht="14.15" customHeight="1" x14ac:dyDescent="0.35">
      <c r="B651" s="100">
        <f t="shared" si="10"/>
        <v>648</v>
      </c>
      <c r="C651" s="104" t="s">
        <v>644</v>
      </c>
      <c r="D651" s="102">
        <v>8211750</v>
      </c>
      <c r="E651" s="102"/>
      <c r="F651" s="103">
        <v>34102</v>
      </c>
      <c r="G651" s="99"/>
      <c r="H651" s="99"/>
      <c r="I651" s="99"/>
      <c r="J651" s="20"/>
      <c r="K651" s="21"/>
      <c r="L651" s="21"/>
      <c r="M651" s="21"/>
      <c r="N651" s="21"/>
      <c r="O651" s="21"/>
    </row>
    <row r="652" spans="1:15" ht="14.15" customHeight="1" x14ac:dyDescent="0.35">
      <c r="B652" s="100">
        <v>649</v>
      </c>
      <c r="C652" s="104" t="s">
        <v>645</v>
      </c>
      <c r="D652" s="102">
        <v>8714589</v>
      </c>
      <c r="E652" s="99"/>
      <c r="F652" s="103">
        <v>34102</v>
      </c>
      <c r="G652" s="99"/>
      <c r="H652" s="99"/>
      <c r="I652" s="99"/>
      <c r="J652" s="20"/>
      <c r="K652" s="21"/>
      <c r="L652" s="21"/>
      <c r="M652" s="21"/>
      <c r="N652" s="21"/>
      <c r="O652" s="21"/>
    </row>
    <row r="653" spans="1:15" s="4" customFormat="1" ht="14.15" customHeight="1" x14ac:dyDescent="0.35">
      <c r="A653"/>
      <c r="B653" s="100">
        <f>(B652+1)</f>
        <v>650</v>
      </c>
      <c r="C653" s="106" t="s">
        <v>646</v>
      </c>
      <c r="D653" s="107">
        <v>8614420</v>
      </c>
      <c r="E653" s="107"/>
      <c r="F653" s="108">
        <v>34102</v>
      </c>
      <c r="G653" s="105"/>
      <c r="H653" s="105"/>
      <c r="I653" s="105"/>
      <c r="J653" s="23"/>
      <c r="K653" s="24"/>
      <c r="L653" s="24"/>
      <c r="M653" s="24"/>
      <c r="N653" s="24"/>
      <c r="O653" s="24"/>
    </row>
    <row r="654" spans="1:15" ht="14.15" customHeight="1" x14ac:dyDescent="0.35">
      <c r="B654" s="100">
        <f t="shared" si="10"/>
        <v>651</v>
      </c>
      <c r="C654" s="104" t="s">
        <v>647</v>
      </c>
      <c r="D654" s="102">
        <v>8614308</v>
      </c>
      <c r="E654" s="102" t="s">
        <v>580</v>
      </c>
      <c r="F654" s="103">
        <v>34104</v>
      </c>
      <c r="G654" s="99"/>
      <c r="H654" s="99"/>
      <c r="I654" s="99"/>
      <c r="J654" s="20"/>
      <c r="K654" s="21"/>
      <c r="L654" s="21"/>
      <c r="M654" s="21"/>
      <c r="N654" s="21"/>
      <c r="O654" s="21"/>
    </row>
    <row r="655" spans="1:15" ht="14.15" customHeight="1" x14ac:dyDescent="0.35">
      <c r="B655" s="100">
        <f t="shared" si="10"/>
        <v>652</v>
      </c>
      <c r="C655" s="104" t="s">
        <v>648</v>
      </c>
      <c r="D655" s="102">
        <v>8513787</v>
      </c>
      <c r="E655" s="102"/>
      <c r="F655" s="103">
        <v>34125</v>
      </c>
      <c r="G655" s="99"/>
      <c r="H655" s="99"/>
      <c r="I655" s="99"/>
      <c r="J655" s="20"/>
      <c r="K655" s="21"/>
      <c r="L655" s="21"/>
      <c r="M655" s="21"/>
      <c r="N655" s="21"/>
      <c r="O655" s="21"/>
    </row>
    <row r="656" spans="1:15" ht="14.15" customHeight="1" x14ac:dyDescent="0.35">
      <c r="B656" s="100">
        <f t="shared" si="10"/>
        <v>653</v>
      </c>
      <c r="C656" s="104" t="s">
        <v>649</v>
      </c>
      <c r="D656" s="102">
        <v>8412957</v>
      </c>
      <c r="E656" s="102"/>
      <c r="F656" s="103">
        <v>34127</v>
      </c>
      <c r="G656" s="99"/>
      <c r="H656" s="99"/>
      <c r="I656" s="99"/>
      <c r="J656" s="20"/>
      <c r="K656" s="21"/>
      <c r="L656" s="21"/>
      <c r="M656" s="21"/>
      <c r="N656" s="21"/>
      <c r="O656" s="21"/>
    </row>
    <row r="657" spans="2:15" ht="14.15" customHeight="1" x14ac:dyDescent="0.35">
      <c r="B657" s="100">
        <f t="shared" si="10"/>
        <v>654</v>
      </c>
      <c r="C657" s="104" t="s">
        <v>650</v>
      </c>
      <c r="D657" s="102">
        <v>8614071</v>
      </c>
      <c r="E657" s="102"/>
      <c r="F657" s="103">
        <v>34152</v>
      </c>
      <c r="G657" s="99"/>
      <c r="H657" s="99"/>
      <c r="I657" s="99"/>
      <c r="J657" s="20"/>
      <c r="K657" s="21"/>
      <c r="L657" s="21"/>
      <c r="M657" s="21"/>
      <c r="N657" s="21"/>
      <c r="O657" s="21"/>
    </row>
    <row r="658" spans="2:15" ht="14.15" customHeight="1" x14ac:dyDescent="0.35">
      <c r="B658" s="100">
        <f t="shared" si="10"/>
        <v>655</v>
      </c>
      <c r="C658" s="104" t="s">
        <v>651</v>
      </c>
      <c r="D658" s="102">
        <v>8614392</v>
      </c>
      <c r="E658" s="102"/>
      <c r="F658" s="103">
        <v>34160</v>
      </c>
      <c r="G658" s="99"/>
      <c r="H658" s="99"/>
      <c r="I658" s="99"/>
      <c r="J658" s="20"/>
      <c r="K658" s="21"/>
      <c r="L658" s="21"/>
      <c r="M658" s="21"/>
      <c r="N658" s="21"/>
      <c r="O658" s="21"/>
    </row>
    <row r="659" spans="2:15" ht="14.15" customHeight="1" x14ac:dyDescent="0.35">
      <c r="B659" s="100">
        <f t="shared" si="10"/>
        <v>656</v>
      </c>
      <c r="C659" s="104" t="s">
        <v>652</v>
      </c>
      <c r="D659" s="102">
        <v>8513826</v>
      </c>
      <c r="E659" s="102"/>
      <c r="F659" s="103">
        <v>34177</v>
      </c>
      <c r="G659" s="99"/>
      <c r="H659" s="99"/>
      <c r="I659" s="99"/>
      <c r="J659" s="20"/>
      <c r="K659" s="21"/>
      <c r="L659" s="21"/>
      <c r="M659" s="21"/>
      <c r="N659" s="21"/>
      <c r="O659" s="21"/>
    </row>
    <row r="660" spans="2:15" ht="14.15" customHeight="1" x14ac:dyDescent="0.35">
      <c r="B660" s="100">
        <f t="shared" si="10"/>
        <v>657</v>
      </c>
      <c r="C660" s="104" t="s">
        <v>653</v>
      </c>
      <c r="D660" s="102">
        <v>8111472</v>
      </c>
      <c r="E660" s="102"/>
      <c r="F660" s="103">
        <v>34183</v>
      </c>
      <c r="G660" s="99"/>
      <c r="H660" s="99"/>
      <c r="I660" s="99"/>
      <c r="J660" s="20"/>
      <c r="K660" s="21"/>
      <c r="L660" s="21"/>
      <c r="M660" s="21"/>
      <c r="N660" s="21"/>
      <c r="O660" s="21"/>
    </row>
    <row r="661" spans="2:15" ht="14.15" customHeight="1" x14ac:dyDescent="0.35">
      <c r="B661" s="100">
        <f t="shared" si="10"/>
        <v>658</v>
      </c>
      <c r="C661" s="104" t="s">
        <v>654</v>
      </c>
      <c r="D661" s="102">
        <v>8714964</v>
      </c>
      <c r="E661" s="102"/>
      <c r="F661" s="103">
        <v>34183</v>
      </c>
      <c r="G661" s="99"/>
      <c r="H661" s="99"/>
      <c r="I661" s="99"/>
      <c r="J661" s="20"/>
      <c r="K661" s="21"/>
      <c r="L661" s="21"/>
      <c r="M661" s="21"/>
      <c r="N661" s="21"/>
      <c r="O661" s="21"/>
    </row>
    <row r="662" spans="2:15" ht="14.15" customHeight="1" x14ac:dyDescent="0.35">
      <c r="B662" s="100">
        <f t="shared" si="10"/>
        <v>659</v>
      </c>
      <c r="C662" s="104" t="s">
        <v>655</v>
      </c>
      <c r="D662" s="102">
        <v>8513607</v>
      </c>
      <c r="E662" s="102"/>
      <c r="F662" s="103">
        <v>34184</v>
      </c>
      <c r="G662" s="99"/>
      <c r="H662" s="99"/>
      <c r="I662" s="99"/>
      <c r="J662" s="20"/>
      <c r="K662" s="21"/>
      <c r="L662" s="21"/>
      <c r="M662" s="21"/>
      <c r="N662" s="21"/>
      <c r="O662" s="21"/>
    </row>
    <row r="663" spans="2:15" ht="14.15" customHeight="1" x14ac:dyDescent="0.35">
      <c r="B663" s="100">
        <f t="shared" si="10"/>
        <v>660</v>
      </c>
      <c r="C663" s="104" t="s">
        <v>656</v>
      </c>
      <c r="D663" s="102">
        <v>8513718</v>
      </c>
      <c r="E663" s="102"/>
      <c r="F663" s="103">
        <v>34190</v>
      </c>
      <c r="G663" s="99"/>
      <c r="H663" s="99"/>
      <c r="I663" s="99"/>
      <c r="J663" s="20"/>
      <c r="K663" s="21"/>
      <c r="L663" s="21"/>
      <c r="M663" s="21"/>
      <c r="N663" s="21"/>
      <c r="O663" s="21"/>
    </row>
    <row r="664" spans="2:15" ht="14.15" customHeight="1" x14ac:dyDescent="0.35">
      <c r="B664" s="100">
        <f t="shared" si="10"/>
        <v>661</v>
      </c>
      <c r="C664" s="104" t="s">
        <v>657</v>
      </c>
      <c r="D664" s="102">
        <v>8513503</v>
      </c>
      <c r="E664" s="102"/>
      <c r="F664" s="103">
        <v>34202</v>
      </c>
      <c r="G664" s="99"/>
      <c r="H664" s="99"/>
      <c r="I664" s="99"/>
      <c r="J664" s="20"/>
      <c r="K664" s="21"/>
      <c r="L664" s="21"/>
      <c r="M664" s="21"/>
      <c r="N664" s="21"/>
      <c r="O664" s="21"/>
    </row>
    <row r="665" spans="2:15" ht="14.15" customHeight="1" x14ac:dyDescent="0.35">
      <c r="B665" s="100">
        <f t="shared" si="10"/>
        <v>662</v>
      </c>
      <c r="C665" s="104" t="s">
        <v>658</v>
      </c>
      <c r="D665" s="102">
        <v>8614460</v>
      </c>
      <c r="E665" s="102"/>
      <c r="F665" s="103">
        <v>34202</v>
      </c>
      <c r="G665" s="99"/>
      <c r="H665" s="99"/>
      <c r="I665" s="99"/>
      <c r="J665" s="20"/>
      <c r="K665" s="21"/>
      <c r="L665" s="21"/>
      <c r="M665" s="21"/>
      <c r="N665" s="21"/>
      <c r="O665" s="21"/>
    </row>
    <row r="666" spans="2:15" ht="14.15" customHeight="1" x14ac:dyDescent="0.35">
      <c r="B666" s="100">
        <f t="shared" si="10"/>
        <v>663</v>
      </c>
      <c r="C666" s="104" t="s">
        <v>659</v>
      </c>
      <c r="D666" s="102">
        <v>8513820</v>
      </c>
      <c r="E666" s="102"/>
      <c r="F666" s="103">
        <v>34222</v>
      </c>
      <c r="G666" s="99"/>
      <c r="H666" s="99"/>
      <c r="I666" s="99"/>
      <c r="J666" s="20"/>
      <c r="K666" s="21"/>
      <c r="L666" s="21"/>
      <c r="M666" s="21"/>
      <c r="N666" s="21"/>
      <c r="O666" s="21"/>
    </row>
    <row r="667" spans="2:15" ht="14.15" customHeight="1" x14ac:dyDescent="0.35">
      <c r="B667" s="100">
        <f t="shared" si="10"/>
        <v>664</v>
      </c>
      <c r="C667" s="104" t="s">
        <v>660</v>
      </c>
      <c r="D667" s="102">
        <v>8614537</v>
      </c>
      <c r="E667" s="102"/>
      <c r="F667" s="103">
        <v>34226</v>
      </c>
      <c r="G667" s="99"/>
      <c r="H667" s="99"/>
      <c r="I667" s="99"/>
      <c r="J667" s="20"/>
      <c r="K667" s="21"/>
      <c r="L667" s="21"/>
      <c r="M667" s="21"/>
      <c r="N667" s="21"/>
      <c r="O667" s="21"/>
    </row>
    <row r="668" spans="2:15" ht="14.15" customHeight="1" x14ac:dyDescent="0.35">
      <c r="B668" s="100">
        <f t="shared" si="10"/>
        <v>665</v>
      </c>
      <c r="C668" s="104" t="s">
        <v>661</v>
      </c>
      <c r="D668" s="102">
        <v>8815435</v>
      </c>
      <c r="E668" s="102"/>
      <c r="F668" s="103">
        <v>34230</v>
      </c>
      <c r="G668" s="99"/>
      <c r="H668" s="99"/>
      <c r="I668" s="99"/>
      <c r="J668" s="20"/>
      <c r="K668" s="21"/>
      <c r="L668" s="21"/>
      <c r="M668" s="21"/>
      <c r="N668" s="21"/>
      <c r="O668" s="21"/>
    </row>
    <row r="669" spans="2:15" ht="14.15" customHeight="1" x14ac:dyDescent="0.35">
      <c r="B669" s="100">
        <f t="shared" si="10"/>
        <v>666</v>
      </c>
      <c r="C669" s="104" t="s">
        <v>662</v>
      </c>
      <c r="D669" s="102">
        <v>8614530</v>
      </c>
      <c r="E669" s="102"/>
      <c r="F669" s="103">
        <v>34232</v>
      </c>
      <c r="G669" s="99"/>
      <c r="H669" s="99"/>
      <c r="I669" s="99"/>
      <c r="J669" s="20"/>
      <c r="K669" s="21"/>
      <c r="L669" s="21"/>
      <c r="M669" s="21"/>
      <c r="N669" s="21"/>
      <c r="O669" s="21"/>
    </row>
    <row r="670" spans="2:15" ht="14.15" customHeight="1" x14ac:dyDescent="0.35">
      <c r="B670" s="100">
        <f t="shared" si="10"/>
        <v>667</v>
      </c>
      <c r="C670" s="104" t="s">
        <v>663</v>
      </c>
      <c r="D670" s="102">
        <v>8815593</v>
      </c>
      <c r="E670" s="102"/>
      <c r="F670" s="103">
        <v>34244</v>
      </c>
      <c r="G670" s="99"/>
      <c r="H670" s="99"/>
      <c r="I670" s="99"/>
      <c r="J670" s="20"/>
      <c r="K670" s="21"/>
      <c r="L670" s="21"/>
      <c r="M670" s="21"/>
      <c r="N670" s="21"/>
      <c r="O670" s="21"/>
    </row>
    <row r="671" spans="2:15" ht="14.15" customHeight="1" x14ac:dyDescent="0.35">
      <c r="B671" s="100">
        <f t="shared" si="10"/>
        <v>668</v>
      </c>
      <c r="C671" s="104" t="s">
        <v>664</v>
      </c>
      <c r="D671" s="102">
        <v>727727</v>
      </c>
      <c r="E671" s="102"/>
      <c r="F671" s="103">
        <v>34248</v>
      </c>
      <c r="G671" s="99"/>
      <c r="H671" s="99"/>
      <c r="I671" s="99"/>
      <c r="J671" s="20"/>
      <c r="K671" s="21"/>
      <c r="L671" s="21"/>
      <c r="M671" s="21"/>
      <c r="N671" s="21"/>
      <c r="O671" s="21"/>
    </row>
    <row r="672" spans="2:15" ht="14.15" customHeight="1" x14ac:dyDescent="0.35">
      <c r="B672" s="100">
        <f t="shared" si="10"/>
        <v>669</v>
      </c>
      <c r="C672" s="104" t="s">
        <v>665</v>
      </c>
      <c r="D672" s="102">
        <v>8714716</v>
      </c>
      <c r="E672" s="102"/>
      <c r="F672" s="103">
        <v>34261</v>
      </c>
      <c r="G672" s="99"/>
      <c r="H672" s="99"/>
      <c r="I672" s="99"/>
      <c r="J672" s="20"/>
      <c r="K672" s="21"/>
      <c r="L672" s="21"/>
      <c r="M672" s="21"/>
      <c r="N672" s="21"/>
      <c r="O672" s="21"/>
    </row>
    <row r="673" spans="2:15" ht="14.15" customHeight="1" x14ac:dyDescent="0.35">
      <c r="B673" s="100">
        <f t="shared" si="10"/>
        <v>670</v>
      </c>
      <c r="C673" s="104" t="s">
        <v>666</v>
      </c>
      <c r="D673" s="102">
        <v>8714669</v>
      </c>
      <c r="E673" s="102"/>
      <c r="F673" s="103">
        <v>34265</v>
      </c>
      <c r="G673" s="99"/>
      <c r="H673" s="99"/>
      <c r="I673" s="99"/>
      <c r="J673" s="20"/>
      <c r="K673" s="21"/>
      <c r="L673" s="21"/>
      <c r="M673" s="21"/>
      <c r="N673" s="21"/>
      <c r="O673" s="21"/>
    </row>
    <row r="674" spans="2:15" ht="14.15" customHeight="1" x14ac:dyDescent="0.35">
      <c r="B674" s="100">
        <f t="shared" si="10"/>
        <v>671</v>
      </c>
      <c r="C674" s="104" t="s">
        <v>667</v>
      </c>
      <c r="D674" s="102">
        <v>8714592</v>
      </c>
      <c r="E674" s="102"/>
      <c r="F674" s="103">
        <v>34267</v>
      </c>
      <c r="G674" s="99"/>
      <c r="H674" s="99"/>
      <c r="I674" s="99"/>
      <c r="J674" s="20"/>
      <c r="K674" s="21"/>
      <c r="L674" s="21"/>
      <c r="M674" s="21"/>
      <c r="N674" s="21"/>
      <c r="O674" s="21"/>
    </row>
    <row r="675" spans="2:15" ht="14.15" customHeight="1" x14ac:dyDescent="0.35">
      <c r="B675" s="100">
        <f t="shared" si="10"/>
        <v>672</v>
      </c>
      <c r="C675" s="104" t="s">
        <v>668</v>
      </c>
      <c r="D675" s="102">
        <v>8211790</v>
      </c>
      <c r="E675" s="102"/>
      <c r="F675" s="103">
        <v>34272</v>
      </c>
      <c r="G675" s="99"/>
      <c r="H675" s="99"/>
      <c r="I675" s="99"/>
      <c r="J675" s="20"/>
      <c r="K675" s="21"/>
      <c r="L675" s="21"/>
      <c r="M675" s="21"/>
      <c r="N675" s="21"/>
      <c r="O675" s="21"/>
    </row>
    <row r="676" spans="2:15" ht="14.15" customHeight="1" x14ac:dyDescent="0.35">
      <c r="B676" s="100">
        <f t="shared" si="10"/>
        <v>673</v>
      </c>
      <c r="C676" s="104" t="s">
        <v>669</v>
      </c>
      <c r="D676" s="102">
        <v>8714675</v>
      </c>
      <c r="E676" s="102"/>
      <c r="F676" s="103">
        <v>34275</v>
      </c>
      <c r="G676" s="99"/>
      <c r="H676" s="99"/>
      <c r="I676" s="99"/>
      <c r="J676" s="20"/>
      <c r="K676" s="21"/>
      <c r="L676" s="21"/>
      <c r="M676" s="21"/>
      <c r="N676" s="21"/>
      <c r="O676" s="21"/>
    </row>
    <row r="677" spans="2:15" ht="14.15" customHeight="1" x14ac:dyDescent="0.35">
      <c r="B677" s="100">
        <f t="shared" si="10"/>
        <v>674</v>
      </c>
      <c r="C677" s="104" t="s">
        <v>670</v>
      </c>
      <c r="D677" s="102">
        <v>8614038</v>
      </c>
      <c r="E677" s="102"/>
      <c r="F677" s="103">
        <v>34276</v>
      </c>
      <c r="G677" s="99"/>
      <c r="H677" s="99"/>
      <c r="I677" s="99"/>
      <c r="J677" s="20"/>
      <c r="K677" s="21"/>
      <c r="L677" s="21"/>
      <c r="M677" s="21"/>
      <c r="N677" s="21"/>
      <c r="O677" s="21"/>
    </row>
    <row r="678" spans="2:15" ht="14.15" customHeight="1" x14ac:dyDescent="0.35">
      <c r="B678" s="100">
        <f t="shared" si="10"/>
        <v>675</v>
      </c>
      <c r="C678" s="104" t="s">
        <v>671</v>
      </c>
      <c r="D678" s="102">
        <v>8412722</v>
      </c>
      <c r="E678" s="102"/>
      <c r="F678" s="103">
        <v>34277</v>
      </c>
      <c r="G678" s="99"/>
      <c r="H678" s="99"/>
      <c r="I678" s="99"/>
      <c r="J678" s="20"/>
      <c r="K678" s="21"/>
      <c r="L678" s="21"/>
      <c r="M678" s="21"/>
      <c r="N678" s="21"/>
      <c r="O678" s="21"/>
    </row>
    <row r="679" spans="2:15" ht="14.15" customHeight="1" x14ac:dyDescent="0.35">
      <c r="B679" s="100">
        <f t="shared" si="10"/>
        <v>676</v>
      </c>
      <c r="C679" s="104" t="s">
        <v>672</v>
      </c>
      <c r="D679" s="102">
        <v>8714622</v>
      </c>
      <c r="E679" s="102"/>
      <c r="F679" s="103">
        <v>34279</v>
      </c>
      <c r="G679" s="99"/>
      <c r="H679" s="99"/>
      <c r="I679" s="99"/>
      <c r="J679" s="20"/>
      <c r="K679" s="21"/>
      <c r="L679" s="21"/>
      <c r="M679" s="21"/>
      <c r="N679" s="21"/>
      <c r="O679" s="21"/>
    </row>
    <row r="680" spans="2:15" ht="14.15" customHeight="1" x14ac:dyDescent="0.35">
      <c r="B680" s="100">
        <f t="shared" si="10"/>
        <v>677</v>
      </c>
      <c r="C680" s="104" t="s">
        <v>673</v>
      </c>
      <c r="D680" s="102">
        <v>8815506</v>
      </c>
      <c r="E680" s="102"/>
      <c r="F680" s="103">
        <v>34279</v>
      </c>
      <c r="G680" s="99"/>
      <c r="H680" s="99"/>
      <c r="I680" s="99"/>
      <c r="J680" s="20"/>
      <c r="K680" s="21"/>
      <c r="L680" s="21"/>
      <c r="M680" s="21"/>
      <c r="N680" s="21"/>
      <c r="O680" s="21"/>
    </row>
    <row r="681" spans="2:15" ht="14.15" customHeight="1" x14ac:dyDescent="0.35">
      <c r="B681" s="100">
        <f t="shared" si="10"/>
        <v>678</v>
      </c>
      <c r="C681" s="104" t="s">
        <v>674</v>
      </c>
      <c r="D681" s="102">
        <v>8715076</v>
      </c>
      <c r="E681" s="102"/>
      <c r="F681" s="103">
        <v>34290</v>
      </c>
      <c r="G681" s="99"/>
      <c r="H681" s="99"/>
      <c r="I681" s="99"/>
      <c r="J681" s="20"/>
      <c r="K681" s="21"/>
      <c r="L681" s="21"/>
      <c r="M681" s="21"/>
      <c r="N681" s="21"/>
      <c r="O681" s="21"/>
    </row>
    <row r="682" spans="2:15" ht="14.15" customHeight="1" x14ac:dyDescent="0.35">
      <c r="B682" s="100">
        <f t="shared" si="10"/>
        <v>679</v>
      </c>
      <c r="C682" s="104" t="s">
        <v>675</v>
      </c>
      <c r="D682" s="102">
        <v>8513407</v>
      </c>
      <c r="E682" s="102"/>
      <c r="F682" s="103">
        <v>34314</v>
      </c>
      <c r="G682" s="99"/>
      <c r="H682" s="99"/>
      <c r="I682" s="99"/>
      <c r="J682" s="20"/>
      <c r="K682" s="21"/>
      <c r="L682" s="21"/>
      <c r="M682" s="21"/>
      <c r="N682" s="21"/>
      <c r="O682" s="21"/>
    </row>
    <row r="683" spans="2:15" ht="14.15" customHeight="1" x14ac:dyDescent="0.35">
      <c r="B683" s="100">
        <f t="shared" si="10"/>
        <v>680</v>
      </c>
      <c r="C683" s="104" t="s">
        <v>676</v>
      </c>
      <c r="D683" s="102">
        <v>8815469</v>
      </c>
      <c r="E683" s="102"/>
      <c r="F683" s="103">
        <v>34314</v>
      </c>
      <c r="G683" s="99"/>
      <c r="H683" s="99"/>
      <c r="I683" s="99"/>
      <c r="J683" s="20"/>
      <c r="K683" s="21"/>
      <c r="L683" s="21"/>
      <c r="M683" s="21"/>
      <c r="N683" s="21"/>
      <c r="O683" s="21"/>
    </row>
    <row r="684" spans="2:15" ht="14.15" customHeight="1" x14ac:dyDescent="0.35">
      <c r="B684" s="100">
        <f t="shared" si="10"/>
        <v>681</v>
      </c>
      <c r="C684" s="104" t="s">
        <v>677</v>
      </c>
      <c r="D684" s="102">
        <v>8715062</v>
      </c>
      <c r="E684" s="102"/>
      <c r="F684" s="103">
        <v>34325</v>
      </c>
      <c r="G684" s="99"/>
      <c r="H684" s="99"/>
      <c r="I684" s="99"/>
      <c r="J684" s="20"/>
      <c r="K684" s="21"/>
      <c r="L684" s="21"/>
      <c r="M684" s="21"/>
      <c r="N684" s="21"/>
      <c r="O684" s="21"/>
    </row>
    <row r="685" spans="2:15" ht="14.15" customHeight="1" x14ac:dyDescent="0.35">
      <c r="B685" s="100">
        <f t="shared" si="10"/>
        <v>682</v>
      </c>
      <c r="C685" s="104" t="s">
        <v>678</v>
      </c>
      <c r="D685" s="102">
        <v>8413132</v>
      </c>
      <c r="E685" s="102"/>
      <c r="F685" s="103">
        <v>34326</v>
      </c>
      <c r="G685" s="99"/>
      <c r="H685" s="99"/>
      <c r="I685" s="99"/>
      <c r="J685" s="20"/>
      <c r="K685" s="21"/>
      <c r="L685" s="21"/>
      <c r="M685" s="21"/>
      <c r="N685" s="21"/>
      <c r="O685" s="21"/>
    </row>
    <row r="686" spans="2:15" ht="14.15" customHeight="1" x14ac:dyDescent="0.35">
      <c r="B686" s="100">
        <f t="shared" si="10"/>
        <v>683</v>
      </c>
      <c r="C686" s="104" t="s">
        <v>679</v>
      </c>
      <c r="D686" s="102">
        <v>8513642</v>
      </c>
      <c r="E686" s="102"/>
      <c r="F686" s="103">
        <v>34330</v>
      </c>
      <c r="G686" s="99"/>
      <c r="H686" s="99"/>
      <c r="I686" s="99"/>
      <c r="J686" s="20"/>
      <c r="K686" s="21"/>
      <c r="L686" s="21"/>
      <c r="M686" s="21"/>
      <c r="N686" s="21"/>
      <c r="O686" s="21"/>
    </row>
    <row r="687" spans="2:15" ht="14.15" customHeight="1" x14ac:dyDescent="0.35">
      <c r="B687" s="100">
        <f t="shared" si="10"/>
        <v>684</v>
      </c>
      <c r="C687" s="104" t="s">
        <v>680</v>
      </c>
      <c r="D687" s="102">
        <v>8312336</v>
      </c>
      <c r="E687" s="102"/>
      <c r="F687" s="103">
        <v>34332</v>
      </c>
      <c r="G687" s="99"/>
      <c r="H687" s="99"/>
      <c r="I687" s="99"/>
      <c r="J687" s="20"/>
      <c r="K687" s="21"/>
      <c r="L687" s="21"/>
      <c r="M687" s="21"/>
      <c r="N687" s="21"/>
      <c r="O687" s="21"/>
    </row>
    <row r="688" spans="2:15" ht="14.15" customHeight="1" x14ac:dyDescent="0.35">
      <c r="B688" s="100">
        <f t="shared" si="10"/>
        <v>685</v>
      </c>
      <c r="C688" s="104" t="s">
        <v>681</v>
      </c>
      <c r="D688" s="102">
        <v>8815400</v>
      </c>
      <c r="E688" s="102"/>
      <c r="F688" s="103">
        <v>34347</v>
      </c>
      <c r="G688" s="99"/>
      <c r="H688" s="99"/>
      <c r="I688" s="99"/>
      <c r="J688" s="20"/>
      <c r="K688" s="21"/>
      <c r="L688" s="21"/>
      <c r="M688" s="21"/>
      <c r="N688" s="21"/>
      <c r="O688" s="21"/>
    </row>
    <row r="689" spans="2:15" ht="14.15" customHeight="1" x14ac:dyDescent="0.35">
      <c r="B689" s="100">
        <f t="shared" si="10"/>
        <v>686</v>
      </c>
      <c r="C689" s="104" t="s">
        <v>682</v>
      </c>
      <c r="D689" s="102">
        <v>8513259</v>
      </c>
      <c r="E689" s="102"/>
      <c r="F689" s="103">
        <v>34352</v>
      </c>
      <c r="G689" s="99"/>
      <c r="H689" s="99"/>
      <c r="I689" s="99"/>
      <c r="J689" s="20"/>
      <c r="K689" s="21"/>
      <c r="L689" s="21"/>
      <c r="M689" s="21"/>
      <c r="N689" s="21"/>
      <c r="O689" s="21"/>
    </row>
    <row r="690" spans="2:15" ht="14.15" customHeight="1" x14ac:dyDescent="0.35">
      <c r="B690" s="100">
        <f t="shared" si="10"/>
        <v>687</v>
      </c>
      <c r="C690" s="104" t="s">
        <v>683</v>
      </c>
      <c r="D690" s="102">
        <v>8211737</v>
      </c>
      <c r="E690" s="102"/>
      <c r="F690" s="103">
        <v>34356</v>
      </c>
      <c r="G690" s="99"/>
      <c r="H690" s="99"/>
      <c r="I690" s="99"/>
      <c r="J690" s="20"/>
      <c r="K690" s="21"/>
      <c r="L690" s="21"/>
      <c r="M690" s="21"/>
      <c r="N690" s="21"/>
      <c r="O690" s="21"/>
    </row>
    <row r="691" spans="2:15" ht="14.15" customHeight="1" x14ac:dyDescent="0.35">
      <c r="B691" s="100">
        <f t="shared" si="10"/>
        <v>688</v>
      </c>
      <c r="C691" s="104" t="s">
        <v>684</v>
      </c>
      <c r="D691" s="102">
        <v>8513758</v>
      </c>
      <c r="E691" s="102"/>
      <c r="F691" s="103">
        <v>34358</v>
      </c>
      <c r="G691" s="99"/>
      <c r="H691" s="99"/>
      <c r="I691" s="99"/>
      <c r="J691" s="20"/>
      <c r="K691" s="21"/>
      <c r="L691" s="21"/>
      <c r="M691" s="21"/>
      <c r="N691" s="21"/>
      <c r="O691" s="21"/>
    </row>
    <row r="692" spans="2:15" ht="14.15" customHeight="1" x14ac:dyDescent="0.35">
      <c r="B692" s="100">
        <f t="shared" si="10"/>
        <v>689</v>
      </c>
      <c r="C692" s="104" t="s">
        <v>685</v>
      </c>
      <c r="D692" s="102">
        <v>8614418</v>
      </c>
      <c r="E692" s="102"/>
      <c r="F692" s="103">
        <v>34360</v>
      </c>
      <c r="G692" s="99"/>
      <c r="H692" s="99"/>
      <c r="I692" s="99"/>
      <c r="J692" s="20"/>
      <c r="K692" s="21"/>
      <c r="L692" s="21"/>
      <c r="M692" s="21"/>
      <c r="N692" s="21"/>
      <c r="O692" s="21"/>
    </row>
    <row r="693" spans="2:15" ht="14.15" customHeight="1" x14ac:dyDescent="0.35">
      <c r="B693" s="100">
        <f t="shared" si="10"/>
        <v>690</v>
      </c>
      <c r="C693" s="104" t="s">
        <v>686</v>
      </c>
      <c r="D693" s="102">
        <v>8614551</v>
      </c>
      <c r="E693" s="102"/>
      <c r="F693" s="103">
        <v>34372</v>
      </c>
      <c r="G693" s="99"/>
      <c r="H693" s="99"/>
      <c r="I693" s="99"/>
      <c r="J693" s="20"/>
      <c r="K693" s="21"/>
      <c r="L693" s="21"/>
      <c r="M693" s="21"/>
      <c r="N693" s="21"/>
      <c r="O693" s="21"/>
    </row>
    <row r="694" spans="2:15" ht="14.15" customHeight="1" x14ac:dyDescent="0.35">
      <c r="B694" s="100">
        <f t="shared" si="10"/>
        <v>691</v>
      </c>
      <c r="C694" s="104" t="s">
        <v>687</v>
      </c>
      <c r="D694" s="102">
        <v>8715074</v>
      </c>
      <c r="E694" s="102"/>
      <c r="F694" s="103">
        <v>34384</v>
      </c>
      <c r="G694" s="99"/>
      <c r="H694" s="99"/>
      <c r="I694" s="99"/>
      <c r="J694" s="20"/>
      <c r="K694" s="21"/>
      <c r="L694" s="21"/>
      <c r="M694" s="21"/>
      <c r="N694" s="21"/>
      <c r="O694" s="21"/>
    </row>
    <row r="695" spans="2:15" ht="14.15" customHeight="1" x14ac:dyDescent="0.35">
      <c r="B695" s="100">
        <f t="shared" si="10"/>
        <v>692</v>
      </c>
      <c r="C695" s="104" t="s">
        <v>688</v>
      </c>
      <c r="D695" s="102">
        <v>8513872</v>
      </c>
      <c r="E695" s="102"/>
      <c r="F695" s="103">
        <v>34388</v>
      </c>
      <c r="G695" s="99"/>
      <c r="H695" s="99"/>
      <c r="I695" s="99"/>
      <c r="J695" s="20"/>
      <c r="K695" s="21"/>
      <c r="L695" s="21"/>
      <c r="M695" s="21"/>
      <c r="N695" s="21"/>
      <c r="O695" s="21"/>
    </row>
    <row r="696" spans="2:15" ht="14.15" customHeight="1" x14ac:dyDescent="0.35">
      <c r="B696" s="100">
        <f t="shared" si="10"/>
        <v>693</v>
      </c>
      <c r="C696" s="104" t="s">
        <v>689</v>
      </c>
      <c r="D696" s="102">
        <v>8513689</v>
      </c>
      <c r="E696" s="102"/>
      <c r="F696" s="103">
        <v>34395</v>
      </c>
      <c r="G696" s="99"/>
      <c r="H696" s="99"/>
      <c r="I696" s="99"/>
      <c r="J696" s="20"/>
      <c r="K696" s="21"/>
      <c r="L696" s="21"/>
      <c r="M696" s="21"/>
      <c r="N696" s="21"/>
      <c r="O696" s="21"/>
    </row>
    <row r="697" spans="2:15" ht="14.15" customHeight="1" x14ac:dyDescent="0.35">
      <c r="B697" s="100">
        <f t="shared" si="10"/>
        <v>694</v>
      </c>
      <c r="C697" s="104" t="s">
        <v>690</v>
      </c>
      <c r="D697" s="102">
        <v>8312627</v>
      </c>
      <c r="E697" s="102"/>
      <c r="F697" s="103">
        <v>34398</v>
      </c>
      <c r="G697" s="99"/>
      <c r="H697" s="99"/>
      <c r="I697" s="99"/>
      <c r="J697" s="20"/>
      <c r="K697" s="21"/>
      <c r="L697" s="21"/>
      <c r="M697" s="21"/>
      <c r="N697" s="21"/>
      <c r="O697" s="21"/>
    </row>
    <row r="698" spans="2:15" ht="14.15" customHeight="1" x14ac:dyDescent="0.35">
      <c r="B698" s="100">
        <f t="shared" si="10"/>
        <v>695</v>
      </c>
      <c r="C698" s="104" t="s">
        <v>691</v>
      </c>
      <c r="D698" s="102">
        <v>8715088</v>
      </c>
      <c r="E698" s="102"/>
      <c r="F698" s="103">
        <v>34398</v>
      </c>
      <c r="G698" s="99"/>
      <c r="H698" s="99"/>
      <c r="I698" s="99"/>
      <c r="J698" s="20"/>
      <c r="K698" s="21"/>
      <c r="L698" s="21"/>
      <c r="M698" s="21"/>
      <c r="N698" s="21"/>
      <c r="O698" s="21"/>
    </row>
    <row r="699" spans="2:15" ht="14.15" customHeight="1" x14ac:dyDescent="0.35">
      <c r="B699" s="100">
        <f t="shared" si="10"/>
        <v>696</v>
      </c>
      <c r="C699" s="104" t="s">
        <v>412</v>
      </c>
      <c r="D699" s="102">
        <v>8614380</v>
      </c>
      <c r="E699" s="102"/>
      <c r="F699" s="103">
        <v>34419</v>
      </c>
      <c r="G699" s="99"/>
      <c r="H699" s="99"/>
      <c r="I699" s="99"/>
      <c r="J699" s="20"/>
      <c r="K699" s="21"/>
      <c r="L699" s="21"/>
      <c r="M699" s="21"/>
      <c r="N699" s="21"/>
      <c r="O699" s="21"/>
    </row>
    <row r="700" spans="2:15" ht="14.15" customHeight="1" x14ac:dyDescent="0.35">
      <c r="B700" s="100">
        <f t="shared" si="10"/>
        <v>697</v>
      </c>
      <c r="C700" s="104" t="s">
        <v>692</v>
      </c>
      <c r="D700" s="102">
        <v>8614010</v>
      </c>
      <c r="E700" s="102"/>
      <c r="F700" s="103">
        <v>34428</v>
      </c>
      <c r="G700" s="99"/>
      <c r="H700" s="99"/>
      <c r="I700" s="99"/>
      <c r="J700" s="20"/>
      <c r="K700" s="21"/>
      <c r="L700" s="21"/>
      <c r="M700" s="21"/>
      <c r="N700" s="21"/>
      <c r="O700" s="21"/>
    </row>
    <row r="701" spans="2:15" ht="14.15" customHeight="1" x14ac:dyDescent="0.35">
      <c r="B701" s="100">
        <f t="shared" si="10"/>
        <v>698</v>
      </c>
      <c r="C701" s="104" t="s">
        <v>693</v>
      </c>
      <c r="D701" s="102">
        <v>8815172</v>
      </c>
      <c r="E701" s="102"/>
      <c r="F701" s="103">
        <v>34454</v>
      </c>
      <c r="G701" s="99"/>
      <c r="H701" s="99"/>
      <c r="I701" s="99"/>
      <c r="J701" s="20"/>
      <c r="K701" s="21"/>
      <c r="L701" s="21"/>
      <c r="M701" s="21"/>
      <c r="N701" s="21"/>
      <c r="O701" s="21"/>
    </row>
    <row r="702" spans="2:15" ht="14.15" customHeight="1" x14ac:dyDescent="0.35">
      <c r="B702" s="100">
        <f t="shared" si="10"/>
        <v>699</v>
      </c>
      <c r="C702" s="104" t="s">
        <v>694</v>
      </c>
      <c r="D702" s="102">
        <v>737841</v>
      </c>
      <c r="E702" s="102"/>
      <c r="F702" s="103">
        <v>34461</v>
      </c>
      <c r="G702" s="99"/>
      <c r="H702" s="99"/>
      <c r="I702" s="99"/>
      <c r="J702" s="20"/>
      <c r="K702" s="21"/>
      <c r="L702" s="21"/>
      <c r="M702" s="21"/>
      <c r="N702" s="21"/>
      <c r="O702" s="21"/>
    </row>
    <row r="703" spans="2:15" ht="14.15" customHeight="1" x14ac:dyDescent="0.35">
      <c r="B703" s="100">
        <f t="shared" si="10"/>
        <v>700</v>
      </c>
      <c r="C703" s="104" t="s">
        <v>695</v>
      </c>
      <c r="D703" s="102">
        <v>8715081</v>
      </c>
      <c r="E703" s="102"/>
      <c r="F703" s="103">
        <v>34492</v>
      </c>
      <c r="G703" s="99"/>
      <c r="H703" s="99"/>
      <c r="I703" s="99"/>
      <c r="J703" s="20"/>
      <c r="K703" s="21"/>
      <c r="L703" s="21"/>
      <c r="M703" s="21"/>
      <c r="N703" s="21"/>
      <c r="O703" s="21"/>
    </row>
    <row r="704" spans="2:15" ht="14.15" customHeight="1" x14ac:dyDescent="0.35">
      <c r="B704" s="100">
        <f t="shared" si="10"/>
        <v>701</v>
      </c>
      <c r="C704" s="104" t="s">
        <v>696</v>
      </c>
      <c r="D704" s="102">
        <v>8614382</v>
      </c>
      <c r="E704" s="102"/>
      <c r="F704" s="103">
        <v>34503</v>
      </c>
      <c r="G704" s="99"/>
      <c r="H704" s="99"/>
      <c r="I704" s="99"/>
      <c r="J704" s="20"/>
      <c r="K704" s="21"/>
      <c r="L704" s="21"/>
      <c r="M704" s="21"/>
      <c r="N704" s="21"/>
      <c r="O704" s="21"/>
    </row>
    <row r="705" spans="2:15" ht="14.15" customHeight="1" x14ac:dyDescent="0.35">
      <c r="B705" s="100">
        <f t="shared" si="10"/>
        <v>702</v>
      </c>
      <c r="C705" s="104" t="s">
        <v>697</v>
      </c>
      <c r="D705" s="102">
        <v>8916123</v>
      </c>
      <c r="E705" s="102"/>
      <c r="F705" s="103">
        <v>34512</v>
      </c>
      <c r="G705" s="99"/>
      <c r="H705" s="99"/>
      <c r="I705" s="99"/>
      <c r="J705" s="20"/>
      <c r="K705" s="21"/>
      <c r="L705" s="21"/>
      <c r="M705" s="21"/>
      <c r="N705" s="21"/>
      <c r="O705" s="21"/>
    </row>
    <row r="706" spans="2:15" ht="14.15" customHeight="1" x14ac:dyDescent="0.35">
      <c r="B706" s="100">
        <f t="shared" si="10"/>
        <v>703</v>
      </c>
      <c r="C706" s="104" t="s">
        <v>698</v>
      </c>
      <c r="D706" s="102">
        <v>8815138</v>
      </c>
      <c r="E706" s="102"/>
      <c r="F706" s="103">
        <v>34529</v>
      </c>
      <c r="G706" s="99"/>
      <c r="H706" s="99"/>
      <c r="I706" s="99"/>
      <c r="J706" s="20"/>
      <c r="K706" s="21"/>
      <c r="L706" s="21"/>
      <c r="M706" s="21"/>
      <c r="N706" s="21"/>
      <c r="O706" s="21"/>
    </row>
    <row r="707" spans="2:15" ht="14.15" customHeight="1" x14ac:dyDescent="0.35">
      <c r="B707" s="100">
        <f t="shared" si="10"/>
        <v>704</v>
      </c>
      <c r="C707" s="104" t="s">
        <v>699</v>
      </c>
      <c r="D707" s="102">
        <v>8613988</v>
      </c>
      <c r="E707" s="102"/>
      <c r="F707" s="103">
        <v>34534</v>
      </c>
      <c r="G707" s="99"/>
      <c r="H707" s="99"/>
      <c r="I707" s="99"/>
      <c r="J707" s="20"/>
      <c r="K707" s="21"/>
      <c r="L707" s="21"/>
      <c r="M707" s="21"/>
      <c r="N707" s="21"/>
      <c r="O707" s="21"/>
    </row>
    <row r="708" spans="2:15" ht="14.15" customHeight="1" x14ac:dyDescent="0.35">
      <c r="B708" s="100">
        <f t="shared" si="10"/>
        <v>705</v>
      </c>
      <c r="C708" s="104" t="s">
        <v>700</v>
      </c>
      <c r="D708" s="102">
        <v>8513666</v>
      </c>
      <c r="E708" s="102"/>
      <c r="F708" s="103">
        <v>34535</v>
      </c>
      <c r="G708" s="99"/>
      <c r="H708" s="99"/>
      <c r="I708" s="99"/>
      <c r="J708" s="20"/>
      <c r="K708" s="21"/>
      <c r="L708" s="21"/>
      <c r="M708" s="21"/>
      <c r="N708" s="21"/>
      <c r="O708" s="21"/>
    </row>
    <row r="709" spans="2:15" ht="14.15" customHeight="1" x14ac:dyDescent="0.35">
      <c r="B709" s="100">
        <f t="shared" ref="B709:B772" si="11">(B708+1)</f>
        <v>706</v>
      </c>
      <c r="C709" s="104" t="s">
        <v>701</v>
      </c>
      <c r="D709" s="102">
        <v>8714659</v>
      </c>
      <c r="E709" s="102"/>
      <c r="F709" s="103">
        <v>34541</v>
      </c>
      <c r="G709" s="99"/>
      <c r="H709" s="99"/>
      <c r="I709" s="99"/>
      <c r="J709" s="20"/>
      <c r="K709" s="21"/>
      <c r="L709" s="21"/>
      <c r="M709" s="21"/>
      <c r="N709" s="21"/>
      <c r="O709" s="21"/>
    </row>
    <row r="710" spans="2:15" ht="14.15" customHeight="1" x14ac:dyDescent="0.35">
      <c r="B710" s="100">
        <f t="shared" si="11"/>
        <v>707</v>
      </c>
      <c r="C710" s="104" t="s">
        <v>702</v>
      </c>
      <c r="D710" s="102">
        <v>8815205</v>
      </c>
      <c r="E710" s="102"/>
      <c r="F710" s="103">
        <v>34542</v>
      </c>
      <c r="G710" s="99"/>
      <c r="H710" s="99"/>
      <c r="I710" s="99"/>
      <c r="J710" s="20"/>
      <c r="K710" s="21"/>
      <c r="L710" s="21"/>
      <c r="M710" s="21"/>
      <c r="N710" s="21"/>
      <c r="O710" s="21"/>
    </row>
    <row r="711" spans="2:15" ht="14.15" customHeight="1" x14ac:dyDescent="0.35">
      <c r="B711" s="100">
        <f t="shared" si="11"/>
        <v>708</v>
      </c>
      <c r="C711" s="104" t="s">
        <v>703</v>
      </c>
      <c r="D711" s="102">
        <v>8916137</v>
      </c>
      <c r="E711" s="102"/>
      <c r="F711" s="103">
        <v>34544</v>
      </c>
      <c r="G711" s="99"/>
      <c r="H711" s="99"/>
      <c r="I711" s="99"/>
      <c r="J711" s="20"/>
      <c r="K711" s="21"/>
      <c r="L711" s="21"/>
      <c r="M711" s="21"/>
      <c r="N711" s="21"/>
      <c r="O711" s="21"/>
    </row>
    <row r="712" spans="2:15" ht="14.15" customHeight="1" x14ac:dyDescent="0.35">
      <c r="B712" s="100">
        <f t="shared" si="11"/>
        <v>709</v>
      </c>
      <c r="C712" s="104" t="s">
        <v>704</v>
      </c>
      <c r="D712" s="102">
        <v>8715070</v>
      </c>
      <c r="E712" s="102"/>
      <c r="F712" s="103">
        <v>34545</v>
      </c>
      <c r="G712" s="99"/>
      <c r="H712" s="99"/>
      <c r="I712" s="99"/>
      <c r="J712" s="20"/>
      <c r="K712" s="21"/>
      <c r="L712" s="21"/>
      <c r="M712" s="21"/>
      <c r="N712" s="21"/>
      <c r="O712" s="21"/>
    </row>
    <row r="713" spans="2:15" ht="14.15" customHeight="1" x14ac:dyDescent="0.35">
      <c r="B713" s="100">
        <f t="shared" si="11"/>
        <v>710</v>
      </c>
      <c r="C713" s="104" t="s">
        <v>705</v>
      </c>
      <c r="D713" s="102">
        <v>8413133</v>
      </c>
      <c r="E713" s="102"/>
      <c r="F713" s="103">
        <v>34552</v>
      </c>
      <c r="G713" s="99"/>
      <c r="H713" s="99"/>
      <c r="I713" s="99"/>
      <c r="J713" s="20"/>
      <c r="K713" s="21"/>
      <c r="L713" s="21"/>
      <c r="M713" s="21"/>
      <c r="N713" s="21"/>
      <c r="O713" s="21"/>
    </row>
    <row r="714" spans="2:15" ht="14.15" customHeight="1" x14ac:dyDescent="0.35">
      <c r="B714" s="100">
        <f t="shared" si="11"/>
        <v>711</v>
      </c>
      <c r="C714" s="104" t="s">
        <v>706</v>
      </c>
      <c r="D714" s="102">
        <v>8815412</v>
      </c>
      <c r="E714" s="102"/>
      <c r="F714" s="103">
        <v>34575</v>
      </c>
      <c r="G714" s="99"/>
      <c r="H714" s="99"/>
      <c r="I714" s="99"/>
      <c r="J714" s="20"/>
      <c r="K714" s="21"/>
      <c r="L714" s="21"/>
      <c r="M714" s="21"/>
      <c r="N714" s="21"/>
      <c r="O714" s="21"/>
    </row>
    <row r="715" spans="2:15" ht="14.15" customHeight="1" x14ac:dyDescent="0.35">
      <c r="B715" s="100">
        <f t="shared" si="11"/>
        <v>712</v>
      </c>
      <c r="C715" s="104" t="s">
        <v>707</v>
      </c>
      <c r="D715" s="102">
        <v>8815574</v>
      </c>
      <c r="E715" s="102"/>
      <c r="F715" s="103">
        <v>34594</v>
      </c>
      <c r="G715" s="99"/>
      <c r="H715" s="99"/>
      <c r="I715" s="99"/>
      <c r="J715" s="20"/>
      <c r="K715" s="21"/>
      <c r="L715" s="21"/>
      <c r="M715" s="21"/>
      <c r="N715" s="21"/>
      <c r="O715" s="21"/>
    </row>
    <row r="716" spans="2:15" ht="14.15" customHeight="1" x14ac:dyDescent="0.35">
      <c r="B716" s="100">
        <f t="shared" si="11"/>
        <v>713</v>
      </c>
      <c r="C716" s="104" t="s">
        <v>708</v>
      </c>
      <c r="D716" s="102">
        <v>8612662</v>
      </c>
      <c r="E716" s="102"/>
      <c r="F716" s="103">
        <v>34596</v>
      </c>
      <c r="G716" s="99"/>
      <c r="H716" s="99"/>
      <c r="I716" s="99"/>
      <c r="J716" s="20"/>
      <c r="K716" s="21"/>
      <c r="L716" s="21"/>
      <c r="M716" s="21"/>
      <c r="N716" s="21"/>
      <c r="O716" s="21"/>
    </row>
    <row r="717" spans="2:15" ht="14.15" customHeight="1" x14ac:dyDescent="0.35">
      <c r="B717" s="100">
        <f t="shared" si="11"/>
        <v>714</v>
      </c>
      <c r="C717" s="104" t="s">
        <v>709</v>
      </c>
      <c r="D717" s="102">
        <v>8614400</v>
      </c>
      <c r="E717" s="102"/>
      <c r="F717" s="103">
        <v>34599</v>
      </c>
      <c r="G717" s="99"/>
      <c r="H717" s="99"/>
      <c r="I717" s="99"/>
      <c r="J717" s="20"/>
      <c r="K717" s="21"/>
      <c r="L717" s="21"/>
      <c r="M717" s="21"/>
      <c r="N717" s="21"/>
      <c r="O717" s="21"/>
    </row>
    <row r="718" spans="2:15" ht="14.15" customHeight="1" x14ac:dyDescent="0.35">
      <c r="B718" s="100">
        <f t="shared" si="11"/>
        <v>715</v>
      </c>
      <c r="C718" s="104" t="s">
        <v>710</v>
      </c>
      <c r="D718" s="102">
        <v>8616070</v>
      </c>
      <c r="E718" s="102"/>
      <c r="F718" s="103">
        <v>34600</v>
      </c>
      <c r="G718" s="99"/>
      <c r="H718" s="99"/>
      <c r="I718" s="99"/>
      <c r="J718" s="20"/>
      <c r="K718" s="21"/>
      <c r="L718" s="21"/>
      <c r="M718" s="21"/>
      <c r="N718" s="21"/>
      <c r="O718" s="21"/>
    </row>
    <row r="719" spans="2:15" ht="14.15" customHeight="1" x14ac:dyDescent="0.35">
      <c r="B719" s="100">
        <f t="shared" si="11"/>
        <v>716</v>
      </c>
      <c r="C719" s="104" t="s">
        <v>711</v>
      </c>
      <c r="D719" s="102">
        <v>8815530</v>
      </c>
      <c r="E719" s="102"/>
      <c r="F719" s="103">
        <v>34604</v>
      </c>
      <c r="G719" s="99"/>
      <c r="H719" s="99"/>
      <c r="I719" s="99"/>
      <c r="J719" s="20"/>
      <c r="K719" s="21"/>
      <c r="L719" s="21"/>
      <c r="M719" s="21"/>
      <c r="N719" s="21"/>
      <c r="O719" s="21"/>
    </row>
    <row r="720" spans="2:15" ht="14.15" customHeight="1" x14ac:dyDescent="0.35">
      <c r="B720" s="100">
        <f t="shared" si="11"/>
        <v>717</v>
      </c>
      <c r="C720" s="104" t="s">
        <v>712</v>
      </c>
      <c r="D720" s="102">
        <v>8916211</v>
      </c>
      <c r="E720" s="102"/>
      <c r="F720" s="103">
        <v>34615</v>
      </c>
      <c r="G720" s="99"/>
      <c r="H720" s="99"/>
      <c r="I720" s="99"/>
      <c r="J720" s="20"/>
      <c r="K720" s="21"/>
      <c r="L720" s="21"/>
      <c r="M720" s="21"/>
      <c r="N720" s="21"/>
      <c r="O720" s="21"/>
    </row>
    <row r="721" spans="2:15" ht="14.15" customHeight="1" x14ac:dyDescent="0.35">
      <c r="B721" s="100">
        <f t="shared" si="11"/>
        <v>718</v>
      </c>
      <c r="C721" s="104" t="s">
        <v>713</v>
      </c>
      <c r="D721" s="102">
        <v>8916180</v>
      </c>
      <c r="E721" s="102"/>
      <c r="F721" s="103">
        <v>34617</v>
      </c>
      <c r="G721" s="99"/>
      <c r="H721" s="99"/>
      <c r="I721" s="99"/>
      <c r="J721" s="20"/>
      <c r="K721" s="21"/>
      <c r="L721" s="21"/>
      <c r="M721" s="21"/>
      <c r="N721" s="21"/>
      <c r="O721" s="21"/>
    </row>
    <row r="722" spans="2:15" ht="14.15" customHeight="1" x14ac:dyDescent="0.35">
      <c r="B722" s="100">
        <f t="shared" si="11"/>
        <v>719</v>
      </c>
      <c r="C722" s="104" t="s">
        <v>714</v>
      </c>
      <c r="D722" s="102">
        <v>8916121</v>
      </c>
      <c r="E722" s="102"/>
      <c r="F722" s="103">
        <v>34618</v>
      </c>
      <c r="G722" s="99"/>
      <c r="H722" s="99"/>
      <c r="I722" s="99"/>
      <c r="J722" s="20"/>
      <c r="K722" s="21"/>
      <c r="L722" s="21"/>
      <c r="M722" s="21"/>
      <c r="N722" s="21"/>
      <c r="O722" s="21"/>
    </row>
    <row r="723" spans="2:15" ht="14.15" customHeight="1" x14ac:dyDescent="0.35">
      <c r="B723" s="100">
        <f t="shared" si="11"/>
        <v>720</v>
      </c>
      <c r="C723" s="104" t="s">
        <v>715</v>
      </c>
      <c r="D723" s="102">
        <v>8714671</v>
      </c>
      <c r="E723" s="102"/>
      <c r="F723" s="103">
        <v>34622</v>
      </c>
      <c r="G723" s="99"/>
      <c r="H723" s="99"/>
      <c r="I723" s="99"/>
      <c r="J723" s="20"/>
      <c r="K723" s="21"/>
      <c r="L723" s="21"/>
      <c r="M723" s="21"/>
      <c r="N723" s="21"/>
      <c r="O723" s="21"/>
    </row>
    <row r="724" spans="2:15" ht="14.15" customHeight="1" x14ac:dyDescent="0.35">
      <c r="B724" s="100">
        <f t="shared" si="11"/>
        <v>721</v>
      </c>
      <c r="C724" s="104" t="s">
        <v>716</v>
      </c>
      <c r="D724" s="102">
        <v>8614022</v>
      </c>
      <c r="E724" s="102"/>
      <c r="F724" s="103">
        <v>34629</v>
      </c>
      <c r="G724" s="99"/>
      <c r="H724" s="99"/>
      <c r="I724" s="99"/>
      <c r="J724" s="20"/>
      <c r="K724" s="21"/>
      <c r="L724" s="21"/>
      <c r="M724" s="21"/>
      <c r="N724" s="21"/>
      <c r="O724" s="21"/>
    </row>
    <row r="725" spans="2:15" ht="14.15" customHeight="1" x14ac:dyDescent="0.35">
      <c r="B725" s="100">
        <f t="shared" si="11"/>
        <v>722</v>
      </c>
      <c r="C725" s="104" t="s">
        <v>717</v>
      </c>
      <c r="D725" s="102">
        <v>8715082</v>
      </c>
      <c r="E725" s="102"/>
      <c r="F725" s="103">
        <v>34629</v>
      </c>
      <c r="G725" s="99"/>
      <c r="H725" s="99"/>
      <c r="I725" s="99"/>
      <c r="J725" s="20"/>
      <c r="K725" s="21"/>
      <c r="L725" s="21"/>
      <c r="M725" s="21"/>
      <c r="N725" s="21"/>
      <c r="O725" s="21"/>
    </row>
    <row r="726" spans="2:15" ht="14.15" customHeight="1" x14ac:dyDescent="0.35">
      <c r="B726" s="100">
        <f t="shared" si="11"/>
        <v>723</v>
      </c>
      <c r="C726" s="104" t="s">
        <v>718</v>
      </c>
      <c r="D726" s="102">
        <v>8715806</v>
      </c>
      <c r="E726" s="102"/>
      <c r="F726" s="103">
        <v>34632</v>
      </c>
      <c r="G726" s="99"/>
      <c r="H726" s="99"/>
      <c r="I726" s="99"/>
      <c r="J726" s="20"/>
      <c r="K726" s="21"/>
      <c r="L726" s="21"/>
      <c r="M726" s="21"/>
      <c r="N726" s="21"/>
      <c r="O726" s="21"/>
    </row>
    <row r="727" spans="2:15" ht="14.15" customHeight="1" x14ac:dyDescent="0.35">
      <c r="B727" s="100">
        <f t="shared" si="11"/>
        <v>724</v>
      </c>
      <c r="C727" s="104" t="s">
        <v>719</v>
      </c>
      <c r="D727" s="102">
        <v>8614445</v>
      </c>
      <c r="E727" s="102"/>
      <c r="F727" s="103">
        <v>34634</v>
      </c>
      <c r="G727" s="99"/>
      <c r="H727" s="99"/>
      <c r="I727" s="99"/>
      <c r="J727" s="20"/>
      <c r="K727" s="21"/>
      <c r="L727" s="21"/>
      <c r="M727" s="21"/>
      <c r="N727" s="21"/>
      <c r="O727" s="21"/>
    </row>
    <row r="728" spans="2:15" ht="14.15" customHeight="1" x14ac:dyDescent="0.35">
      <c r="B728" s="100">
        <f t="shared" si="11"/>
        <v>725</v>
      </c>
      <c r="C728" s="104" t="s">
        <v>720</v>
      </c>
      <c r="D728" s="102">
        <v>8815460</v>
      </c>
      <c r="E728" s="102"/>
      <c r="F728" s="103">
        <v>34634</v>
      </c>
      <c r="G728" s="99"/>
      <c r="H728" s="99"/>
      <c r="I728" s="99"/>
      <c r="J728" s="20"/>
      <c r="K728" s="21"/>
      <c r="L728" s="21"/>
      <c r="M728" s="21"/>
      <c r="N728" s="21"/>
      <c r="O728" s="21"/>
    </row>
    <row r="729" spans="2:15" ht="14.15" customHeight="1" x14ac:dyDescent="0.35">
      <c r="B729" s="100">
        <f t="shared" si="11"/>
        <v>726</v>
      </c>
      <c r="C729" s="104" t="s">
        <v>721</v>
      </c>
      <c r="D729" s="102">
        <v>8715083</v>
      </c>
      <c r="E729" s="102"/>
      <c r="F729" s="103">
        <v>34636</v>
      </c>
      <c r="G729" s="99"/>
      <c r="H729" s="99"/>
      <c r="I729" s="99"/>
      <c r="J729" s="20"/>
      <c r="K729" s="21"/>
      <c r="L729" s="21"/>
      <c r="M729" s="21"/>
      <c r="N729" s="21"/>
      <c r="O729" s="21"/>
    </row>
    <row r="730" spans="2:15" ht="14.15" customHeight="1" x14ac:dyDescent="0.35">
      <c r="B730" s="100">
        <f t="shared" si="11"/>
        <v>727</v>
      </c>
      <c r="C730" s="104" t="s">
        <v>722</v>
      </c>
      <c r="D730" s="102">
        <v>8413118</v>
      </c>
      <c r="E730" s="102"/>
      <c r="F730" s="103">
        <v>34639</v>
      </c>
      <c r="G730" s="99"/>
      <c r="H730" s="99"/>
      <c r="I730" s="99"/>
      <c r="J730" s="20"/>
      <c r="K730" s="21"/>
      <c r="L730" s="21"/>
      <c r="M730" s="21"/>
      <c r="N730" s="21"/>
      <c r="O730" s="21"/>
    </row>
    <row r="731" spans="2:15" ht="14.15" customHeight="1" x14ac:dyDescent="0.35">
      <c r="B731" s="100">
        <f t="shared" si="11"/>
        <v>728</v>
      </c>
      <c r="C731" s="104" t="s">
        <v>723</v>
      </c>
      <c r="D731" s="102">
        <v>8714712</v>
      </c>
      <c r="E731" s="102"/>
      <c r="F731" s="103">
        <v>34639</v>
      </c>
      <c r="G731" s="99"/>
      <c r="H731" s="99"/>
      <c r="I731" s="99"/>
      <c r="J731" s="20"/>
      <c r="K731" s="21"/>
      <c r="L731" s="21"/>
      <c r="M731" s="21"/>
      <c r="N731" s="21"/>
      <c r="O731" s="21"/>
    </row>
    <row r="732" spans="2:15" ht="14.15" customHeight="1" x14ac:dyDescent="0.35">
      <c r="B732" s="100">
        <f t="shared" si="11"/>
        <v>729</v>
      </c>
      <c r="C732" s="104" t="s">
        <v>724</v>
      </c>
      <c r="D732" s="102">
        <v>8715084</v>
      </c>
      <c r="E732" s="102"/>
      <c r="F732" s="103">
        <v>34639</v>
      </c>
      <c r="G732" s="99"/>
      <c r="H732" s="99"/>
      <c r="I732" s="99"/>
      <c r="J732" s="20"/>
      <c r="K732" s="21"/>
      <c r="L732" s="21"/>
      <c r="M732" s="21"/>
      <c r="N732" s="21"/>
      <c r="O732" s="21"/>
    </row>
    <row r="733" spans="2:15" ht="14.15" customHeight="1" x14ac:dyDescent="0.35">
      <c r="B733" s="100">
        <f t="shared" si="11"/>
        <v>730</v>
      </c>
      <c r="C733" s="104" t="s">
        <v>725</v>
      </c>
      <c r="D733" s="102">
        <v>8614388</v>
      </c>
      <c r="E733" s="102"/>
      <c r="F733" s="103">
        <v>34643</v>
      </c>
      <c r="G733" s="99"/>
      <c r="H733" s="99"/>
      <c r="I733" s="99"/>
      <c r="J733" s="20"/>
      <c r="K733" s="21"/>
      <c r="L733" s="21"/>
      <c r="M733" s="21"/>
      <c r="N733" s="21"/>
      <c r="O733" s="21"/>
    </row>
    <row r="734" spans="2:15" ht="14.15" customHeight="1" x14ac:dyDescent="0.35">
      <c r="B734" s="100">
        <f t="shared" si="11"/>
        <v>731</v>
      </c>
      <c r="C734" s="104" t="s">
        <v>522</v>
      </c>
      <c r="D734" s="102">
        <v>8614531</v>
      </c>
      <c r="E734" s="102"/>
      <c r="F734" s="103">
        <v>34643</v>
      </c>
      <c r="G734" s="99"/>
      <c r="H734" s="99"/>
      <c r="I734" s="99"/>
      <c r="J734" s="20"/>
      <c r="K734" s="21"/>
      <c r="L734" s="21"/>
      <c r="M734" s="21"/>
      <c r="N734" s="21"/>
      <c r="O734" s="21"/>
    </row>
    <row r="735" spans="2:15" ht="14.15" customHeight="1" x14ac:dyDescent="0.35">
      <c r="B735" s="100">
        <f t="shared" si="11"/>
        <v>732</v>
      </c>
      <c r="C735" s="104" t="s">
        <v>726</v>
      </c>
      <c r="D735" s="102">
        <v>8513469</v>
      </c>
      <c r="E735" s="102"/>
      <c r="F735" s="103">
        <v>34645</v>
      </c>
      <c r="G735" s="99"/>
      <c r="H735" s="99"/>
      <c r="I735" s="99"/>
      <c r="J735" s="20"/>
      <c r="K735" s="21"/>
      <c r="L735" s="21"/>
      <c r="M735" s="21"/>
      <c r="N735" s="21"/>
      <c r="O735" s="21"/>
    </row>
    <row r="736" spans="2:15" ht="14.15" customHeight="1" x14ac:dyDescent="0.35">
      <c r="B736" s="100">
        <f t="shared" si="11"/>
        <v>733</v>
      </c>
      <c r="C736" s="104" t="s">
        <v>727</v>
      </c>
      <c r="D736" s="102">
        <v>8916033</v>
      </c>
      <c r="E736" s="102"/>
      <c r="F736" s="103">
        <v>34655</v>
      </c>
      <c r="G736" s="99"/>
      <c r="H736" s="99"/>
      <c r="I736" s="99"/>
      <c r="J736" s="20"/>
      <c r="K736" s="21"/>
      <c r="L736" s="21"/>
      <c r="M736" s="21"/>
      <c r="N736" s="21"/>
      <c r="O736" s="21"/>
    </row>
    <row r="737" spans="2:15" ht="14.15" customHeight="1" x14ac:dyDescent="0.35">
      <c r="B737" s="100">
        <f t="shared" si="11"/>
        <v>734</v>
      </c>
      <c r="C737" s="104" t="s">
        <v>728</v>
      </c>
      <c r="D737" s="102">
        <v>8916266</v>
      </c>
      <c r="E737" s="102"/>
      <c r="F737" s="103">
        <v>34664</v>
      </c>
      <c r="G737" s="99"/>
      <c r="H737" s="99"/>
      <c r="I737" s="99"/>
      <c r="J737" s="20"/>
      <c r="K737" s="21"/>
      <c r="L737" s="21"/>
      <c r="M737" s="21"/>
      <c r="N737" s="21"/>
      <c r="O737" s="21"/>
    </row>
    <row r="738" spans="2:15" ht="14.15" customHeight="1" x14ac:dyDescent="0.35">
      <c r="B738" s="100">
        <f t="shared" si="11"/>
        <v>735</v>
      </c>
      <c r="C738" s="104" t="s">
        <v>729</v>
      </c>
      <c r="D738" s="102">
        <v>8513463</v>
      </c>
      <c r="E738" s="102"/>
      <c r="F738" s="103">
        <v>34680</v>
      </c>
      <c r="G738" s="99"/>
      <c r="H738" s="99"/>
      <c r="I738" s="99"/>
      <c r="J738" s="20"/>
      <c r="K738" s="21"/>
      <c r="L738" s="21"/>
      <c r="M738" s="21"/>
      <c r="N738" s="21"/>
      <c r="O738" s="21"/>
    </row>
    <row r="739" spans="2:15" ht="14.15" customHeight="1" x14ac:dyDescent="0.35">
      <c r="B739" s="100">
        <f t="shared" si="11"/>
        <v>736</v>
      </c>
      <c r="C739" s="104" t="s">
        <v>730</v>
      </c>
      <c r="D739" s="102">
        <v>8513659</v>
      </c>
      <c r="E739" s="102"/>
      <c r="F739" s="103">
        <v>34680</v>
      </c>
      <c r="G739" s="99"/>
      <c r="H739" s="99"/>
      <c r="I739" s="99"/>
      <c r="J739" s="20"/>
      <c r="K739" s="21"/>
      <c r="L739" s="21"/>
      <c r="M739" s="21"/>
      <c r="N739" s="21"/>
      <c r="O739" s="21"/>
    </row>
    <row r="740" spans="2:15" ht="14.15" customHeight="1" x14ac:dyDescent="0.35">
      <c r="B740" s="100">
        <f t="shared" si="11"/>
        <v>737</v>
      </c>
      <c r="C740" s="104" t="s">
        <v>731</v>
      </c>
      <c r="D740" s="102">
        <v>8714678</v>
      </c>
      <c r="E740" s="102"/>
      <c r="F740" s="103">
        <v>34680</v>
      </c>
      <c r="G740" s="99"/>
      <c r="H740" s="99"/>
      <c r="I740" s="99"/>
      <c r="J740" s="20"/>
      <c r="K740" s="21"/>
      <c r="L740" s="21"/>
      <c r="M740" s="21"/>
      <c r="N740" s="21"/>
      <c r="O740" s="21"/>
    </row>
    <row r="741" spans="2:15" ht="14.15" customHeight="1" x14ac:dyDescent="0.35">
      <c r="B741" s="100">
        <f t="shared" si="11"/>
        <v>738</v>
      </c>
      <c r="C741" s="104" t="s">
        <v>732</v>
      </c>
      <c r="D741" s="102">
        <v>8916117</v>
      </c>
      <c r="E741" s="102"/>
      <c r="F741" s="103">
        <v>34682</v>
      </c>
      <c r="G741" s="99"/>
      <c r="H741" s="99"/>
      <c r="I741" s="99"/>
      <c r="J741" s="20"/>
      <c r="K741" s="21"/>
      <c r="L741" s="21"/>
      <c r="M741" s="21"/>
      <c r="N741" s="21"/>
      <c r="O741" s="21"/>
    </row>
    <row r="742" spans="2:15" ht="14.15" customHeight="1" x14ac:dyDescent="0.35">
      <c r="B742" s="100">
        <f t="shared" si="11"/>
        <v>739</v>
      </c>
      <c r="C742" s="104" t="s">
        <v>733</v>
      </c>
      <c r="D742" s="102">
        <v>8513647</v>
      </c>
      <c r="E742" s="102"/>
      <c r="F742" s="103">
        <v>34685</v>
      </c>
      <c r="G742" s="99"/>
      <c r="H742" s="99"/>
      <c r="I742" s="99"/>
      <c r="J742" s="20"/>
      <c r="K742" s="21"/>
      <c r="L742" s="21"/>
      <c r="M742" s="21"/>
      <c r="N742" s="21"/>
      <c r="O742" s="21"/>
    </row>
    <row r="743" spans="2:15" ht="14.15" customHeight="1" x14ac:dyDescent="0.35">
      <c r="B743" s="100">
        <f t="shared" si="11"/>
        <v>740</v>
      </c>
      <c r="C743" s="104" t="s">
        <v>734</v>
      </c>
      <c r="D743" s="102">
        <v>8312634</v>
      </c>
      <c r="E743" s="102"/>
      <c r="F743" s="103">
        <v>34706</v>
      </c>
      <c r="G743" s="99"/>
      <c r="H743" s="99"/>
      <c r="I743" s="99"/>
      <c r="J743" s="20"/>
      <c r="K743" s="21"/>
      <c r="L743" s="21"/>
      <c r="M743" s="21"/>
      <c r="N743" s="21"/>
      <c r="O743" s="21"/>
    </row>
    <row r="744" spans="2:15" ht="14.15" customHeight="1" x14ac:dyDescent="0.35">
      <c r="B744" s="100">
        <f t="shared" si="11"/>
        <v>741</v>
      </c>
      <c r="C744" s="104" t="s">
        <v>735</v>
      </c>
      <c r="D744" s="102">
        <v>8715097</v>
      </c>
      <c r="E744" s="102"/>
      <c r="F744" s="103">
        <v>34720</v>
      </c>
      <c r="G744" s="99"/>
      <c r="H744" s="99"/>
      <c r="I744" s="99"/>
      <c r="J744" s="20"/>
      <c r="K744" s="21"/>
      <c r="L744" s="21"/>
      <c r="M744" s="21"/>
      <c r="N744" s="21"/>
      <c r="O744" s="21"/>
    </row>
    <row r="745" spans="2:15" ht="14.15" customHeight="1" x14ac:dyDescent="0.35">
      <c r="B745" s="100">
        <f t="shared" si="11"/>
        <v>742</v>
      </c>
      <c r="C745" s="104" t="s">
        <v>736</v>
      </c>
      <c r="D745" s="102">
        <v>8312630</v>
      </c>
      <c r="E745" s="102"/>
      <c r="F745" s="103">
        <v>34725</v>
      </c>
      <c r="G745" s="99"/>
      <c r="H745" s="99"/>
      <c r="I745" s="99"/>
      <c r="J745" s="20"/>
      <c r="K745" s="21"/>
      <c r="L745" s="21"/>
      <c r="M745" s="21"/>
      <c r="N745" s="21"/>
      <c r="O745" s="21"/>
    </row>
    <row r="746" spans="2:15" ht="14.15" customHeight="1" x14ac:dyDescent="0.35">
      <c r="B746" s="100">
        <f t="shared" si="11"/>
        <v>743</v>
      </c>
      <c r="C746" s="104" t="s">
        <v>737</v>
      </c>
      <c r="D746" s="102">
        <v>8916175</v>
      </c>
      <c r="E746" s="102"/>
      <c r="F746" s="103">
        <v>34727</v>
      </c>
      <c r="G746" s="99"/>
      <c r="H746" s="99"/>
      <c r="I746" s="99"/>
      <c r="J746" s="20"/>
      <c r="K746" s="21"/>
      <c r="L746" s="21"/>
      <c r="M746" s="21"/>
      <c r="N746" s="21"/>
      <c r="O746" s="21"/>
    </row>
    <row r="747" spans="2:15" ht="14.15" customHeight="1" x14ac:dyDescent="0.35">
      <c r="B747" s="100">
        <f t="shared" si="11"/>
        <v>744</v>
      </c>
      <c r="C747" s="104" t="s">
        <v>738</v>
      </c>
      <c r="D747" s="102">
        <v>8714682</v>
      </c>
      <c r="E747" s="102"/>
      <c r="F747" s="103">
        <v>34729</v>
      </c>
      <c r="G747" s="99"/>
      <c r="H747" s="99"/>
      <c r="I747" s="99"/>
      <c r="J747" s="20"/>
      <c r="K747" s="21"/>
      <c r="L747" s="21"/>
      <c r="M747" s="21"/>
      <c r="N747" s="21"/>
      <c r="O747" s="21"/>
    </row>
    <row r="748" spans="2:15" ht="14.15" customHeight="1" x14ac:dyDescent="0.35">
      <c r="B748" s="100">
        <f t="shared" si="11"/>
        <v>745</v>
      </c>
      <c r="C748" s="104" t="s">
        <v>739</v>
      </c>
      <c r="D748" s="102">
        <v>8815410</v>
      </c>
      <c r="E748" s="102"/>
      <c r="F748" s="103">
        <v>34729</v>
      </c>
      <c r="G748" s="99"/>
      <c r="H748" s="99"/>
      <c r="I748" s="99"/>
      <c r="J748" s="20"/>
      <c r="K748" s="21"/>
      <c r="L748" s="21"/>
      <c r="M748" s="21"/>
      <c r="N748" s="21"/>
      <c r="O748" s="21"/>
    </row>
    <row r="749" spans="2:15" ht="14.15" customHeight="1" x14ac:dyDescent="0.35">
      <c r="B749" s="100">
        <f t="shared" si="11"/>
        <v>746</v>
      </c>
      <c r="C749" s="104" t="s">
        <v>740</v>
      </c>
      <c r="D749" s="102">
        <v>8916154</v>
      </c>
      <c r="E749" s="102"/>
      <c r="F749" s="103">
        <v>34745</v>
      </c>
      <c r="G749" s="99"/>
      <c r="H749" s="99"/>
      <c r="I749" s="99"/>
      <c r="J749" s="20"/>
      <c r="K749" s="21"/>
      <c r="L749" s="21"/>
      <c r="M749" s="21"/>
      <c r="N749" s="21"/>
      <c r="O749" s="21"/>
    </row>
    <row r="750" spans="2:15" ht="14.15" customHeight="1" x14ac:dyDescent="0.35">
      <c r="B750" s="100">
        <f t="shared" si="11"/>
        <v>747</v>
      </c>
      <c r="C750" s="104" t="s">
        <v>741</v>
      </c>
      <c r="D750" s="102">
        <v>8211795</v>
      </c>
      <c r="E750" s="102"/>
      <c r="F750" s="103">
        <v>34752</v>
      </c>
      <c r="G750" s="99"/>
      <c r="H750" s="99"/>
      <c r="I750" s="99"/>
      <c r="J750" s="20"/>
      <c r="K750" s="21"/>
      <c r="L750" s="21"/>
      <c r="M750" s="21"/>
      <c r="N750" s="21"/>
      <c r="O750" s="21"/>
    </row>
    <row r="751" spans="2:15" ht="14.15" customHeight="1" x14ac:dyDescent="0.35">
      <c r="B751" s="100">
        <f t="shared" si="11"/>
        <v>748</v>
      </c>
      <c r="C751" s="104" t="s">
        <v>742</v>
      </c>
      <c r="D751" s="102">
        <v>8613990</v>
      </c>
      <c r="E751" s="102"/>
      <c r="F751" s="103">
        <v>34754</v>
      </c>
      <c r="G751" s="99"/>
      <c r="H751" s="99"/>
      <c r="I751" s="99"/>
      <c r="J751" s="20"/>
      <c r="K751" s="21"/>
      <c r="L751" s="21"/>
      <c r="M751" s="21"/>
      <c r="N751" s="21"/>
      <c r="O751" s="21"/>
    </row>
    <row r="752" spans="2:15" ht="14.15" customHeight="1" x14ac:dyDescent="0.35">
      <c r="B752" s="100">
        <f t="shared" si="11"/>
        <v>749</v>
      </c>
      <c r="C752" s="104" t="s">
        <v>743</v>
      </c>
      <c r="D752" s="102">
        <v>8614453</v>
      </c>
      <c r="E752" s="102"/>
      <c r="F752" s="103">
        <v>34754</v>
      </c>
      <c r="G752" s="99"/>
      <c r="H752" s="99"/>
      <c r="I752" s="99"/>
      <c r="J752" s="20"/>
      <c r="K752" s="21"/>
      <c r="L752" s="21"/>
      <c r="M752" s="21"/>
      <c r="N752" s="21"/>
      <c r="O752" s="21"/>
    </row>
    <row r="753" spans="2:15" ht="14.15" customHeight="1" x14ac:dyDescent="0.35">
      <c r="B753" s="100">
        <f t="shared" si="11"/>
        <v>750</v>
      </c>
      <c r="C753" s="104" t="s">
        <v>744</v>
      </c>
      <c r="D753" s="102">
        <v>8916168</v>
      </c>
      <c r="E753" s="102"/>
      <c r="F753" s="103">
        <v>34757</v>
      </c>
      <c r="G753" s="99"/>
      <c r="H753" s="99"/>
      <c r="I753" s="99"/>
      <c r="J753" s="20"/>
      <c r="K753" s="21"/>
      <c r="L753" s="21"/>
      <c r="M753" s="21"/>
      <c r="N753" s="21"/>
      <c r="O753" s="21"/>
    </row>
    <row r="754" spans="2:15" ht="14.15" customHeight="1" x14ac:dyDescent="0.35">
      <c r="B754" s="100">
        <f t="shared" si="11"/>
        <v>751</v>
      </c>
      <c r="C754" s="104" t="s">
        <v>745</v>
      </c>
      <c r="D754" s="102">
        <v>8413184</v>
      </c>
      <c r="E754" s="102"/>
      <c r="F754" s="103">
        <v>34789</v>
      </c>
      <c r="G754" s="99"/>
      <c r="H754" s="99"/>
      <c r="I754" s="99"/>
      <c r="J754" s="20"/>
      <c r="K754" s="21"/>
      <c r="L754" s="21"/>
      <c r="M754" s="21"/>
      <c r="N754" s="21"/>
      <c r="O754" s="21"/>
    </row>
    <row r="755" spans="2:15" ht="14.15" customHeight="1" x14ac:dyDescent="0.35">
      <c r="B755" s="100">
        <f t="shared" si="11"/>
        <v>752</v>
      </c>
      <c r="C755" s="104" t="s">
        <v>746</v>
      </c>
      <c r="D755" s="102">
        <v>8715095</v>
      </c>
      <c r="E755" s="102"/>
      <c r="F755" s="103">
        <v>34796</v>
      </c>
      <c r="G755" s="99"/>
      <c r="H755" s="99"/>
      <c r="I755" s="99"/>
      <c r="J755" s="20"/>
      <c r="K755" s="21"/>
      <c r="L755" s="21"/>
      <c r="M755" s="21"/>
      <c r="N755" s="21"/>
      <c r="O755" s="21"/>
    </row>
    <row r="756" spans="2:15" ht="14.15" customHeight="1" x14ac:dyDescent="0.35">
      <c r="B756" s="100">
        <f t="shared" si="11"/>
        <v>753</v>
      </c>
      <c r="C756" s="104" t="s">
        <v>747</v>
      </c>
      <c r="D756" s="102">
        <v>9016917</v>
      </c>
      <c r="E756" s="102"/>
      <c r="F756" s="103">
        <v>34800</v>
      </c>
      <c r="G756" s="99"/>
      <c r="H756" s="99"/>
      <c r="I756" s="99"/>
      <c r="J756" s="20"/>
      <c r="K756" s="21"/>
      <c r="L756" s="21"/>
      <c r="M756" s="21"/>
      <c r="N756" s="21"/>
      <c r="O756" s="21"/>
    </row>
    <row r="757" spans="2:15" ht="14.15" customHeight="1" x14ac:dyDescent="0.35">
      <c r="B757" s="100">
        <f t="shared" si="11"/>
        <v>754</v>
      </c>
      <c r="C757" s="104" t="s">
        <v>748</v>
      </c>
      <c r="D757" s="102">
        <v>9016565</v>
      </c>
      <c r="E757" s="102"/>
      <c r="F757" s="103">
        <v>34802</v>
      </c>
      <c r="G757" s="99"/>
      <c r="H757" s="99"/>
      <c r="I757" s="99"/>
      <c r="J757" s="20"/>
      <c r="K757" s="21"/>
      <c r="L757" s="21"/>
      <c r="M757" s="21"/>
      <c r="N757" s="21"/>
      <c r="O757" s="21"/>
    </row>
    <row r="758" spans="2:15" ht="14.15" customHeight="1" x14ac:dyDescent="0.35">
      <c r="B758" s="100">
        <f t="shared" si="11"/>
        <v>755</v>
      </c>
      <c r="C758" s="104" t="s">
        <v>749</v>
      </c>
      <c r="D758" s="102">
        <v>8614538</v>
      </c>
      <c r="E758" s="102"/>
      <c r="F758" s="103">
        <v>34815</v>
      </c>
      <c r="G758" s="99"/>
      <c r="H758" s="99"/>
      <c r="I758" s="99"/>
      <c r="J758" s="20"/>
      <c r="K758" s="21"/>
      <c r="L758" s="21"/>
      <c r="M758" s="21"/>
      <c r="N758" s="21"/>
      <c r="O758" s="21"/>
    </row>
    <row r="759" spans="2:15" ht="14.15" customHeight="1" x14ac:dyDescent="0.35">
      <c r="B759" s="100">
        <f t="shared" si="11"/>
        <v>756</v>
      </c>
      <c r="C759" s="104" t="s">
        <v>750</v>
      </c>
      <c r="D759" s="102">
        <v>8714582</v>
      </c>
      <c r="E759" s="102"/>
      <c r="F759" s="103">
        <v>34817</v>
      </c>
      <c r="G759" s="99"/>
      <c r="H759" s="99"/>
      <c r="I759" s="99"/>
      <c r="J759" s="20"/>
      <c r="K759" s="21"/>
      <c r="L759" s="21"/>
      <c r="M759" s="21"/>
      <c r="N759" s="21"/>
      <c r="O759" s="21"/>
    </row>
    <row r="760" spans="2:15" ht="14.15" customHeight="1" x14ac:dyDescent="0.35">
      <c r="B760" s="100">
        <f t="shared" si="11"/>
        <v>757</v>
      </c>
      <c r="C760" s="104" t="s">
        <v>751</v>
      </c>
      <c r="D760" s="102">
        <v>8513649</v>
      </c>
      <c r="E760" s="102"/>
      <c r="F760" s="103">
        <v>34849</v>
      </c>
      <c r="G760" s="99"/>
      <c r="H760" s="99"/>
      <c r="I760" s="99"/>
      <c r="J760" s="20"/>
      <c r="K760" s="21"/>
      <c r="L760" s="21"/>
      <c r="M760" s="21"/>
      <c r="N760" s="21"/>
      <c r="O760" s="21"/>
    </row>
    <row r="761" spans="2:15" ht="14.15" customHeight="1" x14ac:dyDescent="0.35">
      <c r="B761" s="100">
        <f t="shared" si="11"/>
        <v>758</v>
      </c>
      <c r="C761" s="104" t="s">
        <v>752</v>
      </c>
      <c r="D761" s="102">
        <v>8715073</v>
      </c>
      <c r="E761" s="102"/>
      <c r="F761" s="103">
        <v>34860</v>
      </c>
      <c r="G761" s="99"/>
      <c r="H761" s="99"/>
      <c r="I761" s="99"/>
      <c r="J761" s="20"/>
      <c r="K761" s="21"/>
      <c r="L761" s="21"/>
      <c r="M761" s="21"/>
      <c r="N761" s="21"/>
      <c r="O761" s="21"/>
    </row>
    <row r="762" spans="2:15" ht="14.15" customHeight="1" x14ac:dyDescent="0.35">
      <c r="B762" s="100">
        <f t="shared" si="11"/>
        <v>759</v>
      </c>
      <c r="C762" s="104" t="s">
        <v>753</v>
      </c>
      <c r="D762" s="102">
        <v>8714672</v>
      </c>
      <c r="E762" s="102"/>
      <c r="F762" s="103">
        <v>34898</v>
      </c>
      <c r="G762" s="99"/>
      <c r="H762" s="99"/>
      <c r="I762" s="99"/>
      <c r="J762" s="20"/>
      <c r="K762" s="21"/>
      <c r="L762" s="21"/>
      <c r="M762" s="21"/>
      <c r="N762" s="21"/>
      <c r="O762" s="21"/>
    </row>
    <row r="763" spans="2:15" ht="14.15" customHeight="1" x14ac:dyDescent="0.35">
      <c r="B763" s="100">
        <f t="shared" si="11"/>
        <v>760</v>
      </c>
      <c r="C763" s="104" t="s">
        <v>754</v>
      </c>
      <c r="D763" s="102">
        <v>8815178</v>
      </c>
      <c r="E763" s="102"/>
      <c r="F763" s="103">
        <v>34906</v>
      </c>
      <c r="G763" s="99"/>
      <c r="H763" s="99"/>
      <c r="I763" s="99"/>
      <c r="J763" s="20"/>
      <c r="K763" s="21"/>
      <c r="L763" s="21"/>
      <c r="M763" s="21"/>
      <c r="N763" s="21"/>
      <c r="O763" s="21"/>
    </row>
    <row r="764" spans="2:15" ht="14.15" customHeight="1" x14ac:dyDescent="0.35">
      <c r="B764" s="100">
        <f t="shared" si="11"/>
        <v>761</v>
      </c>
      <c r="C764" s="104" t="s">
        <v>755</v>
      </c>
      <c r="D764" s="102">
        <v>9016919</v>
      </c>
      <c r="E764" s="102"/>
      <c r="F764" s="103">
        <v>34911</v>
      </c>
      <c r="G764" s="99"/>
      <c r="H764" s="99"/>
      <c r="I764" s="99"/>
      <c r="J764" s="20"/>
      <c r="K764" s="21"/>
      <c r="L764" s="21"/>
      <c r="M764" s="21"/>
      <c r="N764" s="21"/>
      <c r="O764" s="21"/>
    </row>
    <row r="765" spans="2:15" ht="14.15" customHeight="1" x14ac:dyDescent="0.35">
      <c r="B765" s="100">
        <f t="shared" si="11"/>
        <v>762</v>
      </c>
      <c r="C765" s="104" t="s">
        <v>756</v>
      </c>
      <c r="D765" s="102">
        <v>8513482</v>
      </c>
      <c r="E765" s="102"/>
      <c r="F765" s="103">
        <v>34916</v>
      </c>
      <c r="G765" s="99"/>
      <c r="H765" s="99"/>
      <c r="I765" s="99"/>
      <c r="J765" s="20"/>
      <c r="K765" s="21"/>
      <c r="L765" s="21"/>
      <c r="M765" s="21"/>
      <c r="N765" s="21"/>
      <c r="O765" s="21"/>
    </row>
    <row r="766" spans="2:15" ht="14.15" customHeight="1" x14ac:dyDescent="0.35">
      <c r="B766" s="100">
        <f t="shared" si="11"/>
        <v>763</v>
      </c>
      <c r="C766" s="104" t="s">
        <v>757</v>
      </c>
      <c r="D766" s="102">
        <v>8916219</v>
      </c>
      <c r="E766" s="102"/>
      <c r="F766" s="103">
        <v>34930</v>
      </c>
      <c r="G766" s="99"/>
      <c r="H766" s="99"/>
      <c r="I766" s="99"/>
      <c r="J766" s="20"/>
      <c r="K766" s="21"/>
      <c r="L766" s="21"/>
      <c r="M766" s="21"/>
      <c r="N766" s="21"/>
      <c r="O766" s="21"/>
    </row>
    <row r="767" spans="2:15" ht="14.15" customHeight="1" x14ac:dyDescent="0.35">
      <c r="B767" s="100">
        <f t="shared" si="11"/>
        <v>764</v>
      </c>
      <c r="C767" s="104" t="s">
        <v>412</v>
      </c>
      <c r="D767" s="102">
        <v>8714674</v>
      </c>
      <c r="E767" s="102"/>
      <c r="F767" s="103">
        <v>34932</v>
      </c>
      <c r="G767" s="99"/>
      <c r="H767" s="99"/>
      <c r="I767" s="99"/>
      <c r="J767" s="20"/>
      <c r="K767" s="21"/>
      <c r="L767" s="21"/>
      <c r="M767" s="21"/>
      <c r="N767" s="21"/>
      <c r="O767" s="21"/>
    </row>
    <row r="768" spans="2:15" ht="14.15" customHeight="1" x14ac:dyDescent="0.35">
      <c r="B768" s="100">
        <f t="shared" si="11"/>
        <v>765</v>
      </c>
      <c r="C768" s="104" t="s">
        <v>44</v>
      </c>
      <c r="D768" s="102">
        <v>8211798</v>
      </c>
      <c r="E768" s="102"/>
      <c r="F768" s="103">
        <v>34934</v>
      </c>
      <c r="G768" s="99"/>
      <c r="H768" s="99"/>
      <c r="I768" s="99"/>
      <c r="J768" s="20"/>
      <c r="K768" s="21"/>
      <c r="L768" s="21"/>
      <c r="M768" s="21"/>
      <c r="N768" s="21"/>
      <c r="O768" s="21"/>
    </row>
    <row r="769" spans="2:15" ht="14.15" customHeight="1" x14ac:dyDescent="0.35">
      <c r="B769" s="100">
        <f t="shared" si="11"/>
        <v>766</v>
      </c>
      <c r="C769" s="104" t="s">
        <v>758</v>
      </c>
      <c r="D769" s="102">
        <v>8714679</v>
      </c>
      <c r="E769" s="102"/>
      <c r="F769" s="103">
        <v>34935</v>
      </c>
      <c r="G769" s="99"/>
      <c r="H769" s="99"/>
      <c r="I769" s="99"/>
      <c r="J769" s="20"/>
      <c r="K769" s="21"/>
      <c r="L769" s="21"/>
      <c r="M769" s="21"/>
      <c r="N769" s="21"/>
      <c r="O769" s="21"/>
    </row>
    <row r="770" spans="2:15" ht="14.15" customHeight="1" x14ac:dyDescent="0.35">
      <c r="B770" s="100">
        <f t="shared" si="11"/>
        <v>767</v>
      </c>
      <c r="C770" s="104" t="s">
        <v>759</v>
      </c>
      <c r="D770" s="102">
        <v>8714621</v>
      </c>
      <c r="E770" s="102"/>
      <c r="F770" s="103">
        <v>34960</v>
      </c>
      <c r="G770" s="99"/>
      <c r="H770" s="99"/>
      <c r="I770" s="99"/>
      <c r="J770" s="20"/>
      <c r="K770" s="21"/>
      <c r="L770" s="21"/>
      <c r="M770" s="21"/>
      <c r="N770" s="21"/>
      <c r="O770" s="21"/>
    </row>
    <row r="771" spans="2:15" ht="14.15" customHeight="1" x14ac:dyDescent="0.35">
      <c r="B771" s="100">
        <f t="shared" si="11"/>
        <v>768</v>
      </c>
      <c r="C771" s="104" t="s">
        <v>760</v>
      </c>
      <c r="D771" s="102">
        <v>8916230</v>
      </c>
      <c r="E771" s="102"/>
      <c r="F771" s="103">
        <v>34962</v>
      </c>
      <c r="G771" s="99"/>
      <c r="H771" s="99"/>
      <c r="I771" s="99"/>
      <c r="J771" s="20"/>
      <c r="K771" s="21"/>
      <c r="L771" s="21"/>
      <c r="M771" s="21"/>
      <c r="N771" s="21"/>
      <c r="O771" s="21"/>
    </row>
    <row r="772" spans="2:15" ht="14.15" customHeight="1" x14ac:dyDescent="0.35">
      <c r="B772" s="100">
        <f t="shared" si="11"/>
        <v>769</v>
      </c>
      <c r="C772" s="104" t="s">
        <v>761</v>
      </c>
      <c r="D772" s="102">
        <v>8815536</v>
      </c>
      <c r="E772" s="102"/>
      <c r="F772" s="103">
        <v>34972</v>
      </c>
      <c r="G772" s="99"/>
      <c r="H772" s="99"/>
      <c r="I772" s="99"/>
      <c r="J772" s="20"/>
      <c r="K772" s="21"/>
      <c r="L772" s="21"/>
      <c r="M772" s="21"/>
      <c r="N772" s="21"/>
      <c r="O772" s="21"/>
    </row>
    <row r="773" spans="2:15" ht="14.15" customHeight="1" x14ac:dyDescent="0.35">
      <c r="B773" s="100">
        <f t="shared" ref="B773:B836" si="12">(B772+1)</f>
        <v>770</v>
      </c>
      <c r="C773" s="104" t="s">
        <v>762</v>
      </c>
      <c r="D773" s="102">
        <v>9016724</v>
      </c>
      <c r="E773" s="102"/>
      <c r="F773" s="103">
        <v>34972</v>
      </c>
      <c r="G773" s="99"/>
      <c r="H773" s="99"/>
      <c r="I773" s="99"/>
      <c r="J773" s="20"/>
      <c r="K773" s="21"/>
      <c r="L773" s="21"/>
      <c r="M773" s="21"/>
      <c r="N773" s="21"/>
      <c r="O773" s="21"/>
    </row>
    <row r="774" spans="2:15" ht="14.15" customHeight="1" x14ac:dyDescent="0.35">
      <c r="B774" s="100">
        <f t="shared" si="12"/>
        <v>771</v>
      </c>
      <c r="C774" s="104" t="s">
        <v>763</v>
      </c>
      <c r="D774" s="102">
        <v>9016892</v>
      </c>
      <c r="E774" s="102"/>
      <c r="F774" s="103">
        <v>34972</v>
      </c>
      <c r="G774" s="99"/>
      <c r="H774" s="99"/>
      <c r="I774" s="99"/>
      <c r="J774" s="20"/>
      <c r="K774" s="21"/>
      <c r="L774" s="21"/>
      <c r="M774" s="21"/>
      <c r="N774" s="21"/>
      <c r="O774" s="21"/>
    </row>
    <row r="775" spans="2:15" ht="14.15" customHeight="1" x14ac:dyDescent="0.35">
      <c r="B775" s="100">
        <f t="shared" si="12"/>
        <v>772</v>
      </c>
      <c r="C775" s="104" t="s">
        <v>764</v>
      </c>
      <c r="D775" s="102">
        <v>8916134</v>
      </c>
      <c r="E775" s="102"/>
      <c r="F775" s="103">
        <v>34978</v>
      </c>
      <c r="G775" s="99"/>
      <c r="H775" s="99"/>
      <c r="I775" s="99"/>
      <c r="J775" s="20"/>
      <c r="K775" s="21"/>
      <c r="L775" s="21"/>
      <c r="M775" s="21"/>
      <c r="N775" s="21"/>
      <c r="O775" s="21"/>
    </row>
    <row r="776" spans="2:15" ht="14.15" customHeight="1" x14ac:dyDescent="0.35">
      <c r="B776" s="100">
        <f t="shared" si="12"/>
        <v>773</v>
      </c>
      <c r="C776" s="104" t="s">
        <v>765</v>
      </c>
      <c r="D776" s="102">
        <v>9016609</v>
      </c>
      <c r="E776" s="102"/>
      <c r="F776" s="103">
        <v>34989</v>
      </c>
      <c r="G776" s="99"/>
      <c r="H776" s="99"/>
      <c r="I776" s="99"/>
      <c r="J776" s="20"/>
      <c r="K776" s="21"/>
      <c r="L776" s="21"/>
      <c r="M776" s="21"/>
      <c r="N776" s="21"/>
      <c r="O776" s="21"/>
    </row>
    <row r="777" spans="2:15" ht="14.15" customHeight="1" x14ac:dyDescent="0.35">
      <c r="B777" s="100">
        <f t="shared" si="12"/>
        <v>774</v>
      </c>
      <c r="C777" s="104" t="s">
        <v>766</v>
      </c>
      <c r="D777" s="102">
        <v>8815408</v>
      </c>
      <c r="E777" s="102"/>
      <c r="F777" s="103">
        <v>34990</v>
      </c>
      <c r="G777" s="99"/>
      <c r="H777" s="99"/>
      <c r="I777" s="99"/>
      <c r="J777" s="20"/>
      <c r="K777" s="21"/>
      <c r="L777" s="21"/>
      <c r="M777" s="21"/>
      <c r="N777" s="21"/>
      <c r="O777" s="21"/>
    </row>
    <row r="778" spans="2:15" ht="14.15" customHeight="1" x14ac:dyDescent="0.35">
      <c r="B778" s="100">
        <f t="shared" si="12"/>
        <v>775</v>
      </c>
      <c r="C778" s="104" t="s">
        <v>767</v>
      </c>
      <c r="D778" s="102">
        <v>8815607</v>
      </c>
      <c r="E778" s="102"/>
      <c r="F778" s="103">
        <v>35000</v>
      </c>
      <c r="G778" s="99"/>
      <c r="H778" s="99"/>
      <c r="I778" s="99"/>
      <c r="J778" s="20"/>
      <c r="K778" s="21"/>
      <c r="L778" s="21"/>
      <c r="M778" s="21"/>
      <c r="N778" s="21"/>
      <c r="O778" s="21"/>
    </row>
    <row r="779" spans="2:15" ht="14.15" customHeight="1" x14ac:dyDescent="0.35">
      <c r="B779" s="100">
        <f t="shared" si="12"/>
        <v>776</v>
      </c>
      <c r="C779" s="104" t="s">
        <v>768</v>
      </c>
      <c r="D779" s="102">
        <v>8815247</v>
      </c>
      <c r="E779" s="102"/>
      <c r="F779" s="103">
        <v>35002</v>
      </c>
      <c r="G779" s="99"/>
      <c r="H779" s="99"/>
      <c r="I779" s="99"/>
      <c r="J779" s="20"/>
      <c r="K779" s="21"/>
      <c r="L779" s="21"/>
      <c r="M779" s="21"/>
      <c r="N779" s="21"/>
      <c r="O779" s="21"/>
    </row>
    <row r="780" spans="2:15" ht="14.15" customHeight="1" x14ac:dyDescent="0.35">
      <c r="B780" s="100">
        <f t="shared" si="12"/>
        <v>777</v>
      </c>
      <c r="C780" s="104" t="s">
        <v>769</v>
      </c>
      <c r="D780" s="102">
        <v>9016895</v>
      </c>
      <c r="E780" s="102"/>
      <c r="F780" s="103">
        <v>35002</v>
      </c>
      <c r="G780" s="99"/>
      <c r="H780" s="99"/>
      <c r="I780" s="99"/>
      <c r="J780" s="20"/>
      <c r="K780" s="21"/>
      <c r="L780" s="21"/>
      <c r="M780" s="21"/>
      <c r="N780" s="21"/>
      <c r="O780" s="21"/>
    </row>
    <row r="781" spans="2:15" ht="14.15" customHeight="1" x14ac:dyDescent="0.35">
      <c r="B781" s="100">
        <f t="shared" si="12"/>
        <v>778</v>
      </c>
      <c r="C781" s="104" t="s">
        <v>770</v>
      </c>
      <c r="D781" s="102">
        <v>9016441</v>
      </c>
      <c r="E781" s="102"/>
      <c r="F781" s="103">
        <v>35005</v>
      </c>
      <c r="G781" s="99"/>
      <c r="H781" s="99"/>
      <c r="I781" s="99"/>
      <c r="J781" s="20"/>
      <c r="K781" s="21"/>
      <c r="L781" s="21"/>
      <c r="M781" s="21"/>
      <c r="N781" s="21"/>
      <c r="O781" s="21"/>
    </row>
    <row r="782" spans="2:15" ht="14.15" customHeight="1" x14ac:dyDescent="0.35">
      <c r="B782" s="100">
        <f t="shared" si="12"/>
        <v>779</v>
      </c>
      <c r="C782" s="104" t="s">
        <v>771</v>
      </c>
      <c r="D782" s="102">
        <v>8815304</v>
      </c>
      <c r="E782" s="102"/>
      <c r="F782" s="103">
        <v>35018</v>
      </c>
      <c r="G782" s="99"/>
      <c r="H782" s="99"/>
      <c r="I782" s="99"/>
      <c r="J782" s="20"/>
      <c r="K782" s="21"/>
      <c r="L782" s="21"/>
      <c r="M782" s="21"/>
      <c r="N782" s="21"/>
      <c r="O782" s="21"/>
    </row>
    <row r="783" spans="2:15" ht="14.15" customHeight="1" x14ac:dyDescent="0.35">
      <c r="B783" s="100">
        <f t="shared" si="12"/>
        <v>780</v>
      </c>
      <c r="C783" s="104" t="s">
        <v>772</v>
      </c>
      <c r="D783" s="102">
        <v>8916171</v>
      </c>
      <c r="E783" s="102"/>
      <c r="F783" s="103">
        <v>35018</v>
      </c>
      <c r="G783" s="99"/>
      <c r="H783" s="99"/>
      <c r="I783" s="99"/>
      <c r="J783" s="20"/>
      <c r="K783" s="21"/>
      <c r="L783" s="21"/>
      <c r="M783" s="21"/>
      <c r="N783" s="21"/>
      <c r="O783" s="21"/>
    </row>
    <row r="784" spans="2:15" ht="14.15" customHeight="1" x14ac:dyDescent="0.35">
      <c r="B784" s="100">
        <f t="shared" si="12"/>
        <v>781</v>
      </c>
      <c r="C784" s="104" t="s">
        <v>773</v>
      </c>
      <c r="D784" s="102">
        <v>8211727</v>
      </c>
      <c r="E784" s="102"/>
      <c r="F784" s="103">
        <v>35019</v>
      </c>
      <c r="G784" s="99"/>
      <c r="H784" s="99"/>
      <c r="I784" s="99"/>
      <c r="J784" s="20"/>
      <c r="K784" s="21"/>
      <c r="L784" s="21"/>
      <c r="M784" s="21"/>
      <c r="N784" s="21"/>
      <c r="O784" s="21"/>
    </row>
    <row r="785" spans="2:15" ht="14.15" customHeight="1" x14ac:dyDescent="0.35">
      <c r="B785" s="100">
        <f t="shared" si="12"/>
        <v>782</v>
      </c>
      <c r="C785" s="104" t="s">
        <v>774</v>
      </c>
      <c r="D785" s="102">
        <v>8815374</v>
      </c>
      <c r="E785" s="102"/>
      <c r="F785" s="103">
        <v>35026</v>
      </c>
      <c r="G785" s="99"/>
      <c r="H785" s="99"/>
      <c r="I785" s="99"/>
      <c r="J785" s="20"/>
      <c r="K785" s="21"/>
      <c r="L785" s="21"/>
      <c r="M785" s="21"/>
      <c r="N785" s="21"/>
      <c r="O785" s="21"/>
    </row>
    <row r="786" spans="2:15" ht="14.15" customHeight="1" x14ac:dyDescent="0.35">
      <c r="B786" s="100">
        <f t="shared" si="12"/>
        <v>783</v>
      </c>
      <c r="C786" s="104" t="s">
        <v>775</v>
      </c>
      <c r="D786" s="102">
        <v>8815396</v>
      </c>
      <c r="E786" s="102"/>
      <c r="F786" s="103">
        <v>35038</v>
      </c>
      <c r="G786" s="99"/>
      <c r="H786" s="99"/>
      <c r="I786" s="99"/>
      <c r="J786" s="20"/>
      <c r="K786" s="21"/>
      <c r="L786" s="21"/>
      <c r="M786" s="21"/>
      <c r="N786" s="21"/>
      <c r="O786" s="21"/>
    </row>
    <row r="787" spans="2:15" ht="14.15" customHeight="1" x14ac:dyDescent="0.35">
      <c r="B787" s="100">
        <f t="shared" si="12"/>
        <v>784</v>
      </c>
      <c r="C787" s="104" t="s">
        <v>776</v>
      </c>
      <c r="D787" s="102">
        <v>8815441</v>
      </c>
      <c r="E787" s="102"/>
      <c r="F787" s="103">
        <v>35039</v>
      </c>
      <c r="G787" s="99"/>
      <c r="H787" s="99"/>
      <c r="I787" s="99"/>
      <c r="J787" s="20"/>
      <c r="K787" s="21"/>
      <c r="L787" s="21"/>
      <c r="M787" s="21"/>
      <c r="N787" s="21"/>
      <c r="O787" s="21"/>
    </row>
    <row r="788" spans="2:15" ht="14.15" customHeight="1" x14ac:dyDescent="0.35">
      <c r="B788" s="100">
        <f t="shared" si="12"/>
        <v>785</v>
      </c>
      <c r="C788" s="104" t="s">
        <v>777</v>
      </c>
      <c r="D788" s="102">
        <v>8715094</v>
      </c>
      <c r="E788" s="102"/>
      <c r="F788" s="103">
        <v>35047</v>
      </c>
      <c r="G788" s="99"/>
      <c r="H788" s="99"/>
      <c r="I788" s="99"/>
      <c r="J788" s="20"/>
      <c r="K788" s="21"/>
      <c r="L788" s="21"/>
      <c r="M788" s="21"/>
      <c r="N788" s="21"/>
      <c r="O788" s="21"/>
    </row>
    <row r="789" spans="2:15" ht="14.15" customHeight="1" x14ac:dyDescent="0.35">
      <c r="B789" s="100">
        <f t="shared" si="12"/>
        <v>786</v>
      </c>
      <c r="C789" s="104" t="s">
        <v>778</v>
      </c>
      <c r="D789" s="102">
        <v>8715085</v>
      </c>
      <c r="E789" s="102"/>
      <c r="F789" s="103">
        <v>35048</v>
      </c>
      <c r="G789" s="99"/>
      <c r="H789" s="99"/>
      <c r="I789" s="99"/>
      <c r="J789" s="20"/>
      <c r="K789" s="21"/>
      <c r="L789" s="21"/>
      <c r="M789" s="21"/>
      <c r="N789" s="21"/>
      <c r="O789" s="21"/>
    </row>
    <row r="790" spans="2:15" ht="14.15" customHeight="1" x14ac:dyDescent="0.35">
      <c r="B790" s="100">
        <f t="shared" si="12"/>
        <v>787</v>
      </c>
      <c r="C790" s="104" t="s">
        <v>779</v>
      </c>
      <c r="D790" s="102">
        <v>8916108</v>
      </c>
      <c r="E790" s="102"/>
      <c r="F790" s="103">
        <v>35048</v>
      </c>
      <c r="G790" s="99"/>
      <c r="H790" s="99"/>
      <c r="I790" s="99"/>
      <c r="J790" s="20"/>
      <c r="K790" s="21"/>
      <c r="L790" s="21"/>
      <c r="M790" s="21"/>
      <c r="N790" s="21"/>
      <c r="O790" s="21"/>
    </row>
    <row r="791" spans="2:15" ht="14.15" customHeight="1" x14ac:dyDescent="0.35">
      <c r="B791" s="100">
        <f t="shared" si="12"/>
        <v>788</v>
      </c>
      <c r="C791" s="104" t="s">
        <v>780</v>
      </c>
      <c r="D791" s="102">
        <v>8916017</v>
      </c>
      <c r="E791" s="102"/>
      <c r="F791" s="103">
        <v>35055</v>
      </c>
      <c r="G791" s="99"/>
      <c r="H791" s="99"/>
      <c r="I791" s="99"/>
      <c r="J791" s="20"/>
      <c r="K791" s="21"/>
      <c r="L791" s="21"/>
      <c r="M791" s="21"/>
      <c r="N791" s="21"/>
      <c r="O791" s="21"/>
    </row>
    <row r="792" spans="2:15" ht="14.15" customHeight="1" x14ac:dyDescent="0.35">
      <c r="B792" s="100">
        <f t="shared" si="12"/>
        <v>789</v>
      </c>
      <c r="C792" s="104" t="s">
        <v>781</v>
      </c>
      <c r="D792" s="102">
        <v>9117461</v>
      </c>
      <c r="E792" s="102"/>
      <c r="F792" s="103">
        <v>35055</v>
      </c>
      <c r="G792" s="99"/>
      <c r="H792" s="99"/>
      <c r="I792" s="99"/>
      <c r="J792" s="20"/>
      <c r="K792" s="21"/>
      <c r="L792" s="21"/>
      <c r="M792" s="21"/>
      <c r="N792" s="21"/>
      <c r="O792" s="21"/>
    </row>
    <row r="793" spans="2:15" ht="14.15" customHeight="1" x14ac:dyDescent="0.35">
      <c r="B793" s="100">
        <f t="shared" si="12"/>
        <v>790</v>
      </c>
      <c r="C793" s="104" t="s">
        <v>782</v>
      </c>
      <c r="D793" s="102">
        <v>8815117</v>
      </c>
      <c r="E793" s="102"/>
      <c r="F793" s="103">
        <v>35056</v>
      </c>
      <c r="G793" s="99"/>
      <c r="H793" s="99"/>
      <c r="I793" s="99"/>
      <c r="J793" s="20"/>
      <c r="K793" s="21"/>
      <c r="L793" s="21"/>
      <c r="M793" s="21"/>
      <c r="N793" s="21"/>
      <c r="O793" s="21"/>
    </row>
    <row r="794" spans="2:15" ht="14.15" customHeight="1" x14ac:dyDescent="0.35">
      <c r="B794" s="100">
        <f t="shared" si="12"/>
        <v>791</v>
      </c>
      <c r="C794" s="104" t="s">
        <v>783</v>
      </c>
      <c r="D794" s="102">
        <v>9016907</v>
      </c>
      <c r="E794" s="102"/>
      <c r="F794" s="103">
        <v>35061</v>
      </c>
      <c r="G794" s="99"/>
      <c r="H794" s="99"/>
      <c r="I794" s="99"/>
      <c r="J794" s="20"/>
      <c r="K794" s="21"/>
      <c r="L794" s="21"/>
      <c r="M794" s="21"/>
      <c r="N794" s="21"/>
      <c r="O794" s="21"/>
    </row>
    <row r="795" spans="2:15" ht="14.15" customHeight="1" x14ac:dyDescent="0.35">
      <c r="B795" s="100">
        <f t="shared" si="12"/>
        <v>792</v>
      </c>
      <c r="C795" s="104" t="s">
        <v>784</v>
      </c>
      <c r="D795" s="102">
        <v>9016350</v>
      </c>
      <c r="E795" s="102"/>
      <c r="F795" s="103">
        <v>35062</v>
      </c>
      <c r="G795" s="99"/>
      <c r="H795" s="99"/>
      <c r="I795" s="99"/>
      <c r="J795" s="20"/>
      <c r="K795" s="21"/>
      <c r="L795" s="21"/>
      <c r="M795" s="21"/>
      <c r="N795" s="21"/>
      <c r="O795" s="21"/>
    </row>
    <row r="796" spans="2:15" ht="14.15" customHeight="1" x14ac:dyDescent="0.35">
      <c r="B796" s="100">
        <f t="shared" si="12"/>
        <v>793</v>
      </c>
      <c r="C796" s="104" t="s">
        <v>785</v>
      </c>
      <c r="D796" s="102">
        <v>8916189</v>
      </c>
      <c r="E796" s="102"/>
      <c r="F796" s="103">
        <v>35068</v>
      </c>
      <c r="G796" s="99"/>
      <c r="H796" s="99"/>
      <c r="I796" s="99"/>
      <c r="J796" s="20"/>
      <c r="K796" s="21"/>
      <c r="L796" s="21"/>
      <c r="M796" s="21"/>
      <c r="N796" s="21"/>
      <c r="O796" s="21"/>
    </row>
    <row r="797" spans="2:15" ht="14.15" customHeight="1" x14ac:dyDescent="0.35">
      <c r="B797" s="100">
        <f t="shared" si="12"/>
        <v>794</v>
      </c>
      <c r="C797" s="104" t="s">
        <v>786</v>
      </c>
      <c r="D797" s="102">
        <v>8916186</v>
      </c>
      <c r="E797" s="102"/>
      <c r="F797" s="103">
        <v>35069</v>
      </c>
      <c r="G797" s="99"/>
      <c r="H797" s="99"/>
      <c r="I797" s="99"/>
      <c r="J797" s="20"/>
      <c r="K797" s="21"/>
      <c r="L797" s="21"/>
      <c r="M797" s="21"/>
      <c r="N797" s="21"/>
      <c r="O797" s="21"/>
    </row>
    <row r="798" spans="2:15" ht="14.15" customHeight="1" x14ac:dyDescent="0.35">
      <c r="B798" s="100">
        <f t="shared" si="12"/>
        <v>795</v>
      </c>
      <c r="C798" s="104" t="s">
        <v>787</v>
      </c>
      <c r="D798" s="102">
        <v>8916235</v>
      </c>
      <c r="E798" s="102"/>
      <c r="F798" s="103">
        <v>35073</v>
      </c>
      <c r="G798" s="99"/>
      <c r="H798" s="99"/>
      <c r="I798" s="99"/>
      <c r="J798" s="20"/>
      <c r="K798" s="21"/>
      <c r="L798" s="21"/>
      <c r="M798" s="21"/>
      <c r="N798" s="21"/>
      <c r="O798" s="21"/>
    </row>
    <row r="799" spans="2:15" ht="14.15" customHeight="1" x14ac:dyDescent="0.35">
      <c r="B799" s="100">
        <f t="shared" si="12"/>
        <v>796</v>
      </c>
      <c r="C799" s="104" t="s">
        <v>788</v>
      </c>
      <c r="D799" s="102">
        <v>9016893</v>
      </c>
      <c r="E799" s="102"/>
      <c r="F799" s="103">
        <v>35075</v>
      </c>
      <c r="G799" s="99"/>
      <c r="H799" s="99"/>
      <c r="I799" s="99"/>
      <c r="J799" s="20"/>
      <c r="K799" s="21"/>
      <c r="L799" s="21"/>
      <c r="M799" s="21"/>
      <c r="N799" s="21"/>
      <c r="O799" s="21"/>
    </row>
    <row r="800" spans="2:15" ht="14.15" customHeight="1" x14ac:dyDescent="0.35">
      <c r="B800" s="100">
        <f t="shared" si="12"/>
        <v>797</v>
      </c>
      <c r="C800" s="104" t="s">
        <v>789</v>
      </c>
      <c r="D800" s="102">
        <v>9016894</v>
      </c>
      <c r="E800" s="102"/>
      <c r="F800" s="103">
        <v>35080</v>
      </c>
      <c r="G800" s="99"/>
      <c r="H800" s="99"/>
      <c r="I800" s="99"/>
      <c r="J800" s="20"/>
      <c r="K800" s="21"/>
      <c r="L800" s="21"/>
      <c r="M800" s="21"/>
      <c r="N800" s="21"/>
      <c r="O800" s="21"/>
    </row>
    <row r="801" spans="2:15" ht="14.15" customHeight="1" x14ac:dyDescent="0.35">
      <c r="B801" s="100">
        <f t="shared" si="12"/>
        <v>798</v>
      </c>
      <c r="C801" s="104" t="s">
        <v>790</v>
      </c>
      <c r="D801" s="102">
        <v>9016900</v>
      </c>
      <c r="E801" s="102"/>
      <c r="F801" s="103">
        <v>35080</v>
      </c>
      <c r="G801" s="99"/>
      <c r="H801" s="99"/>
      <c r="I801" s="99"/>
      <c r="J801" s="20"/>
      <c r="K801" s="21"/>
      <c r="L801" s="21"/>
      <c r="M801" s="21"/>
      <c r="N801" s="21"/>
      <c r="O801" s="21"/>
    </row>
    <row r="802" spans="2:15" ht="14.15" customHeight="1" x14ac:dyDescent="0.35">
      <c r="B802" s="100">
        <f t="shared" si="12"/>
        <v>799</v>
      </c>
      <c r="C802" s="104" t="s">
        <v>791</v>
      </c>
      <c r="D802" s="102">
        <v>9016721</v>
      </c>
      <c r="E802" s="102"/>
      <c r="F802" s="103">
        <v>35088</v>
      </c>
      <c r="G802" s="99"/>
      <c r="H802" s="99"/>
      <c r="I802" s="99"/>
      <c r="J802" s="20"/>
      <c r="K802" s="21"/>
      <c r="L802" s="21"/>
      <c r="M802" s="21"/>
      <c r="N802" s="21"/>
      <c r="O802" s="21"/>
    </row>
    <row r="803" spans="2:15" ht="14.15" customHeight="1" x14ac:dyDescent="0.35">
      <c r="B803" s="100">
        <f t="shared" si="12"/>
        <v>800</v>
      </c>
      <c r="C803" s="104" t="s">
        <v>792</v>
      </c>
      <c r="D803" s="102">
        <v>8714676</v>
      </c>
      <c r="E803" s="102"/>
      <c r="F803" s="103">
        <v>35090</v>
      </c>
      <c r="G803" s="99"/>
      <c r="H803" s="99"/>
      <c r="I803" s="99"/>
      <c r="J803" s="20"/>
      <c r="K803" s="21"/>
      <c r="L803" s="21"/>
      <c r="M803" s="21"/>
      <c r="N803" s="21"/>
      <c r="O803" s="21"/>
    </row>
    <row r="804" spans="2:15" ht="14.15" customHeight="1" x14ac:dyDescent="0.35">
      <c r="B804" s="100">
        <f t="shared" si="12"/>
        <v>801</v>
      </c>
      <c r="C804" s="104" t="s">
        <v>793</v>
      </c>
      <c r="D804" s="102">
        <v>8815341</v>
      </c>
      <c r="E804" s="102"/>
      <c r="F804" s="103">
        <v>35091</v>
      </c>
      <c r="G804" s="99"/>
      <c r="H804" s="99"/>
      <c r="I804" s="99"/>
      <c r="J804" s="20"/>
      <c r="K804" s="21"/>
      <c r="L804" s="21"/>
      <c r="M804" s="21"/>
      <c r="N804" s="21"/>
      <c r="O804" s="21"/>
    </row>
    <row r="805" spans="2:15" ht="14.15" customHeight="1" x14ac:dyDescent="0.35">
      <c r="B805" s="100">
        <f t="shared" si="12"/>
        <v>802</v>
      </c>
      <c r="C805" s="104" t="s">
        <v>794</v>
      </c>
      <c r="D805" s="102">
        <v>9016728</v>
      </c>
      <c r="E805" s="102"/>
      <c r="F805" s="103">
        <v>35091</v>
      </c>
      <c r="G805" s="99"/>
      <c r="H805" s="99"/>
      <c r="I805" s="99"/>
      <c r="J805" s="20"/>
      <c r="K805" s="21"/>
      <c r="L805" s="21"/>
      <c r="M805" s="21"/>
      <c r="N805" s="21"/>
      <c r="O805" s="21"/>
    </row>
    <row r="806" spans="2:15" ht="14.15" customHeight="1" x14ac:dyDescent="0.35">
      <c r="B806" s="100">
        <f t="shared" si="12"/>
        <v>803</v>
      </c>
      <c r="C806" s="104" t="s">
        <v>795</v>
      </c>
      <c r="D806" s="102">
        <v>8916265</v>
      </c>
      <c r="E806" s="102"/>
      <c r="F806" s="103">
        <v>35093</v>
      </c>
      <c r="G806" s="99"/>
      <c r="H806" s="99"/>
      <c r="I806" s="99"/>
      <c r="J806" s="20"/>
      <c r="K806" s="21"/>
      <c r="L806" s="21"/>
      <c r="M806" s="21"/>
      <c r="N806" s="21"/>
      <c r="O806" s="21"/>
    </row>
    <row r="807" spans="2:15" ht="14.15" customHeight="1" x14ac:dyDescent="0.35">
      <c r="B807" s="100">
        <f t="shared" si="12"/>
        <v>804</v>
      </c>
      <c r="C807" s="104" t="s">
        <v>796</v>
      </c>
      <c r="D807" s="102">
        <v>8312684</v>
      </c>
      <c r="E807" s="102"/>
      <c r="F807" s="103">
        <v>35098</v>
      </c>
      <c r="G807" s="99"/>
      <c r="H807" s="99"/>
      <c r="I807" s="99"/>
      <c r="J807" s="20"/>
      <c r="K807" s="21"/>
      <c r="L807" s="21"/>
      <c r="M807" s="21"/>
      <c r="N807" s="21"/>
      <c r="O807" s="21"/>
    </row>
    <row r="808" spans="2:15" ht="14.15" customHeight="1" x14ac:dyDescent="0.35">
      <c r="B808" s="100">
        <f t="shared" si="12"/>
        <v>805</v>
      </c>
      <c r="C808" s="104" t="s">
        <v>797</v>
      </c>
      <c r="D808" s="102">
        <v>8916109</v>
      </c>
      <c r="E808" s="102"/>
      <c r="F808" s="103">
        <v>35108</v>
      </c>
      <c r="G808" s="99"/>
      <c r="H808" s="99"/>
      <c r="I808" s="99"/>
      <c r="J808" s="20"/>
      <c r="K808" s="21"/>
      <c r="L808" s="21"/>
      <c r="M808" s="21"/>
      <c r="N808" s="21"/>
      <c r="O808" s="21"/>
    </row>
    <row r="809" spans="2:15" ht="14.15" customHeight="1" x14ac:dyDescent="0.35">
      <c r="B809" s="100">
        <f t="shared" si="12"/>
        <v>806</v>
      </c>
      <c r="C809" s="104" t="s">
        <v>798</v>
      </c>
      <c r="D809" s="102">
        <v>8916079</v>
      </c>
      <c r="E809" s="102"/>
      <c r="F809" s="103">
        <v>35133</v>
      </c>
      <c r="G809" s="99"/>
      <c r="H809" s="99"/>
      <c r="I809" s="99"/>
      <c r="J809" s="20"/>
      <c r="K809" s="21"/>
      <c r="L809" s="21"/>
      <c r="M809" s="21"/>
      <c r="N809" s="21"/>
      <c r="O809" s="21"/>
    </row>
    <row r="810" spans="2:15" ht="14.15" customHeight="1" x14ac:dyDescent="0.35">
      <c r="B810" s="100">
        <f t="shared" si="12"/>
        <v>807</v>
      </c>
      <c r="C810" s="104" t="s">
        <v>799</v>
      </c>
      <c r="D810" s="102">
        <v>8412738</v>
      </c>
      <c r="E810" s="102"/>
      <c r="F810" s="103">
        <v>35165</v>
      </c>
      <c r="G810" s="99"/>
      <c r="H810" s="99"/>
      <c r="I810" s="99"/>
      <c r="J810" s="20"/>
      <c r="K810" s="21"/>
      <c r="L810" s="21"/>
      <c r="M810" s="21"/>
      <c r="N810" s="21"/>
      <c r="O810" s="21"/>
    </row>
    <row r="811" spans="2:15" ht="14.15" customHeight="1" x14ac:dyDescent="0.35">
      <c r="B811" s="100">
        <f t="shared" si="12"/>
        <v>808</v>
      </c>
      <c r="C811" s="104" t="s">
        <v>800</v>
      </c>
      <c r="D811" s="102">
        <v>8916030</v>
      </c>
      <c r="E811" s="102"/>
      <c r="F811" s="103">
        <v>35182</v>
      </c>
      <c r="G811" s="99"/>
      <c r="H811" s="99"/>
      <c r="I811" s="99"/>
      <c r="J811" s="20"/>
      <c r="K811" s="21"/>
      <c r="L811" s="21"/>
      <c r="M811" s="21"/>
      <c r="N811" s="21"/>
      <c r="O811" s="21"/>
    </row>
    <row r="812" spans="2:15" ht="14.15" customHeight="1" x14ac:dyDescent="0.35">
      <c r="B812" s="100">
        <f t="shared" si="12"/>
        <v>809</v>
      </c>
      <c r="C812" s="104" t="s">
        <v>801</v>
      </c>
      <c r="D812" s="102">
        <v>9016725</v>
      </c>
      <c r="E812" s="102"/>
      <c r="F812" s="103">
        <v>35185</v>
      </c>
      <c r="G812" s="99"/>
      <c r="H812" s="99"/>
      <c r="I812" s="99"/>
      <c r="J812" s="20"/>
      <c r="K812" s="21"/>
      <c r="L812" s="21"/>
      <c r="M812" s="21"/>
      <c r="N812" s="21"/>
      <c r="O812" s="21"/>
    </row>
    <row r="813" spans="2:15" ht="14.15" customHeight="1" x14ac:dyDescent="0.35">
      <c r="B813" s="100">
        <f t="shared" si="12"/>
        <v>810</v>
      </c>
      <c r="C813" s="104" t="s">
        <v>802</v>
      </c>
      <c r="D813" s="102">
        <v>8815448</v>
      </c>
      <c r="E813" s="102"/>
      <c r="F813" s="103">
        <v>35229</v>
      </c>
      <c r="G813" s="99"/>
      <c r="H813" s="99"/>
      <c r="I813" s="99"/>
      <c r="J813" s="20"/>
      <c r="K813" s="21"/>
      <c r="L813" s="21"/>
      <c r="M813" s="21"/>
      <c r="N813" s="21"/>
      <c r="O813" s="21"/>
    </row>
    <row r="814" spans="2:15" ht="14.15" customHeight="1" x14ac:dyDescent="0.35">
      <c r="B814" s="100">
        <f t="shared" si="12"/>
        <v>811</v>
      </c>
      <c r="C814" s="104" t="s">
        <v>803</v>
      </c>
      <c r="D814" s="102">
        <v>9117460</v>
      </c>
      <c r="E814" s="102"/>
      <c r="F814" s="103">
        <v>35229</v>
      </c>
      <c r="G814" s="99"/>
      <c r="H814" s="99"/>
      <c r="I814" s="99"/>
      <c r="J814" s="20"/>
      <c r="K814" s="21"/>
      <c r="L814" s="21"/>
      <c r="M814" s="21"/>
      <c r="N814" s="21"/>
      <c r="O814" s="21"/>
    </row>
    <row r="815" spans="2:15" ht="14.15" customHeight="1" x14ac:dyDescent="0.35">
      <c r="B815" s="100">
        <f t="shared" si="12"/>
        <v>812</v>
      </c>
      <c r="C815" s="104" t="s">
        <v>804</v>
      </c>
      <c r="D815" s="102">
        <v>9016364</v>
      </c>
      <c r="E815" s="102"/>
      <c r="F815" s="103">
        <v>35244</v>
      </c>
      <c r="G815" s="99"/>
      <c r="H815" s="99"/>
      <c r="I815" s="99"/>
      <c r="J815" s="20"/>
      <c r="K815" s="21"/>
      <c r="L815" s="21"/>
      <c r="M815" s="21"/>
      <c r="N815" s="21"/>
      <c r="O815" s="21"/>
    </row>
    <row r="816" spans="2:15" ht="14.15" customHeight="1" x14ac:dyDescent="0.35">
      <c r="B816" s="100">
        <f t="shared" si="12"/>
        <v>813</v>
      </c>
      <c r="C816" s="104" t="s">
        <v>805</v>
      </c>
      <c r="D816" s="102">
        <v>9016532</v>
      </c>
      <c r="E816" s="102"/>
      <c r="F816" s="103">
        <v>35244</v>
      </c>
      <c r="G816" s="99"/>
      <c r="H816" s="99"/>
      <c r="I816" s="99"/>
      <c r="J816" s="20"/>
      <c r="K816" s="21"/>
      <c r="L816" s="21"/>
      <c r="M816" s="21"/>
      <c r="N816" s="21"/>
      <c r="O816" s="21"/>
    </row>
    <row r="817" spans="2:15" ht="14.15" customHeight="1" x14ac:dyDescent="0.35">
      <c r="B817" s="100">
        <f t="shared" si="12"/>
        <v>814</v>
      </c>
      <c r="C817" s="104" t="s">
        <v>806</v>
      </c>
      <c r="D817" s="102">
        <v>8815514</v>
      </c>
      <c r="E817" s="102"/>
      <c r="F817" s="103">
        <v>35247</v>
      </c>
      <c r="G817" s="99"/>
      <c r="H817" s="99"/>
      <c r="I817" s="99"/>
      <c r="J817" s="20"/>
      <c r="K817" s="21"/>
      <c r="L817" s="21"/>
      <c r="M817" s="21"/>
      <c r="N817" s="21"/>
      <c r="O817" s="21"/>
    </row>
    <row r="818" spans="2:15" ht="14.15" customHeight="1" x14ac:dyDescent="0.35">
      <c r="B818" s="100">
        <f t="shared" si="12"/>
        <v>815</v>
      </c>
      <c r="C818" s="104" t="s">
        <v>807</v>
      </c>
      <c r="D818" s="102">
        <v>9117054</v>
      </c>
      <c r="E818" s="102"/>
      <c r="F818" s="103">
        <v>35251</v>
      </c>
      <c r="G818" s="99"/>
      <c r="H818" s="99"/>
      <c r="I818" s="99"/>
      <c r="J818" s="20"/>
      <c r="K818" s="21"/>
      <c r="L818" s="21"/>
      <c r="M818" s="21"/>
      <c r="N818" s="21"/>
      <c r="O818" s="21"/>
    </row>
    <row r="819" spans="2:15" ht="14.15" customHeight="1" x14ac:dyDescent="0.35">
      <c r="B819" s="100">
        <f t="shared" si="12"/>
        <v>816</v>
      </c>
      <c r="C819" s="104" t="s">
        <v>808</v>
      </c>
      <c r="D819" s="102">
        <v>8715092</v>
      </c>
      <c r="E819" s="102"/>
      <c r="F819" s="103">
        <v>35256</v>
      </c>
      <c r="G819" s="99"/>
      <c r="H819" s="99"/>
      <c r="I819" s="99"/>
      <c r="J819" s="20"/>
      <c r="K819" s="21"/>
      <c r="L819" s="21"/>
      <c r="M819" s="21"/>
      <c r="N819" s="21"/>
      <c r="O819" s="21"/>
    </row>
    <row r="820" spans="2:15" ht="14.15" customHeight="1" x14ac:dyDescent="0.35">
      <c r="B820" s="100">
        <f t="shared" si="12"/>
        <v>817</v>
      </c>
      <c r="C820" s="104" t="s">
        <v>809</v>
      </c>
      <c r="D820" s="102">
        <v>8916157</v>
      </c>
      <c r="E820" s="102"/>
      <c r="F820" s="103">
        <v>35256</v>
      </c>
      <c r="G820" s="99"/>
      <c r="H820" s="99"/>
      <c r="I820" s="99"/>
      <c r="J820" s="20"/>
      <c r="K820" s="21"/>
      <c r="L820" s="21"/>
      <c r="M820" s="21"/>
      <c r="N820" s="21"/>
      <c r="O820" s="21"/>
    </row>
    <row r="821" spans="2:15" ht="14.15" customHeight="1" x14ac:dyDescent="0.35">
      <c r="B821" s="100">
        <f t="shared" si="12"/>
        <v>818</v>
      </c>
      <c r="C821" s="104" t="s">
        <v>810</v>
      </c>
      <c r="D821" s="102">
        <v>9117430</v>
      </c>
      <c r="E821" s="102"/>
      <c r="F821" s="103">
        <v>35259</v>
      </c>
      <c r="G821" s="99"/>
      <c r="H821" s="99"/>
      <c r="I821" s="99"/>
      <c r="J821" s="20"/>
      <c r="K821" s="21"/>
      <c r="L821" s="21"/>
      <c r="M821" s="21"/>
      <c r="N821" s="21"/>
      <c r="O821" s="21"/>
    </row>
    <row r="822" spans="2:15" ht="14.15" customHeight="1" x14ac:dyDescent="0.35">
      <c r="B822" s="100">
        <f t="shared" si="12"/>
        <v>819</v>
      </c>
      <c r="C822" s="104" t="s">
        <v>811</v>
      </c>
      <c r="D822" s="102">
        <v>8513254</v>
      </c>
      <c r="E822" s="102"/>
      <c r="F822" s="103">
        <v>35266</v>
      </c>
      <c r="G822" s="99"/>
      <c r="H822" s="99"/>
      <c r="I822" s="99"/>
      <c r="J822" s="20"/>
      <c r="K822" s="21"/>
      <c r="L822" s="21"/>
      <c r="M822" s="21"/>
      <c r="N822" s="21"/>
      <c r="O822" s="21"/>
    </row>
    <row r="823" spans="2:15" ht="14.15" customHeight="1" x14ac:dyDescent="0.35">
      <c r="B823" s="100">
        <f t="shared" si="12"/>
        <v>820</v>
      </c>
      <c r="C823" s="104" t="s">
        <v>812</v>
      </c>
      <c r="D823" s="102">
        <v>9117429</v>
      </c>
      <c r="E823" s="102"/>
      <c r="F823" s="103">
        <v>35269</v>
      </c>
      <c r="G823" s="99"/>
      <c r="H823" s="99"/>
      <c r="I823" s="99"/>
      <c r="J823" s="20"/>
      <c r="K823" s="21"/>
      <c r="L823" s="21"/>
      <c r="M823" s="21"/>
      <c r="N823" s="21"/>
      <c r="O823" s="21"/>
    </row>
    <row r="824" spans="2:15" ht="14.15" customHeight="1" x14ac:dyDescent="0.35">
      <c r="B824" s="100">
        <f t="shared" si="12"/>
        <v>821</v>
      </c>
      <c r="C824" s="104" t="s">
        <v>813</v>
      </c>
      <c r="D824" s="102">
        <v>9117426</v>
      </c>
      <c r="E824" s="102"/>
      <c r="F824" s="103">
        <v>35271</v>
      </c>
      <c r="G824" s="99"/>
      <c r="H824" s="99"/>
      <c r="I824" s="99"/>
      <c r="J824" s="20"/>
      <c r="K824" s="21"/>
      <c r="L824" s="21"/>
      <c r="M824" s="21"/>
      <c r="N824" s="21"/>
      <c r="O824" s="21"/>
    </row>
    <row r="825" spans="2:15" ht="14.15" customHeight="1" x14ac:dyDescent="0.35">
      <c r="B825" s="100">
        <f t="shared" si="12"/>
        <v>822</v>
      </c>
      <c r="C825" s="104" t="s">
        <v>814</v>
      </c>
      <c r="D825" s="102">
        <v>8916096</v>
      </c>
      <c r="E825" s="102"/>
      <c r="F825" s="103">
        <v>35277</v>
      </c>
      <c r="G825" s="99"/>
      <c r="H825" s="99"/>
      <c r="I825" s="99"/>
      <c r="J825" s="20"/>
      <c r="K825" s="21"/>
      <c r="L825" s="21"/>
      <c r="M825" s="21"/>
      <c r="N825" s="21"/>
      <c r="O825" s="21"/>
    </row>
    <row r="826" spans="2:15" ht="14.15" customHeight="1" x14ac:dyDescent="0.35">
      <c r="B826" s="100">
        <f t="shared" si="12"/>
        <v>823</v>
      </c>
      <c r="C826" s="104" t="s">
        <v>815</v>
      </c>
      <c r="D826" s="102">
        <v>8714640</v>
      </c>
      <c r="E826" s="102"/>
      <c r="F826" s="103">
        <v>35282</v>
      </c>
      <c r="G826" s="99"/>
      <c r="H826" s="99"/>
      <c r="I826" s="99"/>
      <c r="J826" s="20"/>
      <c r="K826" s="21"/>
      <c r="L826" s="21"/>
      <c r="M826" s="21"/>
      <c r="N826" s="21"/>
      <c r="O826" s="21"/>
    </row>
    <row r="827" spans="2:15" ht="14.15" customHeight="1" x14ac:dyDescent="0.35">
      <c r="B827" s="100">
        <f t="shared" si="12"/>
        <v>824</v>
      </c>
      <c r="C827" s="104" t="s">
        <v>816</v>
      </c>
      <c r="D827" s="102">
        <v>8916031</v>
      </c>
      <c r="E827" s="102"/>
      <c r="F827" s="103">
        <v>35289</v>
      </c>
      <c r="G827" s="99"/>
      <c r="H827" s="99"/>
      <c r="I827" s="99"/>
      <c r="J827" s="20"/>
      <c r="K827" s="21"/>
      <c r="L827" s="21"/>
      <c r="M827" s="21"/>
      <c r="N827" s="21"/>
      <c r="O827" s="21"/>
    </row>
    <row r="828" spans="2:15" ht="14.15" customHeight="1" x14ac:dyDescent="0.35">
      <c r="B828" s="100">
        <f t="shared" si="12"/>
        <v>825</v>
      </c>
      <c r="C828" s="104" t="s">
        <v>817</v>
      </c>
      <c r="D828" s="102">
        <v>8916239</v>
      </c>
      <c r="E828" s="102"/>
      <c r="F828" s="103">
        <v>35301</v>
      </c>
      <c r="G828" s="99"/>
      <c r="H828" s="99"/>
      <c r="I828" s="99"/>
      <c r="J828" s="20"/>
      <c r="K828" s="21"/>
      <c r="L828" s="21"/>
      <c r="M828" s="21"/>
      <c r="N828" s="21"/>
      <c r="O828" s="21"/>
    </row>
    <row r="829" spans="2:15" ht="14.15" customHeight="1" x14ac:dyDescent="0.35">
      <c r="B829" s="100">
        <f t="shared" si="12"/>
        <v>826</v>
      </c>
      <c r="C829" s="104" t="s">
        <v>818</v>
      </c>
      <c r="D829" s="102">
        <v>9016899</v>
      </c>
      <c r="E829" s="102"/>
      <c r="F829" s="103">
        <v>35301</v>
      </c>
      <c r="G829" s="99"/>
      <c r="H829" s="99"/>
      <c r="I829" s="99"/>
      <c r="J829" s="20"/>
      <c r="K829" s="21"/>
      <c r="L829" s="21"/>
      <c r="M829" s="21"/>
      <c r="N829" s="21"/>
      <c r="O829" s="21"/>
    </row>
    <row r="830" spans="2:15" ht="14.15" customHeight="1" x14ac:dyDescent="0.35">
      <c r="B830" s="100">
        <f t="shared" si="12"/>
        <v>827</v>
      </c>
      <c r="C830" s="104" t="s">
        <v>819</v>
      </c>
      <c r="D830" s="102">
        <v>8916199</v>
      </c>
      <c r="E830" s="102"/>
      <c r="F830" s="103">
        <v>35308</v>
      </c>
      <c r="G830" s="99"/>
      <c r="H830" s="99"/>
      <c r="I830" s="99"/>
      <c r="J830" s="20"/>
      <c r="K830" s="21"/>
      <c r="L830" s="21"/>
      <c r="M830" s="21"/>
      <c r="N830" s="21"/>
      <c r="O830" s="21"/>
    </row>
    <row r="831" spans="2:15" ht="14.15" customHeight="1" x14ac:dyDescent="0.35">
      <c r="B831" s="100">
        <f t="shared" si="12"/>
        <v>828</v>
      </c>
      <c r="C831" s="104" t="s">
        <v>820</v>
      </c>
      <c r="D831" s="102">
        <v>8815134</v>
      </c>
      <c r="E831" s="102"/>
      <c r="F831" s="103">
        <v>35315</v>
      </c>
      <c r="G831" s="99"/>
      <c r="H831" s="99"/>
      <c r="I831" s="99"/>
      <c r="J831" s="20"/>
      <c r="K831" s="21"/>
      <c r="L831" s="21"/>
      <c r="M831" s="21"/>
      <c r="N831" s="21"/>
      <c r="O831" s="21"/>
    </row>
    <row r="832" spans="2:15" ht="14.15" customHeight="1" x14ac:dyDescent="0.35">
      <c r="B832" s="100">
        <f t="shared" si="12"/>
        <v>829</v>
      </c>
      <c r="C832" s="104" t="s">
        <v>821</v>
      </c>
      <c r="D832" s="102">
        <v>8916195</v>
      </c>
      <c r="E832" s="102"/>
      <c r="F832" s="103">
        <v>35322</v>
      </c>
      <c r="G832" s="99"/>
      <c r="H832" s="99"/>
      <c r="I832" s="99"/>
      <c r="J832" s="20"/>
      <c r="K832" s="21"/>
      <c r="L832" s="21"/>
      <c r="M832" s="21"/>
      <c r="N832" s="21"/>
      <c r="O832" s="21"/>
    </row>
    <row r="833" spans="2:15" ht="14.15" customHeight="1" x14ac:dyDescent="0.35">
      <c r="B833" s="100">
        <f t="shared" si="12"/>
        <v>830</v>
      </c>
      <c r="C833" s="104" t="s">
        <v>822</v>
      </c>
      <c r="D833" s="102">
        <v>8714713</v>
      </c>
      <c r="E833" s="102"/>
      <c r="F833" s="103">
        <v>35329</v>
      </c>
      <c r="G833" s="99"/>
      <c r="H833" s="99"/>
      <c r="I833" s="99"/>
      <c r="J833" s="20"/>
      <c r="K833" s="21"/>
      <c r="L833" s="21"/>
      <c r="M833" s="21"/>
      <c r="N833" s="21"/>
      <c r="O833" s="21"/>
    </row>
    <row r="834" spans="2:15" ht="14.15" customHeight="1" x14ac:dyDescent="0.35">
      <c r="B834" s="100">
        <f t="shared" si="12"/>
        <v>831</v>
      </c>
      <c r="C834" s="104" t="s">
        <v>823</v>
      </c>
      <c r="D834" s="102">
        <v>9016912</v>
      </c>
      <c r="E834" s="102"/>
      <c r="F834" s="103">
        <v>35336</v>
      </c>
      <c r="G834" s="99"/>
      <c r="H834" s="99"/>
      <c r="I834" s="99"/>
      <c r="J834" s="20"/>
      <c r="K834" s="21"/>
      <c r="L834" s="21"/>
      <c r="M834" s="21"/>
      <c r="N834" s="21"/>
      <c r="O834" s="21"/>
    </row>
    <row r="835" spans="2:15" ht="14.15" customHeight="1" x14ac:dyDescent="0.35">
      <c r="B835" s="100">
        <f t="shared" si="12"/>
        <v>832</v>
      </c>
      <c r="C835" s="104" t="s">
        <v>824</v>
      </c>
      <c r="D835" s="102">
        <v>9117434</v>
      </c>
      <c r="E835" s="102"/>
      <c r="F835" s="103">
        <v>35336</v>
      </c>
      <c r="G835" s="99"/>
      <c r="H835" s="99"/>
      <c r="I835" s="99"/>
      <c r="J835" s="20"/>
      <c r="K835" s="21"/>
      <c r="L835" s="21"/>
      <c r="M835" s="21"/>
      <c r="N835" s="21"/>
      <c r="O835" s="21"/>
    </row>
    <row r="836" spans="2:15" ht="14.15" customHeight="1" x14ac:dyDescent="0.35">
      <c r="B836" s="100">
        <f t="shared" si="12"/>
        <v>833</v>
      </c>
      <c r="C836" s="104" t="s">
        <v>825</v>
      </c>
      <c r="D836" s="102">
        <v>9117066</v>
      </c>
      <c r="E836" s="102"/>
      <c r="F836" s="103">
        <v>35343</v>
      </c>
      <c r="G836" s="99"/>
      <c r="H836" s="99"/>
      <c r="I836" s="99"/>
      <c r="J836" s="20"/>
      <c r="K836" s="21"/>
      <c r="L836" s="21"/>
      <c r="M836" s="21"/>
      <c r="N836" s="21"/>
      <c r="O836" s="21"/>
    </row>
    <row r="837" spans="2:15" ht="14.15" customHeight="1" x14ac:dyDescent="0.35">
      <c r="B837" s="100">
        <f t="shared" ref="B837:B900" si="13">(B836+1)</f>
        <v>834</v>
      </c>
      <c r="C837" s="104" t="s">
        <v>826</v>
      </c>
      <c r="D837" s="102">
        <v>8715090</v>
      </c>
      <c r="E837" s="102"/>
      <c r="F837" s="103">
        <v>35350</v>
      </c>
      <c r="G837" s="99"/>
      <c r="H837" s="99"/>
      <c r="I837" s="99"/>
      <c r="J837" s="20"/>
      <c r="K837" s="21"/>
      <c r="L837" s="21"/>
      <c r="M837" s="21"/>
      <c r="N837" s="21"/>
      <c r="O837" s="21"/>
    </row>
    <row r="838" spans="2:15" ht="14.15" customHeight="1" x14ac:dyDescent="0.35">
      <c r="B838" s="100">
        <f t="shared" si="13"/>
        <v>835</v>
      </c>
      <c r="C838" s="104" t="s">
        <v>827</v>
      </c>
      <c r="D838" s="102">
        <v>8916172</v>
      </c>
      <c r="E838" s="102"/>
      <c r="F838" s="103">
        <v>35357</v>
      </c>
      <c r="G838" s="99"/>
      <c r="H838" s="99"/>
      <c r="I838" s="99"/>
      <c r="J838" s="20"/>
      <c r="K838" s="21"/>
      <c r="L838" s="21"/>
      <c r="M838" s="21"/>
      <c r="N838" s="21"/>
      <c r="O838" s="21"/>
    </row>
    <row r="839" spans="2:15" ht="14.15" customHeight="1" x14ac:dyDescent="0.35">
      <c r="B839" s="100">
        <f t="shared" si="13"/>
        <v>836</v>
      </c>
      <c r="C839" s="104" t="s">
        <v>828</v>
      </c>
      <c r="D839" s="102">
        <v>8916187</v>
      </c>
      <c r="E839" s="102"/>
      <c r="F839" s="103">
        <v>35357</v>
      </c>
      <c r="G839" s="99"/>
      <c r="H839" s="99"/>
      <c r="I839" s="99"/>
      <c r="J839" s="20"/>
      <c r="K839" s="21"/>
      <c r="L839" s="21"/>
      <c r="M839" s="21"/>
      <c r="N839" s="21"/>
      <c r="O839" s="21"/>
    </row>
    <row r="840" spans="2:15" ht="14.15" customHeight="1" x14ac:dyDescent="0.35">
      <c r="B840" s="100">
        <f t="shared" si="13"/>
        <v>837</v>
      </c>
      <c r="C840" s="104" t="s">
        <v>829</v>
      </c>
      <c r="D840" s="102">
        <v>9117421</v>
      </c>
      <c r="E840" s="102"/>
      <c r="F840" s="103">
        <v>35357</v>
      </c>
      <c r="G840" s="99"/>
      <c r="H840" s="99"/>
      <c r="I840" s="99"/>
      <c r="J840" s="20"/>
      <c r="K840" s="21"/>
      <c r="L840" s="21"/>
      <c r="M840" s="21"/>
      <c r="N840" s="21"/>
      <c r="O840" s="21"/>
    </row>
    <row r="841" spans="2:15" ht="14.15" customHeight="1" x14ac:dyDescent="0.35">
      <c r="B841" s="100">
        <f t="shared" si="13"/>
        <v>838</v>
      </c>
      <c r="C841" s="104" t="s">
        <v>830</v>
      </c>
      <c r="D841" s="102">
        <v>9016908</v>
      </c>
      <c r="E841" s="102"/>
      <c r="F841" s="103">
        <v>35369</v>
      </c>
      <c r="G841" s="99"/>
      <c r="H841" s="99"/>
      <c r="I841" s="99"/>
      <c r="J841" s="20"/>
      <c r="K841" s="21"/>
      <c r="L841" s="21"/>
      <c r="M841" s="21"/>
      <c r="N841" s="21"/>
      <c r="O841" s="21"/>
    </row>
    <row r="842" spans="2:15" ht="14.15" customHeight="1" x14ac:dyDescent="0.35">
      <c r="B842" s="100">
        <f t="shared" si="13"/>
        <v>839</v>
      </c>
      <c r="C842" s="104" t="s">
        <v>831</v>
      </c>
      <c r="D842" s="102">
        <v>9117415</v>
      </c>
      <c r="E842" s="102"/>
      <c r="F842" s="103">
        <v>35369</v>
      </c>
      <c r="G842" s="99"/>
      <c r="H842" s="99"/>
      <c r="I842" s="99"/>
      <c r="J842" s="20"/>
      <c r="K842" s="21"/>
      <c r="L842" s="21"/>
      <c r="M842" s="21"/>
      <c r="N842" s="21"/>
      <c r="O842" s="21"/>
    </row>
    <row r="843" spans="2:15" ht="14.15" customHeight="1" x14ac:dyDescent="0.35">
      <c r="B843" s="100">
        <f t="shared" si="13"/>
        <v>840</v>
      </c>
      <c r="C843" s="104" t="s">
        <v>832</v>
      </c>
      <c r="D843" s="102">
        <v>8815388</v>
      </c>
      <c r="E843" s="102"/>
      <c r="F843" s="103">
        <v>35371</v>
      </c>
      <c r="G843" s="99"/>
      <c r="H843" s="99"/>
      <c r="I843" s="99"/>
      <c r="J843" s="20"/>
      <c r="K843" s="21"/>
      <c r="L843" s="21"/>
      <c r="M843" s="21"/>
      <c r="N843" s="21"/>
      <c r="O843" s="21"/>
    </row>
    <row r="844" spans="2:15" ht="14.15" customHeight="1" x14ac:dyDescent="0.35">
      <c r="B844" s="100">
        <f t="shared" si="13"/>
        <v>841</v>
      </c>
      <c r="C844" s="104" t="s">
        <v>833</v>
      </c>
      <c r="D844" s="102">
        <v>9117057</v>
      </c>
      <c r="E844" s="102"/>
      <c r="F844" s="103">
        <v>35371</v>
      </c>
      <c r="G844" s="99"/>
      <c r="H844" s="99"/>
      <c r="I844" s="99"/>
      <c r="J844" s="20"/>
      <c r="K844" s="21"/>
      <c r="L844" s="21"/>
      <c r="M844" s="21"/>
      <c r="N844" s="21"/>
      <c r="O844" s="21"/>
    </row>
    <row r="845" spans="2:15" ht="14.15" customHeight="1" x14ac:dyDescent="0.35">
      <c r="B845" s="100">
        <f t="shared" si="13"/>
        <v>842</v>
      </c>
      <c r="C845" s="104" t="s">
        <v>834</v>
      </c>
      <c r="D845" s="102">
        <v>9117456</v>
      </c>
      <c r="E845" s="102"/>
      <c r="F845" s="103">
        <v>35371</v>
      </c>
      <c r="G845" s="99"/>
      <c r="H845" s="99"/>
      <c r="I845" s="99"/>
      <c r="J845" s="20"/>
      <c r="K845" s="21"/>
      <c r="L845" s="21"/>
      <c r="M845" s="21"/>
      <c r="N845" s="21"/>
      <c r="O845" s="21"/>
    </row>
    <row r="846" spans="2:15" ht="14.15" customHeight="1" x14ac:dyDescent="0.35">
      <c r="B846" s="100">
        <f t="shared" si="13"/>
        <v>843</v>
      </c>
      <c r="C846" s="104" t="s">
        <v>835</v>
      </c>
      <c r="D846" s="102">
        <v>8413104</v>
      </c>
      <c r="E846" s="102"/>
      <c r="F846" s="103">
        <v>35378</v>
      </c>
      <c r="G846" s="99"/>
      <c r="H846" s="99"/>
      <c r="I846" s="99"/>
      <c r="J846" s="20"/>
      <c r="K846" s="21"/>
      <c r="L846" s="21"/>
      <c r="M846" s="21"/>
      <c r="N846" s="21"/>
      <c r="O846" s="21"/>
    </row>
    <row r="847" spans="2:15" ht="14.15" customHeight="1" x14ac:dyDescent="0.35">
      <c r="B847" s="100">
        <f t="shared" si="13"/>
        <v>844</v>
      </c>
      <c r="C847" s="104" t="s">
        <v>836</v>
      </c>
      <c r="D847" s="102">
        <v>8614402</v>
      </c>
      <c r="E847" s="102"/>
      <c r="F847" s="103">
        <v>35381</v>
      </c>
      <c r="G847" s="99"/>
      <c r="H847" s="99"/>
      <c r="I847" s="99"/>
      <c r="J847" s="20"/>
      <c r="K847" s="21"/>
      <c r="L847" s="21"/>
      <c r="M847" s="21"/>
      <c r="N847" s="21"/>
      <c r="O847" s="21"/>
    </row>
    <row r="848" spans="2:15" ht="14.15" customHeight="1" x14ac:dyDescent="0.35">
      <c r="B848" s="100">
        <f t="shared" si="13"/>
        <v>845</v>
      </c>
      <c r="C848" s="104" t="s">
        <v>837</v>
      </c>
      <c r="D848" s="102">
        <v>9016722</v>
      </c>
      <c r="E848" s="102"/>
      <c r="F848" s="103">
        <v>35385</v>
      </c>
      <c r="G848" s="99"/>
      <c r="H848" s="99"/>
      <c r="I848" s="99"/>
      <c r="J848" s="20"/>
      <c r="K848" s="21"/>
      <c r="L848" s="21"/>
      <c r="M848" s="21"/>
      <c r="N848" s="21"/>
      <c r="O848" s="21"/>
    </row>
    <row r="849" spans="2:15" ht="14.15" customHeight="1" x14ac:dyDescent="0.35">
      <c r="B849" s="100">
        <f t="shared" si="13"/>
        <v>846</v>
      </c>
      <c r="C849" s="104" t="s">
        <v>838</v>
      </c>
      <c r="D849" s="102">
        <v>9117420</v>
      </c>
      <c r="E849" s="102"/>
      <c r="F849" s="103">
        <v>35385</v>
      </c>
      <c r="G849" s="99"/>
      <c r="H849" s="99"/>
      <c r="I849" s="99"/>
      <c r="J849" s="20"/>
      <c r="K849" s="21"/>
      <c r="L849" s="21"/>
      <c r="M849" s="21"/>
      <c r="N849" s="21"/>
      <c r="O849" s="21"/>
    </row>
    <row r="850" spans="2:15" ht="14.15" customHeight="1" x14ac:dyDescent="0.35">
      <c r="B850" s="100">
        <f t="shared" si="13"/>
        <v>847</v>
      </c>
      <c r="C850" s="104" t="s">
        <v>839</v>
      </c>
      <c r="D850" s="102">
        <v>8513722</v>
      </c>
      <c r="E850" s="102"/>
      <c r="F850" s="103">
        <v>35392</v>
      </c>
      <c r="G850" s="99"/>
      <c r="H850" s="99"/>
      <c r="I850" s="99"/>
      <c r="J850" s="20"/>
      <c r="K850" s="21"/>
      <c r="L850" s="21"/>
      <c r="M850" s="21"/>
      <c r="N850" s="21"/>
      <c r="O850" s="21"/>
    </row>
    <row r="851" spans="2:15" ht="14.15" customHeight="1" x14ac:dyDescent="0.35">
      <c r="B851" s="100">
        <f t="shared" si="13"/>
        <v>848</v>
      </c>
      <c r="C851" s="104" t="s">
        <v>840</v>
      </c>
      <c r="D851" s="102">
        <v>9016909</v>
      </c>
      <c r="E851" s="102"/>
      <c r="F851" s="103">
        <v>35392</v>
      </c>
      <c r="G851" s="99"/>
      <c r="H851" s="99"/>
      <c r="I851" s="99"/>
      <c r="J851" s="20"/>
      <c r="K851" s="21"/>
      <c r="L851" s="21"/>
      <c r="M851" s="21"/>
      <c r="N851" s="21"/>
      <c r="O851" s="21"/>
    </row>
    <row r="852" spans="2:15" ht="14.15" customHeight="1" x14ac:dyDescent="0.35">
      <c r="B852" s="100">
        <f t="shared" si="13"/>
        <v>849</v>
      </c>
      <c r="C852" s="104" t="s">
        <v>841</v>
      </c>
      <c r="D852" s="102">
        <v>8412826</v>
      </c>
      <c r="E852" s="102"/>
      <c r="F852" s="103">
        <v>35406</v>
      </c>
      <c r="G852" s="99"/>
      <c r="H852" s="99"/>
      <c r="I852" s="99"/>
      <c r="J852" s="20"/>
      <c r="K852" s="21"/>
      <c r="L852" s="21"/>
      <c r="M852" s="21"/>
      <c r="N852" s="21"/>
      <c r="O852" s="21"/>
    </row>
    <row r="853" spans="2:15" ht="14.15" customHeight="1" x14ac:dyDescent="0.35">
      <c r="B853" s="100">
        <f t="shared" si="13"/>
        <v>850</v>
      </c>
      <c r="C853" s="104" t="s">
        <v>842</v>
      </c>
      <c r="D853" s="102">
        <v>8715037</v>
      </c>
      <c r="E853" s="102"/>
      <c r="F853" s="103">
        <v>35413</v>
      </c>
      <c r="G853" s="99"/>
      <c r="H853" s="99"/>
      <c r="I853" s="99"/>
      <c r="J853" s="20"/>
      <c r="K853" s="21"/>
      <c r="L853" s="21"/>
      <c r="M853" s="21"/>
      <c r="N853" s="21"/>
      <c r="O853" s="21"/>
    </row>
    <row r="854" spans="2:15" ht="14.15" customHeight="1" x14ac:dyDescent="0.35">
      <c r="B854" s="100">
        <f t="shared" si="13"/>
        <v>851</v>
      </c>
      <c r="C854" s="104" t="s">
        <v>843</v>
      </c>
      <c r="D854" s="102">
        <v>8815165</v>
      </c>
      <c r="E854" s="102"/>
      <c r="F854" s="103">
        <v>35420</v>
      </c>
      <c r="G854" s="99"/>
      <c r="H854" s="99"/>
      <c r="I854" s="99"/>
      <c r="J854" s="20"/>
      <c r="K854" s="21"/>
      <c r="L854" s="21"/>
      <c r="M854" s="21"/>
      <c r="N854" s="21"/>
      <c r="O854" s="21"/>
    </row>
    <row r="855" spans="2:15" ht="14.15" customHeight="1" x14ac:dyDescent="0.35">
      <c r="B855" s="100">
        <f t="shared" si="13"/>
        <v>852</v>
      </c>
      <c r="C855" s="104" t="s">
        <v>844</v>
      </c>
      <c r="D855" s="102">
        <v>8614465</v>
      </c>
      <c r="E855" s="102"/>
      <c r="F855" s="103">
        <v>35427</v>
      </c>
      <c r="G855" s="99"/>
      <c r="H855" s="99"/>
      <c r="I855" s="99"/>
      <c r="J855" s="20"/>
      <c r="K855" s="21"/>
      <c r="L855" s="21"/>
      <c r="M855" s="21"/>
      <c r="N855" s="21"/>
      <c r="O855" s="21"/>
    </row>
    <row r="856" spans="2:15" ht="14.15" customHeight="1" x14ac:dyDescent="0.35">
      <c r="B856" s="100">
        <f t="shared" si="13"/>
        <v>853</v>
      </c>
      <c r="C856" s="104" t="s">
        <v>845</v>
      </c>
      <c r="D856" s="102">
        <v>9117440</v>
      </c>
      <c r="E856" s="102"/>
      <c r="F856" s="103">
        <v>35427</v>
      </c>
      <c r="G856" s="99"/>
      <c r="H856" s="99"/>
      <c r="I856" s="99"/>
      <c r="J856" s="20"/>
      <c r="K856" s="21"/>
      <c r="L856" s="21"/>
      <c r="M856" s="21"/>
      <c r="N856" s="21"/>
      <c r="O856" s="21"/>
    </row>
    <row r="857" spans="2:15" ht="14.15" customHeight="1" x14ac:dyDescent="0.35">
      <c r="B857" s="100">
        <f t="shared" si="13"/>
        <v>854</v>
      </c>
      <c r="C857" s="104" t="s">
        <v>846</v>
      </c>
      <c r="D857" s="102">
        <v>9016878</v>
      </c>
      <c r="E857" s="102"/>
      <c r="F857" s="103">
        <v>35430</v>
      </c>
      <c r="G857" s="99"/>
      <c r="H857" s="99"/>
      <c r="I857" s="99"/>
      <c r="J857" s="20"/>
      <c r="K857" s="21"/>
      <c r="L857" s="21"/>
      <c r="M857" s="21"/>
      <c r="N857" s="21"/>
      <c r="O857" s="21"/>
    </row>
    <row r="858" spans="2:15" ht="14.15" customHeight="1" x14ac:dyDescent="0.35">
      <c r="B858" s="100">
        <f t="shared" si="13"/>
        <v>855</v>
      </c>
      <c r="C858" s="104" t="s">
        <v>847</v>
      </c>
      <c r="D858" s="102">
        <v>8412902</v>
      </c>
      <c r="E858" s="102"/>
      <c r="F858" s="103">
        <v>35441</v>
      </c>
      <c r="G858" s="99"/>
      <c r="H858" s="99"/>
      <c r="I858" s="99"/>
      <c r="J858" s="20"/>
      <c r="K858" s="21"/>
      <c r="L858" s="21"/>
      <c r="M858" s="21"/>
      <c r="N858" s="21"/>
      <c r="O858" s="21"/>
    </row>
    <row r="859" spans="2:15" ht="14.15" customHeight="1" x14ac:dyDescent="0.35">
      <c r="B859" s="100">
        <f t="shared" si="13"/>
        <v>856</v>
      </c>
      <c r="C859" s="104" t="s">
        <v>848</v>
      </c>
      <c r="D859" s="102">
        <v>8916274</v>
      </c>
      <c r="E859" s="102"/>
      <c r="F859" s="103">
        <v>35441</v>
      </c>
      <c r="G859" s="99"/>
      <c r="H859" s="99"/>
      <c r="I859" s="99"/>
      <c r="J859" s="20"/>
      <c r="K859" s="21"/>
      <c r="L859" s="21"/>
      <c r="M859" s="21"/>
      <c r="N859" s="21"/>
      <c r="O859" s="21"/>
    </row>
    <row r="860" spans="2:15" ht="14.15" customHeight="1" x14ac:dyDescent="0.35">
      <c r="B860" s="100">
        <f t="shared" si="13"/>
        <v>857</v>
      </c>
      <c r="C860" s="104" t="s">
        <v>849</v>
      </c>
      <c r="D860" s="102">
        <v>9016916</v>
      </c>
      <c r="E860" s="102"/>
      <c r="F860" s="103">
        <v>35441</v>
      </c>
      <c r="G860" s="99"/>
      <c r="H860" s="99"/>
      <c r="I860" s="99"/>
      <c r="J860" s="20"/>
      <c r="K860" s="21"/>
      <c r="L860" s="21"/>
      <c r="M860" s="21"/>
      <c r="N860" s="21"/>
      <c r="O860" s="21"/>
    </row>
    <row r="861" spans="2:15" ht="14.15" customHeight="1" x14ac:dyDescent="0.35">
      <c r="B861" s="100">
        <f t="shared" si="13"/>
        <v>858</v>
      </c>
      <c r="C861" s="104" t="s">
        <v>850</v>
      </c>
      <c r="D861" s="102">
        <v>9117067</v>
      </c>
      <c r="E861" s="102"/>
      <c r="F861" s="103">
        <v>35441</v>
      </c>
      <c r="G861" s="99"/>
      <c r="H861" s="99"/>
      <c r="I861" s="99"/>
      <c r="J861" s="20"/>
      <c r="K861" s="21"/>
      <c r="L861" s="21"/>
      <c r="M861" s="21"/>
      <c r="N861" s="21"/>
      <c r="O861" s="21"/>
    </row>
    <row r="862" spans="2:15" ht="14.15" customHeight="1" x14ac:dyDescent="0.35">
      <c r="B862" s="100">
        <f t="shared" si="13"/>
        <v>859</v>
      </c>
      <c r="C862" s="104" t="s">
        <v>851</v>
      </c>
      <c r="D862" s="102">
        <v>9016726</v>
      </c>
      <c r="E862" s="102"/>
      <c r="F862" s="103">
        <v>35448</v>
      </c>
      <c r="G862" s="99"/>
      <c r="H862" s="99"/>
      <c r="I862" s="99"/>
      <c r="J862" s="20"/>
      <c r="K862" s="21"/>
      <c r="L862" s="21"/>
      <c r="M862" s="21"/>
      <c r="N862" s="21"/>
      <c r="O862" s="21"/>
    </row>
    <row r="863" spans="2:15" ht="14.15" customHeight="1" x14ac:dyDescent="0.35">
      <c r="B863" s="100">
        <f t="shared" si="13"/>
        <v>860</v>
      </c>
      <c r="C863" s="104" t="s">
        <v>852</v>
      </c>
      <c r="D863" s="102">
        <v>8513742</v>
      </c>
      <c r="E863" s="102"/>
      <c r="F863" s="103">
        <v>35451</v>
      </c>
      <c r="G863" s="99"/>
      <c r="H863" s="99"/>
      <c r="I863" s="99"/>
      <c r="J863" s="20"/>
      <c r="K863" s="21"/>
      <c r="L863" s="21"/>
      <c r="M863" s="21"/>
      <c r="N863" s="21"/>
      <c r="O863" s="21"/>
    </row>
    <row r="864" spans="2:15" ht="14.15" customHeight="1" x14ac:dyDescent="0.35">
      <c r="B864" s="100">
        <f t="shared" si="13"/>
        <v>861</v>
      </c>
      <c r="C864" s="104" t="s">
        <v>853</v>
      </c>
      <c r="D864" s="102">
        <v>9117065</v>
      </c>
      <c r="E864" s="102"/>
      <c r="F864" s="103">
        <v>35451</v>
      </c>
      <c r="G864" s="99"/>
      <c r="H864" s="99"/>
      <c r="I864" s="99"/>
      <c r="J864" s="20"/>
      <c r="K864" s="21"/>
      <c r="L864" s="21"/>
      <c r="M864" s="21"/>
      <c r="N864" s="21"/>
      <c r="O864" s="21"/>
    </row>
    <row r="865" spans="2:15" ht="14.15" customHeight="1" x14ac:dyDescent="0.35">
      <c r="B865" s="100">
        <f t="shared" si="13"/>
        <v>862</v>
      </c>
      <c r="C865" s="104" t="s">
        <v>854</v>
      </c>
      <c r="D865" s="102">
        <v>9218090</v>
      </c>
      <c r="E865" s="102"/>
      <c r="F865" s="103">
        <v>35451</v>
      </c>
      <c r="G865" s="99"/>
      <c r="H865" s="99"/>
      <c r="I865" s="99"/>
      <c r="J865" s="20"/>
      <c r="K865" s="21"/>
      <c r="L865" s="21"/>
      <c r="M865" s="21"/>
      <c r="N865" s="21"/>
      <c r="O865" s="21"/>
    </row>
    <row r="866" spans="2:15" ht="14.15" customHeight="1" x14ac:dyDescent="0.35">
      <c r="B866" s="100">
        <f t="shared" si="13"/>
        <v>863</v>
      </c>
      <c r="C866" s="104" t="s">
        <v>855</v>
      </c>
      <c r="D866" s="102">
        <v>8412882</v>
      </c>
      <c r="E866" s="102"/>
      <c r="F866" s="103">
        <v>35452</v>
      </c>
      <c r="G866" s="99"/>
      <c r="H866" s="99"/>
      <c r="I866" s="99"/>
      <c r="J866" s="20"/>
      <c r="K866" s="21"/>
      <c r="L866" s="21"/>
      <c r="M866" s="21"/>
      <c r="N866" s="21"/>
      <c r="O866" s="21"/>
    </row>
    <row r="867" spans="2:15" ht="14.15" customHeight="1" x14ac:dyDescent="0.35">
      <c r="B867" s="100">
        <f t="shared" si="13"/>
        <v>864</v>
      </c>
      <c r="C867" s="104" t="s">
        <v>495</v>
      </c>
      <c r="D867" s="102">
        <v>8513783</v>
      </c>
      <c r="E867" s="102"/>
      <c r="F867" s="103">
        <v>35452</v>
      </c>
      <c r="G867" s="99"/>
      <c r="H867" s="99"/>
      <c r="I867" s="99"/>
      <c r="J867" s="20"/>
      <c r="K867" s="21"/>
      <c r="L867" s="21"/>
      <c r="M867" s="21"/>
      <c r="N867" s="21"/>
      <c r="O867" s="21"/>
    </row>
    <row r="868" spans="2:15" ht="14.15" customHeight="1" x14ac:dyDescent="0.35">
      <c r="B868" s="100">
        <f t="shared" si="13"/>
        <v>865</v>
      </c>
      <c r="C868" s="104" t="s">
        <v>856</v>
      </c>
      <c r="D868" s="102">
        <v>9016901</v>
      </c>
      <c r="E868" s="102"/>
      <c r="F868" s="103">
        <v>35455</v>
      </c>
      <c r="G868" s="99"/>
      <c r="H868" s="99"/>
      <c r="I868" s="99"/>
      <c r="J868" s="20"/>
      <c r="K868" s="21"/>
      <c r="L868" s="21"/>
      <c r="M868" s="21"/>
      <c r="N868" s="21"/>
      <c r="O868" s="21"/>
    </row>
    <row r="869" spans="2:15" ht="14.15" customHeight="1" x14ac:dyDescent="0.35">
      <c r="B869" s="100">
        <f t="shared" si="13"/>
        <v>866</v>
      </c>
      <c r="C869" s="104" t="s">
        <v>857</v>
      </c>
      <c r="D869" s="102">
        <v>9117076</v>
      </c>
      <c r="E869" s="102"/>
      <c r="F869" s="103">
        <v>35455</v>
      </c>
      <c r="G869" s="99"/>
      <c r="H869" s="99"/>
      <c r="I869" s="99"/>
      <c r="J869" s="20"/>
      <c r="K869" s="21"/>
      <c r="L869" s="21"/>
      <c r="M869" s="21"/>
      <c r="N869" s="21"/>
      <c r="O869" s="21"/>
    </row>
    <row r="870" spans="2:15" ht="14.15" customHeight="1" x14ac:dyDescent="0.35">
      <c r="B870" s="100">
        <f t="shared" si="13"/>
        <v>867</v>
      </c>
      <c r="C870" s="104" t="s">
        <v>858</v>
      </c>
      <c r="D870" s="102">
        <v>9117505</v>
      </c>
      <c r="E870" s="102"/>
      <c r="F870" s="103">
        <v>35455</v>
      </c>
      <c r="G870" s="99"/>
      <c r="H870" s="99"/>
      <c r="I870" s="99"/>
      <c r="J870" s="20"/>
      <c r="K870" s="21"/>
      <c r="L870" s="21"/>
      <c r="M870" s="21"/>
      <c r="N870" s="21"/>
      <c r="O870" s="21"/>
    </row>
    <row r="871" spans="2:15" ht="14.15" customHeight="1" x14ac:dyDescent="0.35">
      <c r="B871" s="100">
        <f t="shared" si="13"/>
        <v>868</v>
      </c>
      <c r="C871" s="104" t="s">
        <v>859</v>
      </c>
      <c r="D871" s="102">
        <v>8815407</v>
      </c>
      <c r="E871" s="102"/>
      <c r="F871" s="103">
        <v>35459</v>
      </c>
      <c r="G871" s="99"/>
      <c r="H871" s="99"/>
      <c r="I871" s="99"/>
      <c r="J871" s="20"/>
      <c r="K871" s="21"/>
      <c r="L871" s="21"/>
      <c r="M871" s="21"/>
      <c r="N871" s="21"/>
      <c r="O871" s="21"/>
    </row>
    <row r="872" spans="2:15" ht="14.15" customHeight="1" x14ac:dyDescent="0.35">
      <c r="B872" s="100">
        <f t="shared" si="13"/>
        <v>869</v>
      </c>
      <c r="C872" s="104" t="s">
        <v>860</v>
      </c>
      <c r="D872" s="102">
        <v>9217916</v>
      </c>
      <c r="E872" s="102"/>
      <c r="F872" s="103">
        <v>35525</v>
      </c>
      <c r="G872" s="99"/>
      <c r="H872" s="99"/>
      <c r="I872" s="99"/>
      <c r="J872" s="20"/>
      <c r="K872" s="21"/>
      <c r="L872" s="21"/>
      <c r="M872" s="21"/>
      <c r="N872" s="21"/>
      <c r="O872" s="21"/>
    </row>
    <row r="873" spans="2:15" ht="14.15" customHeight="1" x14ac:dyDescent="0.35">
      <c r="B873" s="100">
        <f t="shared" si="13"/>
        <v>870</v>
      </c>
      <c r="C873" s="104" t="s">
        <v>861</v>
      </c>
      <c r="D873" s="102">
        <v>9016522</v>
      </c>
      <c r="E873" s="102"/>
      <c r="F873" s="103">
        <v>35546</v>
      </c>
      <c r="G873" s="99"/>
      <c r="H873" s="99"/>
      <c r="I873" s="99"/>
      <c r="J873" s="20"/>
      <c r="K873" s="21"/>
      <c r="L873" s="21"/>
      <c r="M873" s="21"/>
      <c r="N873" s="21"/>
      <c r="O873" s="21"/>
    </row>
    <row r="874" spans="2:15" ht="14.15" customHeight="1" x14ac:dyDescent="0.35">
      <c r="B874" s="100">
        <f t="shared" si="13"/>
        <v>871</v>
      </c>
      <c r="C874" s="104" t="s">
        <v>862</v>
      </c>
      <c r="D874" s="102">
        <v>8513521</v>
      </c>
      <c r="E874" s="102"/>
      <c r="F874" s="103">
        <v>35550</v>
      </c>
      <c r="G874" s="99"/>
      <c r="H874" s="99"/>
      <c r="I874" s="99"/>
      <c r="J874" s="20"/>
      <c r="K874" s="21"/>
      <c r="L874" s="21"/>
      <c r="M874" s="21"/>
      <c r="N874" s="21"/>
      <c r="O874" s="21"/>
    </row>
    <row r="875" spans="2:15" ht="14.15" customHeight="1" x14ac:dyDescent="0.35">
      <c r="B875" s="100">
        <f t="shared" si="13"/>
        <v>872</v>
      </c>
      <c r="C875" s="104" t="s">
        <v>863</v>
      </c>
      <c r="D875" s="102">
        <v>8815297</v>
      </c>
      <c r="E875" s="102"/>
      <c r="F875" s="103">
        <v>35550</v>
      </c>
      <c r="G875" s="99"/>
      <c r="H875" s="99"/>
      <c r="I875" s="99"/>
      <c r="J875" s="20"/>
      <c r="K875" s="21"/>
      <c r="L875" s="21"/>
      <c r="M875" s="21"/>
      <c r="N875" s="21"/>
      <c r="O875" s="21"/>
    </row>
    <row r="876" spans="2:15" ht="14.15" customHeight="1" x14ac:dyDescent="0.35">
      <c r="B876" s="100">
        <f t="shared" si="13"/>
        <v>873</v>
      </c>
      <c r="C876" s="104" t="s">
        <v>864</v>
      </c>
      <c r="D876" s="102">
        <v>8815364</v>
      </c>
      <c r="E876" s="102"/>
      <c r="F876" s="103">
        <v>35550</v>
      </c>
      <c r="G876" s="99"/>
      <c r="H876" s="99"/>
      <c r="I876" s="99"/>
      <c r="J876" s="20"/>
      <c r="K876" s="21"/>
      <c r="L876" s="21"/>
      <c r="M876" s="21"/>
      <c r="N876" s="21"/>
      <c r="O876" s="21"/>
    </row>
    <row r="877" spans="2:15" ht="14.15" customHeight="1" x14ac:dyDescent="0.35">
      <c r="B877" s="100">
        <f t="shared" si="13"/>
        <v>874</v>
      </c>
      <c r="C877" s="104" t="s">
        <v>865</v>
      </c>
      <c r="D877" s="102">
        <v>9016728</v>
      </c>
      <c r="E877" s="102"/>
      <c r="F877" s="103">
        <v>35550</v>
      </c>
      <c r="G877" s="99"/>
      <c r="H877" s="99"/>
      <c r="I877" s="99"/>
      <c r="J877" s="20"/>
      <c r="K877" s="21"/>
      <c r="L877" s="21"/>
      <c r="M877" s="21"/>
      <c r="N877" s="21"/>
      <c r="O877" s="21"/>
    </row>
    <row r="878" spans="2:15" ht="14.15" customHeight="1" x14ac:dyDescent="0.35">
      <c r="B878" s="100">
        <f t="shared" si="13"/>
        <v>875</v>
      </c>
      <c r="C878" s="104" t="s">
        <v>866</v>
      </c>
      <c r="D878" s="102">
        <v>9016921</v>
      </c>
      <c r="E878" s="102"/>
      <c r="F878" s="103">
        <v>35550</v>
      </c>
      <c r="G878" s="99"/>
      <c r="H878" s="99"/>
      <c r="I878" s="99"/>
      <c r="J878" s="20"/>
      <c r="K878" s="21"/>
      <c r="L878" s="21"/>
      <c r="M878" s="21"/>
      <c r="N878" s="21"/>
      <c r="O878" s="21"/>
    </row>
    <row r="879" spans="2:15" ht="14.15" customHeight="1" x14ac:dyDescent="0.35">
      <c r="B879" s="100">
        <f t="shared" si="13"/>
        <v>876</v>
      </c>
      <c r="C879" s="104" t="s">
        <v>867</v>
      </c>
      <c r="D879" s="102">
        <v>9117438</v>
      </c>
      <c r="E879" s="102"/>
      <c r="F879" s="103">
        <v>35550</v>
      </c>
      <c r="G879" s="99"/>
      <c r="H879" s="99"/>
      <c r="I879" s="99"/>
      <c r="J879" s="20"/>
      <c r="K879" s="21"/>
      <c r="L879" s="21"/>
      <c r="M879" s="21"/>
      <c r="N879" s="21"/>
      <c r="O879" s="21"/>
    </row>
    <row r="880" spans="2:15" ht="14.15" customHeight="1" x14ac:dyDescent="0.35">
      <c r="B880" s="100">
        <f t="shared" si="13"/>
        <v>877</v>
      </c>
      <c r="C880" s="104" t="s">
        <v>868</v>
      </c>
      <c r="D880" s="102">
        <v>9217589</v>
      </c>
      <c r="E880" s="102"/>
      <c r="F880" s="103">
        <v>35550</v>
      </c>
      <c r="G880" s="99"/>
      <c r="H880" s="99"/>
      <c r="I880" s="99"/>
      <c r="J880" s="20"/>
      <c r="K880" s="21"/>
      <c r="L880" s="21"/>
      <c r="M880" s="21"/>
      <c r="N880" s="21"/>
      <c r="O880" s="21"/>
    </row>
    <row r="881" spans="2:15" ht="14.15" customHeight="1" x14ac:dyDescent="0.35">
      <c r="B881" s="100">
        <f t="shared" si="13"/>
        <v>878</v>
      </c>
      <c r="C881" s="104" t="s">
        <v>869</v>
      </c>
      <c r="D881" s="102">
        <v>9217891</v>
      </c>
      <c r="E881" s="102"/>
      <c r="F881" s="103">
        <v>35550</v>
      </c>
      <c r="G881" s="99"/>
      <c r="H881" s="99"/>
      <c r="I881" s="99"/>
      <c r="J881" s="20"/>
      <c r="K881" s="21"/>
      <c r="L881" s="21"/>
      <c r="M881" s="21"/>
      <c r="N881" s="21"/>
      <c r="O881" s="21"/>
    </row>
    <row r="882" spans="2:15" ht="14.15" customHeight="1" x14ac:dyDescent="0.35">
      <c r="B882" s="100">
        <f t="shared" si="13"/>
        <v>879</v>
      </c>
      <c r="C882" s="104" t="s">
        <v>870</v>
      </c>
      <c r="D882" s="102">
        <v>9218044</v>
      </c>
      <c r="E882" s="102"/>
      <c r="F882" s="103">
        <v>35550</v>
      </c>
      <c r="G882" s="99"/>
      <c r="H882" s="99"/>
      <c r="I882" s="99"/>
      <c r="J882" s="20"/>
      <c r="K882" s="21"/>
      <c r="L882" s="21"/>
      <c r="M882" s="21"/>
      <c r="N882" s="21"/>
      <c r="O882" s="21"/>
    </row>
    <row r="883" spans="2:15" ht="14.15" customHeight="1" x14ac:dyDescent="0.35">
      <c r="B883" s="100">
        <f t="shared" si="13"/>
        <v>880</v>
      </c>
      <c r="C883" s="104" t="s">
        <v>871</v>
      </c>
      <c r="D883" s="102">
        <v>9117432</v>
      </c>
      <c r="E883" s="102"/>
      <c r="F883" s="103">
        <v>35571</v>
      </c>
      <c r="G883" s="99"/>
      <c r="H883" s="99"/>
      <c r="I883" s="99"/>
      <c r="J883" s="20"/>
      <c r="K883" s="21"/>
      <c r="L883" s="21"/>
      <c r="M883" s="21"/>
      <c r="N883" s="21"/>
      <c r="O883" s="21"/>
    </row>
    <row r="884" spans="2:15" ht="14.15" customHeight="1" x14ac:dyDescent="0.35">
      <c r="B884" s="100">
        <f t="shared" si="13"/>
        <v>881</v>
      </c>
      <c r="C884" s="104" t="s">
        <v>872</v>
      </c>
      <c r="D884" s="102">
        <v>9117517</v>
      </c>
      <c r="E884" s="102"/>
      <c r="F884" s="103">
        <v>35581</v>
      </c>
      <c r="G884" s="99"/>
      <c r="H884" s="99"/>
      <c r="I884" s="99"/>
      <c r="J884" s="20"/>
      <c r="K884" s="21"/>
      <c r="L884" s="21"/>
      <c r="M884" s="21"/>
      <c r="N884" s="21"/>
      <c r="O884" s="21"/>
    </row>
    <row r="885" spans="2:15" ht="14.15" customHeight="1" x14ac:dyDescent="0.35">
      <c r="B885" s="100">
        <f t="shared" si="13"/>
        <v>882</v>
      </c>
      <c r="C885" s="104" t="s">
        <v>873</v>
      </c>
      <c r="D885" s="102">
        <v>8614381</v>
      </c>
      <c r="E885" s="102"/>
      <c r="F885" s="103">
        <v>35588</v>
      </c>
      <c r="G885" s="99"/>
      <c r="H885" s="99"/>
      <c r="I885" s="99"/>
      <c r="J885" s="20"/>
      <c r="K885" s="21"/>
      <c r="L885" s="21"/>
      <c r="M885" s="21"/>
      <c r="N885" s="21"/>
      <c r="O885" s="21"/>
    </row>
    <row r="886" spans="2:15" ht="14.15" customHeight="1" x14ac:dyDescent="0.35">
      <c r="B886" s="100">
        <f t="shared" si="13"/>
        <v>883</v>
      </c>
      <c r="C886" s="104" t="s">
        <v>874</v>
      </c>
      <c r="D886" s="102">
        <v>8715038</v>
      </c>
      <c r="E886" s="102"/>
      <c r="F886" s="103">
        <v>35595</v>
      </c>
      <c r="G886" s="99"/>
      <c r="H886" s="99"/>
      <c r="I886" s="99"/>
      <c r="J886" s="20"/>
      <c r="K886" s="21"/>
      <c r="L886" s="21"/>
      <c r="M886" s="21"/>
      <c r="N886" s="21"/>
      <c r="O886" s="21"/>
    </row>
    <row r="887" spans="2:15" ht="14.15" customHeight="1" x14ac:dyDescent="0.35">
      <c r="B887" s="100">
        <f t="shared" si="13"/>
        <v>884</v>
      </c>
      <c r="C887" s="104" t="s">
        <v>875</v>
      </c>
      <c r="D887" s="102">
        <v>8815498</v>
      </c>
      <c r="E887" s="102"/>
      <c r="F887" s="103">
        <v>35595</v>
      </c>
      <c r="G887" s="99"/>
      <c r="H887" s="99"/>
      <c r="I887" s="99"/>
      <c r="J887" s="20"/>
      <c r="K887" s="21"/>
      <c r="L887" s="21"/>
      <c r="M887" s="21"/>
      <c r="N887" s="21"/>
      <c r="O887" s="21"/>
    </row>
    <row r="888" spans="2:15" ht="14.15" customHeight="1" x14ac:dyDescent="0.35">
      <c r="B888" s="100">
        <f t="shared" si="13"/>
        <v>885</v>
      </c>
      <c r="C888" s="104" t="s">
        <v>876</v>
      </c>
      <c r="D888" s="102">
        <v>8513505</v>
      </c>
      <c r="E888" s="102"/>
      <c r="F888" s="103">
        <v>35616</v>
      </c>
      <c r="G888" s="99"/>
      <c r="H888" s="99"/>
      <c r="I888" s="99"/>
      <c r="J888" s="20"/>
      <c r="K888" s="21"/>
      <c r="L888" s="21"/>
      <c r="M888" s="21"/>
      <c r="N888" s="21"/>
      <c r="O888" s="21"/>
    </row>
    <row r="889" spans="2:15" ht="14.15" customHeight="1" x14ac:dyDescent="0.35">
      <c r="B889" s="100">
        <f t="shared" si="13"/>
        <v>886</v>
      </c>
      <c r="C889" s="104" t="s">
        <v>877</v>
      </c>
      <c r="D889" s="102">
        <v>9217575</v>
      </c>
      <c r="E889" s="102"/>
      <c r="F889" s="103">
        <v>35616</v>
      </c>
      <c r="G889" s="99"/>
      <c r="H889" s="99"/>
      <c r="I889" s="99"/>
      <c r="J889" s="20"/>
      <c r="K889" s="21"/>
      <c r="L889" s="21"/>
      <c r="M889" s="21"/>
      <c r="N889" s="21"/>
      <c r="O889" s="21"/>
    </row>
    <row r="890" spans="2:15" ht="14.15" customHeight="1" x14ac:dyDescent="0.35">
      <c r="B890" s="100">
        <f t="shared" si="13"/>
        <v>887</v>
      </c>
      <c r="C890" s="104" t="s">
        <v>878</v>
      </c>
      <c r="D890" s="102">
        <v>9117419</v>
      </c>
      <c r="E890" s="102"/>
      <c r="F890" s="103">
        <v>35623</v>
      </c>
      <c r="G890" s="99"/>
      <c r="H890" s="99"/>
      <c r="I890" s="99"/>
      <c r="J890" s="20"/>
      <c r="K890" s="21"/>
      <c r="L890" s="21"/>
      <c r="M890" s="21"/>
      <c r="N890" s="21"/>
      <c r="O890" s="21"/>
    </row>
    <row r="891" spans="2:15" ht="14.15" customHeight="1" x14ac:dyDescent="0.35">
      <c r="B891" s="100">
        <f t="shared" si="13"/>
        <v>888</v>
      </c>
      <c r="C891" s="104" t="s">
        <v>879</v>
      </c>
      <c r="D891" s="102">
        <v>9217915</v>
      </c>
      <c r="E891" s="102"/>
      <c r="F891" s="103">
        <v>35623</v>
      </c>
      <c r="G891" s="99"/>
      <c r="H891" s="99"/>
      <c r="I891" s="99"/>
      <c r="J891" s="20"/>
      <c r="K891" s="21"/>
      <c r="L891" s="21"/>
      <c r="M891" s="21"/>
      <c r="N891" s="21"/>
      <c r="O891" s="21"/>
    </row>
    <row r="892" spans="2:15" ht="14.15" customHeight="1" x14ac:dyDescent="0.35">
      <c r="B892" s="100">
        <f t="shared" si="13"/>
        <v>889</v>
      </c>
      <c r="C892" s="104" t="s">
        <v>880</v>
      </c>
      <c r="D892" s="102">
        <v>8916147</v>
      </c>
      <c r="E892" s="102"/>
      <c r="F892" s="103">
        <v>35630</v>
      </c>
      <c r="G892" s="99"/>
      <c r="H892" s="99"/>
      <c r="I892" s="99"/>
      <c r="J892" s="20"/>
      <c r="K892" s="21"/>
      <c r="L892" s="21"/>
      <c r="M892" s="21"/>
      <c r="N892" s="21"/>
      <c r="O892" s="21"/>
    </row>
    <row r="893" spans="2:15" ht="14.15" customHeight="1" x14ac:dyDescent="0.35">
      <c r="B893" s="100">
        <f t="shared" si="13"/>
        <v>890</v>
      </c>
      <c r="C893" s="104" t="s">
        <v>881</v>
      </c>
      <c r="D893" s="102">
        <v>9217959</v>
      </c>
      <c r="E893" s="102"/>
      <c r="F893" s="103">
        <v>35630</v>
      </c>
      <c r="G893" s="99"/>
      <c r="H893" s="99"/>
      <c r="I893" s="99"/>
      <c r="J893" s="20"/>
      <c r="K893" s="21"/>
      <c r="L893" s="21"/>
      <c r="M893" s="21"/>
      <c r="N893" s="21"/>
      <c r="O893" s="21"/>
    </row>
    <row r="894" spans="2:15" ht="14.15" customHeight="1" x14ac:dyDescent="0.35">
      <c r="B894" s="100">
        <f t="shared" si="13"/>
        <v>891</v>
      </c>
      <c r="C894" s="104" t="s">
        <v>882</v>
      </c>
      <c r="D894" s="102">
        <v>9117416</v>
      </c>
      <c r="E894" s="102"/>
      <c r="F894" s="103">
        <v>35637</v>
      </c>
      <c r="G894" s="99"/>
      <c r="H894" s="99"/>
      <c r="I894" s="99"/>
      <c r="J894" s="20"/>
      <c r="K894" s="21"/>
      <c r="L894" s="21"/>
      <c r="M894" s="21"/>
      <c r="N894" s="21"/>
      <c r="O894" s="21"/>
    </row>
    <row r="895" spans="2:15" ht="14.15" customHeight="1" x14ac:dyDescent="0.35">
      <c r="B895" s="100">
        <f t="shared" si="13"/>
        <v>892</v>
      </c>
      <c r="C895" s="104" t="s">
        <v>883</v>
      </c>
      <c r="D895" s="102">
        <v>9016914</v>
      </c>
      <c r="E895" s="102"/>
      <c r="F895" s="103">
        <v>35639</v>
      </c>
      <c r="G895" s="99"/>
      <c r="H895" s="99"/>
      <c r="I895" s="99"/>
      <c r="J895" s="20"/>
      <c r="K895" s="21"/>
      <c r="L895" s="21"/>
      <c r="M895" s="21"/>
      <c r="N895" s="21"/>
      <c r="O895" s="21"/>
    </row>
    <row r="896" spans="2:15" ht="14.15" customHeight="1" x14ac:dyDescent="0.35">
      <c r="B896" s="100">
        <f t="shared" si="13"/>
        <v>893</v>
      </c>
      <c r="C896" s="104" t="s">
        <v>884</v>
      </c>
      <c r="D896" s="102">
        <v>9016536</v>
      </c>
      <c r="E896" s="102"/>
      <c r="F896" s="103">
        <v>35642</v>
      </c>
      <c r="G896" s="99"/>
      <c r="H896" s="99"/>
      <c r="I896" s="99"/>
      <c r="J896" s="20"/>
      <c r="K896" s="21"/>
      <c r="L896" s="21"/>
      <c r="M896" s="21"/>
      <c r="N896" s="21"/>
      <c r="O896" s="21"/>
    </row>
    <row r="897" spans="2:15" ht="14.15" customHeight="1" x14ac:dyDescent="0.35">
      <c r="B897" s="100">
        <f t="shared" si="13"/>
        <v>894</v>
      </c>
      <c r="C897" s="104" t="s">
        <v>885</v>
      </c>
      <c r="D897" s="102">
        <v>9217691</v>
      </c>
      <c r="E897" s="102"/>
      <c r="F897" s="103">
        <v>35651</v>
      </c>
      <c r="G897" s="99"/>
      <c r="H897" s="99"/>
      <c r="I897" s="99"/>
      <c r="J897" s="20"/>
      <c r="K897" s="21"/>
      <c r="L897" s="21"/>
      <c r="M897" s="21"/>
      <c r="N897" s="21"/>
      <c r="O897" s="21"/>
    </row>
    <row r="898" spans="2:15" ht="14.15" customHeight="1" x14ac:dyDescent="0.35">
      <c r="B898" s="100">
        <f t="shared" si="13"/>
        <v>895</v>
      </c>
      <c r="C898" s="104" t="s">
        <v>886</v>
      </c>
      <c r="D898" s="102">
        <v>9217690</v>
      </c>
      <c r="E898" s="102"/>
      <c r="F898" s="103">
        <v>35658</v>
      </c>
      <c r="G898" s="99"/>
      <c r="H898" s="99"/>
      <c r="I898" s="99"/>
      <c r="J898" s="20"/>
      <c r="K898" s="21"/>
      <c r="L898" s="21"/>
      <c r="M898" s="21"/>
      <c r="N898" s="21"/>
      <c r="O898" s="21"/>
    </row>
    <row r="899" spans="2:15" ht="14.15" customHeight="1" x14ac:dyDescent="0.35">
      <c r="B899" s="100">
        <f t="shared" si="13"/>
        <v>896</v>
      </c>
      <c r="C899" s="104" t="s">
        <v>887</v>
      </c>
      <c r="D899" s="102">
        <v>9218076</v>
      </c>
      <c r="E899" s="102"/>
      <c r="F899" s="103">
        <v>35658</v>
      </c>
      <c r="G899" s="99"/>
      <c r="H899" s="99"/>
      <c r="I899" s="99"/>
      <c r="J899" s="20"/>
      <c r="K899" s="21"/>
      <c r="L899" s="21"/>
      <c r="M899" s="21"/>
      <c r="N899" s="21"/>
      <c r="O899" s="21"/>
    </row>
    <row r="900" spans="2:15" ht="14.15" customHeight="1" x14ac:dyDescent="0.35">
      <c r="B900" s="100">
        <f t="shared" si="13"/>
        <v>897</v>
      </c>
      <c r="C900" s="104" t="s">
        <v>888</v>
      </c>
      <c r="D900" s="102">
        <v>8916071</v>
      </c>
      <c r="E900" s="102"/>
      <c r="F900" s="103">
        <v>35686</v>
      </c>
      <c r="G900" s="99"/>
      <c r="H900" s="99"/>
      <c r="I900" s="99"/>
      <c r="J900" s="20"/>
      <c r="K900" s="21"/>
      <c r="L900" s="21"/>
      <c r="M900" s="21"/>
      <c r="N900" s="21"/>
      <c r="O900" s="21"/>
    </row>
    <row r="901" spans="2:15" ht="14.15" customHeight="1" x14ac:dyDescent="0.35">
      <c r="B901" s="100">
        <f t="shared" ref="B901:B964" si="14">(B900+1)</f>
        <v>898</v>
      </c>
      <c r="C901" s="104" t="s">
        <v>889</v>
      </c>
      <c r="D901" s="102">
        <v>8916166</v>
      </c>
      <c r="E901" s="102"/>
      <c r="F901" s="103">
        <v>35686</v>
      </c>
      <c r="G901" s="99"/>
      <c r="H901" s="99"/>
      <c r="I901" s="99"/>
      <c r="J901" s="20"/>
      <c r="K901" s="21"/>
      <c r="L901" s="21"/>
      <c r="M901" s="21"/>
      <c r="N901" s="21"/>
      <c r="O901" s="21"/>
    </row>
    <row r="902" spans="2:15" ht="14.15" customHeight="1" x14ac:dyDescent="0.35">
      <c r="B902" s="100">
        <f t="shared" si="14"/>
        <v>899</v>
      </c>
      <c r="C902" s="104" t="s">
        <v>890</v>
      </c>
      <c r="D902" s="102">
        <v>9117452</v>
      </c>
      <c r="E902" s="102"/>
      <c r="F902" s="103">
        <v>35714</v>
      </c>
      <c r="G902" s="99"/>
      <c r="H902" s="99"/>
      <c r="I902" s="99"/>
      <c r="J902" s="20"/>
      <c r="K902" s="21"/>
      <c r="L902" s="21"/>
      <c r="M902" s="21"/>
      <c r="N902" s="21"/>
      <c r="O902" s="21"/>
    </row>
    <row r="903" spans="2:15" ht="14.15" customHeight="1" x14ac:dyDescent="0.35">
      <c r="B903" s="100">
        <f t="shared" si="14"/>
        <v>900</v>
      </c>
      <c r="C903" s="104" t="s">
        <v>891</v>
      </c>
      <c r="D903" s="102">
        <v>9217886</v>
      </c>
      <c r="E903" s="102"/>
      <c r="F903" s="103">
        <v>35714</v>
      </c>
      <c r="G903" s="99"/>
      <c r="H903" s="99"/>
      <c r="I903" s="99"/>
      <c r="J903" s="20"/>
      <c r="K903" s="21"/>
      <c r="L903" s="21"/>
      <c r="M903" s="21"/>
      <c r="N903" s="21"/>
      <c r="O903" s="21"/>
    </row>
    <row r="904" spans="2:15" ht="14.15" customHeight="1" x14ac:dyDescent="0.35">
      <c r="B904" s="100">
        <f t="shared" si="14"/>
        <v>901</v>
      </c>
      <c r="C904" s="104" t="s">
        <v>892</v>
      </c>
      <c r="D904" s="102">
        <v>9117435</v>
      </c>
      <c r="E904" s="102"/>
      <c r="F904" s="103">
        <v>35721</v>
      </c>
      <c r="G904" s="99"/>
      <c r="H904" s="99"/>
      <c r="I904" s="99"/>
      <c r="J904" s="20"/>
      <c r="K904" s="21"/>
      <c r="L904" s="21"/>
      <c r="M904" s="21"/>
      <c r="N904" s="21"/>
      <c r="O904" s="21"/>
    </row>
    <row r="905" spans="2:15" ht="14.15" customHeight="1" x14ac:dyDescent="0.35">
      <c r="B905" s="100">
        <f t="shared" si="14"/>
        <v>902</v>
      </c>
      <c r="C905" s="104" t="s">
        <v>893</v>
      </c>
      <c r="D905" s="102">
        <v>8916194</v>
      </c>
      <c r="E905" s="102"/>
      <c r="F905" s="103">
        <v>35728</v>
      </c>
      <c r="G905" s="99"/>
      <c r="H905" s="99"/>
      <c r="I905" s="99"/>
      <c r="J905" s="20"/>
      <c r="K905" s="21"/>
      <c r="L905" s="21"/>
      <c r="M905" s="21"/>
      <c r="N905" s="21"/>
      <c r="O905" s="21"/>
    </row>
    <row r="906" spans="2:15" ht="14.15" customHeight="1" x14ac:dyDescent="0.35">
      <c r="B906" s="100">
        <f t="shared" si="14"/>
        <v>903</v>
      </c>
      <c r="C906" s="104" t="s">
        <v>894</v>
      </c>
      <c r="D906" s="102">
        <v>9217710</v>
      </c>
      <c r="E906" s="102"/>
      <c r="F906" s="103">
        <v>35728</v>
      </c>
      <c r="G906" s="99"/>
      <c r="H906" s="99"/>
      <c r="I906" s="99"/>
      <c r="J906" s="20"/>
      <c r="K906" s="21"/>
      <c r="L906" s="21"/>
      <c r="M906" s="21"/>
      <c r="N906" s="21"/>
      <c r="O906" s="21"/>
    </row>
    <row r="907" spans="2:15" ht="14.15" customHeight="1" x14ac:dyDescent="0.35">
      <c r="B907" s="100">
        <f t="shared" si="14"/>
        <v>904</v>
      </c>
      <c r="C907" s="104" t="s">
        <v>895</v>
      </c>
      <c r="D907" s="102">
        <v>8916232</v>
      </c>
      <c r="E907" s="102"/>
      <c r="F907" s="103">
        <v>35763</v>
      </c>
      <c r="G907" s="99"/>
      <c r="H907" s="99"/>
      <c r="I907" s="99"/>
      <c r="J907" s="20"/>
      <c r="K907" s="21"/>
      <c r="L907" s="21"/>
      <c r="M907" s="21"/>
      <c r="N907" s="21"/>
      <c r="O907" s="21"/>
    </row>
    <row r="908" spans="2:15" ht="14.15" customHeight="1" x14ac:dyDescent="0.35">
      <c r="B908" s="100">
        <f t="shared" si="14"/>
        <v>905</v>
      </c>
      <c r="C908" s="104" t="s">
        <v>896</v>
      </c>
      <c r="D908" s="102">
        <v>9218116</v>
      </c>
      <c r="E908" s="102"/>
      <c r="F908" s="103">
        <v>35763</v>
      </c>
      <c r="G908" s="99"/>
      <c r="H908" s="99"/>
      <c r="I908" s="99"/>
      <c r="J908" s="20"/>
      <c r="K908" s="21"/>
      <c r="L908" s="21"/>
      <c r="M908" s="21"/>
      <c r="N908" s="21"/>
      <c r="O908" s="21"/>
    </row>
    <row r="909" spans="2:15" ht="14.15" customHeight="1" x14ac:dyDescent="0.35">
      <c r="B909" s="100">
        <f t="shared" si="14"/>
        <v>906</v>
      </c>
      <c r="C909" s="104" t="s">
        <v>897</v>
      </c>
      <c r="D909" s="102">
        <v>9217597</v>
      </c>
      <c r="E909" s="102"/>
      <c r="F909" s="103">
        <v>35770</v>
      </c>
      <c r="G909" s="99"/>
      <c r="H909" s="99"/>
      <c r="I909" s="99"/>
      <c r="J909" s="20"/>
      <c r="K909" s="21"/>
      <c r="L909" s="21"/>
      <c r="M909" s="21"/>
      <c r="N909" s="21"/>
      <c r="O909" s="21"/>
    </row>
    <row r="910" spans="2:15" ht="14.15" customHeight="1" x14ac:dyDescent="0.35">
      <c r="B910" s="100">
        <f t="shared" si="14"/>
        <v>907</v>
      </c>
      <c r="C910" s="104" t="s">
        <v>898</v>
      </c>
      <c r="D910" s="102">
        <v>9218072</v>
      </c>
      <c r="E910" s="102"/>
      <c r="F910" s="103">
        <v>35770</v>
      </c>
      <c r="G910" s="99"/>
      <c r="H910" s="99"/>
      <c r="I910" s="99"/>
      <c r="J910" s="20"/>
      <c r="K910" s="21"/>
      <c r="L910" s="21"/>
      <c r="M910" s="21"/>
      <c r="N910" s="21"/>
      <c r="O910" s="21"/>
    </row>
    <row r="911" spans="2:15" ht="14.15" customHeight="1" x14ac:dyDescent="0.35">
      <c r="B911" s="100">
        <f t="shared" si="14"/>
        <v>908</v>
      </c>
      <c r="C911" s="104" t="s">
        <v>899</v>
      </c>
      <c r="D911" s="102">
        <v>9217111</v>
      </c>
      <c r="E911" s="102"/>
      <c r="F911" s="103">
        <v>35777</v>
      </c>
      <c r="G911" s="99"/>
      <c r="H911" s="99"/>
      <c r="I911" s="99"/>
      <c r="J911" s="20"/>
      <c r="K911" s="21"/>
      <c r="L911" s="21"/>
      <c r="M911" s="21"/>
      <c r="N911" s="21"/>
      <c r="O911" s="21"/>
    </row>
    <row r="912" spans="2:15" ht="14.15" customHeight="1" x14ac:dyDescent="0.35">
      <c r="B912" s="100">
        <f t="shared" si="14"/>
        <v>909</v>
      </c>
      <c r="C912" s="104" t="s">
        <v>900</v>
      </c>
      <c r="D912" s="102">
        <v>9217899</v>
      </c>
      <c r="E912" s="102"/>
      <c r="F912" s="103">
        <v>35794</v>
      </c>
      <c r="G912" s="99"/>
      <c r="H912" s="99"/>
      <c r="I912" s="99"/>
      <c r="J912" s="20"/>
      <c r="K912" s="21"/>
      <c r="L912" s="21"/>
      <c r="M912" s="21"/>
      <c r="N912" s="21"/>
      <c r="O912" s="21"/>
    </row>
    <row r="913" spans="2:15" ht="14.15" customHeight="1" x14ac:dyDescent="0.35">
      <c r="B913" s="100">
        <f t="shared" si="14"/>
        <v>910</v>
      </c>
      <c r="C913" s="104" t="s">
        <v>901</v>
      </c>
      <c r="D913" s="102">
        <v>9318773</v>
      </c>
      <c r="E913" s="102"/>
      <c r="F913" s="103">
        <v>35797</v>
      </c>
      <c r="G913" s="99"/>
      <c r="H913" s="99"/>
      <c r="I913" s="99"/>
      <c r="J913" s="20"/>
      <c r="K913" s="21"/>
      <c r="L913" s="21"/>
      <c r="M913" s="21"/>
      <c r="N913" s="21"/>
      <c r="O913" s="21"/>
    </row>
    <row r="914" spans="2:15" ht="14.15" customHeight="1" x14ac:dyDescent="0.35">
      <c r="B914" s="100">
        <f t="shared" si="14"/>
        <v>911</v>
      </c>
      <c r="C914" s="104" t="s">
        <v>902</v>
      </c>
      <c r="D914" s="102">
        <v>9318292</v>
      </c>
      <c r="E914" s="102"/>
      <c r="F914" s="103">
        <v>35798</v>
      </c>
      <c r="G914" s="99"/>
      <c r="H914" s="99"/>
      <c r="I914" s="99"/>
      <c r="J914" s="20"/>
      <c r="K914" s="21"/>
      <c r="L914" s="21"/>
      <c r="M914" s="21"/>
      <c r="N914" s="21"/>
      <c r="O914" s="21"/>
    </row>
    <row r="915" spans="2:15" ht="14.15" customHeight="1" x14ac:dyDescent="0.35">
      <c r="B915" s="100">
        <f t="shared" si="14"/>
        <v>912</v>
      </c>
      <c r="C915" s="104" t="s">
        <v>903</v>
      </c>
      <c r="D915" s="102">
        <v>8513552</v>
      </c>
      <c r="E915" s="102"/>
      <c r="F915" s="103">
        <v>35819</v>
      </c>
      <c r="G915" s="99"/>
      <c r="H915" s="99"/>
      <c r="I915" s="99"/>
      <c r="J915" s="20"/>
      <c r="K915" s="21"/>
      <c r="L915" s="21"/>
      <c r="M915" s="21"/>
      <c r="N915" s="21"/>
      <c r="O915" s="21"/>
    </row>
    <row r="916" spans="2:15" ht="14.15" customHeight="1" x14ac:dyDescent="0.35">
      <c r="B916" s="100">
        <f t="shared" si="14"/>
        <v>913</v>
      </c>
      <c r="C916" s="104" t="s">
        <v>904</v>
      </c>
      <c r="D916" s="102">
        <v>8615115</v>
      </c>
      <c r="E916" s="102"/>
      <c r="F916" s="103">
        <v>35823</v>
      </c>
      <c r="G916" s="99"/>
      <c r="H916" s="99"/>
      <c r="I916" s="99"/>
      <c r="J916" s="20"/>
      <c r="K916" s="21"/>
      <c r="L916" s="21"/>
      <c r="M916" s="21"/>
      <c r="N916" s="21"/>
      <c r="O916" s="21"/>
    </row>
    <row r="917" spans="2:15" ht="14.15" customHeight="1" x14ac:dyDescent="0.35">
      <c r="B917" s="100">
        <f t="shared" si="14"/>
        <v>914</v>
      </c>
      <c r="C917" s="104" t="s">
        <v>905</v>
      </c>
      <c r="D917" s="102">
        <v>9218086</v>
      </c>
      <c r="E917" s="102"/>
      <c r="F917" s="103">
        <v>35840</v>
      </c>
      <c r="G917" s="99"/>
      <c r="H917" s="99"/>
      <c r="I917" s="99"/>
      <c r="J917" s="20"/>
      <c r="K917" s="21"/>
      <c r="L917" s="21"/>
      <c r="M917" s="21"/>
      <c r="N917" s="21"/>
      <c r="O917" s="21"/>
    </row>
    <row r="918" spans="2:15" ht="14.15" customHeight="1" x14ac:dyDescent="0.35">
      <c r="B918" s="100">
        <f t="shared" si="14"/>
        <v>915</v>
      </c>
      <c r="C918" s="104" t="s">
        <v>906</v>
      </c>
      <c r="D918" s="102">
        <v>9117509</v>
      </c>
      <c r="E918" s="102"/>
      <c r="F918" s="103">
        <v>35854</v>
      </c>
      <c r="G918" s="99"/>
      <c r="H918" s="99"/>
      <c r="I918" s="99"/>
      <c r="J918" s="20"/>
      <c r="K918" s="21"/>
      <c r="L918" s="21"/>
      <c r="M918" s="21"/>
      <c r="N918" s="21"/>
      <c r="O918" s="21"/>
    </row>
    <row r="919" spans="2:15" ht="14.15" customHeight="1" x14ac:dyDescent="0.35">
      <c r="B919" s="100">
        <f t="shared" si="14"/>
        <v>916</v>
      </c>
      <c r="C919" s="104" t="s">
        <v>907</v>
      </c>
      <c r="D919" s="102">
        <v>9217612</v>
      </c>
      <c r="E919" s="102"/>
      <c r="F919" s="103">
        <v>35854</v>
      </c>
      <c r="G919" s="99"/>
      <c r="H919" s="99"/>
      <c r="I919" s="99"/>
      <c r="J919" s="20"/>
      <c r="K919" s="21"/>
      <c r="L919" s="21"/>
      <c r="M919" s="21"/>
      <c r="N919" s="21"/>
      <c r="O919" s="21"/>
    </row>
    <row r="920" spans="2:15" ht="14.15" customHeight="1" x14ac:dyDescent="0.35">
      <c r="B920" s="100">
        <f t="shared" si="14"/>
        <v>917</v>
      </c>
      <c r="C920" s="104" t="s">
        <v>908</v>
      </c>
      <c r="D920" s="102">
        <v>8916022</v>
      </c>
      <c r="E920" s="102"/>
      <c r="F920" s="103">
        <v>35857</v>
      </c>
      <c r="G920" s="99"/>
      <c r="H920" s="99"/>
      <c r="I920" s="99"/>
      <c r="J920" s="20"/>
      <c r="K920" s="21"/>
      <c r="L920" s="21"/>
      <c r="M920" s="21"/>
      <c r="N920" s="21"/>
      <c r="O920" s="21"/>
    </row>
    <row r="921" spans="2:15" ht="14.15" customHeight="1" x14ac:dyDescent="0.35">
      <c r="B921" s="100">
        <f t="shared" si="14"/>
        <v>918</v>
      </c>
      <c r="C921" s="104" t="s">
        <v>909</v>
      </c>
      <c r="D921" s="102">
        <v>8715056</v>
      </c>
      <c r="E921" s="102"/>
      <c r="F921" s="103">
        <v>35861</v>
      </c>
      <c r="G921" s="99"/>
      <c r="H921" s="99"/>
      <c r="I921" s="99"/>
      <c r="J921" s="20"/>
      <c r="K921" s="21"/>
      <c r="L921" s="21"/>
      <c r="M921" s="21"/>
      <c r="N921" s="21"/>
      <c r="O921" s="21"/>
    </row>
    <row r="922" spans="2:15" ht="14.15" customHeight="1" x14ac:dyDescent="0.35">
      <c r="B922" s="100">
        <f t="shared" si="14"/>
        <v>919</v>
      </c>
      <c r="C922" s="104" t="s">
        <v>910</v>
      </c>
      <c r="D922" s="102">
        <v>8916060</v>
      </c>
      <c r="E922" s="102"/>
      <c r="F922" s="103">
        <v>35861</v>
      </c>
      <c r="G922" s="99"/>
      <c r="H922" s="99"/>
      <c r="I922" s="99"/>
      <c r="J922" s="20"/>
      <c r="K922" s="21"/>
      <c r="L922" s="21"/>
      <c r="M922" s="21"/>
      <c r="N922" s="21"/>
      <c r="O922" s="21"/>
    </row>
    <row r="923" spans="2:15" ht="14.15" customHeight="1" x14ac:dyDescent="0.35">
      <c r="B923" s="100">
        <f t="shared" si="14"/>
        <v>920</v>
      </c>
      <c r="C923" s="104" t="s">
        <v>911</v>
      </c>
      <c r="D923" s="102">
        <v>9318642</v>
      </c>
      <c r="E923" s="102"/>
      <c r="F923" s="103">
        <v>35868</v>
      </c>
      <c r="G923" s="99"/>
      <c r="H923" s="99"/>
      <c r="I923" s="99"/>
      <c r="J923" s="20"/>
      <c r="K923" s="21"/>
      <c r="L923" s="21"/>
      <c r="M923" s="21"/>
      <c r="N923" s="21"/>
      <c r="O923" s="21"/>
    </row>
    <row r="924" spans="2:15" ht="14.15" customHeight="1" x14ac:dyDescent="0.35">
      <c r="B924" s="100">
        <f t="shared" si="14"/>
        <v>921</v>
      </c>
      <c r="C924" s="104" t="s">
        <v>912</v>
      </c>
      <c r="D924" s="102">
        <v>9218128</v>
      </c>
      <c r="E924" s="102"/>
      <c r="F924" s="103">
        <v>35882</v>
      </c>
      <c r="G924" s="99"/>
      <c r="H924" s="99"/>
      <c r="I924" s="99"/>
      <c r="J924" s="20"/>
      <c r="K924" s="21"/>
      <c r="L924" s="21"/>
      <c r="M924" s="21"/>
      <c r="N924" s="21"/>
      <c r="O924" s="21"/>
    </row>
    <row r="925" spans="2:15" ht="14.15" customHeight="1" x14ac:dyDescent="0.35">
      <c r="B925" s="100">
        <f t="shared" si="14"/>
        <v>922</v>
      </c>
      <c r="C925" s="104" t="s">
        <v>913</v>
      </c>
      <c r="D925" s="102">
        <v>9016913</v>
      </c>
      <c r="E925" s="102"/>
      <c r="F925" s="103">
        <v>35896</v>
      </c>
      <c r="G925" s="99"/>
      <c r="H925" s="99"/>
      <c r="I925" s="99"/>
      <c r="J925" s="20"/>
      <c r="K925" s="21"/>
      <c r="L925" s="21"/>
      <c r="M925" s="21"/>
      <c r="N925" s="21"/>
      <c r="O925" s="21"/>
    </row>
    <row r="926" spans="2:15" ht="14.15" customHeight="1" x14ac:dyDescent="0.35">
      <c r="B926" s="100">
        <f t="shared" si="14"/>
        <v>923</v>
      </c>
      <c r="C926" s="104" t="s">
        <v>914</v>
      </c>
      <c r="D926" s="102">
        <v>9218073</v>
      </c>
      <c r="E926" s="102"/>
      <c r="F926" s="103">
        <v>35910</v>
      </c>
      <c r="G926" s="99"/>
      <c r="H926" s="99"/>
      <c r="I926" s="99"/>
      <c r="J926" s="20"/>
      <c r="K926" s="21"/>
      <c r="L926" s="21"/>
      <c r="M926" s="21"/>
      <c r="N926" s="21"/>
      <c r="O926" s="21"/>
    </row>
    <row r="927" spans="2:15" ht="14.15" customHeight="1" x14ac:dyDescent="0.35">
      <c r="B927" s="100">
        <f t="shared" si="14"/>
        <v>924</v>
      </c>
      <c r="C927" s="104" t="s">
        <v>915</v>
      </c>
      <c r="D927" s="102">
        <v>9318690</v>
      </c>
      <c r="E927" s="102"/>
      <c r="F927" s="103">
        <v>35910</v>
      </c>
      <c r="G927" s="99"/>
      <c r="H927" s="99"/>
      <c r="I927" s="99"/>
      <c r="J927" s="20"/>
      <c r="K927" s="21"/>
      <c r="L927" s="21"/>
      <c r="M927" s="21"/>
      <c r="N927" s="21"/>
      <c r="O927" s="21"/>
    </row>
    <row r="928" spans="2:15" ht="14.15" customHeight="1" x14ac:dyDescent="0.35">
      <c r="B928" s="100">
        <f t="shared" si="14"/>
        <v>925</v>
      </c>
      <c r="C928" s="104" t="s">
        <v>916</v>
      </c>
      <c r="D928" s="102">
        <v>9016777</v>
      </c>
      <c r="E928" s="102"/>
      <c r="F928" s="103">
        <v>35924</v>
      </c>
      <c r="G928" s="99"/>
      <c r="H928" s="99"/>
      <c r="I928" s="99"/>
      <c r="J928" s="20"/>
      <c r="K928" s="21"/>
      <c r="L928" s="21"/>
      <c r="M928" s="21"/>
      <c r="N928" s="21"/>
      <c r="O928" s="21"/>
    </row>
    <row r="929" spans="2:15" ht="14.15" customHeight="1" x14ac:dyDescent="0.35">
      <c r="B929" s="100">
        <f t="shared" si="14"/>
        <v>926</v>
      </c>
      <c r="C929" s="104" t="s">
        <v>917</v>
      </c>
      <c r="D929" s="102">
        <v>8815368</v>
      </c>
      <c r="E929" s="102"/>
      <c r="F929" s="103">
        <v>35931</v>
      </c>
      <c r="G929" s="99"/>
      <c r="H929" s="99"/>
      <c r="I929" s="99"/>
      <c r="J929" s="20"/>
      <c r="K929" s="21"/>
      <c r="L929" s="21"/>
      <c r="M929" s="21"/>
      <c r="N929" s="21"/>
      <c r="O929" s="21"/>
    </row>
    <row r="930" spans="2:15" ht="14.15" customHeight="1" x14ac:dyDescent="0.35">
      <c r="B930" s="100">
        <f t="shared" si="14"/>
        <v>927</v>
      </c>
      <c r="C930" s="104" t="s">
        <v>918</v>
      </c>
      <c r="D930" s="102">
        <v>9218081</v>
      </c>
      <c r="E930" s="102"/>
      <c r="F930" s="103">
        <v>35931</v>
      </c>
      <c r="G930" s="99"/>
      <c r="H930" s="99"/>
      <c r="I930" s="99"/>
      <c r="J930" s="20"/>
      <c r="K930" s="21"/>
      <c r="L930" s="21"/>
      <c r="M930" s="21"/>
      <c r="N930" s="21"/>
      <c r="O930" s="21"/>
    </row>
    <row r="931" spans="2:15" ht="14.15" customHeight="1" x14ac:dyDescent="0.35">
      <c r="B931" s="100">
        <f t="shared" si="14"/>
        <v>928</v>
      </c>
      <c r="C931" s="104" t="s">
        <v>919</v>
      </c>
      <c r="D931" s="102">
        <v>8715054</v>
      </c>
      <c r="E931" s="102"/>
      <c r="F931" s="103">
        <v>35938</v>
      </c>
      <c r="G931" s="99"/>
      <c r="H931" s="99"/>
      <c r="I931" s="99"/>
      <c r="J931" s="20"/>
      <c r="K931" s="21"/>
      <c r="L931" s="21"/>
      <c r="M931" s="21"/>
      <c r="N931" s="21"/>
      <c r="O931" s="21"/>
    </row>
    <row r="932" spans="2:15" ht="14.15" customHeight="1" x14ac:dyDescent="0.35">
      <c r="B932" s="100">
        <f t="shared" si="14"/>
        <v>929</v>
      </c>
      <c r="C932" s="104" t="s">
        <v>920</v>
      </c>
      <c r="D932" s="102">
        <v>9016915</v>
      </c>
      <c r="E932" s="102"/>
      <c r="F932" s="103">
        <v>35938</v>
      </c>
      <c r="G932" s="99"/>
      <c r="H932" s="99"/>
      <c r="I932" s="99"/>
      <c r="J932" s="20"/>
      <c r="K932" s="21"/>
      <c r="L932" s="21"/>
      <c r="M932" s="21"/>
      <c r="N932" s="21"/>
      <c r="O932" s="21"/>
    </row>
    <row r="933" spans="2:15" ht="14.15" customHeight="1" x14ac:dyDescent="0.35">
      <c r="B933" s="100">
        <f t="shared" si="14"/>
        <v>930</v>
      </c>
      <c r="C933" s="104" t="s">
        <v>921</v>
      </c>
      <c r="D933" s="102">
        <v>9016580</v>
      </c>
      <c r="E933" s="102"/>
      <c r="F933" s="103">
        <v>35959</v>
      </c>
      <c r="G933" s="99"/>
      <c r="H933" s="99"/>
      <c r="I933" s="99"/>
      <c r="J933" s="20"/>
      <c r="K933" s="21"/>
      <c r="L933" s="21"/>
      <c r="M933" s="21"/>
      <c r="N933" s="21"/>
      <c r="O933" s="21"/>
    </row>
    <row r="934" spans="2:15" ht="14.15" customHeight="1" x14ac:dyDescent="0.35">
      <c r="B934" s="100">
        <f t="shared" si="14"/>
        <v>931</v>
      </c>
      <c r="C934" s="104" t="s">
        <v>922</v>
      </c>
      <c r="D934" s="102">
        <v>9318747</v>
      </c>
      <c r="E934" s="102"/>
      <c r="F934" s="103">
        <v>35966</v>
      </c>
      <c r="G934" s="99"/>
      <c r="H934" s="99"/>
      <c r="I934" s="99"/>
      <c r="J934" s="20"/>
      <c r="K934" s="21"/>
      <c r="L934" s="21"/>
      <c r="M934" s="21"/>
      <c r="N934" s="21"/>
      <c r="O934" s="21"/>
    </row>
    <row r="935" spans="2:15" ht="14.15" customHeight="1" x14ac:dyDescent="0.35">
      <c r="B935" s="100">
        <f t="shared" si="14"/>
        <v>932</v>
      </c>
      <c r="C935" s="104" t="s">
        <v>923</v>
      </c>
      <c r="D935" s="102">
        <v>8312342</v>
      </c>
      <c r="E935" s="102"/>
      <c r="F935" s="103">
        <v>35973</v>
      </c>
      <c r="G935" s="99"/>
      <c r="H935" s="99"/>
      <c r="I935" s="99"/>
      <c r="J935" s="20"/>
      <c r="K935" s="21"/>
      <c r="L935" s="21"/>
      <c r="M935" s="21"/>
      <c r="N935" s="21"/>
      <c r="O935" s="21"/>
    </row>
    <row r="936" spans="2:15" ht="14.15" customHeight="1" x14ac:dyDescent="0.35">
      <c r="B936" s="100">
        <f t="shared" si="14"/>
        <v>933</v>
      </c>
      <c r="C936" s="104" t="s">
        <v>924</v>
      </c>
      <c r="D936" s="102">
        <v>9016723</v>
      </c>
      <c r="E936" s="102"/>
      <c r="F936" s="103">
        <v>35987</v>
      </c>
      <c r="G936" s="99"/>
      <c r="H936" s="99"/>
      <c r="I936" s="99"/>
      <c r="J936" s="20"/>
      <c r="K936" s="21"/>
      <c r="L936" s="21"/>
      <c r="M936" s="21"/>
      <c r="N936" s="21"/>
      <c r="O936" s="21"/>
    </row>
    <row r="937" spans="2:15" ht="14.15" customHeight="1" x14ac:dyDescent="0.35">
      <c r="B937" s="100">
        <f t="shared" si="14"/>
        <v>934</v>
      </c>
      <c r="C937" s="104" t="s">
        <v>925</v>
      </c>
      <c r="D937" s="102">
        <v>9318335</v>
      </c>
      <c r="E937" s="102"/>
      <c r="F937" s="103">
        <v>35994</v>
      </c>
      <c r="G937" s="99"/>
      <c r="H937" s="99"/>
      <c r="I937" s="99"/>
      <c r="J937" s="20"/>
      <c r="K937" s="21"/>
      <c r="L937" s="21"/>
      <c r="M937" s="21"/>
      <c r="N937" s="21"/>
      <c r="O937" s="21"/>
    </row>
    <row r="938" spans="2:15" ht="14.15" customHeight="1" x14ac:dyDescent="0.35">
      <c r="B938" s="100">
        <f t="shared" si="14"/>
        <v>935</v>
      </c>
      <c r="C938" s="104" t="s">
        <v>926</v>
      </c>
      <c r="D938" s="102">
        <v>8916020</v>
      </c>
      <c r="E938" s="102"/>
      <c r="F938" s="103">
        <v>35996</v>
      </c>
      <c r="G938" s="99"/>
      <c r="H938" s="99"/>
      <c r="I938" s="99"/>
      <c r="J938" s="20"/>
      <c r="K938" s="21"/>
      <c r="L938" s="21"/>
      <c r="M938" s="21"/>
      <c r="N938" s="21"/>
      <c r="O938" s="21"/>
    </row>
    <row r="939" spans="2:15" ht="14.15" customHeight="1" x14ac:dyDescent="0.35">
      <c r="B939" s="100">
        <f t="shared" si="14"/>
        <v>936</v>
      </c>
      <c r="C939" s="104" t="s">
        <v>927</v>
      </c>
      <c r="D939" s="102">
        <v>8916176</v>
      </c>
      <c r="E939" s="102"/>
      <c r="F939" s="103">
        <v>36001</v>
      </c>
      <c r="G939" s="99"/>
      <c r="H939" s="99"/>
      <c r="I939" s="99"/>
      <c r="J939" s="20"/>
      <c r="K939" s="21"/>
      <c r="L939" s="21"/>
      <c r="M939" s="21"/>
      <c r="N939" s="21"/>
      <c r="O939" s="21"/>
    </row>
    <row r="940" spans="2:15" ht="14.15" customHeight="1" x14ac:dyDescent="0.35">
      <c r="B940" s="100">
        <f t="shared" si="14"/>
        <v>937</v>
      </c>
      <c r="C940" s="104" t="s">
        <v>928</v>
      </c>
      <c r="D940" s="102">
        <v>9217587</v>
      </c>
      <c r="E940" s="102"/>
      <c r="F940" s="103">
        <v>36001</v>
      </c>
      <c r="G940" s="99"/>
      <c r="H940" s="99"/>
      <c r="I940" s="99"/>
      <c r="J940" s="20"/>
      <c r="K940" s="21"/>
      <c r="L940" s="21"/>
      <c r="M940" s="21"/>
      <c r="N940" s="21"/>
      <c r="O940" s="21"/>
    </row>
    <row r="941" spans="2:15" ht="14.15" customHeight="1" x14ac:dyDescent="0.35">
      <c r="B941" s="100">
        <f t="shared" si="14"/>
        <v>938</v>
      </c>
      <c r="C941" s="104" t="s">
        <v>929</v>
      </c>
      <c r="D941" s="102">
        <v>9218145</v>
      </c>
      <c r="E941" s="102"/>
      <c r="F941" s="103">
        <v>36001</v>
      </c>
      <c r="G941" s="99"/>
      <c r="H941" s="99"/>
      <c r="I941" s="99"/>
      <c r="J941" s="20"/>
      <c r="K941" s="21"/>
      <c r="L941" s="21"/>
      <c r="M941" s="21"/>
      <c r="N941" s="21"/>
      <c r="O941" s="21"/>
    </row>
    <row r="942" spans="2:15" ht="14.15" customHeight="1" x14ac:dyDescent="0.35">
      <c r="B942" s="100">
        <f t="shared" si="14"/>
        <v>939</v>
      </c>
      <c r="C942" s="104" t="s">
        <v>930</v>
      </c>
      <c r="D942" s="102">
        <v>9217892</v>
      </c>
      <c r="E942" s="102"/>
      <c r="F942" s="103">
        <v>36007</v>
      </c>
      <c r="G942" s="99"/>
      <c r="H942" s="99"/>
      <c r="I942" s="99"/>
      <c r="J942" s="20"/>
      <c r="K942" s="21"/>
      <c r="L942" s="21"/>
      <c r="M942" s="21"/>
      <c r="N942" s="21"/>
      <c r="O942" s="21"/>
    </row>
    <row r="943" spans="2:15" ht="14.15" customHeight="1" x14ac:dyDescent="0.35">
      <c r="B943" s="100">
        <f t="shared" si="14"/>
        <v>940</v>
      </c>
      <c r="C943" s="104" t="s">
        <v>931</v>
      </c>
      <c r="D943" s="102">
        <v>9218020</v>
      </c>
      <c r="E943" s="102"/>
      <c r="F943" s="103">
        <v>36022</v>
      </c>
      <c r="G943" s="99"/>
      <c r="H943" s="99"/>
      <c r="I943" s="99"/>
      <c r="J943" s="20"/>
      <c r="K943" s="21"/>
      <c r="L943" s="21"/>
      <c r="M943" s="21"/>
      <c r="N943" s="21"/>
      <c r="O943" s="21"/>
    </row>
    <row r="944" spans="2:15" ht="14.15" customHeight="1" x14ac:dyDescent="0.35">
      <c r="B944" s="100">
        <f t="shared" si="14"/>
        <v>941</v>
      </c>
      <c r="C944" s="104" t="s">
        <v>932</v>
      </c>
      <c r="D944" s="102">
        <v>9217935</v>
      </c>
      <c r="E944" s="102"/>
      <c r="F944" s="103">
        <v>36031</v>
      </c>
      <c r="G944" s="99"/>
      <c r="H944" s="99"/>
      <c r="I944" s="99"/>
      <c r="J944" s="20"/>
      <c r="K944" s="21"/>
      <c r="L944" s="21"/>
      <c r="M944" s="21"/>
      <c r="N944" s="21"/>
      <c r="O944" s="21"/>
    </row>
    <row r="945" spans="2:15" ht="14.15" customHeight="1" x14ac:dyDescent="0.35">
      <c r="B945" s="100">
        <f t="shared" si="14"/>
        <v>942</v>
      </c>
      <c r="C945" s="104" t="s">
        <v>933</v>
      </c>
      <c r="D945" s="102">
        <v>9016896</v>
      </c>
      <c r="E945" s="102"/>
      <c r="F945" s="103">
        <v>36036</v>
      </c>
      <c r="G945" s="99"/>
      <c r="H945" s="99"/>
      <c r="I945" s="99"/>
      <c r="J945" s="20"/>
      <c r="K945" s="21"/>
      <c r="L945" s="21"/>
      <c r="M945" s="21"/>
      <c r="N945" s="21"/>
      <c r="O945" s="21"/>
    </row>
    <row r="946" spans="2:15" ht="14.15" customHeight="1" x14ac:dyDescent="0.35">
      <c r="B946" s="100">
        <f t="shared" si="14"/>
        <v>943</v>
      </c>
      <c r="C946" s="104" t="s">
        <v>222</v>
      </c>
      <c r="D946" s="102">
        <v>8916188</v>
      </c>
      <c r="E946" s="102"/>
      <c r="F946" s="103">
        <v>36038</v>
      </c>
      <c r="G946" s="99"/>
      <c r="H946" s="99"/>
      <c r="I946" s="99"/>
      <c r="J946" s="20"/>
      <c r="K946" s="21"/>
      <c r="L946" s="21"/>
      <c r="M946" s="21"/>
      <c r="N946" s="21"/>
      <c r="O946" s="21"/>
    </row>
    <row r="947" spans="2:15" ht="14.15" customHeight="1" x14ac:dyDescent="0.35">
      <c r="B947" s="100">
        <f t="shared" si="14"/>
        <v>944</v>
      </c>
      <c r="C947" s="104" t="s">
        <v>934</v>
      </c>
      <c r="D947" s="102">
        <v>9318443</v>
      </c>
      <c r="E947" s="102"/>
      <c r="F947" s="103">
        <v>36057</v>
      </c>
      <c r="G947" s="99"/>
      <c r="H947" s="99"/>
      <c r="I947" s="99"/>
      <c r="J947" s="20"/>
      <c r="K947" s="21"/>
      <c r="L947" s="21"/>
      <c r="M947" s="21"/>
      <c r="N947" s="21"/>
      <c r="O947" s="21"/>
    </row>
    <row r="948" spans="2:15" ht="14.15" customHeight="1" x14ac:dyDescent="0.35">
      <c r="B948" s="100">
        <f t="shared" si="14"/>
        <v>945</v>
      </c>
      <c r="C948" s="104" t="s">
        <v>935</v>
      </c>
      <c r="D948" s="102">
        <v>9318685</v>
      </c>
      <c r="E948" s="102"/>
      <c r="F948" s="103">
        <v>36064</v>
      </c>
      <c r="G948" s="99"/>
      <c r="H948" s="99"/>
      <c r="I948" s="99"/>
      <c r="J948" s="20"/>
      <c r="K948" s="21"/>
      <c r="L948" s="21"/>
      <c r="M948" s="21"/>
      <c r="N948" s="21"/>
      <c r="O948" s="21"/>
    </row>
    <row r="949" spans="2:15" ht="14.15" customHeight="1" x14ac:dyDescent="0.35">
      <c r="B949" s="100">
        <f t="shared" si="14"/>
        <v>946</v>
      </c>
      <c r="C949" s="104" t="s">
        <v>217</v>
      </c>
      <c r="D949" s="102">
        <v>9117499</v>
      </c>
      <c r="E949" s="102"/>
      <c r="F949" s="103">
        <v>36071</v>
      </c>
      <c r="G949" s="99"/>
      <c r="H949" s="99"/>
      <c r="I949" s="99"/>
      <c r="J949" s="20"/>
      <c r="K949" s="21"/>
      <c r="L949" s="21"/>
      <c r="M949" s="21"/>
      <c r="N949" s="21"/>
      <c r="O949" s="21"/>
    </row>
    <row r="950" spans="2:15" ht="14.15" customHeight="1" x14ac:dyDescent="0.35">
      <c r="B950" s="100">
        <f t="shared" si="14"/>
        <v>947</v>
      </c>
      <c r="C950" s="104" t="s">
        <v>936</v>
      </c>
      <c r="D950" s="102">
        <v>9216092</v>
      </c>
      <c r="E950" s="102"/>
      <c r="F950" s="103">
        <v>36071</v>
      </c>
      <c r="G950" s="99"/>
      <c r="H950" s="99"/>
      <c r="I950" s="99"/>
      <c r="J950" s="20"/>
      <c r="K950" s="21"/>
      <c r="L950" s="21"/>
      <c r="M950" s="21"/>
      <c r="N950" s="21"/>
      <c r="O950" s="21"/>
    </row>
    <row r="951" spans="2:15" ht="14.15" customHeight="1" x14ac:dyDescent="0.35">
      <c r="B951" s="100">
        <f t="shared" si="14"/>
        <v>948</v>
      </c>
      <c r="C951" s="104" t="s">
        <v>937</v>
      </c>
      <c r="D951" s="102">
        <v>9318611</v>
      </c>
      <c r="E951" s="102"/>
      <c r="F951" s="103">
        <v>36071</v>
      </c>
      <c r="G951" s="99"/>
      <c r="H951" s="99"/>
      <c r="I951" s="99"/>
      <c r="J951" s="20"/>
      <c r="K951" s="21"/>
      <c r="L951" s="21"/>
      <c r="M951" s="21"/>
      <c r="N951" s="21"/>
      <c r="O951" s="21"/>
    </row>
    <row r="952" spans="2:15" ht="14.15" customHeight="1" x14ac:dyDescent="0.35">
      <c r="B952" s="100">
        <f t="shared" si="14"/>
        <v>949</v>
      </c>
      <c r="C952" s="104" t="s">
        <v>938</v>
      </c>
      <c r="D952" s="102">
        <v>9318756</v>
      </c>
      <c r="E952" s="102"/>
      <c r="F952" s="103">
        <v>36078</v>
      </c>
      <c r="G952" s="99"/>
      <c r="H952" s="99"/>
      <c r="I952" s="99"/>
      <c r="J952" s="20"/>
      <c r="K952" s="21"/>
      <c r="L952" s="21"/>
      <c r="M952" s="21"/>
      <c r="N952" s="21"/>
      <c r="O952" s="21"/>
    </row>
    <row r="953" spans="2:15" ht="14.15" customHeight="1" x14ac:dyDescent="0.35">
      <c r="B953" s="100">
        <f t="shared" si="14"/>
        <v>950</v>
      </c>
      <c r="C953" s="104" t="s">
        <v>939</v>
      </c>
      <c r="D953" s="102">
        <v>9318613</v>
      </c>
      <c r="E953" s="102"/>
      <c r="F953" s="103">
        <v>36080</v>
      </c>
      <c r="G953" s="99"/>
      <c r="H953" s="99"/>
      <c r="I953" s="99"/>
      <c r="J953" s="20"/>
      <c r="K953" s="21"/>
      <c r="L953" s="21"/>
      <c r="M953" s="21"/>
      <c r="N953" s="21"/>
      <c r="O953" s="21"/>
    </row>
    <row r="954" spans="2:15" ht="14.15" customHeight="1" x14ac:dyDescent="0.35">
      <c r="B954" s="100">
        <f t="shared" si="14"/>
        <v>951</v>
      </c>
      <c r="C954" s="104" t="s">
        <v>940</v>
      </c>
      <c r="D954" s="102">
        <v>9218074</v>
      </c>
      <c r="E954" s="102"/>
      <c r="F954" s="103">
        <v>36085</v>
      </c>
      <c r="G954" s="99"/>
      <c r="H954" s="99"/>
      <c r="I954" s="99"/>
      <c r="J954" s="20"/>
      <c r="K954" s="21"/>
      <c r="L954" s="21"/>
      <c r="M954" s="21"/>
      <c r="N954" s="21"/>
      <c r="O954" s="21"/>
    </row>
    <row r="955" spans="2:15" ht="14.15" customHeight="1" x14ac:dyDescent="0.35">
      <c r="B955" s="100">
        <f t="shared" si="14"/>
        <v>952</v>
      </c>
      <c r="C955" s="104" t="s">
        <v>941</v>
      </c>
      <c r="D955" s="102">
        <v>9218088</v>
      </c>
      <c r="E955" s="102"/>
      <c r="F955" s="103">
        <v>36085</v>
      </c>
      <c r="G955" s="99"/>
      <c r="H955" s="99"/>
      <c r="I955" s="99"/>
      <c r="J955" s="20"/>
      <c r="K955" s="21"/>
      <c r="L955" s="21"/>
      <c r="M955" s="21"/>
      <c r="N955" s="21"/>
      <c r="O955" s="21"/>
    </row>
    <row r="956" spans="2:15" ht="14.15" customHeight="1" x14ac:dyDescent="0.35">
      <c r="B956" s="100">
        <f t="shared" si="14"/>
        <v>953</v>
      </c>
      <c r="C956" s="104" t="s">
        <v>942</v>
      </c>
      <c r="D956" s="102">
        <v>9418841</v>
      </c>
      <c r="E956" s="102"/>
      <c r="F956" s="103">
        <v>36101</v>
      </c>
      <c r="G956" s="99"/>
      <c r="H956" s="99"/>
      <c r="I956" s="99"/>
      <c r="J956" s="20"/>
      <c r="K956" s="21"/>
      <c r="L956" s="21"/>
      <c r="M956" s="21"/>
      <c r="N956" s="21"/>
      <c r="O956" s="21"/>
    </row>
    <row r="957" spans="2:15" ht="14.15" customHeight="1" x14ac:dyDescent="0.35">
      <c r="B957" s="100">
        <f t="shared" si="14"/>
        <v>954</v>
      </c>
      <c r="C957" s="104" t="s">
        <v>943</v>
      </c>
      <c r="D957" s="102">
        <v>9117422</v>
      </c>
      <c r="E957" s="102"/>
      <c r="F957" s="103">
        <v>36106</v>
      </c>
      <c r="G957" s="99"/>
      <c r="H957" s="99"/>
      <c r="I957" s="99"/>
      <c r="J957" s="20"/>
      <c r="K957" s="21"/>
      <c r="L957" s="21"/>
      <c r="M957" s="21"/>
      <c r="N957" s="21"/>
      <c r="O957" s="21"/>
    </row>
    <row r="958" spans="2:15" ht="14.15" customHeight="1" x14ac:dyDescent="0.35">
      <c r="B958" s="100">
        <f t="shared" si="14"/>
        <v>955</v>
      </c>
      <c r="C958" s="104" t="s">
        <v>944</v>
      </c>
      <c r="D958" s="102">
        <v>9419236</v>
      </c>
      <c r="E958" s="102"/>
      <c r="F958" s="103">
        <v>36148</v>
      </c>
      <c r="G958" s="99"/>
      <c r="H958" s="99"/>
      <c r="I958" s="99"/>
      <c r="J958" s="20"/>
      <c r="K958" s="21"/>
      <c r="L958" s="21"/>
      <c r="M958" s="21"/>
      <c r="N958" s="21"/>
      <c r="O958" s="21"/>
    </row>
    <row r="959" spans="2:15" ht="14.15" customHeight="1" x14ac:dyDescent="0.35">
      <c r="B959" s="100">
        <f t="shared" si="14"/>
        <v>956</v>
      </c>
      <c r="C959" s="104" t="s">
        <v>945</v>
      </c>
      <c r="D959" s="102">
        <v>9419342</v>
      </c>
      <c r="E959" s="102"/>
      <c r="F959" s="103">
        <v>36148</v>
      </c>
      <c r="G959" s="99"/>
      <c r="H959" s="99"/>
      <c r="I959" s="99"/>
      <c r="J959" s="20"/>
      <c r="K959" s="21"/>
      <c r="L959" s="21"/>
      <c r="M959" s="21"/>
      <c r="N959" s="21"/>
      <c r="O959" s="21"/>
    </row>
    <row r="960" spans="2:15" ht="14.15" customHeight="1" x14ac:dyDescent="0.35">
      <c r="B960" s="100">
        <f t="shared" si="14"/>
        <v>957</v>
      </c>
      <c r="C960" s="104" t="s">
        <v>946</v>
      </c>
      <c r="D960" s="102">
        <v>9318612</v>
      </c>
      <c r="E960" s="102"/>
      <c r="F960" s="103">
        <v>36155</v>
      </c>
      <c r="G960" s="99"/>
      <c r="H960" s="99"/>
      <c r="I960" s="99"/>
      <c r="J960" s="20"/>
      <c r="K960" s="21"/>
      <c r="L960" s="21"/>
      <c r="M960" s="21"/>
      <c r="N960" s="21"/>
      <c r="O960" s="21"/>
    </row>
    <row r="961" spans="2:15" ht="14.15" customHeight="1" x14ac:dyDescent="0.35">
      <c r="B961" s="100">
        <f t="shared" si="14"/>
        <v>958</v>
      </c>
      <c r="C961" s="104" t="s">
        <v>947</v>
      </c>
      <c r="D961" s="102">
        <v>8916220</v>
      </c>
      <c r="E961" s="102"/>
      <c r="F961" s="103">
        <v>36162</v>
      </c>
      <c r="G961" s="99"/>
      <c r="H961" s="99"/>
      <c r="I961" s="99"/>
      <c r="J961" s="20"/>
      <c r="K961" s="21"/>
      <c r="L961" s="21"/>
      <c r="M961" s="21"/>
      <c r="N961" s="21"/>
      <c r="O961" s="21"/>
    </row>
    <row r="962" spans="2:15" ht="14.15" customHeight="1" x14ac:dyDescent="0.35">
      <c r="B962" s="100">
        <f t="shared" si="14"/>
        <v>959</v>
      </c>
      <c r="C962" s="104" t="s">
        <v>948</v>
      </c>
      <c r="D962" s="102">
        <v>8613991</v>
      </c>
      <c r="E962" s="102"/>
      <c r="F962" s="103">
        <v>36176</v>
      </c>
      <c r="G962" s="99"/>
      <c r="H962" s="99"/>
      <c r="I962" s="99"/>
      <c r="J962" s="20"/>
      <c r="K962" s="21"/>
      <c r="L962" s="21"/>
      <c r="M962" s="21"/>
      <c r="N962" s="21"/>
      <c r="O962" s="21"/>
    </row>
    <row r="963" spans="2:15" ht="14.15" customHeight="1" x14ac:dyDescent="0.35">
      <c r="B963" s="100">
        <f t="shared" si="14"/>
        <v>960</v>
      </c>
      <c r="C963" s="104" t="s">
        <v>949</v>
      </c>
      <c r="D963" s="102">
        <v>8916644</v>
      </c>
      <c r="E963" s="102"/>
      <c r="F963" s="103">
        <v>36176</v>
      </c>
      <c r="G963" s="99"/>
      <c r="H963" s="99"/>
      <c r="I963" s="99"/>
      <c r="J963" s="20"/>
      <c r="K963" s="21"/>
      <c r="L963" s="21"/>
      <c r="M963" s="21"/>
      <c r="N963" s="21"/>
      <c r="O963" s="21"/>
    </row>
    <row r="964" spans="2:15" ht="14.15" customHeight="1" x14ac:dyDescent="0.35">
      <c r="B964" s="100">
        <f t="shared" si="14"/>
        <v>961</v>
      </c>
      <c r="C964" s="104" t="s">
        <v>950</v>
      </c>
      <c r="D964" s="102">
        <v>9217900</v>
      </c>
      <c r="E964" s="102"/>
      <c r="F964" s="103">
        <v>36176</v>
      </c>
      <c r="G964" s="99"/>
      <c r="H964" s="99"/>
      <c r="I964" s="99"/>
      <c r="J964" s="20"/>
      <c r="K964" s="21"/>
      <c r="L964" s="21"/>
      <c r="M964" s="21"/>
      <c r="N964" s="21"/>
      <c r="O964" s="21"/>
    </row>
    <row r="965" spans="2:15" ht="14.15" customHeight="1" x14ac:dyDescent="0.35">
      <c r="B965" s="100">
        <f t="shared" ref="B965:B996" si="15">(B964+1)</f>
        <v>962</v>
      </c>
      <c r="C965" s="104" t="s">
        <v>951</v>
      </c>
      <c r="D965" s="102">
        <v>9519696</v>
      </c>
      <c r="E965" s="102"/>
      <c r="F965" s="103">
        <v>36186</v>
      </c>
      <c r="G965" s="99"/>
      <c r="H965" s="99"/>
      <c r="I965" s="99"/>
      <c r="J965" s="20"/>
      <c r="K965" s="21"/>
      <c r="L965" s="21"/>
      <c r="M965" s="21"/>
      <c r="N965" s="21"/>
      <c r="O965" s="21"/>
    </row>
    <row r="966" spans="2:15" ht="14.15" customHeight="1" x14ac:dyDescent="0.35">
      <c r="B966" s="100">
        <f t="shared" si="15"/>
        <v>963</v>
      </c>
      <c r="C966" s="104" t="s">
        <v>952</v>
      </c>
      <c r="D966" s="102">
        <v>9218083</v>
      </c>
      <c r="E966" s="102"/>
      <c r="F966" s="103">
        <v>36190</v>
      </c>
      <c r="G966" s="99"/>
      <c r="H966" s="99"/>
      <c r="I966" s="99"/>
      <c r="J966" s="20"/>
      <c r="K966" s="21"/>
      <c r="L966" s="21"/>
      <c r="M966" s="21"/>
      <c r="N966" s="21"/>
      <c r="O966" s="21"/>
    </row>
    <row r="967" spans="2:15" ht="14.15" customHeight="1" x14ac:dyDescent="0.35">
      <c r="B967" s="100">
        <f t="shared" si="15"/>
        <v>964</v>
      </c>
      <c r="C967" s="104" t="s">
        <v>953</v>
      </c>
      <c r="D967" s="102">
        <v>9218144</v>
      </c>
      <c r="E967" s="102"/>
      <c r="F967" s="103">
        <v>36190</v>
      </c>
      <c r="G967" s="99"/>
      <c r="H967" s="99"/>
      <c r="I967" s="99"/>
      <c r="J967" s="20"/>
      <c r="K967" s="21"/>
      <c r="L967" s="21"/>
      <c r="M967" s="21"/>
      <c r="N967" s="21"/>
      <c r="O967" s="21"/>
    </row>
    <row r="968" spans="2:15" ht="14.15" customHeight="1" x14ac:dyDescent="0.35">
      <c r="B968" s="100">
        <f t="shared" si="15"/>
        <v>965</v>
      </c>
      <c r="C968" s="104" t="s">
        <v>954</v>
      </c>
      <c r="D968" s="102">
        <v>9419148</v>
      </c>
      <c r="E968" s="102"/>
      <c r="F968" s="103">
        <v>36196</v>
      </c>
      <c r="G968" s="99"/>
      <c r="H968" s="99"/>
      <c r="I968" s="99"/>
      <c r="J968" s="20"/>
      <c r="K968" s="21"/>
      <c r="L968" s="21"/>
      <c r="M968" s="21"/>
      <c r="N968" s="21"/>
      <c r="O968" s="21"/>
    </row>
    <row r="969" spans="2:15" ht="14.15" customHeight="1" x14ac:dyDescent="0.35">
      <c r="B969" s="100">
        <f t="shared" si="15"/>
        <v>966</v>
      </c>
      <c r="C969" s="104" t="s">
        <v>955</v>
      </c>
      <c r="D969" s="102">
        <v>9419270</v>
      </c>
      <c r="E969" s="102"/>
      <c r="F969" s="103">
        <v>36196</v>
      </c>
      <c r="G969" s="99"/>
      <c r="H969" s="99"/>
      <c r="I969" s="99"/>
      <c r="J969" s="20"/>
      <c r="K969" s="21"/>
      <c r="L969" s="21"/>
      <c r="M969" s="21"/>
      <c r="N969" s="21"/>
      <c r="O969" s="21"/>
    </row>
    <row r="970" spans="2:15" ht="14.15" customHeight="1" x14ac:dyDescent="0.35">
      <c r="B970" s="100">
        <f t="shared" si="15"/>
        <v>967</v>
      </c>
      <c r="C970" s="104" t="s">
        <v>956</v>
      </c>
      <c r="D970" s="102">
        <v>9218087</v>
      </c>
      <c r="E970" s="102"/>
      <c r="F970" s="103">
        <v>36197</v>
      </c>
      <c r="G970" s="99"/>
      <c r="H970" s="99"/>
      <c r="I970" s="99"/>
      <c r="J970" s="20"/>
      <c r="K970" s="21"/>
      <c r="L970" s="21"/>
      <c r="M970" s="21"/>
      <c r="N970" s="21"/>
      <c r="O970" s="21"/>
    </row>
    <row r="971" spans="2:15" ht="14.15" customHeight="1" x14ac:dyDescent="0.35">
      <c r="B971" s="100">
        <f t="shared" si="15"/>
        <v>968</v>
      </c>
      <c r="C971" s="104" t="s">
        <v>957</v>
      </c>
      <c r="D971" s="102">
        <v>9318442</v>
      </c>
      <c r="E971" s="102"/>
      <c r="F971" s="103">
        <v>36197</v>
      </c>
      <c r="G971" s="99"/>
      <c r="H971" s="99"/>
      <c r="I971" s="99"/>
      <c r="J971" s="20"/>
      <c r="K971" s="21"/>
      <c r="L971" s="21"/>
      <c r="M971" s="21"/>
      <c r="N971" s="21"/>
      <c r="O971" s="21"/>
    </row>
    <row r="972" spans="2:15" ht="14.15" customHeight="1" x14ac:dyDescent="0.35">
      <c r="B972" s="100">
        <f t="shared" si="15"/>
        <v>969</v>
      </c>
      <c r="C972" s="104" t="s">
        <v>958</v>
      </c>
      <c r="D972" s="102">
        <v>9218075</v>
      </c>
      <c r="E972" s="102"/>
      <c r="F972" s="103">
        <v>36202</v>
      </c>
      <c r="G972" s="99"/>
      <c r="H972" s="99"/>
      <c r="I972" s="99"/>
      <c r="J972" s="20"/>
      <c r="K972" s="21"/>
      <c r="L972" s="21"/>
      <c r="M972" s="21"/>
      <c r="N972" s="21"/>
      <c r="O972" s="21"/>
    </row>
    <row r="973" spans="2:15" ht="14.15" customHeight="1" x14ac:dyDescent="0.35">
      <c r="B973" s="100">
        <f t="shared" si="15"/>
        <v>970</v>
      </c>
      <c r="C973" s="104" t="s">
        <v>959</v>
      </c>
      <c r="D973" s="102">
        <v>9016911</v>
      </c>
      <c r="E973" s="102"/>
      <c r="F973" s="103">
        <v>36219</v>
      </c>
      <c r="G973" s="99"/>
      <c r="H973" s="99"/>
      <c r="I973" s="99"/>
      <c r="J973" s="20"/>
      <c r="K973" s="21"/>
      <c r="L973" s="21"/>
      <c r="M973" s="21"/>
      <c r="N973" s="21"/>
      <c r="O973" s="21"/>
    </row>
    <row r="974" spans="2:15" ht="14.15" customHeight="1" x14ac:dyDescent="0.35">
      <c r="B974" s="100">
        <f t="shared" si="15"/>
        <v>971</v>
      </c>
      <c r="C974" s="104" t="s">
        <v>960</v>
      </c>
      <c r="D974" s="102">
        <v>9318574</v>
      </c>
      <c r="E974" s="102"/>
      <c r="F974" s="103">
        <v>36225</v>
      </c>
      <c r="G974" s="99"/>
      <c r="H974" s="99"/>
      <c r="I974" s="99"/>
      <c r="J974" s="20"/>
      <c r="K974" s="21"/>
      <c r="L974" s="21"/>
      <c r="M974" s="21"/>
      <c r="N974" s="21"/>
      <c r="O974" s="21"/>
    </row>
    <row r="975" spans="2:15" ht="14.15" customHeight="1" x14ac:dyDescent="0.35">
      <c r="B975" s="100">
        <f t="shared" si="15"/>
        <v>972</v>
      </c>
      <c r="C975" s="104" t="s">
        <v>961</v>
      </c>
      <c r="D975" s="102">
        <v>9118289</v>
      </c>
      <c r="E975" s="102"/>
      <c r="F975" s="103">
        <v>36253</v>
      </c>
      <c r="G975" s="99"/>
      <c r="H975" s="99"/>
      <c r="I975" s="99"/>
      <c r="J975" s="20"/>
      <c r="K975" s="21"/>
      <c r="L975" s="21"/>
      <c r="M975" s="21"/>
      <c r="N975" s="21"/>
      <c r="O975" s="21"/>
    </row>
    <row r="976" spans="2:15" ht="14.15" customHeight="1" x14ac:dyDescent="0.35">
      <c r="B976" s="100">
        <f t="shared" si="15"/>
        <v>973</v>
      </c>
      <c r="C976" s="104" t="s">
        <v>962</v>
      </c>
      <c r="D976" s="102">
        <v>9318315</v>
      </c>
      <c r="E976" s="102"/>
      <c r="F976" s="103">
        <v>36260</v>
      </c>
      <c r="G976" s="99"/>
      <c r="H976" s="99"/>
      <c r="I976" s="99"/>
      <c r="J976" s="20"/>
      <c r="K976" s="21"/>
      <c r="L976" s="21"/>
      <c r="M976" s="21"/>
      <c r="N976" s="21"/>
      <c r="O976" s="21"/>
    </row>
    <row r="977" spans="2:15" ht="14.15" customHeight="1" x14ac:dyDescent="0.35">
      <c r="B977" s="100">
        <f t="shared" si="15"/>
        <v>974</v>
      </c>
      <c r="C977" s="104" t="s">
        <v>963</v>
      </c>
      <c r="D977" s="102">
        <v>9418961</v>
      </c>
      <c r="E977" s="102"/>
      <c r="F977" s="103">
        <v>36260</v>
      </c>
      <c r="G977" s="99"/>
      <c r="H977" s="99"/>
      <c r="I977" s="99"/>
      <c r="J977" s="20"/>
      <c r="K977" s="21"/>
      <c r="L977" s="21"/>
      <c r="M977" s="21"/>
      <c r="N977" s="21"/>
      <c r="O977" s="21"/>
    </row>
    <row r="978" spans="2:15" ht="14.15" customHeight="1" x14ac:dyDescent="0.35">
      <c r="B978" s="100">
        <f t="shared" si="15"/>
        <v>975</v>
      </c>
      <c r="C978" s="104" t="s">
        <v>964</v>
      </c>
      <c r="D978" s="102">
        <v>9217681</v>
      </c>
      <c r="E978" s="102"/>
      <c r="F978" s="103">
        <v>36266</v>
      </c>
      <c r="G978" s="99"/>
      <c r="H978" s="99"/>
      <c r="I978" s="99"/>
      <c r="J978" s="20"/>
      <c r="K978" s="21"/>
      <c r="L978" s="21"/>
      <c r="M978" s="21"/>
      <c r="N978" s="21"/>
      <c r="O978" s="21"/>
    </row>
    <row r="979" spans="2:15" ht="14.15" customHeight="1" x14ac:dyDescent="0.35">
      <c r="B979" s="100">
        <f t="shared" si="15"/>
        <v>976</v>
      </c>
      <c r="C979" s="104" t="s">
        <v>965</v>
      </c>
      <c r="D979" s="102">
        <v>9217932</v>
      </c>
      <c r="E979" s="102"/>
      <c r="F979" s="103">
        <v>36269</v>
      </c>
      <c r="G979" s="99"/>
      <c r="H979" s="99"/>
      <c r="I979" s="99"/>
      <c r="J979" s="20"/>
      <c r="K979" s="21"/>
      <c r="L979" s="21"/>
      <c r="M979" s="21"/>
      <c r="N979" s="21"/>
      <c r="O979" s="21"/>
    </row>
    <row r="980" spans="2:15" ht="14.15" customHeight="1" x14ac:dyDescent="0.35">
      <c r="B980" s="100">
        <f t="shared" si="15"/>
        <v>977</v>
      </c>
      <c r="C980" s="104" t="s">
        <v>966</v>
      </c>
      <c r="D980" s="102">
        <v>9419125</v>
      </c>
      <c r="E980" s="102"/>
      <c r="F980" s="103">
        <v>36270</v>
      </c>
      <c r="G980" s="99"/>
      <c r="H980" s="99"/>
      <c r="I980" s="99"/>
      <c r="J980" s="20"/>
      <c r="K980" s="21"/>
      <c r="L980" s="21"/>
      <c r="M980" s="21"/>
      <c r="N980" s="21"/>
      <c r="O980" s="21"/>
    </row>
    <row r="981" spans="2:15" ht="14.15" customHeight="1" x14ac:dyDescent="0.35">
      <c r="B981" s="100">
        <f t="shared" si="15"/>
        <v>978</v>
      </c>
      <c r="C981" s="104" t="s">
        <v>967</v>
      </c>
      <c r="D981" s="102">
        <v>8816920</v>
      </c>
      <c r="E981" s="102"/>
      <c r="F981" s="103">
        <v>36274</v>
      </c>
      <c r="G981" s="99"/>
      <c r="H981" s="99"/>
      <c r="I981" s="99"/>
      <c r="J981" s="20"/>
      <c r="K981" s="21"/>
      <c r="L981" s="21"/>
      <c r="M981" s="21"/>
      <c r="N981" s="21"/>
      <c r="O981" s="21"/>
    </row>
    <row r="982" spans="2:15" ht="14.15" customHeight="1" x14ac:dyDescent="0.35">
      <c r="B982" s="100">
        <f t="shared" si="15"/>
        <v>979</v>
      </c>
      <c r="C982" s="104" t="s">
        <v>968</v>
      </c>
      <c r="D982" s="102">
        <v>9016920</v>
      </c>
      <c r="E982" s="102"/>
      <c r="F982" s="103">
        <v>36274</v>
      </c>
      <c r="G982" s="99"/>
      <c r="H982" s="99"/>
      <c r="I982" s="99"/>
      <c r="J982" s="20"/>
      <c r="K982" s="21"/>
      <c r="L982" s="21"/>
      <c r="M982" s="21"/>
      <c r="N982" s="21"/>
      <c r="O982" s="21"/>
    </row>
    <row r="983" spans="2:15" ht="14.15" customHeight="1" x14ac:dyDescent="0.35">
      <c r="B983" s="100">
        <f t="shared" si="15"/>
        <v>980</v>
      </c>
      <c r="C983" s="104" t="s">
        <v>969</v>
      </c>
      <c r="D983" s="102">
        <v>9418927</v>
      </c>
      <c r="E983" s="102"/>
      <c r="F983" s="103">
        <v>36274</v>
      </c>
      <c r="G983" s="99"/>
      <c r="H983" s="99"/>
      <c r="I983" s="99"/>
      <c r="J983" s="20"/>
      <c r="K983" s="21"/>
      <c r="L983" s="21"/>
      <c r="M983" s="21"/>
      <c r="N983" s="21"/>
      <c r="O983" s="21"/>
    </row>
    <row r="984" spans="2:15" ht="14.15" customHeight="1" x14ac:dyDescent="0.35">
      <c r="B984" s="100">
        <f t="shared" si="15"/>
        <v>981</v>
      </c>
      <c r="C984" s="104" t="s">
        <v>970</v>
      </c>
      <c r="D984" s="102">
        <v>9218100</v>
      </c>
      <c r="E984" s="102"/>
      <c r="F984" s="103">
        <v>36311</v>
      </c>
      <c r="G984" s="99"/>
      <c r="H984" s="99"/>
      <c r="I984" s="99"/>
      <c r="J984" s="20"/>
      <c r="K984" s="21"/>
      <c r="L984" s="21"/>
      <c r="M984" s="21"/>
      <c r="N984" s="21"/>
      <c r="O984" s="21"/>
    </row>
    <row r="985" spans="2:15" ht="14.15" customHeight="1" x14ac:dyDescent="0.35">
      <c r="B985" s="100">
        <f t="shared" si="15"/>
        <v>982</v>
      </c>
      <c r="C985" s="104" t="s">
        <v>971</v>
      </c>
      <c r="D985" s="102">
        <v>9419137</v>
      </c>
      <c r="E985" s="102"/>
      <c r="F985" s="103">
        <v>36346</v>
      </c>
      <c r="G985" s="99"/>
      <c r="H985" s="99"/>
      <c r="I985" s="99"/>
      <c r="J985" s="20"/>
      <c r="K985" s="21"/>
      <c r="L985" s="21"/>
      <c r="M985" s="21"/>
      <c r="N985" s="21"/>
      <c r="O985" s="21"/>
    </row>
    <row r="986" spans="2:15" ht="14.15" customHeight="1" x14ac:dyDescent="0.35">
      <c r="B986" s="100">
        <f t="shared" si="15"/>
        <v>983</v>
      </c>
      <c r="C986" s="104" t="s">
        <v>972</v>
      </c>
      <c r="D986" s="102">
        <v>9519999</v>
      </c>
      <c r="E986" s="102"/>
      <c r="F986" s="103">
        <v>36368</v>
      </c>
      <c r="G986" s="99"/>
      <c r="H986" s="99"/>
      <c r="I986" s="99"/>
      <c r="J986" s="20"/>
      <c r="K986" s="21"/>
      <c r="L986" s="21"/>
      <c r="M986" s="21"/>
      <c r="N986" s="21"/>
      <c r="O986" s="21"/>
    </row>
    <row r="987" spans="2:15" ht="14.15" customHeight="1" x14ac:dyDescent="0.35">
      <c r="B987" s="100">
        <f t="shared" si="15"/>
        <v>984</v>
      </c>
      <c r="C987" s="104" t="s">
        <v>973</v>
      </c>
      <c r="D987" s="102">
        <v>9117457</v>
      </c>
      <c r="E987" s="102"/>
      <c r="F987" s="103">
        <v>36372</v>
      </c>
      <c r="G987" s="99"/>
      <c r="H987" s="99"/>
      <c r="I987" s="99"/>
      <c r="J987" s="20"/>
      <c r="K987" s="21"/>
      <c r="L987" s="21"/>
      <c r="M987" s="21"/>
      <c r="N987" s="21"/>
      <c r="O987" s="21"/>
    </row>
    <row r="988" spans="2:15" ht="14.15" customHeight="1" x14ac:dyDescent="0.35">
      <c r="B988" s="100">
        <f t="shared" si="15"/>
        <v>985</v>
      </c>
      <c r="C988" s="104" t="s">
        <v>974</v>
      </c>
      <c r="D988" s="102">
        <v>9217592</v>
      </c>
      <c r="E988" s="102"/>
      <c r="F988" s="103">
        <v>36372</v>
      </c>
      <c r="G988" s="99"/>
      <c r="H988" s="99"/>
      <c r="I988" s="99"/>
      <c r="J988" s="20"/>
      <c r="K988" s="21"/>
      <c r="L988" s="21"/>
      <c r="M988" s="21"/>
      <c r="N988" s="21"/>
      <c r="O988" s="21"/>
    </row>
    <row r="989" spans="2:15" ht="14.15" customHeight="1" x14ac:dyDescent="0.35">
      <c r="B989" s="100">
        <f t="shared" si="15"/>
        <v>986</v>
      </c>
      <c r="C989" s="104" t="s">
        <v>975</v>
      </c>
      <c r="D989" s="102">
        <v>9217933</v>
      </c>
      <c r="E989" s="102"/>
      <c r="F989" s="103">
        <v>36372</v>
      </c>
      <c r="G989" s="99"/>
      <c r="H989" s="99"/>
      <c r="I989" s="99"/>
      <c r="J989" s="20"/>
      <c r="K989" s="21"/>
      <c r="L989" s="21"/>
      <c r="M989" s="21"/>
      <c r="N989" s="21"/>
      <c r="O989" s="21"/>
    </row>
    <row r="990" spans="2:15" ht="14.15" customHeight="1" x14ac:dyDescent="0.35">
      <c r="B990" s="100">
        <f t="shared" si="15"/>
        <v>987</v>
      </c>
      <c r="C990" s="104" t="s">
        <v>976</v>
      </c>
      <c r="D990" s="102">
        <v>9218079</v>
      </c>
      <c r="E990" s="102"/>
      <c r="F990" s="103">
        <v>36372</v>
      </c>
      <c r="G990" s="99"/>
      <c r="H990" s="99"/>
      <c r="I990" s="99"/>
      <c r="J990" s="20"/>
      <c r="K990" s="21"/>
      <c r="L990" s="21"/>
      <c r="M990" s="21"/>
      <c r="N990" s="21"/>
      <c r="O990" s="21"/>
    </row>
    <row r="991" spans="2:15" ht="14.15" customHeight="1" x14ac:dyDescent="0.35">
      <c r="B991" s="100">
        <f t="shared" si="15"/>
        <v>988</v>
      </c>
      <c r="C991" s="104" t="s">
        <v>977</v>
      </c>
      <c r="D991" s="102">
        <v>9218085</v>
      </c>
      <c r="E991" s="102"/>
      <c r="F991" s="103">
        <v>36372</v>
      </c>
      <c r="G991" s="99"/>
      <c r="H991" s="99"/>
      <c r="I991" s="99"/>
      <c r="J991" s="20"/>
      <c r="K991" s="21"/>
      <c r="L991" s="21"/>
      <c r="M991" s="21"/>
      <c r="N991" s="21"/>
      <c r="O991" s="21"/>
    </row>
    <row r="992" spans="2:15" ht="14.15" customHeight="1" x14ac:dyDescent="0.35">
      <c r="B992" s="100">
        <f t="shared" si="15"/>
        <v>989</v>
      </c>
      <c r="C992" s="104" t="s">
        <v>978</v>
      </c>
      <c r="D992" s="102">
        <v>9318289</v>
      </c>
      <c r="E992" s="102"/>
      <c r="F992" s="103">
        <v>36372</v>
      </c>
      <c r="G992" s="99"/>
      <c r="H992" s="99"/>
      <c r="I992" s="99"/>
      <c r="J992" s="20"/>
      <c r="K992" s="21"/>
      <c r="L992" s="21"/>
      <c r="M992" s="21"/>
      <c r="N992" s="21"/>
      <c r="O992" s="21"/>
    </row>
    <row r="993" spans="2:15" ht="14.15" customHeight="1" x14ac:dyDescent="0.35">
      <c r="B993" s="100">
        <f t="shared" si="15"/>
        <v>990</v>
      </c>
      <c r="C993" s="104" t="s">
        <v>979</v>
      </c>
      <c r="D993" s="102">
        <v>9419026</v>
      </c>
      <c r="E993" s="102"/>
      <c r="F993" s="103">
        <v>36372</v>
      </c>
      <c r="G993" s="99"/>
      <c r="H993" s="99"/>
      <c r="I993" s="99"/>
      <c r="J993" s="20"/>
      <c r="K993" s="21"/>
      <c r="L993" s="21"/>
      <c r="M993" s="21"/>
      <c r="N993" s="21"/>
      <c r="O993" s="21"/>
    </row>
    <row r="994" spans="2:15" ht="14.15" customHeight="1" x14ac:dyDescent="0.35">
      <c r="B994" s="100">
        <f t="shared" si="15"/>
        <v>991</v>
      </c>
      <c r="C994" s="104" t="s">
        <v>980</v>
      </c>
      <c r="D994" s="102">
        <v>9419041</v>
      </c>
      <c r="E994" s="102"/>
      <c r="F994" s="103">
        <v>36372</v>
      </c>
      <c r="G994" s="99"/>
      <c r="H994" s="99"/>
      <c r="I994" s="99"/>
      <c r="J994" s="20"/>
      <c r="K994" s="21"/>
      <c r="L994" s="21"/>
      <c r="M994" s="21"/>
      <c r="N994" s="21"/>
      <c r="O994" s="21"/>
    </row>
    <row r="995" spans="2:15" ht="14.15" customHeight="1" x14ac:dyDescent="0.35">
      <c r="B995" s="100">
        <f t="shared" si="15"/>
        <v>992</v>
      </c>
      <c r="C995" s="104" t="s">
        <v>981</v>
      </c>
      <c r="D995" s="102">
        <v>9519652</v>
      </c>
      <c r="E995" s="102"/>
      <c r="F995" s="103">
        <v>36372</v>
      </c>
      <c r="G995" s="99"/>
      <c r="H995" s="99"/>
      <c r="I995" s="99"/>
      <c r="J995" s="20"/>
      <c r="K995" s="21"/>
      <c r="L995" s="21"/>
      <c r="M995" s="21"/>
      <c r="N995" s="21"/>
      <c r="O995" s="21"/>
    </row>
    <row r="996" spans="2:15" ht="14.15" customHeight="1" x14ac:dyDescent="0.35">
      <c r="B996" s="100">
        <f t="shared" si="15"/>
        <v>993</v>
      </c>
      <c r="C996" s="104" t="s">
        <v>982</v>
      </c>
      <c r="D996" s="102">
        <v>9318643</v>
      </c>
      <c r="E996" s="102"/>
      <c r="F996" s="103">
        <v>36385</v>
      </c>
      <c r="G996" s="99"/>
      <c r="H996" s="99"/>
      <c r="I996" s="99"/>
      <c r="J996" s="20"/>
      <c r="K996" s="21"/>
      <c r="L996" s="21"/>
      <c r="M996" s="21"/>
      <c r="N996" s="21"/>
      <c r="O996" s="21"/>
    </row>
    <row r="997" spans="2:15" ht="14.15" customHeight="1" x14ac:dyDescent="0.35">
      <c r="B997" s="100"/>
      <c r="C997" s="104"/>
      <c r="D997" s="102"/>
      <c r="E997" s="102"/>
      <c r="F997" s="103"/>
      <c r="G997" s="99"/>
      <c r="H997" s="99"/>
      <c r="I997" s="99"/>
      <c r="J997" s="20"/>
      <c r="K997" s="21"/>
      <c r="L997" s="21"/>
      <c r="M997" s="21"/>
      <c r="N997" s="21"/>
      <c r="O997" s="21"/>
    </row>
    <row r="998" spans="2:15" ht="14.15" customHeight="1" x14ac:dyDescent="0.35">
      <c r="B998" s="100"/>
      <c r="C998" s="110" t="s">
        <v>983</v>
      </c>
      <c r="D998" s="102"/>
      <c r="E998" s="102"/>
      <c r="F998" s="103"/>
      <c r="G998" s="99"/>
      <c r="H998" s="99"/>
      <c r="I998" s="99"/>
      <c r="J998" s="20"/>
      <c r="K998" s="21"/>
      <c r="L998" s="21"/>
      <c r="M998" s="21"/>
      <c r="N998" s="21"/>
      <c r="O998" s="21"/>
    </row>
    <row r="999" spans="2:15" ht="14.15" customHeight="1" x14ac:dyDescent="0.35">
      <c r="B999" s="100">
        <f>(B996+1)</f>
        <v>994</v>
      </c>
      <c r="C999" s="104" t="s">
        <v>984</v>
      </c>
      <c r="D999" s="102">
        <v>9117045</v>
      </c>
      <c r="E999" s="102"/>
      <c r="F999" s="103">
        <v>36414</v>
      </c>
      <c r="G999" s="99"/>
      <c r="H999" s="99"/>
      <c r="I999" s="99"/>
      <c r="J999" s="20"/>
      <c r="K999" s="21"/>
      <c r="L999" s="21"/>
      <c r="M999" s="21"/>
      <c r="N999" s="21"/>
      <c r="O999" s="21"/>
    </row>
    <row r="1000" spans="2:15" ht="14.15" customHeight="1" x14ac:dyDescent="0.35">
      <c r="B1000" s="100">
        <f t="shared" ref="B1000:B1063" si="16">(B999+1)</f>
        <v>995</v>
      </c>
      <c r="C1000" s="104" t="s">
        <v>985</v>
      </c>
      <c r="D1000" s="102">
        <v>9117424</v>
      </c>
      <c r="E1000" s="102"/>
      <c r="F1000" s="103">
        <v>36414</v>
      </c>
      <c r="G1000" s="99"/>
      <c r="H1000" s="99"/>
      <c r="I1000" s="99"/>
      <c r="J1000" s="20"/>
      <c r="K1000" s="21"/>
      <c r="L1000" s="21"/>
      <c r="M1000" s="21"/>
      <c r="N1000" s="21"/>
      <c r="O1000" s="21"/>
    </row>
    <row r="1001" spans="2:15" ht="14.15" customHeight="1" x14ac:dyDescent="0.35">
      <c r="B1001" s="100">
        <f t="shared" si="16"/>
        <v>996</v>
      </c>
      <c r="C1001" s="104" t="s">
        <v>986</v>
      </c>
      <c r="D1001" s="102">
        <v>9418968</v>
      </c>
      <c r="E1001" s="102"/>
      <c r="F1001" s="103">
        <v>36439</v>
      </c>
      <c r="G1001" s="99"/>
      <c r="H1001" s="99"/>
      <c r="I1001" s="99"/>
      <c r="J1001" s="20"/>
      <c r="K1001" s="21"/>
      <c r="L1001" s="21"/>
      <c r="M1001" s="21"/>
      <c r="N1001" s="21"/>
      <c r="O1001" s="21"/>
    </row>
    <row r="1002" spans="2:15" ht="14.15" customHeight="1" x14ac:dyDescent="0.35">
      <c r="B1002" s="100">
        <f t="shared" si="16"/>
        <v>997</v>
      </c>
      <c r="C1002" s="104" t="s">
        <v>987</v>
      </c>
      <c r="D1002" s="102">
        <v>9419079</v>
      </c>
      <c r="E1002" s="102"/>
      <c r="F1002" s="103">
        <v>36448</v>
      </c>
      <c r="G1002" s="99"/>
      <c r="H1002" s="99"/>
      <c r="I1002" s="99"/>
      <c r="J1002" s="20"/>
      <c r="K1002" s="21"/>
      <c r="L1002" s="21"/>
      <c r="M1002" s="21"/>
      <c r="N1002" s="21"/>
      <c r="O1002" s="21"/>
    </row>
    <row r="1003" spans="2:15" ht="14.15" customHeight="1" x14ac:dyDescent="0.35">
      <c r="B1003" s="100">
        <f t="shared" si="16"/>
        <v>998</v>
      </c>
      <c r="C1003" s="104" t="s">
        <v>988</v>
      </c>
      <c r="D1003" s="102">
        <v>9418888</v>
      </c>
      <c r="E1003" s="102"/>
      <c r="F1003" s="103">
        <v>36469</v>
      </c>
      <c r="G1003" s="99"/>
      <c r="H1003" s="99"/>
      <c r="I1003" s="99"/>
      <c r="J1003" s="20"/>
      <c r="K1003" s="21"/>
      <c r="L1003" s="21"/>
      <c r="M1003" s="21"/>
      <c r="N1003" s="21"/>
      <c r="O1003" s="21"/>
    </row>
    <row r="1004" spans="2:15" ht="14.15" customHeight="1" x14ac:dyDescent="0.35">
      <c r="B1004" s="100">
        <f t="shared" si="16"/>
        <v>999</v>
      </c>
      <c r="C1004" s="104" t="s">
        <v>989</v>
      </c>
      <c r="D1004" s="102">
        <v>9318314</v>
      </c>
      <c r="E1004" s="102"/>
      <c r="F1004" s="103">
        <v>36490</v>
      </c>
      <c r="G1004" s="99"/>
      <c r="H1004" s="99"/>
      <c r="I1004" s="99"/>
      <c r="J1004" s="20"/>
      <c r="K1004" s="21"/>
      <c r="L1004" s="21"/>
      <c r="M1004" s="21"/>
      <c r="N1004" s="21"/>
      <c r="O1004" s="21"/>
    </row>
    <row r="1005" spans="2:15" ht="14.15" customHeight="1" x14ac:dyDescent="0.35">
      <c r="B1005" s="100">
        <f t="shared" si="16"/>
        <v>1000</v>
      </c>
      <c r="C1005" s="104" t="s">
        <v>990</v>
      </c>
      <c r="D1005" s="102">
        <v>8614289</v>
      </c>
      <c r="E1005" s="102"/>
      <c r="F1005" s="103">
        <v>36494</v>
      </c>
      <c r="G1005" s="99"/>
      <c r="H1005" s="99"/>
      <c r="I1005" s="99"/>
      <c r="J1005" s="20"/>
      <c r="K1005" s="21"/>
      <c r="L1005" s="21"/>
      <c r="M1005" s="21"/>
      <c r="N1005" s="21"/>
      <c r="O1005" s="21"/>
    </row>
    <row r="1006" spans="2:15" ht="14.15" customHeight="1" x14ac:dyDescent="0.35">
      <c r="B1006" s="100">
        <f t="shared" si="16"/>
        <v>1001</v>
      </c>
      <c r="C1006" s="104" t="s">
        <v>991</v>
      </c>
      <c r="D1006" s="102">
        <v>9117423</v>
      </c>
      <c r="E1006" s="102"/>
      <c r="F1006" s="103">
        <v>36494</v>
      </c>
      <c r="G1006" s="99"/>
      <c r="H1006" s="99"/>
      <c r="I1006" s="99"/>
      <c r="J1006" s="20"/>
      <c r="K1006" s="21"/>
      <c r="L1006" s="21"/>
      <c r="M1006" s="21"/>
      <c r="N1006" s="21"/>
      <c r="O1006" s="21"/>
    </row>
    <row r="1007" spans="2:15" ht="14.15" customHeight="1" x14ac:dyDescent="0.35">
      <c r="B1007" s="100">
        <f t="shared" si="16"/>
        <v>1002</v>
      </c>
      <c r="C1007" s="104" t="s">
        <v>992</v>
      </c>
      <c r="D1007" s="102">
        <v>9217640</v>
      </c>
      <c r="E1007" s="102"/>
      <c r="F1007" s="103">
        <v>36494</v>
      </c>
      <c r="G1007" s="99"/>
      <c r="H1007" s="99"/>
      <c r="I1007" s="99"/>
      <c r="J1007" s="20"/>
      <c r="K1007" s="21"/>
      <c r="L1007" s="21"/>
      <c r="M1007" s="21"/>
      <c r="N1007" s="21"/>
      <c r="O1007" s="21"/>
    </row>
    <row r="1008" spans="2:15" ht="14.15" customHeight="1" x14ac:dyDescent="0.35">
      <c r="B1008" s="100">
        <f t="shared" si="16"/>
        <v>1003</v>
      </c>
      <c r="C1008" s="104" t="s">
        <v>993</v>
      </c>
      <c r="D1008" s="102">
        <v>9318293</v>
      </c>
      <c r="E1008" s="102"/>
      <c r="F1008" s="103">
        <v>36494</v>
      </c>
      <c r="G1008" s="99"/>
      <c r="H1008" s="99"/>
      <c r="I1008" s="99"/>
      <c r="J1008" s="20"/>
      <c r="K1008" s="21"/>
      <c r="L1008" s="21"/>
      <c r="M1008" s="21"/>
      <c r="N1008" s="21"/>
      <c r="O1008" s="21"/>
    </row>
    <row r="1009" spans="2:15" ht="14.15" customHeight="1" x14ac:dyDescent="0.35">
      <c r="B1009" s="100">
        <f t="shared" si="16"/>
        <v>1004</v>
      </c>
      <c r="C1009" s="104" t="s">
        <v>994</v>
      </c>
      <c r="D1009" s="102">
        <v>9318313</v>
      </c>
      <c r="E1009" s="102"/>
      <c r="F1009" s="103">
        <v>36494</v>
      </c>
      <c r="G1009" s="99"/>
      <c r="H1009" s="99"/>
      <c r="I1009" s="99"/>
      <c r="J1009" s="20"/>
      <c r="K1009" s="21"/>
      <c r="L1009" s="21"/>
      <c r="M1009" s="21"/>
      <c r="N1009" s="21"/>
      <c r="O1009" s="21"/>
    </row>
    <row r="1010" spans="2:15" ht="14.15" customHeight="1" x14ac:dyDescent="0.35">
      <c r="B1010" s="100">
        <f t="shared" si="16"/>
        <v>1005</v>
      </c>
      <c r="C1010" s="104" t="s">
        <v>995</v>
      </c>
      <c r="D1010" s="102">
        <v>9318614</v>
      </c>
      <c r="E1010" s="102"/>
      <c r="F1010" s="103">
        <v>36494</v>
      </c>
      <c r="G1010" s="99"/>
      <c r="H1010" s="99"/>
      <c r="I1010" s="99"/>
      <c r="J1010" s="20"/>
      <c r="K1010" s="21"/>
      <c r="L1010" s="21"/>
      <c r="M1010" s="21"/>
      <c r="N1010" s="21"/>
      <c r="O1010" s="21"/>
    </row>
    <row r="1011" spans="2:15" ht="14.15" customHeight="1" x14ac:dyDescent="0.35">
      <c r="B1011" s="100">
        <f t="shared" si="16"/>
        <v>1006</v>
      </c>
      <c r="C1011" s="104" t="s">
        <v>996</v>
      </c>
      <c r="D1011" s="102">
        <v>9318746</v>
      </c>
      <c r="E1011" s="102"/>
      <c r="F1011" s="103">
        <v>36494</v>
      </c>
      <c r="G1011" s="99"/>
      <c r="H1011" s="99"/>
      <c r="I1011" s="99"/>
      <c r="J1011" s="20"/>
      <c r="K1011" s="21"/>
      <c r="L1011" s="21"/>
      <c r="M1011" s="21"/>
      <c r="N1011" s="21"/>
      <c r="O1011" s="21"/>
    </row>
    <row r="1012" spans="2:15" ht="14.15" customHeight="1" x14ac:dyDescent="0.35">
      <c r="B1012" s="100">
        <f t="shared" si="16"/>
        <v>1007</v>
      </c>
      <c r="C1012" s="104" t="s">
        <v>997</v>
      </c>
      <c r="D1012" s="102">
        <v>9418954</v>
      </c>
      <c r="E1012" s="102"/>
      <c r="F1012" s="103">
        <v>36494</v>
      </c>
      <c r="G1012" s="99"/>
      <c r="H1012" s="99"/>
      <c r="I1012" s="99"/>
      <c r="J1012" s="20"/>
      <c r="K1012" s="21"/>
      <c r="L1012" s="21"/>
      <c r="M1012" s="21"/>
      <c r="N1012" s="21"/>
      <c r="O1012" s="21"/>
    </row>
    <row r="1013" spans="2:15" ht="14.15" customHeight="1" x14ac:dyDescent="0.35">
      <c r="B1013" s="100">
        <f t="shared" si="16"/>
        <v>1008</v>
      </c>
      <c r="C1013" s="104" t="s">
        <v>998</v>
      </c>
      <c r="D1013" s="102">
        <v>9418959</v>
      </c>
      <c r="E1013" s="102"/>
      <c r="F1013" s="103">
        <v>36494</v>
      </c>
      <c r="G1013" s="99"/>
      <c r="H1013" s="99"/>
      <c r="I1013" s="99"/>
      <c r="J1013" s="20"/>
      <c r="K1013" s="21"/>
      <c r="L1013" s="21"/>
      <c r="M1013" s="21"/>
      <c r="N1013" s="21"/>
      <c r="O1013" s="21"/>
    </row>
    <row r="1014" spans="2:15" ht="14.15" customHeight="1" x14ac:dyDescent="0.35">
      <c r="B1014" s="100">
        <f t="shared" si="16"/>
        <v>1009</v>
      </c>
      <c r="C1014" s="104" t="s">
        <v>999</v>
      </c>
      <c r="D1014" s="102">
        <v>9419235</v>
      </c>
      <c r="E1014" s="102"/>
      <c r="F1014" s="103">
        <v>36494</v>
      </c>
      <c r="G1014" s="99"/>
      <c r="H1014" s="99"/>
      <c r="I1014" s="99"/>
      <c r="J1014" s="20"/>
      <c r="K1014" s="21"/>
      <c r="L1014" s="21"/>
      <c r="M1014" s="21"/>
      <c r="N1014" s="21"/>
      <c r="O1014" s="21"/>
    </row>
    <row r="1015" spans="2:15" ht="14.15" customHeight="1" x14ac:dyDescent="0.35">
      <c r="B1015" s="100">
        <f t="shared" si="16"/>
        <v>1010</v>
      </c>
      <c r="C1015" s="104" t="s">
        <v>1000</v>
      </c>
      <c r="D1015" s="102">
        <v>9519511</v>
      </c>
      <c r="E1015" s="102"/>
      <c r="F1015" s="103">
        <v>36494</v>
      </c>
      <c r="G1015" s="99"/>
      <c r="H1015" s="99"/>
      <c r="I1015" s="99"/>
      <c r="J1015" s="20"/>
      <c r="K1015" s="21"/>
      <c r="L1015" s="21"/>
      <c r="M1015" s="21"/>
      <c r="N1015" s="21"/>
      <c r="O1015" s="21"/>
    </row>
    <row r="1016" spans="2:15" ht="14.15" customHeight="1" x14ac:dyDescent="0.35">
      <c r="B1016" s="100">
        <f t="shared" si="16"/>
        <v>1011</v>
      </c>
      <c r="C1016" s="104" t="s">
        <v>1001</v>
      </c>
      <c r="D1016" s="102">
        <v>9519844</v>
      </c>
      <c r="E1016" s="102"/>
      <c r="F1016" s="103">
        <v>36494</v>
      </c>
      <c r="G1016" s="99"/>
      <c r="H1016" s="99"/>
      <c r="I1016" s="99"/>
      <c r="J1016" s="20"/>
      <c r="K1016" s="21"/>
      <c r="L1016" s="21"/>
      <c r="M1016" s="21"/>
      <c r="N1016" s="21"/>
      <c r="O1016" s="21"/>
    </row>
    <row r="1017" spans="2:15" ht="14.15" customHeight="1" x14ac:dyDescent="0.35">
      <c r="B1017" s="100">
        <f t="shared" si="16"/>
        <v>1012</v>
      </c>
      <c r="C1017" s="104" t="s">
        <v>1002</v>
      </c>
      <c r="D1017" s="102">
        <v>9519869</v>
      </c>
      <c r="E1017" s="102"/>
      <c r="F1017" s="103">
        <v>36504</v>
      </c>
      <c r="G1017" s="99"/>
      <c r="H1017" s="99"/>
      <c r="I1017" s="99"/>
      <c r="J1017" s="20"/>
      <c r="K1017" s="21"/>
      <c r="L1017" s="21"/>
      <c r="M1017" s="21"/>
      <c r="N1017" s="21"/>
      <c r="O1017" s="21"/>
    </row>
    <row r="1018" spans="2:15" ht="14.15" customHeight="1" x14ac:dyDescent="0.35">
      <c r="B1018" s="100">
        <f t="shared" si="16"/>
        <v>1013</v>
      </c>
      <c r="C1018" s="104" t="s">
        <v>1003</v>
      </c>
      <c r="D1018" s="102">
        <v>9419362</v>
      </c>
      <c r="E1018" s="102"/>
      <c r="F1018" s="103">
        <v>36507</v>
      </c>
      <c r="G1018" s="99"/>
      <c r="H1018" s="99"/>
      <c r="I1018" s="99"/>
      <c r="J1018" s="20"/>
      <c r="K1018" s="21"/>
      <c r="L1018" s="21"/>
      <c r="M1018" s="21"/>
      <c r="N1018" s="21"/>
      <c r="O1018" s="21"/>
    </row>
    <row r="1019" spans="2:15" ht="14.15" customHeight="1" x14ac:dyDescent="0.35">
      <c r="B1019" s="100">
        <f t="shared" si="16"/>
        <v>1014</v>
      </c>
      <c r="C1019" s="104" t="s">
        <v>1004</v>
      </c>
      <c r="D1019" s="102">
        <v>9519621</v>
      </c>
      <c r="E1019" s="102"/>
      <c r="F1019" s="103">
        <v>36507</v>
      </c>
      <c r="G1019" s="99"/>
      <c r="H1019" s="99"/>
      <c r="I1019" s="99"/>
      <c r="J1019" s="20"/>
      <c r="K1019" s="21"/>
      <c r="L1019" s="21"/>
      <c r="M1019" s="21"/>
      <c r="N1019" s="21"/>
      <c r="O1019" s="21"/>
    </row>
    <row r="1020" spans="2:15" ht="14.15" customHeight="1" x14ac:dyDescent="0.35">
      <c r="B1020" s="100">
        <f t="shared" si="16"/>
        <v>1015</v>
      </c>
      <c r="C1020" s="104" t="s">
        <v>1005</v>
      </c>
      <c r="D1020" s="102">
        <v>9218080</v>
      </c>
      <c r="E1020" s="102"/>
      <c r="F1020" s="103">
        <v>36512</v>
      </c>
      <c r="G1020" s="99"/>
      <c r="H1020" s="99"/>
      <c r="I1020" s="99"/>
      <c r="J1020" s="20"/>
      <c r="K1020" s="21"/>
      <c r="L1020" s="21"/>
      <c r="M1020" s="21"/>
      <c r="N1020" s="21"/>
      <c r="O1020" s="21"/>
    </row>
    <row r="1021" spans="2:15" ht="14.15" customHeight="1" x14ac:dyDescent="0.35">
      <c r="B1021" s="100">
        <f t="shared" si="16"/>
        <v>1016</v>
      </c>
      <c r="C1021" s="104" t="s">
        <v>1006</v>
      </c>
      <c r="D1021" s="102">
        <v>9520028</v>
      </c>
      <c r="E1021" s="102"/>
      <c r="F1021" s="103">
        <v>36512</v>
      </c>
      <c r="G1021" s="99"/>
      <c r="H1021" s="99"/>
      <c r="I1021" s="99"/>
      <c r="J1021" s="20"/>
      <c r="K1021" s="21"/>
      <c r="L1021" s="21"/>
      <c r="M1021" s="21"/>
      <c r="N1021" s="21"/>
      <c r="O1021" s="21"/>
    </row>
    <row r="1022" spans="2:15" ht="14.15" customHeight="1" x14ac:dyDescent="0.35">
      <c r="B1022" s="100">
        <f t="shared" si="16"/>
        <v>1017</v>
      </c>
      <c r="C1022" s="104" t="s">
        <v>1007</v>
      </c>
      <c r="D1022" s="102">
        <v>9418970</v>
      </c>
      <c r="E1022" s="102"/>
      <c r="F1022" s="103">
        <v>36525</v>
      </c>
      <c r="G1022" s="99"/>
      <c r="H1022" s="99"/>
      <c r="I1022" s="99"/>
      <c r="J1022" s="20"/>
      <c r="K1022" s="21"/>
      <c r="L1022" s="21"/>
      <c r="M1022" s="21"/>
      <c r="N1022" s="21"/>
      <c r="O1022" s="21"/>
    </row>
    <row r="1023" spans="2:15" ht="14.15" customHeight="1" x14ac:dyDescent="0.35">
      <c r="B1023" s="100">
        <f t="shared" si="16"/>
        <v>1018</v>
      </c>
      <c r="C1023" s="104" t="s">
        <v>1008</v>
      </c>
      <c r="D1023" s="102">
        <v>9419036</v>
      </c>
      <c r="E1023" s="102"/>
      <c r="F1023" s="103">
        <v>36525</v>
      </c>
      <c r="G1023" s="99"/>
      <c r="H1023" s="99"/>
      <c r="I1023" s="99"/>
      <c r="J1023" s="20"/>
      <c r="K1023" s="21"/>
      <c r="L1023" s="21"/>
      <c r="M1023" s="21"/>
      <c r="N1023" s="21"/>
      <c r="O1023" s="21"/>
    </row>
    <row r="1024" spans="2:15" ht="14.15" customHeight="1" x14ac:dyDescent="0.35">
      <c r="B1024" s="100">
        <f t="shared" si="16"/>
        <v>1019</v>
      </c>
      <c r="C1024" s="104" t="s">
        <v>1009</v>
      </c>
      <c r="D1024" s="102">
        <v>9420006</v>
      </c>
      <c r="E1024" s="102"/>
      <c r="F1024" s="103">
        <v>36532</v>
      </c>
      <c r="G1024" s="99"/>
      <c r="H1024" s="99"/>
      <c r="I1024" s="99"/>
      <c r="J1024" s="20"/>
      <c r="K1024" s="21"/>
      <c r="L1024" s="21"/>
      <c r="M1024" s="21"/>
      <c r="N1024" s="21"/>
      <c r="O1024" s="21"/>
    </row>
    <row r="1025" spans="2:15" ht="14.15" customHeight="1" x14ac:dyDescent="0.35">
      <c r="B1025" s="100">
        <f t="shared" si="16"/>
        <v>1020</v>
      </c>
      <c r="C1025" s="104" t="s">
        <v>1010</v>
      </c>
      <c r="D1025" s="102">
        <v>9520256</v>
      </c>
      <c r="E1025" s="102"/>
      <c r="F1025" s="103">
        <v>36532</v>
      </c>
      <c r="G1025" s="99"/>
      <c r="H1025" s="99"/>
      <c r="I1025" s="99"/>
      <c r="J1025" s="20"/>
      <c r="K1025" s="21"/>
      <c r="L1025" s="21"/>
      <c r="M1025" s="21"/>
      <c r="N1025" s="21"/>
      <c r="O1025" s="21"/>
    </row>
    <row r="1026" spans="2:15" ht="14.15" customHeight="1" x14ac:dyDescent="0.35">
      <c r="B1026" s="100">
        <f t="shared" si="16"/>
        <v>1021</v>
      </c>
      <c r="C1026" s="104" t="s">
        <v>1011</v>
      </c>
      <c r="D1026" s="102">
        <v>9217707</v>
      </c>
      <c r="E1026" s="102"/>
      <c r="F1026" s="103">
        <v>36556</v>
      </c>
      <c r="G1026" s="99"/>
      <c r="H1026" s="99"/>
      <c r="I1026" s="99"/>
      <c r="J1026" s="20"/>
      <c r="K1026" s="21"/>
      <c r="L1026" s="21"/>
      <c r="M1026" s="21"/>
      <c r="N1026" s="21"/>
      <c r="O1026" s="21"/>
    </row>
    <row r="1027" spans="2:15" ht="14.15" customHeight="1" x14ac:dyDescent="0.35">
      <c r="B1027" s="100">
        <f t="shared" si="16"/>
        <v>1022</v>
      </c>
      <c r="C1027" s="104" t="s">
        <v>1012</v>
      </c>
      <c r="D1027" s="102">
        <v>9519552</v>
      </c>
      <c r="E1027" s="102"/>
      <c r="F1027" s="103">
        <v>36570</v>
      </c>
      <c r="G1027" s="99"/>
      <c r="H1027" s="99"/>
      <c r="I1027" s="99"/>
      <c r="J1027" s="20"/>
      <c r="K1027" s="21"/>
      <c r="L1027" s="21"/>
      <c r="M1027" s="21"/>
      <c r="N1027" s="21"/>
      <c r="O1027" s="21"/>
    </row>
    <row r="1028" spans="2:15" ht="14.15" customHeight="1" x14ac:dyDescent="0.35">
      <c r="B1028" s="100">
        <f t="shared" si="16"/>
        <v>1023</v>
      </c>
      <c r="C1028" s="104" t="s">
        <v>1013</v>
      </c>
      <c r="D1028" s="102">
        <v>9418945</v>
      </c>
      <c r="E1028" s="102"/>
      <c r="F1028" s="103">
        <v>36572</v>
      </c>
      <c r="G1028" s="99"/>
      <c r="H1028" s="99"/>
      <c r="I1028" s="99"/>
      <c r="J1028" s="20"/>
      <c r="K1028" s="21"/>
      <c r="L1028" s="21"/>
      <c r="M1028" s="21"/>
      <c r="N1028" s="21"/>
      <c r="O1028" s="21"/>
    </row>
    <row r="1029" spans="2:15" ht="14.15" customHeight="1" x14ac:dyDescent="0.35">
      <c r="B1029" s="100">
        <f t="shared" si="16"/>
        <v>1024</v>
      </c>
      <c r="C1029" s="104" t="s">
        <v>1014</v>
      </c>
      <c r="D1029" s="102">
        <v>9519555</v>
      </c>
      <c r="E1029" s="102"/>
      <c r="F1029" s="103">
        <v>36598</v>
      </c>
      <c r="G1029" s="99"/>
      <c r="H1029" s="99"/>
      <c r="I1029" s="99"/>
      <c r="J1029" s="20"/>
      <c r="K1029" s="21"/>
      <c r="L1029" s="21"/>
      <c r="M1029" s="21"/>
      <c r="N1029" s="21"/>
      <c r="O1029" s="21"/>
    </row>
    <row r="1030" spans="2:15" ht="14.15" customHeight="1" x14ac:dyDescent="0.35">
      <c r="B1030" s="100">
        <f t="shared" si="16"/>
        <v>1025</v>
      </c>
      <c r="C1030" s="104" t="s">
        <v>1015</v>
      </c>
      <c r="D1030" s="102">
        <v>9520011</v>
      </c>
      <c r="E1030" s="102"/>
      <c r="F1030" s="103">
        <v>36598</v>
      </c>
      <c r="G1030" s="99"/>
      <c r="H1030" s="99"/>
      <c r="I1030" s="99"/>
      <c r="J1030" s="20"/>
      <c r="K1030" s="21"/>
      <c r="L1030" s="21"/>
      <c r="M1030" s="21"/>
      <c r="N1030" s="21"/>
      <c r="O1030" s="21"/>
    </row>
    <row r="1031" spans="2:15" ht="14.15" customHeight="1" x14ac:dyDescent="0.35">
      <c r="B1031" s="100">
        <f t="shared" si="16"/>
        <v>1026</v>
      </c>
      <c r="C1031" s="104" t="s">
        <v>1016</v>
      </c>
      <c r="D1031" s="102">
        <v>9218097</v>
      </c>
      <c r="E1031" s="102"/>
      <c r="F1031" s="103">
        <v>36599</v>
      </c>
      <c r="G1031" s="99"/>
      <c r="H1031" s="99"/>
      <c r="I1031" s="99"/>
      <c r="J1031" s="20"/>
      <c r="K1031" s="21"/>
      <c r="L1031" s="21"/>
      <c r="M1031" s="21"/>
      <c r="N1031" s="21"/>
      <c r="O1031" s="21"/>
    </row>
    <row r="1032" spans="2:15" ht="14.15" customHeight="1" x14ac:dyDescent="0.35">
      <c r="B1032" s="100">
        <f t="shared" si="16"/>
        <v>1027</v>
      </c>
      <c r="C1032" s="104" t="s">
        <v>1017</v>
      </c>
      <c r="D1032" s="102">
        <v>9519730</v>
      </c>
      <c r="E1032" s="102"/>
      <c r="F1032" s="103">
        <v>36600</v>
      </c>
      <c r="G1032" s="99"/>
      <c r="H1032" s="99"/>
      <c r="I1032" s="99"/>
      <c r="J1032" s="20"/>
      <c r="K1032" s="21"/>
      <c r="L1032" s="21"/>
      <c r="M1032" s="21"/>
      <c r="N1032" s="21"/>
      <c r="O1032" s="21"/>
    </row>
    <row r="1033" spans="2:15" ht="14.15" customHeight="1" x14ac:dyDescent="0.35">
      <c r="B1033" s="100">
        <f t="shared" si="16"/>
        <v>1028</v>
      </c>
      <c r="C1033" s="104" t="s">
        <v>1018</v>
      </c>
      <c r="D1033" s="102">
        <v>9519810</v>
      </c>
      <c r="E1033" s="102"/>
      <c r="F1033" s="103">
        <v>36603</v>
      </c>
      <c r="G1033" s="99"/>
      <c r="H1033" s="99"/>
      <c r="I1033" s="99"/>
      <c r="J1033" s="20"/>
      <c r="K1033" s="21"/>
      <c r="L1033" s="21"/>
      <c r="M1033" s="21"/>
      <c r="N1033" s="21"/>
      <c r="O1033" s="21"/>
    </row>
    <row r="1034" spans="2:15" ht="14.15" customHeight="1" x14ac:dyDescent="0.35">
      <c r="B1034" s="100">
        <f t="shared" si="16"/>
        <v>1029</v>
      </c>
      <c r="C1034" s="104" t="s">
        <v>1019</v>
      </c>
      <c r="D1034" s="102">
        <v>9318768</v>
      </c>
      <c r="E1034" s="102"/>
      <c r="F1034" s="103">
        <v>36610</v>
      </c>
      <c r="G1034" s="99"/>
      <c r="H1034" s="99"/>
      <c r="I1034" s="99"/>
      <c r="J1034" s="20"/>
      <c r="K1034" s="21"/>
      <c r="L1034" s="21"/>
      <c r="M1034" s="21"/>
      <c r="N1034" s="21"/>
      <c r="O1034" s="21"/>
    </row>
    <row r="1035" spans="2:15" ht="14.15" customHeight="1" x14ac:dyDescent="0.35">
      <c r="B1035" s="100">
        <f t="shared" si="16"/>
        <v>1030</v>
      </c>
      <c r="C1035" s="104" t="s">
        <v>1020</v>
      </c>
      <c r="D1035" s="102">
        <v>9419325</v>
      </c>
      <c r="E1035" s="102"/>
      <c r="F1035" s="103">
        <v>36617</v>
      </c>
      <c r="G1035" s="99"/>
      <c r="H1035" s="99"/>
      <c r="I1035" s="99"/>
      <c r="J1035" s="20"/>
      <c r="K1035" s="21"/>
      <c r="L1035" s="21"/>
      <c r="M1035" s="21"/>
      <c r="N1035" s="21"/>
      <c r="O1035" s="21"/>
    </row>
    <row r="1036" spans="2:15" ht="14.15" customHeight="1" x14ac:dyDescent="0.35">
      <c r="B1036" s="100">
        <f t="shared" si="16"/>
        <v>1031</v>
      </c>
      <c r="C1036" s="104" t="s">
        <v>1021</v>
      </c>
      <c r="D1036" s="102">
        <v>9318553</v>
      </c>
      <c r="E1036" s="102"/>
      <c r="F1036" s="103">
        <v>36623</v>
      </c>
      <c r="G1036" s="99"/>
      <c r="H1036" s="99"/>
      <c r="I1036" s="99"/>
      <c r="J1036" s="20"/>
      <c r="K1036" s="21"/>
      <c r="L1036" s="21"/>
      <c r="M1036" s="21"/>
      <c r="N1036" s="21"/>
      <c r="O1036" s="21"/>
    </row>
    <row r="1037" spans="2:15" ht="14.15" customHeight="1" x14ac:dyDescent="0.35">
      <c r="B1037" s="100">
        <f t="shared" si="16"/>
        <v>1032</v>
      </c>
      <c r="C1037" s="104" t="s">
        <v>1022</v>
      </c>
      <c r="D1037" s="102">
        <v>9519721</v>
      </c>
      <c r="E1037" s="102"/>
      <c r="F1037" s="103">
        <v>36630</v>
      </c>
      <c r="G1037" s="99"/>
      <c r="H1037" s="99"/>
      <c r="I1037" s="99"/>
      <c r="J1037" s="20"/>
      <c r="K1037" s="21"/>
      <c r="L1037" s="21"/>
      <c r="M1037" s="21"/>
      <c r="N1037" s="21"/>
      <c r="O1037" s="21"/>
    </row>
    <row r="1038" spans="2:15" ht="14.15" customHeight="1" x14ac:dyDescent="0.35">
      <c r="B1038" s="100">
        <f t="shared" si="16"/>
        <v>1033</v>
      </c>
      <c r="C1038" s="104" t="s">
        <v>1023</v>
      </c>
      <c r="D1038" s="102">
        <v>9117507</v>
      </c>
      <c r="E1038" s="102"/>
      <c r="F1038" s="103">
        <v>36631</v>
      </c>
      <c r="G1038" s="99"/>
      <c r="H1038" s="99"/>
      <c r="I1038" s="99"/>
      <c r="J1038" s="20"/>
      <c r="K1038" s="21"/>
      <c r="L1038" s="21"/>
      <c r="M1038" s="21"/>
      <c r="N1038" s="21"/>
      <c r="O1038" s="21"/>
    </row>
    <row r="1039" spans="2:15" ht="14.15" customHeight="1" x14ac:dyDescent="0.35">
      <c r="B1039" s="100">
        <f t="shared" si="16"/>
        <v>1034</v>
      </c>
      <c r="C1039" s="104" t="s">
        <v>1024</v>
      </c>
      <c r="D1039" s="102">
        <v>9318645</v>
      </c>
      <c r="E1039" s="102"/>
      <c r="F1039" s="103">
        <v>36631</v>
      </c>
      <c r="G1039" s="99"/>
      <c r="H1039" s="99"/>
      <c r="I1039" s="99"/>
      <c r="J1039" s="20"/>
      <c r="K1039" s="21"/>
      <c r="L1039" s="21"/>
      <c r="M1039" s="21"/>
      <c r="N1039" s="21"/>
      <c r="O1039" s="21"/>
    </row>
    <row r="1040" spans="2:15" ht="14.15" customHeight="1" x14ac:dyDescent="0.35">
      <c r="B1040" s="100">
        <f t="shared" si="16"/>
        <v>1035</v>
      </c>
      <c r="C1040" s="104" t="s">
        <v>1025</v>
      </c>
      <c r="D1040" s="102">
        <v>9419183</v>
      </c>
      <c r="E1040" s="102"/>
      <c r="F1040" s="103">
        <v>36631</v>
      </c>
      <c r="G1040" s="99"/>
      <c r="H1040" s="99"/>
      <c r="I1040" s="99"/>
      <c r="J1040" s="20"/>
      <c r="K1040" s="21"/>
      <c r="L1040" s="21"/>
      <c r="M1040" s="21"/>
      <c r="N1040" s="21"/>
      <c r="O1040" s="21"/>
    </row>
    <row r="1041" spans="2:15" ht="14.15" customHeight="1" x14ac:dyDescent="0.35">
      <c r="B1041" s="100">
        <f t="shared" si="16"/>
        <v>1036</v>
      </c>
      <c r="C1041" s="104" t="s">
        <v>1026</v>
      </c>
      <c r="D1041" s="102">
        <v>9519727</v>
      </c>
      <c r="E1041" s="102"/>
      <c r="F1041" s="103">
        <v>36631</v>
      </c>
      <c r="G1041" s="99"/>
      <c r="H1041" s="99"/>
      <c r="I1041" s="99"/>
      <c r="J1041" s="20"/>
      <c r="K1041" s="21"/>
      <c r="L1041" s="21"/>
      <c r="M1041" s="21"/>
      <c r="N1041" s="21"/>
      <c r="O1041" s="21"/>
    </row>
    <row r="1042" spans="2:15" ht="14.15" customHeight="1" x14ac:dyDescent="0.35">
      <c r="B1042" s="100">
        <f t="shared" si="16"/>
        <v>1037</v>
      </c>
      <c r="C1042" s="104" t="s">
        <v>1027</v>
      </c>
      <c r="D1042" s="102">
        <v>9519850</v>
      </c>
      <c r="E1042" s="102"/>
      <c r="F1042" s="103">
        <v>36631</v>
      </c>
      <c r="G1042" s="99"/>
      <c r="H1042" s="99"/>
      <c r="I1042" s="99"/>
      <c r="J1042" s="20"/>
      <c r="K1042" s="21"/>
      <c r="L1042" s="21"/>
      <c r="M1042" s="21"/>
      <c r="N1042" s="21"/>
      <c r="O1042" s="21"/>
    </row>
    <row r="1043" spans="2:15" ht="14.15" customHeight="1" x14ac:dyDescent="0.35">
      <c r="B1043" s="100">
        <f t="shared" si="16"/>
        <v>1038</v>
      </c>
      <c r="C1043" s="104" t="s">
        <v>1028</v>
      </c>
      <c r="D1043" s="102">
        <v>9217598</v>
      </c>
      <c r="E1043" s="102"/>
      <c r="F1043" s="103">
        <v>36641</v>
      </c>
      <c r="G1043" s="99"/>
      <c r="H1043" s="99"/>
      <c r="I1043" s="99"/>
      <c r="J1043" s="20"/>
      <c r="K1043" s="21"/>
      <c r="L1043" s="21"/>
      <c r="M1043" s="21"/>
      <c r="N1043" s="21"/>
      <c r="O1043" s="21"/>
    </row>
    <row r="1044" spans="2:15" ht="14.15" customHeight="1" x14ac:dyDescent="0.35">
      <c r="B1044" s="100">
        <f t="shared" si="16"/>
        <v>1039</v>
      </c>
      <c r="C1044" s="104" t="s">
        <v>1029</v>
      </c>
      <c r="D1044" s="102">
        <v>9218098</v>
      </c>
      <c r="E1044" s="102"/>
      <c r="F1044" s="103">
        <v>36642</v>
      </c>
      <c r="G1044" s="99"/>
      <c r="H1044" s="99"/>
      <c r="I1044" s="99"/>
      <c r="J1044" s="20"/>
      <c r="K1044" s="21"/>
      <c r="L1044" s="21"/>
      <c r="M1044" s="21"/>
      <c r="N1044" s="21"/>
      <c r="O1044" s="21"/>
    </row>
    <row r="1045" spans="2:15" ht="14.15" customHeight="1" x14ac:dyDescent="0.35">
      <c r="B1045" s="100">
        <f t="shared" si="16"/>
        <v>1040</v>
      </c>
      <c r="C1045" s="104" t="s">
        <v>1030</v>
      </c>
      <c r="D1045" s="102">
        <v>9418902</v>
      </c>
      <c r="E1045" s="102"/>
      <c r="F1045" s="103">
        <v>36666</v>
      </c>
      <c r="G1045" s="99"/>
      <c r="H1045" s="99"/>
      <c r="I1045" s="99"/>
      <c r="J1045" s="20"/>
      <c r="K1045" s="21"/>
      <c r="L1045" s="21"/>
      <c r="M1045" s="21"/>
      <c r="N1045" s="21"/>
      <c r="O1045" s="21"/>
    </row>
    <row r="1046" spans="2:15" ht="14.15" customHeight="1" x14ac:dyDescent="0.35">
      <c r="B1046" s="100">
        <f t="shared" si="16"/>
        <v>1041</v>
      </c>
      <c r="C1046" s="104" t="s">
        <v>1031</v>
      </c>
      <c r="D1046" s="102">
        <v>9520164</v>
      </c>
      <c r="E1046" s="102"/>
      <c r="F1046" s="103">
        <v>36687</v>
      </c>
      <c r="G1046" s="99"/>
      <c r="H1046" s="99"/>
      <c r="I1046" s="99"/>
      <c r="J1046" s="20"/>
      <c r="K1046" s="21"/>
      <c r="L1046" s="21"/>
      <c r="M1046" s="21"/>
      <c r="N1046" s="21"/>
      <c r="O1046" s="21"/>
    </row>
    <row r="1047" spans="2:15" ht="14.15" customHeight="1" x14ac:dyDescent="0.35">
      <c r="B1047" s="100">
        <f t="shared" si="16"/>
        <v>1042</v>
      </c>
      <c r="C1047" s="104" t="s">
        <v>1032</v>
      </c>
      <c r="D1047" s="102">
        <v>9520217</v>
      </c>
      <c r="E1047" s="102"/>
      <c r="F1047" s="103">
        <v>36689</v>
      </c>
      <c r="G1047" s="99"/>
      <c r="H1047" s="99"/>
      <c r="I1047" s="99"/>
      <c r="J1047" s="20"/>
      <c r="K1047" s="21"/>
      <c r="L1047" s="21"/>
      <c r="M1047" s="21"/>
      <c r="N1047" s="21"/>
      <c r="O1047" s="21"/>
    </row>
    <row r="1048" spans="2:15" ht="14.15" customHeight="1" x14ac:dyDescent="0.35">
      <c r="B1048" s="100">
        <f t="shared" si="16"/>
        <v>1043</v>
      </c>
      <c r="C1048" s="104" t="s">
        <v>1033</v>
      </c>
      <c r="D1048" s="102">
        <v>9520284</v>
      </c>
      <c r="E1048" s="102"/>
      <c r="F1048" s="103">
        <v>36689</v>
      </c>
      <c r="G1048" s="99"/>
      <c r="H1048" s="99"/>
      <c r="I1048" s="99"/>
      <c r="J1048" s="20"/>
      <c r="K1048" s="21"/>
      <c r="L1048" s="21"/>
      <c r="M1048" s="21"/>
      <c r="N1048" s="21"/>
      <c r="O1048" s="21"/>
    </row>
    <row r="1049" spans="2:15" ht="14.15" customHeight="1" x14ac:dyDescent="0.35">
      <c r="B1049" s="100">
        <f t="shared" si="16"/>
        <v>1044</v>
      </c>
      <c r="C1049" s="104" t="s">
        <v>1034</v>
      </c>
      <c r="D1049" s="102">
        <v>9519600</v>
      </c>
      <c r="E1049" s="102"/>
      <c r="F1049" s="103">
        <v>36698</v>
      </c>
      <c r="G1049" s="99"/>
      <c r="H1049" s="99"/>
      <c r="I1049" s="99"/>
      <c r="J1049" s="20"/>
      <c r="K1049" s="21"/>
      <c r="L1049" s="21"/>
      <c r="M1049" s="21"/>
      <c r="N1049" s="21"/>
      <c r="O1049" s="21"/>
    </row>
    <row r="1050" spans="2:15" ht="14.15" customHeight="1" x14ac:dyDescent="0.35">
      <c r="B1050" s="100">
        <f t="shared" si="16"/>
        <v>1045</v>
      </c>
      <c r="C1050" s="104" t="s">
        <v>1035</v>
      </c>
      <c r="D1050" s="102">
        <v>9519515</v>
      </c>
      <c r="E1050" s="102"/>
      <c r="F1050" s="103">
        <v>36699</v>
      </c>
      <c r="G1050" s="99"/>
      <c r="H1050" s="99"/>
      <c r="I1050" s="99"/>
      <c r="J1050" s="20"/>
      <c r="K1050" s="21"/>
      <c r="L1050" s="21"/>
      <c r="M1050" s="21"/>
      <c r="N1050" s="21"/>
      <c r="O1050" s="21"/>
    </row>
    <row r="1051" spans="2:15" ht="14.15" customHeight="1" x14ac:dyDescent="0.35">
      <c r="B1051" s="100">
        <f t="shared" si="16"/>
        <v>1046</v>
      </c>
      <c r="C1051" s="104" t="s">
        <v>1036</v>
      </c>
      <c r="D1051" s="102">
        <v>9520162</v>
      </c>
      <c r="E1051" s="102"/>
      <c r="F1051" s="103">
        <v>36699</v>
      </c>
      <c r="G1051" s="99"/>
      <c r="H1051" s="99"/>
      <c r="I1051" s="99"/>
      <c r="J1051" s="20"/>
      <c r="K1051" s="21"/>
      <c r="L1051" s="21"/>
      <c r="M1051" s="21"/>
      <c r="N1051" s="21"/>
      <c r="O1051" s="21"/>
    </row>
    <row r="1052" spans="2:15" ht="14.15" customHeight="1" x14ac:dyDescent="0.35">
      <c r="B1052" s="100">
        <f t="shared" si="16"/>
        <v>1047</v>
      </c>
      <c r="C1052" s="104" t="s">
        <v>1037</v>
      </c>
      <c r="D1052" s="102">
        <v>9519661</v>
      </c>
      <c r="E1052" s="102"/>
      <c r="F1052" s="103">
        <v>36706</v>
      </c>
      <c r="G1052" s="99"/>
      <c r="H1052" s="99"/>
      <c r="I1052" s="99"/>
      <c r="J1052" s="20"/>
      <c r="K1052" s="21"/>
      <c r="L1052" s="21"/>
      <c r="M1052" s="21"/>
      <c r="N1052" s="21"/>
      <c r="O1052" s="21"/>
    </row>
    <row r="1053" spans="2:15" ht="14.15" customHeight="1" x14ac:dyDescent="0.35">
      <c r="B1053" s="100">
        <f t="shared" si="16"/>
        <v>1048</v>
      </c>
      <c r="C1053" s="104" t="s">
        <v>1038</v>
      </c>
      <c r="D1053" s="102">
        <v>9519848</v>
      </c>
      <c r="E1053" s="102"/>
      <c r="F1053" s="103">
        <v>36710</v>
      </c>
      <c r="G1053" s="99"/>
      <c r="H1053" s="99"/>
      <c r="I1053" s="99"/>
      <c r="J1053" s="20"/>
      <c r="K1053" s="21"/>
      <c r="L1053" s="21"/>
      <c r="M1053" s="21"/>
      <c r="N1053" s="21"/>
      <c r="O1053" s="21"/>
    </row>
    <row r="1054" spans="2:15" ht="14.15" customHeight="1" x14ac:dyDescent="0.35">
      <c r="B1054" s="100">
        <f t="shared" si="16"/>
        <v>1049</v>
      </c>
      <c r="C1054" s="104" t="s">
        <v>1039</v>
      </c>
      <c r="D1054" s="102">
        <v>9520080</v>
      </c>
      <c r="E1054" s="102"/>
      <c r="F1054" s="103">
        <v>36713</v>
      </c>
      <c r="G1054" s="99"/>
      <c r="H1054" s="99"/>
      <c r="I1054" s="99"/>
      <c r="J1054" s="20"/>
      <c r="K1054" s="21"/>
      <c r="L1054" s="21"/>
      <c r="M1054" s="21"/>
      <c r="N1054" s="21"/>
      <c r="O1054" s="21"/>
    </row>
    <row r="1055" spans="2:15" ht="14.15" customHeight="1" x14ac:dyDescent="0.35">
      <c r="B1055" s="100">
        <f t="shared" si="16"/>
        <v>1050</v>
      </c>
      <c r="C1055" s="104" t="s">
        <v>1040</v>
      </c>
      <c r="D1055" s="102">
        <v>9418898</v>
      </c>
      <c r="E1055" s="102"/>
      <c r="F1055" s="103">
        <v>36721</v>
      </c>
      <c r="G1055" s="99"/>
      <c r="H1055" s="99"/>
      <c r="I1055" s="99"/>
      <c r="J1055" s="20"/>
      <c r="K1055" s="21"/>
      <c r="L1055" s="21"/>
      <c r="M1055" s="21"/>
      <c r="N1055" s="21"/>
      <c r="O1055" s="21"/>
    </row>
    <row r="1056" spans="2:15" ht="14.15" customHeight="1" x14ac:dyDescent="0.35">
      <c r="B1056" s="100">
        <f t="shared" si="16"/>
        <v>1051</v>
      </c>
      <c r="C1056" s="104" t="s">
        <v>1041</v>
      </c>
      <c r="D1056" s="102">
        <v>9519726</v>
      </c>
      <c r="E1056" s="102"/>
      <c r="F1056" s="103">
        <v>36724</v>
      </c>
      <c r="G1056" s="99"/>
      <c r="H1056" s="99"/>
      <c r="I1056" s="99"/>
      <c r="J1056" s="20"/>
      <c r="K1056" s="21"/>
      <c r="L1056" s="21"/>
      <c r="M1056" s="21"/>
      <c r="N1056" s="21"/>
      <c r="O1056" s="21"/>
    </row>
    <row r="1057" spans="2:15" ht="14.15" customHeight="1" x14ac:dyDescent="0.35">
      <c r="B1057" s="100">
        <f t="shared" si="16"/>
        <v>1052</v>
      </c>
      <c r="C1057" s="104" t="s">
        <v>1042</v>
      </c>
      <c r="D1057" s="102">
        <v>9519958</v>
      </c>
      <c r="E1057" s="102"/>
      <c r="F1057" s="103">
        <v>36724</v>
      </c>
      <c r="G1057" s="99"/>
      <c r="H1057" s="99"/>
      <c r="I1057" s="99"/>
      <c r="J1057" s="20"/>
      <c r="K1057" s="21"/>
      <c r="L1057" s="21"/>
      <c r="M1057" s="21"/>
      <c r="N1057" s="21"/>
      <c r="O1057" s="21"/>
    </row>
    <row r="1058" spans="2:15" ht="14.15" customHeight="1" x14ac:dyDescent="0.35">
      <c r="B1058" s="100">
        <f t="shared" si="16"/>
        <v>1053</v>
      </c>
      <c r="C1058" s="104" t="s">
        <v>1043</v>
      </c>
      <c r="D1058" s="102">
        <v>9520060</v>
      </c>
      <c r="E1058" s="102"/>
      <c r="F1058" s="103">
        <v>36724</v>
      </c>
      <c r="G1058" s="99"/>
      <c r="H1058" s="99"/>
      <c r="I1058" s="99"/>
      <c r="J1058" s="20"/>
      <c r="K1058" s="21"/>
      <c r="L1058" s="21"/>
      <c r="M1058" s="21"/>
      <c r="N1058" s="21"/>
      <c r="O1058" s="21"/>
    </row>
    <row r="1059" spans="2:15" ht="14.15" customHeight="1" x14ac:dyDescent="0.35">
      <c r="B1059" s="100">
        <f t="shared" si="16"/>
        <v>1054</v>
      </c>
      <c r="C1059" s="104" t="s">
        <v>1044</v>
      </c>
      <c r="D1059" s="102">
        <v>9519908</v>
      </c>
      <c r="E1059" s="102"/>
      <c r="F1059" s="103">
        <v>36725</v>
      </c>
      <c r="G1059" s="99"/>
      <c r="H1059" s="99"/>
      <c r="I1059" s="99"/>
      <c r="J1059" s="20"/>
      <c r="K1059" s="21"/>
      <c r="L1059" s="21"/>
      <c r="M1059" s="21"/>
      <c r="N1059" s="21"/>
      <c r="O1059" s="21"/>
    </row>
    <row r="1060" spans="2:15" ht="14.15" customHeight="1" x14ac:dyDescent="0.35">
      <c r="B1060" s="100">
        <f t="shared" si="16"/>
        <v>1055</v>
      </c>
      <c r="C1060" s="104" t="s">
        <v>1045</v>
      </c>
      <c r="D1060" s="102">
        <v>9519682</v>
      </c>
      <c r="E1060" s="102"/>
      <c r="F1060" s="103">
        <v>36726</v>
      </c>
      <c r="G1060" s="99"/>
      <c r="H1060" s="99"/>
      <c r="I1060" s="99"/>
      <c r="J1060" s="20"/>
      <c r="K1060" s="21"/>
      <c r="L1060" s="21"/>
      <c r="M1060" s="21"/>
      <c r="N1060" s="21"/>
      <c r="O1060" s="21"/>
    </row>
    <row r="1061" spans="2:15" ht="14.15" customHeight="1" x14ac:dyDescent="0.35">
      <c r="B1061" s="100">
        <f t="shared" si="16"/>
        <v>1056</v>
      </c>
      <c r="C1061" s="104" t="s">
        <v>1046</v>
      </c>
      <c r="D1061" s="102">
        <v>9318686</v>
      </c>
      <c r="E1061" s="102"/>
      <c r="F1061" s="103">
        <v>36729</v>
      </c>
      <c r="G1061" s="99"/>
      <c r="H1061" s="99"/>
      <c r="I1061" s="99"/>
      <c r="J1061" s="20"/>
      <c r="K1061" s="21"/>
      <c r="L1061" s="21"/>
      <c r="M1061" s="21"/>
      <c r="N1061" s="21"/>
      <c r="O1061" s="21"/>
    </row>
    <row r="1062" spans="2:15" ht="14.15" customHeight="1" x14ac:dyDescent="0.35">
      <c r="B1062" s="100">
        <f t="shared" si="16"/>
        <v>1057</v>
      </c>
      <c r="C1062" s="104" t="s">
        <v>1047</v>
      </c>
      <c r="D1062" s="102">
        <v>9217605</v>
      </c>
      <c r="E1062" s="102"/>
      <c r="F1062" s="103">
        <v>36732</v>
      </c>
      <c r="G1062" s="99"/>
      <c r="H1062" s="99"/>
      <c r="I1062" s="99"/>
      <c r="J1062" s="20"/>
      <c r="K1062" s="21"/>
      <c r="L1062" s="21"/>
      <c r="M1062" s="21"/>
      <c r="N1062" s="21"/>
      <c r="O1062" s="21"/>
    </row>
    <row r="1063" spans="2:15" ht="14.15" customHeight="1" x14ac:dyDescent="0.35">
      <c r="B1063" s="100">
        <f t="shared" si="16"/>
        <v>1058</v>
      </c>
      <c r="C1063" s="104" t="s">
        <v>1048</v>
      </c>
      <c r="D1063" s="102">
        <v>9117436</v>
      </c>
      <c r="E1063" s="102"/>
      <c r="F1063" s="103">
        <v>36733</v>
      </c>
      <c r="G1063" s="99"/>
      <c r="H1063" s="99"/>
      <c r="I1063" s="99"/>
      <c r="J1063" s="20"/>
      <c r="K1063" s="21"/>
      <c r="L1063" s="21"/>
      <c r="M1063" s="21"/>
      <c r="N1063" s="21"/>
      <c r="O1063" s="21"/>
    </row>
    <row r="1064" spans="2:15" ht="14.15" customHeight="1" x14ac:dyDescent="0.35">
      <c r="B1064" s="100">
        <f t="shared" ref="B1064:B1069" si="17">(B1063+1)</f>
        <v>1059</v>
      </c>
      <c r="C1064" s="104" t="s">
        <v>1049</v>
      </c>
      <c r="D1064" s="102">
        <v>9519797</v>
      </c>
      <c r="E1064" s="102"/>
      <c r="F1064" s="103">
        <v>36733</v>
      </c>
      <c r="G1064" s="99"/>
      <c r="H1064" s="99"/>
      <c r="I1064" s="99"/>
      <c r="J1064" s="20"/>
      <c r="K1064" s="21"/>
      <c r="L1064" s="21"/>
      <c r="M1064" s="21"/>
      <c r="N1064" s="21"/>
      <c r="O1064" s="21"/>
    </row>
    <row r="1065" spans="2:15" ht="14.15" customHeight="1" x14ac:dyDescent="0.35">
      <c r="B1065" s="100">
        <f t="shared" si="17"/>
        <v>1060</v>
      </c>
      <c r="C1065" s="104" t="s">
        <v>1050</v>
      </c>
      <c r="D1065" s="102">
        <v>9519846</v>
      </c>
      <c r="E1065" s="102"/>
      <c r="F1065" s="103">
        <v>36738</v>
      </c>
      <c r="G1065" s="99"/>
      <c r="H1065" s="99"/>
      <c r="I1065" s="99"/>
      <c r="J1065" s="20"/>
      <c r="K1065" s="21"/>
      <c r="L1065" s="21"/>
      <c r="M1065" s="21"/>
      <c r="N1065" s="21"/>
      <c r="O1065" s="21"/>
    </row>
    <row r="1066" spans="2:15" ht="14.15" customHeight="1" x14ac:dyDescent="0.35">
      <c r="B1066" s="100">
        <f t="shared" si="17"/>
        <v>1061</v>
      </c>
      <c r="C1066" s="104" t="s">
        <v>1051</v>
      </c>
      <c r="D1066" s="102">
        <v>9318682</v>
      </c>
      <c r="E1066" s="102"/>
      <c r="F1066" s="103">
        <v>36747</v>
      </c>
      <c r="G1066" s="99"/>
      <c r="H1066" s="99"/>
      <c r="I1066" s="99"/>
      <c r="J1066" s="20"/>
      <c r="K1066" s="21"/>
      <c r="L1066" s="21"/>
      <c r="M1066" s="21"/>
      <c r="N1066" s="21"/>
      <c r="O1066" s="21"/>
    </row>
    <row r="1067" spans="2:15" ht="14.15" customHeight="1" x14ac:dyDescent="0.35">
      <c r="B1067" s="100">
        <f t="shared" si="17"/>
        <v>1062</v>
      </c>
      <c r="C1067" s="104" t="s">
        <v>1052</v>
      </c>
      <c r="D1067" s="102">
        <v>9520020</v>
      </c>
      <c r="E1067" s="102"/>
      <c r="F1067" s="103">
        <v>36748</v>
      </c>
      <c r="G1067" s="99"/>
      <c r="H1067" s="99"/>
      <c r="I1067" s="99"/>
      <c r="J1067" s="20"/>
      <c r="K1067" s="21"/>
      <c r="L1067" s="21"/>
      <c r="M1067" s="21"/>
      <c r="N1067" s="21"/>
      <c r="O1067" s="21"/>
    </row>
    <row r="1068" spans="2:15" ht="14.15" customHeight="1" x14ac:dyDescent="0.35">
      <c r="B1068" s="100">
        <f t="shared" si="17"/>
        <v>1063</v>
      </c>
      <c r="C1068" s="104" t="s">
        <v>1053</v>
      </c>
      <c r="D1068" s="102">
        <v>9418903</v>
      </c>
      <c r="E1068" s="102"/>
      <c r="F1068" s="103">
        <v>36757</v>
      </c>
      <c r="G1068" s="99"/>
      <c r="H1068" s="99"/>
      <c r="I1068" s="99"/>
      <c r="J1068" s="20"/>
      <c r="K1068" s="21"/>
      <c r="L1068" s="21"/>
      <c r="M1068" s="21"/>
      <c r="N1068" s="21"/>
      <c r="O1068" s="21"/>
    </row>
    <row r="1069" spans="2:15" ht="14.15" customHeight="1" x14ac:dyDescent="0.35">
      <c r="B1069" s="100">
        <f t="shared" si="17"/>
        <v>1064</v>
      </c>
      <c r="C1069" s="104" t="s">
        <v>1054</v>
      </c>
      <c r="D1069" s="102">
        <v>9117437</v>
      </c>
      <c r="E1069" s="102"/>
      <c r="F1069" s="103">
        <v>36765</v>
      </c>
      <c r="G1069" s="99"/>
      <c r="H1069" s="99"/>
      <c r="I1069" s="99"/>
      <c r="J1069" s="20"/>
      <c r="K1069" s="21"/>
      <c r="L1069" s="21"/>
      <c r="M1069" s="21"/>
      <c r="N1069" s="21"/>
      <c r="O1069" s="21"/>
    </row>
    <row r="1070" spans="2:15" ht="14.15" customHeight="1" x14ac:dyDescent="0.35">
      <c r="B1070" s="100"/>
      <c r="C1070" s="104"/>
      <c r="D1070" s="102"/>
      <c r="E1070" s="102"/>
      <c r="F1070" s="103"/>
      <c r="G1070" s="99"/>
      <c r="H1070" s="99"/>
      <c r="I1070" s="99"/>
      <c r="J1070" s="20"/>
      <c r="K1070" s="21"/>
      <c r="L1070" s="21"/>
      <c r="M1070" s="21"/>
      <c r="N1070" s="21"/>
      <c r="O1070" s="21"/>
    </row>
    <row r="1071" spans="2:15" ht="14.15" customHeight="1" x14ac:dyDescent="0.35">
      <c r="B1071" s="100"/>
      <c r="C1071" s="110" t="s">
        <v>1055</v>
      </c>
      <c r="D1071" s="102"/>
      <c r="E1071" s="102"/>
      <c r="F1071" s="103"/>
      <c r="G1071" s="99"/>
      <c r="H1071" s="99"/>
      <c r="I1071" s="99"/>
      <c r="J1071" s="20"/>
      <c r="K1071" s="21"/>
      <c r="L1071" s="21"/>
      <c r="M1071" s="21"/>
      <c r="N1071" s="21"/>
      <c r="O1071" s="21"/>
    </row>
    <row r="1072" spans="2:15" ht="14.15" customHeight="1" x14ac:dyDescent="0.35">
      <c r="B1072" s="100">
        <f>(B1069+1)</f>
        <v>1065</v>
      </c>
      <c r="C1072" s="104" t="s">
        <v>1056</v>
      </c>
      <c r="D1072" s="102">
        <v>9519751</v>
      </c>
      <c r="E1072" s="102"/>
      <c r="F1072" s="103">
        <v>36792</v>
      </c>
      <c r="G1072" s="99"/>
      <c r="H1072" s="99"/>
      <c r="I1072" s="99"/>
      <c r="J1072" s="20"/>
      <c r="K1072" s="21"/>
      <c r="L1072" s="21"/>
      <c r="M1072" s="21"/>
      <c r="N1072" s="21"/>
      <c r="O1072" s="21"/>
    </row>
    <row r="1073" spans="2:15" ht="14.15" customHeight="1" x14ac:dyDescent="0.35">
      <c r="B1073" s="100">
        <f t="shared" ref="B1073:B1136" si="18">(B1072+1)</f>
        <v>1066</v>
      </c>
      <c r="C1073" s="104" t="s">
        <v>1057</v>
      </c>
      <c r="D1073" s="102">
        <v>9520133</v>
      </c>
      <c r="E1073" s="102"/>
      <c r="F1073" s="103">
        <v>36792</v>
      </c>
      <c r="G1073" s="99"/>
      <c r="H1073" s="99"/>
      <c r="I1073" s="99"/>
      <c r="J1073" s="20"/>
      <c r="K1073" s="21"/>
      <c r="L1073" s="21"/>
      <c r="M1073" s="21"/>
      <c r="N1073" s="21"/>
      <c r="O1073" s="21"/>
    </row>
    <row r="1074" spans="2:15" ht="14.15" customHeight="1" x14ac:dyDescent="0.35">
      <c r="B1074" s="100">
        <f t="shared" si="18"/>
        <v>1067</v>
      </c>
      <c r="C1074" s="104" t="s">
        <v>1058</v>
      </c>
      <c r="D1074" s="102">
        <v>9218082</v>
      </c>
      <c r="E1074" s="102"/>
      <c r="F1074" s="103">
        <v>36797</v>
      </c>
      <c r="G1074" s="99"/>
      <c r="H1074" s="99"/>
      <c r="I1074" s="99"/>
      <c r="J1074" s="20"/>
      <c r="K1074" s="21"/>
      <c r="L1074" s="21"/>
      <c r="M1074" s="21"/>
      <c r="N1074" s="21"/>
      <c r="O1074" s="21"/>
    </row>
    <row r="1075" spans="2:15" ht="14.15" customHeight="1" x14ac:dyDescent="0.35">
      <c r="B1075" s="100">
        <f t="shared" si="18"/>
        <v>1068</v>
      </c>
      <c r="C1075" s="104" t="s">
        <v>1059</v>
      </c>
      <c r="D1075" s="102">
        <v>9519512</v>
      </c>
      <c r="E1075" s="102"/>
      <c r="F1075" s="103">
        <v>36797</v>
      </c>
      <c r="G1075" s="99"/>
      <c r="H1075" s="99"/>
      <c r="I1075" s="99"/>
      <c r="J1075" s="20"/>
      <c r="K1075" s="21"/>
      <c r="L1075" s="21"/>
      <c r="M1075" s="21"/>
      <c r="N1075" s="21"/>
      <c r="O1075" s="21"/>
    </row>
    <row r="1076" spans="2:15" ht="14.15" customHeight="1" x14ac:dyDescent="0.35">
      <c r="B1076" s="100">
        <f t="shared" si="18"/>
        <v>1069</v>
      </c>
      <c r="C1076" s="104" t="s">
        <v>1060</v>
      </c>
      <c r="D1076" s="102">
        <v>9519817</v>
      </c>
      <c r="E1076" s="102"/>
      <c r="F1076" s="103">
        <v>36805</v>
      </c>
      <c r="G1076" s="99"/>
      <c r="H1076" s="99"/>
      <c r="I1076" s="99"/>
      <c r="J1076" s="20"/>
      <c r="K1076" s="21"/>
      <c r="L1076" s="21"/>
      <c r="M1076" s="21"/>
      <c r="N1076" s="21"/>
      <c r="O1076" s="21"/>
    </row>
    <row r="1077" spans="2:15" ht="14.15" customHeight="1" x14ac:dyDescent="0.35">
      <c r="B1077" s="100">
        <f t="shared" si="18"/>
        <v>1070</v>
      </c>
      <c r="C1077" s="104" t="s">
        <v>1061</v>
      </c>
      <c r="D1077" s="102">
        <v>9520199</v>
      </c>
      <c r="E1077" s="102"/>
      <c r="F1077" s="103">
        <v>36806</v>
      </c>
      <c r="G1077" s="99"/>
      <c r="H1077" s="99"/>
      <c r="I1077" s="99"/>
      <c r="J1077" s="20"/>
      <c r="K1077" s="21"/>
      <c r="L1077" s="21"/>
      <c r="M1077" s="21"/>
      <c r="N1077" s="21"/>
      <c r="O1077" s="21"/>
    </row>
    <row r="1078" spans="2:15" ht="14.15" customHeight="1" x14ac:dyDescent="0.35">
      <c r="B1078" s="100">
        <f t="shared" si="18"/>
        <v>1071</v>
      </c>
      <c r="C1078" s="104" t="s">
        <v>1062</v>
      </c>
      <c r="D1078" s="102">
        <v>9620799</v>
      </c>
      <c r="E1078" s="102"/>
      <c r="F1078" s="103">
        <v>36813</v>
      </c>
      <c r="G1078" s="99"/>
      <c r="H1078" s="99"/>
      <c r="I1078" s="99"/>
      <c r="J1078" s="20"/>
      <c r="K1078" s="21"/>
      <c r="L1078" s="21"/>
      <c r="M1078" s="21"/>
      <c r="N1078" s="21"/>
      <c r="O1078" s="21"/>
    </row>
    <row r="1079" spans="2:15" ht="14.15" customHeight="1" x14ac:dyDescent="0.35">
      <c r="B1079" s="100">
        <f t="shared" si="18"/>
        <v>1072</v>
      </c>
      <c r="C1079" s="104" t="s">
        <v>1063</v>
      </c>
      <c r="D1079" s="102">
        <v>9520046</v>
      </c>
      <c r="E1079" s="102"/>
      <c r="F1079" s="103">
        <v>36815</v>
      </c>
      <c r="G1079" s="99"/>
      <c r="H1079" s="99"/>
      <c r="I1079" s="99"/>
      <c r="J1079" s="20"/>
      <c r="K1079" s="21"/>
      <c r="L1079" s="21"/>
      <c r="M1079" s="21"/>
      <c r="N1079" s="21"/>
      <c r="O1079" s="21"/>
    </row>
    <row r="1080" spans="2:15" ht="14.15" customHeight="1" x14ac:dyDescent="0.35">
      <c r="B1080" s="100">
        <f t="shared" si="18"/>
        <v>1073</v>
      </c>
      <c r="C1080" s="104" t="s">
        <v>1064</v>
      </c>
      <c r="D1080" s="102">
        <v>9519667</v>
      </c>
      <c r="E1080" s="102"/>
      <c r="F1080" s="103">
        <v>36819</v>
      </c>
      <c r="G1080" s="99"/>
      <c r="H1080" s="99"/>
      <c r="I1080" s="99"/>
      <c r="J1080" s="20"/>
      <c r="K1080" s="21"/>
      <c r="L1080" s="21"/>
      <c r="M1080" s="21"/>
      <c r="N1080" s="21"/>
      <c r="O1080" s="21"/>
    </row>
    <row r="1081" spans="2:15" ht="14.15" customHeight="1" x14ac:dyDescent="0.35">
      <c r="B1081" s="100">
        <f t="shared" si="18"/>
        <v>1074</v>
      </c>
      <c r="C1081" s="104" t="s">
        <v>1065</v>
      </c>
      <c r="D1081" s="102">
        <v>9117451</v>
      </c>
      <c r="E1081" s="102"/>
      <c r="F1081" s="103">
        <v>36823</v>
      </c>
      <c r="G1081" s="99"/>
      <c r="H1081" s="99"/>
      <c r="I1081" s="99"/>
      <c r="J1081" s="20"/>
      <c r="K1081" s="21"/>
      <c r="L1081" s="21"/>
      <c r="M1081" s="21"/>
      <c r="N1081" s="21"/>
      <c r="O1081" s="21"/>
    </row>
    <row r="1082" spans="2:15" ht="14.15" customHeight="1" x14ac:dyDescent="0.35">
      <c r="B1082" s="100">
        <f t="shared" si="18"/>
        <v>1075</v>
      </c>
      <c r="C1082" s="104" t="s">
        <v>1066</v>
      </c>
      <c r="D1082" s="102">
        <v>9117068</v>
      </c>
      <c r="E1082" s="102"/>
      <c r="F1082" s="103">
        <v>36922</v>
      </c>
      <c r="G1082" s="99"/>
      <c r="H1082" s="99"/>
      <c r="I1082" s="99"/>
      <c r="J1082" s="20"/>
      <c r="K1082" s="21"/>
      <c r="L1082" s="21"/>
      <c r="M1082" s="21"/>
      <c r="N1082" s="21"/>
      <c r="O1082" s="21"/>
    </row>
    <row r="1083" spans="2:15" ht="14.15" customHeight="1" x14ac:dyDescent="0.35">
      <c r="B1083" s="100">
        <f t="shared" si="18"/>
        <v>1076</v>
      </c>
      <c r="C1083" s="104" t="s">
        <v>1067</v>
      </c>
      <c r="D1083" s="102">
        <v>9117418</v>
      </c>
      <c r="E1083" s="102"/>
      <c r="F1083" s="103">
        <v>36922</v>
      </c>
      <c r="G1083" s="99"/>
      <c r="H1083" s="99"/>
      <c r="I1083" s="99"/>
      <c r="J1083" s="20"/>
      <c r="K1083" s="21"/>
      <c r="L1083" s="21"/>
      <c r="M1083" s="21"/>
      <c r="N1083" s="21"/>
      <c r="O1083" s="21"/>
    </row>
    <row r="1084" spans="2:15" ht="14.15" customHeight="1" x14ac:dyDescent="0.35">
      <c r="B1084" s="100">
        <f t="shared" si="18"/>
        <v>1077</v>
      </c>
      <c r="C1084" s="104" t="s">
        <v>1068</v>
      </c>
      <c r="D1084" s="102">
        <v>9117458</v>
      </c>
      <c r="E1084" s="102"/>
      <c r="F1084" s="103">
        <v>36922</v>
      </c>
      <c r="G1084" s="99"/>
      <c r="H1084" s="99"/>
      <c r="I1084" s="99"/>
      <c r="J1084" s="20"/>
      <c r="K1084" s="21"/>
      <c r="L1084" s="21"/>
      <c r="M1084" s="21"/>
      <c r="N1084" s="21"/>
      <c r="O1084" s="21"/>
    </row>
    <row r="1085" spans="2:15" ht="14.15" customHeight="1" x14ac:dyDescent="0.35">
      <c r="B1085" s="100">
        <f t="shared" si="18"/>
        <v>1078</v>
      </c>
      <c r="C1085" s="104" t="s">
        <v>1069</v>
      </c>
      <c r="D1085" s="102">
        <v>9117459</v>
      </c>
      <c r="E1085" s="102"/>
      <c r="F1085" s="103">
        <v>36922</v>
      </c>
      <c r="G1085" s="99"/>
      <c r="H1085" s="99"/>
      <c r="I1085" s="99"/>
      <c r="J1085" s="20"/>
      <c r="K1085" s="21"/>
      <c r="L1085" s="21"/>
      <c r="M1085" s="21"/>
      <c r="N1085" s="21"/>
      <c r="O1085" s="21"/>
    </row>
    <row r="1086" spans="2:15" ht="14.15" customHeight="1" x14ac:dyDescent="0.35">
      <c r="B1086" s="100">
        <f t="shared" si="18"/>
        <v>1079</v>
      </c>
      <c r="C1086" s="104" t="s">
        <v>1070</v>
      </c>
      <c r="D1086" s="102">
        <v>9217593</v>
      </c>
      <c r="E1086" s="102"/>
      <c r="F1086" s="103">
        <v>36922</v>
      </c>
      <c r="G1086" s="99"/>
      <c r="H1086" s="99"/>
      <c r="I1086" s="99"/>
      <c r="J1086" s="20"/>
      <c r="K1086" s="21"/>
      <c r="L1086" s="21"/>
      <c r="M1086" s="21"/>
      <c r="N1086" s="21"/>
      <c r="O1086" s="21"/>
    </row>
    <row r="1087" spans="2:15" ht="14.15" customHeight="1" x14ac:dyDescent="0.35">
      <c r="B1087" s="100">
        <f t="shared" si="18"/>
        <v>1080</v>
      </c>
      <c r="C1087" s="104" t="s">
        <v>1071</v>
      </c>
      <c r="D1087" s="102">
        <v>9318465</v>
      </c>
      <c r="E1087" s="102"/>
      <c r="F1087" s="103">
        <v>36922</v>
      </c>
      <c r="G1087" s="99"/>
      <c r="H1087" s="99"/>
      <c r="I1087" s="99"/>
      <c r="J1087" s="20"/>
      <c r="K1087" s="21"/>
      <c r="L1087" s="21"/>
      <c r="M1087" s="21"/>
      <c r="N1087" s="21"/>
      <c r="O1087" s="21"/>
    </row>
    <row r="1088" spans="2:15" ht="14.15" customHeight="1" x14ac:dyDescent="0.35">
      <c r="B1088" s="100">
        <f t="shared" si="18"/>
        <v>1081</v>
      </c>
      <c r="C1088" s="104" t="s">
        <v>1072</v>
      </c>
      <c r="D1088" s="102">
        <v>9419060</v>
      </c>
      <c r="E1088" s="102"/>
      <c r="F1088" s="103">
        <v>36922</v>
      </c>
      <c r="G1088" s="99"/>
      <c r="H1088" s="99"/>
      <c r="I1088" s="99"/>
      <c r="J1088" s="20"/>
      <c r="K1088" s="21"/>
      <c r="L1088" s="21"/>
      <c r="M1088" s="21"/>
      <c r="N1088" s="21"/>
      <c r="O1088" s="21"/>
    </row>
    <row r="1089" spans="2:15" ht="14.15" customHeight="1" x14ac:dyDescent="0.35">
      <c r="B1089" s="100">
        <f t="shared" si="18"/>
        <v>1082</v>
      </c>
      <c r="C1089" s="104" t="s">
        <v>1073</v>
      </c>
      <c r="D1089" s="102">
        <v>9419333</v>
      </c>
      <c r="E1089" s="102"/>
      <c r="F1089" s="103">
        <v>36922</v>
      </c>
      <c r="G1089" s="99"/>
      <c r="H1089" s="99"/>
      <c r="I1089" s="99"/>
      <c r="J1089" s="20"/>
      <c r="K1089" s="21"/>
      <c r="L1089" s="21"/>
      <c r="M1089" s="21"/>
      <c r="N1089" s="21"/>
      <c r="O1089" s="21"/>
    </row>
    <row r="1090" spans="2:15" ht="14.15" customHeight="1" x14ac:dyDescent="0.35">
      <c r="B1090" s="100">
        <f t="shared" si="18"/>
        <v>1083</v>
      </c>
      <c r="C1090" s="104" t="s">
        <v>1074</v>
      </c>
      <c r="D1090" s="102">
        <v>9519551</v>
      </c>
      <c r="E1090" s="102"/>
      <c r="F1090" s="103">
        <v>36922</v>
      </c>
      <c r="G1090" s="99"/>
      <c r="H1090" s="99"/>
      <c r="I1090" s="99"/>
      <c r="J1090" s="20"/>
      <c r="K1090" s="21"/>
      <c r="L1090" s="21"/>
      <c r="M1090" s="21"/>
      <c r="N1090" s="21"/>
      <c r="O1090" s="21"/>
    </row>
    <row r="1091" spans="2:15" ht="14.15" customHeight="1" x14ac:dyDescent="0.35">
      <c r="B1091" s="100">
        <f t="shared" si="18"/>
        <v>1084</v>
      </c>
      <c r="C1091" s="104" t="s">
        <v>1075</v>
      </c>
      <c r="D1091" s="102">
        <v>9519598</v>
      </c>
      <c r="E1091" s="102"/>
      <c r="F1091" s="103">
        <v>36922</v>
      </c>
      <c r="G1091" s="99"/>
      <c r="H1091" s="99"/>
      <c r="I1091" s="99"/>
      <c r="J1091" s="20"/>
      <c r="K1091" s="21"/>
      <c r="L1091" s="21"/>
      <c r="M1091" s="21"/>
      <c r="N1091" s="21"/>
      <c r="O1091" s="21"/>
    </row>
    <row r="1092" spans="2:15" ht="14.15" customHeight="1" x14ac:dyDescent="0.35">
      <c r="B1092" s="100">
        <f t="shared" si="18"/>
        <v>1085</v>
      </c>
      <c r="C1092" s="104" t="s">
        <v>1076</v>
      </c>
      <c r="D1092" s="102">
        <v>9519749</v>
      </c>
      <c r="E1092" s="102"/>
      <c r="F1092" s="103">
        <v>36922</v>
      </c>
      <c r="G1092" s="99"/>
      <c r="H1092" s="99"/>
      <c r="I1092" s="99"/>
      <c r="J1092" s="20"/>
      <c r="K1092" s="21"/>
      <c r="L1092" s="21"/>
      <c r="M1092" s="21"/>
      <c r="N1092" s="21"/>
      <c r="O1092" s="21"/>
    </row>
    <row r="1093" spans="2:15" ht="14.15" customHeight="1" x14ac:dyDescent="0.35">
      <c r="B1093" s="100">
        <f t="shared" si="18"/>
        <v>1086</v>
      </c>
      <c r="C1093" s="104" t="s">
        <v>1077</v>
      </c>
      <c r="D1093" s="102">
        <v>9519995</v>
      </c>
      <c r="E1093" s="102"/>
      <c r="F1093" s="103">
        <v>36922</v>
      </c>
      <c r="G1093" s="99"/>
      <c r="H1093" s="99"/>
      <c r="I1093" s="99"/>
      <c r="J1093" s="20"/>
      <c r="K1093" s="21"/>
      <c r="L1093" s="21"/>
      <c r="M1093" s="21"/>
      <c r="N1093" s="21"/>
      <c r="O1093" s="21"/>
    </row>
    <row r="1094" spans="2:15" ht="14.15" customHeight="1" x14ac:dyDescent="0.35">
      <c r="B1094" s="100">
        <f t="shared" si="18"/>
        <v>1087</v>
      </c>
      <c r="C1094" s="104" t="s">
        <v>1078</v>
      </c>
      <c r="D1094" s="102">
        <v>9520024</v>
      </c>
      <c r="E1094" s="102"/>
      <c r="F1094" s="103">
        <v>36922</v>
      </c>
      <c r="G1094" s="99"/>
      <c r="H1094" s="99"/>
      <c r="I1094" s="99"/>
      <c r="J1094" s="20"/>
      <c r="K1094" s="21"/>
      <c r="L1094" s="21"/>
      <c r="M1094" s="21"/>
      <c r="N1094" s="21"/>
      <c r="O1094" s="21"/>
    </row>
    <row r="1095" spans="2:15" ht="14.15" customHeight="1" x14ac:dyDescent="0.35">
      <c r="B1095" s="100">
        <f t="shared" si="18"/>
        <v>1088</v>
      </c>
      <c r="C1095" s="104" t="s">
        <v>1079</v>
      </c>
      <c r="D1095" s="102">
        <v>9520271</v>
      </c>
      <c r="E1095" s="102"/>
      <c r="F1095" s="103">
        <v>36922</v>
      </c>
      <c r="G1095" s="99"/>
      <c r="H1095" s="99"/>
      <c r="I1095" s="99"/>
      <c r="J1095" s="20"/>
      <c r="K1095" s="21"/>
      <c r="L1095" s="21"/>
      <c r="M1095" s="21"/>
      <c r="N1095" s="21"/>
      <c r="O1095" s="21"/>
    </row>
    <row r="1096" spans="2:15" ht="14.15" customHeight="1" x14ac:dyDescent="0.35">
      <c r="B1096" s="100">
        <f t="shared" si="18"/>
        <v>1089</v>
      </c>
      <c r="C1096" s="104" t="s">
        <v>1080</v>
      </c>
      <c r="D1096" s="102">
        <v>9620565</v>
      </c>
      <c r="E1096" s="102"/>
      <c r="F1096" s="103">
        <v>36922</v>
      </c>
      <c r="G1096" s="99"/>
      <c r="H1096" s="99"/>
      <c r="I1096" s="99"/>
      <c r="J1096" s="20"/>
      <c r="K1096" s="21"/>
      <c r="L1096" s="21"/>
      <c r="M1096" s="21"/>
      <c r="N1096" s="21"/>
      <c r="O1096" s="21"/>
    </row>
    <row r="1097" spans="2:15" ht="14.15" customHeight="1" x14ac:dyDescent="0.35">
      <c r="B1097" s="100">
        <f t="shared" si="18"/>
        <v>1090</v>
      </c>
      <c r="C1097" s="104" t="s">
        <v>1081</v>
      </c>
      <c r="D1097" s="102">
        <v>9620590</v>
      </c>
      <c r="E1097" s="102"/>
      <c r="F1097" s="103">
        <v>36922</v>
      </c>
      <c r="G1097" s="99"/>
      <c r="H1097" s="99"/>
      <c r="I1097" s="99"/>
      <c r="J1097" s="20"/>
      <c r="K1097" s="21"/>
      <c r="L1097" s="21"/>
      <c r="M1097" s="21"/>
      <c r="N1097" s="21"/>
      <c r="O1097" s="21"/>
    </row>
    <row r="1098" spans="2:15" ht="14.15" customHeight="1" x14ac:dyDescent="0.35">
      <c r="B1098" s="100">
        <f t="shared" si="18"/>
        <v>1091</v>
      </c>
      <c r="C1098" s="104" t="s">
        <v>1082</v>
      </c>
      <c r="D1098" s="102">
        <v>9620643</v>
      </c>
      <c r="E1098" s="102"/>
      <c r="F1098" s="103">
        <v>36922</v>
      </c>
      <c r="G1098" s="99"/>
      <c r="H1098" s="99"/>
      <c r="I1098" s="99"/>
      <c r="J1098" s="20"/>
      <c r="K1098" s="21"/>
      <c r="L1098" s="21"/>
      <c r="M1098" s="21"/>
      <c r="N1098" s="21"/>
      <c r="O1098" s="21"/>
    </row>
    <row r="1099" spans="2:15" ht="14.15" customHeight="1" x14ac:dyDescent="0.35">
      <c r="B1099" s="100">
        <f t="shared" si="18"/>
        <v>1092</v>
      </c>
      <c r="C1099" s="104" t="s">
        <v>1083</v>
      </c>
      <c r="D1099" s="102">
        <v>9620750</v>
      </c>
      <c r="E1099" s="102"/>
      <c r="F1099" s="103">
        <v>36922</v>
      </c>
      <c r="G1099" s="99"/>
      <c r="H1099" s="99"/>
      <c r="I1099" s="99"/>
      <c r="J1099" s="20"/>
      <c r="K1099" s="21"/>
      <c r="L1099" s="21"/>
      <c r="M1099" s="21"/>
      <c r="N1099" s="21"/>
      <c r="O1099" s="21"/>
    </row>
    <row r="1100" spans="2:15" ht="14.15" customHeight="1" x14ac:dyDescent="0.35">
      <c r="B1100" s="100">
        <f t="shared" si="18"/>
        <v>1093</v>
      </c>
      <c r="C1100" s="104" t="s">
        <v>1084</v>
      </c>
      <c r="D1100" s="102">
        <v>9620883</v>
      </c>
      <c r="E1100" s="102"/>
      <c r="F1100" s="103">
        <v>36922</v>
      </c>
      <c r="G1100" s="99"/>
      <c r="H1100" s="99"/>
      <c r="I1100" s="99"/>
      <c r="J1100" s="20"/>
      <c r="K1100" s="21"/>
      <c r="L1100" s="21"/>
      <c r="M1100" s="21"/>
      <c r="N1100" s="21"/>
      <c r="O1100" s="21"/>
    </row>
    <row r="1101" spans="2:15" ht="14.15" customHeight="1" x14ac:dyDescent="0.35">
      <c r="B1101" s="100">
        <f t="shared" si="18"/>
        <v>1094</v>
      </c>
      <c r="C1101" s="104" t="s">
        <v>1085</v>
      </c>
      <c r="D1101" s="102">
        <v>9620924</v>
      </c>
      <c r="E1101" s="102"/>
      <c r="F1101" s="103">
        <v>36922</v>
      </c>
      <c r="G1101" s="99"/>
      <c r="H1101" s="99"/>
      <c r="I1101" s="99"/>
      <c r="J1101" s="20"/>
      <c r="K1101" s="21"/>
      <c r="L1101" s="21"/>
      <c r="M1101" s="21"/>
      <c r="N1101" s="21"/>
      <c r="O1101" s="21"/>
    </row>
    <row r="1102" spans="2:15" ht="14.15" customHeight="1" x14ac:dyDescent="0.35">
      <c r="B1102" s="100">
        <f t="shared" si="18"/>
        <v>1095</v>
      </c>
      <c r="C1102" s="104" t="s">
        <v>1086</v>
      </c>
      <c r="D1102" s="102">
        <v>9621049</v>
      </c>
      <c r="E1102" s="102"/>
      <c r="F1102" s="103">
        <v>36922</v>
      </c>
      <c r="G1102" s="99"/>
      <c r="H1102" s="99"/>
      <c r="I1102" s="99"/>
      <c r="J1102" s="20"/>
      <c r="K1102" s="21"/>
      <c r="L1102" s="21"/>
      <c r="M1102" s="21"/>
      <c r="N1102" s="21"/>
      <c r="O1102" s="21"/>
    </row>
    <row r="1103" spans="2:15" ht="14.15" customHeight="1" x14ac:dyDescent="0.35">
      <c r="B1103" s="100">
        <f t="shared" si="18"/>
        <v>1096</v>
      </c>
      <c r="C1103" s="104" t="s">
        <v>1087</v>
      </c>
      <c r="D1103" s="102">
        <v>9621053</v>
      </c>
      <c r="E1103" s="102"/>
      <c r="F1103" s="103">
        <v>36922</v>
      </c>
      <c r="G1103" s="99"/>
      <c r="H1103" s="99"/>
      <c r="I1103" s="99"/>
      <c r="J1103" s="20"/>
      <c r="K1103" s="21"/>
      <c r="L1103" s="21"/>
      <c r="M1103" s="21"/>
      <c r="N1103" s="21"/>
      <c r="O1103" s="21"/>
    </row>
    <row r="1104" spans="2:15" ht="14.15" customHeight="1" x14ac:dyDescent="0.35">
      <c r="B1104" s="100">
        <f t="shared" si="18"/>
        <v>1097</v>
      </c>
      <c r="C1104" s="104" t="s">
        <v>1088</v>
      </c>
      <c r="D1104" s="102">
        <v>9621056</v>
      </c>
      <c r="E1104" s="102"/>
      <c r="F1104" s="103">
        <v>36922</v>
      </c>
      <c r="G1104" s="99"/>
      <c r="H1104" s="99"/>
      <c r="I1104" s="99"/>
      <c r="J1104" s="20"/>
      <c r="K1104" s="21"/>
      <c r="L1104" s="21"/>
      <c r="M1104" s="21"/>
      <c r="N1104" s="21"/>
      <c r="O1104" s="21"/>
    </row>
    <row r="1105" spans="2:15" ht="14.15" customHeight="1" x14ac:dyDescent="0.35">
      <c r="B1105" s="100">
        <f t="shared" si="18"/>
        <v>1098</v>
      </c>
      <c r="C1105" s="104" t="s">
        <v>1089</v>
      </c>
      <c r="D1105" s="102">
        <v>9621073</v>
      </c>
      <c r="E1105" s="102"/>
      <c r="F1105" s="103">
        <v>36922</v>
      </c>
      <c r="G1105" s="99"/>
      <c r="H1105" s="99"/>
      <c r="I1105" s="99"/>
      <c r="J1105" s="20"/>
      <c r="K1105" s="21"/>
      <c r="L1105" s="21"/>
      <c r="M1105" s="21"/>
      <c r="N1105" s="21"/>
      <c r="O1105" s="21"/>
    </row>
    <row r="1106" spans="2:15" ht="14.15" customHeight="1" x14ac:dyDescent="0.35">
      <c r="B1106" s="100">
        <f t="shared" si="18"/>
        <v>1099</v>
      </c>
      <c r="C1106" s="104" t="s">
        <v>1090</v>
      </c>
      <c r="D1106" s="102">
        <v>9621256</v>
      </c>
      <c r="E1106" s="102"/>
      <c r="F1106" s="103">
        <v>36922</v>
      </c>
      <c r="G1106" s="99"/>
      <c r="H1106" s="99"/>
      <c r="I1106" s="99"/>
      <c r="J1106" s="20"/>
      <c r="K1106" s="21"/>
      <c r="L1106" s="21"/>
      <c r="M1106" s="21"/>
      <c r="N1106" s="21"/>
      <c r="O1106" s="21"/>
    </row>
    <row r="1107" spans="2:15" ht="14.15" customHeight="1" x14ac:dyDescent="0.35">
      <c r="B1107" s="100">
        <f t="shared" si="18"/>
        <v>1100</v>
      </c>
      <c r="C1107" s="104" t="s">
        <v>1091</v>
      </c>
      <c r="D1107" s="102">
        <v>9016910</v>
      </c>
      <c r="E1107" s="102"/>
      <c r="F1107" s="103">
        <v>37011</v>
      </c>
      <c r="G1107" s="99"/>
      <c r="H1107" s="99"/>
      <c r="I1107" s="99"/>
      <c r="J1107" s="20"/>
      <c r="K1107" s="21"/>
      <c r="L1107" s="21"/>
      <c r="M1107" s="21"/>
      <c r="N1107" s="21"/>
      <c r="O1107" s="21"/>
    </row>
    <row r="1108" spans="2:15" ht="14.15" customHeight="1" x14ac:dyDescent="0.35">
      <c r="B1108" s="100">
        <f t="shared" si="18"/>
        <v>1101</v>
      </c>
      <c r="C1108" s="104" t="s">
        <v>1092</v>
      </c>
      <c r="D1108" s="102">
        <v>9217600</v>
      </c>
      <c r="E1108" s="102"/>
      <c r="F1108" s="103">
        <v>37011</v>
      </c>
      <c r="G1108" s="99"/>
      <c r="H1108" s="99"/>
      <c r="I1108" s="99"/>
      <c r="J1108" s="20"/>
      <c r="K1108" s="21"/>
      <c r="L1108" s="21"/>
      <c r="M1108" s="21"/>
      <c r="N1108" s="21"/>
      <c r="O1108" s="21"/>
    </row>
    <row r="1109" spans="2:15" ht="14.15" customHeight="1" x14ac:dyDescent="0.35">
      <c r="B1109" s="100">
        <f t="shared" si="18"/>
        <v>1102</v>
      </c>
      <c r="C1109" s="104" t="s">
        <v>1093</v>
      </c>
      <c r="D1109" s="102">
        <v>9318463</v>
      </c>
      <c r="E1109" s="102"/>
      <c r="F1109" s="103">
        <v>37011</v>
      </c>
      <c r="G1109" s="99"/>
      <c r="H1109" s="99"/>
      <c r="I1109" s="99"/>
      <c r="J1109" s="20"/>
      <c r="K1109" s="21"/>
      <c r="L1109" s="21"/>
      <c r="M1109" s="21"/>
      <c r="N1109" s="21"/>
      <c r="O1109" s="21"/>
    </row>
    <row r="1110" spans="2:15" ht="14.15" customHeight="1" x14ac:dyDescent="0.35">
      <c r="B1110" s="100">
        <f t="shared" si="18"/>
        <v>1103</v>
      </c>
      <c r="C1110" s="104" t="s">
        <v>1094</v>
      </c>
      <c r="D1110" s="102">
        <v>9418998</v>
      </c>
      <c r="E1110" s="102"/>
      <c r="F1110" s="103">
        <v>37011</v>
      </c>
      <c r="G1110" s="99"/>
      <c r="H1110" s="99"/>
      <c r="I1110" s="99"/>
      <c r="J1110" s="20"/>
      <c r="K1110" s="21"/>
      <c r="L1110" s="21"/>
      <c r="M1110" s="21"/>
      <c r="N1110" s="21"/>
      <c r="O1110" s="21"/>
    </row>
    <row r="1111" spans="2:15" ht="14.15" customHeight="1" x14ac:dyDescent="0.35">
      <c r="B1111" s="100">
        <f t="shared" si="18"/>
        <v>1104</v>
      </c>
      <c r="C1111" s="104" t="s">
        <v>1095</v>
      </c>
      <c r="D1111" s="102">
        <v>9520023</v>
      </c>
      <c r="E1111" s="102"/>
      <c r="F1111" s="103">
        <v>37011</v>
      </c>
      <c r="G1111" s="99"/>
      <c r="H1111" s="99"/>
      <c r="I1111" s="99"/>
      <c r="J1111" s="20"/>
      <c r="K1111" s="21"/>
      <c r="L1111" s="21"/>
      <c r="M1111" s="21"/>
      <c r="N1111" s="21"/>
      <c r="O1111" s="21"/>
    </row>
    <row r="1112" spans="2:15" ht="14.15" customHeight="1" x14ac:dyDescent="0.35">
      <c r="B1112" s="100">
        <f t="shared" si="18"/>
        <v>1105</v>
      </c>
      <c r="C1112" s="104" t="s">
        <v>1096</v>
      </c>
      <c r="D1112" s="102">
        <v>9520037</v>
      </c>
      <c r="E1112" s="102"/>
      <c r="F1112" s="103">
        <v>37011</v>
      </c>
      <c r="G1112" s="99"/>
      <c r="H1112" s="99"/>
      <c r="I1112" s="99"/>
      <c r="J1112" s="20"/>
      <c r="K1112" s="21"/>
      <c r="L1112" s="21"/>
      <c r="M1112" s="21"/>
      <c r="N1112" s="21"/>
      <c r="O1112" s="21"/>
    </row>
    <row r="1113" spans="2:15" ht="14.15" customHeight="1" x14ac:dyDescent="0.35">
      <c r="B1113" s="100">
        <f t="shared" si="18"/>
        <v>1106</v>
      </c>
      <c r="C1113" s="104" t="s">
        <v>1097</v>
      </c>
      <c r="D1113" s="102">
        <v>9520106</v>
      </c>
      <c r="E1113" s="102"/>
      <c r="F1113" s="103">
        <v>37011</v>
      </c>
      <c r="G1113" s="99"/>
      <c r="H1113" s="99"/>
      <c r="I1113" s="99"/>
      <c r="J1113" s="20"/>
      <c r="K1113" s="21"/>
      <c r="L1113" s="21"/>
      <c r="M1113" s="21"/>
      <c r="N1113" s="21"/>
      <c r="O1113" s="21"/>
    </row>
    <row r="1114" spans="2:15" ht="14.15" customHeight="1" x14ac:dyDescent="0.35">
      <c r="B1114" s="100">
        <f t="shared" si="18"/>
        <v>1107</v>
      </c>
      <c r="C1114" s="104" t="s">
        <v>1098</v>
      </c>
      <c r="D1114" s="102">
        <v>9520239</v>
      </c>
      <c r="E1114" s="102"/>
      <c r="F1114" s="103">
        <v>37011</v>
      </c>
      <c r="G1114" s="99"/>
      <c r="H1114" s="99"/>
      <c r="I1114" s="99"/>
      <c r="J1114" s="20"/>
      <c r="K1114" s="21"/>
      <c r="L1114" s="21"/>
      <c r="M1114" s="21"/>
      <c r="N1114" s="21"/>
      <c r="O1114" s="21"/>
    </row>
    <row r="1115" spans="2:15" ht="14.15" customHeight="1" x14ac:dyDescent="0.35">
      <c r="B1115" s="100">
        <f t="shared" si="18"/>
        <v>1108</v>
      </c>
      <c r="C1115" s="104" t="s">
        <v>1099</v>
      </c>
      <c r="D1115" s="102">
        <v>9620749</v>
      </c>
      <c r="E1115" s="102"/>
      <c r="F1115" s="103">
        <v>37011</v>
      </c>
      <c r="G1115" s="99"/>
      <c r="H1115" s="99"/>
      <c r="I1115" s="99"/>
      <c r="J1115" s="20"/>
      <c r="K1115" s="21"/>
      <c r="L1115" s="21"/>
      <c r="M1115" s="21"/>
      <c r="N1115" s="21"/>
      <c r="O1115" s="21"/>
    </row>
    <row r="1116" spans="2:15" ht="14.15" customHeight="1" x14ac:dyDescent="0.35">
      <c r="B1116" s="100">
        <f t="shared" si="18"/>
        <v>1109</v>
      </c>
      <c r="C1116" s="104" t="s">
        <v>1100</v>
      </c>
      <c r="D1116" s="102">
        <v>9620800</v>
      </c>
      <c r="E1116" s="102"/>
      <c r="F1116" s="103">
        <v>37011</v>
      </c>
      <c r="G1116" s="99"/>
      <c r="H1116" s="99"/>
      <c r="I1116" s="99"/>
      <c r="J1116" s="20"/>
      <c r="K1116" s="21"/>
      <c r="L1116" s="21"/>
      <c r="M1116" s="21"/>
      <c r="N1116" s="21"/>
      <c r="O1116" s="21"/>
    </row>
    <row r="1117" spans="2:15" ht="14.15" customHeight="1" x14ac:dyDescent="0.35">
      <c r="B1117" s="100">
        <f t="shared" si="18"/>
        <v>1110</v>
      </c>
      <c r="C1117" s="104" t="s">
        <v>1101</v>
      </c>
      <c r="D1117" s="102">
        <v>9620889</v>
      </c>
      <c r="E1117" s="102"/>
      <c r="F1117" s="103">
        <v>37011</v>
      </c>
      <c r="G1117" s="99"/>
      <c r="H1117" s="99"/>
      <c r="I1117" s="99"/>
      <c r="J1117" s="20"/>
      <c r="K1117" s="21"/>
      <c r="L1117" s="21"/>
      <c r="M1117" s="21"/>
      <c r="N1117" s="21"/>
      <c r="O1117" s="21"/>
    </row>
    <row r="1118" spans="2:15" ht="14.15" customHeight="1" x14ac:dyDescent="0.35">
      <c r="B1118" s="100">
        <f t="shared" si="18"/>
        <v>1111</v>
      </c>
      <c r="C1118" s="104" t="s">
        <v>1102</v>
      </c>
      <c r="D1118" s="102">
        <v>9621255</v>
      </c>
      <c r="E1118" s="102"/>
      <c r="F1118" s="103">
        <v>37011</v>
      </c>
      <c r="G1118" s="99"/>
      <c r="H1118" s="99"/>
      <c r="I1118" s="99"/>
      <c r="J1118" s="20"/>
      <c r="K1118" s="21"/>
      <c r="L1118" s="21"/>
      <c r="M1118" s="21"/>
      <c r="N1118" s="21"/>
      <c r="O1118" s="21"/>
    </row>
    <row r="1119" spans="2:15" ht="14.15" customHeight="1" x14ac:dyDescent="0.35">
      <c r="B1119" s="100">
        <f t="shared" si="18"/>
        <v>1112</v>
      </c>
      <c r="C1119" s="104" t="s">
        <v>1103</v>
      </c>
      <c r="D1119" s="102">
        <v>9621511</v>
      </c>
      <c r="E1119" s="102"/>
      <c r="F1119" s="103">
        <v>37011</v>
      </c>
      <c r="G1119" s="99"/>
      <c r="H1119" s="99"/>
      <c r="I1119" s="99"/>
      <c r="J1119" s="20"/>
      <c r="K1119" s="21"/>
      <c r="L1119" s="21"/>
      <c r="M1119" s="21"/>
      <c r="N1119" s="21"/>
      <c r="O1119" s="21"/>
    </row>
    <row r="1120" spans="2:15" ht="14.15" customHeight="1" x14ac:dyDescent="0.35">
      <c r="B1120" s="100">
        <f t="shared" si="18"/>
        <v>1113</v>
      </c>
      <c r="C1120" s="111" t="s">
        <v>1104</v>
      </c>
      <c r="D1120" s="102">
        <v>9016727</v>
      </c>
      <c r="E1120" s="102"/>
      <c r="F1120" s="103">
        <v>37103</v>
      </c>
      <c r="G1120" s="99"/>
      <c r="H1120" s="99"/>
      <c r="I1120" s="99"/>
      <c r="J1120" s="20"/>
      <c r="K1120" s="21"/>
      <c r="L1120" s="21"/>
      <c r="M1120" s="21"/>
      <c r="N1120" s="21"/>
      <c r="O1120" s="21"/>
    </row>
    <row r="1121" spans="2:15" ht="14.15" customHeight="1" x14ac:dyDescent="0.35">
      <c r="B1121" s="100">
        <f t="shared" si="18"/>
        <v>1114</v>
      </c>
      <c r="C1121" s="104" t="s">
        <v>1105</v>
      </c>
      <c r="D1121" s="102">
        <v>9117417</v>
      </c>
      <c r="E1121" s="102"/>
      <c r="F1121" s="103">
        <v>37103</v>
      </c>
      <c r="G1121" s="99"/>
      <c r="H1121" s="99"/>
      <c r="I1121" s="99"/>
      <c r="J1121" s="20"/>
      <c r="K1121" s="21"/>
      <c r="L1121" s="21"/>
      <c r="M1121" s="21"/>
      <c r="N1121" s="21"/>
      <c r="O1121" s="21"/>
    </row>
    <row r="1122" spans="2:15" ht="14.15" customHeight="1" x14ac:dyDescent="0.35">
      <c r="B1122" s="100">
        <f t="shared" si="18"/>
        <v>1115</v>
      </c>
      <c r="C1122" s="104" t="s">
        <v>1106</v>
      </c>
      <c r="D1122" s="102">
        <v>9519770</v>
      </c>
      <c r="E1122" s="102"/>
      <c r="F1122" s="103">
        <v>37103</v>
      </c>
      <c r="G1122" s="99"/>
      <c r="H1122" s="99"/>
      <c r="I1122" s="99"/>
      <c r="J1122" s="20"/>
      <c r="K1122" s="21"/>
      <c r="L1122" s="21"/>
      <c r="M1122" s="21"/>
      <c r="N1122" s="21"/>
      <c r="O1122" s="21"/>
    </row>
    <row r="1123" spans="2:15" ht="14.15" customHeight="1" x14ac:dyDescent="0.35">
      <c r="B1123" s="100">
        <f t="shared" si="18"/>
        <v>1116</v>
      </c>
      <c r="C1123" s="104" t="s">
        <v>1107</v>
      </c>
      <c r="D1123" s="102">
        <v>9519793</v>
      </c>
      <c r="E1123" s="102"/>
      <c r="F1123" s="103">
        <v>37103</v>
      </c>
      <c r="G1123" s="99"/>
      <c r="H1123" s="99"/>
      <c r="I1123" s="99"/>
      <c r="J1123" s="20"/>
      <c r="K1123" s="21"/>
      <c r="L1123" s="21"/>
      <c r="M1123" s="21"/>
      <c r="N1123" s="21"/>
      <c r="O1123" s="21"/>
    </row>
    <row r="1124" spans="2:15" ht="14.15" customHeight="1" x14ac:dyDescent="0.35">
      <c r="B1124" s="100">
        <f t="shared" si="18"/>
        <v>1117</v>
      </c>
      <c r="C1124" s="104" t="s">
        <v>1108</v>
      </c>
      <c r="D1124" s="102">
        <v>9519843</v>
      </c>
      <c r="E1124" s="102"/>
      <c r="F1124" s="103">
        <v>37103</v>
      </c>
      <c r="G1124" s="99"/>
      <c r="H1124" s="99"/>
      <c r="I1124" s="99"/>
      <c r="J1124" s="20"/>
      <c r="K1124" s="21"/>
      <c r="L1124" s="21"/>
      <c r="M1124" s="21"/>
      <c r="N1124" s="21"/>
      <c r="O1124" s="21"/>
    </row>
    <row r="1125" spans="2:15" ht="14.15" customHeight="1" x14ac:dyDescent="0.35">
      <c r="B1125" s="100">
        <f t="shared" si="18"/>
        <v>1118</v>
      </c>
      <c r="C1125" s="104" t="s">
        <v>1109</v>
      </c>
      <c r="D1125" s="102">
        <v>9519845</v>
      </c>
      <c r="E1125" s="102"/>
      <c r="F1125" s="103">
        <v>37103</v>
      </c>
      <c r="G1125" s="99"/>
      <c r="H1125" s="99"/>
      <c r="I1125" s="99"/>
      <c r="J1125" s="20"/>
      <c r="K1125" s="21"/>
      <c r="L1125" s="21"/>
      <c r="M1125" s="21"/>
      <c r="N1125" s="21"/>
      <c r="O1125" s="21"/>
    </row>
    <row r="1126" spans="2:15" ht="14.15" customHeight="1" x14ac:dyDescent="0.35">
      <c r="B1126" s="100">
        <f t="shared" si="18"/>
        <v>1119</v>
      </c>
      <c r="C1126" s="104" t="s">
        <v>1110</v>
      </c>
      <c r="D1126" s="102">
        <v>9519912</v>
      </c>
      <c r="E1126" s="102"/>
      <c r="F1126" s="103">
        <v>37103</v>
      </c>
      <c r="G1126" s="99"/>
      <c r="H1126" s="99"/>
      <c r="I1126" s="99"/>
      <c r="J1126" s="20"/>
      <c r="K1126" s="21"/>
      <c r="L1126" s="21"/>
      <c r="M1126" s="21"/>
      <c r="N1126" s="21"/>
      <c r="O1126" s="21"/>
    </row>
    <row r="1127" spans="2:15" ht="14.15" customHeight="1" x14ac:dyDescent="0.35">
      <c r="B1127" s="100">
        <f t="shared" si="18"/>
        <v>1120</v>
      </c>
      <c r="C1127" s="104" t="s">
        <v>1111</v>
      </c>
      <c r="D1127" s="102">
        <v>9520150</v>
      </c>
      <c r="E1127" s="102"/>
      <c r="F1127" s="103">
        <v>37103</v>
      </c>
      <c r="G1127" s="99"/>
      <c r="H1127" s="99"/>
      <c r="I1127" s="99"/>
      <c r="J1127" s="20"/>
      <c r="K1127" s="21"/>
      <c r="L1127" s="21"/>
      <c r="M1127" s="21"/>
      <c r="N1127" s="21"/>
      <c r="O1127" s="21"/>
    </row>
    <row r="1128" spans="2:15" ht="14.15" customHeight="1" x14ac:dyDescent="0.35">
      <c r="B1128" s="100">
        <f t="shared" si="18"/>
        <v>1121</v>
      </c>
      <c r="C1128" s="104" t="s">
        <v>1112</v>
      </c>
      <c r="D1128" s="102">
        <v>9620422</v>
      </c>
      <c r="E1128" s="102"/>
      <c r="F1128" s="103">
        <v>37103</v>
      </c>
      <c r="G1128" s="99"/>
      <c r="H1128" s="99"/>
      <c r="I1128" s="99"/>
      <c r="J1128" s="20"/>
      <c r="K1128" s="21"/>
      <c r="L1128" s="21"/>
      <c r="M1128" s="21"/>
      <c r="N1128" s="21"/>
      <c r="O1128" s="21"/>
    </row>
    <row r="1129" spans="2:15" ht="14.15" customHeight="1" x14ac:dyDescent="0.35">
      <c r="B1129" s="100">
        <f t="shared" si="18"/>
        <v>1122</v>
      </c>
      <c r="C1129" s="104" t="s">
        <v>1113</v>
      </c>
      <c r="D1129" s="102">
        <v>9620434</v>
      </c>
      <c r="E1129" s="102"/>
      <c r="F1129" s="103">
        <v>37103</v>
      </c>
      <c r="G1129" s="99"/>
      <c r="H1129" s="99"/>
      <c r="I1129" s="99"/>
      <c r="J1129" s="20"/>
      <c r="K1129" s="21"/>
      <c r="L1129" s="21"/>
      <c r="M1129" s="21"/>
      <c r="N1129" s="21"/>
      <c r="O1129" s="21"/>
    </row>
    <row r="1130" spans="2:15" ht="14.15" customHeight="1" x14ac:dyDescent="0.35">
      <c r="B1130" s="100">
        <f t="shared" si="18"/>
        <v>1123</v>
      </c>
      <c r="C1130" s="104" t="s">
        <v>1114</v>
      </c>
      <c r="D1130" s="102">
        <v>9620514</v>
      </c>
      <c r="E1130" s="102"/>
      <c r="F1130" s="103">
        <v>37103</v>
      </c>
      <c r="G1130" s="99"/>
      <c r="H1130" s="99"/>
      <c r="I1130" s="99"/>
      <c r="J1130" s="20"/>
      <c r="K1130" s="21"/>
      <c r="L1130" s="21"/>
      <c r="M1130" s="21"/>
      <c r="N1130" s="21"/>
      <c r="O1130" s="21"/>
    </row>
    <row r="1131" spans="2:15" ht="14.15" customHeight="1" x14ac:dyDescent="0.35">
      <c r="B1131" s="100">
        <f t="shared" si="18"/>
        <v>1124</v>
      </c>
      <c r="C1131" s="111" t="s">
        <v>1115</v>
      </c>
      <c r="D1131" s="102">
        <v>9620571</v>
      </c>
      <c r="E1131" s="102"/>
      <c r="F1131" s="103">
        <v>37103</v>
      </c>
      <c r="G1131" s="99"/>
      <c r="H1131" s="99"/>
      <c r="I1131" s="99"/>
      <c r="J1131" s="20"/>
      <c r="K1131" s="21"/>
      <c r="L1131" s="21"/>
      <c r="M1131" s="21"/>
      <c r="N1131" s="21"/>
      <c r="O1131" s="21"/>
    </row>
    <row r="1132" spans="2:15" ht="14.15" customHeight="1" x14ac:dyDescent="0.35">
      <c r="B1132" s="100">
        <f t="shared" si="18"/>
        <v>1125</v>
      </c>
      <c r="C1132" s="111" t="s">
        <v>1116</v>
      </c>
      <c r="D1132" s="102">
        <v>9620703</v>
      </c>
      <c r="E1132" s="102"/>
      <c r="F1132" s="103">
        <v>37103</v>
      </c>
      <c r="G1132" s="99"/>
      <c r="H1132" s="99"/>
      <c r="I1132" s="99"/>
      <c r="J1132" s="20"/>
      <c r="K1132" s="21"/>
      <c r="L1132" s="21"/>
      <c r="M1132" s="21"/>
      <c r="N1132" s="21"/>
      <c r="O1132" s="21"/>
    </row>
    <row r="1133" spans="2:15" ht="14.15" customHeight="1" x14ac:dyDescent="0.35">
      <c r="B1133" s="100">
        <f t="shared" si="18"/>
        <v>1126</v>
      </c>
      <c r="C1133" s="104" t="s">
        <v>1117</v>
      </c>
      <c r="D1133" s="102">
        <v>9620767</v>
      </c>
      <c r="E1133" s="102"/>
      <c r="F1133" s="103">
        <v>37103</v>
      </c>
      <c r="G1133" s="99"/>
      <c r="H1133" s="99"/>
      <c r="I1133" s="99"/>
      <c r="J1133" s="20"/>
      <c r="K1133" s="21"/>
      <c r="L1133" s="21"/>
      <c r="M1133" s="21"/>
      <c r="N1133" s="21"/>
      <c r="O1133" s="21"/>
    </row>
    <row r="1134" spans="2:15" ht="14.15" customHeight="1" x14ac:dyDescent="0.35">
      <c r="B1134" s="100">
        <f t="shared" si="18"/>
        <v>1127</v>
      </c>
      <c r="C1134" s="104" t="s">
        <v>1118</v>
      </c>
      <c r="D1134" s="102">
        <v>9620950</v>
      </c>
      <c r="E1134" s="102"/>
      <c r="F1134" s="103">
        <v>37103</v>
      </c>
      <c r="G1134" s="99"/>
      <c r="H1134" s="99"/>
      <c r="I1134" s="99"/>
      <c r="J1134" s="20"/>
      <c r="K1134" s="21"/>
      <c r="L1134" s="21"/>
      <c r="M1134" s="21"/>
      <c r="N1134" s="21"/>
      <c r="O1134" s="21"/>
    </row>
    <row r="1135" spans="2:15" ht="14.15" customHeight="1" x14ac:dyDescent="0.35">
      <c r="B1135" s="100">
        <f t="shared" si="18"/>
        <v>1128</v>
      </c>
      <c r="C1135" s="104" t="s">
        <v>1119</v>
      </c>
      <c r="D1135" s="102">
        <v>9620978</v>
      </c>
      <c r="E1135" s="102"/>
      <c r="F1135" s="103">
        <v>37103</v>
      </c>
      <c r="G1135" s="99"/>
      <c r="H1135" s="99"/>
      <c r="I1135" s="99"/>
      <c r="J1135" s="20"/>
      <c r="K1135" s="21"/>
      <c r="L1135" s="21"/>
      <c r="M1135" s="21"/>
      <c r="N1135" s="21"/>
      <c r="O1135" s="21"/>
    </row>
    <row r="1136" spans="2:15" ht="14.15" customHeight="1" x14ac:dyDescent="0.35">
      <c r="B1136" s="100">
        <f t="shared" si="18"/>
        <v>1129</v>
      </c>
      <c r="C1136" s="104" t="s">
        <v>1120</v>
      </c>
      <c r="D1136" s="102">
        <v>9620982</v>
      </c>
      <c r="E1136" s="102"/>
      <c r="F1136" s="103">
        <v>37103</v>
      </c>
      <c r="G1136" s="99"/>
      <c r="H1136" s="99"/>
      <c r="I1136" s="99"/>
      <c r="J1136" s="20"/>
      <c r="K1136" s="21"/>
      <c r="L1136" s="21"/>
      <c r="M1136" s="21"/>
      <c r="N1136" s="21"/>
      <c r="O1136" s="21"/>
    </row>
    <row r="1137" spans="2:15" ht="14.15" customHeight="1" x14ac:dyDescent="0.35">
      <c r="B1137" s="100">
        <f t="shared" ref="B1137:B1144" si="19">(B1136+1)</f>
        <v>1130</v>
      </c>
      <c r="C1137" s="104" t="s">
        <v>1121</v>
      </c>
      <c r="D1137" s="102">
        <v>9620992</v>
      </c>
      <c r="E1137" s="102"/>
      <c r="F1137" s="103">
        <v>37103</v>
      </c>
      <c r="G1137" s="99"/>
      <c r="H1137" s="99"/>
      <c r="I1137" s="99"/>
      <c r="J1137" s="20"/>
      <c r="K1137" s="21"/>
      <c r="L1137" s="21"/>
      <c r="M1137" s="21"/>
      <c r="N1137" s="21"/>
      <c r="O1137" s="21"/>
    </row>
    <row r="1138" spans="2:15" ht="14.15" customHeight="1" x14ac:dyDescent="0.35">
      <c r="B1138" s="100">
        <f t="shared" si="19"/>
        <v>1131</v>
      </c>
      <c r="C1138" s="104" t="s">
        <v>1122</v>
      </c>
      <c r="D1138" s="102">
        <v>9721984</v>
      </c>
      <c r="E1138" s="102"/>
      <c r="F1138" s="103">
        <v>37103</v>
      </c>
      <c r="G1138" s="99"/>
      <c r="H1138" s="99"/>
      <c r="I1138" s="99"/>
      <c r="J1138" s="20"/>
      <c r="K1138" s="21"/>
      <c r="L1138" s="21"/>
      <c r="M1138" s="21"/>
      <c r="N1138" s="21"/>
      <c r="O1138" s="21"/>
    </row>
    <row r="1139" spans="2:15" ht="14.15" customHeight="1" x14ac:dyDescent="0.35">
      <c r="B1139" s="100">
        <f t="shared" si="19"/>
        <v>1132</v>
      </c>
      <c r="C1139" s="104" t="s">
        <v>1123</v>
      </c>
      <c r="D1139" s="102">
        <v>9217675</v>
      </c>
      <c r="E1139" s="102"/>
      <c r="F1139" s="103">
        <v>37134</v>
      </c>
      <c r="G1139" s="99"/>
      <c r="H1139" s="99"/>
      <c r="I1139" s="99"/>
      <c r="J1139" s="20"/>
      <c r="K1139" s="21"/>
      <c r="L1139" s="21"/>
      <c r="M1139" s="21"/>
      <c r="N1139" s="21"/>
      <c r="O1139" s="21"/>
    </row>
    <row r="1140" spans="2:15" ht="14.15" customHeight="1" x14ac:dyDescent="0.35">
      <c r="B1140" s="100">
        <f t="shared" si="19"/>
        <v>1133</v>
      </c>
      <c r="C1140" s="104" t="s">
        <v>1124</v>
      </c>
      <c r="D1140" s="102">
        <v>9520204</v>
      </c>
      <c r="E1140" s="102"/>
      <c r="F1140" s="103">
        <v>37134</v>
      </c>
      <c r="G1140" s="99"/>
      <c r="H1140" s="99"/>
      <c r="I1140" s="99"/>
      <c r="J1140" s="20"/>
      <c r="K1140" s="21"/>
      <c r="L1140" s="21"/>
      <c r="M1140" s="21"/>
      <c r="N1140" s="21"/>
      <c r="O1140" s="21"/>
    </row>
    <row r="1141" spans="2:15" ht="14.15" customHeight="1" x14ac:dyDescent="0.35">
      <c r="B1141" s="100">
        <f t="shared" si="19"/>
        <v>1134</v>
      </c>
      <c r="C1141" s="104" t="s">
        <v>1125</v>
      </c>
      <c r="D1141" s="102">
        <v>9620994</v>
      </c>
      <c r="E1141" s="102"/>
      <c r="F1141" s="103">
        <v>37134</v>
      </c>
      <c r="G1141" s="99"/>
      <c r="H1141" s="99"/>
      <c r="I1141" s="99"/>
      <c r="J1141" s="20"/>
      <c r="K1141" s="21"/>
      <c r="L1141" s="21"/>
      <c r="M1141" s="21"/>
      <c r="N1141" s="21"/>
      <c r="O1141" s="21"/>
    </row>
    <row r="1142" spans="2:15" ht="14.15" customHeight="1" x14ac:dyDescent="0.35">
      <c r="B1142" s="100">
        <f t="shared" si="19"/>
        <v>1135</v>
      </c>
      <c r="C1142" s="104" t="s">
        <v>1126</v>
      </c>
      <c r="D1142" s="102">
        <v>9621241</v>
      </c>
      <c r="E1142" s="102"/>
      <c r="F1142" s="103">
        <v>37134</v>
      </c>
      <c r="G1142" s="99"/>
      <c r="H1142" s="99"/>
      <c r="I1142" s="99"/>
      <c r="J1142" s="20"/>
      <c r="K1142" s="21"/>
      <c r="L1142" s="21"/>
      <c r="M1142" s="21"/>
      <c r="N1142" s="21"/>
      <c r="O1142" s="21"/>
    </row>
    <row r="1143" spans="2:15" ht="14.15" customHeight="1" x14ac:dyDescent="0.35">
      <c r="B1143" s="100">
        <f t="shared" si="19"/>
        <v>1136</v>
      </c>
      <c r="C1143" s="104" t="s">
        <v>1127</v>
      </c>
      <c r="D1143" s="102">
        <v>9621242</v>
      </c>
      <c r="E1143" s="102"/>
      <c r="F1143" s="103">
        <v>37134</v>
      </c>
      <c r="G1143" s="99"/>
      <c r="H1143" s="99"/>
      <c r="I1143" s="99"/>
      <c r="J1143" s="20"/>
      <c r="K1143" s="21"/>
      <c r="L1143" s="21"/>
      <c r="M1143" s="21"/>
      <c r="N1143" s="21"/>
      <c r="O1143" s="21"/>
    </row>
    <row r="1144" spans="2:15" ht="14.15" customHeight="1" x14ac:dyDescent="0.35">
      <c r="B1144" s="100">
        <f t="shared" si="19"/>
        <v>1137</v>
      </c>
      <c r="C1144" s="104" t="s">
        <v>1128</v>
      </c>
      <c r="D1144" s="102">
        <v>9721987</v>
      </c>
      <c r="E1144" s="102"/>
      <c r="F1144" s="103">
        <v>37134</v>
      </c>
      <c r="G1144" s="99"/>
      <c r="H1144" s="99"/>
      <c r="I1144" s="99"/>
      <c r="J1144" s="20"/>
      <c r="K1144" s="21"/>
      <c r="L1144" s="21"/>
      <c r="M1144" s="21"/>
      <c r="N1144" s="21"/>
      <c r="O1144" s="21"/>
    </row>
    <row r="1145" spans="2:15" ht="14.15" customHeight="1" x14ac:dyDescent="0.35">
      <c r="B1145" s="100"/>
      <c r="C1145" s="104"/>
      <c r="D1145" s="102"/>
      <c r="E1145" s="102"/>
      <c r="F1145" s="103"/>
      <c r="G1145" s="99"/>
      <c r="H1145" s="99"/>
      <c r="I1145" s="99"/>
      <c r="J1145" s="20"/>
      <c r="K1145" s="21"/>
      <c r="L1145" s="21"/>
      <c r="M1145" s="21"/>
      <c r="N1145" s="21"/>
      <c r="O1145" s="21"/>
    </row>
    <row r="1146" spans="2:15" ht="14.15" customHeight="1" x14ac:dyDescent="0.35">
      <c r="B1146" s="100"/>
      <c r="C1146" s="110" t="s">
        <v>1129</v>
      </c>
      <c r="D1146" s="102"/>
      <c r="E1146" s="102"/>
      <c r="F1146" s="103"/>
      <c r="G1146" s="99"/>
      <c r="H1146" s="99"/>
      <c r="I1146" s="99"/>
      <c r="J1146" s="20"/>
      <c r="K1146" s="21"/>
      <c r="L1146" s="21"/>
      <c r="M1146" s="21"/>
      <c r="N1146" s="21"/>
      <c r="O1146" s="21"/>
    </row>
    <row r="1147" spans="2:15" ht="14.15" customHeight="1" x14ac:dyDescent="0.35">
      <c r="B1147" s="100">
        <f>(B1144+1)</f>
        <v>1138</v>
      </c>
      <c r="C1147" s="104" t="s">
        <v>1130</v>
      </c>
      <c r="D1147" s="102">
        <v>9318327</v>
      </c>
      <c r="E1147" s="102"/>
      <c r="F1147" s="103">
        <v>37195</v>
      </c>
      <c r="G1147" s="99"/>
      <c r="H1147" s="99"/>
      <c r="I1147" s="99"/>
      <c r="J1147" s="20"/>
      <c r="K1147" s="21"/>
      <c r="L1147" s="21"/>
      <c r="M1147" s="21"/>
      <c r="N1147" s="21"/>
      <c r="O1147" s="21"/>
    </row>
    <row r="1148" spans="2:15" ht="14.15" customHeight="1" x14ac:dyDescent="0.35">
      <c r="B1148" s="100">
        <f t="shared" ref="B1148:B1211" si="20">(B1147+1)</f>
        <v>1139</v>
      </c>
      <c r="C1148" s="104" t="s">
        <v>1131</v>
      </c>
      <c r="D1148" s="102">
        <v>9419347</v>
      </c>
      <c r="E1148" s="102"/>
      <c r="F1148" s="103">
        <v>37195</v>
      </c>
      <c r="G1148" s="99"/>
      <c r="H1148" s="99"/>
      <c r="I1148" s="99"/>
      <c r="J1148" s="20"/>
      <c r="K1148" s="21"/>
      <c r="L1148" s="21"/>
      <c r="M1148" s="21"/>
      <c r="N1148" s="21"/>
      <c r="O1148" s="21"/>
    </row>
    <row r="1149" spans="2:15" ht="14.15" customHeight="1" x14ac:dyDescent="0.35">
      <c r="B1149" s="100">
        <f t="shared" si="20"/>
        <v>1140</v>
      </c>
      <c r="C1149" s="104" t="s">
        <v>1132</v>
      </c>
      <c r="D1149" s="102">
        <v>9519769</v>
      </c>
      <c r="E1149" s="102"/>
      <c r="F1149" s="103">
        <v>37195</v>
      </c>
      <c r="G1149" s="99"/>
      <c r="H1149" s="99"/>
      <c r="I1149" s="99"/>
      <c r="J1149" s="20"/>
      <c r="K1149" s="21"/>
      <c r="L1149" s="21"/>
      <c r="M1149" s="21"/>
      <c r="N1149" s="21"/>
      <c r="O1149" s="21"/>
    </row>
    <row r="1150" spans="2:15" ht="14.15" customHeight="1" x14ac:dyDescent="0.35">
      <c r="B1150" s="100">
        <f t="shared" si="20"/>
        <v>1141</v>
      </c>
      <c r="C1150" s="104" t="s">
        <v>1133</v>
      </c>
      <c r="D1150" s="102">
        <v>9520005</v>
      </c>
      <c r="E1150" s="102"/>
      <c r="F1150" s="103">
        <v>37195</v>
      </c>
      <c r="G1150" s="99"/>
      <c r="H1150" s="99"/>
      <c r="I1150" s="99"/>
      <c r="J1150" s="20"/>
      <c r="K1150" s="21"/>
      <c r="L1150" s="21"/>
      <c r="M1150" s="21"/>
      <c r="N1150" s="21"/>
      <c r="O1150" s="21"/>
    </row>
    <row r="1151" spans="2:15" ht="14.15" customHeight="1" x14ac:dyDescent="0.35">
      <c r="B1151" s="100">
        <f t="shared" si="20"/>
        <v>1142</v>
      </c>
      <c r="C1151" s="104" t="s">
        <v>1134</v>
      </c>
      <c r="D1151" s="102">
        <v>9620657</v>
      </c>
      <c r="E1151" s="102"/>
      <c r="F1151" s="103">
        <v>37195</v>
      </c>
      <c r="G1151" s="99"/>
      <c r="H1151" s="99"/>
      <c r="I1151" s="99"/>
      <c r="J1151" s="20"/>
      <c r="K1151" s="21"/>
      <c r="L1151" s="21"/>
      <c r="M1151" s="21"/>
      <c r="N1151" s="21"/>
      <c r="O1151" s="21"/>
    </row>
    <row r="1152" spans="2:15" ht="14.15" customHeight="1" x14ac:dyDescent="0.35">
      <c r="B1152" s="100">
        <f t="shared" si="20"/>
        <v>1143</v>
      </c>
      <c r="C1152" s="104" t="s">
        <v>1135</v>
      </c>
      <c r="D1152" s="102">
        <v>9620688</v>
      </c>
      <c r="E1152" s="102"/>
      <c r="F1152" s="103">
        <v>37195</v>
      </c>
      <c r="G1152" s="99"/>
      <c r="H1152" s="99"/>
      <c r="I1152" s="99"/>
      <c r="J1152" s="20"/>
      <c r="K1152" s="21"/>
      <c r="L1152" s="21"/>
      <c r="M1152" s="21"/>
      <c r="N1152" s="21"/>
      <c r="O1152" s="21"/>
    </row>
    <row r="1153" spans="2:15" ht="14.15" customHeight="1" x14ac:dyDescent="0.35">
      <c r="B1153" s="100">
        <f t="shared" si="20"/>
        <v>1144</v>
      </c>
      <c r="C1153" s="104" t="s">
        <v>1136</v>
      </c>
      <c r="D1153" s="102">
        <v>9621091</v>
      </c>
      <c r="E1153" s="102"/>
      <c r="F1153" s="103">
        <v>37195</v>
      </c>
      <c r="G1153" s="99"/>
      <c r="H1153" s="99"/>
      <c r="I1153" s="99"/>
      <c r="J1153" s="20"/>
      <c r="K1153" s="21"/>
      <c r="L1153" s="21"/>
      <c r="M1153" s="21"/>
      <c r="N1153" s="21"/>
      <c r="O1153" s="21"/>
    </row>
    <row r="1154" spans="2:15" ht="14.15" customHeight="1" x14ac:dyDescent="0.35">
      <c r="B1154" s="100">
        <f t="shared" si="20"/>
        <v>1145</v>
      </c>
      <c r="C1154" s="104" t="s">
        <v>1137</v>
      </c>
      <c r="D1154" s="102">
        <v>9621092</v>
      </c>
      <c r="E1154" s="102"/>
      <c r="F1154" s="103">
        <v>37195</v>
      </c>
      <c r="G1154" s="99"/>
      <c r="H1154" s="99"/>
      <c r="I1154" s="99"/>
      <c r="J1154" s="20"/>
      <c r="K1154" s="21"/>
      <c r="L1154" s="21"/>
      <c r="M1154" s="21"/>
      <c r="N1154" s="21"/>
      <c r="O1154" s="21"/>
    </row>
    <row r="1155" spans="2:15" ht="14.15" customHeight="1" x14ac:dyDescent="0.35">
      <c r="B1155" s="100">
        <f t="shared" si="20"/>
        <v>1146</v>
      </c>
      <c r="C1155" s="104" t="s">
        <v>1138</v>
      </c>
      <c r="D1155" s="102">
        <v>9621154</v>
      </c>
      <c r="E1155" s="102"/>
      <c r="F1155" s="103">
        <v>37195</v>
      </c>
      <c r="G1155" s="99"/>
      <c r="H1155" s="99"/>
      <c r="I1155" s="99"/>
      <c r="J1155" s="20"/>
      <c r="K1155" s="21"/>
      <c r="L1155" s="21"/>
      <c r="M1155" s="21"/>
      <c r="N1155" s="21"/>
      <c r="O1155" s="21"/>
    </row>
    <row r="1156" spans="2:15" ht="14.15" customHeight="1" x14ac:dyDescent="0.35">
      <c r="B1156" s="100">
        <f t="shared" si="20"/>
        <v>1147</v>
      </c>
      <c r="C1156" s="104" t="s">
        <v>1139</v>
      </c>
      <c r="D1156" s="102">
        <v>9721960</v>
      </c>
      <c r="E1156" s="102"/>
      <c r="F1156" s="103">
        <v>37195</v>
      </c>
      <c r="G1156" s="99"/>
      <c r="H1156" s="99"/>
      <c r="I1156" s="99"/>
      <c r="J1156" s="20"/>
      <c r="K1156" s="21"/>
      <c r="L1156" s="21"/>
      <c r="M1156" s="21"/>
      <c r="N1156" s="21"/>
      <c r="O1156" s="21"/>
    </row>
    <row r="1157" spans="2:15" ht="14.15" customHeight="1" x14ac:dyDescent="0.35">
      <c r="B1157" s="100">
        <f t="shared" si="20"/>
        <v>1148</v>
      </c>
      <c r="C1157" s="104" t="s">
        <v>1140</v>
      </c>
      <c r="D1157" s="102">
        <v>9721978</v>
      </c>
      <c r="E1157" s="102"/>
      <c r="F1157" s="103">
        <v>37195</v>
      </c>
      <c r="G1157" s="99"/>
      <c r="H1157" s="99"/>
      <c r="I1157" s="99"/>
      <c r="J1157" s="20"/>
      <c r="K1157" s="21"/>
      <c r="L1157" s="21"/>
      <c r="M1157" s="21"/>
      <c r="N1157" s="21"/>
      <c r="O1157" s="21"/>
    </row>
    <row r="1158" spans="2:15" ht="14.15" customHeight="1" x14ac:dyDescent="0.35">
      <c r="B1158" s="100">
        <f t="shared" si="20"/>
        <v>1149</v>
      </c>
      <c r="C1158" s="104" t="s">
        <v>1141</v>
      </c>
      <c r="D1158" s="102">
        <v>9318310</v>
      </c>
      <c r="E1158" s="102"/>
      <c r="F1158" s="103">
        <v>37287</v>
      </c>
      <c r="G1158" s="99"/>
      <c r="H1158" s="99"/>
      <c r="I1158" s="99"/>
      <c r="J1158" s="20"/>
      <c r="K1158" s="21"/>
      <c r="L1158" s="21"/>
      <c r="M1158" s="21"/>
      <c r="N1158" s="21"/>
      <c r="O1158" s="21"/>
    </row>
    <row r="1159" spans="2:15" ht="14.15" customHeight="1" x14ac:dyDescent="0.35">
      <c r="B1159" s="100">
        <f t="shared" si="20"/>
        <v>1150</v>
      </c>
      <c r="C1159" s="104" t="s">
        <v>1142</v>
      </c>
      <c r="D1159" s="102">
        <v>9520108</v>
      </c>
      <c r="E1159" s="102"/>
      <c r="F1159" s="103">
        <v>37287</v>
      </c>
      <c r="G1159" s="99"/>
      <c r="H1159" s="99"/>
      <c r="I1159" s="99"/>
      <c r="J1159" s="20"/>
      <c r="K1159" s="21"/>
      <c r="L1159" s="21"/>
      <c r="M1159" s="21"/>
      <c r="N1159" s="21"/>
      <c r="O1159" s="21"/>
    </row>
    <row r="1160" spans="2:15" ht="14.15" customHeight="1" x14ac:dyDescent="0.35">
      <c r="B1160" s="100">
        <f t="shared" si="20"/>
        <v>1151</v>
      </c>
      <c r="C1160" s="104" t="s">
        <v>1143</v>
      </c>
      <c r="D1160" s="102">
        <v>9520114</v>
      </c>
      <c r="E1160" s="102"/>
      <c r="F1160" s="103">
        <v>37287</v>
      </c>
      <c r="G1160" s="99"/>
      <c r="H1160" s="99"/>
      <c r="I1160" s="99"/>
      <c r="J1160" s="20"/>
      <c r="K1160" s="21"/>
      <c r="L1160" s="21"/>
      <c r="M1160" s="21"/>
      <c r="N1160" s="21"/>
      <c r="O1160" s="21"/>
    </row>
    <row r="1161" spans="2:15" ht="14.15" customHeight="1" x14ac:dyDescent="0.35">
      <c r="B1161" s="100">
        <f t="shared" si="20"/>
        <v>1152</v>
      </c>
      <c r="C1161" s="104" t="s">
        <v>1144</v>
      </c>
      <c r="D1161" s="102">
        <v>9620428</v>
      </c>
      <c r="E1161" s="102"/>
      <c r="F1161" s="103">
        <v>37287</v>
      </c>
      <c r="G1161" s="99"/>
      <c r="H1161" s="99"/>
      <c r="I1161" s="99"/>
      <c r="J1161" s="20"/>
      <c r="K1161" s="21"/>
      <c r="L1161" s="21"/>
      <c r="M1161" s="21"/>
      <c r="N1161" s="21"/>
      <c r="O1161" s="21"/>
    </row>
    <row r="1162" spans="2:15" ht="14.15" customHeight="1" x14ac:dyDescent="0.35">
      <c r="B1162" s="100">
        <f t="shared" si="20"/>
        <v>1153</v>
      </c>
      <c r="C1162" s="104" t="s">
        <v>1145</v>
      </c>
      <c r="D1162" s="102">
        <v>9620451</v>
      </c>
      <c r="E1162" s="102"/>
      <c r="F1162" s="103">
        <v>37287</v>
      </c>
      <c r="G1162" s="99"/>
      <c r="H1162" s="99"/>
      <c r="I1162" s="99"/>
      <c r="J1162" s="20"/>
      <c r="K1162" s="21"/>
      <c r="L1162" s="21"/>
      <c r="M1162" s="21"/>
      <c r="N1162" s="21"/>
      <c r="O1162" s="21"/>
    </row>
    <row r="1163" spans="2:15" ht="14.15" customHeight="1" x14ac:dyDescent="0.35">
      <c r="B1163" s="100">
        <f t="shared" si="20"/>
        <v>1154</v>
      </c>
      <c r="C1163" s="104" t="s">
        <v>1146</v>
      </c>
      <c r="D1163" s="102">
        <v>9620503</v>
      </c>
      <c r="E1163" s="102"/>
      <c r="F1163" s="103">
        <v>37287</v>
      </c>
      <c r="G1163" s="99"/>
      <c r="H1163" s="99"/>
      <c r="I1163" s="99"/>
      <c r="J1163" s="20"/>
      <c r="K1163" s="21"/>
      <c r="L1163" s="21"/>
      <c r="M1163" s="21"/>
      <c r="N1163" s="21"/>
      <c r="O1163" s="21"/>
    </row>
    <row r="1164" spans="2:15" ht="14.15" customHeight="1" x14ac:dyDescent="0.35">
      <c r="B1164" s="100">
        <f t="shared" si="20"/>
        <v>1155</v>
      </c>
      <c r="C1164" s="104" t="s">
        <v>1147</v>
      </c>
      <c r="D1164" s="102">
        <v>9620584</v>
      </c>
      <c r="E1164" s="102"/>
      <c r="F1164" s="103">
        <v>37287</v>
      </c>
      <c r="G1164" s="99"/>
      <c r="H1164" s="99"/>
      <c r="I1164" s="99"/>
      <c r="J1164" s="20"/>
      <c r="K1164" s="21"/>
      <c r="L1164" s="21"/>
      <c r="M1164" s="21"/>
      <c r="N1164" s="21"/>
      <c r="O1164" s="21"/>
    </row>
    <row r="1165" spans="2:15" ht="14.15" customHeight="1" x14ac:dyDescent="0.35">
      <c r="B1165" s="100">
        <f t="shared" si="20"/>
        <v>1156</v>
      </c>
      <c r="C1165" s="104" t="s">
        <v>1148</v>
      </c>
      <c r="D1165" s="102">
        <v>9620597</v>
      </c>
      <c r="E1165" s="102"/>
      <c r="F1165" s="103">
        <v>37287</v>
      </c>
      <c r="G1165" s="99"/>
      <c r="H1165" s="99"/>
      <c r="I1165" s="99"/>
      <c r="J1165" s="20"/>
      <c r="K1165" s="21"/>
      <c r="L1165" s="21"/>
      <c r="M1165" s="21"/>
      <c r="N1165" s="21"/>
      <c r="O1165" s="21"/>
    </row>
    <row r="1166" spans="2:15" ht="14.15" customHeight="1" x14ac:dyDescent="0.35">
      <c r="B1166" s="100">
        <f t="shared" si="20"/>
        <v>1157</v>
      </c>
      <c r="C1166" s="104" t="s">
        <v>1149</v>
      </c>
      <c r="D1166" s="102">
        <v>9620796</v>
      </c>
      <c r="E1166" s="102"/>
      <c r="F1166" s="103">
        <v>37287</v>
      </c>
      <c r="G1166" s="99"/>
      <c r="H1166" s="99"/>
      <c r="I1166" s="99"/>
      <c r="J1166" s="20"/>
      <c r="K1166" s="21"/>
      <c r="L1166" s="21"/>
      <c r="M1166" s="21"/>
      <c r="N1166" s="21"/>
      <c r="O1166" s="21"/>
    </row>
    <row r="1167" spans="2:15" ht="14.15" customHeight="1" x14ac:dyDescent="0.35">
      <c r="B1167" s="100">
        <f t="shared" si="20"/>
        <v>1158</v>
      </c>
      <c r="C1167" s="104" t="s">
        <v>1150</v>
      </c>
      <c r="D1167" s="102">
        <v>9620797</v>
      </c>
      <c r="E1167" s="102"/>
      <c r="F1167" s="103">
        <v>37287</v>
      </c>
      <c r="G1167" s="99"/>
      <c r="H1167" s="99"/>
      <c r="I1167" s="99"/>
      <c r="J1167" s="20"/>
      <c r="K1167" s="21"/>
      <c r="L1167" s="21"/>
      <c r="M1167" s="21"/>
      <c r="N1167" s="21"/>
      <c r="O1167" s="21"/>
    </row>
    <row r="1168" spans="2:15" ht="14.15" customHeight="1" x14ac:dyDescent="0.35">
      <c r="B1168" s="100">
        <f t="shared" si="20"/>
        <v>1159</v>
      </c>
      <c r="C1168" s="104" t="s">
        <v>1151</v>
      </c>
      <c r="D1168" s="102">
        <v>9620927</v>
      </c>
      <c r="E1168" s="102"/>
      <c r="F1168" s="103">
        <v>37287</v>
      </c>
      <c r="G1168" s="99"/>
      <c r="H1168" s="99"/>
      <c r="I1168" s="99"/>
      <c r="J1168" s="20"/>
      <c r="K1168" s="21"/>
      <c r="L1168" s="21"/>
      <c r="M1168" s="21"/>
      <c r="N1168" s="21"/>
      <c r="O1168" s="21"/>
    </row>
    <row r="1169" spans="2:15" ht="14.15" customHeight="1" x14ac:dyDescent="0.35">
      <c r="B1169" s="100">
        <f t="shared" si="20"/>
        <v>1160</v>
      </c>
      <c r="C1169" s="104" t="s">
        <v>1152</v>
      </c>
      <c r="D1169" s="102">
        <v>9620946</v>
      </c>
      <c r="E1169" s="102"/>
      <c r="F1169" s="103">
        <v>37287</v>
      </c>
      <c r="G1169" s="99"/>
      <c r="H1169" s="99"/>
      <c r="I1169" s="99"/>
      <c r="J1169" s="20"/>
      <c r="K1169" s="21"/>
      <c r="L1169" s="21"/>
      <c r="M1169" s="21"/>
      <c r="N1169" s="21"/>
      <c r="O1169" s="21"/>
    </row>
    <row r="1170" spans="2:15" ht="14.15" customHeight="1" x14ac:dyDescent="0.35">
      <c r="B1170" s="100">
        <f t="shared" si="20"/>
        <v>1161</v>
      </c>
      <c r="C1170" s="104" t="s">
        <v>1153</v>
      </c>
      <c r="D1170" s="102">
        <v>9620980</v>
      </c>
      <c r="E1170" s="102"/>
      <c r="F1170" s="103">
        <v>37287</v>
      </c>
      <c r="G1170" s="99"/>
      <c r="H1170" s="99"/>
      <c r="I1170" s="99"/>
      <c r="J1170" s="20"/>
      <c r="K1170" s="21"/>
      <c r="L1170" s="21"/>
      <c r="M1170" s="21"/>
      <c r="N1170" s="21"/>
      <c r="O1170" s="21"/>
    </row>
    <row r="1171" spans="2:15" ht="14.15" customHeight="1" x14ac:dyDescent="0.35">
      <c r="B1171" s="100">
        <f t="shared" si="20"/>
        <v>1162</v>
      </c>
      <c r="C1171" s="104" t="s">
        <v>1154</v>
      </c>
      <c r="D1171" s="102">
        <v>9621075</v>
      </c>
      <c r="E1171" s="102"/>
      <c r="F1171" s="103">
        <v>37287</v>
      </c>
      <c r="G1171" s="99"/>
      <c r="H1171" s="99"/>
      <c r="I1171" s="99"/>
      <c r="J1171" s="20"/>
      <c r="K1171" s="21"/>
      <c r="L1171" s="21"/>
      <c r="M1171" s="21"/>
      <c r="N1171" s="21"/>
      <c r="O1171" s="21"/>
    </row>
    <row r="1172" spans="2:15" ht="14.15" customHeight="1" x14ac:dyDescent="0.35">
      <c r="B1172" s="100">
        <f t="shared" si="20"/>
        <v>1163</v>
      </c>
      <c r="C1172" s="104" t="s">
        <v>1155</v>
      </c>
      <c r="D1172" s="102">
        <v>9621227</v>
      </c>
      <c r="E1172" s="102"/>
      <c r="F1172" s="103">
        <v>37287</v>
      </c>
      <c r="G1172" s="99"/>
      <c r="H1172" s="99"/>
      <c r="I1172" s="99"/>
      <c r="J1172" s="20"/>
      <c r="K1172" s="21"/>
      <c r="L1172" s="21"/>
      <c r="M1172" s="21"/>
      <c r="N1172" s="21"/>
      <c r="O1172" s="21"/>
    </row>
    <row r="1173" spans="2:15" ht="14.15" customHeight="1" x14ac:dyDescent="0.35">
      <c r="B1173" s="100">
        <f t="shared" si="20"/>
        <v>1164</v>
      </c>
      <c r="C1173" s="104" t="s">
        <v>1156</v>
      </c>
      <c r="D1173" s="102">
        <v>9621262</v>
      </c>
      <c r="E1173" s="102"/>
      <c r="F1173" s="103">
        <v>37287</v>
      </c>
      <c r="G1173" s="99"/>
      <c r="H1173" s="99"/>
      <c r="I1173" s="99"/>
      <c r="J1173" s="20"/>
      <c r="K1173" s="21"/>
      <c r="L1173" s="21"/>
      <c r="M1173" s="21"/>
      <c r="N1173" s="21"/>
      <c r="O1173" s="21"/>
    </row>
    <row r="1174" spans="2:15" ht="14.15" customHeight="1" x14ac:dyDescent="0.35">
      <c r="B1174" s="100">
        <f t="shared" si="20"/>
        <v>1165</v>
      </c>
      <c r="C1174" s="104" t="s">
        <v>1157</v>
      </c>
      <c r="D1174" s="102">
        <v>9721437</v>
      </c>
      <c r="E1174" s="102"/>
      <c r="F1174" s="103">
        <v>37287</v>
      </c>
      <c r="G1174" s="99"/>
      <c r="H1174" s="99"/>
      <c r="I1174" s="99"/>
      <c r="J1174" s="20"/>
      <c r="K1174" s="21"/>
      <c r="L1174" s="21"/>
      <c r="M1174" s="21"/>
      <c r="N1174" s="21"/>
      <c r="O1174" s="21"/>
    </row>
    <row r="1175" spans="2:15" ht="14.15" customHeight="1" x14ac:dyDescent="0.35">
      <c r="B1175" s="100">
        <f t="shared" si="20"/>
        <v>1166</v>
      </c>
      <c r="C1175" s="104" t="s">
        <v>1158</v>
      </c>
      <c r="D1175" s="102">
        <v>9721509</v>
      </c>
      <c r="E1175" s="102"/>
      <c r="F1175" s="103">
        <v>37287</v>
      </c>
      <c r="G1175" s="99"/>
      <c r="H1175" s="99"/>
      <c r="I1175" s="99"/>
      <c r="J1175" s="20"/>
      <c r="K1175" s="21"/>
      <c r="L1175" s="21"/>
      <c r="M1175" s="21"/>
      <c r="N1175" s="21"/>
      <c r="O1175" s="21"/>
    </row>
    <row r="1176" spans="2:15" ht="14.15" customHeight="1" x14ac:dyDescent="0.35">
      <c r="B1176" s="100">
        <f t="shared" si="20"/>
        <v>1167</v>
      </c>
      <c r="C1176" s="104" t="s">
        <v>1159</v>
      </c>
      <c r="D1176" s="102">
        <v>9721582</v>
      </c>
      <c r="E1176" s="102"/>
      <c r="F1176" s="103">
        <v>37287</v>
      </c>
      <c r="G1176" s="99"/>
      <c r="H1176" s="99"/>
      <c r="I1176" s="99"/>
      <c r="J1176" s="20"/>
      <c r="K1176" s="21"/>
      <c r="L1176" s="21"/>
      <c r="M1176" s="21"/>
      <c r="N1176" s="21"/>
      <c r="O1176" s="21"/>
    </row>
    <row r="1177" spans="2:15" ht="14.15" customHeight="1" x14ac:dyDescent="0.35">
      <c r="B1177" s="100">
        <f t="shared" si="20"/>
        <v>1168</v>
      </c>
      <c r="C1177" s="104" t="s">
        <v>1160</v>
      </c>
      <c r="D1177" s="102">
        <v>9721625</v>
      </c>
      <c r="E1177" s="102"/>
      <c r="F1177" s="103">
        <v>37287</v>
      </c>
      <c r="G1177" s="99"/>
      <c r="H1177" s="99"/>
      <c r="I1177" s="99"/>
      <c r="J1177" s="20"/>
      <c r="K1177" s="21"/>
      <c r="L1177" s="21"/>
      <c r="M1177" s="21"/>
      <c r="N1177" s="21"/>
      <c r="O1177" s="21"/>
    </row>
    <row r="1178" spans="2:15" ht="14.15" customHeight="1" x14ac:dyDescent="0.35">
      <c r="B1178" s="100">
        <f t="shared" si="20"/>
        <v>1169</v>
      </c>
      <c r="C1178" s="104" t="s">
        <v>1161</v>
      </c>
      <c r="D1178" s="102">
        <v>9721698</v>
      </c>
      <c r="E1178" s="102"/>
      <c r="F1178" s="103">
        <v>37287</v>
      </c>
      <c r="G1178" s="99"/>
      <c r="H1178" s="99"/>
      <c r="I1178" s="99"/>
      <c r="J1178" s="20"/>
      <c r="K1178" s="21"/>
      <c r="L1178" s="21"/>
      <c r="M1178" s="21"/>
      <c r="N1178" s="21"/>
      <c r="O1178" s="21"/>
    </row>
    <row r="1179" spans="2:15" ht="14.15" customHeight="1" x14ac:dyDescent="0.35">
      <c r="B1179" s="100">
        <f t="shared" si="20"/>
        <v>1170</v>
      </c>
      <c r="C1179" s="104" t="s">
        <v>1162</v>
      </c>
      <c r="D1179" s="102">
        <v>9721886</v>
      </c>
      <c r="E1179" s="102"/>
      <c r="F1179" s="103">
        <v>37287</v>
      </c>
      <c r="G1179" s="99"/>
      <c r="H1179" s="99"/>
      <c r="I1179" s="99"/>
      <c r="J1179" s="20"/>
      <c r="K1179" s="21"/>
      <c r="L1179" s="21"/>
      <c r="M1179" s="21"/>
      <c r="N1179" s="21"/>
      <c r="O1179" s="21"/>
    </row>
    <row r="1180" spans="2:15" ht="14.15" customHeight="1" x14ac:dyDescent="0.35">
      <c r="B1180" s="100">
        <f t="shared" si="20"/>
        <v>1171</v>
      </c>
      <c r="C1180" s="104" t="s">
        <v>1163</v>
      </c>
      <c r="D1180" s="102">
        <v>9721889</v>
      </c>
      <c r="E1180" s="102"/>
      <c r="F1180" s="103">
        <v>37287</v>
      </c>
      <c r="G1180" s="99"/>
      <c r="H1180" s="99"/>
      <c r="I1180" s="99"/>
      <c r="J1180" s="20"/>
      <c r="K1180" s="21"/>
      <c r="L1180" s="21"/>
      <c r="M1180" s="21"/>
      <c r="N1180" s="21"/>
      <c r="O1180" s="21"/>
    </row>
    <row r="1181" spans="2:15" ht="14.15" customHeight="1" x14ac:dyDescent="0.35">
      <c r="B1181" s="100">
        <f t="shared" si="20"/>
        <v>1172</v>
      </c>
      <c r="C1181" s="104" t="s">
        <v>1164</v>
      </c>
      <c r="D1181" s="102">
        <v>9722007</v>
      </c>
      <c r="E1181" s="102"/>
      <c r="F1181" s="103">
        <v>37287</v>
      </c>
      <c r="G1181" s="99"/>
      <c r="H1181" s="99"/>
      <c r="I1181" s="99"/>
      <c r="J1181" s="20"/>
      <c r="K1181" s="21"/>
      <c r="L1181" s="21"/>
      <c r="M1181" s="21"/>
      <c r="N1181" s="21"/>
      <c r="O1181" s="21"/>
    </row>
    <row r="1182" spans="2:15" ht="14.15" customHeight="1" x14ac:dyDescent="0.35">
      <c r="B1182" s="100">
        <f t="shared" si="20"/>
        <v>1173</v>
      </c>
      <c r="C1182" s="104" t="s">
        <v>1165</v>
      </c>
      <c r="D1182" s="102">
        <v>9722024</v>
      </c>
      <c r="E1182" s="102"/>
      <c r="F1182" s="103">
        <v>37287</v>
      </c>
      <c r="G1182" s="99"/>
      <c r="H1182" s="99"/>
      <c r="I1182" s="99"/>
      <c r="J1182" s="20"/>
      <c r="K1182" s="21"/>
      <c r="L1182" s="21"/>
      <c r="M1182" s="21"/>
      <c r="N1182" s="21"/>
      <c r="O1182" s="21"/>
    </row>
    <row r="1183" spans="2:15" ht="14.15" customHeight="1" x14ac:dyDescent="0.35">
      <c r="B1183" s="100">
        <f t="shared" si="20"/>
        <v>1174</v>
      </c>
      <c r="C1183" s="104" t="s">
        <v>1166</v>
      </c>
      <c r="D1183" s="102">
        <v>9722043</v>
      </c>
      <c r="E1183" s="102"/>
      <c r="F1183" s="103">
        <v>37287</v>
      </c>
      <c r="G1183" s="99"/>
      <c r="H1183" s="99"/>
      <c r="I1183" s="99"/>
      <c r="J1183" s="20"/>
      <c r="K1183" s="21"/>
      <c r="L1183" s="21"/>
      <c r="M1183" s="21"/>
      <c r="N1183" s="21"/>
      <c r="O1183" s="21"/>
    </row>
    <row r="1184" spans="2:15" ht="14.15" customHeight="1" x14ac:dyDescent="0.35">
      <c r="B1184" s="100">
        <f t="shared" si="20"/>
        <v>1175</v>
      </c>
      <c r="C1184" s="104" t="s">
        <v>1167</v>
      </c>
      <c r="D1184" s="102">
        <v>9722050</v>
      </c>
      <c r="E1184" s="102"/>
      <c r="F1184" s="103">
        <v>37287</v>
      </c>
      <c r="G1184" s="99"/>
      <c r="H1184" s="99"/>
      <c r="I1184" s="99"/>
      <c r="J1184" s="20"/>
      <c r="K1184" s="21"/>
      <c r="L1184" s="21"/>
      <c r="M1184" s="21"/>
      <c r="N1184" s="21"/>
      <c r="O1184" s="21"/>
    </row>
    <row r="1185" spans="2:15" ht="14.15" customHeight="1" x14ac:dyDescent="0.35">
      <c r="B1185" s="100">
        <f t="shared" si="20"/>
        <v>1176</v>
      </c>
      <c r="C1185" s="104" t="s">
        <v>1168</v>
      </c>
      <c r="D1185" s="102">
        <v>9722114</v>
      </c>
      <c r="E1185" s="102"/>
      <c r="F1185" s="103">
        <v>37287</v>
      </c>
      <c r="G1185" s="99"/>
      <c r="H1185" s="99"/>
      <c r="I1185" s="99"/>
      <c r="J1185" s="20"/>
      <c r="K1185" s="21"/>
      <c r="L1185" s="21"/>
      <c r="M1185" s="21"/>
      <c r="N1185" s="21"/>
      <c r="O1185" s="21"/>
    </row>
    <row r="1186" spans="2:15" ht="14.15" customHeight="1" x14ac:dyDescent="0.35">
      <c r="B1186" s="100">
        <f t="shared" si="20"/>
        <v>1177</v>
      </c>
      <c r="C1186" s="104" t="s">
        <v>1169</v>
      </c>
      <c r="D1186" s="102">
        <v>9722183</v>
      </c>
      <c r="E1186" s="102"/>
      <c r="F1186" s="103">
        <v>37287</v>
      </c>
      <c r="G1186" s="99"/>
      <c r="H1186" s="99"/>
      <c r="I1186" s="99"/>
      <c r="J1186" s="20"/>
      <c r="K1186" s="21"/>
      <c r="L1186" s="21"/>
      <c r="M1186" s="21"/>
      <c r="N1186" s="21"/>
      <c r="O1186" s="21"/>
    </row>
    <row r="1187" spans="2:15" ht="14.15" customHeight="1" x14ac:dyDescent="0.35">
      <c r="B1187" s="100">
        <f t="shared" si="20"/>
        <v>1178</v>
      </c>
      <c r="C1187" s="104" t="s">
        <v>1170</v>
      </c>
      <c r="D1187" s="102">
        <v>9722238</v>
      </c>
      <c r="E1187" s="102"/>
      <c r="F1187" s="103">
        <v>37287</v>
      </c>
      <c r="G1187" s="99"/>
      <c r="H1187" s="99"/>
      <c r="I1187" s="99"/>
      <c r="J1187" s="20"/>
      <c r="K1187" s="21"/>
      <c r="L1187" s="21"/>
      <c r="M1187" s="21"/>
      <c r="N1187" s="21"/>
      <c r="O1187" s="21"/>
    </row>
    <row r="1188" spans="2:15" ht="14.15" customHeight="1" x14ac:dyDescent="0.35">
      <c r="B1188" s="100">
        <f t="shared" si="20"/>
        <v>1179</v>
      </c>
      <c r="C1188" s="101" t="s">
        <v>1171</v>
      </c>
      <c r="D1188" s="99">
        <v>9318312</v>
      </c>
      <c r="E1188" s="99"/>
      <c r="F1188" s="103">
        <v>37376</v>
      </c>
      <c r="G1188" s="99"/>
      <c r="H1188" s="99"/>
      <c r="I1188" s="99"/>
      <c r="J1188" s="20"/>
      <c r="K1188" s="21"/>
      <c r="L1188" s="21"/>
      <c r="M1188" s="21"/>
      <c r="N1188" s="21"/>
      <c r="O1188" s="21"/>
    </row>
    <row r="1189" spans="2:15" ht="14.15" customHeight="1" x14ac:dyDescent="0.35">
      <c r="B1189" s="100">
        <f t="shared" si="20"/>
        <v>1180</v>
      </c>
      <c r="C1189" s="101" t="s">
        <v>1172</v>
      </c>
      <c r="D1189" s="99">
        <v>9318856</v>
      </c>
      <c r="E1189" s="99"/>
      <c r="F1189" s="103">
        <v>37376</v>
      </c>
      <c r="G1189" s="99"/>
      <c r="H1189" s="99"/>
      <c r="I1189" s="99"/>
      <c r="J1189" s="20"/>
      <c r="K1189" s="21"/>
      <c r="L1189" s="21"/>
      <c r="M1189" s="21"/>
      <c r="N1189" s="21"/>
      <c r="O1189" s="21"/>
    </row>
    <row r="1190" spans="2:15" ht="14.15" customHeight="1" x14ac:dyDescent="0.35">
      <c r="B1190" s="100">
        <f t="shared" si="20"/>
        <v>1181</v>
      </c>
      <c r="C1190" s="101" t="s">
        <v>1173</v>
      </c>
      <c r="D1190" s="99">
        <v>9418832</v>
      </c>
      <c r="E1190" s="99"/>
      <c r="F1190" s="103">
        <v>37376</v>
      </c>
      <c r="G1190" s="99"/>
      <c r="H1190" s="99"/>
      <c r="I1190" s="99"/>
      <c r="J1190" s="20"/>
      <c r="K1190" s="21"/>
      <c r="L1190" s="21"/>
      <c r="M1190" s="21"/>
      <c r="N1190" s="21"/>
      <c r="O1190" s="21"/>
    </row>
    <row r="1191" spans="2:15" ht="14.15" customHeight="1" x14ac:dyDescent="0.35">
      <c r="B1191" s="100">
        <f t="shared" si="20"/>
        <v>1182</v>
      </c>
      <c r="C1191" s="101" t="s">
        <v>1174</v>
      </c>
      <c r="D1191" s="99">
        <v>9519955</v>
      </c>
      <c r="E1191" s="99"/>
      <c r="F1191" s="103">
        <v>37376</v>
      </c>
      <c r="G1191" s="99"/>
      <c r="H1191" s="99"/>
      <c r="I1191" s="99"/>
      <c r="J1191" s="20"/>
      <c r="K1191" s="21"/>
      <c r="L1191" s="21"/>
      <c r="M1191" s="21"/>
      <c r="N1191" s="21"/>
      <c r="O1191" s="21"/>
    </row>
    <row r="1192" spans="2:15" ht="14.15" customHeight="1" x14ac:dyDescent="0.35">
      <c r="B1192" s="100">
        <f t="shared" si="20"/>
        <v>1183</v>
      </c>
      <c r="C1192" s="101" t="s">
        <v>1175</v>
      </c>
      <c r="D1192" s="99">
        <v>9519957</v>
      </c>
      <c r="E1192" s="99"/>
      <c r="F1192" s="103">
        <v>37376</v>
      </c>
      <c r="G1192" s="99"/>
      <c r="H1192" s="99"/>
      <c r="I1192" s="99"/>
      <c r="J1192" s="20"/>
      <c r="K1192" s="21"/>
      <c r="L1192" s="21"/>
      <c r="M1192" s="21"/>
      <c r="N1192" s="21"/>
      <c r="O1192" s="21"/>
    </row>
    <row r="1193" spans="2:15" ht="14.15" customHeight="1" x14ac:dyDescent="0.35">
      <c r="B1193" s="100">
        <f t="shared" si="20"/>
        <v>1184</v>
      </c>
      <c r="C1193" s="101" t="s">
        <v>1176</v>
      </c>
      <c r="D1193" s="99">
        <v>9520294</v>
      </c>
      <c r="E1193" s="99"/>
      <c r="F1193" s="103">
        <v>37376</v>
      </c>
      <c r="G1193" s="99"/>
      <c r="H1193" s="99"/>
      <c r="I1193" s="99"/>
      <c r="J1193" s="20"/>
      <c r="K1193" s="21"/>
      <c r="L1193" s="21"/>
      <c r="M1193" s="21"/>
      <c r="N1193" s="21"/>
      <c r="O1193" s="21"/>
    </row>
    <row r="1194" spans="2:15" ht="14.15" customHeight="1" x14ac:dyDescent="0.35">
      <c r="B1194" s="100">
        <f t="shared" si="20"/>
        <v>1185</v>
      </c>
      <c r="C1194" s="101" t="s">
        <v>1177</v>
      </c>
      <c r="D1194" s="99">
        <v>9620508</v>
      </c>
      <c r="E1194" s="99"/>
      <c r="F1194" s="103">
        <v>37376</v>
      </c>
      <c r="G1194" s="99"/>
      <c r="H1194" s="99"/>
      <c r="I1194" s="99"/>
      <c r="J1194" s="20"/>
      <c r="K1194" s="21"/>
      <c r="L1194" s="21"/>
      <c r="M1194" s="21"/>
      <c r="N1194" s="21"/>
      <c r="O1194" s="21"/>
    </row>
    <row r="1195" spans="2:15" ht="14.15" customHeight="1" x14ac:dyDescent="0.35">
      <c r="B1195" s="100">
        <f t="shared" si="20"/>
        <v>1186</v>
      </c>
      <c r="C1195" s="101" t="s">
        <v>1178</v>
      </c>
      <c r="D1195" s="99">
        <v>9620550</v>
      </c>
      <c r="E1195" s="99"/>
      <c r="F1195" s="103">
        <v>37376</v>
      </c>
      <c r="G1195" s="99"/>
      <c r="H1195" s="99"/>
      <c r="I1195" s="99"/>
      <c r="J1195" s="20"/>
      <c r="K1195" s="21"/>
      <c r="L1195" s="21"/>
      <c r="M1195" s="21"/>
      <c r="N1195" s="21"/>
      <c r="O1195" s="21"/>
    </row>
    <row r="1196" spans="2:15" ht="14.15" customHeight="1" x14ac:dyDescent="0.35">
      <c r="B1196" s="100">
        <f t="shared" si="20"/>
        <v>1187</v>
      </c>
      <c r="C1196" s="101" t="s">
        <v>1179</v>
      </c>
      <c r="D1196" s="99">
        <v>9620929</v>
      </c>
      <c r="E1196" s="99"/>
      <c r="F1196" s="103">
        <v>37376</v>
      </c>
      <c r="G1196" s="99"/>
      <c r="H1196" s="99"/>
      <c r="I1196" s="99"/>
      <c r="J1196" s="20"/>
      <c r="K1196" s="21"/>
      <c r="L1196" s="21"/>
      <c r="M1196" s="21"/>
      <c r="N1196" s="21"/>
      <c r="O1196" s="21"/>
    </row>
    <row r="1197" spans="2:15" ht="14.15" customHeight="1" x14ac:dyDescent="0.35">
      <c r="B1197" s="100">
        <f t="shared" si="20"/>
        <v>1188</v>
      </c>
      <c r="C1197" s="101" t="s">
        <v>1180</v>
      </c>
      <c r="D1197" s="99">
        <v>9620931</v>
      </c>
      <c r="E1197" s="99"/>
      <c r="F1197" s="103">
        <v>37376</v>
      </c>
      <c r="G1197" s="99"/>
      <c r="H1197" s="99"/>
      <c r="I1197" s="99"/>
      <c r="J1197" s="20"/>
      <c r="K1197" s="21"/>
      <c r="L1197" s="21"/>
      <c r="M1197" s="21"/>
      <c r="N1197" s="21"/>
      <c r="O1197" s="21"/>
    </row>
    <row r="1198" spans="2:15" ht="14.15" customHeight="1" x14ac:dyDescent="0.35">
      <c r="B1198" s="100">
        <f t="shared" si="20"/>
        <v>1189</v>
      </c>
      <c r="C1198" s="101" t="s">
        <v>1181</v>
      </c>
      <c r="D1198" s="99">
        <v>9620932</v>
      </c>
      <c r="E1198" s="99"/>
      <c r="F1198" s="103">
        <v>37376</v>
      </c>
      <c r="G1198" s="99"/>
      <c r="H1198" s="99"/>
      <c r="I1198" s="99"/>
      <c r="J1198" s="20"/>
      <c r="K1198" s="21"/>
      <c r="L1198" s="21"/>
      <c r="M1198" s="21"/>
      <c r="N1198" s="21"/>
      <c r="O1198" s="21"/>
    </row>
    <row r="1199" spans="2:15" ht="14.15" customHeight="1" x14ac:dyDescent="0.35">
      <c r="B1199" s="100">
        <f t="shared" si="20"/>
        <v>1190</v>
      </c>
      <c r="C1199" s="101" t="s">
        <v>1182</v>
      </c>
      <c r="D1199" s="99">
        <v>9620948</v>
      </c>
      <c r="E1199" s="99"/>
      <c r="F1199" s="103">
        <v>37376</v>
      </c>
      <c r="G1199" s="99"/>
      <c r="H1199" s="99"/>
      <c r="I1199" s="99"/>
      <c r="J1199" s="20"/>
      <c r="K1199" s="21"/>
      <c r="L1199" s="21"/>
      <c r="M1199" s="21"/>
      <c r="N1199" s="21"/>
      <c r="O1199" s="21"/>
    </row>
    <row r="1200" spans="2:15" ht="14.15" customHeight="1" x14ac:dyDescent="0.35">
      <c r="B1200" s="100">
        <f t="shared" si="20"/>
        <v>1191</v>
      </c>
      <c r="C1200" s="101" t="s">
        <v>1183</v>
      </c>
      <c r="D1200" s="99">
        <v>9620949</v>
      </c>
      <c r="E1200" s="99"/>
      <c r="F1200" s="103">
        <v>37376</v>
      </c>
      <c r="G1200" s="99"/>
      <c r="H1200" s="99"/>
      <c r="I1200" s="99"/>
      <c r="J1200" s="20"/>
      <c r="K1200" s="21"/>
      <c r="L1200" s="21"/>
      <c r="M1200" s="21"/>
      <c r="N1200" s="21"/>
      <c r="O1200" s="21"/>
    </row>
    <row r="1201" spans="2:15" ht="14.15" customHeight="1" x14ac:dyDescent="0.35">
      <c r="B1201" s="100">
        <f t="shared" si="20"/>
        <v>1192</v>
      </c>
      <c r="C1201" s="101" t="s">
        <v>1184</v>
      </c>
      <c r="D1201" s="99">
        <v>9621051</v>
      </c>
      <c r="E1201" s="99"/>
      <c r="F1201" s="103">
        <v>37376</v>
      </c>
      <c r="G1201" s="99"/>
      <c r="H1201" s="99"/>
      <c r="I1201" s="99"/>
      <c r="J1201" s="20"/>
      <c r="K1201" s="21"/>
      <c r="L1201" s="21"/>
      <c r="M1201" s="21"/>
      <c r="N1201" s="21"/>
      <c r="O1201" s="21"/>
    </row>
    <row r="1202" spans="2:15" ht="14.15" customHeight="1" x14ac:dyDescent="0.35">
      <c r="B1202" s="100">
        <f t="shared" si="20"/>
        <v>1193</v>
      </c>
      <c r="C1202" s="101" t="s">
        <v>1185</v>
      </c>
      <c r="D1202" s="99">
        <v>9621060</v>
      </c>
      <c r="E1202" s="99"/>
      <c r="F1202" s="103">
        <v>37376</v>
      </c>
      <c r="G1202" s="99"/>
      <c r="H1202" s="99"/>
      <c r="I1202" s="99"/>
      <c r="J1202" s="20"/>
      <c r="K1202" s="21"/>
      <c r="L1202" s="21"/>
      <c r="M1202" s="21"/>
      <c r="N1202" s="21"/>
      <c r="O1202" s="21"/>
    </row>
    <row r="1203" spans="2:15" ht="14.15" customHeight="1" x14ac:dyDescent="0.35">
      <c r="B1203" s="100">
        <f t="shared" si="20"/>
        <v>1194</v>
      </c>
      <c r="C1203" s="101" t="s">
        <v>1186</v>
      </c>
      <c r="D1203" s="99">
        <v>9621108</v>
      </c>
      <c r="E1203" s="99"/>
      <c r="F1203" s="103">
        <v>37376</v>
      </c>
      <c r="G1203" s="99"/>
      <c r="H1203" s="99"/>
      <c r="I1203" s="99"/>
      <c r="J1203" s="20"/>
      <c r="K1203" s="21"/>
      <c r="L1203" s="21"/>
      <c r="M1203" s="21"/>
      <c r="N1203" s="21"/>
      <c r="O1203" s="21"/>
    </row>
    <row r="1204" spans="2:15" ht="14.15" customHeight="1" x14ac:dyDescent="0.35">
      <c r="B1204" s="100">
        <f t="shared" si="20"/>
        <v>1195</v>
      </c>
      <c r="C1204" s="101" t="s">
        <v>1187</v>
      </c>
      <c r="D1204" s="99">
        <v>9621138</v>
      </c>
      <c r="E1204" s="99"/>
      <c r="F1204" s="103">
        <v>37376</v>
      </c>
      <c r="G1204" s="99"/>
      <c r="H1204" s="99"/>
      <c r="I1204" s="99"/>
      <c r="J1204" s="20"/>
      <c r="K1204" s="21"/>
      <c r="L1204" s="21"/>
      <c r="M1204" s="21"/>
      <c r="N1204" s="21"/>
      <c r="O1204" s="21"/>
    </row>
    <row r="1205" spans="2:15" ht="14.15" customHeight="1" x14ac:dyDescent="0.35">
      <c r="B1205" s="100">
        <f t="shared" si="20"/>
        <v>1196</v>
      </c>
      <c r="C1205" s="101" t="s">
        <v>1188</v>
      </c>
      <c r="D1205" s="99">
        <v>9721363</v>
      </c>
      <c r="E1205" s="99"/>
      <c r="F1205" s="103">
        <v>37376</v>
      </c>
      <c r="G1205" s="99"/>
      <c r="H1205" s="99"/>
      <c r="I1205" s="99"/>
      <c r="J1205" s="20"/>
      <c r="K1205" s="21"/>
      <c r="L1205" s="21"/>
      <c r="M1205" s="21"/>
      <c r="N1205" s="21"/>
      <c r="O1205" s="21"/>
    </row>
    <row r="1206" spans="2:15" ht="14.15" customHeight="1" x14ac:dyDescent="0.35">
      <c r="B1206" s="100">
        <f t="shared" si="20"/>
        <v>1197</v>
      </c>
      <c r="C1206" s="101" t="s">
        <v>1189</v>
      </c>
      <c r="D1206" s="99">
        <v>9721414</v>
      </c>
      <c r="E1206" s="99"/>
      <c r="F1206" s="103">
        <v>37376</v>
      </c>
      <c r="G1206" s="99"/>
      <c r="H1206" s="99"/>
      <c r="I1206" s="99"/>
      <c r="J1206" s="20"/>
      <c r="K1206" s="21"/>
      <c r="L1206" s="21"/>
      <c r="M1206" s="21"/>
      <c r="N1206" s="21"/>
      <c r="O1206" s="21"/>
    </row>
    <row r="1207" spans="2:15" ht="14.15" customHeight="1" x14ac:dyDescent="0.35">
      <c r="B1207" s="100">
        <f t="shared" si="20"/>
        <v>1198</v>
      </c>
      <c r="C1207" s="101" t="s">
        <v>1190</v>
      </c>
      <c r="D1207" s="99">
        <v>9721425</v>
      </c>
      <c r="E1207" s="99"/>
      <c r="F1207" s="103">
        <v>37376</v>
      </c>
      <c r="G1207" s="99"/>
      <c r="H1207" s="99"/>
      <c r="I1207" s="99"/>
      <c r="J1207" s="20"/>
      <c r="K1207" s="21"/>
      <c r="L1207" s="21"/>
      <c r="M1207" s="21"/>
      <c r="N1207" s="21"/>
      <c r="O1207" s="21"/>
    </row>
    <row r="1208" spans="2:15" ht="14.15" customHeight="1" x14ac:dyDescent="0.35">
      <c r="B1208" s="100">
        <f t="shared" si="20"/>
        <v>1199</v>
      </c>
      <c r="C1208" s="101" t="s">
        <v>1191</v>
      </c>
      <c r="D1208" s="99">
        <v>9721428</v>
      </c>
      <c r="E1208" s="99"/>
      <c r="F1208" s="103">
        <v>37376</v>
      </c>
      <c r="G1208" s="99"/>
      <c r="H1208" s="99"/>
      <c r="I1208" s="99"/>
      <c r="J1208" s="20"/>
      <c r="K1208" s="21"/>
      <c r="L1208" s="21"/>
      <c r="M1208" s="21"/>
      <c r="N1208" s="21"/>
      <c r="O1208" s="21"/>
    </row>
    <row r="1209" spans="2:15" ht="14.15" customHeight="1" x14ac:dyDescent="0.35">
      <c r="B1209" s="100">
        <f t="shared" si="20"/>
        <v>1200</v>
      </c>
      <c r="C1209" s="101" t="s">
        <v>1192</v>
      </c>
      <c r="D1209" s="99">
        <v>9721436</v>
      </c>
      <c r="E1209" s="99"/>
      <c r="F1209" s="103">
        <v>37376</v>
      </c>
      <c r="G1209" s="99"/>
      <c r="H1209" s="99"/>
      <c r="I1209" s="99"/>
      <c r="J1209" s="20"/>
      <c r="K1209" s="21"/>
      <c r="L1209" s="21"/>
      <c r="M1209" s="21"/>
      <c r="N1209" s="21"/>
      <c r="O1209" s="21"/>
    </row>
    <row r="1210" spans="2:15" ht="14.15" customHeight="1" x14ac:dyDescent="0.35">
      <c r="B1210" s="100">
        <f t="shared" si="20"/>
        <v>1201</v>
      </c>
      <c r="C1210" s="101" t="s">
        <v>1193</v>
      </c>
      <c r="D1210" s="99">
        <v>9721543</v>
      </c>
      <c r="E1210" s="99"/>
      <c r="F1210" s="103">
        <v>37376</v>
      </c>
      <c r="G1210" s="99"/>
      <c r="H1210" s="99"/>
      <c r="I1210" s="99"/>
      <c r="J1210" s="20"/>
      <c r="K1210" s="21"/>
      <c r="L1210" s="21"/>
      <c r="M1210" s="21"/>
      <c r="N1210" s="21"/>
      <c r="O1210" s="21"/>
    </row>
    <row r="1211" spans="2:15" ht="14.15" customHeight="1" x14ac:dyDescent="0.35">
      <c r="B1211" s="100">
        <f t="shared" si="20"/>
        <v>1202</v>
      </c>
      <c r="C1211" s="101" t="s">
        <v>1194</v>
      </c>
      <c r="D1211" s="99">
        <v>9721574</v>
      </c>
      <c r="E1211" s="99"/>
      <c r="F1211" s="103">
        <v>37376</v>
      </c>
      <c r="G1211" s="99"/>
      <c r="H1211" s="99"/>
      <c r="I1211" s="99"/>
      <c r="J1211" s="20"/>
      <c r="K1211" s="21"/>
      <c r="L1211" s="21"/>
      <c r="M1211" s="21"/>
      <c r="N1211" s="21"/>
      <c r="O1211" s="21"/>
    </row>
    <row r="1212" spans="2:15" ht="14.15" customHeight="1" x14ac:dyDescent="0.35">
      <c r="B1212" s="100">
        <f t="shared" ref="B1212:B1255" si="21">(B1211+1)</f>
        <v>1203</v>
      </c>
      <c r="C1212" s="101" t="s">
        <v>1195</v>
      </c>
      <c r="D1212" s="99">
        <v>9721581</v>
      </c>
      <c r="E1212" s="99"/>
      <c r="F1212" s="103">
        <v>37376</v>
      </c>
      <c r="G1212" s="99"/>
      <c r="H1212" s="99"/>
      <c r="I1212" s="99"/>
      <c r="J1212" s="20"/>
      <c r="K1212" s="21"/>
      <c r="L1212" s="21"/>
      <c r="M1212" s="21"/>
      <c r="N1212" s="21"/>
      <c r="O1212" s="21"/>
    </row>
    <row r="1213" spans="2:15" ht="14.15" customHeight="1" x14ac:dyDescent="0.35">
      <c r="B1213" s="100">
        <f t="shared" si="21"/>
        <v>1204</v>
      </c>
      <c r="C1213" s="101" t="s">
        <v>1196</v>
      </c>
      <c r="D1213" s="99">
        <v>9721601</v>
      </c>
      <c r="E1213" s="99"/>
      <c r="F1213" s="103">
        <v>37376</v>
      </c>
      <c r="G1213" s="99"/>
      <c r="H1213" s="99"/>
      <c r="I1213" s="99"/>
      <c r="J1213" s="20"/>
      <c r="K1213" s="21"/>
      <c r="L1213" s="21"/>
      <c r="M1213" s="21"/>
      <c r="N1213" s="21"/>
      <c r="O1213" s="21"/>
    </row>
    <row r="1214" spans="2:15" ht="14.15" customHeight="1" x14ac:dyDescent="0.35">
      <c r="B1214" s="100">
        <f t="shared" si="21"/>
        <v>1205</v>
      </c>
      <c r="C1214" s="101" t="s">
        <v>1197</v>
      </c>
      <c r="D1214" s="99">
        <v>9721627</v>
      </c>
      <c r="E1214" s="99"/>
      <c r="F1214" s="103">
        <v>37376</v>
      </c>
      <c r="G1214" s="99"/>
      <c r="H1214" s="99"/>
      <c r="I1214" s="99"/>
      <c r="J1214" s="20"/>
      <c r="K1214" s="21"/>
      <c r="L1214" s="21"/>
      <c r="M1214" s="21"/>
      <c r="N1214" s="21"/>
      <c r="O1214" s="21"/>
    </row>
    <row r="1215" spans="2:15" ht="14.15" customHeight="1" x14ac:dyDescent="0.35">
      <c r="B1215" s="100">
        <f t="shared" si="21"/>
        <v>1206</v>
      </c>
      <c r="C1215" s="101" t="s">
        <v>1198</v>
      </c>
      <c r="D1215" s="99">
        <v>9721694</v>
      </c>
      <c r="E1215" s="99"/>
      <c r="F1215" s="103">
        <v>37376</v>
      </c>
      <c r="G1215" s="99"/>
      <c r="H1215" s="99"/>
      <c r="I1215" s="99"/>
      <c r="J1215" s="20"/>
      <c r="K1215" s="21"/>
      <c r="L1215" s="21"/>
      <c r="M1215" s="21"/>
      <c r="N1215" s="21"/>
      <c r="O1215" s="21"/>
    </row>
    <row r="1216" spans="2:15" ht="14.15" customHeight="1" x14ac:dyDescent="0.35">
      <c r="B1216" s="100">
        <f t="shared" si="21"/>
        <v>1207</v>
      </c>
      <c r="C1216" s="101" t="s">
        <v>1199</v>
      </c>
      <c r="D1216" s="99">
        <v>9721918</v>
      </c>
      <c r="E1216" s="99"/>
      <c r="F1216" s="103">
        <v>37376</v>
      </c>
      <c r="G1216" s="99"/>
      <c r="H1216" s="99"/>
      <c r="I1216" s="99"/>
      <c r="J1216" s="20"/>
      <c r="K1216" s="21"/>
      <c r="L1216" s="21"/>
      <c r="M1216" s="21"/>
      <c r="N1216" s="21"/>
      <c r="O1216" s="21"/>
    </row>
    <row r="1217" spans="2:15" ht="14.15" customHeight="1" x14ac:dyDescent="0.35">
      <c r="B1217" s="100">
        <f t="shared" si="21"/>
        <v>1208</v>
      </c>
      <c r="C1217" s="101" t="s">
        <v>1200</v>
      </c>
      <c r="D1217" s="99">
        <v>9721941</v>
      </c>
      <c r="E1217" s="99"/>
      <c r="F1217" s="103">
        <v>37376</v>
      </c>
      <c r="G1217" s="99"/>
      <c r="H1217" s="99"/>
      <c r="I1217" s="99"/>
      <c r="J1217" s="20"/>
      <c r="K1217" s="21"/>
      <c r="L1217" s="21"/>
      <c r="M1217" s="21"/>
      <c r="N1217" s="21"/>
      <c r="O1217" s="21"/>
    </row>
    <row r="1218" spans="2:15" ht="14.15" customHeight="1" x14ac:dyDescent="0.35">
      <c r="B1218" s="100">
        <f t="shared" si="21"/>
        <v>1209</v>
      </c>
      <c r="C1218" s="101" t="s">
        <v>1187</v>
      </c>
      <c r="D1218" s="99">
        <v>9722008</v>
      </c>
      <c r="E1218" s="99"/>
      <c r="F1218" s="103">
        <v>37376</v>
      </c>
      <c r="G1218" s="99"/>
      <c r="H1218" s="99"/>
      <c r="I1218" s="99"/>
      <c r="J1218" s="20"/>
      <c r="K1218" s="21"/>
      <c r="L1218" s="21"/>
      <c r="M1218" s="21"/>
      <c r="N1218" s="21"/>
      <c r="O1218" s="21"/>
    </row>
    <row r="1219" spans="2:15" ht="14.15" customHeight="1" x14ac:dyDescent="0.35">
      <c r="B1219" s="100">
        <f t="shared" si="21"/>
        <v>1210</v>
      </c>
      <c r="C1219" s="101" t="s">
        <v>1201</v>
      </c>
      <c r="D1219" s="99">
        <v>9722010</v>
      </c>
      <c r="E1219" s="99"/>
      <c r="F1219" s="103">
        <v>37376</v>
      </c>
      <c r="G1219" s="99"/>
      <c r="H1219" s="99"/>
      <c r="I1219" s="99"/>
      <c r="J1219" s="20"/>
      <c r="K1219" s="21"/>
      <c r="L1219" s="21"/>
      <c r="M1219" s="21"/>
      <c r="N1219" s="21"/>
      <c r="O1219" s="21"/>
    </row>
    <row r="1220" spans="2:15" ht="14.15" customHeight="1" x14ac:dyDescent="0.35">
      <c r="B1220" s="100">
        <f t="shared" si="21"/>
        <v>1211</v>
      </c>
      <c r="C1220" s="101" t="s">
        <v>1202</v>
      </c>
      <c r="D1220" s="99">
        <v>9722025</v>
      </c>
      <c r="E1220" s="99"/>
      <c r="F1220" s="103">
        <v>37376</v>
      </c>
      <c r="G1220" s="99"/>
      <c r="H1220" s="99"/>
      <c r="I1220" s="99"/>
      <c r="J1220" s="20"/>
      <c r="K1220" s="21"/>
      <c r="L1220" s="21"/>
      <c r="M1220" s="21"/>
      <c r="N1220" s="21"/>
      <c r="O1220" s="21"/>
    </row>
    <row r="1221" spans="2:15" ht="14.15" customHeight="1" x14ac:dyDescent="0.35">
      <c r="B1221" s="100">
        <f t="shared" si="21"/>
        <v>1212</v>
      </c>
      <c r="C1221" s="101" t="s">
        <v>1203</v>
      </c>
      <c r="D1221" s="99">
        <v>9722053</v>
      </c>
      <c r="E1221" s="99"/>
      <c r="F1221" s="103">
        <v>37376</v>
      </c>
      <c r="G1221" s="99"/>
      <c r="H1221" s="99"/>
      <c r="I1221" s="99"/>
      <c r="J1221" s="20"/>
      <c r="K1221" s="21"/>
      <c r="L1221" s="21"/>
      <c r="M1221" s="21"/>
      <c r="N1221" s="21"/>
      <c r="O1221" s="21"/>
    </row>
    <row r="1222" spans="2:15" ht="14.15" customHeight="1" x14ac:dyDescent="0.35">
      <c r="B1222" s="100">
        <f t="shared" si="21"/>
        <v>1213</v>
      </c>
      <c r="C1222" s="101" t="s">
        <v>1204</v>
      </c>
      <c r="D1222" s="99">
        <v>9722067</v>
      </c>
      <c r="E1222" s="99"/>
      <c r="F1222" s="103">
        <v>37376</v>
      </c>
      <c r="G1222" s="99"/>
      <c r="H1222" s="99"/>
      <c r="I1222" s="99"/>
      <c r="J1222" s="20"/>
      <c r="K1222" s="21"/>
      <c r="L1222" s="21"/>
      <c r="M1222" s="21"/>
      <c r="N1222" s="21"/>
      <c r="O1222" s="21"/>
    </row>
    <row r="1223" spans="2:15" ht="14.15" customHeight="1" x14ac:dyDescent="0.35">
      <c r="B1223" s="100">
        <f t="shared" si="21"/>
        <v>1214</v>
      </c>
      <c r="C1223" s="101" t="s">
        <v>1205</v>
      </c>
      <c r="D1223" s="99">
        <v>9722125</v>
      </c>
      <c r="E1223" s="99"/>
      <c r="F1223" s="103">
        <v>37376</v>
      </c>
      <c r="G1223" s="99"/>
      <c r="H1223" s="99"/>
      <c r="I1223" s="99"/>
      <c r="J1223" s="20"/>
      <c r="K1223" s="21"/>
      <c r="L1223" s="21"/>
      <c r="M1223" s="21"/>
      <c r="N1223" s="21"/>
      <c r="O1223" s="21"/>
    </row>
    <row r="1224" spans="2:15" ht="14.15" customHeight="1" x14ac:dyDescent="0.35">
      <c r="B1224" s="100">
        <f t="shared" si="21"/>
        <v>1215</v>
      </c>
      <c r="C1224" s="101" t="s">
        <v>1206</v>
      </c>
      <c r="D1224" s="99">
        <v>9117449</v>
      </c>
      <c r="E1224" s="99"/>
      <c r="F1224" s="103">
        <v>37468</v>
      </c>
      <c r="G1224" s="99"/>
      <c r="H1224" s="99"/>
      <c r="I1224" s="99"/>
      <c r="J1224" s="20"/>
      <c r="K1224" s="21"/>
      <c r="L1224" s="21"/>
      <c r="M1224" s="21"/>
      <c r="N1224" s="21"/>
      <c r="O1224" s="21"/>
    </row>
    <row r="1225" spans="2:15" ht="14.15" customHeight="1" x14ac:dyDescent="0.35">
      <c r="B1225" s="100">
        <f t="shared" si="21"/>
        <v>1216</v>
      </c>
      <c r="C1225" s="101" t="s">
        <v>1207</v>
      </c>
      <c r="D1225" s="99">
        <v>9217717</v>
      </c>
      <c r="E1225" s="99"/>
      <c r="F1225" s="103">
        <v>37468</v>
      </c>
      <c r="G1225" s="99"/>
      <c r="H1225" s="99"/>
      <c r="I1225" s="99"/>
      <c r="J1225" s="20"/>
      <c r="K1225" s="21"/>
      <c r="L1225" s="21"/>
      <c r="M1225" s="21"/>
      <c r="N1225" s="21"/>
      <c r="O1225" s="21"/>
    </row>
    <row r="1226" spans="2:15" ht="14.15" customHeight="1" x14ac:dyDescent="0.35">
      <c r="B1226" s="100">
        <f t="shared" si="21"/>
        <v>1217</v>
      </c>
      <c r="C1226" s="101" t="s">
        <v>1208</v>
      </c>
      <c r="D1226" s="99">
        <v>9520235</v>
      </c>
      <c r="E1226" s="99"/>
      <c r="F1226" s="103">
        <v>37468</v>
      </c>
      <c r="G1226" s="99"/>
      <c r="H1226" s="99"/>
      <c r="I1226" s="99"/>
      <c r="J1226" s="20"/>
      <c r="K1226" s="21"/>
      <c r="L1226" s="21"/>
      <c r="M1226" s="21"/>
      <c r="N1226" s="21"/>
      <c r="O1226" s="21"/>
    </row>
    <row r="1227" spans="2:15" ht="14.15" customHeight="1" x14ac:dyDescent="0.35">
      <c r="B1227" s="100">
        <f t="shared" si="21"/>
        <v>1218</v>
      </c>
      <c r="C1227" s="101" t="s">
        <v>1209</v>
      </c>
      <c r="D1227" s="99">
        <v>9620436</v>
      </c>
      <c r="E1227" s="99"/>
      <c r="F1227" s="103">
        <v>37468</v>
      </c>
      <c r="G1227" s="99"/>
      <c r="H1227" s="99"/>
      <c r="I1227" s="99"/>
      <c r="J1227" s="20"/>
      <c r="K1227" s="21"/>
      <c r="L1227" s="21"/>
      <c r="M1227" s="21"/>
      <c r="N1227" s="21"/>
      <c r="O1227" s="21"/>
    </row>
    <row r="1228" spans="2:15" ht="14.15" customHeight="1" x14ac:dyDescent="0.35">
      <c r="B1228" s="100">
        <f t="shared" si="21"/>
        <v>1219</v>
      </c>
      <c r="C1228" s="101" t="s">
        <v>1210</v>
      </c>
      <c r="D1228" s="99">
        <v>9620579</v>
      </c>
      <c r="E1228" s="99"/>
      <c r="F1228" s="103">
        <v>37468</v>
      </c>
      <c r="G1228" s="99"/>
      <c r="H1228" s="99"/>
      <c r="I1228" s="99"/>
      <c r="J1228" s="20"/>
      <c r="K1228" s="21"/>
      <c r="L1228" s="21"/>
      <c r="M1228" s="21"/>
      <c r="N1228" s="21"/>
      <c r="O1228" s="21"/>
    </row>
    <row r="1229" spans="2:15" ht="14.15" customHeight="1" x14ac:dyDescent="0.35">
      <c r="B1229" s="100">
        <f t="shared" si="21"/>
        <v>1220</v>
      </c>
      <c r="C1229" s="101" t="s">
        <v>1211</v>
      </c>
      <c r="D1229" s="99">
        <v>9620677</v>
      </c>
      <c r="E1229" s="99"/>
      <c r="F1229" s="103">
        <v>37468</v>
      </c>
      <c r="G1229" s="99"/>
      <c r="H1229" s="99"/>
      <c r="I1229" s="99"/>
      <c r="J1229" s="20"/>
      <c r="K1229" s="21"/>
      <c r="L1229" s="21"/>
      <c r="M1229" s="21"/>
      <c r="N1229" s="21"/>
      <c r="O1229" s="21"/>
    </row>
    <row r="1230" spans="2:15" ht="14.15" customHeight="1" x14ac:dyDescent="0.35">
      <c r="B1230" s="100">
        <f t="shared" si="21"/>
        <v>1221</v>
      </c>
      <c r="C1230" s="101" t="s">
        <v>1212</v>
      </c>
      <c r="D1230" s="99">
        <v>9620737</v>
      </c>
      <c r="E1230" s="99"/>
      <c r="F1230" s="103">
        <v>37468</v>
      </c>
      <c r="G1230" s="99"/>
      <c r="H1230" s="99"/>
      <c r="I1230" s="99"/>
      <c r="J1230" s="20"/>
      <c r="K1230" s="21"/>
      <c r="L1230" s="21"/>
      <c r="M1230" s="21"/>
      <c r="N1230" s="21"/>
      <c r="O1230" s="21"/>
    </row>
    <row r="1231" spans="2:15" ht="14.15" customHeight="1" x14ac:dyDescent="0.35">
      <c r="B1231" s="100">
        <f t="shared" si="21"/>
        <v>1222</v>
      </c>
      <c r="C1231" s="101" t="s">
        <v>1213</v>
      </c>
      <c r="D1231" s="99">
        <v>9620796</v>
      </c>
      <c r="E1231" s="99"/>
      <c r="F1231" s="103">
        <v>37468</v>
      </c>
      <c r="G1231" s="99"/>
      <c r="H1231" s="99"/>
      <c r="I1231" s="99"/>
      <c r="J1231" s="20"/>
      <c r="K1231" s="21"/>
      <c r="L1231" s="21"/>
      <c r="M1231" s="21"/>
      <c r="N1231" s="21"/>
      <c r="O1231" s="21"/>
    </row>
    <row r="1232" spans="2:15" ht="14.15" customHeight="1" x14ac:dyDescent="0.35">
      <c r="B1232" s="100">
        <f t="shared" si="21"/>
        <v>1223</v>
      </c>
      <c r="C1232" s="101" t="s">
        <v>1214</v>
      </c>
      <c r="D1232" s="99">
        <v>9620925</v>
      </c>
      <c r="E1232" s="99"/>
      <c r="F1232" s="103">
        <v>37468</v>
      </c>
      <c r="G1232" s="99"/>
      <c r="H1232" s="99"/>
      <c r="I1232" s="99"/>
      <c r="J1232" s="20"/>
      <c r="K1232" s="21"/>
      <c r="L1232" s="21"/>
      <c r="M1232" s="21"/>
      <c r="N1232" s="21"/>
      <c r="O1232" s="21"/>
    </row>
    <row r="1233" spans="2:15" ht="14.15" customHeight="1" x14ac:dyDescent="0.35">
      <c r="B1233" s="100">
        <f t="shared" si="21"/>
        <v>1224</v>
      </c>
      <c r="C1233" s="101" t="s">
        <v>1215</v>
      </c>
      <c r="D1233" s="99">
        <v>9620933</v>
      </c>
      <c r="E1233" s="99"/>
      <c r="F1233" s="103">
        <v>37468</v>
      </c>
      <c r="G1233" s="99"/>
      <c r="H1233" s="99"/>
      <c r="I1233" s="99"/>
      <c r="J1233" s="20"/>
      <c r="K1233" s="21"/>
      <c r="L1233" s="21"/>
      <c r="M1233" s="21"/>
      <c r="N1233" s="21"/>
      <c r="O1233" s="21"/>
    </row>
    <row r="1234" spans="2:15" ht="14.15" customHeight="1" x14ac:dyDescent="0.35">
      <c r="B1234" s="100">
        <f t="shared" si="21"/>
        <v>1225</v>
      </c>
      <c r="C1234" s="101" t="s">
        <v>1216</v>
      </c>
      <c r="D1234" s="99">
        <v>9620947</v>
      </c>
      <c r="E1234" s="99"/>
      <c r="F1234" s="103">
        <v>37468</v>
      </c>
      <c r="G1234" s="99"/>
      <c r="H1234" s="99"/>
      <c r="I1234" s="99"/>
      <c r="J1234" s="20"/>
      <c r="K1234" s="21"/>
      <c r="L1234" s="21"/>
      <c r="M1234" s="21"/>
      <c r="N1234" s="21"/>
      <c r="O1234" s="21"/>
    </row>
    <row r="1235" spans="2:15" ht="14.15" customHeight="1" x14ac:dyDescent="0.35">
      <c r="B1235" s="100">
        <f t="shared" si="21"/>
        <v>1226</v>
      </c>
      <c r="C1235" s="101" t="s">
        <v>1217</v>
      </c>
      <c r="D1235" s="99">
        <v>9621167</v>
      </c>
      <c r="E1235" s="99"/>
      <c r="F1235" s="103">
        <v>37468</v>
      </c>
      <c r="G1235" s="99"/>
      <c r="H1235" s="99"/>
      <c r="I1235" s="99"/>
      <c r="J1235" s="20"/>
      <c r="K1235" s="21"/>
      <c r="L1235" s="21"/>
      <c r="M1235" s="21"/>
      <c r="N1235" s="21"/>
      <c r="O1235" s="21"/>
    </row>
    <row r="1236" spans="2:15" ht="14.15" customHeight="1" x14ac:dyDescent="0.35">
      <c r="B1236" s="100">
        <f t="shared" si="21"/>
        <v>1227</v>
      </c>
      <c r="C1236" s="101" t="s">
        <v>1218</v>
      </c>
      <c r="D1236" s="99">
        <v>9621263</v>
      </c>
      <c r="E1236" s="99"/>
      <c r="F1236" s="103">
        <v>37468</v>
      </c>
      <c r="G1236" s="99"/>
      <c r="H1236" s="99"/>
      <c r="I1236" s="99"/>
      <c r="J1236" s="20"/>
      <c r="K1236" s="21"/>
      <c r="L1236" s="21"/>
      <c r="M1236" s="21"/>
      <c r="N1236" s="21"/>
      <c r="O1236" s="21"/>
    </row>
    <row r="1237" spans="2:15" ht="14.15" customHeight="1" x14ac:dyDescent="0.35">
      <c r="B1237" s="100">
        <f t="shared" si="21"/>
        <v>1228</v>
      </c>
      <c r="C1237" s="101" t="s">
        <v>1219</v>
      </c>
      <c r="D1237" s="99">
        <v>9721362</v>
      </c>
      <c r="E1237" s="99"/>
      <c r="F1237" s="103">
        <v>37468</v>
      </c>
      <c r="G1237" s="99"/>
      <c r="H1237" s="99"/>
      <c r="I1237" s="99"/>
      <c r="J1237" s="20"/>
      <c r="K1237" s="21"/>
      <c r="L1237" s="21"/>
      <c r="M1237" s="21"/>
      <c r="N1237" s="21"/>
      <c r="O1237" s="21"/>
    </row>
    <row r="1238" spans="2:15" ht="14.15" customHeight="1" x14ac:dyDescent="0.35">
      <c r="B1238" s="100">
        <f t="shared" si="21"/>
        <v>1229</v>
      </c>
      <c r="C1238" s="101" t="s">
        <v>1220</v>
      </c>
      <c r="D1238" s="99">
        <v>9721369</v>
      </c>
      <c r="E1238" s="99"/>
      <c r="F1238" s="103">
        <v>37468</v>
      </c>
      <c r="G1238" s="99"/>
      <c r="H1238" s="99"/>
      <c r="I1238" s="99"/>
      <c r="J1238" s="20"/>
      <c r="K1238" s="21"/>
      <c r="L1238" s="21"/>
      <c r="M1238" s="21"/>
      <c r="N1238" s="21"/>
      <c r="O1238" s="21"/>
    </row>
    <row r="1239" spans="2:15" ht="14.15" customHeight="1" x14ac:dyDescent="0.35">
      <c r="B1239" s="100">
        <f t="shared" si="21"/>
        <v>1230</v>
      </c>
      <c r="C1239" s="101" t="s">
        <v>1221</v>
      </c>
      <c r="D1239" s="99">
        <v>9721376</v>
      </c>
      <c r="E1239" s="99"/>
      <c r="F1239" s="103">
        <v>37468</v>
      </c>
      <c r="G1239" s="99"/>
      <c r="H1239" s="99"/>
      <c r="I1239" s="99"/>
      <c r="J1239" s="20"/>
      <c r="K1239" s="21"/>
      <c r="L1239" s="21"/>
      <c r="M1239" s="21"/>
      <c r="N1239" s="21"/>
      <c r="O1239" s="21"/>
    </row>
    <row r="1240" spans="2:15" ht="14.15" customHeight="1" x14ac:dyDescent="0.35">
      <c r="B1240" s="100">
        <f t="shared" si="21"/>
        <v>1231</v>
      </c>
      <c r="C1240" s="101" t="s">
        <v>1222</v>
      </c>
      <c r="D1240" s="99">
        <v>9721408</v>
      </c>
      <c r="E1240" s="99"/>
      <c r="F1240" s="103">
        <v>37468</v>
      </c>
      <c r="G1240" s="99"/>
      <c r="H1240" s="99"/>
      <c r="I1240" s="99"/>
      <c r="J1240" s="20"/>
      <c r="K1240" s="21"/>
      <c r="L1240" s="21"/>
      <c r="M1240" s="21"/>
      <c r="N1240" s="21"/>
      <c r="O1240" s="21"/>
    </row>
    <row r="1241" spans="2:15" ht="14.15" customHeight="1" x14ac:dyDescent="0.35">
      <c r="B1241" s="100">
        <f t="shared" si="21"/>
        <v>1232</v>
      </c>
      <c r="C1241" s="101" t="s">
        <v>1223</v>
      </c>
      <c r="D1241" s="99">
        <v>9721539</v>
      </c>
      <c r="E1241" s="99"/>
      <c r="F1241" s="103">
        <v>37468</v>
      </c>
      <c r="G1241" s="99"/>
      <c r="H1241" s="99"/>
      <c r="I1241" s="99"/>
      <c r="J1241" s="20"/>
      <c r="K1241" s="21"/>
      <c r="L1241" s="21"/>
      <c r="M1241" s="21"/>
      <c r="N1241" s="21"/>
      <c r="O1241" s="21"/>
    </row>
    <row r="1242" spans="2:15" ht="14.15" customHeight="1" x14ac:dyDescent="0.35">
      <c r="B1242" s="100">
        <f t="shared" si="21"/>
        <v>1233</v>
      </c>
      <c r="C1242" s="101" t="s">
        <v>1224</v>
      </c>
      <c r="D1242" s="99">
        <v>9721540</v>
      </c>
      <c r="E1242" s="99"/>
      <c r="F1242" s="103">
        <v>37468</v>
      </c>
      <c r="G1242" s="99"/>
      <c r="H1242" s="99"/>
      <c r="I1242" s="99"/>
      <c r="J1242" s="20"/>
      <c r="K1242" s="21"/>
      <c r="L1242" s="21"/>
      <c r="M1242" s="21"/>
      <c r="N1242" s="21"/>
      <c r="O1242" s="21"/>
    </row>
    <row r="1243" spans="2:15" ht="14.15" customHeight="1" x14ac:dyDescent="0.35">
      <c r="B1243" s="100">
        <f t="shared" si="21"/>
        <v>1234</v>
      </c>
      <c r="C1243" s="101" t="s">
        <v>1225</v>
      </c>
      <c r="D1243" s="99">
        <v>9721555</v>
      </c>
      <c r="E1243" s="99"/>
      <c r="F1243" s="103">
        <v>37468</v>
      </c>
      <c r="G1243" s="99"/>
      <c r="H1243" s="99"/>
      <c r="I1243" s="99"/>
      <c r="J1243" s="20"/>
      <c r="K1243" s="21"/>
      <c r="L1243" s="21"/>
      <c r="M1243" s="21"/>
      <c r="N1243" s="21"/>
      <c r="O1243" s="21"/>
    </row>
    <row r="1244" spans="2:15" ht="14.15" customHeight="1" x14ac:dyDescent="0.35">
      <c r="B1244" s="100">
        <f t="shared" si="21"/>
        <v>1235</v>
      </c>
      <c r="C1244" s="101" t="s">
        <v>1226</v>
      </c>
      <c r="D1244" s="99">
        <v>9721604</v>
      </c>
      <c r="E1244" s="99"/>
      <c r="F1244" s="103">
        <v>37468</v>
      </c>
      <c r="G1244" s="99"/>
      <c r="H1244" s="99"/>
      <c r="I1244" s="99"/>
      <c r="J1244" s="20"/>
      <c r="K1244" s="21"/>
      <c r="L1244" s="21"/>
      <c r="M1244" s="21"/>
      <c r="N1244" s="21"/>
      <c r="O1244" s="21"/>
    </row>
    <row r="1245" spans="2:15" ht="14.15" customHeight="1" x14ac:dyDescent="0.35">
      <c r="B1245" s="100">
        <f t="shared" si="21"/>
        <v>1236</v>
      </c>
      <c r="C1245" s="101" t="s">
        <v>1227</v>
      </c>
      <c r="D1245" s="99">
        <v>9721675</v>
      </c>
      <c r="E1245" s="99"/>
      <c r="F1245" s="103">
        <v>37468</v>
      </c>
      <c r="G1245" s="99"/>
      <c r="H1245" s="99"/>
      <c r="I1245" s="99"/>
      <c r="J1245" s="20"/>
      <c r="K1245" s="21"/>
      <c r="L1245" s="21"/>
      <c r="M1245" s="21"/>
      <c r="N1245" s="21"/>
      <c r="O1245" s="21"/>
    </row>
    <row r="1246" spans="2:15" ht="14.15" customHeight="1" x14ac:dyDescent="0.35">
      <c r="B1246" s="100">
        <f t="shared" si="21"/>
        <v>1237</v>
      </c>
      <c r="C1246" s="101" t="s">
        <v>1228</v>
      </c>
      <c r="D1246" s="99">
        <v>9721839</v>
      </c>
      <c r="E1246" s="99"/>
      <c r="F1246" s="103">
        <v>37468</v>
      </c>
      <c r="G1246" s="99"/>
      <c r="H1246" s="99"/>
      <c r="I1246" s="99"/>
      <c r="J1246" s="20"/>
      <c r="K1246" s="21"/>
      <c r="L1246" s="21"/>
      <c r="M1246" s="21"/>
      <c r="N1246" s="21"/>
      <c r="O1246" s="21"/>
    </row>
    <row r="1247" spans="2:15" ht="14.15" customHeight="1" x14ac:dyDescent="0.35">
      <c r="B1247" s="100">
        <f t="shared" si="21"/>
        <v>1238</v>
      </c>
      <c r="C1247" s="101" t="s">
        <v>1229</v>
      </c>
      <c r="D1247" s="99">
        <v>9721911</v>
      </c>
      <c r="E1247" s="99"/>
      <c r="F1247" s="103">
        <v>37468</v>
      </c>
      <c r="G1247" s="99"/>
      <c r="H1247" s="99"/>
      <c r="I1247" s="99"/>
      <c r="J1247" s="20"/>
      <c r="K1247" s="21"/>
      <c r="L1247" s="21"/>
      <c r="M1247" s="21"/>
      <c r="N1247" s="21"/>
      <c r="O1247" s="21"/>
    </row>
    <row r="1248" spans="2:15" ht="14.15" customHeight="1" x14ac:dyDescent="0.35">
      <c r="B1248" s="100">
        <f t="shared" si="21"/>
        <v>1239</v>
      </c>
      <c r="C1248" s="101" t="s">
        <v>1230</v>
      </c>
      <c r="D1248" s="99">
        <v>9722077</v>
      </c>
      <c r="E1248" s="99"/>
      <c r="F1248" s="103">
        <v>37468</v>
      </c>
      <c r="G1248" s="99"/>
      <c r="H1248" s="99"/>
      <c r="I1248" s="99"/>
      <c r="J1248" s="20"/>
      <c r="K1248" s="21"/>
      <c r="L1248" s="21"/>
      <c r="M1248" s="21"/>
      <c r="N1248" s="21"/>
      <c r="O1248" s="21"/>
    </row>
    <row r="1249" spans="2:15" ht="14.15" customHeight="1" x14ac:dyDescent="0.35">
      <c r="B1249" s="100">
        <f t="shared" si="21"/>
        <v>1240</v>
      </c>
      <c r="C1249" s="101" t="s">
        <v>1231</v>
      </c>
      <c r="D1249" s="99">
        <v>9722078</v>
      </c>
      <c r="E1249" s="99"/>
      <c r="F1249" s="103">
        <v>37468</v>
      </c>
      <c r="G1249" s="99"/>
      <c r="H1249" s="99"/>
      <c r="I1249" s="99"/>
      <c r="J1249" s="20"/>
      <c r="K1249" s="21"/>
      <c r="L1249" s="21"/>
      <c r="M1249" s="21"/>
      <c r="N1249" s="21"/>
      <c r="O1249" s="21"/>
    </row>
    <row r="1250" spans="2:15" ht="14.15" customHeight="1" x14ac:dyDescent="0.35">
      <c r="B1250" s="100">
        <f t="shared" si="21"/>
        <v>1241</v>
      </c>
      <c r="C1250" s="101" t="s">
        <v>1232</v>
      </c>
      <c r="D1250" s="99">
        <v>9722097</v>
      </c>
      <c r="E1250" s="99"/>
      <c r="F1250" s="103">
        <v>37468</v>
      </c>
      <c r="G1250" s="99"/>
      <c r="H1250" s="99"/>
      <c r="I1250" s="99"/>
      <c r="J1250" s="20"/>
      <c r="K1250" s="21"/>
      <c r="L1250" s="21"/>
      <c r="M1250" s="21"/>
      <c r="N1250" s="21"/>
      <c r="O1250" s="21"/>
    </row>
    <row r="1251" spans="2:15" ht="14.15" customHeight="1" x14ac:dyDescent="0.35">
      <c r="B1251" s="100">
        <f t="shared" si="21"/>
        <v>1242</v>
      </c>
      <c r="C1251" s="101" t="s">
        <v>1233</v>
      </c>
      <c r="D1251" s="99">
        <v>9722106</v>
      </c>
      <c r="E1251" s="99"/>
      <c r="F1251" s="103">
        <v>37468</v>
      </c>
      <c r="G1251" s="99"/>
      <c r="H1251" s="99"/>
      <c r="I1251" s="99"/>
      <c r="J1251" s="20"/>
      <c r="K1251" s="21"/>
      <c r="L1251" s="21"/>
      <c r="M1251" s="21"/>
      <c r="N1251" s="21"/>
      <c r="O1251" s="21"/>
    </row>
    <row r="1252" spans="2:15" ht="14.15" customHeight="1" x14ac:dyDescent="0.35">
      <c r="B1252" s="100">
        <f t="shared" si="21"/>
        <v>1243</v>
      </c>
      <c r="C1252" s="101" t="s">
        <v>1234</v>
      </c>
      <c r="D1252" s="99">
        <v>9722118</v>
      </c>
      <c r="E1252" s="99"/>
      <c r="F1252" s="103">
        <v>37468</v>
      </c>
      <c r="G1252" s="99"/>
      <c r="H1252" s="99"/>
      <c r="I1252" s="99"/>
      <c r="J1252" s="20"/>
      <c r="K1252" s="21"/>
      <c r="L1252" s="21"/>
      <c r="M1252" s="21"/>
      <c r="N1252" s="21"/>
      <c r="O1252" s="21"/>
    </row>
    <row r="1253" spans="2:15" ht="14.15" customHeight="1" x14ac:dyDescent="0.35">
      <c r="B1253" s="100">
        <f t="shared" si="21"/>
        <v>1244</v>
      </c>
      <c r="C1253" s="101" t="s">
        <v>1235</v>
      </c>
      <c r="D1253" s="99">
        <v>9722170</v>
      </c>
      <c r="E1253" s="99"/>
      <c r="F1253" s="103">
        <v>37468</v>
      </c>
      <c r="G1253" s="99"/>
      <c r="H1253" s="99"/>
      <c r="I1253" s="99"/>
      <c r="J1253" s="20"/>
      <c r="K1253" s="21"/>
      <c r="L1253" s="21"/>
      <c r="M1253" s="21"/>
      <c r="N1253" s="21"/>
      <c r="O1253" s="21"/>
    </row>
    <row r="1254" spans="2:15" ht="14.15" customHeight="1" x14ac:dyDescent="0.35">
      <c r="B1254" s="100">
        <f t="shared" si="21"/>
        <v>1245</v>
      </c>
      <c r="C1254" s="101" t="s">
        <v>1236</v>
      </c>
      <c r="D1254" s="99">
        <v>9722222</v>
      </c>
      <c r="E1254" s="99"/>
      <c r="F1254" s="103">
        <v>37468</v>
      </c>
      <c r="G1254" s="99"/>
      <c r="H1254" s="99"/>
      <c r="I1254" s="99"/>
      <c r="J1254" s="20"/>
      <c r="K1254" s="21"/>
      <c r="L1254" s="21"/>
      <c r="M1254" s="21"/>
      <c r="N1254" s="21"/>
      <c r="O1254" s="21"/>
    </row>
    <row r="1255" spans="2:15" ht="14.15" customHeight="1" x14ac:dyDescent="0.35">
      <c r="B1255" s="100">
        <f t="shared" si="21"/>
        <v>1246</v>
      </c>
      <c r="C1255" s="101" t="s">
        <v>1237</v>
      </c>
      <c r="D1255" s="99">
        <v>9822350</v>
      </c>
      <c r="E1255" s="99"/>
      <c r="F1255" s="103">
        <v>37468</v>
      </c>
      <c r="G1255" s="99"/>
      <c r="H1255" s="99"/>
      <c r="I1255" s="99"/>
      <c r="J1255" s="20"/>
      <c r="K1255" s="21"/>
      <c r="L1255" s="21"/>
      <c r="M1255" s="21"/>
      <c r="N1255" s="21"/>
      <c r="O1255" s="21"/>
    </row>
    <row r="1256" spans="2:15" ht="14.15" customHeight="1" x14ac:dyDescent="0.35">
      <c r="B1256" s="100"/>
      <c r="C1256" s="101"/>
      <c r="D1256" s="99"/>
      <c r="E1256" s="99"/>
      <c r="F1256" s="103"/>
      <c r="G1256" s="99"/>
      <c r="H1256" s="99"/>
      <c r="I1256" s="99"/>
      <c r="J1256" s="20"/>
      <c r="K1256" s="21"/>
      <c r="L1256" s="21"/>
      <c r="M1256" s="21"/>
      <c r="N1256" s="21"/>
      <c r="O1256" s="21"/>
    </row>
    <row r="1257" spans="2:15" ht="14.15" customHeight="1" x14ac:dyDescent="0.35">
      <c r="B1257" s="100"/>
      <c r="C1257" s="112" t="s">
        <v>1238</v>
      </c>
      <c r="D1257" s="99"/>
      <c r="E1257" s="99"/>
      <c r="F1257" s="103"/>
      <c r="G1257" s="99"/>
      <c r="H1257" s="99"/>
      <c r="I1257" s="99"/>
      <c r="J1257" s="20"/>
      <c r="K1257" s="21"/>
      <c r="L1257" s="21"/>
      <c r="M1257" s="21"/>
      <c r="N1257" s="21"/>
      <c r="O1257" s="21"/>
    </row>
    <row r="1258" spans="2:15" ht="14.15" customHeight="1" x14ac:dyDescent="0.35">
      <c r="B1258" s="100">
        <f>(B1255+1)</f>
        <v>1247</v>
      </c>
      <c r="C1258" s="101" t="s">
        <v>1239</v>
      </c>
      <c r="D1258" s="99">
        <v>9519868</v>
      </c>
      <c r="E1258" s="99"/>
      <c r="F1258" s="103">
        <v>37560</v>
      </c>
      <c r="G1258" s="99"/>
      <c r="H1258" s="99"/>
      <c r="I1258" s="99"/>
      <c r="J1258" s="20"/>
      <c r="K1258" s="21"/>
      <c r="L1258" s="21"/>
      <c r="M1258" s="21"/>
      <c r="N1258" s="21"/>
      <c r="O1258" s="21"/>
    </row>
    <row r="1259" spans="2:15" ht="14.15" customHeight="1" x14ac:dyDescent="0.35">
      <c r="B1259" s="100">
        <f t="shared" ref="B1259:B1322" si="22">(B1258+1)</f>
        <v>1248</v>
      </c>
      <c r="C1259" s="101" t="s">
        <v>1240</v>
      </c>
      <c r="D1259" s="99">
        <v>9519904</v>
      </c>
      <c r="E1259" s="99"/>
      <c r="F1259" s="103">
        <v>37560</v>
      </c>
      <c r="G1259" s="99"/>
      <c r="H1259" s="99"/>
      <c r="I1259" s="99"/>
      <c r="J1259" s="20"/>
      <c r="K1259" s="21"/>
      <c r="L1259" s="21"/>
      <c r="M1259" s="21"/>
      <c r="N1259" s="21"/>
      <c r="O1259" s="21"/>
    </row>
    <row r="1260" spans="2:15" ht="14.15" customHeight="1" x14ac:dyDescent="0.35">
      <c r="B1260" s="100">
        <f t="shared" si="22"/>
        <v>1249</v>
      </c>
      <c r="C1260" s="101" t="s">
        <v>1241</v>
      </c>
      <c r="D1260" s="99">
        <v>9520270</v>
      </c>
      <c r="E1260" s="99"/>
      <c r="F1260" s="103">
        <v>37560</v>
      </c>
      <c r="G1260" s="99"/>
      <c r="H1260" s="99"/>
      <c r="I1260" s="99"/>
      <c r="J1260" s="20"/>
      <c r="K1260" s="21"/>
      <c r="L1260" s="21"/>
      <c r="M1260" s="21"/>
      <c r="N1260" s="21"/>
      <c r="O1260" s="21"/>
    </row>
    <row r="1261" spans="2:15" ht="14.15" customHeight="1" x14ac:dyDescent="0.35">
      <c r="B1261" s="100">
        <f t="shared" si="22"/>
        <v>1250</v>
      </c>
      <c r="C1261" s="101" t="s">
        <v>1242</v>
      </c>
      <c r="D1261" s="99">
        <v>9620482</v>
      </c>
      <c r="E1261" s="99"/>
      <c r="F1261" s="103">
        <v>37560</v>
      </c>
      <c r="G1261" s="99"/>
      <c r="H1261" s="99"/>
      <c r="I1261" s="99"/>
      <c r="J1261" s="20"/>
      <c r="K1261" s="21"/>
      <c r="L1261" s="21"/>
      <c r="M1261" s="21"/>
      <c r="N1261" s="21"/>
      <c r="O1261" s="21"/>
    </row>
    <row r="1262" spans="2:15" ht="14.15" customHeight="1" x14ac:dyDescent="0.35">
      <c r="B1262" s="100">
        <f t="shared" si="22"/>
        <v>1251</v>
      </c>
      <c r="C1262" s="101" t="s">
        <v>1243</v>
      </c>
      <c r="D1262" s="99">
        <v>9620578</v>
      </c>
      <c r="E1262" s="99"/>
      <c r="F1262" s="103">
        <v>37560</v>
      </c>
      <c r="G1262" s="99"/>
      <c r="H1262" s="99"/>
      <c r="I1262" s="99"/>
      <c r="J1262" s="20"/>
      <c r="K1262" s="21"/>
      <c r="L1262" s="21"/>
      <c r="M1262" s="21"/>
      <c r="N1262" s="21"/>
      <c r="O1262" s="21"/>
    </row>
    <row r="1263" spans="2:15" ht="14.15" customHeight="1" x14ac:dyDescent="0.35">
      <c r="B1263" s="100">
        <f t="shared" si="22"/>
        <v>1252</v>
      </c>
      <c r="C1263" s="101" t="s">
        <v>1244</v>
      </c>
      <c r="D1263" s="99">
        <v>9620586</v>
      </c>
      <c r="E1263" s="99"/>
      <c r="F1263" s="103">
        <v>37560</v>
      </c>
      <c r="G1263" s="99"/>
      <c r="H1263" s="99"/>
      <c r="I1263" s="99"/>
      <c r="J1263" s="20"/>
      <c r="K1263" s="21"/>
      <c r="L1263" s="21"/>
      <c r="M1263" s="21"/>
      <c r="N1263" s="21"/>
      <c r="O1263" s="21"/>
    </row>
    <row r="1264" spans="2:15" ht="14.15" customHeight="1" x14ac:dyDescent="0.35">
      <c r="B1264" s="100">
        <f t="shared" si="22"/>
        <v>1253</v>
      </c>
      <c r="C1264" s="101" t="s">
        <v>1245</v>
      </c>
      <c r="D1264" s="99">
        <v>9620751</v>
      </c>
      <c r="E1264" s="99"/>
      <c r="F1264" s="103">
        <v>37560</v>
      </c>
      <c r="G1264" s="99"/>
      <c r="H1264" s="99"/>
      <c r="I1264" s="99"/>
      <c r="J1264" s="20"/>
      <c r="K1264" s="21"/>
      <c r="L1264" s="21"/>
      <c r="M1264" s="21"/>
      <c r="N1264" s="21"/>
      <c r="O1264" s="21"/>
    </row>
    <row r="1265" spans="2:15" ht="14.15" customHeight="1" x14ac:dyDescent="0.35">
      <c r="B1265" s="100">
        <f t="shared" si="22"/>
        <v>1254</v>
      </c>
      <c r="C1265" s="101" t="s">
        <v>1246</v>
      </c>
      <c r="D1265" s="99">
        <v>9620798</v>
      </c>
      <c r="E1265" s="99"/>
      <c r="F1265" s="103">
        <v>37560</v>
      </c>
      <c r="G1265" s="99"/>
      <c r="H1265" s="99"/>
      <c r="I1265" s="99"/>
      <c r="J1265" s="20"/>
      <c r="K1265" s="21"/>
      <c r="L1265" s="21"/>
      <c r="M1265" s="21"/>
      <c r="N1265" s="21"/>
      <c r="O1265" s="21"/>
    </row>
    <row r="1266" spans="2:15" ht="14.15" customHeight="1" x14ac:dyDescent="0.35">
      <c r="B1266" s="100">
        <f t="shared" si="22"/>
        <v>1255</v>
      </c>
      <c r="C1266" s="101" t="s">
        <v>1247</v>
      </c>
      <c r="D1266" s="99">
        <v>9620987</v>
      </c>
      <c r="E1266" s="99"/>
      <c r="F1266" s="103">
        <v>37560</v>
      </c>
      <c r="G1266" s="99"/>
      <c r="H1266" s="99"/>
      <c r="I1266" s="99"/>
      <c r="J1266" s="20"/>
      <c r="K1266" s="21"/>
      <c r="L1266" s="21"/>
      <c r="M1266" s="21"/>
      <c r="N1266" s="21"/>
      <c r="O1266" s="21"/>
    </row>
    <row r="1267" spans="2:15" ht="14.15" customHeight="1" x14ac:dyDescent="0.35">
      <c r="B1267" s="100">
        <f t="shared" si="22"/>
        <v>1256</v>
      </c>
      <c r="C1267" s="101" t="s">
        <v>1248</v>
      </c>
      <c r="D1267" s="99">
        <v>9721427</v>
      </c>
      <c r="E1267" s="99"/>
      <c r="F1267" s="103">
        <v>37560</v>
      </c>
      <c r="G1267" s="99"/>
      <c r="H1267" s="99"/>
      <c r="I1267" s="99"/>
      <c r="J1267" s="20"/>
      <c r="K1267" s="21"/>
      <c r="L1267" s="21"/>
      <c r="M1267" s="21"/>
      <c r="N1267" s="21"/>
      <c r="O1267" s="21"/>
    </row>
    <row r="1268" spans="2:15" ht="14.15" customHeight="1" x14ac:dyDescent="0.35">
      <c r="B1268" s="100">
        <f t="shared" si="22"/>
        <v>1257</v>
      </c>
      <c r="C1268" s="101" t="s">
        <v>1249</v>
      </c>
      <c r="D1268" s="99">
        <v>9721447</v>
      </c>
      <c r="E1268" s="99"/>
      <c r="F1268" s="103">
        <v>37560</v>
      </c>
      <c r="G1268" s="99"/>
      <c r="H1268" s="99"/>
      <c r="I1268" s="99"/>
      <c r="J1268" s="20"/>
      <c r="K1268" s="21"/>
      <c r="L1268" s="21"/>
      <c r="M1268" s="21"/>
      <c r="N1268" s="21"/>
      <c r="O1268" s="21"/>
    </row>
    <row r="1269" spans="2:15" ht="14.15" customHeight="1" x14ac:dyDescent="0.35">
      <c r="B1269" s="100">
        <f t="shared" si="22"/>
        <v>1258</v>
      </c>
      <c r="C1269" s="101" t="s">
        <v>1250</v>
      </c>
      <c r="D1269" s="99">
        <v>9721519</v>
      </c>
      <c r="E1269" s="99"/>
      <c r="F1269" s="103">
        <v>37560</v>
      </c>
      <c r="G1269" s="99"/>
      <c r="H1269" s="99"/>
      <c r="I1269" s="99"/>
      <c r="J1269" s="20"/>
      <c r="K1269" s="21"/>
      <c r="L1269" s="21"/>
      <c r="M1269" s="21"/>
      <c r="N1269" s="21"/>
      <c r="O1269" s="21"/>
    </row>
    <row r="1270" spans="2:15" ht="14.15" customHeight="1" x14ac:dyDescent="0.35">
      <c r="B1270" s="100">
        <f t="shared" si="22"/>
        <v>1259</v>
      </c>
      <c r="C1270" s="101" t="s">
        <v>1251</v>
      </c>
      <c r="D1270" s="99">
        <v>9721536</v>
      </c>
      <c r="E1270" s="99"/>
      <c r="F1270" s="103">
        <v>37560</v>
      </c>
      <c r="G1270" s="99"/>
      <c r="H1270" s="99"/>
      <c r="I1270" s="99"/>
      <c r="J1270" s="20"/>
      <c r="K1270" s="21"/>
      <c r="L1270" s="21"/>
      <c r="M1270" s="21"/>
      <c r="N1270" s="21"/>
      <c r="O1270" s="21"/>
    </row>
    <row r="1271" spans="2:15" ht="14.15" customHeight="1" x14ac:dyDescent="0.35">
      <c r="B1271" s="100">
        <f t="shared" si="22"/>
        <v>1260</v>
      </c>
      <c r="C1271" s="101" t="s">
        <v>1252</v>
      </c>
      <c r="D1271" s="99">
        <v>9721653</v>
      </c>
      <c r="E1271" s="99"/>
      <c r="F1271" s="103">
        <v>37560</v>
      </c>
      <c r="G1271" s="99"/>
      <c r="H1271" s="99"/>
      <c r="I1271" s="99"/>
      <c r="J1271" s="20"/>
      <c r="K1271" s="21"/>
      <c r="L1271" s="21"/>
      <c r="M1271" s="21"/>
      <c r="N1271" s="21"/>
      <c r="O1271" s="21"/>
    </row>
    <row r="1272" spans="2:15" ht="14.15" customHeight="1" x14ac:dyDescent="0.35">
      <c r="B1272" s="100">
        <f t="shared" si="22"/>
        <v>1261</v>
      </c>
      <c r="C1272" s="101" t="s">
        <v>1253</v>
      </c>
      <c r="D1272" s="99">
        <v>9721783</v>
      </c>
      <c r="E1272" s="99"/>
      <c r="F1272" s="103">
        <v>37560</v>
      </c>
      <c r="G1272" s="99"/>
      <c r="H1272" s="99"/>
      <c r="I1272" s="99"/>
      <c r="J1272" s="20"/>
      <c r="K1272" s="21"/>
      <c r="L1272" s="21"/>
      <c r="M1272" s="21"/>
      <c r="N1272" s="21"/>
      <c r="O1272" s="21"/>
    </row>
    <row r="1273" spans="2:15" ht="14.15" customHeight="1" x14ac:dyDescent="0.35">
      <c r="B1273" s="100">
        <f t="shared" si="22"/>
        <v>1262</v>
      </c>
      <c r="C1273" s="101" t="s">
        <v>1254</v>
      </c>
      <c r="D1273" s="99">
        <v>9721912</v>
      </c>
      <c r="E1273" s="99"/>
      <c r="F1273" s="103">
        <v>37560</v>
      </c>
      <c r="G1273" s="99"/>
      <c r="H1273" s="99"/>
      <c r="I1273" s="99"/>
      <c r="J1273" s="20"/>
      <c r="K1273" s="21"/>
      <c r="L1273" s="21"/>
      <c r="M1273" s="21"/>
      <c r="N1273" s="21"/>
      <c r="O1273" s="21"/>
    </row>
    <row r="1274" spans="2:15" ht="14.15" customHeight="1" x14ac:dyDescent="0.35">
      <c r="B1274" s="100">
        <f t="shared" si="22"/>
        <v>1263</v>
      </c>
      <c r="C1274" s="101" t="s">
        <v>1255</v>
      </c>
      <c r="D1274" s="99">
        <v>9721952</v>
      </c>
      <c r="E1274" s="99"/>
      <c r="F1274" s="103">
        <v>37560</v>
      </c>
      <c r="G1274" s="99"/>
      <c r="H1274" s="99"/>
      <c r="I1274" s="99"/>
      <c r="J1274" s="20"/>
      <c r="K1274" s="21"/>
      <c r="L1274" s="21"/>
      <c r="M1274" s="21"/>
      <c r="N1274" s="21"/>
      <c r="O1274" s="21"/>
    </row>
    <row r="1275" spans="2:15" ht="14.15" customHeight="1" x14ac:dyDescent="0.35">
      <c r="B1275" s="100">
        <f t="shared" si="22"/>
        <v>1264</v>
      </c>
      <c r="C1275" s="101" t="s">
        <v>1256</v>
      </c>
      <c r="D1275" s="99">
        <v>9722026</v>
      </c>
      <c r="E1275" s="99"/>
      <c r="F1275" s="103">
        <v>37560</v>
      </c>
      <c r="G1275" s="99"/>
      <c r="H1275" s="99"/>
      <c r="I1275" s="99"/>
      <c r="J1275" s="20"/>
      <c r="K1275" s="21"/>
      <c r="L1275" s="21"/>
      <c r="M1275" s="21"/>
      <c r="N1275" s="21"/>
      <c r="O1275" s="21"/>
    </row>
    <row r="1276" spans="2:15" ht="14.15" customHeight="1" x14ac:dyDescent="0.35">
      <c r="B1276" s="100">
        <f t="shared" si="22"/>
        <v>1265</v>
      </c>
      <c r="C1276" s="101" t="s">
        <v>1257</v>
      </c>
      <c r="D1276" s="99">
        <v>9722103</v>
      </c>
      <c r="E1276" s="99"/>
      <c r="F1276" s="103">
        <v>37560</v>
      </c>
      <c r="G1276" s="99"/>
      <c r="H1276" s="99"/>
      <c r="I1276" s="99"/>
      <c r="J1276" s="20"/>
      <c r="K1276" s="21"/>
      <c r="L1276" s="21"/>
      <c r="M1276" s="21"/>
      <c r="N1276" s="21"/>
      <c r="O1276" s="21"/>
    </row>
    <row r="1277" spans="2:15" ht="14.15" customHeight="1" x14ac:dyDescent="0.35">
      <c r="B1277" s="100">
        <f t="shared" si="22"/>
        <v>1266</v>
      </c>
      <c r="C1277" s="101" t="s">
        <v>1258</v>
      </c>
      <c r="D1277" s="99">
        <v>9722119</v>
      </c>
      <c r="E1277" s="99"/>
      <c r="F1277" s="103">
        <v>37560</v>
      </c>
      <c r="G1277" s="99"/>
      <c r="H1277" s="99"/>
      <c r="I1277" s="99"/>
      <c r="J1277" s="20"/>
      <c r="K1277" s="21"/>
      <c r="L1277" s="21"/>
      <c r="M1277" s="21"/>
      <c r="N1277" s="21"/>
      <c r="O1277" s="21"/>
    </row>
    <row r="1278" spans="2:15" ht="14.15" customHeight="1" x14ac:dyDescent="0.35">
      <c r="B1278" s="100">
        <f t="shared" si="22"/>
        <v>1267</v>
      </c>
      <c r="C1278" s="101" t="s">
        <v>1259</v>
      </c>
      <c r="D1278" s="99">
        <v>9722236</v>
      </c>
      <c r="E1278" s="99"/>
      <c r="F1278" s="103">
        <v>37560</v>
      </c>
      <c r="G1278" s="99"/>
      <c r="H1278" s="99"/>
      <c r="I1278" s="99"/>
      <c r="J1278" s="20"/>
      <c r="K1278" s="21"/>
      <c r="L1278" s="21"/>
      <c r="M1278" s="21"/>
      <c r="N1278" s="21"/>
      <c r="O1278" s="21"/>
    </row>
    <row r="1279" spans="2:15" ht="14.15" customHeight="1" x14ac:dyDescent="0.35">
      <c r="B1279" s="100">
        <f t="shared" si="22"/>
        <v>1268</v>
      </c>
      <c r="C1279" s="101" t="s">
        <v>1260</v>
      </c>
      <c r="D1279" s="99">
        <v>9725946</v>
      </c>
      <c r="E1279" s="99"/>
      <c r="F1279" s="103">
        <v>37560</v>
      </c>
      <c r="G1279" s="99"/>
      <c r="H1279" s="99"/>
      <c r="I1279" s="99"/>
      <c r="J1279" s="20"/>
      <c r="K1279" s="21"/>
      <c r="L1279" s="21"/>
      <c r="M1279" s="21"/>
      <c r="N1279" s="21"/>
      <c r="O1279" s="21"/>
    </row>
    <row r="1280" spans="2:15" ht="14.15" customHeight="1" x14ac:dyDescent="0.35">
      <c r="B1280" s="100">
        <f t="shared" si="22"/>
        <v>1269</v>
      </c>
      <c r="C1280" s="101" t="s">
        <v>1261</v>
      </c>
      <c r="D1280" s="99">
        <v>9822338</v>
      </c>
      <c r="E1280" s="99"/>
      <c r="F1280" s="103">
        <v>37560</v>
      </c>
      <c r="G1280" s="99"/>
      <c r="H1280" s="99"/>
      <c r="I1280" s="99"/>
      <c r="J1280" s="20"/>
      <c r="K1280" s="21"/>
      <c r="L1280" s="21"/>
      <c r="M1280" s="21"/>
      <c r="N1280" s="21"/>
      <c r="O1280" s="21"/>
    </row>
    <row r="1281" spans="2:15" ht="14.15" customHeight="1" x14ac:dyDescent="0.35">
      <c r="B1281" s="100">
        <f t="shared" si="22"/>
        <v>1270</v>
      </c>
      <c r="C1281" s="101" t="s">
        <v>1262</v>
      </c>
      <c r="D1281" s="99">
        <v>9822367</v>
      </c>
      <c r="E1281" s="99"/>
      <c r="F1281" s="103">
        <v>37560</v>
      </c>
      <c r="G1281" s="99"/>
      <c r="H1281" s="99"/>
      <c r="I1281" s="99"/>
      <c r="J1281" s="20"/>
      <c r="K1281" s="21"/>
      <c r="L1281" s="21"/>
      <c r="M1281" s="21"/>
      <c r="N1281" s="21"/>
      <c r="O1281" s="21"/>
    </row>
    <row r="1282" spans="2:15" ht="14.15" customHeight="1" x14ac:dyDescent="0.35">
      <c r="B1282" s="100">
        <f t="shared" si="22"/>
        <v>1271</v>
      </c>
      <c r="C1282" s="101" t="s">
        <v>1263</v>
      </c>
      <c r="D1282" s="99">
        <v>9822638</v>
      </c>
      <c r="E1282" s="99"/>
      <c r="F1282" s="103">
        <v>37560</v>
      </c>
      <c r="G1282" s="99"/>
      <c r="H1282" s="99"/>
      <c r="I1282" s="99"/>
      <c r="J1282" s="20"/>
      <c r="K1282" s="21"/>
      <c r="L1282" s="21"/>
      <c r="M1282" s="21"/>
      <c r="N1282" s="21"/>
      <c r="O1282" s="21"/>
    </row>
    <row r="1283" spans="2:15" ht="14.15" customHeight="1" x14ac:dyDescent="0.35">
      <c r="B1283" s="100">
        <f t="shared" si="22"/>
        <v>1272</v>
      </c>
      <c r="C1283" s="101" t="s">
        <v>1264</v>
      </c>
      <c r="D1283" s="99">
        <v>9823188</v>
      </c>
      <c r="E1283" s="99"/>
      <c r="F1283" s="103">
        <v>37560</v>
      </c>
      <c r="G1283" s="99"/>
      <c r="H1283" s="99"/>
      <c r="I1283" s="99"/>
      <c r="J1283" s="20"/>
      <c r="K1283" s="21"/>
      <c r="L1283" s="21"/>
      <c r="M1283" s="21"/>
      <c r="N1283" s="21"/>
      <c r="O1283" s="21"/>
    </row>
    <row r="1284" spans="2:15" ht="14.15" customHeight="1" x14ac:dyDescent="0.35">
      <c r="B1284" s="100">
        <f t="shared" si="22"/>
        <v>1273</v>
      </c>
      <c r="C1284" s="101" t="s">
        <v>1265</v>
      </c>
      <c r="D1284" s="99">
        <v>9823322</v>
      </c>
      <c r="E1284" s="99"/>
      <c r="F1284" s="103">
        <v>37560</v>
      </c>
      <c r="G1284" s="99"/>
      <c r="H1284" s="99"/>
      <c r="I1284" s="99"/>
      <c r="J1284" s="20"/>
      <c r="K1284" s="21"/>
      <c r="L1284" s="21"/>
      <c r="M1284" s="21"/>
      <c r="N1284" s="21"/>
      <c r="O1284" s="21"/>
    </row>
    <row r="1285" spans="2:15" ht="14.15" customHeight="1" x14ac:dyDescent="0.35">
      <c r="B1285" s="100">
        <f t="shared" si="22"/>
        <v>1274</v>
      </c>
      <c r="C1285" s="101" t="s">
        <v>1266</v>
      </c>
      <c r="D1285" s="99">
        <v>9620531</v>
      </c>
      <c r="E1285" s="99"/>
      <c r="F1285" s="103">
        <v>37652</v>
      </c>
      <c r="G1285" s="99"/>
      <c r="H1285" s="99"/>
      <c r="I1285" s="99"/>
      <c r="J1285" s="20"/>
      <c r="K1285" s="21"/>
      <c r="L1285" s="21"/>
      <c r="M1285" s="21"/>
      <c r="N1285" s="21"/>
      <c r="O1285" s="21"/>
    </row>
    <row r="1286" spans="2:15" ht="14.15" customHeight="1" x14ac:dyDescent="0.35">
      <c r="B1286" s="100">
        <f t="shared" si="22"/>
        <v>1275</v>
      </c>
      <c r="C1286" s="101" t="s">
        <v>1267</v>
      </c>
      <c r="D1286" s="99">
        <v>9621054</v>
      </c>
      <c r="E1286" s="99"/>
      <c r="F1286" s="103">
        <v>37652</v>
      </c>
      <c r="G1286" s="99"/>
      <c r="H1286" s="99"/>
      <c r="I1286" s="99"/>
      <c r="J1286" s="20"/>
      <c r="K1286" s="21"/>
      <c r="L1286" s="21"/>
      <c r="M1286" s="21"/>
      <c r="N1286" s="21"/>
      <c r="O1286" s="21"/>
    </row>
    <row r="1287" spans="2:15" ht="14.15" customHeight="1" x14ac:dyDescent="0.35">
      <c r="B1287" s="100">
        <f t="shared" si="22"/>
        <v>1276</v>
      </c>
      <c r="C1287" s="101" t="s">
        <v>1268</v>
      </c>
      <c r="D1287" s="99">
        <v>9621106</v>
      </c>
      <c r="E1287" s="99"/>
      <c r="F1287" s="103">
        <v>37652</v>
      </c>
      <c r="G1287" s="99"/>
      <c r="H1287" s="99"/>
      <c r="I1287" s="99"/>
      <c r="J1287" s="20"/>
      <c r="K1287" s="21"/>
      <c r="L1287" s="21"/>
      <c r="M1287" s="21"/>
      <c r="N1287" s="21"/>
      <c r="O1287" s="21"/>
    </row>
    <row r="1288" spans="2:15" ht="14.15" customHeight="1" x14ac:dyDescent="0.35">
      <c r="B1288" s="100">
        <f t="shared" si="22"/>
        <v>1277</v>
      </c>
      <c r="C1288" s="101" t="s">
        <v>1269</v>
      </c>
      <c r="D1288" s="99">
        <v>9721687</v>
      </c>
      <c r="E1288" s="99"/>
      <c r="F1288" s="103">
        <v>37652</v>
      </c>
      <c r="G1288" s="99"/>
      <c r="H1288" s="99"/>
      <c r="I1288" s="99"/>
      <c r="J1288" s="20"/>
      <c r="K1288" s="21"/>
      <c r="L1288" s="21"/>
      <c r="M1288" s="21"/>
      <c r="N1288" s="21"/>
      <c r="O1288" s="21"/>
    </row>
    <row r="1289" spans="2:15" ht="14.15" customHeight="1" x14ac:dyDescent="0.35">
      <c r="B1289" s="100">
        <f t="shared" si="22"/>
        <v>1278</v>
      </c>
      <c r="C1289" s="101" t="s">
        <v>1270</v>
      </c>
      <c r="D1289" s="99">
        <v>9721717</v>
      </c>
      <c r="E1289" s="99"/>
      <c r="F1289" s="103">
        <v>37652</v>
      </c>
      <c r="G1289" s="99"/>
      <c r="H1289" s="99"/>
      <c r="I1289" s="99"/>
      <c r="J1289" s="20"/>
      <c r="K1289" s="21"/>
      <c r="L1289" s="21"/>
      <c r="M1289" s="21"/>
      <c r="N1289" s="21"/>
      <c r="O1289" s="21"/>
    </row>
    <row r="1290" spans="2:15" ht="14.15" customHeight="1" x14ac:dyDescent="0.35">
      <c r="B1290" s="100">
        <f t="shared" si="22"/>
        <v>1279</v>
      </c>
      <c r="C1290" s="101" t="s">
        <v>1271</v>
      </c>
      <c r="D1290" s="99">
        <v>9721916</v>
      </c>
      <c r="E1290" s="99"/>
      <c r="F1290" s="103">
        <v>37652</v>
      </c>
      <c r="G1290" s="99"/>
      <c r="H1290" s="99"/>
      <c r="I1290" s="99"/>
      <c r="J1290" s="20"/>
      <c r="K1290" s="21"/>
      <c r="L1290" s="21"/>
      <c r="M1290" s="21"/>
      <c r="N1290" s="21"/>
      <c r="O1290" s="21"/>
    </row>
    <row r="1291" spans="2:15" ht="14.15" customHeight="1" x14ac:dyDescent="0.35">
      <c r="B1291" s="100">
        <f t="shared" si="22"/>
        <v>1280</v>
      </c>
      <c r="C1291" s="101" t="s">
        <v>1272</v>
      </c>
      <c r="D1291" s="99">
        <v>9721929</v>
      </c>
      <c r="E1291" s="99"/>
      <c r="F1291" s="103">
        <v>37652</v>
      </c>
      <c r="G1291" s="99"/>
      <c r="H1291" s="99"/>
      <c r="I1291" s="99"/>
      <c r="J1291" s="20"/>
      <c r="K1291" s="21"/>
      <c r="L1291" s="21"/>
      <c r="M1291" s="21"/>
      <c r="N1291" s="21"/>
      <c r="O1291" s="21"/>
    </row>
    <row r="1292" spans="2:15" ht="14.15" customHeight="1" x14ac:dyDescent="0.35">
      <c r="B1292" s="100">
        <f t="shared" si="22"/>
        <v>1281</v>
      </c>
      <c r="C1292" s="101" t="s">
        <v>1273</v>
      </c>
      <c r="D1292" s="99">
        <v>9722099</v>
      </c>
      <c r="E1292" s="99"/>
      <c r="F1292" s="103">
        <v>37652</v>
      </c>
      <c r="G1292" s="99"/>
      <c r="H1292" s="99"/>
      <c r="I1292" s="99"/>
      <c r="J1292" s="20"/>
      <c r="K1292" s="21"/>
      <c r="L1292" s="21"/>
      <c r="M1292" s="21"/>
      <c r="N1292" s="21"/>
      <c r="O1292" s="21"/>
    </row>
    <row r="1293" spans="2:15" ht="14.15" customHeight="1" x14ac:dyDescent="0.35">
      <c r="B1293" s="100">
        <f t="shared" si="22"/>
        <v>1282</v>
      </c>
      <c r="C1293" s="101" t="s">
        <v>1274</v>
      </c>
      <c r="D1293" s="99">
        <v>9722145</v>
      </c>
      <c r="E1293" s="99"/>
      <c r="F1293" s="103">
        <v>37652</v>
      </c>
      <c r="G1293" s="99"/>
      <c r="H1293" s="99"/>
      <c r="I1293" s="99"/>
      <c r="J1293" s="20"/>
      <c r="K1293" s="21"/>
      <c r="L1293" s="21"/>
      <c r="M1293" s="21"/>
      <c r="N1293" s="21"/>
      <c r="O1293" s="21"/>
    </row>
    <row r="1294" spans="2:15" ht="14.15" customHeight="1" x14ac:dyDescent="0.35">
      <c r="B1294" s="100">
        <f t="shared" si="22"/>
        <v>1283</v>
      </c>
      <c r="C1294" s="101" t="s">
        <v>1275</v>
      </c>
      <c r="D1294" s="99">
        <v>9722182</v>
      </c>
      <c r="E1294" s="99"/>
      <c r="F1294" s="103">
        <v>37652</v>
      </c>
      <c r="G1294" s="99"/>
      <c r="H1294" s="99"/>
      <c r="I1294" s="99"/>
      <c r="J1294" s="20"/>
      <c r="K1294" s="21"/>
      <c r="L1294" s="21"/>
      <c r="M1294" s="21"/>
      <c r="N1294" s="21"/>
      <c r="O1294" s="21"/>
    </row>
    <row r="1295" spans="2:15" ht="14.15" customHeight="1" x14ac:dyDescent="0.35">
      <c r="B1295" s="100">
        <f t="shared" si="22"/>
        <v>1284</v>
      </c>
      <c r="C1295" s="101" t="s">
        <v>1276</v>
      </c>
      <c r="D1295" s="99">
        <v>9722191</v>
      </c>
      <c r="E1295" s="99"/>
      <c r="F1295" s="103">
        <v>37652</v>
      </c>
      <c r="G1295" s="99"/>
      <c r="H1295" s="99"/>
      <c r="I1295" s="99"/>
      <c r="J1295" s="20"/>
      <c r="K1295" s="21"/>
      <c r="L1295" s="21"/>
      <c r="M1295" s="21"/>
      <c r="N1295" s="21"/>
      <c r="O1295" s="21"/>
    </row>
    <row r="1296" spans="2:15" ht="14.15" customHeight="1" x14ac:dyDescent="0.35">
      <c r="B1296" s="100">
        <f t="shared" si="22"/>
        <v>1285</v>
      </c>
      <c r="C1296" s="101" t="s">
        <v>1277</v>
      </c>
      <c r="D1296" s="99">
        <v>9822408</v>
      </c>
      <c r="E1296" s="99"/>
      <c r="F1296" s="103">
        <v>37652</v>
      </c>
      <c r="G1296" s="99"/>
      <c r="H1296" s="99"/>
      <c r="I1296" s="99"/>
      <c r="J1296" s="20"/>
      <c r="K1296" s="21"/>
      <c r="L1296" s="21"/>
      <c r="M1296" s="21"/>
      <c r="N1296" s="21"/>
      <c r="O1296" s="21"/>
    </row>
    <row r="1297" spans="2:18" ht="14.15" customHeight="1" x14ac:dyDescent="0.35">
      <c r="B1297" s="100">
        <f t="shared" si="22"/>
        <v>1286</v>
      </c>
      <c r="C1297" s="101" t="s">
        <v>1278</v>
      </c>
      <c r="D1297" s="99">
        <v>9822492</v>
      </c>
      <c r="E1297" s="99"/>
      <c r="F1297" s="103">
        <v>37652</v>
      </c>
      <c r="G1297" s="99"/>
      <c r="H1297" s="99"/>
      <c r="I1297" s="99"/>
      <c r="J1297" s="20"/>
      <c r="K1297" s="21"/>
      <c r="L1297" s="21"/>
      <c r="M1297" s="21"/>
      <c r="N1297" s="21"/>
      <c r="O1297" s="21"/>
    </row>
    <row r="1298" spans="2:18" ht="14.15" customHeight="1" x14ac:dyDescent="0.35">
      <c r="B1298" s="100">
        <f t="shared" si="22"/>
        <v>1287</v>
      </c>
      <c r="C1298" s="101" t="s">
        <v>1279</v>
      </c>
      <c r="D1298" s="99">
        <v>9822549</v>
      </c>
      <c r="E1298" s="99"/>
      <c r="F1298" s="103">
        <v>37652</v>
      </c>
      <c r="G1298" s="99"/>
      <c r="H1298" s="99"/>
      <c r="I1298" s="99"/>
      <c r="J1298" s="20"/>
      <c r="K1298" s="21"/>
      <c r="L1298" s="21"/>
      <c r="M1298" s="21"/>
      <c r="N1298" s="21"/>
      <c r="O1298" s="21"/>
    </row>
    <row r="1299" spans="2:18" ht="14.15" customHeight="1" x14ac:dyDescent="0.35">
      <c r="B1299" s="100">
        <f t="shared" si="22"/>
        <v>1288</v>
      </c>
      <c r="C1299" s="101" t="s">
        <v>1280</v>
      </c>
      <c r="D1299" s="99">
        <v>9822575</v>
      </c>
      <c r="E1299" s="99"/>
      <c r="F1299" s="103">
        <v>37652</v>
      </c>
      <c r="G1299" s="99"/>
      <c r="H1299" s="99"/>
      <c r="I1299" s="99"/>
      <c r="J1299" s="20"/>
      <c r="K1299" s="21"/>
      <c r="L1299" s="21"/>
      <c r="M1299" s="21"/>
      <c r="N1299" s="21"/>
      <c r="O1299" s="21"/>
    </row>
    <row r="1300" spans="2:18" ht="14.15" customHeight="1" x14ac:dyDescent="0.35">
      <c r="B1300" s="100">
        <f t="shared" si="22"/>
        <v>1289</v>
      </c>
      <c r="C1300" s="101" t="s">
        <v>1281</v>
      </c>
      <c r="D1300" s="99">
        <v>9822857</v>
      </c>
      <c r="E1300" s="99"/>
      <c r="F1300" s="103">
        <v>37652</v>
      </c>
      <c r="G1300" s="99"/>
      <c r="H1300" s="99"/>
      <c r="I1300" s="99"/>
      <c r="J1300" s="20"/>
      <c r="K1300" s="21"/>
      <c r="L1300" s="21"/>
      <c r="M1300" s="21"/>
      <c r="N1300" s="21"/>
      <c r="O1300" s="21"/>
    </row>
    <row r="1301" spans="2:18" ht="14.15" customHeight="1" x14ac:dyDescent="0.35">
      <c r="B1301" s="100">
        <f t="shared" si="22"/>
        <v>1290</v>
      </c>
      <c r="C1301" s="101" t="s">
        <v>1282</v>
      </c>
      <c r="D1301" s="99">
        <v>9822870</v>
      </c>
      <c r="E1301" s="99"/>
      <c r="F1301" s="103">
        <v>37652</v>
      </c>
      <c r="G1301" s="99"/>
      <c r="H1301" s="99"/>
      <c r="I1301" s="99"/>
      <c r="J1301" s="20"/>
      <c r="K1301" s="21"/>
      <c r="L1301" s="21"/>
      <c r="M1301" s="21"/>
      <c r="N1301" s="21"/>
      <c r="O1301" s="21"/>
    </row>
    <row r="1302" spans="2:18" ht="14.15" customHeight="1" x14ac:dyDescent="0.35">
      <c r="B1302" s="100">
        <f t="shared" si="22"/>
        <v>1291</v>
      </c>
      <c r="C1302" s="101" t="s">
        <v>1283</v>
      </c>
      <c r="D1302" s="99">
        <v>9822897</v>
      </c>
      <c r="E1302" s="99"/>
      <c r="F1302" s="103">
        <v>37652</v>
      </c>
      <c r="G1302" s="99"/>
      <c r="H1302" s="99"/>
      <c r="I1302" s="99"/>
      <c r="J1302" s="20"/>
      <c r="K1302" s="21"/>
      <c r="L1302" s="21"/>
      <c r="M1302" s="21"/>
      <c r="N1302" s="21"/>
      <c r="O1302" s="21"/>
    </row>
    <row r="1303" spans="2:18" ht="14.15" customHeight="1" x14ac:dyDescent="0.35">
      <c r="B1303" s="100">
        <f t="shared" si="22"/>
        <v>1292</v>
      </c>
      <c r="C1303" s="101" t="s">
        <v>1284</v>
      </c>
      <c r="D1303" s="99">
        <v>9823270</v>
      </c>
      <c r="E1303" s="99"/>
      <c r="F1303" s="103">
        <v>37652</v>
      </c>
      <c r="G1303" s="99"/>
      <c r="H1303" s="99"/>
      <c r="I1303" s="99"/>
      <c r="J1303" s="20"/>
      <c r="K1303" s="21"/>
      <c r="L1303" s="21"/>
      <c r="M1303" s="21"/>
      <c r="N1303" s="21"/>
      <c r="O1303" s="21"/>
    </row>
    <row r="1304" spans="2:18" ht="14.15" customHeight="1" x14ac:dyDescent="0.35">
      <c r="B1304" s="100">
        <f t="shared" si="22"/>
        <v>1293</v>
      </c>
      <c r="C1304" s="101" t="s">
        <v>1285</v>
      </c>
      <c r="D1304" s="99">
        <v>9823279</v>
      </c>
      <c r="E1304" s="99"/>
      <c r="F1304" s="103">
        <v>37652</v>
      </c>
      <c r="G1304" s="99"/>
      <c r="H1304" s="99"/>
      <c r="I1304" s="99"/>
      <c r="J1304" s="20"/>
      <c r="K1304" s="21"/>
      <c r="L1304" s="21"/>
      <c r="M1304" s="21"/>
      <c r="N1304" s="21"/>
      <c r="O1304" s="21"/>
    </row>
    <row r="1305" spans="2:18" ht="14.15" customHeight="1" x14ac:dyDescent="0.35">
      <c r="B1305" s="100">
        <f t="shared" si="22"/>
        <v>1294</v>
      </c>
      <c r="C1305" s="101" t="s">
        <v>1286</v>
      </c>
      <c r="D1305" s="99">
        <v>9117064</v>
      </c>
      <c r="E1305" s="99"/>
      <c r="F1305" s="103">
        <v>37741</v>
      </c>
      <c r="G1305" s="99">
        <v>12</v>
      </c>
      <c r="H1305" s="109">
        <v>2.84</v>
      </c>
      <c r="I1305" s="99">
        <v>12</v>
      </c>
      <c r="J1305" s="20"/>
      <c r="K1305" s="21"/>
      <c r="L1305" s="21"/>
      <c r="M1305" s="21"/>
      <c r="N1305" s="21"/>
      <c r="O1305" s="21"/>
      <c r="R1305">
        <v>12</v>
      </c>
    </row>
    <row r="1306" spans="2:18" ht="14.15" customHeight="1" x14ac:dyDescent="0.35">
      <c r="B1306" s="100">
        <f t="shared" si="22"/>
        <v>1295</v>
      </c>
      <c r="C1306" s="101" t="s">
        <v>1287</v>
      </c>
      <c r="D1306" s="99">
        <v>9520071</v>
      </c>
      <c r="E1306" s="99"/>
      <c r="F1306" s="103">
        <v>37741</v>
      </c>
      <c r="G1306" s="99">
        <v>8</v>
      </c>
      <c r="H1306" s="109">
        <v>2.38</v>
      </c>
      <c r="I1306" s="99">
        <v>8</v>
      </c>
      <c r="J1306" s="20"/>
      <c r="K1306" s="21"/>
      <c r="L1306" s="21"/>
      <c r="M1306" s="21"/>
      <c r="N1306" s="21"/>
      <c r="O1306" s="21"/>
      <c r="R1306">
        <v>8</v>
      </c>
    </row>
    <row r="1307" spans="2:18" ht="14.15" customHeight="1" x14ac:dyDescent="0.35">
      <c r="B1307" s="100">
        <f t="shared" si="22"/>
        <v>1296</v>
      </c>
      <c r="C1307" s="101" t="s">
        <v>1288</v>
      </c>
      <c r="D1307" s="99">
        <v>9620520</v>
      </c>
      <c r="E1307" s="99"/>
      <c r="F1307" s="103">
        <v>37741</v>
      </c>
      <c r="G1307" s="99">
        <v>7</v>
      </c>
      <c r="H1307" s="109">
        <v>2.23</v>
      </c>
      <c r="I1307" s="99">
        <v>7</v>
      </c>
      <c r="J1307" s="20"/>
      <c r="K1307" s="21"/>
      <c r="L1307" s="21"/>
      <c r="M1307" s="21"/>
      <c r="N1307" s="21"/>
      <c r="O1307" s="21"/>
      <c r="R1307">
        <v>7</v>
      </c>
    </row>
    <row r="1308" spans="2:18" ht="14.15" customHeight="1" x14ac:dyDescent="0.35">
      <c r="B1308" s="100">
        <f t="shared" si="22"/>
        <v>1297</v>
      </c>
      <c r="C1308" s="101" t="s">
        <v>1289</v>
      </c>
      <c r="D1308" s="99">
        <v>9620561</v>
      </c>
      <c r="E1308" s="99"/>
      <c r="F1308" s="103">
        <v>37741</v>
      </c>
      <c r="G1308" s="99">
        <v>7</v>
      </c>
      <c r="H1308" s="109">
        <v>2.54</v>
      </c>
      <c r="I1308" s="99">
        <v>7</v>
      </c>
      <c r="J1308" s="20"/>
      <c r="K1308" s="21"/>
      <c r="L1308" s="21"/>
      <c r="M1308" s="21"/>
      <c r="N1308" s="21"/>
      <c r="O1308" s="21"/>
      <c r="R1308">
        <v>7</v>
      </c>
    </row>
    <row r="1309" spans="2:18" ht="14.15" customHeight="1" x14ac:dyDescent="0.35">
      <c r="B1309" s="100">
        <f t="shared" si="22"/>
        <v>1298</v>
      </c>
      <c r="C1309" s="101" t="s">
        <v>1290</v>
      </c>
      <c r="D1309" s="99">
        <v>9621111</v>
      </c>
      <c r="E1309" s="99"/>
      <c r="F1309" s="103">
        <v>37741</v>
      </c>
      <c r="G1309" s="99">
        <v>7</v>
      </c>
      <c r="H1309" s="109">
        <v>2.65</v>
      </c>
      <c r="I1309" s="99">
        <v>7</v>
      </c>
      <c r="J1309" s="20"/>
      <c r="K1309" s="21"/>
      <c r="L1309" s="21"/>
      <c r="M1309" s="21"/>
      <c r="N1309" s="21"/>
      <c r="O1309" s="21"/>
      <c r="R1309">
        <v>7</v>
      </c>
    </row>
    <row r="1310" spans="2:18" ht="14.15" customHeight="1" x14ac:dyDescent="0.35">
      <c r="B1310" s="100">
        <f t="shared" si="22"/>
        <v>1299</v>
      </c>
      <c r="C1310" s="101" t="s">
        <v>1291</v>
      </c>
      <c r="D1310" s="99">
        <v>9721645</v>
      </c>
      <c r="E1310" s="99"/>
      <c r="F1310" s="103">
        <v>37741</v>
      </c>
      <c r="G1310" s="99">
        <v>6</v>
      </c>
      <c r="H1310" s="109">
        <v>2.91</v>
      </c>
      <c r="I1310" s="99">
        <v>6</v>
      </c>
      <c r="J1310" s="20"/>
      <c r="K1310" s="21"/>
      <c r="L1310" s="21"/>
      <c r="M1310" s="21"/>
      <c r="N1310" s="21"/>
      <c r="O1310" s="21"/>
      <c r="R1310">
        <v>6</v>
      </c>
    </row>
    <row r="1311" spans="2:18" ht="14.15" customHeight="1" x14ac:dyDescent="0.35">
      <c r="B1311" s="100">
        <f t="shared" si="22"/>
        <v>1300</v>
      </c>
      <c r="C1311" s="101" t="s">
        <v>1292</v>
      </c>
      <c r="D1311" s="99">
        <v>9721652</v>
      </c>
      <c r="E1311" s="99"/>
      <c r="F1311" s="103">
        <v>37741</v>
      </c>
      <c r="G1311" s="99">
        <v>6</v>
      </c>
      <c r="H1311" s="109">
        <v>2.78</v>
      </c>
      <c r="I1311" s="99">
        <v>6</v>
      </c>
      <c r="J1311" s="20"/>
      <c r="K1311" s="21"/>
      <c r="L1311" s="21"/>
      <c r="M1311" s="21"/>
      <c r="N1311" s="21"/>
      <c r="O1311" s="21"/>
      <c r="R1311">
        <v>6</v>
      </c>
    </row>
    <row r="1312" spans="2:18" ht="14.15" customHeight="1" x14ac:dyDescent="0.35">
      <c r="B1312" s="100">
        <f t="shared" si="22"/>
        <v>1301</v>
      </c>
      <c r="C1312" s="101" t="s">
        <v>1293</v>
      </c>
      <c r="D1312" s="99">
        <v>9721949</v>
      </c>
      <c r="E1312" s="99"/>
      <c r="F1312" s="103">
        <v>37741</v>
      </c>
      <c r="G1312" s="99">
        <v>6</v>
      </c>
      <c r="H1312" s="109">
        <v>3.42</v>
      </c>
      <c r="I1312" s="99">
        <v>6</v>
      </c>
      <c r="J1312" s="20"/>
      <c r="K1312" s="21"/>
      <c r="L1312" s="21"/>
      <c r="M1312" s="21"/>
      <c r="N1312" s="21"/>
      <c r="O1312" s="21"/>
      <c r="R1312">
        <v>6</v>
      </c>
    </row>
    <row r="1313" spans="2:18" ht="14.15" customHeight="1" x14ac:dyDescent="0.35">
      <c r="B1313" s="100">
        <f t="shared" si="22"/>
        <v>1302</v>
      </c>
      <c r="C1313" s="101" t="s">
        <v>1294</v>
      </c>
      <c r="D1313" s="99">
        <v>9722039</v>
      </c>
      <c r="E1313" s="99"/>
      <c r="F1313" s="103">
        <v>37741</v>
      </c>
      <c r="G1313" s="99">
        <v>6</v>
      </c>
      <c r="H1313" s="109">
        <v>2.37</v>
      </c>
      <c r="I1313" s="99">
        <v>6</v>
      </c>
      <c r="J1313" s="20"/>
      <c r="K1313" s="21"/>
      <c r="L1313" s="21"/>
      <c r="M1313" s="21"/>
      <c r="N1313" s="21"/>
      <c r="O1313" s="21"/>
      <c r="R1313">
        <v>6</v>
      </c>
    </row>
    <row r="1314" spans="2:18" ht="14.15" customHeight="1" x14ac:dyDescent="0.35">
      <c r="B1314" s="100">
        <f t="shared" si="22"/>
        <v>1303</v>
      </c>
      <c r="C1314" s="101" t="s">
        <v>1295</v>
      </c>
      <c r="D1314" s="99">
        <v>9822410</v>
      </c>
      <c r="E1314" s="99"/>
      <c r="F1314" s="103">
        <v>37741</v>
      </c>
      <c r="G1314" s="99">
        <v>5</v>
      </c>
      <c r="H1314" s="109">
        <v>3.38</v>
      </c>
      <c r="I1314" s="99">
        <v>5</v>
      </c>
      <c r="J1314" s="20"/>
      <c r="K1314" s="21"/>
      <c r="L1314" s="21"/>
      <c r="M1314" s="21"/>
      <c r="N1314" s="21"/>
      <c r="O1314" s="21"/>
      <c r="R1314">
        <v>5</v>
      </c>
    </row>
    <row r="1315" spans="2:18" ht="14.15" customHeight="1" x14ac:dyDescent="0.35">
      <c r="B1315" s="100">
        <f t="shared" si="22"/>
        <v>1304</v>
      </c>
      <c r="C1315" s="101" t="s">
        <v>1296</v>
      </c>
      <c r="D1315" s="99">
        <v>9822735</v>
      </c>
      <c r="E1315" s="99"/>
      <c r="F1315" s="103">
        <v>37741</v>
      </c>
      <c r="G1315" s="99">
        <v>5</v>
      </c>
      <c r="H1315" s="109">
        <v>3.32</v>
      </c>
      <c r="I1315" s="99">
        <v>5</v>
      </c>
      <c r="J1315" s="20"/>
      <c r="K1315" s="21"/>
      <c r="L1315" s="21"/>
      <c r="M1315" s="21"/>
      <c r="N1315" s="21"/>
      <c r="O1315" s="21"/>
      <c r="R1315">
        <v>5</v>
      </c>
    </row>
    <row r="1316" spans="2:18" ht="14.15" customHeight="1" x14ac:dyDescent="0.35">
      <c r="B1316" s="100">
        <f t="shared" si="22"/>
        <v>1305</v>
      </c>
      <c r="C1316" s="101" t="s">
        <v>1297</v>
      </c>
      <c r="D1316" s="99">
        <v>9823146</v>
      </c>
      <c r="E1316" s="99"/>
      <c r="F1316" s="103">
        <v>37741</v>
      </c>
      <c r="G1316" s="99">
        <v>5</v>
      </c>
      <c r="H1316" s="109">
        <v>3.12</v>
      </c>
      <c r="I1316" s="99">
        <v>5</v>
      </c>
      <c r="J1316" s="20"/>
      <c r="K1316" s="21"/>
      <c r="L1316" s="21"/>
      <c r="M1316" s="21"/>
      <c r="N1316" s="21"/>
      <c r="O1316" s="21"/>
      <c r="R1316">
        <v>5</v>
      </c>
    </row>
    <row r="1317" spans="2:18" ht="14.15" customHeight="1" x14ac:dyDescent="0.35">
      <c r="B1317" s="100">
        <f t="shared" si="22"/>
        <v>1306</v>
      </c>
      <c r="C1317" s="101" t="s">
        <v>1298</v>
      </c>
      <c r="D1317" s="99">
        <v>9823147</v>
      </c>
      <c r="E1317" s="99"/>
      <c r="F1317" s="103">
        <v>37741</v>
      </c>
      <c r="G1317" s="99">
        <v>5</v>
      </c>
      <c r="H1317" s="109">
        <v>3.16</v>
      </c>
      <c r="I1317" s="99">
        <v>5</v>
      </c>
      <c r="J1317" s="20"/>
      <c r="K1317" s="21"/>
      <c r="L1317" s="21"/>
      <c r="M1317" s="21"/>
      <c r="N1317" s="21"/>
      <c r="O1317" s="21"/>
      <c r="R1317">
        <v>5</v>
      </c>
    </row>
    <row r="1318" spans="2:18" ht="14.15" customHeight="1" x14ac:dyDescent="0.35">
      <c r="B1318" s="100">
        <f t="shared" si="22"/>
        <v>1307</v>
      </c>
      <c r="C1318" s="101" t="s">
        <v>1299</v>
      </c>
      <c r="D1318" s="99">
        <v>9823150</v>
      </c>
      <c r="E1318" s="99"/>
      <c r="F1318" s="103">
        <v>37741</v>
      </c>
      <c r="G1318" s="99">
        <v>5</v>
      </c>
      <c r="H1318" s="109">
        <v>3.58</v>
      </c>
      <c r="I1318" s="99">
        <v>5</v>
      </c>
      <c r="J1318" s="20"/>
      <c r="K1318" s="21"/>
      <c r="L1318" s="21"/>
      <c r="M1318" s="21"/>
      <c r="N1318" s="21"/>
      <c r="O1318" s="21"/>
      <c r="R1318">
        <v>5</v>
      </c>
    </row>
    <row r="1319" spans="2:18" ht="14.15" customHeight="1" x14ac:dyDescent="0.35">
      <c r="B1319" s="100">
        <f t="shared" si="22"/>
        <v>1308</v>
      </c>
      <c r="C1319" s="101" t="s">
        <v>1300</v>
      </c>
      <c r="D1319" s="99">
        <v>9823156</v>
      </c>
      <c r="E1319" s="99"/>
      <c r="F1319" s="103">
        <v>37741</v>
      </c>
      <c r="G1319" s="99">
        <v>5</v>
      </c>
      <c r="H1319" s="109">
        <v>3.43</v>
      </c>
      <c r="I1319" s="99">
        <v>5</v>
      </c>
      <c r="J1319" s="20"/>
      <c r="K1319" s="21"/>
      <c r="L1319" s="21"/>
      <c r="M1319" s="21"/>
      <c r="N1319" s="21"/>
      <c r="O1319" s="21"/>
      <c r="R1319">
        <v>5</v>
      </c>
    </row>
    <row r="1320" spans="2:18" ht="14.15" customHeight="1" x14ac:dyDescent="0.35">
      <c r="B1320" s="100">
        <f t="shared" si="22"/>
        <v>1309</v>
      </c>
      <c r="C1320" s="113" t="s">
        <v>1301</v>
      </c>
      <c r="D1320" s="99">
        <v>9823199</v>
      </c>
      <c r="E1320" s="99"/>
      <c r="F1320" s="103">
        <v>37741</v>
      </c>
      <c r="G1320" s="99">
        <v>5</v>
      </c>
      <c r="H1320" s="109">
        <v>3.2</v>
      </c>
      <c r="I1320" s="99">
        <v>5</v>
      </c>
      <c r="J1320" s="20"/>
      <c r="K1320" s="21"/>
      <c r="L1320" s="21"/>
      <c r="M1320" s="21"/>
      <c r="N1320" s="21"/>
      <c r="O1320" s="21"/>
      <c r="R1320">
        <v>5</v>
      </c>
    </row>
    <row r="1321" spans="2:18" ht="14.15" customHeight="1" x14ac:dyDescent="0.35">
      <c r="B1321" s="100">
        <f t="shared" si="22"/>
        <v>1310</v>
      </c>
      <c r="C1321" s="101" t="s">
        <v>1302</v>
      </c>
      <c r="D1321" s="99">
        <v>9823208</v>
      </c>
      <c r="E1321" s="99"/>
      <c r="F1321" s="103">
        <v>37741</v>
      </c>
      <c r="G1321" s="99">
        <v>5</v>
      </c>
      <c r="H1321" s="109">
        <v>2.77</v>
      </c>
      <c r="I1321" s="99">
        <v>5</v>
      </c>
      <c r="J1321" s="20"/>
      <c r="K1321" s="21"/>
      <c r="L1321" s="21"/>
      <c r="M1321" s="21"/>
      <c r="N1321" s="21"/>
      <c r="O1321" s="21"/>
      <c r="R1321">
        <v>5</v>
      </c>
    </row>
    <row r="1322" spans="2:18" ht="14.15" customHeight="1" x14ac:dyDescent="0.35">
      <c r="B1322" s="100">
        <f t="shared" si="22"/>
        <v>1311</v>
      </c>
      <c r="C1322" s="101" t="s">
        <v>1303</v>
      </c>
      <c r="D1322" s="99">
        <v>9823216</v>
      </c>
      <c r="E1322" s="99"/>
      <c r="F1322" s="103">
        <v>37741</v>
      </c>
      <c r="G1322" s="99">
        <v>5</v>
      </c>
      <c r="H1322" s="109">
        <v>3.4</v>
      </c>
      <c r="I1322" s="99">
        <v>5</v>
      </c>
      <c r="J1322" s="20"/>
      <c r="K1322" s="21"/>
      <c r="L1322" s="21"/>
      <c r="M1322" s="21"/>
      <c r="N1322" s="21"/>
      <c r="O1322" s="21"/>
      <c r="R1322">
        <v>5</v>
      </c>
    </row>
    <row r="1323" spans="2:18" ht="14.15" customHeight="1" x14ac:dyDescent="0.35">
      <c r="B1323" s="100">
        <f t="shared" ref="B1323:B1361" si="23">(B1322+1)</f>
        <v>1312</v>
      </c>
      <c r="C1323" s="101" t="s">
        <v>1304</v>
      </c>
      <c r="D1323" s="99">
        <v>9823243</v>
      </c>
      <c r="E1323" s="99"/>
      <c r="F1323" s="103">
        <v>37741</v>
      </c>
      <c r="G1323" s="99">
        <v>5</v>
      </c>
      <c r="H1323" s="109">
        <v>3.49</v>
      </c>
      <c r="I1323" s="99">
        <v>5</v>
      </c>
      <c r="J1323" s="20"/>
      <c r="K1323" s="21"/>
      <c r="L1323" s="21"/>
      <c r="M1323" s="21"/>
      <c r="N1323" s="21"/>
      <c r="O1323" s="21"/>
      <c r="R1323">
        <v>5</v>
      </c>
    </row>
    <row r="1324" spans="2:18" ht="14.15" customHeight="1" x14ac:dyDescent="0.35">
      <c r="B1324" s="100">
        <f t="shared" si="23"/>
        <v>1313</v>
      </c>
      <c r="C1324" s="101" t="s">
        <v>1305</v>
      </c>
      <c r="D1324" s="99">
        <v>9823278</v>
      </c>
      <c r="E1324" s="99"/>
      <c r="F1324" s="103">
        <v>37741</v>
      </c>
      <c r="G1324" s="99">
        <v>5</v>
      </c>
      <c r="H1324" s="109">
        <v>3.16</v>
      </c>
      <c r="I1324" s="99">
        <v>5</v>
      </c>
      <c r="J1324" s="20"/>
      <c r="K1324" s="21"/>
      <c r="L1324" s="21"/>
      <c r="M1324" s="21"/>
      <c r="N1324" s="21"/>
      <c r="O1324" s="21"/>
      <c r="R1324">
        <v>5</v>
      </c>
    </row>
    <row r="1325" spans="2:18" ht="14.15" customHeight="1" x14ac:dyDescent="0.35">
      <c r="B1325" s="100">
        <f t="shared" si="23"/>
        <v>1314</v>
      </c>
      <c r="C1325" s="101" t="s">
        <v>1306</v>
      </c>
      <c r="D1325" s="99">
        <v>9823289</v>
      </c>
      <c r="E1325" s="99"/>
      <c r="F1325" s="103">
        <v>37741</v>
      </c>
      <c r="G1325" s="99">
        <v>5</v>
      </c>
      <c r="H1325" s="109">
        <v>3.38</v>
      </c>
      <c r="I1325" s="99">
        <v>5</v>
      </c>
      <c r="J1325" s="20"/>
      <c r="K1325" s="21"/>
      <c r="L1325" s="21"/>
      <c r="M1325" s="21"/>
      <c r="N1325" s="21"/>
      <c r="O1325" s="21"/>
      <c r="R1325">
        <v>5</v>
      </c>
    </row>
    <row r="1326" spans="2:18" ht="14.15" customHeight="1" x14ac:dyDescent="0.35">
      <c r="B1326" s="100">
        <f t="shared" si="23"/>
        <v>1315</v>
      </c>
      <c r="C1326" s="101" t="s">
        <v>1307</v>
      </c>
      <c r="D1326" s="99">
        <v>9823291</v>
      </c>
      <c r="E1326" s="99"/>
      <c r="F1326" s="103">
        <v>37741</v>
      </c>
      <c r="G1326" s="99">
        <v>5</v>
      </c>
      <c r="H1326" s="109">
        <v>2.78</v>
      </c>
      <c r="I1326" s="99">
        <v>5</v>
      </c>
      <c r="J1326" s="20"/>
      <c r="K1326" s="21"/>
      <c r="L1326" s="21"/>
      <c r="M1326" s="21"/>
      <c r="N1326" s="21"/>
      <c r="O1326" s="21"/>
      <c r="R1326">
        <v>5</v>
      </c>
    </row>
    <row r="1327" spans="2:18" ht="14.15" customHeight="1" x14ac:dyDescent="0.35">
      <c r="B1327" s="100">
        <f t="shared" si="23"/>
        <v>1316</v>
      </c>
      <c r="C1327" s="101" t="s">
        <v>1308</v>
      </c>
      <c r="D1327" s="99">
        <v>9823303</v>
      </c>
      <c r="E1327" s="99"/>
      <c r="F1327" s="103">
        <v>37741</v>
      </c>
      <c r="G1327" s="99">
        <v>5</v>
      </c>
      <c r="H1327" s="109">
        <v>3.45</v>
      </c>
      <c r="I1327" s="99">
        <v>5</v>
      </c>
      <c r="J1327" s="20"/>
      <c r="K1327" s="21"/>
      <c r="L1327" s="21"/>
      <c r="M1327" s="21"/>
      <c r="N1327" s="21"/>
      <c r="O1327" s="21"/>
      <c r="R1327">
        <v>5</v>
      </c>
    </row>
    <row r="1328" spans="2:18" ht="14.15" customHeight="1" x14ac:dyDescent="0.35">
      <c r="B1328" s="100">
        <f t="shared" si="23"/>
        <v>1317</v>
      </c>
      <c r="C1328" s="101" t="s">
        <v>1309</v>
      </c>
      <c r="D1328" s="99">
        <v>9823381</v>
      </c>
      <c r="E1328" s="99"/>
      <c r="F1328" s="103">
        <v>37741</v>
      </c>
      <c r="G1328" s="99">
        <v>5</v>
      </c>
      <c r="H1328" s="109">
        <v>3.1</v>
      </c>
      <c r="I1328" s="99">
        <v>5</v>
      </c>
      <c r="J1328" s="20"/>
      <c r="K1328" s="21"/>
      <c r="L1328" s="21"/>
      <c r="M1328" s="21"/>
      <c r="N1328" s="21"/>
      <c r="O1328" s="21"/>
      <c r="R1328">
        <v>5</v>
      </c>
    </row>
    <row r="1329" spans="2:18" ht="14.15" customHeight="1" x14ac:dyDescent="0.35">
      <c r="B1329" s="100">
        <f t="shared" si="23"/>
        <v>1318</v>
      </c>
      <c r="C1329" s="101" t="s">
        <v>1310</v>
      </c>
      <c r="D1329" s="99">
        <v>9823415</v>
      </c>
      <c r="E1329" s="99"/>
      <c r="F1329" s="103">
        <v>37741</v>
      </c>
      <c r="G1329" s="99">
        <v>5</v>
      </c>
      <c r="H1329" s="109">
        <v>3.1</v>
      </c>
      <c r="I1329" s="99">
        <v>5</v>
      </c>
      <c r="J1329" s="20"/>
      <c r="K1329" s="21"/>
      <c r="L1329" s="21"/>
      <c r="M1329" s="21"/>
      <c r="N1329" s="21"/>
      <c r="O1329" s="21"/>
      <c r="R1329">
        <v>5</v>
      </c>
    </row>
    <row r="1330" spans="2:18" ht="14.15" customHeight="1" x14ac:dyDescent="0.35">
      <c r="B1330" s="100">
        <f t="shared" si="23"/>
        <v>1319</v>
      </c>
      <c r="C1330" s="101" t="s">
        <v>1311</v>
      </c>
      <c r="D1330" s="99">
        <v>9923415</v>
      </c>
      <c r="E1330" s="99"/>
      <c r="F1330" s="103">
        <v>37741</v>
      </c>
      <c r="G1330" s="99">
        <v>4</v>
      </c>
      <c r="H1330" s="109">
        <v>3.56</v>
      </c>
      <c r="I1330" s="99">
        <v>4</v>
      </c>
      <c r="J1330" s="20"/>
      <c r="K1330" s="21"/>
      <c r="L1330" s="21"/>
      <c r="M1330" s="21"/>
      <c r="N1330" s="21"/>
      <c r="O1330" s="21"/>
      <c r="R1330">
        <v>4</v>
      </c>
    </row>
    <row r="1331" spans="2:18" ht="14.15" customHeight="1" x14ac:dyDescent="0.35">
      <c r="B1331" s="100">
        <f t="shared" si="23"/>
        <v>1320</v>
      </c>
      <c r="C1331" s="101" t="s">
        <v>1312</v>
      </c>
      <c r="D1331" s="99">
        <v>9519971</v>
      </c>
      <c r="E1331" s="99"/>
      <c r="F1331" s="103">
        <v>37833</v>
      </c>
      <c r="G1331" s="99">
        <v>8</v>
      </c>
      <c r="H1331" s="99">
        <v>2.09</v>
      </c>
      <c r="I1331" s="99">
        <v>8</v>
      </c>
      <c r="J1331" s="20"/>
      <c r="K1331" s="21"/>
      <c r="L1331" s="21"/>
      <c r="M1331" s="21"/>
      <c r="N1331" s="21"/>
      <c r="O1331" s="21"/>
      <c r="R1331">
        <v>8</v>
      </c>
    </row>
    <row r="1332" spans="2:18" ht="14.15" customHeight="1" x14ac:dyDescent="0.35">
      <c r="B1332" s="100">
        <f t="shared" si="23"/>
        <v>1321</v>
      </c>
      <c r="C1332" s="101" t="s">
        <v>1313</v>
      </c>
      <c r="D1332" s="99">
        <v>9519994</v>
      </c>
      <c r="E1332" s="99"/>
      <c r="F1332" s="103">
        <v>37833</v>
      </c>
      <c r="G1332" s="99">
        <v>8</v>
      </c>
      <c r="H1332" s="99">
        <v>2.57</v>
      </c>
      <c r="I1332" s="99">
        <v>8</v>
      </c>
      <c r="J1332" s="20"/>
      <c r="K1332" s="21"/>
      <c r="L1332" s="21"/>
      <c r="M1332" s="21"/>
      <c r="N1332" s="21"/>
      <c r="O1332" s="21"/>
      <c r="R1332">
        <v>8</v>
      </c>
    </row>
    <row r="1333" spans="2:18" ht="14.15" customHeight="1" x14ac:dyDescent="0.35">
      <c r="B1333" s="100">
        <f t="shared" si="23"/>
        <v>1322</v>
      </c>
      <c r="C1333" s="101" t="s">
        <v>1314</v>
      </c>
      <c r="D1333" s="99">
        <v>9620438</v>
      </c>
      <c r="E1333" s="99"/>
      <c r="F1333" s="103">
        <v>37833</v>
      </c>
      <c r="G1333" s="99">
        <v>7</v>
      </c>
      <c r="H1333" s="99">
        <v>2.9</v>
      </c>
      <c r="I1333" s="99">
        <v>7</v>
      </c>
      <c r="J1333" s="20"/>
      <c r="K1333" s="21"/>
      <c r="L1333" s="21"/>
      <c r="M1333" s="21"/>
      <c r="N1333" s="21"/>
      <c r="O1333" s="21"/>
      <c r="R1333">
        <v>7</v>
      </c>
    </row>
    <row r="1334" spans="2:18" ht="14.15" customHeight="1" x14ac:dyDescent="0.35">
      <c r="B1334" s="100">
        <f t="shared" si="23"/>
        <v>1323</v>
      </c>
      <c r="C1334" s="101" t="s">
        <v>1315</v>
      </c>
      <c r="D1334" s="99">
        <v>9620585</v>
      </c>
      <c r="E1334" s="99"/>
      <c r="F1334" s="103">
        <v>37833</v>
      </c>
      <c r="G1334" s="99">
        <v>7</v>
      </c>
      <c r="H1334" s="99">
        <v>3.31</v>
      </c>
      <c r="I1334" s="99">
        <v>7</v>
      </c>
      <c r="J1334" s="20"/>
      <c r="K1334" s="21"/>
      <c r="L1334" s="21"/>
      <c r="M1334" s="21"/>
      <c r="N1334" s="21"/>
      <c r="O1334" s="21"/>
      <c r="R1334">
        <v>7</v>
      </c>
    </row>
    <row r="1335" spans="2:18" ht="14.15" customHeight="1" x14ac:dyDescent="0.35">
      <c r="B1335" s="100">
        <f t="shared" si="23"/>
        <v>1324</v>
      </c>
      <c r="C1335" s="101" t="s">
        <v>1316</v>
      </c>
      <c r="D1335" s="99">
        <v>9721391</v>
      </c>
      <c r="E1335" s="99"/>
      <c r="F1335" s="103">
        <v>37833</v>
      </c>
      <c r="G1335" s="99">
        <v>6</v>
      </c>
      <c r="H1335" s="99">
        <v>3.07</v>
      </c>
      <c r="I1335" s="99">
        <v>6</v>
      </c>
      <c r="J1335" s="20"/>
      <c r="K1335" s="21"/>
      <c r="L1335" s="21"/>
      <c r="M1335" s="21"/>
      <c r="N1335" s="21"/>
      <c r="O1335" s="21"/>
      <c r="R1335">
        <v>6</v>
      </c>
    </row>
    <row r="1336" spans="2:18" ht="14.15" customHeight="1" x14ac:dyDescent="0.35">
      <c r="B1336" s="100">
        <f t="shared" si="23"/>
        <v>1325</v>
      </c>
      <c r="C1336" s="101" t="s">
        <v>1317</v>
      </c>
      <c r="D1336" s="99">
        <v>9721421</v>
      </c>
      <c r="E1336" s="99"/>
      <c r="F1336" s="103">
        <v>37833</v>
      </c>
      <c r="G1336" s="99">
        <v>6</v>
      </c>
      <c r="H1336" s="99">
        <v>2.61</v>
      </c>
      <c r="I1336" s="99">
        <v>6</v>
      </c>
      <c r="J1336" s="20"/>
      <c r="K1336" s="21"/>
      <c r="L1336" s="21"/>
      <c r="M1336" s="21"/>
      <c r="N1336" s="21"/>
      <c r="O1336" s="21"/>
      <c r="R1336">
        <v>6</v>
      </c>
    </row>
    <row r="1337" spans="2:18" ht="14.15" customHeight="1" x14ac:dyDescent="0.35">
      <c r="B1337" s="100">
        <f t="shared" si="23"/>
        <v>1326</v>
      </c>
      <c r="C1337" s="101" t="s">
        <v>1318</v>
      </c>
      <c r="D1337" s="99">
        <v>9721819</v>
      </c>
      <c r="E1337" s="99"/>
      <c r="F1337" s="103">
        <v>37833</v>
      </c>
      <c r="G1337" s="99">
        <v>6</v>
      </c>
      <c r="H1337" s="99">
        <v>3.09</v>
      </c>
      <c r="I1337" s="99">
        <v>6</v>
      </c>
      <c r="J1337" s="20"/>
      <c r="K1337" s="21"/>
      <c r="L1337" s="21"/>
      <c r="M1337" s="21"/>
      <c r="N1337" s="21"/>
      <c r="O1337" s="21"/>
      <c r="R1337">
        <v>6</v>
      </c>
    </row>
    <row r="1338" spans="2:18" ht="14.15" customHeight="1" x14ac:dyDescent="0.35">
      <c r="B1338" s="100">
        <f t="shared" si="23"/>
        <v>1327</v>
      </c>
      <c r="C1338" s="101" t="s">
        <v>1319</v>
      </c>
      <c r="D1338" s="99">
        <v>9721835</v>
      </c>
      <c r="E1338" s="99"/>
      <c r="F1338" s="103">
        <v>37833</v>
      </c>
      <c r="G1338" s="99">
        <v>6</v>
      </c>
      <c r="H1338" s="99">
        <v>2.21</v>
      </c>
      <c r="I1338" s="99">
        <v>6</v>
      </c>
      <c r="J1338" s="20"/>
      <c r="K1338" s="21"/>
      <c r="L1338" s="21"/>
      <c r="M1338" s="21"/>
      <c r="N1338" s="21"/>
      <c r="O1338" s="21"/>
      <c r="R1338">
        <v>6</v>
      </c>
    </row>
    <row r="1339" spans="2:18" ht="14.15" customHeight="1" x14ac:dyDescent="0.35">
      <c r="B1339" s="100">
        <f t="shared" si="23"/>
        <v>1328</v>
      </c>
      <c r="C1339" s="101" t="s">
        <v>1320</v>
      </c>
      <c r="D1339" s="99">
        <v>9721970</v>
      </c>
      <c r="E1339" s="99"/>
      <c r="F1339" s="103">
        <v>37833</v>
      </c>
      <c r="G1339" s="99">
        <v>6</v>
      </c>
      <c r="H1339" s="99">
        <v>2.61</v>
      </c>
      <c r="I1339" s="99">
        <v>6</v>
      </c>
      <c r="J1339" s="20"/>
      <c r="K1339" s="21"/>
      <c r="L1339" s="21"/>
      <c r="M1339" s="21"/>
      <c r="N1339" s="21"/>
      <c r="O1339" s="21"/>
      <c r="R1339">
        <v>6</v>
      </c>
    </row>
    <row r="1340" spans="2:18" ht="14.15" customHeight="1" x14ac:dyDescent="0.35">
      <c r="B1340" s="100">
        <f t="shared" si="23"/>
        <v>1329</v>
      </c>
      <c r="C1340" s="101" t="s">
        <v>1321</v>
      </c>
      <c r="D1340" s="99">
        <v>9822377</v>
      </c>
      <c r="E1340" s="99"/>
      <c r="F1340" s="103">
        <v>37833</v>
      </c>
      <c r="G1340" s="99">
        <v>5</v>
      </c>
      <c r="H1340" s="99">
        <v>3.4</v>
      </c>
      <c r="I1340" s="99">
        <v>5</v>
      </c>
      <c r="J1340" s="20"/>
      <c r="K1340" s="21"/>
      <c r="L1340" s="21"/>
      <c r="M1340" s="21"/>
      <c r="N1340" s="21"/>
      <c r="O1340" s="21"/>
      <c r="R1340">
        <v>5</v>
      </c>
    </row>
    <row r="1341" spans="2:18" ht="14.15" customHeight="1" x14ac:dyDescent="0.35">
      <c r="B1341" s="100">
        <f t="shared" si="23"/>
        <v>1330</v>
      </c>
      <c r="C1341" s="101" t="s">
        <v>1322</v>
      </c>
      <c r="D1341" s="99">
        <v>9822415</v>
      </c>
      <c r="E1341" s="99"/>
      <c r="F1341" s="103">
        <v>37833</v>
      </c>
      <c r="G1341" s="99">
        <v>5</v>
      </c>
      <c r="H1341" s="99">
        <v>3.17</v>
      </c>
      <c r="I1341" s="99">
        <v>5</v>
      </c>
      <c r="J1341" s="20"/>
      <c r="K1341" s="21"/>
      <c r="L1341" s="21"/>
      <c r="M1341" s="21"/>
      <c r="N1341" s="21"/>
      <c r="O1341" s="21"/>
      <c r="R1341">
        <v>5</v>
      </c>
    </row>
    <row r="1342" spans="2:18" ht="14.15" customHeight="1" x14ac:dyDescent="0.35">
      <c r="B1342" s="100">
        <f t="shared" si="23"/>
        <v>1331</v>
      </c>
      <c r="C1342" s="101" t="s">
        <v>1323</v>
      </c>
      <c r="D1342" s="99">
        <v>9822449</v>
      </c>
      <c r="E1342" s="99"/>
      <c r="F1342" s="103">
        <v>37833</v>
      </c>
      <c r="G1342" s="99">
        <v>5</v>
      </c>
      <c r="H1342" s="99">
        <v>3.12</v>
      </c>
      <c r="I1342" s="99">
        <v>5</v>
      </c>
      <c r="J1342" s="20"/>
      <c r="K1342" s="21"/>
      <c r="L1342" s="21"/>
      <c r="M1342" s="21"/>
      <c r="N1342" s="21"/>
      <c r="O1342" s="21"/>
      <c r="R1342">
        <v>5</v>
      </c>
    </row>
    <row r="1343" spans="2:18" ht="14.15" customHeight="1" x14ac:dyDescent="0.35">
      <c r="B1343" s="100">
        <f t="shared" si="23"/>
        <v>1332</v>
      </c>
      <c r="C1343" s="101" t="s">
        <v>1324</v>
      </c>
      <c r="D1343" s="99">
        <v>9822562</v>
      </c>
      <c r="E1343" s="99"/>
      <c r="F1343" s="103">
        <v>37833</v>
      </c>
      <c r="G1343" s="99">
        <v>5</v>
      </c>
      <c r="H1343" s="99">
        <v>3.36</v>
      </c>
      <c r="I1343" s="99">
        <v>5</v>
      </c>
      <c r="J1343" s="20"/>
      <c r="K1343" s="21"/>
      <c r="L1343" s="21"/>
      <c r="M1343" s="21"/>
      <c r="N1343" s="21"/>
      <c r="O1343" s="21"/>
      <c r="R1343">
        <v>5</v>
      </c>
    </row>
    <row r="1344" spans="2:18" ht="14.15" customHeight="1" x14ac:dyDescent="0.35">
      <c r="B1344" s="100">
        <f t="shared" si="23"/>
        <v>1333</v>
      </c>
      <c r="C1344" s="101" t="s">
        <v>1325</v>
      </c>
      <c r="D1344" s="99">
        <v>9822607</v>
      </c>
      <c r="E1344" s="99"/>
      <c r="F1344" s="103">
        <v>37833</v>
      </c>
      <c r="G1344" s="99">
        <v>5</v>
      </c>
      <c r="H1344" s="99">
        <v>3.37</v>
      </c>
      <c r="I1344" s="99">
        <v>5</v>
      </c>
      <c r="J1344" s="20"/>
      <c r="K1344" s="21"/>
      <c r="L1344" s="21"/>
      <c r="M1344" s="21"/>
      <c r="N1344" s="21"/>
      <c r="O1344" s="21"/>
      <c r="R1344">
        <v>5</v>
      </c>
    </row>
    <row r="1345" spans="2:18" ht="14.15" customHeight="1" x14ac:dyDescent="0.35">
      <c r="B1345" s="100">
        <f t="shared" si="23"/>
        <v>1334</v>
      </c>
      <c r="C1345" s="101" t="s">
        <v>1326</v>
      </c>
      <c r="D1345" s="99">
        <v>9822759</v>
      </c>
      <c r="E1345" s="99"/>
      <c r="F1345" s="103">
        <v>37833</v>
      </c>
      <c r="G1345" s="99">
        <v>5</v>
      </c>
      <c r="H1345" s="99">
        <v>3.11</v>
      </c>
      <c r="I1345" s="99">
        <v>5</v>
      </c>
      <c r="J1345" s="20"/>
      <c r="K1345" s="21"/>
      <c r="L1345" s="21"/>
      <c r="M1345" s="21"/>
      <c r="N1345" s="21"/>
      <c r="O1345" s="21"/>
      <c r="R1345">
        <v>5</v>
      </c>
    </row>
    <row r="1346" spans="2:18" ht="14.15" customHeight="1" x14ac:dyDescent="0.35">
      <c r="B1346" s="100">
        <f t="shared" si="23"/>
        <v>1335</v>
      </c>
      <c r="C1346" s="101" t="s">
        <v>1327</v>
      </c>
      <c r="D1346" s="99">
        <v>9822833</v>
      </c>
      <c r="E1346" s="99"/>
      <c r="F1346" s="103">
        <v>37833</v>
      </c>
      <c r="G1346" s="99">
        <v>5</v>
      </c>
      <c r="H1346" s="99">
        <v>3.21</v>
      </c>
      <c r="I1346" s="99">
        <v>5</v>
      </c>
      <c r="J1346" s="20"/>
      <c r="K1346" s="21"/>
      <c r="L1346" s="21"/>
      <c r="M1346" s="21"/>
      <c r="N1346" s="21"/>
      <c r="O1346" s="21"/>
      <c r="R1346">
        <v>5</v>
      </c>
    </row>
    <row r="1347" spans="2:18" ht="14.15" customHeight="1" x14ac:dyDescent="0.35">
      <c r="B1347" s="100">
        <f t="shared" si="23"/>
        <v>1336</v>
      </c>
      <c r="C1347" s="101" t="s">
        <v>1328</v>
      </c>
      <c r="D1347" s="99">
        <v>9822849</v>
      </c>
      <c r="E1347" s="99"/>
      <c r="F1347" s="103">
        <v>37833</v>
      </c>
      <c r="G1347" s="99">
        <v>5</v>
      </c>
      <c r="H1347" s="99">
        <v>2.81</v>
      </c>
      <c r="I1347" s="99">
        <v>5</v>
      </c>
      <c r="J1347" s="20"/>
      <c r="K1347" s="21"/>
      <c r="L1347" s="21"/>
      <c r="M1347" s="21"/>
      <c r="N1347" s="21"/>
      <c r="O1347" s="21"/>
      <c r="R1347">
        <v>5</v>
      </c>
    </row>
    <row r="1348" spans="2:18" ht="14.15" customHeight="1" x14ac:dyDescent="0.35">
      <c r="B1348" s="100">
        <f t="shared" si="23"/>
        <v>1337</v>
      </c>
      <c r="C1348" s="101" t="s">
        <v>1329</v>
      </c>
      <c r="D1348" s="99">
        <v>9823107</v>
      </c>
      <c r="E1348" s="99"/>
      <c r="F1348" s="103">
        <v>37833</v>
      </c>
      <c r="G1348" s="99">
        <v>5</v>
      </c>
      <c r="H1348" s="99">
        <v>2.81</v>
      </c>
      <c r="I1348" s="99">
        <v>5</v>
      </c>
      <c r="J1348" s="20"/>
      <c r="K1348" s="21"/>
      <c r="L1348" s="21"/>
      <c r="M1348" s="21"/>
      <c r="N1348" s="21"/>
      <c r="O1348" s="21"/>
      <c r="R1348">
        <v>5</v>
      </c>
    </row>
    <row r="1349" spans="2:18" ht="14.15" customHeight="1" x14ac:dyDescent="0.35">
      <c r="B1349" s="100">
        <f t="shared" si="23"/>
        <v>1338</v>
      </c>
      <c r="C1349" s="101" t="s">
        <v>1330</v>
      </c>
      <c r="D1349" s="99">
        <v>9823184</v>
      </c>
      <c r="E1349" s="99"/>
      <c r="F1349" s="103">
        <v>37833</v>
      </c>
      <c r="G1349" s="99">
        <v>5</v>
      </c>
      <c r="H1349" s="99">
        <v>3</v>
      </c>
      <c r="I1349" s="99">
        <v>5</v>
      </c>
      <c r="J1349" s="20"/>
      <c r="K1349" s="21"/>
      <c r="L1349" s="21"/>
      <c r="M1349" s="21"/>
      <c r="N1349" s="21"/>
      <c r="O1349" s="21"/>
      <c r="R1349">
        <v>5</v>
      </c>
    </row>
    <row r="1350" spans="2:18" ht="14.15" customHeight="1" x14ac:dyDescent="0.35">
      <c r="B1350" s="100">
        <f t="shared" si="23"/>
        <v>1339</v>
      </c>
      <c r="C1350" s="101" t="s">
        <v>1331</v>
      </c>
      <c r="D1350" s="99">
        <v>9823202</v>
      </c>
      <c r="E1350" s="99"/>
      <c r="F1350" s="103">
        <v>37833</v>
      </c>
      <c r="G1350" s="99">
        <v>5</v>
      </c>
      <c r="H1350" s="99">
        <v>3.31</v>
      </c>
      <c r="I1350" s="99">
        <v>5</v>
      </c>
      <c r="J1350" s="20"/>
      <c r="K1350" s="21"/>
      <c r="L1350" s="21"/>
      <c r="M1350" s="21"/>
      <c r="N1350" s="21"/>
      <c r="O1350" s="21"/>
      <c r="R1350">
        <v>5</v>
      </c>
    </row>
    <row r="1351" spans="2:18" ht="14.15" customHeight="1" x14ac:dyDescent="0.35">
      <c r="B1351" s="100">
        <f t="shared" si="23"/>
        <v>1340</v>
      </c>
      <c r="C1351" s="101" t="s">
        <v>1332</v>
      </c>
      <c r="D1351" s="99">
        <v>9823206</v>
      </c>
      <c r="E1351" s="99"/>
      <c r="F1351" s="103">
        <v>37833</v>
      </c>
      <c r="G1351" s="99">
        <v>5</v>
      </c>
      <c r="H1351" s="99">
        <v>3.1</v>
      </c>
      <c r="I1351" s="99">
        <v>5</v>
      </c>
      <c r="J1351" s="20"/>
      <c r="K1351" s="21"/>
      <c r="L1351" s="21"/>
      <c r="M1351" s="21"/>
      <c r="N1351" s="21"/>
      <c r="O1351" s="21"/>
      <c r="R1351">
        <v>5</v>
      </c>
    </row>
    <row r="1352" spans="2:18" ht="14.15" customHeight="1" x14ac:dyDescent="0.35">
      <c r="B1352" s="100">
        <f t="shared" si="23"/>
        <v>1341</v>
      </c>
      <c r="C1352" s="101" t="s">
        <v>1333</v>
      </c>
      <c r="D1352" s="99">
        <v>9823275</v>
      </c>
      <c r="E1352" s="99"/>
      <c r="F1352" s="103">
        <v>37833</v>
      </c>
      <c r="G1352" s="99">
        <v>5</v>
      </c>
      <c r="H1352" s="99">
        <v>3.33</v>
      </c>
      <c r="I1352" s="99">
        <v>5</v>
      </c>
      <c r="J1352" s="20"/>
      <c r="K1352" s="21"/>
      <c r="L1352" s="21"/>
      <c r="M1352" s="21"/>
      <c r="N1352" s="21"/>
      <c r="O1352" s="21"/>
      <c r="R1352">
        <v>5</v>
      </c>
    </row>
    <row r="1353" spans="2:18" ht="14.15" customHeight="1" x14ac:dyDescent="0.35">
      <c r="B1353" s="100">
        <f t="shared" si="23"/>
        <v>1342</v>
      </c>
      <c r="C1353" s="101" t="s">
        <v>1334</v>
      </c>
      <c r="D1353" s="99">
        <v>9823284</v>
      </c>
      <c r="E1353" s="99"/>
      <c r="F1353" s="103">
        <v>37833</v>
      </c>
      <c r="G1353" s="99">
        <v>5</v>
      </c>
      <c r="H1353" s="99">
        <v>3.16</v>
      </c>
      <c r="I1353" s="99">
        <v>5</v>
      </c>
      <c r="J1353" s="20"/>
      <c r="K1353" s="21"/>
      <c r="L1353" s="21"/>
      <c r="M1353" s="21"/>
      <c r="N1353" s="21"/>
      <c r="O1353" s="21"/>
      <c r="R1353">
        <v>5</v>
      </c>
    </row>
    <row r="1354" spans="2:18" ht="14.15" customHeight="1" x14ac:dyDescent="0.35">
      <c r="B1354" s="100">
        <f t="shared" si="23"/>
        <v>1343</v>
      </c>
      <c r="C1354" s="101" t="s">
        <v>1335</v>
      </c>
      <c r="D1354" s="99">
        <v>9823315</v>
      </c>
      <c r="E1354" s="99"/>
      <c r="F1354" s="103">
        <v>37833</v>
      </c>
      <c r="G1354" s="99">
        <v>5</v>
      </c>
      <c r="H1354" s="99">
        <v>3.1</v>
      </c>
      <c r="I1354" s="99">
        <v>5</v>
      </c>
      <c r="J1354" s="20"/>
      <c r="K1354" s="21"/>
      <c r="L1354" s="21"/>
      <c r="M1354" s="21"/>
      <c r="N1354" s="21"/>
      <c r="O1354" s="21"/>
      <c r="R1354">
        <v>5</v>
      </c>
    </row>
    <row r="1355" spans="2:18" ht="14.15" customHeight="1" x14ac:dyDescent="0.35">
      <c r="B1355" s="100">
        <f t="shared" si="23"/>
        <v>1344</v>
      </c>
      <c r="C1355" s="101" t="s">
        <v>1336</v>
      </c>
      <c r="D1355" s="99">
        <v>9823326</v>
      </c>
      <c r="E1355" s="99"/>
      <c r="F1355" s="103">
        <v>37833</v>
      </c>
      <c r="G1355" s="99">
        <v>5</v>
      </c>
      <c r="H1355" s="99">
        <v>2.81</v>
      </c>
      <c r="I1355" s="99">
        <v>5</v>
      </c>
      <c r="J1355" s="20"/>
      <c r="K1355" s="21"/>
      <c r="L1355" s="21"/>
      <c r="M1355" s="21"/>
      <c r="N1355" s="21"/>
      <c r="O1355" s="21"/>
      <c r="R1355">
        <v>5</v>
      </c>
    </row>
    <row r="1356" spans="2:18" ht="14.15" customHeight="1" x14ac:dyDescent="0.35">
      <c r="B1356" s="100">
        <f t="shared" si="23"/>
        <v>1345</v>
      </c>
      <c r="C1356" s="101" t="s">
        <v>1337</v>
      </c>
      <c r="D1356" s="99">
        <v>9823396</v>
      </c>
      <c r="E1356" s="99"/>
      <c r="F1356" s="103">
        <v>37833</v>
      </c>
      <c r="G1356" s="99">
        <v>5</v>
      </c>
      <c r="H1356" s="99">
        <v>3.2</v>
      </c>
      <c r="I1356" s="99">
        <v>5</v>
      </c>
      <c r="J1356" s="20"/>
      <c r="K1356" s="21"/>
      <c r="L1356" s="21"/>
      <c r="M1356" s="21"/>
      <c r="N1356" s="21"/>
      <c r="O1356" s="21"/>
      <c r="R1356">
        <v>5</v>
      </c>
    </row>
    <row r="1357" spans="2:18" ht="14.15" customHeight="1" x14ac:dyDescent="0.35">
      <c r="B1357" s="100">
        <f t="shared" si="23"/>
        <v>1346</v>
      </c>
      <c r="C1357" s="101" t="s">
        <v>1338</v>
      </c>
      <c r="D1357" s="99">
        <v>9823425</v>
      </c>
      <c r="E1357" s="99"/>
      <c r="F1357" s="103">
        <v>37833</v>
      </c>
      <c r="G1357" s="99">
        <v>5</v>
      </c>
      <c r="H1357" s="99">
        <v>3.47</v>
      </c>
      <c r="I1357" s="99">
        <v>5</v>
      </c>
      <c r="J1357" s="20"/>
      <c r="K1357" s="21"/>
      <c r="L1357" s="21"/>
      <c r="M1357" s="21"/>
      <c r="N1357" s="21"/>
      <c r="O1357" s="21"/>
      <c r="R1357">
        <v>5</v>
      </c>
    </row>
    <row r="1358" spans="2:18" ht="14.15" customHeight="1" x14ac:dyDescent="0.35">
      <c r="B1358" s="100">
        <f t="shared" si="23"/>
        <v>1347</v>
      </c>
      <c r="C1358" s="101" t="s">
        <v>1339</v>
      </c>
      <c r="D1358" s="99">
        <v>9924441</v>
      </c>
      <c r="E1358" s="99"/>
      <c r="F1358" s="103">
        <v>37833</v>
      </c>
      <c r="G1358" s="99">
        <v>5</v>
      </c>
      <c r="H1358" s="99">
        <v>3.17</v>
      </c>
      <c r="I1358" s="99">
        <v>5</v>
      </c>
      <c r="J1358" s="20"/>
      <c r="K1358" s="21"/>
      <c r="L1358" s="21"/>
      <c r="M1358" s="21"/>
      <c r="N1358" s="21"/>
      <c r="O1358" s="21"/>
      <c r="R1358">
        <v>5</v>
      </c>
    </row>
    <row r="1359" spans="2:18" ht="14.15" customHeight="1" x14ac:dyDescent="0.35">
      <c r="B1359" s="100">
        <f t="shared" si="23"/>
        <v>1348</v>
      </c>
      <c r="C1359" s="101" t="s">
        <v>1340</v>
      </c>
      <c r="D1359" s="99">
        <v>9519698</v>
      </c>
      <c r="E1359" s="99"/>
      <c r="F1359" s="103">
        <v>37863</v>
      </c>
      <c r="G1359" s="99">
        <v>8</v>
      </c>
      <c r="H1359" s="99">
        <v>2.36</v>
      </c>
      <c r="I1359" s="99">
        <v>8</v>
      </c>
      <c r="J1359" s="20"/>
      <c r="K1359" s="21"/>
      <c r="L1359" s="21"/>
      <c r="M1359" s="21"/>
      <c r="N1359" s="21"/>
      <c r="O1359" s="21"/>
      <c r="R1359">
        <v>8</v>
      </c>
    </row>
    <row r="1360" spans="2:18" ht="14.15" customHeight="1" x14ac:dyDescent="0.35">
      <c r="B1360" s="100">
        <f t="shared" si="23"/>
        <v>1349</v>
      </c>
      <c r="C1360" s="101" t="s">
        <v>1341</v>
      </c>
      <c r="D1360" s="99">
        <v>9721606</v>
      </c>
      <c r="E1360" s="99"/>
      <c r="F1360" s="103">
        <v>37863</v>
      </c>
      <c r="G1360" s="99">
        <v>6</v>
      </c>
      <c r="H1360" s="99">
        <v>2.83</v>
      </c>
      <c r="I1360" s="99">
        <v>6</v>
      </c>
      <c r="J1360" s="20" t="s">
        <v>580</v>
      </c>
      <c r="K1360" s="21"/>
      <c r="L1360" s="21"/>
      <c r="M1360" s="21"/>
      <c r="N1360" s="21"/>
      <c r="O1360" s="21"/>
      <c r="R1360">
        <v>6</v>
      </c>
    </row>
    <row r="1361" spans="2:18" ht="14.15" customHeight="1" x14ac:dyDescent="0.35">
      <c r="B1361" s="100">
        <f t="shared" si="23"/>
        <v>1350</v>
      </c>
      <c r="C1361" s="101" t="s">
        <v>1342</v>
      </c>
      <c r="D1361" s="99">
        <v>9822570</v>
      </c>
      <c r="E1361" s="99"/>
      <c r="F1361" s="103">
        <v>37863</v>
      </c>
      <c r="G1361" s="99">
        <v>5</v>
      </c>
      <c r="H1361" s="99">
        <v>3</v>
      </c>
      <c r="I1361" s="99">
        <v>5</v>
      </c>
      <c r="J1361" s="20"/>
      <c r="K1361" s="21"/>
      <c r="L1361" s="21"/>
      <c r="M1361" s="21"/>
      <c r="N1361" s="21"/>
      <c r="O1361" s="21"/>
      <c r="R1361">
        <v>5</v>
      </c>
    </row>
    <row r="1362" spans="2:18" ht="14.15" customHeight="1" x14ac:dyDescent="0.35">
      <c r="B1362" s="100"/>
      <c r="C1362" s="101"/>
      <c r="D1362" s="99"/>
      <c r="E1362" s="99"/>
      <c r="F1362" s="103"/>
      <c r="G1362" s="99"/>
      <c r="H1362" s="99"/>
      <c r="I1362" s="99"/>
      <c r="J1362" s="20"/>
      <c r="K1362" s="21"/>
      <c r="L1362" s="21"/>
      <c r="M1362" s="21"/>
      <c r="N1362" s="21"/>
      <c r="O1362" s="21"/>
    </row>
    <row r="1363" spans="2:18" ht="14.15" customHeight="1" x14ac:dyDescent="0.35">
      <c r="B1363" s="100"/>
      <c r="C1363" s="112" t="s">
        <v>1343</v>
      </c>
      <c r="D1363" s="99"/>
      <c r="E1363" s="99"/>
      <c r="F1363" s="103"/>
      <c r="G1363" s="99"/>
      <c r="H1363" s="99"/>
      <c r="I1363" s="99"/>
      <c r="J1363" s="20"/>
      <c r="K1363" s="21"/>
      <c r="L1363" s="21"/>
      <c r="M1363" s="21"/>
      <c r="N1363" s="21"/>
      <c r="O1363" s="21"/>
    </row>
    <row r="1364" spans="2:18" ht="14.15" customHeight="1" x14ac:dyDescent="0.35">
      <c r="B1364" s="100">
        <f>(B1361+1)</f>
        <v>1351</v>
      </c>
      <c r="C1364" s="101" t="s">
        <v>1344</v>
      </c>
      <c r="D1364" s="99">
        <v>9620769</v>
      </c>
      <c r="E1364" s="99"/>
      <c r="F1364" s="103">
        <v>37925</v>
      </c>
      <c r="G1364" s="99">
        <v>7</v>
      </c>
      <c r="H1364" s="99">
        <v>3.25</v>
      </c>
      <c r="I1364" s="99">
        <v>7</v>
      </c>
      <c r="J1364" s="20"/>
      <c r="K1364" s="21"/>
      <c r="L1364" s="21"/>
      <c r="M1364" s="21"/>
      <c r="N1364" s="21"/>
      <c r="O1364" s="21"/>
      <c r="R1364">
        <v>7</v>
      </c>
    </row>
    <row r="1365" spans="2:18" ht="14.15" customHeight="1" x14ac:dyDescent="0.35">
      <c r="B1365" s="100">
        <f t="shared" ref="B1365:B1428" si="24">(B1364+1)</f>
        <v>1352</v>
      </c>
      <c r="C1365" s="101" t="s">
        <v>1345</v>
      </c>
      <c r="D1365" s="99">
        <v>9822834</v>
      </c>
      <c r="E1365" s="99"/>
      <c r="F1365" s="103">
        <v>37925</v>
      </c>
      <c r="G1365" s="99">
        <v>5</v>
      </c>
      <c r="H1365" s="99">
        <v>2.96</v>
      </c>
      <c r="I1365" s="99">
        <v>5</v>
      </c>
      <c r="J1365" s="20"/>
      <c r="K1365" s="21"/>
      <c r="L1365" s="21"/>
      <c r="M1365" s="21"/>
      <c r="N1365" s="21"/>
      <c r="O1365" s="21"/>
      <c r="R1365">
        <v>5</v>
      </c>
    </row>
    <row r="1366" spans="2:18" ht="14.15" customHeight="1" x14ac:dyDescent="0.35">
      <c r="B1366" s="100">
        <f t="shared" si="24"/>
        <v>1353</v>
      </c>
      <c r="C1366" s="101" t="s">
        <v>1346</v>
      </c>
      <c r="D1366" s="99">
        <v>9823098</v>
      </c>
      <c r="E1366" s="99"/>
      <c r="F1366" s="103">
        <v>37925</v>
      </c>
      <c r="G1366" s="99">
        <v>5</v>
      </c>
      <c r="H1366" s="99">
        <v>3.35</v>
      </c>
      <c r="I1366" s="99">
        <v>5</v>
      </c>
      <c r="J1366" s="20"/>
      <c r="K1366" s="21"/>
      <c r="L1366" s="21"/>
      <c r="M1366" s="21"/>
      <c r="N1366" s="21"/>
      <c r="O1366" s="21"/>
      <c r="R1366">
        <v>5</v>
      </c>
    </row>
    <row r="1367" spans="2:18" ht="14.15" customHeight="1" x14ac:dyDescent="0.35">
      <c r="B1367" s="100">
        <f t="shared" si="24"/>
        <v>1354</v>
      </c>
      <c r="C1367" s="101" t="s">
        <v>1347</v>
      </c>
      <c r="D1367" s="99">
        <v>9823163</v>
      </c>
      <c r="E1367" s="99"/>
      <c r="F1367" s="103">
        <v>37925</v>
      </c>
      <c r="G1367" s="99">
        <v>5</v>
      </c>
      <c r="H1367" s="99">
        <v>2.76</v>
      </c>
      <c r="I1367" s="99">
        <v>5</v>
      </c>
      <c r="J1367" s="20"/>
      <c r="K1367" s="21"/>
      <c r="L1367" s="21"/>
      <c r="M1367" s="21"/>
      <c r="N1367" s="21"/>
      <c r="O1367" s="21"/>
      <c r="R1367">
        <v>5</v>
      </c>
    </row>
    <row r="1368" spans="2:18" ht="14.15" customHeight="1" x14ac:dyDescent="0.35">
      <c r="B1368" s="100">
        <f t="shared" si="24"/>
        <v>1355</v>
      </c>
      <c r="C1368" s="101" t="s">
        <v>1348</v>
      </c>
      <c r="D1368" s="99">
        <v>9823183</v>
      </c>
      <c r="E1368" s="99"/>
      <c r="F1368" s="103">
        <v>37925</v>
      </c>
      <c r="G1368" s="99">
        <v>5</v>
      </c>
      <c r="H1368" s="99">
        <v>2.76</v>
      </c>
      <c r="I1368" s="99">
        <v>5</v>
      </c>
      <c r="J1368" s="20"/>
      <c r="K1368" s="21"/>
      <c r="L1368" s="21"/>
      <c r="M1368" s="21"/>
      <c r="N1368" s="21"/>
      <c r="O1368" s="21"/>
      <c r="R1368">
        <v>5</v>
      </c>
    </row>
    <row r="1369" spans="2:18" ht="14.15" customHeight="1" x14ac:dyDescent="0.35">
      <c r="B1369" s="100">
        <f t="shared" si="24"/>
        <v>1356</v>
      </c>
      <c r="C1369" s="101" t="s">
        <v>1349</v>
      </c>
      <c r="D1369" s="99">
        <v>9823248</v>
      </c>
      <c r="E1369" s="99"/>
      <c r="F1369" s="103">
        <v>37925</v>
      </c>
      <c r="G1369" s="99">
        <v>5</v>
      </c>
      <c r="H1369" s="99">
        <v>3.23</v>
      </c>
      <c r="I1369" s="99">
        <v>5</v>
      </c>
      <c r="J1369" s="20"/>
      <c r="K1369" s="21"/>
      <c r="L1369" s="21"/>
      <c r="M1369" s="21"/>
      <c r="N1369" s="21"/>
      <c r="O1369" s="21"/>
      <c r="R1369">
        <v>5</v>
      </c>
    </row>
    <row r="1370" spans="2:18" ht="14.15" customHeight="1" x14ac:dyDescent="0.35">
      <c r="B1370" s="100">
        <f t="shared" si="24"/>
        <v>1357</v>
      </c>
      <c r="C1370" s="101" t="s">
        <v>1350</v>
      </c>
      <c r="D1370" s="99">
        <v>9823334</v>
      </c>
      <c r="E1370" s="99"/>
      <c r="F1370" s="103">
        <v>37925</v>
      </c>
      <c r="G1370" s="99">
        <v>5</v>
      </c>
      <c r="H1370" s="99">
        <v>3.06</v>
      </c>
      <c r="I1370" s="99">
        <v>5</v>
      </c>
      <c r="J1370" s="20"/>
      <c r="K1370" s="21"/>
      <c r="L1370" s="21"/>
      <c r="M1370" s="21"/>
      <c r="N1370" s="21"/>
      <c r="O1370" s="21"/>
      <c r="R1370">
        <v>5</v>
      </c>
    </row>
    <row r="1371" spans="2:18" ht="14.15" customHeight="1" x14ac:dyDescent="0.35">
      <c r="B1371" s="100">
        <f t="shared" si="24"/>
        <v>1358</v>
      </c>
      <c r="C1371" s="101" t="s">
        <v>1351</v>
      </c>
      <c r="D1371" s="99">
        <v>9923696</v>
      </c>
      <c r="E1371" s="99"/>
      <c r="F1371" s="103">
        <v>37925</v>
      </c>
      <c r="G1371" s="99">
        <v>4</v>
      </c>
      <c r="H1371" s="99">
        <v>3.45</v>
      </c>
      <c r="I1371" s="99">
        <v>4</v>
      </c>
      <c r="J1371" s="20"/>
      <c r="K1371" s="21"/>
      <c r="L1371" s="21"/>
      <c r="M1371" s="21"/>
      <c r="N1371" s="21"/>
      <c r="O1371" s="21"/>
      <c r="R1371">
        <v>4</v>
      </c>
    </row>
    <row r="1372" spans="2:18" ht="14.15" customHeight="1" x14ac:dyDescent="0.35">
      <c r="B1372" s="100">
        <f t="shared" si="24"/>
        <v>1359</v>
      </c>
      <c r="C1372" s="101" t="s">
        <v>1352</v>
      </c>
      <c r="D1372" s="99">
        <v>9923791</v>
      </c>
      <c r="E1372" s="99"/>
      <c r="F1372" s="103">
        <v>37925</v>
      </c>
      <c r="G1372" s="99">
        <v>4</v>
      </c>
      <c r="H1372" s="99">
        <v>3.47</v>
      </c>
      <c r="I1372" s="99">
        <v>4</v>
      </c>
      <c r="J1372" s="20"/>
      <c r="K1372" s="21"/>
      <c r="L1372" s="21"/>
      <c r="M1372" s="21"/>
      <c r="N1372" s="21"/>
      <c r="O1372" s="21"/>
      <c r="R1372">
        <v>4</v>
      </c>
    </row>
    <row r="1373" spans="2:18" ht="14.15" customHeight="1" x14ac:dyDescent="0.35">
      <c r="B1373" s="100">
        <f t="shared" si="24"/>
        <v>1360</v>
      </c>
      <c r="C1373" s="101" t="s">
        <v>1353</v>
      </c>
      <c r="D1373" s="99">
        <v>9923823</v>
      </c>
      <c r="E1373" s="99"/>
      <c r="F1373" s="103">
        <v>37925</v>
      </c>
      <c r="G1373" s="99">
        <v>4</v>
      </c>
      <c r="H1373" s="99">
        <v>3.41</v>
      </c>
      <c r="I1373" s="99">
        <v>4</v>
      </c>
      <c r="J1373" s="20"/>
      <c r="K1373" s="21"/>
      <c r="L1373" s="21"/>
      <c r="M1373" s="21"/>
      <c r="N1373" s="21"/>
      <c r="O1373" s="21"/>
      <c r="R1373">
        <v>4</v>
      </c>
    </row>
    <row r="1374" spans="2:18" ht="14.15" customHeight="1" x14ac:dyDescent="0.35">
      <c r="B1374" s="100">
        <f t="shared" si="24"/>
        <v>1361</v>
      </c>
      <c r="C1374" s="101" t="s">
        <v>1354</v>
      </c>
      <c r="D1374" s="99">
        <v>9923844</v>
      </c>
      <c r="E1374" s="99"/>
      <c r="F1374" s="103">
        <v>37925</v>
      </c>
      <c r="G1374" s="99">
        <v>4</v>
      </c>
      <c r="H1374" s="99">
        <v>3.16</v>
      </c>
      <c r="I1374" s="99">
        <v>4</v>
      </c>
      <c r="J1374" s="20"/>
      <c r="K1374" s="21"/>
      <c r="L1374" s="21"/>
      <c r="M1374" s="21"/>
      <c r="N1374" s="21"/>
      <c r="O1374" s="21"/>
      <c r="R1374">
        <v>4</v>
      </c>
    </row>
    <row r="1375" spans="2:18" ht="14.15" customHeight="1" x14ac:dyDescent="0.35">
      <c r="B1375" s="100">
        <f t="shared" si="24"/>
        <v>1362</v>
      </c>
      <c r="C1375" s="101" t="s">
        <v>1355</v>
      </c>
      <c r="D1375" s="99">
        <v>9924037</v>
      </c>
      <c r="E1375" s="99"/>
      <c r="F1375" s="103">
        <v>37925</v>
      </c>
      <c r="G1375" s="99">
        <v>4</v>
      </c>
      <c r="H1375" s="99">
        <v>3.36</v>
      </c>
      <c r="I1375" s="99">
        <v>4</v>
      </c>
      <c r="J1375" s="20"/>
      <c r="K1375" s="21"/>
      <c r="L1375" s="21"/>
      <c r="M1375" s="21"/>
      <c r="N1375" s="21"/>
      <c r="O1375" s="21"/>
      <c r="R1375">
        <v>4</v>
      </c>
    </row>
    <row r="1376" spans="2:18" ht="14.15" customHeight="1" x14ac:dyDescent="0.35">
      <c r="B1376" s="100">
        <f t="shared" si="24"/>
        <v>1363</v>
      </c>
      <c r="C1376" s="101" t="s">
        <v>1356</v>
      </c>
      <c r="D1376" s="99">
        <v>9924075</v>
      </c>
      <c r="E1376" s="99"/>
      <c r="F1376" s="103">
        <v>37925</v>
      </c>
      <c r="G1376" s="99">
        <v>4</v>
      </c>
      <c r="H1376" s="99">
        <v>3.53</v>
      </c>
      <c r="I1376" s="99">
        <v>4</v>
      </c>
      <c r="J1376" s="20"/>
      <c r="K1376" s="21"/>
      <c r="L1376" s="21"/>
      <c r="M1376" s="21"/>
      <c r="N1376" s="21"/>
      <c r="O1376" s="21"/>
      <c r="R1376">
        <v>4</v>
      </c>
    </row>
    <row r="1377" spans="2:19" ht="14.15" customHeight="1" x14ac:dyDescent="0.35">
      <c r="B1377" s="100">
        <f t="shared" si="24"/>
        <v>1364</v>
      </c>
      <c r="C1377" s="101" t="s">
        <v>1357</v>
      </c>
      <c r="D1377" s="99">
        <v>9924114</v>
      </c>
      <c r="E1377" s="99"/>
      <c r="F1377" s="103">
        <v>37925</v>
      </c>
      <c r="G1377" s="99">
        <v>4</v>
      </c>
      <c r="H1377" s="99">
        <v>3.56</v>
      </c>
      <c r="I1377" s="99">
        <v>4</v>
      </c>
      <c r="J1377" s="20"/>
      <c r="K1377" s="21"/>
      <c r="L1377" s="21"/>
      <c r="M1377" s="21"/>
      <c r="N1377" s="21"/>
      <c r="O1377" s="21"/>
      <c r="R1377">
        <v>4</v>
      </c>
    </row>
    <row r="1378" spans="2:19" ht="14.15" customHeight="1" x14ac:dyDescent="0.35">
      <c r="B1378" s="100">
        <f t="shared" si="24"/>
        <v>1365</v>
      </c>
      <c r="C1378" s="101" t="s">
        <v>1358</v>
      </c>
      <c r="D1378" s="99">
        <v>9924144</v>
      </c>
      <c r="E1378" s="99"/>
      <c r="F1378" s="103">
        <v>37925</v>
      </c>
      <c r="G1378" s="99">
        <v>4</v>
      </c>
      <c r="H1378" s="99">
        <v>3.3</v>
      </c>
      <c r="I1378" s="99">
        <v>4</v>
      </c>
      <c r="J1378" s="20"/>
      <c r="K1378" s="21"/>
      <c r="L1378" s="21"/>
      <c r="M1378" s="21"/>
      <c r="N1378" s="21"/>
      <c r="O1378" s="21"/>
      <c r="R1378">
        <v>4</v>
      </c>
    </row>
    <row r="1379" spans="2:19" ht="14.15" customHeight="1" x14ac:dyDescent="0.35">
      <c r="B1379" s="100">
        <f t="shared" si="24"/>
        <v>1366</v>
      </c>
      <c r="C1379" s="101" t="s">
        <v>1359</v>
      </c>
      <c r="D1379" s="99">
        <v>9924214</v>
      </c>
      <c r="E1379" s="99"/>
      <c r="F1379" s="103">
        <v>37925</v>
      </c>
      <c r="G1379" s="99">
        <v>4</v>
      </c>
      <c r="H1379" s="99">
        <v>3.13</v>
      </c>
      <c r="I1379" s="99">
        <v>4</v>
      </c>
      <c r="J1379" s="20"/>
      <c r="K1379" s="21"/>
      <c r="L1379" s="21"/>
      <c r="M1379" s="21"/>
      <c r="N1379" s="21"/>
      <c r="O1379" s="21"/>
      <c r="R1379">
        <v>4</v>
      </c>
    </row>
    <row r="1380" spans="2:19" ht="14.15" customHeight="1" x14ac:dyDescent="0.35">
      <c r="B1380" s="100">
        <f t="shared" si="24"/>
        <v>1367</v>
      </c>
      <c r="C1380" s="101" t="s">
        <v>1360</v>
      </c>
      <c r="D1380" s="99">
        <v>9924229</v>
      </c>
      <c r="E1380" s="99"/>
      <c r="F1380" s="103">
        <v>37925</v>
      </c>
      <c r="G1380" s="99">
        <v>4</v>
      </c>
      <c r="H1380" s="99">
        <v>3</v>
      </c>
      <c r="I1380" s="99">
        <v>4</v>
      </c>
      <c r="J1380" s="20"/>
      <c r="K1380" s="21"/>
      <c r="L1380" s="21"/>
      <c r="M1380" s="21"/>
      <c r="N1380" s="21"/>
      <c r="O1380" s="21"/>
      <c r="R1380">
        <v>4</v>
      </c>
    </row>
    <row r="1381" spans="2:19" ht="14.15" customHeight="1" x14ac:dyDescent="0.35">
      <c r="B1381" s="100">
        <f t="shared" si="24"/>
        <v>1368</v>
      </c>
      <c r="C1381" s="101" t="s">
        <v>1361</v>
      </c>
      <c r="D1381" s="99">
        <v>9924249</v>
      </c>
      <c r="E1381" s="99"/>
      <c r="F1381" s="103">
        <v>37925</v>
      </c>
      <c r="G1381" s="99">
        <v>4</v>
      </c>
      <c r="H1381" s="99">
        <v>3.45</v>
      </c>
      <c r="I1381" s="99">
        <v>4</v>
      </c>
      <c r="J1381" s="20"/>
      <c r="K1381" s="21"/>
      <c r="L1381" s="21"/>
      <c r="M1381" s="21"/>
      <c r="N1381" s="21"/>
      <c r="O1381" s="21"/>
      <c r="R1381">
        <v>4</v>
      </c>
    </row>
    <row r="1382" spans="2:19" ht="14.15" customHeight="1" x14ac:dyDescent="0.35">
      <c r="B1382" s="100">
        <f t="shared" si="24"/>
        <v>1369</v>
      </c>
      <c r="C1382" s="101" t="s">
        <v>1362</v>
      </c>
      <c r="D1382" s="99">
        <v>9924430</v>
      </c>
      <c r="E1382" s="99"/>
      <c r="F1382" s="103">
        <v>37925</v>
      </c>
      <c r="G1382" s="99">
        <v>4</v>
      </c>
      <c r="H1382" s="99">
        <v>3.64</v>
      </c>
      <c r="I1382" s="99">
        <v>4</v>
      </c>
      <c r="J1382" s="20"/>
      <c r="K1382" s="21"/>
      <c r="L1382" s="21"/>
      <c r="M1382" s="21"/>
      <c r="N1382" s="21"/>
      <c r="O1382" s="21"/>
      <c r="R1382">
        <v>4</v>
      </c>
    </row>
    <row r="1383" spans="2:19" ht="14.15" customHeight="1" x14ac:dyDescent="0.35">
      <c r="B1383" s="100">
        <f t="shared" si="24"/>
        <v>1370</v>
      </c>
      <c r="C1383" s="101" t="s">
        <v>1363</v>
      </c>
      <c r="D1383" s="99">
        <v>9924460</v>
      </c>
      <c r="E1383" s="99"/>
      <c r="F1383" s="103">
        <v>37925</v>
      </c>
      <c r="G1383" s="99">
        <v>4</v>
      </c>
      <c r="H1383" s="99">
        <v>3.43</v>
      </c>
      <c r="I1383" s="99">
        <v>4</v>
      </c>
      <c r="J1383" s="20"/>
      <c r="K1383" s="21"/>
      <c r="L1383" s="21"/>
      <c r="M1383" s="21"/>
      <c r="N1383" s="21"/>
      <c r="O1383" s="21"/>
      <c r="R1383">
        <v>4</v>
      </c>
    </row>
    <row r="1384" spans="2:19" ht="14.15" customHeight="1" x14ac:dyDescent="0.35">
      <c r="B1384" s="100">
        <f t="shared" si="24"/>
        <v>1371</v>
      </c>
      <c r="C1384" s="101" t="s">
        <v>1364</v>
      </c>
      <c r="D1384" s="99">
        <v>9620724</v>
      </c>
      <c r="E1384" s="99"/>
      <c r="F1384" s="103">
        <v>38017</v>
      </c>
      <c r="G1384" s="99" t="s">
        <v>1365</v>
      </c>
      <c r="H1384" s="109">
        <v>2.7</v>
      </c>
      <c r="I1384" s="99" t="s">
        <v>1365</v>
      </c>
      <c r="J1384" s="20"/>
      <c r="K1384" s="21"/>
      <c r="L1384" s="21"/>
      <c r="M1384" s="21"/>
      <c r="N1384" s="21"/>
      <c r="O1384" s="21"/>
      <c r="R1384" t="s">
        <v>5034</v>
      </c>
      <c r="S1384" t="s">
        <v>5035</v>
      </c>
    </row>
    <row r="1385" spans="2:19" ht="14.15" customHeight="1" x14ac:dyDescent="0.35">
      <c r="B1385" s="100">
        <f t="shared" si="24"/>
        <v>1372</v>
      </c>
      <c r="C1385" s="101" t="s">
        <v>1366</v>
      </c>
      <c r="D1385" s="99">
        <v>9721542</v>
      </c>
      <c r="E1385" s="99"/>
      <c r="F1385" s="103">
        <v>38017</v>
      </c>
      <c r="G1385" s="99" t="s">
        <v>1367</v>
      </c>
      <c r="H1385" s="109">
        <v>2.17</v>
      </c>
      <c r="I1385" s="99" t="s">
        <v>1367</v>
      </c>
      <c r="J1385" s="20"/>
      <c r="K1385" s="21"/>
      <c r="L1385" s="21"/>
      <c r="M1385" s="21"/>
      <c r="N1385" s="21"/>
      <c r="O1385" s="21"/>
      <c r="R1385" t="s">
        <v>5036</v>
      </c>
      <c r="S1385" t="s">
        <v>5035</v>
      </c>
    </row>
    <row r="1386" spans="2:19" ht="14.15" customHeight="1" x14ac:dyDescent="0.35">
      <c r="B1386" s="100">
        <f t="shared" si="24"/>
        <v>1373</v>
      </c>
      <c r="C1386" s="101" t="s">
        <v>1368</v>
      </c>
      <c r="D1386" s="99">
        <v>9722242</v>
      </c>
      <c r="E1386" s="99"/>
      <c r="F1386" s="103">
        <v>38017</v>
      </c>
      <c r="G1386" s="99" t="s">
        <v>1367</v>
      </c>
      <c r="H1386" s="109">
        <v>2.39</v>
      </c>
      <c r="I1386" s="99" t="s">
        <v>1367</v>
      </c>
      <c r="J1386" s="20"/>
      <c r="K1386" s="21"/>
      <c r="L1386" s="21"/>
      <c r="M1386" s="21"/>
      <c r="N1386" s="21"/>
      <c r="O1386" s="21"/>
      <c r="R1386" t="s">
        <v>5036</v>
      </c>
      <c r="S1386" t="s">
        <v>5035</v>
      </c>
    </row>
    <row r="1387" spans="2:19" ht="14.15" customHeight="1" x14ac:dyDescent="0.35">
      <c r="B1387" s="100">
        <f t="shared" si="24"/>
        <v>1374</v>
      </c>
      <c r="C1387" s="101" t="s">
        <v>1369</v>
      </c>
      <c r="D1387" s="99">
        <v>9822376</v>
      </c>
      <c r="E1387" s="99"/>
      <c r="F1387" s="103">
        <v>38017</v>
      </c>
      <c r="G1387" s="99" t="s">
        <v>1370</v>
      </c>
      <c r="H1387" s="109">
        <v>2.2200000000000002</v>
      </c>
      <c r="I1387" s="99" t="s">
        <v>1370</v>
      </c>
      <c r="J1387" s="20"/>
      <c r="K1387" s="21"/>
      <c r="L1387" s="21"/>
      <c r="M1387" s="21"/>
      <c r="N1387" s="21"/>
      <c r="O1387" s="21"/>
      <c r="R1387" t="s">
        <v>5037</v>
      </c>
      <c r="S1387" t="s">
        <v>5035</v>
      </c>
    </row>
    <row r="1388" spans="2:19" ht="14.15" customHeight="1" x14ac:dyDescent="0.35">
      <c r="B1388" s="100">
        <f t="shared" si="24"/>
        <v>1375</v>
      </c>
      <c r="C1388" s="101" t="s">
        <v>1371</v>
      </c>
      <c r="D1388" s="99">
        <v>9822846</v>
      </c>
      <c r="E1388" s="99"/>
      <c r="F1388" s="103">
        <v>38017</v>
      </c>
      <c r="G1388" s="99" t="s">
        <v>1370</v>
      </c>
      <c r="H1388" s="109">
        <v>2.6</v>
      </c>
      <c r="I1388" s="99" t="s">
        <v>1370</v>
      </c>
      <c r="J1388" s="20"/>
      <c r="K1388" s="21"/>
      <c r="L1388" s="21"/>
      <c r="M1388" s="21"/>
      <c r="N1388" s="21"/>
      <c r="O1388" s="21"/>
      <c r="R1388" t="s">
        <v>5037</v>
      </c>
      <c r="S1388" t="s">
        <v>5035</v>
      </c>
    </row>
    <row r="1389" spans="2:19" ht="14.15" customHeight="1" x14ac:dyDescent="0.35">
      <c r="B1389" s="100">
        <f t="shared" si="24"/>
        <v>1376</v>
      </c>
      <c r="C1389" s="101" t="s">
        <v>1372</v>
      </c>
      <c r="D1389" s="99">
        <v>9822926</v>
      </c>
      <c r="E1389" s="99"/>
      <c r="F1389" s="103">
        <v>38017</v>
      </c>
      <c r="G1389" s="99" t="s">
        <v>1370</v>
      </c>
      <c r="H1389" s="109">
        <v>2.5499999999999998</v>
      </c>
      <c r="I1389" s="99" t="s">
        <v>1370</v>
      </c>
      <c r="J1389" s="20"/>
      <c r="K1389" s="21"/>
      <c r="L1389" s="21"/>
      <c r="M1389" s="21"/>
      <c r="N1389" s="21"/>
      <c r="O1389" s="21"/>
      <c r="R1389" t="s">
        <v>5037</v>
      </c>
      <c r="S1389" t="s">
        <v>5035</v>
      </c>
    </row>
    <row r="1390" spans="2:19" ht="14.15" customHeight="1" x14ac:dyDescent="0.35">
      <c r="B1390" s="100">
        <f t="shared" si="24"/>
        <v>1377</v>
      </c>
      <c r="C1390" s="101" t="s">
        <v>1373</v>
      </c>
      <c r="D1390" s="99">
        <v>9823109</v>
      </c>
      <c r="E1390" s="99"/>
      <c r="F1390" s="103">
        <v>38017</v>
      </c>
      <c r="G1390" s="99" t="s">
        <v>1370</v>
      </c>
      <c r="H1390" s="109">
        <v>2.99</v>
      </c>
      <c r="I1390" s="99" t="s">
        <v>1370</v>
      </c>
      <c r="J1390" s="20"/>
      <c r="K1390" s="21"/>
      <c r="L1390" s="21"/>
      <c r="M1390" s="21"/>
      <c r="N1390" s="21"/>
      <c r="O1390" s="21"/>
      <c r="R1390" t="s">
        <v>5037</v>
      </c>
      <c r="S1390" t="s">
        <v>5035</v>
      </c>
    </row>
    <row r="1391" spans="2:19" ht="14.15" customHeight="1" x14ac:dyDescent="0.35">
      <c r="B1391" s="100">
        <f t="shared" si="24"/>
        <v>1378</v>
      </c>
      <c r="C1391" s="101" t="s">
        <v>1374</v>
      </c>
      <c r="D1391" s="99">
        <v>9823126</v>
      </c>
      <c r="E1391" s="99"/>
      <c r="F1391" s="103">
        <v>38017</v>
      </c>
      <c r="G1391" s="99" t="s">
        <v>1370</v>
      </c>
      <c r="H1391" s="109">
        <v>2.5099999999999998</v>
      </c>
      <c r="I1391" s="99" t="s">
        <v>1370</v>
      </c>
      <c r="J1391" s="20"/>
      <c r="K1391" s="21"/>
      <c r="L1391" s="21"/>
      <c r="M1391" s="21"/>
      <c r="N1391" s="21"/>
      <c r="O1391" s="21"/>
      <c r="R1391" t="s">
        <v>5037</v>
      </c>
      <c r="S1391" t="s">
        <v>5035</v>
      </c>
    </row>
    <row r="1392" spans="2:19" ht="14.15" customHeight="1" x14ac:dyDescent="0.35">
      <c r="B1392" s="100">
        <f t="shared" si="24"/>
        <v>1379</v>
      </c>
      <c r="C1392" s="101" t="s">
        <v>1375</v>
      </c>
      <c r="D1392" s="99">
        <v>9823162</v>
      </c>
      <c r="E1392" s="99"/>
      <c r="F1392" s="103">
        <v>38017</v>
      </c>
      <c r="G1392" s="99" t="s">
        <v>1370</v>
      </c>
      <c r="H1392" s="109">
        <v>2.91</v>
      </c>
      <c r="I1392" s="99" t="s">
        <v>1370</v>
      </c>
      <c r="J1392" s="20"/>
      <c r="K1392" s="21"/>
      <c r="L1392" s="21"/>
      <c r="M1392" s="21"/>
      <c r="N1392" s="21"/>
      <c r="O1392" s="21"/>
      <c r="R1392" t="s">
        <v>5037</v>
      </c>
      <c r="S1392" t="s">
        <v>5035</v>
      </c>
    </row>
    <row r="1393" spans="2:19" ht="14.15" customHeight="1" x14ac:dyDescent="0.35">
      <c r="B1393" s="100">
        <f t="shared" si="24"/>
        <v>1380</v>
      </c>
      <c r="C1393" s="101" t="s">
        <v>1376</v>
      </c>
      <c r="D1393" s="99">
        <v>9823201</v>
      </c>
      <c r="E1393" s="99"/>
      <c r="F1393" s="103">
        <v>38017</v>
      </c>
      <c r="G1393" s="99" t="s">
        <v>1370</v>
      </c>
      <c r="H1393" s="109">
        <v>2.97</v>
      </c>
      <c r="I1393" s="99" t="s">
        <v>1370</v>
      </c>
      <c r="J1393" s="20"/>
      <c r="K1393" s="21"/>
      <c r="L1393" s="21"/>
      <c r="M1393" s="21"/>
      <c r="N1393" s="21"/>
      <c r="O1393" s="21"/>
      <c r="R1393" t="s">
        <v>5037</v>
      </c>
      <c r="S1393" t="s">
        <v>5035</v>
      </c>
    </row>
    <row r="1394" spans="2:19" ht="14.15" customHeight="1" x14ac:dyDescent="0.35">
      <c r="B1394" s="100">
        <f t="shared" si="24"/>
        <v>1381</v>
      </c>
      <c r="C1394" s="101" t="s">
        <v>1377</v>
      </c>
      <c r="D1394" s="99">
        <v>9823240</v>
      </c>
      <c r="E1394" s="99"/>
      <c r="F1394" s="103">
        <v>38017</v>
      </c>
      <c r="G1394" s="99" t="s">
        <v>1370</v>
      </c>
      <c r="H1394" s="109">
        <v>3.14</v>
      </c>
      <c r="I1394" s="99" t="s">
        <v>1370</v>
      </c>
      <c r="J1394" s="20"/>
      <c r="K1394" s="21"/>
      <c r="L1394" s="21"/>
      <c r="M1394" s="21"/>
      <c r="N1394" s="21"/>
      <c r="O1394" s="21"/>
      <c r="R1394" t="s">
        <v>5037</v>
      </c>
      <c r="S1394" t="s">
        <v>5035</v>
      </c>
    </row>
    <row r="1395" spans="2:19" ht="14.15" customHeight="1" x14ac:dyDescent="0.35">
      <c r="B1395" s="100">
        <f t="shared" si="24"/>
        <v>1382</v>
      </c>
      <c r="C1395" s="101" t="s">
        <v>1378</v>
      </c>
      <c r="D1395" s="99">
        <v>9823388</v>
      </c>
      <c r="E1395" s="99"/>
      <c r="F1395" s="103">
        <v>38017</v>
      </c>
      <c r="G1395" s="99" t="s">
        <v>1370</v>
      </c>
      <c r="H1395" s="109">
        <v>2.64</v>
      </c>
      <c r="I1395" s="99" t="s">
        <v>1370</v>
      </c>
      <c r="J1395" s="20"/>
      <c r="K1395" s="21"/>
      <c r="L1395" s="21"/>
      <c r="M1395" s="21"/>
      <c r="N1395" s="21"/>
      <c r="O1395" s="21"/>
      <c r="R1395" t="s">
        <v>5037</v>
      </c>
      <c r="S1395" t="s">
        <v>5035</v>
      </c>
    </row>
    <row r="1396" spans="2:19" ht="14.15" customHeight="1" x14ac:dyDescent="0.35">
      <c r="B1396" s="100">
        <f t="shared" si="24"/>
        <v>1383</v>
      </c>
      <c r="C1396" s="101" t="s">
        <v>1379</v>
      </c>
      <c r="D1396" s="99">
        <v>9823471</v>
      </c>
      <c r="E1396" s="99"/>
      <c r="F1396" s="103">
        <v>38017</v>
      </c>
      <c r="G1396" s="99" t="s">
        <v>1370</v>
      </c>
      <c r="H1396" s="109">
        <v>2.87</v>
      </c>
      <c r="I1396" s="99" t="s">
        <v>1370</v>
      </c>
      <c r="J1396" s="20"/>
      <c r="K1396" s="21"/>
      <c r="L1396" s="21"/>
      <c r="M1396" s="21"/>
      <c r="N1396" s="21"/>
      <c r="O1396" s="21"/>
      <c r="R1396" t="s">
        <v>5037</v>
      </c>
      <c r="S1396" t="s">
        <v>5035</v>
      </c>
    </row>
    <row r="1397" spans="2:19" ht="14.15" customHeight="1" x14ac:dyDescent="0.35">
      <c r="B1397" s="100">
        <f t="shared" si="24"/>
        <v>1384</v>
      </c>
      <c r="C1397" s="101" t="s">
        <v>1380</v>
      </c>
      <c r="D1397" s="99">
        <v>9923651</v>
      </c>
      <c r="E1397" s="99"/>
      <c r="F1397" s="103">
        <v>38017</v>
      </c>
      <c r="G1397" s="99" t="s">
        <v>1381</v>
      </c>
      <c r="H1397" s="109">
        <v>3.41</v>
      </c>
      <c r="I1397" s="99" t="s">
        <v>1381</v>
      </c>
      <c r="J1397" s="20"/>
      <c r="K1397" s="21"/>
      <c r="L1397" s="21"/>
      <c r="M1397" s="21"/>
      <c r="N1397" s="21"/>
      <c r="O1397" s="21"/>
      <c r="R1397" t="s">
        <v>5038</v>
      </c>
      <c r="S1397" t="s">
        <v>5035</v>
      </c>
    </row>
    <row r="1398" spans="2:19" ht="14.15" customHeight="1" x14ac:dyDescent="0.35">
      <c r="B1398" s="100">
        <f t="shared" si="24"/>
        <v>1385</v>
      </c>
      <c r="C1398" s="101" t="s">
        <v>1382</v>
      </c>
      <c r="D1398" s="99">
        <v>9923667</v>
      </c>
      <c r="E1398" s="99"/>
      <c r="F1398" s="103">
        <v>38017</v>
      </c>
      <c r="G1398" s="99" t="s">
        <v>1381</v>
      </c>
      <c r="H1398" s="109">
        <v>3.01</v>
      </c>
      <c r="I1398" s="99" t="s">
        <v>1381</v>
      </c>
      <c r="J1398" s="20"/>
      <c r="K1398" s="21"/>
      <c r="L1398" s="21"/>
      <c r="M1398" s="21"/>
      <c r="N1398" s="21"/>
      <c r="O1398" s="21"/>
      <c r="R1398" t="s">
        <v>5038</v>
      </c>
      <c r="S1398" t="s">
        <v>5035</v>
      </c>
    </row>
    <row r="1399" spans="2:19" ht="14.15" customHeight="1" x14ac:dyDescent="0.35">
      <c r="B1399" s="100">
        <f t="shared" si="24"/>
        <v>1386</v>
      </c>
      <c r="C1399" s="101" t="s">
        <v>1383</v>
      </c>
      <c r="D1399" s="99">
        <v>9923679</v>
      </c>
      <c r="E1399" s="99"/>
      <c r="F1399" s="103">
        <v>38017</v>
      </c>
      <c r="G1399" s="99" t="s">
        <v>1381</v>
      </c>
      <c r="H1399" s="109">
        <v>3.52</v>
      </c>
      <c r="I1399" s="99" t="s">
        <v>1381</v>
      </c>
      <c r="J1399" s="20"/>
      <c r="K1399" s="21"/>
      <c r="L1399" s="21"/>
      <c r="M1399" s="21"/>
      <c r="N1399" s="21"/>
      <c r="O1399" s="21"/>
      <c r="R1399" t="s">
        <v>5038</v>
      </c>
      <c r="S1399" t="s">
        <v>5035</v>
      </c>
    </row>
    <row r="1400" spans="2:19" ht="14.15" customHeight="1" x14ac:dyDescent="0.35">
      <c r="B1400" s="100">
        <f t="shared" si="24"/>
        <v>1387</v>
      </c>
      <c r="C1400" s="101" t="s">
        <v>1384</v>
      </c>
      <c r="D1400" s="99">
        <v>9923829</v>
      </c>
      <c r="E1400" s="99"/>
      <c r="F1400" s="103">
        <v>38017</v>
      </c>
      <c r="G1400" s="99" t="s">
        <v>1381</v>
      </c>
      <c r="H1400" s="109">
        <v>3.29</v>
      </c>
      <c r="I1400" s="99" t="s">
        <v>1381</v>
      </c>
      <c r="J1400" s="20"/>
      <c r="K1400" s="21"/>
      <c r="L1400" s="21"/>
      <c r="M1400" s="21"/>
      <c r="N1400" s="21"/>
      <c r="O1400" s="21"/>
      <c r="R1400" t="s">
        <v>5038</v>
      </c>
      <c r="S1400" t="s">
        <v>5035</v>
      </c>
    </row>
    <row r="1401" spans="2:19" ht="14.15" customHeight="1" x14ac:dyDescent="0.35">
      <c r="B1401" s="100">
        <f t="shared" si="24"/>
        <v>1388</v>
      </c>
      <c r="C1401" s="101" t="s">
        <v>1385</v>
      </c>
      <c r="D1401" s="99">
        <v>9923871</v>
      </c>
      <c r="E1401" s="99"/>
      <c r="F1401" s="103">
        <v>38017</v>
      </c>
      <c r="G1401" s="99" t="s">
        <v>1381</v>
      </c>
      <c r="H1401" s="109">
        <v>3.6</v>
      </c>
      <c r="I1401" s="99" t="s">
        <v>1381</v>
      </c>
      <c r="J1401" s="20"/>
      <c r="K1401" s="21"/>
      <c r="L1401" s="21"/>
      <c r="M1401" s="21"/>
      <c r="N1401" s="21"/>
      <c r="O1401" s="21"/>
      <c r="R1401" t="s">
        <v>5038</v>
      </c>
      <c r="S1401" t="s">
        <v>5035</v>
      </c>
    </row>
    <row r="1402" spans="2:19" ht="14.15" customHeight="1" x14ac:dyDescent="0.35">
      <c r="B1402" s="100">
        <f t="shared" si="24"/>
        <v>1389</v>
      </c>
      <c r="C1402" s="101" t="s">
        <v>1386</v>
      </c>
      <c r="D1402" s="99">
        <v>9923881</v>
      </c>
      <c r="E1402" s="99"/>
      <c r="F1402" s="103">
        <v>38017</v>
      </c>
      <c r="G1402" s="99" t="s">
        <v>1381</v>
      </c>
      <c r="H1402" s="109">
        <v>3.73</v>
      </c>
      <c r="I1402" s="99" t="s">
        <v>1381</v>
      </c>
      <c r="J1402" s="20"/>
      <c r="K1402" s="21"/>
      <c r="L1402" s="21"/>
      <c r="M1402" s="21"/>
      <c r="N1402" s="21"/>
      <c r="O1402" s="21"/>
      <c r="R1402" t="s">
        <v>5038</v>
      </c>
      <c r="S1402" t="s">
        <v>5035</v>
      </c>
    </row>
    <row r="1403" spans="2:19" ht="14.15" customHeight="1" x14ac:dyDescent="0.35">
      <c r="B1403" s="100">
        <f t="shared" si="24"/>
        <v>1390</v>
      </c>
      <c r="C1403" s="101" t="s">
        <v>1387</v>
      </c>
      <c r="D1403" s="99">
        <v>9923997</v>
      </c>
      <c r="E1403" s="99"/>
      <c r="F1403" s="103">
        <v>38017</v>
      </c>
      <c r="G1403" s="99" t="s">
        <v>1381</v>
      </c>
      <c r="H1403" s="109">
        <v>3.28</v>
      </c>
      <c r="I1403" s="99" t="s">
        <v>1381</v>
      </c>
      <c r="J1403" s="20"/>
      <c r="K1403" s="21"/>
      <c r="L1403" s="21"/>
      <c r="M1403" s="21"/>
      <c r="N1403" s="21"/>
      <c r="O1403" s="21"/>
      <c r="R1403" t="s">
        <v>5038</v>
      </c>
      <c r="S1403" t="s">
        <v>5035</v>
      </c>
    </row>
    <row r="1404" spans="2:19" ht="14.15" customHeight="1" x14ac:dyDescent="0.35">
      <c r="B1404" s="100">
        <f t="shared" si="24"/>
        <v>1391</v>
      </c>
      <c r="C1404" s="101" t="s">
        <v>1388</v>
      </c>
      <c r="D1404" s="99">
        <v>9924006</v>
      </c>
      <c r="E1404" s="99"/>
      <c r="F1404" s="103">
        <v>38017</v>
      </c>
      <c r="G1404" s="99" t="s">
        <v>1381</v>
      </c>
      <c r="H1404" s="109">
        <v>3.45</v>
      </c>
      <c r="I1404" s="99" t="s">
        <v>1381</v>
      </c>
      <c r="J1404" s="20"/>
      <c r="K1404" s="21"/>
      <c r="L1404" s="21"/>
      <c r="M1404" s="21"/>
      <c r="N1404" s="21"/>
      <c r="O1404" s="21"/>
      <c r="R1404" t="s">
        <v>5038</v>
      </c>
      <c r="S1404" t="s">
        <v>5035</v>
      </c>
    </row>
    <row r="1405" spans="2:19" ht="14.15" customHeight="1" x14ac:dyDescent="0.35">
      <c r="B1405" s="100">
        <f t="shared" si="24"/>
        <v>1392</v>
      </c>
      <c r="C1405" s="101" t="s">
        <v>1389</v>
      </c>
      <c r="D1405" s="99">
        <v>9924212</v>
      </c>
      <c r="E1405" s="99"/>
      <c r="F1405" s="103">
        <v>38017</v>
      </c>
      <c r="G1405" s="99" t="s">
        <v>1381</v>
      </c>
      <c r="H1405" s="109">
        <v>3.26</v>
      </c>
      <c r="I1405" s="99" t="s">
        <v>1381</v>
      </c>
      <c r="J1405" s="20"/>
      <c r="K1405" s="21"/>
      <c r="L1405" s="21"/>
      <c r="M1405" s="21"/>
      <c r="N1405" s="21"/>
      <c r="O1405" s="21"/>
      <c r="R1405" t="s">
        <v>5038</v>
      </c>
      <c r="S1405" t="s">
        <v>5035</v>
      </c>
    </row>
    <row r="1406" spans="2:19" ht="14.15" customHeight="1" x14ac:dyDescent="0.35">
      <c r="B1406" s="100">
        <f t="shared" si="24"/>
        <v>1393</v>
      </c>
      <c r="C1406" s="101" t="s">
        <v>1390</v>
      </c>
      <c r="D1406" s="99">
        <v>9924236</v>
      </c>
      <c r="E1406" s="99"/>
      <c r="F1406" s="103">
        <v>38017</v>
      </c>
      <c r="G1406" s="99" t="s">
        <v>1381</v>
      </c>
      <c r="H1406" s="109">
        <v>2.99</v>
      </c>
      <c r="I1406" s="99" t="s">
        <v>1381</v>
      </c>
      <c r="J1406" s="20"/>
      <c r="K1406" s="21"/>
      <c r="L1406" s="21"/>
      <c r="M1406" s="21"/>
      <c r="N1406" s="21"/>
      <c r="O1406" s="21"/>
      <c r="R1406" t="s">
        <v>5038</v>
      </c>
      <c r="S1406" t="s">
        <v>5035</v>
      </c>
    </row>
    <row r="1407" spans="2:19" ht="14.15" customHeight="1" x14ac:dyDescent="0.35">
      <c r="B1407" s="100">
        <f t="shared" si="24"/>
        <v>1394</v>
      </c>
      <c r="C1407" s="101" t="s">
        <v>1391</v>
      </c>
      <c r="D1407" s="99">
        <v>9924404</v>
      </c>
      <c r="E1407" s="99"/>
      <c r="F1407" s="103">
        <v>38017</v>
      </c>
      <c r="G1407" s="99" t="s">
        <v>1381</v>
      </c>
      <c r="H1407" s="109">
        <v>3.36</v>
      </c>
      <c r="I1407" s="99" t="s">
        <v>1381</v>
      </c>
      <c r="J1407" s="20"/>
      <c r="K1407" s="21"/>
      <c r="L1407" s="21"/>
      <c r="M1407" s="21"/>
      <c r="N1407" s="21"/>
      <c r="O1407" s="21"/>
      <c r="R1407" t="s">
        <v>5038</v>
      </c>
      <c r="S1407" t="s">
        <v>5035</v>
      </c>
    </row>
    <row r="1408" spans="2:19" ht="14.15" customHeight="1" x14ac:dyDescent="0.35">
      <c r="B1408" s="100">
        <f t="shared" si="24"/>
        <v>1395</v>
      </c>
      <c r="C1408" s="101" t="s">
        <v>1392</v>
      </c>
      <c r="D1408" s="99">
        <v>9924406</v>
      </c>
      <c r="E1408" s="99"/>
      <c r="F1408" s="103">
        <v>38017</v>
      </c>
      <c r="G1408" s="99" t="s">
        <v>1381</v>
      </c>
      <c r="H1408" s="109">
        <v>2.84</v>
      </c>
      <c r="I1408" s="99" t="s">
        <v>1381</v>
      </c>
      <c r="J1408" s="20"/>
      <c r="K1408" s="21"/>
      <c r="L1408" s="21"/>
      <c r="M1408" s="21"/>
      <c r="N1408" s="21"/>
      <c r="O1408" s="21"/>
      <c r="R1408" t="s">
        <v>5038</v>
      </c>
      <c r="S1408" t="s">
        <v>5035</v>
      </c>
    </row>
    <row r="1409" spans="2:19" ht="14.15" customHeight="1" x14ac:dyDescent="0.35">
      <c r="B1409" s="100">
        <f t="shared" si="24"/>
        <v>1396</v>
      </c>
      <c r="C1409" s="101" t="s">
        <v>1393</v>
      </c>
      <c r="D1409" s="99">
        <v>9520059</v>
      </c>
      <c r="E1409" s="99"/>
      <c r="F1409" s="103">
        <v>38107</v>
      </c>
      <c r="G1409" s="99" t="s">
        <v>1394</v>
      </c>
      <c r="H1409" s="109">
        <v>2.88</v>
      </c>
      <c r="I1409" s="99" t="s">
        <v>1394</v>
      </c>
      <c r="J1409" s="20"/>
      <c r="K1409" s="21"/>
      <c r="L1409" s="21"/>
      <c r="M1409" s="21"/>
      <c r="N1409" s="21"/>
      <c r="O1409" s="21"/>
      <c r="R1409" t="s">
        <v>5039</v>
      </c>
      <c r="S1409" t="s">
        <v>5035</v>
      </c>
    </row>
    <row r="1410" spans="2:19" ht="14.15" customHeight="1" x14ac:dyDescent="0.35">
      <c r="B1410" s="100">
        <f t="shared" si="24"/>
        <v>1397</v>
      </c>
      <c r="C1410" s="101" t="s">
        <v>1395</v>
      </c>
      <c r="D1410" s="99">
        <v>9520171</v>
      </c>
      <c r="E1410" s="99"/>
      <c r="F1410" s="103">
        <v>38107</v>
      </c>
      <c r="G1410" s="99" t="s">
        <v>1396</v>
      </c>
      <c r="H1410" s="109">
        <v>2.37</v>
      </c>
      <c r="I1410" s="99" t="s">
        <v>1396</v>
      </c>
      <c r="J1410" s="20"/>
      <c r="K1410" s="21"/>
      <c r="L1410" s="21"/>
      <c r="M1410" s="21"/>
      <c r="N1410" s="21"/>
      <c r="O1410" s="21"/>
      <c r="R1410" t="s">
        <v>5040</v>
      </c>
      <c r="S1410" t="s">
        <v>5035</v>
      </c>
    </row>
    <row r="1411" spans="2:19" ht="14.15" customHeight="1" x14ac:dyDescent="0.35">
      <c r="B1411" s="100">
        <f t="shared" si="24"/>
        <v>1398</v>
      </c>
      <c r="C1411" s="101" t="s">
        <v>1397</v>
      </c>
      <c r="D1411" s="99">
        <v>9520176</v>
      </c>
      <c r="E1411" s="99"/>
      <c r="F1411" s="103">
        <v>38107</v>
      </c>
      <c r="G1411" s="99" t="s">
        <v>1396</v>
      </c>
      <c r="H1411" s="109">
        <v>2.5</v>
      </c>
      <c r="I1411" s="99" t="s">
        <v>1396</v>
      </c>
      <c r="J1411" s="20"/>
      <c r="K1411" s="21"/>
      <c r="L1411" s="21"/>
      <c r="M1411" s="21"/>
      <c r="N1411" s="21"/>
      <c r="O1411" s="21"/>
      <c r="R1411" t="s">
        <v>5040</v>
      </c>
      <c r="S1411" t="s">
        <v>5035</v>
      </c>
    </row>
    <row r="1412" spans="2:19" ht="14.15" customHeight="1" x14ac:dyDescent="0.35">
      <c r="B1412" s="100">
        <f t="shared" si="24"/>
        <v>1399</v>
      </c>
      <c r="C1412" s="101" t="s">
        <v>1398</v>
      </c>
      <c r="D1412" s="99">
        <v>9822919</v>
      </c>
      <c r="E1412" s="99"/>
      <c r="F1412" s="103">
        <v>38107</v>
      </c>
      <c r="G1412" s="99" t="s">
        <v>1399</v>
      </c>
      <c r="H1412" s="109">
        <v>2.9</v>
      </c>
      <c r="I1412" s="99" t="s">
        <v>1399</v>
      </c>
      <c r="J1412" s="20"/>
      <c r="K1412" s="21"/>
      <c r="L1412" s="21"/>
      <c r="M1412" s="21"/>
      <c r="N1412" s="21"/>
      <c r="O1412" s="21"/>
      <c r="R1412" t="s">
        <v>5041</v>
      </c>
      <c r="S1412" t="s">
        <v>5035</v>
      </c>
    </row>
    <row r="1413" spans="2:19" ht="14.15" customHeight="1" x14ac:dyDescent="0.35">
      <c r="B1413" s="100">
        <f t="shared" si="24"/>
        <v>1400</v>
      </c>
      <c r="C1413" s="101" t="s">
        <v>1400</v>
      </c>
      <c r="D1413" s="99">
        <v>9823118</v>
      </c>
      <c r="E1413" s="99"/>
      <c r="F1413" s="103">
        <v>38107</v>
      </c>
      <c r="G1413" s="99" t="s">
        <v>1399</v>
      </c>
      <c r="H1413" s="109">
        <v>2.99</v>
      </c>
      <c r="I1413" s="99" t="s">
        <v>1399</v>
      </c>
      <c r="J1413" s="20"/>
      <c r="K1413" s="21"/>
      <c r="L1413" s="21"/>
      <c r="M1413" s="21"/>
      <c r="N1413" s="21"/>
      <c r="O1413" s="21"/>
      <c r="R1413" t="s">
        <v>5041</v>
      </c>
      <c r="S1413" t="s">
        <v>5035</v>
      </c>
    </row>
    <row r="1414" spans="2:19" ht="14.15" customHeight="1" x14ac:dyDescent="0.35">
      <c r="B1414" s="100">
        <f t="shared" si="24"/>
        <v>1401</v>
      </c>
      <c r="C1414" s="101" t="s">
        <v>1401</v>
      </c>
      <c r="D1414" s="99">
        <v>9823122</v>
      </c>
      <c r="E1414" s="99"/>
      <c r="F1414" s="103">
        <v>38107</v>
      </c>
      <c r="G1414" s="99" t="s">
        <v>1399</v>
      </c>
      <c r="H1414" s="109">
        <v>2.95</v>
      </c>
      <c r="I1414" s="99" t="s">
        <v>1399</v>
      </c>
      <c r="J1414" s="20"/>
      <c r="K1414" s="21"/>
      <c r="L1414" s="21"/>
      <c r="M1414" s="21"/>
      <c r="N1414" s="21"/>
      <c r="O1414" s="21"/>
      <c r="R1414" t="s">
        <v>5041</v>
      </c>
      <c r="S1414" t="s">
        <v>5035</v>
      </c>
    </row>
    <row r="1415" spans="2:19" ht="14.15" customHeight="1" x14ac:dyDescent="0.35">
      <c r="B1415" s="100">
        <f t="shared" si="24"/>
        <v>1402</v>
      </c>
      <c r="C1415" s="101" t="s">
        <v>1142</v>
      </c>
      <c r="D1415" s="99">
        <v>9823197</v>
      </c>
      <c r="E1415" s="99"/>
      <c r="F1415" s="103">
        <v>38107</v>
      </c>
      <c r="G1415" s="99" t="s">
        <v>1399</v>
      </c>
      <c r="H1415" s="109">
        <v>3.22</v>
      </c>
      <c r="I1415" s="99" t="s">
        <v>1399</v>
      </c>
      <c r="J1415" s="20"/>
      <c r="K1415" s="21"/>
      <c r="L1415" s="21"/>
      <c r="M1415" s="21"/>
      <c r="N1415" s="21"/>
      <c r="O1415" s="21"/>
      <c r="R1415" t="s">
        <v>5041</v>
      </c>
      <c r="S1415" t="s">
        <v>5035</v>
      </c>
    </row>
    <row r="1416" spans="2:19" ht="14.15" customHeight="1" x14ac:dyDescent="0.35">
      <c r="B1416" s="100">
        <f t="shared" si="24"/>
        <v>1403</v>
      </c>
      <c r="C1416" s="101" t="s">
        <v>1402</v>
      </c>
      <c r="D1416" s="99">
        <v>9823312</v>
      </c>
      <c r="E1416" s="99"/>
      <c r="F1416" s="103">
        <v>38107</v>
      </c>
      <c r="G1416" s="99" t="s">
        <v>1399</v>
      </c>
      <c r="H1416" s="109">
        <v>3.31</v>
      </c>
      <c r="I1416" s="99" t="s">
        <v>1399</v>
      </c>
      <c r="J1416" s="20"/>
      <c r="K1416" s="21"/>
      <c r="L1416" s="21"/>
      <c r="M1416" s="21"/>
      <c r="N1416" s="21"/>
      <c r="O1416" s="21"/>
      <c r="R1416" t="s">
        <v>5041</v>
      </c>
      <c r="S1416" t="s">
        <v>5035</v>
      </c>
    </row>
    <row r="1417" spans="2:19" ht="14.15" customHeight="1" x14ac:dyDescent="0.35">
      <c r="B1417" s="100">
        <f t="shared" si="24"/>
        <v>1404</v>
      </c>
      <c r="C1417" s="101" t="s">
        <v>1403</v>
      </c>
      <c r="D1417" s="99">
        <v>9923639</v>
      </c>
      <c r="E1417" s="99"/>
      <c r="F1417" s="103">
        <v>38107</v>
      </c>
      <c r="G1417" s="99" t="s">
        <v>1404</v>
      </c>
      <c r="H1417" s="109">
        <v>3.76</v>
      </c>
      <c r="I1417" s="99" t="s">
        <v>1404</v>
      </c>
      <c r="J1417" s="20"/>
      <c r="K1417" s="21"/>
      <c r="L1417" s="21"/>
      <c r="M1417" s="21"/>
      <c r="N1417" s="21"/>
      <c r="O1417" s="21"/>
      <c r="R1417" t="s">
        <v>5042</v>
      </c>
      <c r="S1417" t="s">
        <v>5035</v>
      </c>
    </row>
    <row r="1418" spans="2:19" ht="14.15" customHeight="1" x14ac:dyDescent="0.35">
      <c r="B1418" s="100">
        <f t="shared" si="24"/>
        <v>1405</v>
      </c>
      <c r="C1418" s="101" t="s">
        <v>1405</v>
      </c>
      <c r="D1418" s="99">
        <v>9923755</v>
      </c>
      <c r="E1418" s="99"/>
      <c r="F1418" s="103">
        <v>38107</v>
      </c>
      <c r="G1418" s="99" t="s">
        <v>1404</v>
      </c>
      <c r="H1418" s="109">
        <v>3.14</v>
      </c>
      <c r="I1418" s="99" t="s">
        <v>1404</v>
      </c>
      <c r="J1418" s="20"/>
      <c r="K1418" s="21"/>
      <c r="L1418" s="21"/>
      <c r="M1418" s="21"/>
      <c r="N1418" s="21"/>
      <c r="O1418" s="21"/>
      <c r="R1418" t="s">
        <v>5042</v>
      </c>
      <c r="S1418" t="s">
        <v>5035</v>
      </c>
    </row>
    <row r="1419" spans="2:19" ht="14.15" customHeight="1" x14ac:dyDescent="0.35">
      <c r="B1419" s="100">
        <f t="shared" si="24"/>
        <v>1406</v>
      </c>
      <c r="C1419" s="101" t="s">
        <v>1406</v>
      </c>
      <c r="D1419" s="99">
        <v>9923793</v>
      </c>
      <c r="E1419" s="99"/>
      <c r="F1419" s="103">
        <v>38107</v>
      </c>
      <c r="G1419" s="99" t="s">
        <v>1404</v>
      </c>
      <c r="H1419" s="109">
        <v>3.22</v>
      </c>
      <c r="I1419" s="99" t="s">
        <v>1404</v>
      </c>
      <c r="J1419" s="20"/>
      <c r="K1419" s="21"/>
      <c r="L1419" s="21"/>
      <c r="M1419" s="21"/>
      <c r="N1419" s="21"/>
      <c r="O1419" s="21"/>
      <c r="R1419" t="s">
        <v>5042</v>
      </c>
      <c r="S1419" t="s">
        <v>5035</v>
      </c>
    </row>
    <row r="1420" spans="2:19" ht="14.15" customHeight="1" x14ac:dyDescent="0.35">
      <c r="B1420" s="100">
        <f t="shared" si="24"/>
        <v>1407</v>
      </c>
      <c r="C1420" s="101" t="s">
        <v>1407</v>
      </c>
      <c r="D1420" s="99">
        <v>9923811</v>
      </c>
      <c r="E1420" s="99"/>
      <c r="F1420" s="103">
        <v>38107</v>
      </c>
      <c r="G1420" s="99" t="s">
        <v>1404</v>
      </c>
      <c r="H1420" s="109">
        <v>3.01</v>
      </c>
      <c r="I1420" s="99" t="s">
        <v>1404</v>
      </c>
      <c r="J1420" s="20"/>
      <c r="K1420" s="21"/>
      <c r="L1420" s="21"/>
      <c r="M1420" s="21"/>
      <c r="N1420" s="21"/>
      <c r="O1420" s="21"/>
      <c r="R1420" t="s">
        <v>5042</v>
      </c>
      <c r="S1420" t="s">
        <v>5035</v>
      </c>
    </row>
    <row r="1421" spans="2:19" ht="14.15" customHeight="1" x14ac:dyDescent="0.35">
      <c r="B1421" s="100">
        <f t="shared" si="24"/>
        <v>1408</v>
      </c>
      <c r="C1421" s="101" t="s">
        <v>1408</v>
      </c>
      <c r="D1421" s="99">
        <v>9923984</v>
      </c>
      <c r="E1421" s="99"/>
      <c r="F1421" s="103">
        <v>38107</v>
      </c>
      <c r="G1421" s="99" t="s">
        <v>1404</v>
      </c>
      <c r="H1421" s="109">
        <v>2.68</v>
      </c>
      <c r="I1421" s="99" t="s">
        <v>1404</v>
      </c>
      <c r="J1421" s="20"/>
      <c r="K1421" s="21"/>
      <c r="L1421" s="21"/>
      <c r="M1421" s="21"/>
      <c r="N1421" s="21"/>
      <c r="O1421" s="21"/>
      <c r="R1421" t="s">
        <v>5042</v>
      </c>
      <c r="S1421" t="s">
        <v>5035</v>
      </c>
    </row>
    <row r="1422" spans="2:19" ht="14.15" customHeight="1" x14ac:dyDescent="0.35">
      <c r="B1422" s="100">
        <f t="shared" si="24"/>
        <v>1409</v>
      </c>
      <c r="C1422" s="101" t="s">
        <v>1409</v>
      </c>
      <c r="D1422" s="99">
        <v>9923987</v>
      </c>
      <c r="E1422" s="99"/>
      <c r="F1422" s="103">
        <v>38107</v>
      </c>
      <c r="G1422" s="99" t="s">
        <v>1404</v>
      </c>
      <c r="H1422" s="109">
        <v>3.13</v>
      </c>
      <c r="I1422" s="99" t="s">
        <v>1404</v>
      </c>
      <c r="J1422" s="20"/>
      <c r="K1422" s="21"/>
      <c r="L1422" s="21"/>
      <c r="M1422" s="21"/>
      <c r="N1422" s="21"/>
      <c r="O1422" s="21"/>
      <c r="R1422" t="s">
        <v>5042</v>
      </c>
      <c r="S1422" t="s">
        <v>5035</v>
      </c>
    </row>
    <row r="1423" spans="2:19" ht="14.15" customHeight="1" x14ac:dyDescent="0.35">
      <c r="B1423" s="100">
        <f t="shared" si="24"/>
        <v>1410</v>
      </c>
      <c r="C1423" s="101" t="s">
        <v>1410</v>
      </c>
      <c r="D1423" s="99">
        <v>9924128</v>
      </c>
      <c r="E1423" s="99"/>
      <c r="F1423" s="103">
        <v>38107</v>
      </c>
      <c r="G1423" s="99" t="s">
        <v>1404</v>
      </c>
      <c r="H1423" s="109">
        <v>3.13</v>
      </c>
      <c r="I1423" s="99" t="s">
        <v>1404</v>
      </c>
      <c r="J1423" s="20"/>
      <c r="K1423" s="21"/>
      <c r="L1423" s="21"/>
      <c r="M1423" s="21"/>
      <c r="N1423" s="21"/>
      <c r="O1423" s="21"/>
      <c r="R1423" t="s">
        <v>5042</v>
      </c>
      <c r="S1423" t="s">
        <v>5035</v>
      </c>
    </row>
    <row r="1424" spans="2:19" ht="14.15" customHeight="1" x14ac:dyDescent="0.35">
      <c r="B1424" s="100">
        <f t="shared" si="24"/>
        <v>1411</v>
      </c>
      <c r="C1424" s="101" t="s">
        <v>1411</v>
      </c>
      <c r="D1424" s="99">
        <v>9924248</v>
      </c>
      <c r="E1424" s="99"/>
      <c r="F1424" s="103">
        <v>38107</v>
      </c>
      <c r="G1424" s="99" t="s">
        <v>1404</v>
      </c>
      <c r="H1424" s="109">
        <v>3.61</v>
      </c>
      <c r="I1424" s="99" t="s">
        <v>1404</v>
      </c>
      <c r="J1424" s="20"/>
      <c r="K1424" s="21"/>
      <c r="L1424" s="21"/>
      <c r="M1424" s="21"/>
      <c r="N1424" s="21"/>
      <c r="O1424" s="21"/>
      <c r="R1424" t="s">
        <v>5042</v>
      </c>
      <c r="S1424" t="s">
        <v>5035</v>
      </c>
    </row>
    <row r="1425" spans="2:19" ht="14.15" customHeight="1" x14ac:dyDescent="0.35">
      <c r="B1425" s="100">
        <f t="shared" si="24"/>
        <v>1412</v>
      </c>
      <c r="C1425" s="101" t="s">
        <v>1412</v>
      </c>
      <c r="D1425" s="99">
        <v>9924289</v>
      </c>
      <c r="E1425" s="99"/>
      <c r="F1425" s="103">
        <v>38107</v>
      </c>
      <c r="G1425" s="99" t="s">
        <v>1404</v>
      </c>
      <c r="H1425" s="109">
        <v>3.05</v>
      </c>
      <c r="I1425" s="99" t="s">
        <v>1404</v>
      </c>
      <c r="J1425" s="20"/>
      <c r="K1425" s="21"/>
      <c r="L1425" s="21"/>
      <c r="M1425" s="21"/>
      <c r="N1425" s="21"/>
      <c r="O1425" s="21"/>
      <c r="R1425" t="s">
        <v>5042</v>
      </c>
      <c r="S1425" t="s">
        <v>5035</v>
      </c>
    </row>
    <row r="1426" spans="2:19" ht="14.15" customHeight="1" x14ac:dyDescent="0.35">
      <c r="B1426" s="100">
        <f t="shared" si="24"/>
        <v>1413</v>
      </c>
      <c r="C1426" s="101" t="s">
        <v>1413</v>
      </c>
      <c r="D1426" s="99">
        <v>9924486</v>
      </c>
      <c r="E1426" s="99"/>
      <c r="F1426" s="103">
        <v>38107</v>
      </c>
      <c r="G1426" s="99" t="s">
        <v>1404</v>
      </c>
      <c r="H1426" s="109">
        <v>3.24</v>
      </c>
      <c r="I1426" s="99" t="s">
        <v>1404</v>
      </c>
      <c r="J1426" s="20"/>
      <c r="K1426" s="21"/>
      <c r="L1426" s="21"/>
      <c r="M1426" s="21"/>
      <c r="N1426" s="21"/>
      <c r="O1426" s="21"/>
      <c r="R1426" t="s">
        <v>5042</v>
      </c>
      <c r="S1426" t="s">
        <v>5035</v>
      </c>
    </row>
    <row r="1427" spans="2:19" ht="14.15" customHeight="1" x14ac:dyDescent="0.35">
      <c r="B1427" s="100">
        <f t="shared" si="24"/>
        <v>1414</v>
      </c>
      <c r="C1427" s="101" t="s">
        <v>1414</v>
      </c>
      <c r="D1427" s="99">
        <v>9924653</v>
      </c>
      <c r="E1427" s="99"/>
      <c r="F1427" s="103">
        <v>38107</v>
      </c>
      <c r="G1427" s="99" t="s">
        <v>1404</v>
      </c>
      <c r="H1427" s="109">
        <v>3.08</v>
      </c>
      <c r="I1427" s="99" t="s">
        <v>1404</v>
      </c>
      <c r="J1427" s="20"/>
      <c r="K1427" s="21"/>
      <c r="L1427" s="21"/>
      <c r="M1427" s="21"/>
      <c r="N1427" s="21"/>
      <c r="O1427" s="21"/>
      <c r="R1427" t="s">
        <v>5042</v>
      </c>
      <c r="S1427" t="s">
        <v>5035</v>
      </c>
    </row>
    <row r="1428" spans="2:19" ht="14.15" customHeight="1" x14ac:dyDescent="0.35">
      <c r="B1428" s="100">
        <f t="shared" si="24"/>
        <v>1415</v>
      </c>
      <c r="C1428" s="101" t="s">
        <v>1415</v>
      </c>
      <c r="D1428" s="99">
        <v>9519750</v>
      </c>
      <c r="E1428" s="99"/>
      <c r="F1428" s="103">
        <v>38199</v>
      </c>
      <c r="G1428" s="99">
        <v>8.11</v>
      </c>
      <c r="H1428" s="109">
        <v>3.13</v>
      </c>
      <c r="I1428" s="99">
        <v>8.11</v>
      </c>
      <c r="J1428" s="20"/>
      <c r="K1428" s="21"/>
      <c r="L1428" s="21"/>
      <c r="M1428" s="21"/>
      <c r="N1428" s="21"/>
      <c r="O1428" s="21"/>
      <c r="R1428">
        <v>8.11</v>
      </c>
    </row>
    <row r="1429" spans="2:19" ht="14.15" customHeight="1" x14ac:dyDescent="0.35">
      <c r="B1429" s="100">
        <f t="shared" ref="B1429:B1467" si="25">(B1428+1)</f>
        <v>1416</v>
      </c>
      <c r="C1429" s="101" t="s">
        <v>1416</v>
      </c>
      <c r="D1429" s="99">
        <v>9721641</v>
      </c>
      <c r="E1429" s="99"/>
      <c r="F1429" s="103">
        <v>38199</v>
      </c>
      <c r="G1429" s="99">
        <v>6.11</v>
      </c>
      <c r="H1429" s="109">
        <v>2.56</v>
      </c>
      <c r="I1429" s="99">
        <v>6.11</v>
      </c>
      <c r="J1429" s="20"/>
      <c r="K1429" s="21"/>
      <c r="L1429" s="21"/>
      <c r="M1429" s="21"/>
      <c r="N1429" s="21"/>
      <c r="O1429" s="21"/>
      <c r="R1429">
        <v>6.11</v>
      </c>
    </row>
    <row r="1430" spans="2:19" ht="14.15" customHeight="1" x14ac:dyDescent="0.35">
      <c r="B1430" s="100">
        <f t="shared" si="25"/>
        <v>1417</v>
      </c>
      <c r="C1430" s="101" t="s">
        <v>1417</v>
      </c>
      <c r="D1430" s="99">
        <v>9721936</v>
      </c>
      <c r="E1430" s="99"/>
      <c r="F1430" s="103">
        <v>38199</v>
      </c>
      <c r="G1430" s="99">
        <v>6.11</v>
      </c>
      <c r="H1430" s="109">
        <v>2.97</v>
      </c>
      <c r="I1430" s="99">
        <v>6.11</v>
      </c>
      <c r="J1430" s="20"/>
      <c r="K1430" s="21"/>
      <c r="L1430" s="21"/>
      <c r="M1430" s="21"/>
      <c r="N1430" s="21"/>
      <c r="O1430" s="21"/>
      <c r="R1430">
        <v>6.11</v>
      </c>
    </row>
    <row r="1431" spans="2:19" ht="14.15" customHeight="1" x14ac:dyDescent="0.35">
      <c r="B1431" s="100">
        <f t="shared" si="25"/>
        <v>1418</v>
      </c>
      <c r="C1431" s="101" t="s">
        <v>1418</v>
      </c>
      <c r="D1431" s="99">
        <v>9822368</v>
      </c>
      <c r="E1431" s="99"/>
      <c r="F1431" s="103">
        <v>38199</v>
      </c>
      <c r="G1431" s="99">
        <v>5.1100000000000003</v>
      </c>
      <c r="H1431" s="109">
        <v>2.99</v>
      </c>
      <c r="I1431" s="99">
        <v>5.1100000000000003</v>
      </c>
      <c r="J1431" s="20"/>
      <c r="K1431" s="21"/>
      <c r="L1431" s="21"/>
      <c r="M1431" s="21"/>
      <c r="N1431" s="21"/>
      <c r="O1431" s="21"/>
      <c r="R1431">
        <v>5.1100000000000003</v>
      </c>
    </row>
    <row r="1432" spans="2:19" ht="14.15" customHeight="1" x14ac:dyDescent="0.35">
      <c r="B1432" s="100">
        <f t="shared" si="25"/>
        <v>1419</v>
      </c>
      <c r="C1432" s="101" t="s">
        <v>1419</v>
      </c>
      <c r="D1432" s="99">
        <v>9822379</v>
      </c>
      <c r="E1432" s="99"/>
      <c r="F1432" s="103">
        <v>38199</v>
      </c>
      <c r="G1432" s="99">
        <v>5.1100000000000003</v>
      </c>
      <c r="H1432" s="109">
        <v>2.9</v>
      </c>
      <c r="I1432" s="99">
        <v>5.1100000000000003</v>
      </c>
      <c r="J1432" s="20"/>
      <c r="K1432" s="21"/>
      <c r="L1432" s="21"/>
      <c r="M1432" s="21"/>
      <c r="N1432" s="21"/>
      <c r="O1432" s="21"/>
      <c r="R1432">
        <v>5.1100000000000003</v>
      </c>
    </row>
    <row r="1433" spans="2:19" ht="14.15" customHeight="1" x14ac:dyDescent="0.35">
      <c r="B1433" s="100">
        <f t="shared" si="25"/>
        <v>1420</v>
      </c>
      <c r="C1433" s="101" t="s">
        <v>1420</v>
      </c>
      <c r="D1433" s="99">
        <v>9822494</v>
      </c>
      <c r="E1433" s="99"/>
      <c r="F1433" s="103">
        <v>38199</v>
      </c>
      <c r="G1433" s="99">
        <v>5.1100000000000003</v>
      </c>
      <c r="H1433" s="109">
        <v>3.26</v>
      </c>
      <c r="I1433" s="99">
        <v>5.1100000000000003</v>
      </c>
      <c r="J1433" s="20"/>
      <c r="K1433" s="21"/>
      <c r="L1433" s="21"/>
      <c r="M1433" s="21"/>
      <c r="N1433" s="21"/>
      <c r="O1433" s="21"/>
      <c r="R1433">
        <v>5.1100000000000003</v>
      </c>
    </row>
    <row r="1434" spans="2:19" ht="14.15" customHeight="1" x14ac:dyDescent="0.35">
      <c r="B1434" s="100">
        <f t="shared" si="25"/>
        <v>1421</v>
      </c>
      <c r="C1434" s="101" t="s">
        <v>1421</v>
      </c>
      <c r="D1434" s="99">
        <v>9822954</v>
      </c>
      <c r="E1434" s="99"/>
      <c r="F1434" s="103">
        <v>38199</v>
      </c>
      <c r="G1434" s="99">
        <v>5.1100000000000003</v>
      </c>
      <c r="H1434" s="109">
        <v>2.62</v>
      </c>
      <c r="I1434" s="99">
        <v>5.1100000000000003</v>
      </c>
      <c r="J1434" s="20"/>
      <c r="K1434" s="21"/>
      <c r="L1434" s="21"/>
      <c r="M1434" s="21"/>
      <c r="N1434" s="21"/>
      <c r="O1434" s="21"/>
      <c r="R1434">
        <v>5.1100000000000003</v>
      </c>
    </row>
    <row r="1435" spans="2:19" ht="14.15" customHeight="1" x14ac:dyDescent="0.35">
      <c r="B1435" s="100">
        <f t="shared" si="25"/>
        <v>1422</v>
      </c>
      <c r="C1435" s="101" t="s">
        <v>1422</v>
      </c>
      <c r="D1435" s="99">
        <v>9823112</v>
      </c>
      <c r="E1435" s="99"/>
      <c r="F1435" s="103">
        <v>38199</v>
      </c>
      <c r="G1435" s="99">
        <v>5.1100000000000003</v>
      </c>
      <c r="H1435" s="109">
        <v>2.74</v>
      </c>
      <c r="I1435" s="99">
        <v>5.1100000000000003</v>
      </c>
      <c r="J1435" s="20"/>
      <c r="K1435" s="21"/>
      <c r="L1435" s="21"/>
      <c r="M1435" s="21"/>
      <c r="N1435" s="21"/>
      <c r="O1435" s="21"/>
      <c r="R1435">
        <v>5.1100000000000003</v>
      </c>
    </row>
    <row r="1436" spans="2:19" ht="14.15" customHeight="1" x14ac:dyDescent="0.35">
      <c r="B1436" s="100">
        <f t="shared" si="25"/>
        <v>1423</v>
      </c>
      <c r="C1436" s="101" t="s">
        <v>1423</v>
      </c>
      <c r="D1436" s="99">
        <v>9823148</v>
      </c>
      <c r="E1436" s="99"/>
      <c r="F1436" s="103">
        <v>38199</v>
      </c>
      <c r="G1436" s="99">
        <v>5.1100000000000003</v>
      </c>
      <c r="H1436" s="109">
        <v>2.92</v>
      </c>
      <c r="I1436" s="99">
        <v>5.1100000000000003</v>
      </c>
      <c r="J1436" s="20"/>
      <c r="K1436" s="21"/>
      <c r="L1436" s="21"/>
      <c r="M1436" s="21"/>
      <c r="N1436" s="21"/>
      <c r="O1436" s="21"/>
      <c r="R1436">
        <v>5.1100000000000003</v>
      </c>
    </row>
    <row r="1437" spans="2:19" ht="14.15" customHeight="1" x14ac:dyDescent="0.35">
      <c r="B1437" s="100">
        <f t="shared" si="25"/>
        <v>1424</v>
      </c>
      <c r="C1437" s="101" t="s">
        <v>1424</v>
      </c>
      <c r="D1437" s="99">
        <v>9823166</v>
      </c>
      <c r="E1437" s="99"/>
      <c r="F1437" s="103">
        <v>38199</v>
      </c>
      <c r="G1437" s="99">
        <v>5.1100000000000003</v>
      </c>
      <c r="H1437" s="109">
        <v>2.14</v>
      </c>
      <c r="I1437" s="99">
        <v>5.1100000000000003</v>
      </c>
      <c r="J1437" s="20"/>
      <c r="K1437" s="21"/>
      <c r="L1437" s="21"/>
      <c r="M1437" s="21"/>
      <c r="N1437" s="21"/>
      <c r="O1437" s="21"/>
      <c r="R1437">
        <v>5.1100000000000003</v>
      </c>
    </row>
    <row r="1438" spans="2:19" ht="14.15" customHeight="1" x14ac:dyDescent="0.35">
      <c r="B1438" s="100">
        <f t="shared" si="25"/>
        <v>1425</v>
      </c>
      <c r="C1438" s="101" t="s">
        <v>1425</v>
      </c>
      <c r="D1438" s="99">
        <v>9823234</v>
      </c>
      <c r="E1438" s="99"/>
      <c r="F1438" s="103">
        <v>38199</v>
      </c>
      <c r="G1438" s="99">
        <v>5.1100000000000003</v>
      </c>
      <c r="H1438" s="109">
        <v>2.84</v>
      </c>
      <c r="I1438" s="99">
        <v>5.1100000000000003</v>
      </c>
      <c r="J1438" s="20"/>
      <c r="K1438" s="21"/>
      <c r="L1438" s="21"/>
      <c r="M1438" s="21"/>
      <c r="N1438" s="21"/>
      <c r="O1438" s="21"/>
      <c r="R1438">
        <v>5.1100000000000003</v>
      </c>
    </row>
    <row r="1439" spans="2:19" ht="14.15" customHeight="1" x14ac:dyDescent="0.35">
      <c r="B1439" s="100">
        <f t="shared" si="25"/>
        <v>1426</v>
      </c>
      <c r="C1439" s="101" t="s">
        <v>1426</v>
      </c>
      <c r="D1439" s="99">
        <v>9823345</v>
      </c>
      <c r="E1439" s="99"/>
      <c r="F1439" s="103">
        <v>38199</v>
      </c>
      <c r="G1439" s="99">
        <v>5.1100000000000003</v>
      </c>
      <c r="H1439" s="109">
        <v>3.11</v>
      </c>
      <c r="I1439" s="99">
        <v>5.1100000000000003</v>
      </c>
      <c r="J1439" s="20"/>
      <c r="K1439" s="21"/>
      <c r="L1439" s="21"/>
      <c r="M1439" s="21"/>
      <c r="N1439" s="21"/>
      <c r="O1439" s="21"/>
      <c r="R1439">
        <v>5.1100000000000003</v>
      </c>
    </row>
    <row r="1440" spans="2:19" ht="14.15" customHeight="1" x14ac:dyDescent="0.35">
      <c r="B1440" s="100">
        <f t="shared" si="25"/>
        <v>1427</v>
      </c>
      <c r="C1440" s="101" t="s">
        <v>1427</v>
      </c>
      <c r="D1440" s="99">
        <v>9923848</v>
      </c>
      <c r="E1440" s="99"/>
      <c r="F1440" s="103">
        <v>38199</v>
      </c>
      <c r="G1440" s="99">
        <v>4.1100000000000003</v>
      </c>
      <c r="H1440" s="109">
        <v>3.36</v>
      </c>
      <c r="I1440" s="99">
        <v>4.1100000000000003</v>
      </c>
      <c r="J1440" s="20"/>
      <c r="K1440" s="21"/>
      <c r="L1440" s="21"/>
      <c r="M1440" s="21"/>
      <c r="N1440" s="21"/>
      <c r="O1440" s="21"/>
      <c r="R1440">
        <v>4.1100000000000003</v>
      </c>
    </row>
    <row r="1441" spans="2:18" ht="14.15" customHeight="1" x14ac:dyDescent="0.35">
      <c r="B1441" s="100">
        <f t="shared" si="25"/>
        <v>1428</v>
      </c>
      <c r="C1441" s="101" t="s">
        <v>1428</v>
      </c>
      <c r="D1441" s="99">
        <v>9924165</v>
      </c>
      <c r="E1441" s="99"/>
      <c r="F1441" s="103">
        <v>38199</v>
      </c>
      <c r="G1441" s="99">
        <v>4.1100000000000003</v>
      </c>
      <c r="H1441" s="109">
        <v>2.85</v>
      </c>
      <c r="I1441" s="99">
        <v>4.1100000000000003</v>
      </c>
      <c r="J1441" s="20"/>
      <c r="K1441" s="21"/>
      <c r="L1441" s="21"/>
      <c r="M1441" s="21"/>
      <c r="N1441" s="21"/>
      <c r="O1441" s="21"/>
      <c r="R1441">
        <v>4.1100000000000003</v>
      </c>
    </row>
    <row r="1442" spans="2:18" ht="14.15" customHeight="1" x14ac:dyDescent="0.35">
      <c r="B1442" s="100">
        <f t="shared" si="25"/>
        <v>1429</v>
      </c>
      <c r="C1442" s="101" t="s">
        <v>1429</v>
      </c>
      <c r="D1442" s="99">
        <v>9924223</v>
      </c>
      <c r="E1442" s="99"/>
      <c r="F1442" s="103">
        <v>38199</v>
      </c>
      <c r="G1442" s="99">
        <v>4.1100000000000003</v>
      </c>
      <c r="H1442" s="109">
        <v>3.07</v>
      </c>
      <c r="I1442" s="99">
        <v>4.1100000000000003</v>
      </c>
      <c r="J1442" s="20"/>
      <c r="K1442" s="21"/>
      <c r="L1442" s="21"/>
      <c r="M1442" s="21"/>
      <c r="N1442" s="21"/>
      <c r="O1442" s="21"/>
      <c r="R1442">
        <v>4.1100000000000003</v>
      </c>
    </row>
    <row r="1443" spans="2:18" ht="14.15" customHeight="1" x14ac:dyDescent="0.35">
      <c r="B1443" s="100">
        <f t="shared" si="25"/>
        <v>1430</v>
      </c>
      <c r="C1443" s="101" t="s">
        <v>1430</v>
      </c>
      <c r="D1443" s="99">
        <v>9924235</v>
      </c>
      <c r="E1443" s="99"/>
      <c r="F1443" s="103">
        <v>38199</v>
      </c>
      <c r="G1443" s="99">
        <v>4.1100000000000003</v>
      </c>
      <c r="H1443" s="109">
        <v>3.52</v>
      </c>
      <c r="I1443" s="99">
        <v>4.1100000000000003</v>
      </c>
      <c r="J1443" s="20"/>
      <c r="K1443" s="21"/>
      <c r="L1443" s="21"/>
      <c r="M1443" s="21"/>
      <c r="N1443" s="21"/>
      <c r="O1443" s="21"/>
      <c r="R1443">
        <v>4.1100000000000003</v>
      </c>
    </row>
    <row r="1444" spans="2:18" ht="14.15" customHeight="1" x14ac:dyDescent="0.35">
      <c r="B1444" s="100">
        <f t="shared" si="25"/>
        <v>1431</v>
      </c>
      <c r="C1444" s="101" t="s">
        <v>1431</v>
      </c>
      <c r="D1444" s="99">
        <v>9924238</v>
      </c>
      <c r="E1444" s="99"/>
      <c r="F1444" s="103">
        <v>38199</v>
      </c>
      <c r="G1444" s="99">
        <v>4.1100000000000003</v>
      </c>
      <c r="H1444" s="109">
        <v>3.06</v>
      </c>
      <c r="I1444" s="99">
        <v>4.1100000000000003</v>
      </c>
      <c r="J1444" s="20"/>
      <c r="K1444" s="21"/>
      <c r="L1444" s="21"/>
      <c r="M1444" s="21"/>
      <c r="N1444" s="21"/>
      <c r="O1444" s="21"/>
      <c r="R1444">
        <v>4.1100000000000003</v>
      </c>
    </row>
    <row r="1445" spans="2:18" ht="14.15" customHeight="1" x14ac:dyDescent="0.35">
      <c r="B1445" s="100">
        <f t="shared" si="25"/>
        <v>1432</v>
      </c>
      <c r="C1445" s="101" t="s">
        <v>1432</v>
      </c>
      <c r="D1445" s="99">
        <v>9924244</v>
      </c>
      <c r="E1445" s="99"/>
      <c r="F1445" s="103">
        <v>38199</v>
      </c>
      <c r="G1445" s="99">
        <v>4.1100000000000003</v>
      </c>
      <c r="H1445" s="109">
        <v>2.96</v>
      </c>
      <c r="I1445" s="99">
        <v>4.1100000000000003</v>
      </c>
      <c r="J1445" s="20"/>
      <c r="K1445" s="21"/>
      <c r="L1445" s="21"/>
      <c r="M1445" s="21"/>
      <c r="N1445" s="21"/>
      <c r="O1445" s="21"/>
      <c r="R1445">
        <v>4.1100000000000003</v>
      </c>
    </row>
    <row r="1446" spans="2:18" ht="14.15" customHeight="1" x14ac:dyDescent="0.35">
      <c r="B1446" s="100">
        <f t="shared" si="25"/>
        <v>1433</v>
      </c>
      <c r="C1446" s="101" t="s">
        <v>1433</v>
      </c>
      <c r="D1446" s="99">
        <v>9924290</v>
      </c>
      <c r="E1446" s="99"/>
      <c r="F1446" s="103">
        <v>38199</v>
      </c>
      <c r="G1446" s="99">
        <v>4.1100000000000003</v>
      </c>
      <c r="H1446" s="109">
        <v>2.84</v>
      </c>
      <c r="I1446" s="99">
        <v>4.1100000000000003</v>
      </c>
      <c r="J1446" s="20"/>
      <c r="K1446" s="21"/>
      <c r="L1446" s="21"/>
      <c r="M1446" s="21"/>
      <c r="N1446" s="21"/>
      <c r="O1446" s="21"/>
      <c r="R1446">
        <v>4.1100000000000003</v>
      </c>
    </row>
    <row r="1447" spans="2:18" ht="14.15" customHeight="1" x14ac:dyDescent="0.35">
      <c r="B1447" s="100">
        <f t="shared" si="25"/>
        <v>1434</v>
      </c>
      <c r="C1447" s="101" t="s">
        <v>1434</v>
      </c>
      <c r="D1447" s="99">
        <v>9924346</v>
      </c>
      <c r="E1447" s="99"/>
      <c r="F1447" s="103">
        <v>38199</v>
      </c>
      <c r="G1447" s="99">
        <v>4.1100000000000003</v>
      </c>
      <c r="H1447" s="109">
        <v>2.97</v>
      </c>
      <c r="I1447" s="99">
        <v>4.1100000000000003</v>
      </c>
      <c r="J1447" s="20"/>
      <c r="K1447" s="21"/>
      <c r="L1447" s="21"/>
      <c r="M1447" s="21"/>
      <c r="N1447" s="21"/>
      <c r="O1447" s="21"/>
      <c r="R1447">
        <v>4.1100000000000003</v>
      </c>
    </row>
    <row r="1448" spans="2:18" ht="14.15" customHeight="1" x14ac:dyDescent="0.35">
      <c r="B1448" s="100">
        <f t="shared" si="25"/>
        <v>1435</v>
      </c>
      <c r="C1448" s="101" t="s">
        <v>1435</v>
      </c>
      <c r="D1448" s="99">
        <v>9924384</v>
      </c>
      <c r="E1448" s="99"/>
      <c r="F1448" s="103">
        <v>38199</v>
      </c>
      <c r="G1448" s="99">
        <v>4.1100000000000003</v>
      </c>
      <c r="H1448" s="109">
        <v>3.08</v>
      </c>
      <c r="I1448" s="99">
        <v>4.1100000000000003</v>
      </c>
      <c r="J1448" s="20"/>
      <c r="K1448" s="21"/>
      <c r="L1448" s="21"/>
      <c r="M1448" s="21"/>
      <c r="N1448" s="21"/>
      <c r="O1448" s="21"/>
      <c r="R1448">
        <v>4.1100000000000003</v>
      </c>
    </row>
    <row r="1449" spans="2:18" ht="14.15" customHeight="1" x14ac:dyDescent="0.35">
      <c r="B1449" s="100">
        <f t="shared" si="25"/>
        <v>1436</v>
      </c>
      <c r="C1449" s="101" t="s">
        <v>1436</v>
      </c>
      <c r="D1449" s="99">
        <v>9924437</v>
      </c>
      <c r="E1449" s="99"/>
      <c r="F1449" s="103">
        <v>38199</v>
      </c>
      <c r="G1449" s="99">
        <v>4.1100000000000003</v>
      </c>
      <c r="H1449" s="109">
        <v>3.06</v>
      </c>
      <c r="I1449" s="99">
        <v>4.1100000000000003</v>
      </c>
      <c r="J1449" s="20"/>
      <c r="K1449" s="21"/>
      <c r="L1449" s="21"/>
      <c r="M1449" s="21"/>
      <c r="N1449" s="21"/>
      <c r="O1449" s="21"/>
      <c r="R1449">
        <v>4.1100000000000003</v>
      </c>
    </row>
    <row r="1450" spans="2:18" ht="14.15" customHeight="1" x14ac:dyDescent="0.35">
      <c r="B1450" s="100">
        <f t="shared" si="25"/>
        <v>1437</v>
      </c>
      <c r="C1450" s="101" t="s">
        <v>1437</v>
      </c>
      <c r="D1450" s="99">
        <v>9924471</v>
      </c>
      <c r="E1450" s="99"/>
      <c r="F1450" s="103">
        <v>38199</v>
      </c>
      <c r="G1450" s="99">
        <v>4.1100000000000003</v>
      </c>
      <c r="H1450" s="109">
        <v>3.03</v>
      </c>
      <c r="I1450" s="99">
        <v>4.1100000000000003</v>
      </c>
      <c r="J1450" s="20"/>
      <c r="K1450" s="21"/>
      <c r="L1450" s="21"/>
      <c r="M1450" s="21"/>
      <c r="N1450" s="21"/>
      <c r="O1450" s="21"/>
      <c r="R1450">
        <v>4.1100000000000003</v>
      </c>
    </row>
    <row r="1451" spans="2:18" ht="14.15" customHeight="1" x14ac:dyDescent="0.35">
      <c r="B1451" s="100">
        <f t="shared" si="25"/>
        <v>1438</v>
      </c>
      <c r="C1451" s="101" t="s">
        <v>1438</v>
      </c>
      <c r="D1451" s="99">
        <v>9924480</v>
      </c>
      <c r="E1451" s="99"/>
      <c r="F1451" s="103">
        <v>38199</v>
      </c>
      <c r="G1451" s="99">
        <v>4.1100000000000003</v>
      </c>
      <c r="H1451" s="109">
        <v>2.84</v>
      </c>
      <c r="I1451" s="99">
        <v>4.1100000000000003</v>
      </c>
      <c r="J1451" s="20"/>
      <c r="K1451" s="21"/>
      <c r="L1451" s="21"/>
      <c r="M1451" s="21"/>
      <c r="N1451" s="21"/>
      <c r="O1451" s="21"/>
      <c r="R1451">
        <v>4.1100000000000003</v>
      </c>
    </row>
    <row r="1452" spans="2:18" ht="14.15" customHeight="1" x14ac:dyDescent="0.35">
      <c r="B1452" s="100">
        <f t="shared" si="25"/>
        <v>1439</v>
      </c>
      <c r="C1452" s="101" t="s">
        <v>1439</v>
      </c>
      <c r="D1452" s="99">
        <v>9924513</v>
      </c>
      <c r="E1452" s="99"/>
      <c r="F1452" s="103">
        <v>38199</v>
      </c>
      <c r="G1452" s="99">
        <v>4.1100000000000003</v>
      </c>
      <c r="H1452" s="109">
        <v>3.1</v>
      </c>
      <c r="I1452" s="99">
        <v>4.1100000000000003</v>
      </c>
      <c r="J1452" s="20"/>
      <c r="K1452" s="21"/>
      <c r="L1452" s="21"/>
      <c r="M1452" s="21"/>
      <c r="N1452" s="21"/>
      <c r="O1452" s="21"/>
      <c r="R1452">
        <v>4.1100000000000003</v>
      </c>
    </row>
    <row r="1453" spans="2:18" ht="14.15" customHeight="1" x14ac:dyDescent="0.35">
      <c r="B1453" s="100">
        <f t="shared" si="25"/>
        <v>1440</v>
      </c>
      <c r="C1453" s="101" t="s">
        <v>1440</v>
      </c>
      <c r="D1453" s="99">
        <v>9924539</v>
      </c>
      <c r="E1453" s="99"/>
      <c r="F1453" s="103">
        <v>38199</v>
      </c>
      <c r="G1453" s="99">
        <v>4.1100000000000003</v>
      </c>
      <c r="H1453" s="109">
        <v>2.94</v>
      </c>
      <c r="I1453" s="99">
        <v>4.1100000000000003</v>
      </c>
      <c r="J1453" s="20"/>
      <c r="K1453" s="21"/>
      <c r="L1453" s="21"/>
      <c r="M1453" s="21"/>
      <c r="N1453" s="21"/>
      <c r="O1453" s="21"/>
      <c r="R1453">
        <v>4.1100000000000003</v>
      </c>
    </row>
    <row r="1454" spans="2:18" ht="14.15" customHeight="1" x14ac:dyDescent="0.35">
      <c r="B1454" s="100">
        <f t="shared" si="25"/>
        <v>1441</v>
      </c>
      <c r="C1454" s="101" t="s">
        <v>1441</v>
      </c>
      <c r="D1454" s="99" t="s">
        <v>1442</v>
      </c>
      <c r="E1454" s="99"/>
      <c r="F1454" s="103">
        <v>38199</v>
      </c>
      <c r="G1454" s="99">
        <v>3.11</v>
      </c>
      <c r="H1454" s="109">
        <v>3.71</v>
      </c>
      <c r="I1454" s="99">
        <v>3.11</v>
      </c>
      <c r="J1454" s="20"/>
      <c r="K1454" s="21"/>
      <c r="L1454" s="21"/>
      <c r="M1454" s="21"/>
      <c r="N1454" s="21"/>
      <c r="O1454" s="21"/>
      <c r="R1454">
        <v>3.11</v>
      </c>
    </row>
    <row r="1455" spans="2:18" ht="14.15" customHeight="1" x14ac:dyDescent="0.35">
      <c r="B1455" s="100">
        <f t="shared" si="25"/>
        <v>1442</v>
      </c>
      <c r="C1455" s="101" t="s">
        <v>1443</v>
      </c>
      <c r="D1455" s="99" t="s">
        <v>1444</v>
      </c>
      <c r="E1455" s="99"/>
      <c r="F1455" s="103">
        <v>38199</v>
      </c>
      <c r="G1455" s="99">
        <v>3.11</v>
      </c>
      <c r="H1455" s="109">
        <v>3.6</v>
      </c>
      <c r="I1455" s="99">
        <v>3.11</v>
      </c>
      <c r="J1455" s="20"/>
      <c r="K1455" s="21"/>
      <c r="L1455" s="21"/>
      <c r="M1455" s="21"/>
      <c r="N1455" s="21"/>
      <c r="O1455" s="21"/>
      <c r="R1455">
        <v>3.11</v>
      </c>
    </row>
    <row r="1456" spans="2:18" ht="14.15" customHeight="1" x14ac:dyDescent="0.35">
      <c r="B1456" s="100">
        <f t="shared" si="25"/>
        <v>1443</v>
      </c>
      <c r="C1456" s="101" t="s">
        <v>1445</v>
      </c>
      <c r="D1456" s="99" t="s">
        <v>1446</v>
      </c>
      <c r="E1456" s="99"/>
      <c r="F1456" s="103">
        <v>38199</v>
      </c>
      <c r="G1456" s="99">
        <v>3.11</v>
      </c>
      <c r="H1456" s="109">
        <v>3.59</v>
      </c>
      <c r="I1456" s="99">
        <v>3.11</v>
      </c>
      <c r="J1456" s="20"/>
      <c r="K1456" s="21"/>
      <c r="L1456" s="21"/>
      <c r="M1456" s="21"/>
      <c r="N1456" s="21"/>
      <c r="O1456" s="21"/>
      <c r="R1456">
        <v>3.11</v>
      </c>
    </row>
    <row r="1457" spans="2:18" ht="14.15" customHeight="1" x14ac:dyDescent="0.35">
      <c r="B1457" s="100">
        <f t="shared" si="25"/>
        <v>1444</v>
      </c>
      <c r="C1457" s="114" t="s">
        <v>1447</v>
      </c>
      <c r="D1457" s="115">
        <v>9620666</v>
      </c>
      <c r="E1457" s="115"/>
      <c r="F1457" s="103">
        <v>38230</v>
      </c>
      <c r="G1457" s="99">
        <v>8</v>
      </c>
      <c r="H1457" s="115">
        <v>2.58</v>
      </c>
      <c r="I1457" s="99">
        <v>8</v>
      </c>
      <c r="J1457" s="20"/>
      <c r="K1457" s="21"/>
      <c r="L1457" s="21"/>
      <c r="M1457" s="21"/>
      <c r="N1457" s="21"/>
      <c r="O1457" s="21"/>
      <c r="R1457">
        <v>8</v>
      </c>
    </row>
    <row r="1458" spans="2:18" ht="14.15" customHeight="1" x14ac:dyDescent="0.35">
      <c r="B1458" s="100">
        <f t="shared" si="25"/>
        <v>1445</v>
      </c>
      <c r="C1458" s="114" t="s">
        <v>1448</v>
      </c>
      <c r="D1458" s="115">
        <v>9721950</v>
      </c>
      <c r="E1458" s="115"/>
      <c r="F1458" s="103">
        <v>38230</v>
      </c>
      <c r="G1458" s="99">
        <v>7</v>
      </c>
      <c r="H1458" s="115">
        <v>2.1800000000000002</v>
      </c>
      <c r="I1458" s="99">
        <v>7</v>
      </c>
      <c r="J1458" s="20"/>
      <c r="K1458" s="21"/>
      <c r="L1458" s="21"/>
      <c r="M1458" s="21"/>
      <c r="N1458" s="21"/>
      <c r="O1458" s="21"/>
      <c r="R1458">
        <v>7</v>
      </c>
    </row>
    <row r="1459" spans="2:18" ht="14.15" customHeight="1" x14ac:dyDescent="0.35">
      <c r="B1459" s="100">
        <f t="shared" si="25"/>
        <v>1446</v>
      </c>
      <c r="C1459" s="114" t="s">
        <v>1449</v>
      </c>
      <c r="D1459" s="115">
        <v>9822879</v>
      </c>
      <c r="E1459" s="115"/>
      <c r="F1459" s="103">
        <v>38230</v>
      </c>
      <c r="G1459" s="99">
        <v>6</v>
      </c>
      <c r="H1459" s="115">
        <v>2.76</v>
      </c>
      <c r="I1459" s="99">
        <v>6</v>
      </c>
      <c r="J1459" s="20"/>
      <c r="K1459" s="21"/>
      <c r="L1459" s="21"/>
      <c r="M1459" s="21"/>
      <c r="N1459" s="21"/>
      <c r="O1459" s="21"/>
      <c r="R1459">
        <v>6</v>
      </c>
    </row>
    <row r="1460" spans="2:18" ht="14.15" customHeight="1" x14ac:dyDescent="0.35">
      <c r="B1460" s="100">
        <f t="shared" si="25"/>
        <v>1447</v>
      </c>
      <c r="C1460" s="114" t="s">
        <v>1450</v>
      </c>
      <c r="D1460" s="115">
        <v>9823370</v>
      </c>
      <c r="E1460" s="115"/>
      <c r="F1460" s="103">
        <v>38230</v>
      </c>
      <c r="G1460" s="99">
        <v>6</v>
      </c>
      <c r="H1460" s="115">
        <v>2.79</v>
      </c>
      <c r="I1460" s="99">
        <v>6</v>
      </c>
      <c r="J1460" s="20"/>
      <c r="K1460" s="21"/>
      <c r="L1460" s="21"/>
      <c r="M1460" s="21"/>
      <c r="N1460" s="21"/>
      <c r="O1460" s="21"/>
      <c r="R1460">
        <v>6</v>
      </c>
    </row>
    <row r="1461" spans="2:18" ht="14.15" customHeight="1" x14ac:dyDescent="0.35">
      <c r="B1461" s="100">
        <f t="shared" si="25"/>
        <v>1448</v>
      </c>
      <c r="C1461" s="114" t="s">
        <v>1451</v>
      </c>
      <c r="D1461" s="115">
        <v>9823438</v>
      </c>
      <c r="E1461" s="115"/>
      <c r="F1461" s="103">
        <v>38230</v>
      </c>
      <c r="G1461" s="99">
        <v>6</v>
      </c>
      <c r="H1461" s="115">
        <v>3.27</v>
      </c>
      <c r="I1461" s="99">
        <v>6</v>
      </c>
      <c r="J1461" s="20"/>
      <c r="K1461" s="21"/>
      <c r="L1461" s="21"/>
      <c r="M1461" s="21"/>
      <c r="N1461" s="21"/>
      <c r="O1461" s="21"/>
      <c r="R1461">
        <v>6</v>
      </c>
    </row>
    <row r="1462" spans="2:18" ht="14.15" customHeight="1" x14ac:dyDescent="0.35">
      <c r="B1462" s="100">
        <f t="shared" si="25"/>
        <v>1449</v>
      </c>
      <c r="C1462" s="114" t="s">
        <v>1452</v>
      </c>
      <c r="D1462" s="115">
        <v>9823547</v>
      </c>
      <c r="E1462" s="115"/>
      <c r="F1462" s="103">
        <v>38230</v>
      </c>
      <c r="G1462" s="99">
        <v>6</v>
      </c>
      <c r="H1462" s="115">
        <v>2.61</v>
      </c>
      <c r="I1462" s="99">
        <v>6</v>
      </c>
      <c r="J1462" s="20"/>
      <c r="K1462" s="21"/>
      <c r="L1462" s="21"/>
      <c r="M1462" s="21"/>
      <c r="N1462" s="21"/>
      <c r="O1462" s="21"/>
      <c r="R1462">
        <v>6</v>
      </c>
    </row>
    <row r="1463" spans="2:18" ht="14.15" customHeight="1" x14ac:dyDescent="0.35">
      <c r="B1463" s="100">
        <f t="shared" si="25"/>
        <v>1450</v>
      </c>
      <c r="C1463" s="114" t="s">
        <v>1453</v>
      </c>
      <c r="D1463" s="115">
        <v>9924364</v>
      </c>
      <c r="E1463" s="115"/>
      <c r="F1463" s="103">
        <v>38230</v>
      </c>
      <c r="G1463" s="99">
        <v>5</v>
      </c>
      <c r="H1463" s="115">
        <v>2.5299999999999998</v>
      </c>
      <c r="I1463" s="99">
        <v>5</v>
      </c>
      <c r="J1463" s="20"/>
      <c r="K1463" s="21"/>
      <c r="L1463" s="21"/>
      <c r="M1463" s="21"/>
      <c r="N1463" s="21"/>
      <c r="O1463" s="21"/>
      <c r="R1463">
        <v>5</v>
      </c>
    </row>
    <row r="1464" spans="2:18" ht="14.15" customHeight="1" x14ac:dyDescent="0.35">
      <c r="B1464" s="100">
        <f t="shared" si="25"/>
        <v>1451</v>
      </c>
      <c r="C1464" s="114" t="s">
        <v>1454</v>
      </c>
      <c r="D1464" s="115" t="s">
        <v>1455</v>
      </c>
      <c r="E1464" s="115"/>
      <c r="F1464" s="103">
        <v>38230</v>
      </c>
      <c r="G1464" s="99">
        <v>4</v>
      </c>
      <c r="H1464" s="115">
        <v>3.16</v>
      </c>
      <c r="I1464" s="99">
        <v>4</v>
      </c>
      <c r="J1464" s="20"/>
      <c r="K1464" s="21"/>
      <c r="L1464" s="21"/>
      <c r="M1464" s="21"/>
      <c r="N1464" s="21"/>
      <c r="O1464" s="21"/>
      <c r="R1464">
        <v>4</v>
      </c>
    </row>
    <row r="1465" spans="2:18" ht="14.15" customHeight="1" x14ac:dyDescent="0.35">
      <c r="B1465" s="100">
        <f t="shared" si="25"/>
        <v>1452</v>
      </c>
      <c r="C1465" s="114" t="s">
        <v>1456</v>
      </c>
      <c r="D1465" s="115" t="s">
        <v>1457</v>
      </c>
      <c r="E1465" s="115"/>
      <c r="F1465" s="103">
        <v>38230</v>
      </c>
      <c r="G1465" s="99">
        <v>6</v>
      </c>
      <c r="H1465" s="115">
        <v>2.5</v>
      </c>
      <c r="I1465" s="99">
        <v>6</v>
      </c>
      <c r="J1465" s="20"/>
      <c r="K1465" s="21"/>
      <c r="L1465" s="21"/>
      <c r="M1465" s="21"/>
      <c r="N1465" s="21"/>
      <c r="O1465" s="21"/>
      <c r="R1465">
        <v>6</v>
      </c>
    </row>
    <row r="1466" spans="2:18" ht="14.15" customHeight="1" x14ac:dyDescent="0.35">
      <c r="B1466" s="100">
        <f t="shared" si="25"/>
        <v>1453</v>
      </c>
      <c r="C1466" s="114" t="s">
        <v>1458</v>
      </c>
      <c r="D1466" s="115" t="s">
        <v>1459</v>
      </c>
      <c r="E1466" s="115"/>
      <c r="F1466" s="103">
        <v>38230</v>
      </c>
      <c r="G1466" s="99">
        <v>5</v>
      </c>
      <c r="H1466" s="115">
        <v>2.71</v>
      </c>
      <c r="I1466" s="99">
        <v>5</v>
      </c>
      <c r="J1466" s="20"/>
      <c r="K1466" s="21"/>
      <c r="L1466" s="21"/>
      <c r="M1466" s="21"/>
      <c r="N1466" s="21"/>
      <c r="O1466" s="21"/>
      <c r="R1466">
        <v>5</v>
      </c>
    </row>
    <row r="1467" spans="2:18" ht="14.15" customHeight="1" x14ac:dyDescent="0.35">
      <c r="B1467" s="100">
        <f t="shared" si="25"/>
        <v>1454</v>
      </c>
      <c r="C1467" s="114" t="s">
        <v>1460</v>
      </c>
      <c r="D1467" s="115" t="s">
        <v>1461</v>
      </c>
      <c r="E1467" s="115"/>
      <c r="F1467" s="103">
        <v>38230</v>
      </c>
      <c r="G1467" s="99">
        <v>5</v>
      </c>
      <c r="H1467" s="115">
        <v>2.78</v>
      </c>
      <c r="I1467" s="99">
        <v>5</v>
      </c>
      <c r="J1467" s="20"/>
      <c r="K1467" s="21"/>
      <c r="L1467" s="21"/>
      <c r="M1467" s="21"/>
      <c r="N1467" s="21"/>
      <c r="O1467" s="21"/>
      <c r="R1467">
        <v>5</v>
      </c>
    </row>
    <row r="1468" spans="2:18" ht="14.15" customHeight="1" x14ac:dyDescent="0.35">
      <c r="B1468" s="100"/>
      <c r="C1468" s="114"/>
      <c r="D1468" s="115"/>
      <c r="E1468" s="115"/>
      <c r="F1468" s="103"/>
      <c r="G1468" s="99"/>
      <c r="H1468" s="115"/>
      <c r="I1468" s="99"/>
      <c r="J1468" s="20"/>
      <c r="K1468" s="21"/>
      <c r="L1468" s="21"/>
      <c r="M1468" s="21"/>
      <c r="N1468" s="21"/>
      <c r="O1468" s="21"/>
    </row>
    <row r="1469" spans="2:18" ht="14.15" customHeight="1" x14ac:dyDescent="0.35">
      <c r="B1469" s="100"/>
      <c r="C1469" s="116" t="s">
        <v>1462</v>
      </c>
      <c r="D1469" s="115"/>
      <c r="E1469" s="115"/>
      <c r="F1469" s="103" t="s">
        <v>580</v>
      </c>
      <c r="G1469" s="99"/>
      <c r="H1469" s="115"/>
      <c r="I1469" s="99"/>
      <c r="J1469" s="20"/>
      <c r="K1469" s="21"/>
      <c r="L1469" s="21"/>
      <c r="M1469" s="21"/>
      <c r="N1469" s="21"/>
      <c r="O1469" s="21"/>
    </row>
    <row r="1470" spans="2:18" ht="14.15" customHeight="1" x14ac:dyDescent="0.35">
      <c r="B1470" s="100">
        <f>(B1467+1)</f>
        <v>1455</v>
      </c>
      <c r="C1470" s="114" t="s">
        <v>1463</v>
      </c>
      <c r="D1470" s="115">
        <v>9822390</v>
      </c>
      <c r="E1470" s="115"/>
      <c r="F1470" s="103">
        <v>38291</v>
      </c>
      <c r="G1470" s="99">
        <v>6.2</v>
      </c>
      <c r="H1470" s="115">
        <v>2.82</v>
      </c>
      <c r="I1470" s="99">
        <v>6.2</v>
      </c>
      <c r="J1470" s="20"/>
      <c r="K1470" s="21"/>
      <c r="L1470" s="21"/>
      <c r="M1470" s="21"/>
      <c r="N1470" s="21"/>
      <c r="O1470" s="21"/>
      <c r="R1470">
        <v>6.2</v>
      </c>
    </row>
    <row r="1471" spans="2:18" ht="14.15" customHeight="1" x14ac:dyDescent="0.35">
      <c r="B1471" s="100">
        <f t="shared" ref="B1471:B1534" si="26">(B1470+1)</f>
        <v>1456</v>
      </c>
      <c r="C1471" s="114" t="s">
        <v>1464</v>
      </c>
      <c r="D1471" s="115">
        <v>9822431</v>
      </c>
      <c r="E1471" s="115"/>
      <c r="F1471" s="103">
        <v>38291</v>
      </c>
      <c r="G1471" s="99">
        <v>6.2</v>
      </c>
      <c r="H1471" s="115">
        <v>2.31</v>
      </c>
      <c r="I1471" s="99">
        <v>6.2</v>
      </c>
      <c r="J1471" s="20"/>
      <c r="K1471" s="21"/>
      <c r="L1471" s="21"/>
      <c r="M1471" s="21"/>
      <c r="N1471" s="21"/>
      <c r="O1471" s="21"/>
      <c r="R1471">
        <v>6.2</v>
      </c>
    </row>
    <row r="1472" spans="2:18" ht="14.15" customHeight="1" x14ac:dyDescent="0.35">
      <c r="B1472" s="100">
        <f t="shared" si="26"/>
        <v>1457</v>
      </c>
      <c r="C1472" s="117" t="s">
        <v>1465</v>
      </c>
      <c r="D1472" s="115">
        <v>9823231</v>
      </c>
      <c r="E1472" s="115"/>
      <c r="F1472" s="103">
        <v>38291</v>
      </c>
      <c r="G1472" s="99">
        <v>6.2</v>
      </c>
      <c r="H1472" s="115">
        <v>2.88</v>
      </c>
      <c r="I1472" s="99">
        <v>6.2</v>
      </c>
      <c r="J1472" s="20"/>
      <c r="K1472" s="21"/>
      <c r="L1472" s="21"/>
      <c r="M1472" s="21"/>
      <c r="N1472" s="21"/>
      <c r="O1472" s="21"/>
      <c r="R1472">
        <v>6.2</v>
      </c>
    </row>
    <row r="1473" spans="2:18" ht="14.15" customHeight="1" x14ac:dyDescent="0.35">
      <c r="B1473" s="100">
        <f t="shared" si="26"/>
        <v>1458</v>
      </c>
      <c r="C1473" s="114" t="s">
        <v>1466</v>
      </c>
      <c r="D1473" s="115">
        <v>9823236</v>
      </c>
      <c r="E1473" s="115"/>
      <c r="F1473" s="103">
        <v>38291</v>
      </c>
      <c r="G1473" s="99">
        <v>6.2</v>
      </c>
      <c r="H1473" s="115">
        <v>2.04</v>
      </c>
      <c r="I1473" s="99">
        <v>6.2</v>
      </c>
      <c r="J1473" s="20"/>
      <c r="K1473" s="21"/>
      <c r="L1473" s="21"/>
      <c r="M1473" s="21"/>
      <c r="N1473" s="21"/>
      <c r="O1473" s="21"/>
      <c r="R1473">
        <v>6.2</v>
      </c>
    </row>
    <row r="1474" spans="2:18" ht="14.15" customHeight="1" x14ac:dyDescent="0.35">
      <c r="B1474" s="100">
        <f t="shared" si="26"/>
        <v>1459</v>
      </c>
      <c r="C1474" s="114" t="s">
        <v>1467</v>
      </c>
      <c r="D1474" s="115">
        <v>9823260</v>
      </c>
      <c r="E1474" s="115"/>
      <c r="F1474" s="103">
        <v>38291</v>
      </c>
      <c r="G1474" s="99">
        <v>6.2</v>
      </c>
      <c r="H1474" s="115">
        <v>3.07</v>
      </c>
      <c r="I1474" s="99">
        <v>6.2</v>
      </c>
      <c r="J1474" s="20"/>
      <c r="K1474" s="21"/>
      <c r="L1474" s="21"/>
      <c r="M1474" s="21"/>
      <c r="N1474" s="21"/>
      <c r="O1474" s="21"/>
      <c r="R1474">
        <v>6.2</v>
      </c>
    </row>
    <row r="1475" spans="2:18" ht="14.15" customHeight="1" x14ac:dyDescent="0.35">
      <c r="B1475" s="100">
        <f t="shared" si="26"/>
        <v>1460</v>
      </c>
      <c r="C1475" s="114" t="s">
        <v>1468</v>
      </c>
      <c r="D1475" s="115">
        <v>9923637</v>
      </c>
      <c r="E1475" s="115"/>
      <c r="F1475" s="103">
        <v>38291</v>
      </c>
      <c r="G1475" s="99">
        <v>5.2</v>
      </c>
      <c r="H1475" s="115">
        <v>2.77</v>
      </c>
      <c r="I1475" s="99">
        <v>5.2</v>
      </c>
      <c r="J1475" s="20"/>
      <c r="K1475" s="21"/>
      <c r="L1475" s="21"/>
      <c r="M1475" s="21"/>
      <c r="N1475" s="21"/>
      <c r="O1475" s="21"/>
      <c r="R1475">
        <v>5.2</v>
      </c>
    </row>
    <row r="1476" spans="2:18" ht="14.15" customHeight="1" x14ac:dyDescent="0.35">
      <c r="B1476" s="100">
        <f t="shared" si="26"/>
        <v>1461</v>
      </c>
      <c r="C1476" s="114" t="s">
        <v>1469</v>
      </c>
      <c r="D1476" s="115">
        <v>9923665</v>
      </c>
      <c r="E1476" s="115"/>
      <c r="F1476" s="103">
        <v>38291</v>
      </c>
      <c r="G1476" s="99">
        <v>5.2</v>
      </c>
      <c r="H1476" s="115">
        <v>2.72</v>
      </c>
      <c r="I1476" s="99">
        <v>5.2</v>
      </c>
      <c r="J1476" s="20"/>
      <c r="K1476" s="21"/>
      <c r="L1476" s="21"/>
      <c r="M1476" s="21"/>
      <c r="N1476" s="21"/>
      <c r="O1476" s="21"/>
      <c r="R1476">
        <v>5.2</v>
      </c>
    </row>
    <row r="1477" spans="2:18" ht="14.15" customHeight="1" x14ac:dyDescent="0.35">
      <c r="B1477" s="100">
        <f t="shared" si="26"/>
        <v>1462</v>
      </c>
      <c r="C1477" s="114" t="s">
        <v>1470</v>
      </c>
      <c r="D1477" s="115">
        <v>9923724</v>
      </c>
      <c r="E1477" s="115"/>
      <c r="F1477" s="103">
        <v>38291</v>
      </c>
      <c r="G1477" s="99">
        <v>5.2</v>
      </c>
      <c r="H1477" s="115">
        <v>2.92</v>
      </c>
      <c r="I1477" s="99">
        <v>5.2</v>
      </c>
      <c r="J1477" s="20"/>
      <c r="K1477" s="21"/>
      <c r="L1477" s="21"/>
      <c r="M1477" s="21"/>
      <c r="N1477" s="21"/>
      <c r="O1477" s="21"/>
      <c r="R1477">
        <v>5.2</v>
      </c>
    </row>
    <row r="1478" spans="2:18" ht="14.15" customHeight="1" x14ac:dyDescent="0.35">
      <c r="B1478" s="100">
        <f t="shared" si="26"/>
        <v>1463</v>
      </c>
      <c r="C1478" s="114" t="s">
        <v>1471</v>
      </c>
      <c r="D1478" s="115">
        <v>9924084</v>
      </c>
      <c r="E1478" s="115"/>
      <c r="F1478" s="103">
        <v>38291</v>
      </c>
      <c r="G1478" s="99">
        <v>5.2</v>
      </c>
      <c r="H1478" s="115">
        <v>3.13</v>
      </c>
      <c r="I1478" s="99">
        <v>5.2</v>
      </c>
      <c r="J1478" s="20"/>
      <c r="K1478" s="21"/>
      <c r="L1478" s="21"/>
      <c r="M1478" s="21"/>
      <c r="N1478" s="21"/>
      <c r="O1478" s="21"/>
      <c r="R1478">
        <v>5.2</v>
      </c>
    </row>
    <row r="1479" spans="2:18" ht="14.15" customHeight="1" x14ac:dyDescent="0.35">
      <c r="B1479" s="100">
        <f t="shared" si="26"/>
        <v>1464</v>
      </c>
      <c r="C1479" s="114" t="s">
        <v>1472</v>
      </c>
      <c r="D1479" s="115">
        <v>9924127</v>
      </c>
      <c r="E1479" s="115"/>
      <c r="F1479" s="103">
        <v>38291</v>
      </c>
      <c r="G1479" s="99">
        <v>5.2</v>
      </c>
      <c r="H1479" s="115">
        <v>3.06</v>
      </c>
      <c r="I1479" s="99">
        <v>5.2</v>
      </c>
      <c r="J1479" s="20"/>
      <c r="K1479" s="21"/>
      <c r="L1479" s="21"/>
      <c r="M1479" s="21"/>
      <c r="N1479" s="21"/>
      <c r="O1479" s="21"/>
      <c r="R1479">
        <v>5.2</v>
      </c>
    </row>
    <row r="1480" spans="2:18" ht="14.15" customHeight="1" x14ac:dyDescent="0.35">
      <c r="B1480" s="100">
        <f t="shared" si="26"/>
        <v>1465</v>
      </c>
      <c r="C1480" s="114" t="s">
        <v>1473</v>
      </c>
      <c r="D1480" s="115" t="s">
        <v>1474</v>
      </c>
      <c r="E1480" s="115"/>
      <c r="F1480" s="103">
        <v>38291</v>
      </c>
      <c r="G1480" s="99">
        <v>4.2</v>
      </c>
      <c r="H1480" s="115">
        <v>3.51</v>
      </c>
      <c r="I1480" s="99">
        <v>4.2</v>
      </c>
      <c r="J1480" s="20"/>
      <c r="K1480" s="21"/>
      <c r="L1480" s="21"/>
      <c r="M1480" s="21"/>
      <c r="N1480" s="21"/>
      <c r="O1480" s="21"/>
      <c r="R1480">
        <v>4.2</v>
      </c>
    </row>
    <row r="1481" spans="2:18" ht="14.15" customHeight="1" x14ac:dyDescent="0.35">
      <c r="B1481" s="100">
        <f t="shared" si="26"/>
        <v>1466</v>
      </c>
      <c r="C1481" s="114" t="s">
        <v>1475</v>
      </c>
      <c r="D1481" s="115" t="s">
        <v>1476</v>
      </c>
      <c r="E1481" s="115"/>
      <c r="F1481" s="103">
        <v>38291</v>
      </c>
      <c r="G1481" s="99">
        <v>4.2</v>
      </c>
      <c r="H1481" s="115">
        <v>3.58</v>
      </c>
      <c r="I1481" s="99">
        <v>4.2</v>
      </c>
      <c r="J1481" s="20"/>
      <c r="K1481" s="21"/>
      <c r="L1481" s="21"/>
      <c r="M1481" s="21"/>
      <c r="N1481" s="21"/>
      <c r="O1481" s="21"/>
      <c r="R1481">
        <v>4.2</v>
      </c>
    </row>
    <row r="1482" spans="2:18" ht="14.15" customHeight="1" x14ac:dyDescent="0.35">
      <c r="B1482" s="100">
        <f t="shared" si="26"/>
        <v>1467</v>
      </c>
      <c r="C1482" s="114" t="s">
        <v>1477</v>
      </c>
      <c r="D1482" s="115" t="s">
        <v>1478</v>
      </c>
      <c r="E1482" s="115"/>
      <c r="F1482" s="103">
        <v>38291</v>
      </c>
      <c r="G1482" s="99">
        <v>4.2</v>
      </c>
      <c r="H1482" s="115">
        <v>3.4</v>
      </c>
      <c r="I1482" s="99">
        <v>4.2</v>
      </c>
      <c r="J1482" s="20"/>
      <c r="K1482" s="21"/>
      <c r="L1482" s="21"/>
      <c r="M1482" s="21"/>
      <c r="N1482" s="21"/>
      <c r="O1482" s="21"/>
      <c r="R1482">
        <v>4.2</v>
      </c>
    </row>
    <row r="1483" spans="2:18" ht="14.15" customHeight="1" x14ac:dyDescent="0.35">
      <c r="B1483" s="100">
        <f t="shared" si="26"/>
        <v>1468</v>
      </c>
      <c r="C1483" s="114" t="s">
        <v>1479</v>
      </c>
      <c r="D1483" s="115" t="s">
        <v>1480</v>
      </c>
      <c r="E1483" s="115"/>
      <c r="F1483" s="103">
        <v>38291</v>
      </c>
      <c r="G1483" s="99">
        <v>4.2</v>
      </c>
      <c r="H1483" s="115">
        <v>3.14</v>
      </c>
      <c r="I1483" s="99">
        <v>4.2</v>
      </c>
      <c r="J1483" s="20"/>
      <c r="K1483" s="21"/>
      <c r="L1483" s="21"/>
      <c r="M1483" s="21"/>
      <c r="N1483" s="21"/>
      <c r="O1483" s="21"/>
      <c r="R1483">
        <v>4.2</v>
      </c>
    </row>
    <row r="1484" spans="2:18" ht="14.15" customHeight="1" x14ac:dyDescent="0.35">
      <c r="B1484" s="100">
        <f t="shared" si="26"/>
        <v>1469</v>
      </c>
      <c r="C1484" s="114" t="s">
        <v>1481</v>
      </c>
      <c r="D1484" s="115" t="s">
        <v>1482</v>
      </c>
      <c r="E1484" s="115"/>
      <c r="F1484" s="103">
        <v>38291</v>
      </c>
      <c r="G1484" s="99">
        <v>4.2</v>
      </c>
      <c r="H1484" s="115">
        <v>3.39</v>
      </c>
      <c r="I1484" s="99">
        <v>4.2</v>
      </c>
      <c r="J1484" s="20"/>
      <c r="K1484" s="21"/>
      <c r="L1484" s="21"/>
      <c r="M1484" s="21"/>
      <c r="N1484" s="21"/>
      <c r="O1484" s="21"/>
      <c r="R1484">
        <v>4.2</v>
      </c>
    </row>
    <row r="1485" spans="2:18" ht="14.15" customHeight="1" x14ac:dyDescent="0.35">
      <c r="B1485" s="100">
        <f t="shared" si="26"/>
        <v>1470</v>
      </c>
      <c r="C1485" s="114" t="s">
        <v>1483</v>
      </c>
      <c r="D1485" s="115" t="s">
        <v>1484</v>
      </c>
      <c r="E1485" s="115"/>
      <c r="F1485" s="103">
        <v>38291</v>
      </c>
      <c r="G1485" s="99">
        <v>4.2</v>
      </c>
      <c r="H1485" s="115">
        <v>3.45</v>
      </c>
      <c r="I1485" s="99">
        <v>4.2</v>
      </c>
      <c r="J1485" s="20"/>
      <c r="K1485" s="21"/>
      <c r="L1485" s="21"/>
      <c r="M1485" s="21"/>
      <c r="N1485" s="21"/>
      <c r="O1485" s="21"/>
      <c r="R1485">
        <v>4.2</v>
      </c>
    </row>
    <row r="1486" spans="2:18" ht="14.15" customHeight="1" x14ac:dyDescent="0.35">
      <c r="B1486" s="100">
        <f t="shared" si="26"/>
        <v>1471</v>
      </c>
      <c r="C1486" s="114" t="s">
        <v>1485</v>
      </c>
      <c r="D1486" s="115" t="s">
        <v>1486</v>
      </c>
      <c r="E1486" s="115"/>
      <c r="F1486" s="103">
        <v>38291</v>
      </c>
      <c r="G1486" s="99">
        <v>5.2</v>
      </c>
      <c r="H1486" s="115">
        <v>3.05</v>
      </c>
      <c r="I1486" s="99">
        <v>5.2</v>
      </c>
      <c r="J1486" s="20"/>
      <c r="K1486" s="21"/>
      <c r="L1486" s="21"/>
      <c r="M1486" s="21"/>
      <c r="N1486" s="21"/>
      <c r="O1486" s="21"/>
      <c r="R1486">
        <v>5.2</v>
      </c>
    </row>
    <row r="1487" spans="2:18" ht="14.15" customHeight="1" x14ac:dyDescent="0.35">
      <c r="B1487" s="100">
        <f t="shared" si="26"/>
        <v>1472</v>
      </c>
      <c r="C1487" s="114" t="s">
        <v>1487</v>
      </c>
      <c r="D1487" s="115">
        <v>9519851</v>
      </c>
      <c r="E1487" s="115"/>
      <c r="F1487" s="103">
        <v>38383</v>
      </c>
      <c r="G1487" s="99">
        <v>9.6999999999999993</v>
      </c>
      <c r="H1487" s="115">
        <v>2.89</v>
      </c>
      <c r="I1487" s="99">
        <v>9.6999999999999993</v>
      </c>
      <c r="J1487" s="20"/>
      <c r="K1487" s="21"/>
      <c r="L1487" s="21"/>
      <c r="M1487" s="21"/>
      <c r="N1487" s="21"/>
      <c r="O1487" s="21"/>
      <c r="R1487">
        <v>9.6999999999999993</v>
      </c>
    </row>
    <row r="1488" spans="2:18" ht="14.15" customHeight="1" x14ac:dyDescent="0.35">
      <c r="B1488" s="100">
        <f t="shared" si="26"/>
        <v>1473</v>
      </c>
      <c r="C1488" s="117" t="s">
        <v>1488</v>
      </c>
      <c r="D1488" s="115">
        <v>9722040</v>
      </c>
      <c r="E1488" s="115"/>
      <c r="F1488" s="103">
        <v>38383</v>
      </c>
      <c r="G1488" s="99">
        <v>7.7</v>
      </c>
      <c r="H1488" s="115">
        <v>2.61</v>
      </c>
      <c r="I1488" s="99">
        <v>7.7</v>
      </c>
      <c r="J1488" s="20"/>
      <c r="K1488" s="21"/>
      <c r="L1488" s="21"/>
      <c r="M1488" s="21"/>
      <c r="N1488" s="21"/>
      <c r="O1488" s="21"/>
      <c r="R1488">
        <v>7.7</v>
      </c>
    </row>
    <row r="1489" spans="2:18" ht="14.15" customHeight="1" x14ac:dyDescent="0.35">
      <c r="B1489" s="100">
        <f t="shared" si="26"/>
        <v>1474</v>
      </c>
      <c r="C1489" s="117" t="s">
        <v>1489</v>
      </c>
      <c r="D1489" s="115">
        <v>9822402</v>
      </c>
      <c r="E1489" s="115"/>
      <c r="F1489" s="103">
        <v>38383</v>
      </c>
      <c r="G1489" s="99">
        <v>6.5</v>
      </c>
      <c r="H1489" s="115">
        <v>2.4</v>
      </c>
      <c r="I1489" s="99">
        <v>6.5</v>
      </c>
      <c r="J1489" s="20"/>
      <c r="K1489" s="21"/>
      <c r="L1489" s="21"/>
      <c r="M1489" s="21"/>
      <c r="N1489" s="21"/>
      <c r="O1489" s="21"/>
      <c r="R1489">
        <v>6.5</v>
      </c>
    </row>
    <row r="1490" spans="2:18" ht="14.15" customHeight="1" x14ac:dyDescent="0.35">
      <c r="B1490" s="100">
        <f t="shared" si="26"/>
        <v>1475</v>
      </c>
      <c r="C1490" s="117" t="s">
        <v>1490</v>
      </c>
      <c r="D1490" s="115">
        <v>9823097</v>
      </c>
      <c r="E1490" s="115"/>
      <c r="F1490" s="103">
        <v>38383</v>
      </c>
      <c r="G1490" s="99">
        <v>6.5</v>
      </c>
      <c r="H1490" s="115">
        <v>3.02</v>
      </c>
      <c r="I1490" s="99">
        <v>6.5</v>
      </c>
      <c r="J1490" s="20"/>
      <c r="K1490" s="21"/>
      <c r="L1490" s="21"/>
      <c r="M1490" s="21"/>
      <c r="N1490" s="21"/>
      <c r="O1490" s="21"/>
      <c r="R1490">
        <v>6.5</v>
      </c>
    </row>
    <row r="1491" spans="2:18" ht="14.15" customHeight="1" x14ac:dyDescent="0.35">
      <c r="B1491" s="100">
        <f t="shared" si="26"/>
        <v>1476</v>
      </c>
      <c r="C1491" s="117" t="s">
        <v>1491</v>
      </c>
      <c r="D1491" s="115">
        <v>9823167</v>
      </c>
      <c r="E1491" s="115"/>
      <c r="F1491" s="103">
        <v>38383</v>
      </c>
      <c r="G1491" s="99">
        <v>6.5</v>
      </c>
      <c r="H1491" s="115">
        <v>2.4</v>
      </c>
      <c r="I1491" s="99">
        <v>6.5</v>
      </c>
      <c r="J1491" s="20"/>
      <c r="K1491" s="21"/>
      <c r="L1491" s="21"/>
      <c r="M1491" s="21"/>
      <c r="N1491" s="21"/>
      <c r="O1491" s="21"/>
      <c r="R1491">
        <v>6.5</v>
      </c>
    </row>
    <row r="1492" spans="2:18" s="5" customFormat="1" ht="14.15" customHeight="1" x14ac:dyDescent="0.3">
      <c r="B1492" s="100">
        <f t="shared" si="26"/>
        <v>1477</v>
      </c>
      <c r="C1492" s="118" t="s">
        <v>1492</v>
      </c>
      <c r="D1492" s="119">
        <v>9823192</v>
      </c>
      <c r="E1492" s="119"/>
      <c r="F1492" s="120">
        <v>38383</v>
      </c>
      <c r="G1492" s="99">
        <v>6.5</v>
      </c>
      <c r="H1492" s="119">
        <v>2.91</v>
      </c>
      <c r="I1492" s="121">
        <v>6.5</v>
      </c>
      <c r="J1492" s="26"/>
      <c r="K1492" s="27"/>
      <c r="L1492" s="27"/>
      <c r="M1492" s="27"/>
      <c r="N1492" s="27"/>
      <c r="O1492" s="27"/>
      <c r="R1492" s="5">
        <v>6.5</v>
      </c>
    </row>
    <row r="1493" spans="2:18" ht="14.15" customHeight="1" x14ac:dyDescent="0.35">
      <c r="B1493" s="100">
        <f t="shared" si="26"/>
        <v>1478</v>
      </c>
      <c r="C1493" s="117" t="s">
        <v>1493</v>
      </c>
      <c r="D1493" s="115">
        <v>9823221</v>
      </c>
      <c r="E1493" s="115"/>
      <c r="F1493" s="103">
        <v>38383</v>
      </c>
      <c r="G1493" s="99">
        <v>6.5</v>
      </c>
      <c r="H1493" s="115">
        <v>2.42</v>
      </c>
      <c r="I1493" s="99">
        <v>6.5</v>
      </c>
      <c r="J1493" s="20"/>
      <c r="K1493" s="21"/>
      <c r="L1493" s="21"/>
      <c r="M1493" s="21"/>
      <c r="N1493" s="21"/>
      <c r="O1493" s="21"/>
      <c r="R1493">
        <v>6.5</v>
      </c>
    </row>
    <row r="1494" spans="2:18" ht="14.15" customHeight="1" x14ac:dyDescent="0.35">
      <c r="B1494" s="100">
        <f t="shared" si="26"/>
        <v>1479</v>
      </c>
      <c r="C1494" s="117" t="s">
        <v>1494</v>
      </c>
      <c r="D1494" s="115">
        <v>9823317</v>
      </c>
      <c r="E1494" s="115"/>
      <c r="F1494" s="103">
        <v>38383</v>
      </c>
      <c r="G1494" s="99">
        <v>6.5</v>
      </c>
      <c r="H1494" s="115">
        <v>2.48</v>
      </c>
      <c r="I1494" s="99">
        <v>6.5</v>
      </c>
      <c r="J1494" s="20"/>
      <c r="K1494" s="21"/>
      <c r="L1494" s="21"/>
      <c r="M1494" s="21"/>
      <c r="N1494" s="21"/>
      <c r="O1494" s="21"/>
      <c r="R1494">
        <v>6.5</v>
      </c>
    </row>
    <row r="1495" spans="2:18" ht="14.15" customHeight="1" x14ac:dyDescent="0.35">
      <c r="B1495" s="100">
        <f t="shared" si="26"/>
        <v>1480</v>
      </c>
      <c r="C1495" s="117" t="s">
        <v>1495</v>
      </c>
      <c r="D1495" s="115">
        <v>9923808</v>
      </c>
      <c r="E1495" s="115"/>
      <c r="F1495" s="103">
        <v>38383</v>
      </c>
      <c r="G1495" s="99">
        <v>5.5</v>
      </c>
      <c r="H1495" s="115">
        <v>2.72</v>
      </c>
      <c r="I1495" s="99">
        <v>5.5</v>
      </c>
      <c r="J1495" s="20"/>
      <c r="K1495" s="21"/>
      <c r="L1495" s="21"/>
      <c r="M1495" s="21"/>
      <c r="N1495" s="21"/>
      <c r="O1495" s="21"/>
      <c r="R1495">
        <v>5.5</v>
      </c>
    </row>
    <row r="1496" spans="2:18" ht="14.15" customHeight="1" x14ac:dyDescent="0.35">
      <c r="B1496" s="100">
        <f t="shared" si="26"/>
        <v>1481</v>
      </c>
      <c r="C1496" s="117" t="s">
        <v>1496</v>
      </c>
      <c r="D1496" s="115">
        <v>9923883</v>
      </c>
      <c r="E1496" s="115"/>
      <c r="F1496" s="103">
        <v>38383</v>
      </c>
      <c r="G1496" s="99">
        <v>5.5</v>
      </c>
      <c r="H1496" s="115">
        <v>2.56</v>
      </c>
      <c r="I1496" s="99">
        <v>5.5</v>
      </c>
      <c r="J1496" s="20"/>
      <c r="K1496" s="21"/>
      <c r="L1496" s="21"/>
      <c r="M1496" s="21"/>
      <c r="N1496" s="21"/>
      <c r="O1496" s="21"/>
      <c r="R1496">
        <v>5.5</v>
      </c>
    </row>
    <row r="1497" spans="2:18" ht="14.15" customHeight="1" x14ac:dyDescent="0.35">
      <c r="B1497" s="100">
        <f t="shared" si="26"/>
        <v>1482</v>
      </c>
      <c r="C1497" s="117" t="s">
        <v>1497</v>
      </c>
      <c r="D1497" s="115">
        <v>9923972</v>
      </c>
      <c r="E1497" s="115"/>
      <c r="F1497" s="103">
        <v>38383</v>
      </c>
      <c r="G1497" s="99">
        <v>5.5</v>
      </c>
      <c r="H1497" s="115">
        <v>2.44</v>
      </c>
      <c r="I1497" s="99">
        <v>5.5</v>
      </c>
      <c r="J1497" s="20"/>
      <c r="K1497" s="21"/>
      <c r="L1497" s="21"/>
      <c r="M1497" s="21"/>
      <c r="N1497" s="21"/>
      <c r="O1497" s="21"/>
      <c r="R1497">
        <v>5.5</v>
      </c>
    </row>
    <row r="1498" spans="2:18" ht="14.15" customHeight="1" x14ac:dyDescent="0.35">
      <c r="B1498" s="100">
        <f t="shared" si="26"/>
        <v>1483</v>
      </c>
      <c r="C1498" s="117" t="s">
        <v>1498</v>
      </c>
      <c r="D1498" s="115">
        <v>9924040</v>
      </c>
      <c r="E1498" s="115"/>
      <c r="F1498" s="103">
        <v>38383</v>
      </c>
      <c r="G1498" s="99">
        <v>5.5</v>
      </c>
      <c r="H1498" s="115">
        <v>2.4900000000000002</v>
      </c>
      <c r="I1498" s="99">
        <v>5.5</v>
      </c>
      <c r="J1498" s="20"/>
      <c r="K1498" s="21"/>
      <c r="L1498" s="21"/>
      <c r="M1498" s="21"/>
      <c r="N1498" s="21"/>
      <c r="O1498" s="21"/>
      <c r="R1498">
        <v>5.5</v>
      </c>
    </row>
    <row r="1499" spans="2:18" ht="14.15" customHeight="1" x14ac:dyDescent="0.35">
      <c r="B1499" s="100">
        <f t="shared" si="26"/>
        <v>1484</v>
      </c>
      <c r="C1499" s="117" t="s">
        <v>1499</v>
      </c>
      <c r="D1499" s="115">
        <v>9924062</v>
      </c>
      <c r="E1499" s="115"/>
      <c r="F1499" s="103">
        <v>38383</v>
      </c>
      <c r="G1499" s="99">
        <v>5.5</v>
      </c>
      <c r="H1499" s="115">
        <v>2.88</v>
      </c>
      <c r="I1499" s="99">
        <v>5.5</v>
      </c>
      <c r="J1499" s="20"/>
      <c r="K1499" s="21"/>
      <c r="L1499" s="21"/>
      <c r="M1499" s="21"/>
      <c r="N1499" s="21"/>
      <c r="O1499" s="21"/>
      <c r="R1499">
        <v>5.5</v>
      </c>
    </row>
    <row r="1500" spans="2:18" ht="14.15" customHeight="1" x14ac:dyDescent="0.35">
      <c r="B1500" s="100">
        <f t="shared" si="26"/>
        <v>1485</v>
      </c>
      <c r="C1500" s="117" t="s">
        <v>1500</v>
      </c>
      <c r="D1500" s="115">
        <v>9924097</v>
      </c>
      <c r="E1500" s="115"/>
      <c r="F1500" s="103">
        <v>38383</v>
      </c>
      <c r="G1500" s="99">
        <v>5.5</v>
      </c>
      <c r="H1500" s="115">
        <v>2.68</v>
      </c>
      <c r="I1500" s="99">
        <v>5.5</v>
      </c>
      <c r="J1500" s="20"/>
      <c r="K1500" s="21"/>
      <c r="L1500" s="21"/>
      <c r="M1500" s="21"/>
      <c r="N1500" s="21"/>
      <c r="O1500" s="21"/>
      <c r="R1500">
        <v>5.5</v>
      </c>
    </row>
    <row r="1501" spans="2:18" ht="14.15" customHeight="1" x14ac:dyDescent="0.35">
      <c r="B1501" s="100">
        <f t="shared" si="26"/>
        <v>1486</v>
      </c>
      <c r="C1501" s="117" t="s">
        <v>1501</v>
      </c>
      <c r="D1501" s="115">
        <v>9924247</v>
      </c>
      <c r="E1501" s="115"/>
      <c r="F1501" s="103">
        <v>38383</v>
      </c>
      <c r="G1501" s="99">
        <v>5.5</v>
      </c>
      <c r="H1501" s="115">
        <v>2.9</v>
      </c>
      <c r="I1501" s="99">
        <v>5.5</v>
      </c>
      <c r="J1501" s="20"/>
      <c r="K1501" s="21"/>
      <c r="L1501" s="21"/>
      <c r="M1501" s="21"/>
      <c r="N1501" s="21"/>
      <c r="O1501" s="21"/>
      <c r="R1501">
        <v>5.5</v>
      </c>
    </row>
    <row r="1502" spans="2:18" ht="14.15" customHeight="1" x14ac:dyDescent="0.35">
      <c r="B1502" s="100">
        <f t="shared" si="26"/>
        <v>1487</v>
      </c>
      <c r="C1502" s="117" t="s">
        <v>1502</v>
      </c>
      <c r="D1502" s="115">
        <v>9924303</v>
      </c>
      <c r="E1502" s="115"/>
      <c r="F1502" s="103">
        <v>38383</v>
      </c>
      <c r="G1502" s="99">
        <v>5.5</v>
      </c>
      <c r="H1502" s="115">
        <v>2.63</v>
      </c>
      <c r="I1502" s="99">
        <v>5.5</v>
      </c>
      <c r="J1502" s="20"/>
      <c r="K1502" s="21"/>
      <c r="L1502" s="21"/>
      <c r="M1502" s="21"/>
      <c r="N1502" s="21"/>
      <c r="O1502" s="21"/>
      <c r="R1502">
        <v>5.5</v>
      </c>
    </row>
    <row r="1503" spans="2:18" ht="14.15" customHeight="1" x14ac:dyDescent="0.35">
      <c r="B1503" s="100">
        <f t="shared" si="26"/>
        <v>1488</v>
      </c>
      <c r="C1503" s="117" t="s">
        <v>1503</v>
      </c>
      <c r="D1503" s="115">
        <v>9924412</v>
      </c>
      <c r="E1503" s="115"/>
      <c r="F1503" s="103">
        <v>38383</v>
      </c>
      <c r="G1503" s="99">
        <v>5.5</v>
      </c>
      <c r="H1503" s="115">
        <v>3.06</v>
      </c>
      <c r="I1503" s="99">
        <v>5.5</v>
      </c>
      <c r="J1503" s="20"/>
      <c r="K1503" s="21"/>
      <c r="L1503" s="21"/>
      <c r="M1503" s="21"/>
      <c r="N1503" s="21"/>
      <c r="O1503" s="21"/>
      <c r="R1503">
        <v>5.5</v>
      </c>
    </row>
    <row r="1504" spans="2:18" ht="14.15" customHeight="1" x14ac:dyDescent="0.35">
      <c r="B1504" s="100">
        <f t="shared" si="26"/>
        <v>1489</v>
      </c>
      <c r="C1504" s="117" t="s">
        <v>1504</v>
      </c>
      <c r="D1504" s="115">
        <v>9924438</v>
      </c>
      <c r="E1504" s="115"/>
      <c r="F1504" s="103">
        <v>38383</v>
      </c>
      <c r="G1504" s="99">
        <v>5.5</v>
      </c>
      <c r="H1504" s="115">
        <v>2.66</v>
      </c>
      <c r="I1504" s="99">
        <v>5.5</v>
      </c>
      <c r="J1504" s="20"/>
      <c r="K1504" s="21"/>
      <c r="L1504" s="21"/>
      <c r="M1504" s="21"/>
      <c r="N1504" s="21"/>
      <c r="O1504" s="21"/>
      <c r="R1504">
        <v>5.5</v>
      </c>
    </row>
    <row r="1505" spans="2:18" ht="14.15" customHeight="1" x14ac:dyDescent="0.35">
      <c r="B1505" s="100">
        <f t="shared" si="26"/>
        <v>1490</v>
      </c>
      <c r="C1505" s="117" t="s">
        <v>1505</v>
      </c>
      <c r="D1505" s="115">
        <v>9924504</v>
      </c>
      <c r="E1505" s="115"/>
      <c r="F1505" s="103">
        <v>38383</v>
      </c>
      <c r="G1505" s="99">
        <v>5.5</v>
      </c>
      <c r="H1505" s="115">
        <v>2.94</v>
      </c>
      <c r="I1505" s="99">
        <v>5.5</v>
      </c>
      <c r="J1505" s="20"/>
      <c r="K1505" s="21"/>
      <c r="L1505" s="21"/>
      <c r="M1505" s="21"/>
      <c r="N1505" s="21"/>
      <c r="O1505" s="21"/>
      <c r="R1505">
        <v>5.5</v>
      </c>
    </row>
    <row r="1506" spans="2:18" ht="14.15" customHeight="1" x14ac:dyDescent="0.35">
      <c r="B1506" s="100">
        <f t="shared" si="26"/>
        <v>1491</v>
      </c>
      <c r="C1506" s="117" t="s">
        <v>1506</v>
      </c>
      <c r="D1506" s="115">
        <v>9924542</v>
      </c>
      <c r="E1506" s="115"/>
      <c r="F1506" s="103">
        <v>38383</v>
      </c>
      <c r="G1506" s="99">
        <v>5.5</v>
      </c>
      <c r="H1506" s="115">
        <v>2.88</v>
      </c>
      <c r="I1506" s="99">
        <v>5.5</v>
      </c>
      <c r="J1506" s="20"/>
      <c r="K1506" s="21"/>
      <c r="L1506" s="21"/>
      <c r="M1506" s="21"/>
      <c r="N1506" s="21"/>
      <c r="O1506" s="21"/>
      <c r="R1506">
        <v>5.5</v>
      </c>
    </row>
    <row r="1507" spans="2:18" ht="14.15" customHeight="1" x14ac:dyDescent="0.35">
      <c r="B1507" s="100">
        <f t="shared" si="26"/>
        <v>1492</v>
      </c>
      <c r="C1507" s="117" t="s">
        <v>1507</v>
      </c>
      <c r="D1507" s="115" t="s">
        <v>1508</v>
      </c>
      <c r="E1507" s="115"/>
      <c r="F1507" s="103">
        <v>38383</v>
      </c>
      <c r="G1507" s="99">
        <v>4.5</v>
      </c>
      <c r="H1507" s="115">
        <v>2.91</v>
      </c>
      <c r="I1507" s="99">
        <v>4.5</v>
      </c>
      <c r="J1507" s="20"/>
      <c r="K1507" s="21"/>
      <c r="L1507" s="21"/>
      <c r="M1507" s="21"/>
      <c r="N1507" s="21"/>
      <c r="O1507" s="21"/>
      <c r="R1507">
        <v>4.5</v>
      </c>
    </row>
    <row r="1508" spans="2:18" ht="14.15" customHeight="1" x14ac:dyDescent="0.35">
      <c r="B1508" s="100">
        <f t="shared" si="26"/>
        <v>1493</v>
      </c>
      <c r="C1508" s="117" t="s">
        <v>1509</v>
      </c>
      <c r="D1508" s="115" t="s">
        <v>1510</v>
      </c>
      <c r="E1508" s="115"/>
      <c r="F1508" s="103">
        <v>38383</v>
      </c>
      <c r="G1508" s="99">
        <v>4.5</v>
      </c>
      <c r="H1508" s="115">
        <v>3.2</v>
      </c>
      <c r="I1508" s="99">
        <v>4.5</v>
      </c>
      <c r="J1508" s="20"/>
      <c r="K1508" s="21"/>
      <c r="L1508" s="21"/>
      <c r="M1508" s="21"/>
      <c r="N1508" s="21"/>
      <c r="O1508" s="21"/>
      <c r="R1508">
        <v>4.5</v>
      </c>
    </row>
    <row r="1509" spans="2:18" ht="14.15" customHeight="1" x14ac:dyDescent="0.35">
      <c r="B1509" s="100">
        <f t="shared" si="26"/>
        <v>1494</v>
      </c>
      <c r="C1509" s="117" t="s">
        <v>1511</v>
      </c>
      <c r="D1509" s="115" t="s">
        <v>1512</v>
      </c>
      <c r="E1509" s="115"/>
      <c r="F1509" s="103">
        <v>38383</v>
      </c>
      <c r="G1509" s="99">
        <v>4.5</v>
      </c>
      <c r="H1509" s="115">
        <v>3.21</v>
      </c>
      <c r="I1509" s="99">
        <v>4.5</v>
      </c>
      <c r="J1509" s="20"/>
      <c r="K1509" s="21"/>
      <c r="L1509" s="21"/>
      <c r="M1509" s="21"/>
      <c r="N1509" s="21"/>
      <c r="O1509" s="21"/>
      <c r="R1509">
        <v>4.5</v>
      </c>
    </row>
    <row r="1510" spans="2:18" ht="14.15" customHeight="1" x14ac:dyDescent="0.35">
      <c r="B1510" s="100">
        <f t="shared" si="26"/>
        <v>1495</v>
      </c>
      <c r="C1510" s="117" t="s">
        <v>1513</v>
      </c>
      <c r="D1510" s="115" t="s">
        <v>1514</v>
      </c>
      <c r="E1510" s="115"/>
      <c r="F1510" s="103">
        <v>38383</v>
      </c>
      <c r="G1510" s="99">
        <v>4.5</v>
      </c>
      <c r="H1510" s="115">
        <v>3.51</v>
      </c>
      <c r="I1510" s="99">
        <v>4.5</v>
      </c>
      <c r="J1510" s="20"/>
      <c r="K1510" s="21"/>
      <c r="L1510" s="21"/>
      <c r="M1510" s="21"/>
      <c r="N1510" s="21"/>
      <c r="O1510" s="21"/>
      <c r="R1510">
        <v>4.5</v>
      </c>
    </row>
    <row r="1511" spans="2:18" ht="14.15" customHeight="1" x14ac:dyDescent="0.35">
      <c r="B1511" s="100">
        <f t="shared" si="26"/>
        <v>1496</v>
      </c>
      <c r="C1511" s="117" t="s">
        <v>1515</v>
      </c>
      <c r="D1511" s="115" t="s">
        <v>1516</v>
      </c>
      <c r="E1511" s="115"/>
      <c r="F1511" s="103">
        <v>38383</v>
      </c>
      <c r="G1511" s="99">
        <v>4.5</v>
      </c>
      <c r="H1511" s="115">
        <v>3.57</v>
      </c>
      <c r="I1511" s="99">
        <v>4.5</v>
      </c>
      <c r="J1511" s="20"/>
      <c r="K1511" s="21"/>
      <c r="L1511" s="21"/>
      <c r="M1511" s="21"/>
      <c r="N1511" s="21"/>
      <c r="O1511" s="21"/>
      <c r="R1511">
        <v>4.5</v>
      </c>
    </row>
    <row r="1512" spans="2:18" ht="14.15" customHeight="1" x14ac:dyDescent="0.35">
      <c r="B1512" s="100">
        <f t="shared" si="26"/>
        <v>1497</v>
      </c>
      <c r="C1512" s="117" t="s">
        <v>1517</v>
      </c>
      <c r="D1512" s="115" t="s">
        <v>1518</v>
      </c>
      <c r="E1512" s="115"/>
      <c r="F1512" s="103">
        <v>38383</v>
      </c>
      <c r="G1512" s="99">
        <v>4.5</v>
      </c>
      <c r="H1512" s="115">
        <v>3.15</v>
      </c>
      <c r="I1512" s="99">
        <v>4.5</v>
      </c>
      <c r="J1512" s="20"/>
      <c r="K1512" s="21"/>
      <c r="L1512" s="21"/>
      <c r="M1512" s="21"/>
      <c r="N1512" s="21"/>
      <c r="O1512" s="21"/>
      <c r="R1512">
        <v>4.5</v>
      </c>
    </row>
    <row r="1513" spans="2:18" ht="14.15" customHeight="1" x14ac:dyDescent="0.35">
      <c r="B1513" s="100">
        <f t="shared" si="26"/>
        <v>1498</v>
      </c>
      <c r="C1513" s="117" t="s">
        <v>1519</v>
      </c>
      <c r="D1513" s="115" t="s">
        <v>1520</v>
      </c>
      <c r="E1513" s="115"/>
      <c r="F1513" s="103">
        <v>38383</v>
      </c>
      <c r="G1513" s="99">
        <v>4.5</v>
      </c>
      <c r="H1513" s="115">
        <v>3.04</v>
      </c>
      <c r="I1513" s="99">
        <v>4.5</v>
      </c>
      <c r="J1513" s="20"/>
      <c r="K1513" s="21"/>
      <c r="L1513" s="21"/>
      <c r="M1513" s="21"/>
      <c r="N1513" s="21"/>
      <c r="O1513" s="21"/>
      <c r="R1513">
        <v>4.5</v>
      </c>
    </row>
    <row r="1514" spans="2:18" ht="14.15" customHeight="1" x14ac:dyDescent="0.35">
      <c r="B1514" s="100">
        <f t="shared" si="26"/>
        <v>1499</v>
      </c>
      <c r="C1514" s="117" t="s">
        <v>1521</v>
      </c>
      <c r="D1514" s="115" t="s">
        <v>1522</v>
      </c>
      <c r="E1514" s="115"/>
      <c r="F1514" s="103">
        <v>38383</v>
      </c>
      <c r="G1514" s="99">
        <v>4.5</v>
      </c>
      <c r="H1514" s="115">
        <v>2.93</v>
      </c>
      <c r="I1514" s="99">
        <v>4.5</v>
      </c>
      <c r="J1514" s="20"/>
      <c r="K1514" s="21"/>
      <c r="L1514" s="21"/>
      <c r="M1514" s="21"/>
      <c r="N1514" s="21"/>
      <c r="O1514" s="21"/>
      <c r="R1514">
        <v>4.5</v>
      </c>
    </row>
    <row r="1515" spans="2:18" ht="14.15" customHeight="1" x14ac:dyDescent="0.35">
      <c r="B1515" s="100">
        <f t="shared" si="26"/>
        <v>1500</v>
      </c>
      <c r="C1515" s="117" t="s">
        <v>1523</v>
      </c>
      <c r="D1515" s="115" t="s">
        <v>1524</v>
      </c>
      <c r="E1515" s="115"/>
      <c r="F1515" s="103">
        <v>38383</v>
      </c>
      <c r="G1515" s="99">
        <v>4.5</v>
      </c>
      <c r="H1515" s="115">
        <v>3.51</v>
      </c>
      <c r="I1515" s="99">
        <v>4.5</v>
      </c>
      <c r="J1515" s="20"/>
      <c r="K1515" s="21"/>
      <c r="L1515" s="21"/>
      <c r="M1515" s="21"/>
      <c r="N1515" s="21"/>
      <c r="O1515" s="21"/>
      <c r="R1515">
        <v>4.5</v>
      </c>
    </row>
    <row r="1516" spans="2:18" ht="14.15" customHeight="1" x14ac:dyDescent="0.35">
      <c r="B1516" s="100">
        <f t="shared" si="26"/>
        <v>1501</v>
      </c>
      <c r="C1516" s="117" t="s">
        <v>1525</v>
      </c>
      <c r="D1516" s="115" t="s">
        <v>1526</v>
      </c>
      <c r="E1516" s="115"/>
      <c r="F1516" s="103">
        <v>38383</v>
      </c>
      <c r="G1516" s="99">
        <v>4.5</v>
      </c>
      <c r="H1516" s="115">
        <v>3.41</v>
      </c>
      <c r="I1516" s="99">
        <v>4.5</v>
      </c>
      <c r="J1516" s="20"/>
      <c r="K1516" s="21"/>
      <c r="L1516" s="21"/>
      <c r="M1516" s="21"/>
      <c r="N1516" s="21"/>
      <c r="O1516" s="21"/>
      <c r="R1516">
        <v>4.5</v>
      </c>
    </row>
    <row r="1517" spans="2:18" ht="14.15" customHeight="1" x14ac:dyDescent="0.35">
      <c r="B1517" s="100">
        <f t="shared" si="26"/>
        <v>1502</v>
      </c>
      <c r="C1517" s="117" t="s">
        <v>1527</v>
      </c>
      <c r="D1517" s="115" t="s">
        <v>1528</v>
      </c>
      <c r="E1517" s="115"/>
      <c r="F1517" s="103">
        <v>38383</v>
      </c>
      <c r="G1517" s="99">
        <v>4.5</v>
      </c>
      <c r="H1517" s="115">
        <v>3.01</v>
      </c>
      <c r="I1517" s="99">
        <v>4.5</v>
      </c>
      <c r="J1517" s="20"/>
      <c r="K1517" s="21"/>
      <c r="L1517" s="21"/>
      <c r="M1517" s="21"/>
      <c r="N1517" s="21"/>
      <c r="O1517" s="21"/>
      <c r="R1517">
        <v>4.5</v>
      </c>
    </row>
    <row r="1518" spans="2:18" ht="14.15" customHeight="1" x14ac:dyDescent="0.35">
      <c r="B1518" s="100">
        <f t="shared" si="26"/>
        <v>1503</v>
      </c>
      <c r="C1518" s="117" t="s">
        <v>1529</v>
      </c>
      <c r="D1518" s="115" t="s">
        <v>1530</v>
      </c>
      <c r="E1518" s="115"/>
      <c r="F1518" s="103">
        <v>38383</v>
      </c>
      <c r="G1518" s="99">
        <v>4.5</v>
      </c>
      <c r="H1518" s="115">
        <v>3.36</v>
      </c>
      <c r="I1518" s="99">
        <v>4.5</v>
      </c>
      <c r="J1518" s="20"/>
      <c r="K1518" s="21"/>
      <c r="L1518" s="21"/>
      <c r="M1518" s="21"/>
      <c r="N1518" s="21"/>
      <c r="O1518" s="21"/>
      <c r="R1518">
        <v>4.5</v>
      </c>
    </row>
    <row r="1519" spans="2:18" ht="14.15" customHeight="1" x14ac:dyDescent="0.35">
      <c r="B1519" s="100">
        <f t="shared" si="26"/>
        <v>1504</v>
      </c>
      <c r="C1519" s="117" t="s">
        <v>1531</v>
      </c>
      <c r="D1519" s="115" t="s">
        <v>1532</v>
      </c>
      <c r="E1519" s="115"/>
      <c r="F1519" s="103">
        <v>38383</v>
      </c>
      <c r="G1519" s="99">
        <v>4.5</v>
      </c>
      <c r="H1519" s="115">
        <v>3.37</v>
      </c>
      <c r="I1519" s="99">
        <v>4.5</v>
      </c>
      <c r="J1519" s="20"/>
      <c r="K1519" s="21"/>
      <c r="L1519" s="21"/>
      <c r="M1519" s="21"/>
      <c r="N1519" s="21"/>
      <c r="O1519" s="21"/>
      <c r="R1519">
        <v>4.5</v>
      </c>
    </row>
    <row r="1520" spans="2:18" ht="14.15" customHeight="1" x14ac:dyDescent="0.35">
      <c r="B1520" s="100">
        <f t="shared" si="26"/>
        <v>1505</v>
      </c>
      <c r="C1520" s="117" t="s">
        <v>1533</v>
      </c>
      <c r="D1520" s="115" t="s">
        <v>1534</v>
      </c>
      <c r="E1520" s="115"/>
      <c r="F1520" s="103">
        <v>38383</v>
      </c>
      <c r="G1520" s="99">
        <v>4.5</v>
      </c>
      <c r="H1520" s="115">
        <v>2.97</v>
      </c>
      <c r="I1520" s="99">
        <v>4.5</v>
      </c>
      <c r="J1520" s="20"/>
      <c r="K1520" s="21"/>
      <c r="L1520" s="21"/>
      <c r="M1520" s="21"/>
      <c r="N1520" s="21"/>
      <c r="O1520" s="21"/>
      <c r="R1520">
        <v>4.5</v>
      </c>
    </row>
    <row r="1521" spans="2:18" ht="14.15" customHeight="1" x14ac:dyDescent="0.35">
      <c r="B1521" s="100">
        <f t="shared" si="26"/>
        <v>1506</v>
      </c>
      <c r="C1521" s="101" t="s">
        <v>1535</v>
      </c>
      <c r="D1521" s="99" t="s">
        <v>1536</v>
      </c>
      <c r="E1521" s="99"/>
      <c r="F1521" s="103">
        <v>38472</v>
      </c>
      <c r="G1521" s="99">
        <v>4.7</v>
      </c>
      <c r="H1521" s="99">
        <v>3.14</v>
      </c>
      <c r="I1521" s="99">
        <v>4.7</v>
      </c>
      <c r="J1521" s="20"/>
      <c r="K1521" s="21"/>
      <c r="L1521" s="21"/>
      <c r="M1521" s="21"/>
      <c r="N1521" s="21"/>
      <c r="O1521" s="21"/>
      <c r="R1521">
        <v>4.7</v>
      </c>
    </row>
    <row r="1522" spans="2:18" ht="14.15" customHeight="1" x14ac:dyDescent="0.35">
      <c r="B1522" s="100">
        <f t="shared" si="26"/>
        <v>1507</v>
      </c>
      <c r="C1522" s="101" t="s">
        <v>1537</v>
      </c>
      <c r="D1522" s="99" t="s">
        <v>1538</v>
      </c>
      <c r="E1522" s="99"/>
      <c r="F1522" s="103">
        <v>38472</v>
      </c>
      <c r="G1522" s="99">
        <v>4.7</v>
      </c>
      <c r="H1522" s="99">
        <v>3.03</v>
      </c>
      <c r="I1522" s="99">
        <v>4.7</v>
      </c>
      <c r="J1522" s="20"/>
      <c r="K1522" s="21"/>
      <c r="L1522" s="21"/>
      <c r="M1522" s="21"/>
      <c r="N1522" s="21"/>
      <c r="O1522" s="21"/>
      <c r="R1522">
        <v>4.7</v>
      </c>
    </row>
    <row r="1523" spans="2:18" ht="14.15" customHeight="1" x14ac:dyDescent="0.35">
      <c r="B1523" s="100">
        <f t="shared" si="26"/>
        <v>1508</v>
      </c>
      <c r="C1523" s="101" t="s">
        <v>1539</v>
      </c>
      <c r="D1523" s="99" t="s">
        <v>1540</v>
      </c>
      <c r="E1523" s="99"/>
      <c r="F1523" s="103">
        <v>38472</v>
      </c>
      <c r="G1523" s="99">
        <v>4.7</v>
      </c>
      <c r="H1523" s="99">
        <v>3.21</v>
      </c>
      <c r="I1523" s="99">
        <v>4.7</v>
      </c>
      <c r="J1523" s="20"/>
      <c r="K1523" s="21"/>
      <c r="L1523" s="21"/>
      <c r="M1523" s="21"/>
      <c r="N1523" s="21"/>
      <c r="O1523" s="21"/>
      <c r="R1523">
        <v>4.7</v>
      </c>
    </row>
    <row r="1524" spans="2:18" ht="14.15" customHeight="1" x14ac:dyDescent="0.35">
      <c r="B1524" s="100">
        <f t="shared" si="26"/>
        <v>1509</v>
      </c>
      <c r="C1524" s="101" t="s">
        <v>1541</v>
      </c>
      <c r="D1524" s="99" t="s">
        <v>1542</v>
      </c>
      <c r="E1524" s="99"/>
      <c r="F1524" s="103">
        <v>38472</v>
      </c>
      <c r="G1524" s="99">
        <v>4.7</v>
      </c>
      <c r="H1524" s="99">
        <v>3.26</v>
      </c>
      <c r="I1524" s="99">
        <v>4.7</v>
      </c>
      <c r="J1524" s="20"/>
      <c r="K1524" s="21"/>
      <c r="L1524" s="21"/>
      <c r="M1524" s="21"/>
      <c r="N1524" s="21"/>
      <c r="O1524" s="21"/>
      <c r="R1524">
        <v>4.7</v>
      </c>
    </row>
    <row r="1525" spans="2:18" ht="14.15" customHeight="1" x14ac:dyDescent="0.35">
      <c r="B1525" s="100">
        <f t="shared" si="26"/>
        <v>1510</v>
      </c>
      <c r="C1525" s="101" t="s">
        <v>1543</v>
      </c>
      <c r="D1525" s="99" t="s">
        <v>1544</v>
      </c>
      <c r="E1525" s="99"/>
      <c r="F1525" s="103">
        <v>38472</v>
      </c>
      <c r="G1525" s="99">
        <v>4.7</v>
      </c>
      <c r="H1525" s="99">
        <v>3.53</v>
      </c>
      <c r="I1525" s="99">
        <v>4.7</v>
      </c>
      <c r="J1525" s="20"/>
      <c r="K1525" s="21"/>
      <c r="L1525" s="21"/>
      <c r="M1525" s="21"/>
      <c r="N1525" s="21"/>
      <c r="O1525" s="21"/>
      <c r="R1525">
        <v>4.7</v>
      </c>
    </row>
    <row r="1526" spans="2:18" ht="14.15" customHeight="1" x14ac:dyDescent="0.35">
      <c r="B1526" s="100">
        <f t="shared" si="26"/>
        <v>1511</v>
      </c>
      <c r="C1526" s="101" t="s">
        <v>1545</v>
      </c>
      <c r="D1526" s="99" t="s">
        <v>1546</v>
      </c>
      <c r="E1526" s="99"/>
      <c r="F1526" s="103">
        <v>38472</v>
      </c>
      <c r="G1526" s="99">
        <v>4.7</v>
      </c>
      <c r="H1526" s="99">
        <v>3.26</v>
      </c>
      <c r="I1526" s="99">
        <v>4.7</v>
      </c>
      <c r="J1526" s="20"/>
      <c r="K1526" s="21"/>
      <c r="L1526" s="21"/>
      <c r="M1526" s="21"/>
      <c r="N1526" s="21"/>
      <c r="O1526" s="21"/>
      <c r="R1526">
        <v>4.7</v>
      </c>
    </row>
    <row r="1527" spans="2:18" ht="14.15" customHeight="1" x14ac:dyDescent="0.35">
      <c r="B1527" s="100">
        <f t="shared" si="26"/>
        <v>1512</v>
      </c>
      <c r="C1527" s="101" t="s">
        <v>1547</v>
      </c>
      <c r="D1527" s="99" t="s">
        <v>1548</v>
      </c>
      <c r="E1527" s="99"/>
      <c r="F1527" s="103">
        <v>38472</v>
      </c>
      <c r="G1527" s="99">
        <v>4.7</v>
      </c>
      <c r="H1527" s="99">
        <v>3.04</v>
      </c>
      <c r="I1527" s="99">
        <v>4.7</v>
      </c>
      <c r="J1527" s="20"/>
      <c r="K1527" s="21"/>
      <c r="L1527" s="21"/>
      <c r="M1527" s="21"/>
      <c r="N1527" s="21"/>
      <c r="O1527" s="21"/>
      <c r="R1527">
        <v>4.7</v>
      </c>
    </row>
    <row r="1528" spans="2:18" ht="14.15" customHeight="1" x14ac:dyDescent="0.35">
      <c r="B1528" s="100">
        <f t="shared" si="26"/>
        <v>1513</v>
      </c>
      <c r="C1528" s="101" t="s">
        <v>1549</v>
      </c>
      <c r="D1528" s="99" t="s">
        <v>1550</v>
      </c>
      <c r="E1528" s="99"/>
      <c r="F1528" s="103">
        <v>38472</v>
      </c>
      <c r="G1528" s="99">
        <v>4.7</v>
      </c>
      <c r="H1528" s="99">
        <v>2.86</v>
      </c>
      <c r="I1528" s="99">
        <v>4.7</v>
      </c>
      <c r="J1528" s="20"/>
      <c r="K1528" s="21"/>
      <c r="L1528" s="21"/>
      <c r="M1528" s="21"/>
      <c r="N1528" s="21"/>
      <c r="O1528" s="21"/>
      <c r="R1528">
        <v>4.7</v>
      </c>
    </row>
    <row r="1529" spans="2:18" ht="14.15" customHeight="1" x14ac:dyDescent="0.35">
      <c r="B1529" s="100">
        <f t="shared" si="26"/>
        <v>1514</v>
      </c>
      <c r="C1529" s="101" t="s">
        <v>1551</v>
      </c>
      <c r="D1529" s="99" t="s">
        <v>1552</v>
      </c>
      <c r="E1529" s="99"/>
      <c r="F1529" s="103">
        <v>38472</v>
      </c>
      <c r="G1529" s="99">
        <v>4.7</v>
      </c>
      <c r="H1529" s="99">
        <v>3.21</v>
      </c>
      <c r="I1529" s="99">
        <v>4.7</v>
      </c>
      <c r="J1529" s="20"/>
      <c r="K1529" s="21"/>
      <c r="L1529" s="21"/>
      <c r="M1529" s="21"/>
      <c r="N1529" s="21"/>
      <c r="O1529" s="21"/>
      <c r="R1529">
        <v>4.7</v>
      </c>
    </row>
    <row r="1530" spans="2:18" ht="14.15" customHeight="1" x14ac:dyDescent="0.35">
      <c r="B1530" s="100">
        <f t="shared" si="26"/>
        <v>1515</v>
      </c>
      <c r="C1530" s="101" t="s">
        <v>1553</v>
      </c>
      <c r="D1530" s="99" t="s">
        <v>1554</v>
      </c>
      <c r="E1530" s="99"/>
      <c r="F1530" s="103">
        <v>38472</v>
      </c>
      <c r="G1530" s="99">
        <v>4.7</v>
      </c>
      <c r="H1530" s="99">
        <v>3.27</v>
      </c>
      <c r="I1530" s="99">
        <v>4.7</v>
      </c>
      <c r="J1530" s="20"/>
      <c r="K1530" s="21"/>
      <c r="L1530" s="21"/>
      <c r="M1530" s="21"/>
      <c r="N1530" s="21"/>
      <c r="O1530" s="21"/>
      <c r="R1530">
        <v>4.7</v>
      </c>
    </row>
    <row r="1531" spans="2:18" ht="14.15" customHeight="1" x14ac:dyDescent="0.35">
      <c r="B1531" s="100">
        <f t="shared" si="26"/>
        <v>1516</v>
      </c>
      <c r="C1531" s="101" t="s">
        <v>1555</v>
      </c>
      <c r="D1531" s="99" t="s">
        <v>1556</v>
      </c>
      <c r="E1531" s="99"/>
      <c r="F1531" s="103">
        <v>38472</v>
      </c>
      <c r="G1531" s="99">
        <v>4.7</v>
      </c>
      <c r="H1531" s="99">
        <v>3.16</v>
      </c>
      <c r="I1531" s="99">
        <v>4.7</v>
      </c>
      <c r="J1531" s="20"/>
      <c r="K1531" s="21"/>
      <c r="L1531" s="21"/>
      <c r="M1531" s="21"/>
      <c r="N1531" s="21"/>
      <c r="O1531" s="21"/>
      <c r="R1531">
        <v>4.7</v>
      </c>
    </row>
    <row r="1532" spans="2:18" ht="14.15" customHeight="1" x14ac:dyDescent="0.35">
      <c r="B1532" s="100">
        <f t="shared" si="26"/>
        <v>1517</v>
      </c>
      <c r="C1532" s="101" t="s">
        <v>1557</v>
      </c>
      <c r="D1532" s="99" t="s">
        <v>1558</v>
      </c>
      <c r="E1532" s="99"/>
      <c r="F1532" s="103">
        <v>38472</v>
      </c>
      <c r="G1532" s="99">
        <v>4.7</v>
      </c>
      <c r="H1532" s="99">
        <v>3.16</v>
      </c>
      <c r="I1532" s="99">
        <v>4.7</v>
      </c>
      <c r="J1532" s="20"/>
      <c r="K1532" s="21"/>
      <c r="L1532" s="21"/>
      <c r="M1532" s="21"/>
      <c r="N1532" s="21"/>
      <c r="O1532" s="21"/>
      <c r="R1532">
        <v>4.7</v>
      </c>
    </row>
    <row r="1533" spans="2:18" ht="14.15" customHeight="1" x14ac:dyDescent="0.35">
      <c r="B1533" s="100">
        <f t="shared" si="26"/>
        <v>1518</v>
      </c>
      <c r="C1533" s="101" t="s">
        <v>1559</v>
      </c>
      <c r="D1533" s="99" t="s">
        <v>1560</v>
      </c>
      <c r="E1533" s="99"/>
      <c r="F1533" s="103">
        <v>38472</v>
      </c>
      <c r="G1533" s="99">
        <v>4.7</v>
      </c>
      <c r="H1533" s="99">
        <v>3.52</v>
      </c>
      <c r="I1533" s="99">
        <v>4.7</v>
      </c>
      <c r="J1533" s="20"/>
      <c r="K1533" s="21"/>
      <c r="L1533" s="21"/>
      <c r="M1533" s="21"/>
      <c r="N1533" s="21"/>
      <c r="O1533" s="21"/>
      <c r="R1533">
        <v>4.7</v>
      </c>
    </row>
    <row r="1534" spans="2:18" ht="14.15" customHeight="1" x14ac:dyDescent="0.35">
      <c r="B1534" s="100">
        <f t="shared" si="26"/>
        <v>1519</v>
      </c>
      <c r="C1534" s="101" t="s">
        <v>1561</v>
      </c>
      <c r="D1534" s="99" t="s">
        <v>1562</v>
      </c>
      <c r="E1534" s="99"/>
      <c r="F1534" s="103">
        <v>38472</v>
      </c>
      <c r="G1534" s="99">
        <v>4.7</v>
      </c>
      <c r="H1534" s="99">
        <v>3.3</v>
      </c>
      <c r="I1534" s="99">
        <v>4.7</v>
      </c>
      <c r="J1534" s="20"/>
      <c r="K1534" s="21"/>
      <c r="L1534" s="21"/>
      <c r="M1534" s="21"/>
      <c r="N1534" s="21"/>
      <c r="O1534" s="21"/>
      <c r="R1534">
        <v>4.7</v>
      </c>
    </row>
    <row r="1535" spans="2:18" ht="14.15" customHeight="1" x14ac:dyDescent="0.35">
      <c r="B1535" s="100">
        <f t="shared" ref="B1535:B1572" si="27">(B1534+1)</f>
        <v>1520</v>
      </c>
      <c r="C1535" s="101" t="s">
        <v>1563</v>
      </c>
      <c r="D1535" s="99" t="s">
        <v>1564</v>
      </c>
      <c r="E1535" s="99"/>
      <c r="F1535" s="103">
        <v>38472</v>
      </c>
      <c r="G1535" s="99">
        <v>4.7</v>
      </c>
      <c r="H1535" s="99">
        <v>3.05</v>
      </c>
      <c r="I1535" s="99">
        <v>4.7</v>
      </c>
      <c r="J1535" s="20"/>
      <c r="K1535" s="21"/>
      <c r="L1535" s="21"/>
      <c r="M1535" s="21"/>
      <c r="N1535" s="21"/>
      <c r="O1535" s="21"/>
      <c r="R1535">
        <v>4.7</v>
      </c>
    </row>
    <row r="1536" spans="2:18" ht="14.15" customHeight="1" x14ac:dyDescent="0.35">
      <c r="B1536" s="100">
        <f t="shared" si="27"/>
        <v>1521</v>
      </c>
      <c r="C1536" s="101" t="s">
        <v>1565</v>
      </c>
      <c r="D1536" s="99" t="s">
        <v>1566</v>
      </c>
      <c r="E1536" s="99"/>
      <c r="F1536" s="103">
        <v>38472</v>
      </c>
      <c r="G1536" s="99">
        <v>6.7</v>
      </c>
      <c r="H1536" s="99">
        <v>2.2200000000000002</v>
      </c>
      <c r="I1536" s="99">
        <v>6.7</v>
      </c>
      <c r="J1536" s="20"/>
      <c r="K1536" s="21"/>
      <c r="L1536" s="21"/>
      <c r="M1536" s="21"/>
      <c r="N1536" s="21"/>
      <c r="O1536" s="21"/>
      <c r="R1536">
        <v>6.7</v>
      </c>
    </row>
    <row r="1537" spans="2:18" ht="14.15" customHeight="1" x14ac:dyDescent="0.35">
      <c r="B1537" s="100">
        <f t="shared" si="27"/>
        <v>1522</v>
      </c>
      <c r="C1537" s="101" t="s">
        <v>1567</v>
      </c>
      <c r="D1537" s="99" t="s">
        <v>1568</v>
      </c>
      <c r="E1537" s="99"/>
      <c r="F1537" s="103">
        <v>38472</v>
      </c>
      <c r="G1537" s="99">
        <v>5.7</v>
      </c>
      <c r="H1537" s="99">
        <v>2.54</v>
      </c>
      <c r="I1537" s="99">
        <v>5.7</v>
      </c>
      <c r="J1537" s="20"/>
      <c r="K1537" s="21"/>
      <c r="L1537" s="21"/>
      <c r="M1537" s="21"/>
      <c r="N1537" s="21"/>
      <c r="O1537" s="21"/>
      <c r="R1537">
        <v>5.7</v>
      </c>
    </row>
    <row r="1538" spans="2:18" ht="14.15" customHeight="1" x14ac:dyDescent="0.35">
      <c r="B1538" s="100">
        <f t="shared" si="27"/>
        <v>1523</v>
      </c>
      <c r="C1538" s="101" t="s">
        <v>1569</v>
      </c>
      <c r="D1538" s="99" t="s">
        <v>1570</v>
      </c>
      <c r="E1538" s="99"/>
      <c r="F1538" s="103">
        <v>38472</v>
      </c>
      <c r="G1538" s="99">
        <v>5.7</v>
      </c>
      <c r="H1538" s="99">
        <v>3.1</v>
      </c>
      <c r="I1538" s="99">
        <v>5.7</v>
      </c>
      <c r="J1538" s="20"/>
      <c r="K1538" s="21"/>
      <c r="L1538" s="21"/>
      <c r="M1538" s="21"/>
      <c r="N1538" s="21"/>
      <c r="O1538" s="21"/>
      <c r="R1538">
        <v>5.7</v>
      </c>
    </row>
    <row r="1539" spans="2:18" ht="14.15" customHeight="1" x14ac:dyDescent="0.35">
      <c r="B1539" s="100">
        <f t="shared" si="27"/>
        <v>1524</v>
      </c>
      <c r="C1539" s="101" t="s">
        <v>1571</v>
      </c>
      <c r="D1539" s="99" t="s">
        <v>1572</v>
      </c>
      <c r="E1539" s="99"/>
      <c r="F1539" s="103">
        <v>38472</v>
      </c>
      <c r="G1539" s="99">
        <v>5.7</v>
      </c>
      <c r="H1539" s="99">
        <v>2.56</v>
      </c>
      <c r="I1539" s="99">
        <v>5.7</v>
      </c>
      <c r="J1539" s="20"/>
      <c r="K1539" s="21"/>
      <c r="L1539" s="21"/>
      <c r="M1539" s="21"/>
      <c r="N1539" s="21"/>
      <c r="O1539" s="21"/>
      <c r="R1539">
        <v>5.7</v>
      </c>
    </row>
    <row r="1540" spans="2:18" ht="14.15" customHeight="1" x14ac:dyDescent="0.35">
      <c r="B1540" s="100">
        <f t="shared" si="27"/>
        <v>1525</v>
      </c>
      <c r="C1540" s="101" t="s">
        <v>1573</v>
      </c>
      <c r="D1540" s="99" t="s">
        <v>1574</v>
      </c>
      <c r="E1540" s="99"/>
      <c r="F1540" s="103">
        <v>38472</v>
      </c>
      <c r="G1540" s="99">
        <v>5.7</v>
      </c>
      <c r="H1540" s="99">
        <v>3.07</v>
      </c>
      <c r="I1540" s="99">
        <v>5.7</v>
      </c>
      <c r="J1540" s="20"/>
      <c r="K1540" s="21"/>
      <c r="L1540" s="21"/>
      <c r="M1540" s="21"/>
      <c r="N1540" s="21"/>
      <c r="O1540" s="21"/>
      <c r="R1540">
        <v>5.7</v>
      </c>
    </row>
    <row r="1541" spans="2:18" ht="14.15" customHeight="1" x14ac:dyDescent="0.35">
      <c r="B1541" s="100">
        <f t="shared" si="27"/>
        <v>1526</v>
      </c>
      <c r="C1541" s="101" t="s">
        <v>1575</v>
      </c>
      <c r="D1541" s="99" t="s">
        <v>1576</v>
      </c>
      <c r="E1541" s="99"/>
      <c r="F1541" s="103">
        <v>38562</v>
      </c>
      <c r="G1541" s="99">
        <v>4.1100000000000003</v>
      </c>
      <c r="H1541" s="109">
        <v>3.15</v>
      </c>
      <c r="I1541" s="99">
        <v>4.1100000000000003</v>
      </c>
      <c r="J1541" s="20"/>
      <c r="K1541" s="21"/>
      <c r="L1541" s="21"/>
      <c r="M1541" s="21"/>
      <c r="N1541" s="21"/>
      <c r="O1541" s="21"/>
      <c r="R1541">
        <v>4.1100000000000003</v>
      </c>
    </row>
    <row r="1542" spans="2:18" ht="14.15" customHeight="1" x14ac:dyDescent="0.35">
      <c r="B1542" s="100">
        <f t="shared" si="27"/>
        <v>1527</v>
      </c>
      <c r="C1542" s="101" t="s">
        <v>1577</v>
      </c>
      <c r="D1542" s="99" t="s">
        <v>1578</v>
      </c>
      <c r="E1542" s="99"/>
      <c r="F1542" s="103">
        <v>38562</v>
      </c>
      <c r="G1542" s="99">
        <v>4.1100000000000003</v>
      </c>
      <c r="H1542" s="109">
        <v>3</v>
      </c>
      <c r="I1542" s="99">
        <v>4.1100000000000003</v>
      </c>
      <c r="J1542" s="20"/>
      <c r="K1542" s="21"/>
      <c r="L1542" s="21"/>
      <c r="M1542" s="21"/>
      <c r="N1542" s="21"/>
      <c r="O1542" s="21"/>
      <c r="R1542">
        <v>4.1100000000000003</v>
      </c>
    </row>
    <row r="1543" spans="2:18" ht="14.15" customHeight="1" x14ac:dyDescent="0.35">
      <c r="B1543" s="100">
        <f t="shared" si="27"/>
        <v>1528</v>
      </c>
      <c r="C1543" s="101" t="s">
        <v>1579</v>
      </c>
      <c r="D1543" s="99" t="s">
        <v>1580</v>
      </c>
      <c r="E1543" s="99"/>
      <c r="F1543" s="103">
        <v>38562</v>
      </c>
      <c r="G1543" s="99">
        <v>4.1100000000000003</v>
      </c>
      <c r="H1543" s="109">
        <v>2.94</v>
      </c>
      <c r="I1543" s="99">
        <v>4.1100000000000003</v>
      </c>
      <c r="J1543" s="20"/>
      <c r="K1543" s="21"/>
      <c r="L1543" s="21"/>
      <c r="M1543" s="21"/>
      <c r="N1543" s="21"/>
      <c r="O1543" s="21"/>
      <c r="R1543">
        <v>4.1100000000000003</v>
      </c>
    </row>
    <row r="1544" spans="2:18" ht="14.15" customHeight="1" x14ac:dyDescent="0.35">
      <c r="B1544" s="100">
        <f t="shared" si="27"/>
        <v>1529</v>
      </c>
      <c r="C1544" s="101" t="s">
        <v>1581</v>
      </c>
      <c r="D1544" s="99" t="s">
        <v>1582</v>
      </c>
      <c r="E1544" s="99"/>
      <c r="F1544" s="103">
        <v>38562</v>
      </c>
      <c r="G1544" s="99">
        <v>4.1100000000000003</v>
      </c>
      <c r="H1544" s="109">
        <v>3.12</v>
      </c>
      <c r="I1544" s="99">
        <v>4.1100000000000003</v>
      </c>
      <c r="J1544" s="20"/>
      <c r="K1544" s="21"/>
      <c r="L1544" s="21"/>
      <c r="M1544" s="21"/>
      <c r="N1544" s="21"/>
      <c r="O1544" s="21"/>
      <c r="R1544">
        <v>4.1100000000000003</v>
      </c>
    </row>
    <row r="1545" spans="2:18" ht="14.15" customHeight="1" x14ac:dyDescent="0.35">
      <c r="B1545" s="100">
        <f t="shared" si="27"/>
        <v>1530</v>
      </c>
      <c r="C1545" s="101" t="s">
        <v>1583</v>
      </c>
      <c r="D1545" s="99" t="s">
        <v>1584</v>
      </c>
      <c r="E1545" s="99"/>
      <c r="F1545" s="103">
        <v>38562</v>
      </c>
      <c r="G1545" s="99">
        <v>4.1100000000000003</v>
      </c>
      <c r="H1545" s="109">
        <v>3.2</v>
      </c>
      <c r="I1545" s="99">
        <v>4.1100000000000003</v>
      </c>
      <c r="J1545" s="20"/>
      <c r="K1545" s="21"/>
      <c r="L1545" s="21"/>
      <c r="M1545" s="21"/>
      <c r="N1545" s="21"/>
      <c r="O1545" s="21"/>
      <c r="R1545">
        <v>4.1100000000000003</v>
      </c>
    </row>
    <row r="1546" spans="2:18" ht="14.15" customHeight="1" x14ac:dyDescent="0.35">
      <c r="B1546" s="100">
        <f t="shared" si="27"/>
        <v>1531</v>
      </c>
      <c r="C1546" s="101" t="s">
        <v>1585</v>
      </c>
      <c r="D1546" s="99" t="s">
        <v>1586</v>
      </c>
      <c r="E1546" s="99"/>
      <c r="F1546" s="103">
        <v>38562</v>
      </c>
      <c r="G1546" s="99">
        <v>4.1100000000000003</v>
      </c>
      <c r="H1546" s="109">
        <v>3</v>
      </c>
      <c r="I1546" s="99">
        <v>4.1100000000000003</v>
      </c>
      <c r="J1546" s="20"/>
      <c r="K1546" s="21"/>
      <c r="L1546" s="21"/>
      <c r="M1546" s="21"/>
      <c r="N1546" s="21"/>
      <c r="O1546" s="21"/>
      <c r="R1546">
        <v>4.1100000000000003</v>
      </c>
    </row>
    <row r="1547" spans="2:18" ht="14.15" customHeight="1" x14ac:dyDescent="0.35">
      <c r="B1547" s="100">
        <f t="shared" si="27"/>
        <v>1532</v>
      </c>
      <c r="C1547" s="101" t="s">
        <v>1587</v>
      </c>
      <c r="D1547" s="99" t="s">
        <v>1588</v>
      </c>
      <c r="E1547" s="99"/>
      <c r="F1547" s="103">
        <v>38562</v>
      </c>
      <c r="G1547" s="99">
        <v>4.1100000000000003</v>
      </c>
      <c r="H1547" s="109">
        <v>3.06</v>
      </c>
      <c r="I1547" s="99">
        <v>4.1100000000000003</v>
      </c>
      <c r="J1547" s="20"/>
      <c r="K1547" s="21"/>
      <c r="L1547" s="21"/>
      <c r="M1547" s="21"/>
      <c r="N1547" s="21"/>
      <c r="O1547" s="21"/>
      <c r="R1547">
        <v>4.1100000000000003</v>
      </c>
    </row>
    <row r="1548" spans="2:18" ht="14.15" customHeight="1" x14ac:dyDescent="0.35">
      <c r="B1548" s="100">
        <f t="shared" si="27"/>
        <v>1533</v>
      </c>
      <c r="C1548" s="101" t="s">
        <v>1589</v>
      </c>
      <c r="D1548" s="99" t="s">
        <v>1590</v>
      </c>
      <c r="E1548" s="99"/>
      <c r="F1548" s="103">
        <v>38562</v>
      </c>
      <c r="G1548" s="99">
        <v>4.1100000000000003</v>
      </c>
      <c r="H1548" s="109">
        <v>3.18</v>
      </c>
      <c r="I1548" s="99">
        <v>4.1100000000000003</v>
      </c>
      <c r="J1548" s="20"/>
      <c r="K1548" s="21"/>
      <c r="L1548" s="21"/>
      <c r="M1548" s="21"/>
      <c r="N1548" s="21"/>
      <c r="O1548" s="21"/>
      <c r="R1548">
        <v>4.1100000000000003</v>
      </c>
    </row>
    <row r="1549" spans="2:18" ht="14.15" customHeight="1" x14ac:dyDescent="0.35">
      <c r="B1549" s="100">
        <f t="shared" si="27"/>
        <v>1534</v>
      </c>
      <c r="C1549" s="101" t="s">
        <v>1591</v>
      </c>
      <c r="D1549" s="99" t="s">
        <v>1592</v>
      </c>
      <c r="E1549" s="99"/>
      <c r="F1549" s="103">
        <v>38562</v>
      </c>
      <c r="G1549" s="99">
        <v>4.1100000000000003</v>
      </c>
      <c r="H1549" s="109">
        <v>3.04</v>
      </c>
      <c r="I1549" s="99">
        <v>4.1100000000000003</v>
      </c>
      <c r="J1549" s="20"/>
      <c r="K1549" s="21"/>
      <c r="L1549" s="21"/>
      <c r="M1549" s="21"/>
      <c r="N1549" s="21"/>
      <c r="O1549" s="21"/>
      <c r="R1549">
        <v>4.1100000000000003</v>
      </c>
    </row>
    <row r="1550" spans="2:18" ht="14.15" customHeight="1" x14ac:dyDescent="0.35">
      <c r="B1550" s="100">
        <f t="shared" si="27"/>
        <v>1535</v>
      </c>
      <c r="C1550" s="101" t="s">
        <v>1593</v>
      </c>
      <c r="D1550" s="99" t="s">
        <v>1594</v>
      </c>
      <c r="E1550" s="99"/>
      <c r="F1550" s="103">
        <v>38562</v>
      </c>
      <c r="G1550" s="99">
        <v>4.1100000000000003</v>
      </c>
      <c r="H1550" s="109">
        <v>2.99</v>
      </c>
      <c r="I1550" s="99">
        <v>4.1100000000000003</v>
      </c>
      <c r="J1550" s="20"/>
      <c r="K1550" s="21"/>
      <c r="L1550" s="21"/>
      <c r="M1550" s="21"/>
      <c r="N1550" s="21"/>
      <c r="O1550" s="21"/>
      <c r="R1550">
        <v>4.1100000000000003</v>
      </c>
    </row>
    <row r="1551" spans="2:18" ht="14.15" customHeight="1" x14ac:dyDescent="0.35">
      <c r="B1551" s="100">
        <f t="shared" si="27"/>
        <v>1536</v>
      </c>
      <c r="C1551" s="101" t="s">
        <v>1595</v>
      </c>
      <c r="D1551" s="99" t="s">
        <v>1596</v>
      </c>
      <c r="E1551" s="99"/>
      <c r="F1551" s="103">
        <v>38562</v>
      </c>
      <c r="G1551" s="99">
        <v>4.1100000000000003</v>
      </c>
      <c r="H1551" s="109">
        <v>3.3</v>
      </c>
      <c r="I1551" s="99">
        <v>4.1100000000000003</v>
      </c>
      <c r="J1551" s="20"/>
      <c r="K1551" s="21"/>
      <c r="L1551" s="21"/>
      <c r="M1551" s="21"/>
      <c r="N1551" s="21"/>
      <c r="O1551" s="21"/>
      <c r="R1551">
        <v>4.1100000000000003</v>
      </c>
    </row>
    <row r="1552" spans="2:18" ht="14.15" customHeight="1" x14ac:dyDescent="0.35">
      <c r="B1552" s="100">
        <f t="shared" si="27"/>
        <v>1537</v>
      </c>
      <c r="C1552" s="101" t="s">
        <v>1597</v>
      </c>
      <c r="D1552" s="99" t="s">
        <v>1598</v>
      </c>
      <c r="E1552" s="99"/>
      <c r="F1552" s="103">
        <v>38562</v>
      </c>
      <c r="G1552" s="99">
        <v>4.1100000000000003</v>
      </c>
      <c r="H1552" s="109">
        <v>2.8</v>
      </c>
      <c r="I1552" s="99">
        <v>4.1100000000000003</v>
      </c>
      <c r="J1552" s="20"/>
      <c r="K1552" s="21"/>
      <c r="L1552" s="21"/>
      <c r="M1552" s="21"/>
      <c r="N1552" s="21"/>
      <c r="O1552" s="21"/>
      <c r="R1552">
        <v>4.1100000000000003</v>
      </c>
    </row>
    <row r="1553" spans="2:18" ht="14.15" customHeight="1" x14ac:dyDescent="0.35">
      <c r="B1553" s="100">
        <f t="shared" si="27"/>
        <v>1538</v>
      </c>
      <c r="C1553" s="101" t="s">
        <v>1599</v>
      </c>
      <c r="D1553" s="99" t="s">
        <v>1600</v>
      </c>
      <c r="E1553" s="99"/>
      <c r="F1553" s="103">
        <v>38562</v>
      </c>
      <c r="G1553" s="99">
        <v>4.1100000000000003</v>
      </c>
      <c r="H1553" s="109">
        <v>2.82</v>
      </c>
      <c r="I1553" s="99">
        <v>4.1100000000000003</v>
      </c>
      <c r="J1553" s="20"/>
      <c r="K1553" s="21"/>
      <c r="L1553" s="21"/>
      <c r="M1553" s="21"/>
      <c r="N1553" s="21"/>
      <c r="O1553" s="21"/>
      <c r="R1553">
        <v>4.1100000000000003</v>
      </c>
    </row>
    <row r="1554" spans="2:18" ht="14.15" customHeight="1" x14ac:dyDescent="0.35">
      <c r="B1554" s="100">
        <f t="shared" si="27"/>
        <v>1539</v>
      </c>
      <c r="C1554" s="101" t="s">
        <v>1601</v>
      </c>
      <c r="D1554" s="99" t="s">
        <v>1602</v>
      </c>
      <c r="E1554" s="99"/>
      <c r="F1554" s="103">
        <v>38562</v>
      </c>
      <c r="G1554" s="99">
        <v>4.1100000000000003</v>
      </c>
      <c r="H1554" s="109">
        <v>3.42</v>
      </c>
      <c r="I1554" s="99">
        <v>4.1100000000000003</v>
      </c>
      <c r="J1554" s="20"/>
      <c r="K1554" s="21"/>
      <c r="L1554" s="21"/>
      <c r="M1554" s="21"/>
      <c r="N1554" s="21"/>
      <c r="O1554" s="21"/>
      <c r="R1554">
        <v>4.1100000000000003</v>
      </c>
    </row>
    <row r="1555" spans="2:18" ht="14.15" customHeight="1" x14ac:dyDescent="0.35">
      <c r="B1555" s="100">
        <f t="shared" si="27"/>
        <v>1540</v>
      </c>
      <c r="C1555" s="101" t="s">
        <v>1603</v>
      </c>
      <c r="D1555" s="99" t="s">
        <v>1604</v>
      </c>
      <c r="E1555" s="99"/>
      <c r="F1555" s="103">
        <v>38562</v>
      </c>
      <c r="G1555" s="99">
        <v>4.1100000000000003</v>
      </c>
      <c r="H1555" s="109">
        <v>2.84</v>
      </c>
      <c r="I1555" s="99">
        <v>4.1100000000000003</v>
      </c>
      <c r="J1555" s="20"/>
      <c r="K1555" s="21"/>
      <c r="L1555" s="21"/>
      <c r="M1555" s="21"/>
      <c r="N1555" s="21"/>
      <c r="O1555" s="21"/>
      <c r="R1555">
        <v>4.1100000000000003</v>
      </c>
    </row>
    <row r="1556" spans="2:18" ht="14.15" customHeight="1" x14ac:dyDescent="0.35">
      <c r="B1556" s="100">
        <f t="shared" si="27"/>
        <v>1541</v>
      </c>
      <c r="C1556" s="101" t="s">
        <v>1605</v>
      </c>
      <c r="D1556" s="99" t="s">
        <v>1606</v>
      </c>
      <c r="E1556" s="99"/>
      <c r="F1556" s="103">
        <v>38562</v>
      </c>
      <c r="G1556" s="99">
        <v>4.1100000000000003</v>
      </c>
      <c r="H1556" s="109">
        <v>3.24</v>
      </c>
      <c r="I1556" s="99">
        <v>4.1100000000000003</v>
      </c>
      <c r="J1556" s="20"/>
      <c r="K1556" s="21"/>
      <c r="L1556" s="21"/>
      <c r="M1556" s="21"/>
      <c r="N1556" s="21"/>
      <c r="O1556" s="21"/>
      <c r="R1556">
        <v>4.1100000000000003</v>
      </c>
    </row>
    <row r="1557" spans="2:18" ht="14.15" customHeight="1" x14ac:dyDescent="0.35">
      <c r="B1557" s="100">
        <f t="shared" si="27"/>
        <v>1542</v>
      </c>
      <c r="C1557" s="101" t="s">
        <v>1607</v>
      </c>
      <c r="D1557" s="99" t="s">
        <v>1608</v>
      </c>
      <c r="E1557" s="99"/>
      <c r="F1557" s="103">
        <v>38562</v>
      </c>
      <c r="G1557" s="99">
        <v>4.1100000000000003</v>
      </c>
      <c r="H1557" s="109">
        <v>3.01</v>
      </c>
      <c r="I1557" s="99">
        <v>4.1100000000000003</v>
      </c>
      <c r="J1557" s="20"/>
      <c r="K1557" s="21"/>
      <c r="L1557" s="21"/>
      <c r="M1557" s="21"/>
      <c r="N1557" s="21"/>
      <c r="O1557" s="21"/>
      <c r="R1557">
        <v>4.1100000000000003</v>
      </c>
    </row>
    <row r="1558" spans="2:18" ht="14.15" customHeight="1" x14ac:dyDescent="0.35">
      <c r="B1558" s="100">
        <f t="shared" si="27"/>
        <v>1543</v>
      </c>
      <c r="C1558" s="101" t="s">
        <v>1609</v>
      </c>
      <c r="D1558" s="99" t="s">
        <v>1610</v>
      </c>
      <c r="E1558" s="99"/>
      <c r="F1558" s="103">
        <v>38562</v>
      </c>
      <c r="G1558" s="99">
        <v>4.1100000000000003</v>
      </c>
      <c r="H1558" s="109">
        <v>3.08</v>
      </c>
      <c r="I1558" s="99">
        <v>4.1100000000000003</v>
      </c>
      <c r="J1558" s="20"/>
      <c r="K1558" s="21"/>
      <c r="L1558" s="21"/>
      <c r="M1558" s="21"/>
      <c r="N1558" s="21"/>
      <c r="O1558" s="21"/>
      <c r="R1558">
        <v>4.1100000000000003</v>
      </c>
    </row>
    <row r="1559" spans="2:18" ht="14.15" customHeight="1" x14ac:dyDescent="0.35">
      <c r="B1559" s="100">
        <f t="shared" si="27"/>
        <v>1544</v>
      </c>
      <c r="C1559" s="101" t="s">
        <v>1611</v>
      </c>
      <c r="D1559" s="99" t="s">
        <v>1612</v>
      </c>
      <c r="E1559" s="99"/>
      <c r="F1559" s="103">
        <v>38562</v>
      </c>
      <c r="G1559" s="99">
        <v>4.1100000000000003</v>
      </c>
      <c r="H1559" s="109">
        <v>3.31</v>
      </c>
      <c r="I1559" s="99">
        <v>4.1100000000000003</v>
      </c>
      <c r="J1559" s="20"/>
      <c r="K1559" s="21"/>
      <c r="L1559" s="21"/>
      <c r="M1559" s="21"/>
      <c r="N1559" s="21"/>
      <c r="O1559" s="21"/>
      <c r="R1559">
        <v>4.1100000000000003</v>
      </c>
    </row>
    <row r="1560" spans="2:18" ht="14.15" customHeight="1" x14ac:dyDescent="0.35">
      <c r="B1560" s="100">
        <f t="shared" si="27"/>
        <v>1545</v>
      </c>
      <c r="C1560" s="101" t="s">
        <v>1613</v>
      </c>
      <c r="D1560" s="99" t="s">
        <v>1614</v>
      </c>
      <c r="E1560" s="99"/>
      <c r="F1560" s="103">
        <v>38562</v>
      </c>
      <c r="G1560" s="99">
        <v>4.1100000000000003</v>
      </c>
      <c r="H1560" s="109">
        <v>3</v>
      </c>
      <c r="I1560" s="99">
        <v>4.1100000000000003</v>
      </c>
      <c r="J1560" s="20"/>
      <c r="K1560" s="21"/>
      <c r="L1560" s="21"/>
      <c r="M1560" s="21"/>
      <c r="N1560" s="21"/>
      <c r="O1560" s="21"/>
      <c r="R1560">
        <v>4.1100000000000003</v>
      </c>
    </row>
    <row r="1561" spans="2:18" ht="14.15" customHeight="1" x14ac:dyDescent="0.35">
      <c r="B1561" s="100">
        <f t="shared" si="27"/>
        <v>1546</v>
      </c>
      <c r="C1561" s="101" t="s">
        <v>1615</v>
      </c>
      <c r="D1561" s="99" t="s">
        <v>1616</v>
      </c>
      <c r="E1561" s="99"/>
      <c r="F1561" s="103">
        <v>38562</v>
      </c>
      <c r="G1561" s="99">
        <v>3.11</v>
      </c>
      <c r="H1561" s="109">
        <v>3.6</v>
      </c>
      <c r="I1561" s="99">
        <v>3.11</v>
      </c>
      <c r="J1561" s="20"/>
      <c r="K1561" s="21"/>
      <c r="L1561" s="21"/>
      <c r="M1561" s="21"/>
      <c r="N1561" s="21"/>
      <c r="O1561" s="21"/>
      <c r="R1561">
        <v>3.11</v>
      </c>
    </row>
    <row r="1562" spans="2:18" ht="14.15" customHeight="1" x14ac:dyDescent="0.35">
      <c r="B1562" s="100">
        <f t="shared" si="27"/>
        <v>1547</v>
      </c>
      <c r="C1562" s="101" t="s">
        <v>1617</v>
      </c>
      <c r="D1562" s="99" t="s">
        <v>1618</v>
      </c>
      <c r="E1562" s="99"/>
      <c r="F1562" s="103">
        <v>38562</v>
      </c>
      <c r="G1562" s="99">
        <v>3.11</v>
      </c>
      <c r="H1562" s="109">
        <v>3.4</v>
      </c>
      <c r="I1562" s="99">
        <v>3.11</v>
      </c>
      <c r="J1562" s="20"/>
      <c r="K1562" s="21"/>
      <c r="L1562" s="21"/>
      <c r="M1562" s="21"/>
      <c r="N1562" s="21"/>
      <c r="O1562" s="21"/>
      <c r="R1562">
        <v>3.11</v>
      </c>
    </row>
    <row r="1563" spans="2:18" ht="14.15" customHeight="1" x14ac:dyDescent="0.35">
      <c r="B1563" s="100">
        <f t="shared" si="27"/>
        <v>1548</v>
      </c>
      <c r="C1563" s="101" t="s">
        <v>1619</v>
      </c>
      <c r="D1563" s="99" t="s">
        <v>1620</v>
      </c>
      <c r="E1563" s="99"/>
      <c r="F1563" s="103">
        <v>38562</v>
      </c>
      <c r="G1563" s="99">
        <v>3.11</v>
      </c>
      <c r="H1563" s="109">
        <v>3.16</v>
      </c>
      <c r="I1563" s="99">
        <v>3.11</v>
      </c>
      <c r="J1563" s="20"/>
      <c r="K1563" s="21"/>
      <c r="L1563" s="21"/>
      <c r="M1563" s="21"/>
      <c r="N1563" s="21"/>
      <c r="O1563" s="21"/>
      <c r="R1563">
        <v>3.11</v>
      </c>
    </row>
    <row r="1564" spans="2:18" ht="14.15" customHeight="1" x14ac:dyDescent="0.35">
      <c r="B1564" s="100">
        <f t="shared" si="27"/>
        <v>1549</v>
      </c>
      <c r="C1564" s="101" t="s">
        <v>1621</v>
      </c>
      <c r="D1564" s="99" t="s">
        <v>1622</v>
      </c>
      <c r="E1564" s="99"/>
      <c r="F1564" s="103">
        <v>38562</v>
      </c>
      <c r="G1564" s="99">
        <v>11.11</v>
      </c>
      <c r="H1564" s="109">
        <v>3.07</v>
      </c>
      <c r="I1564" s="99">
        <v>11.11</v>
      </c>
      <c r="J1564" s="20"/>
      <c r="K1564" s="19" t="s">
        <v>1623</v>
      </c>
      <c r="L1564" s="21"/>
      <c r="M1564" s="21"/>
      <c r="N1564" s="21"/>
      <c r="O1564" s="21"/>
      <c r="R1564">
        <v>11.11</v>
      </c>
    </row>
    <row r="1565" spans="2:18" ht="14.15" customHeight="1" x14ac:dyDescent="0.35">
      <c r="B1565" s="100">
        <f t="shared" si="27"/>
        <v>1550</v>
      </c>
      <c r="C1565" s="101" t="s">
        <v>1624</v>
      </c>
      <c r="D1565" s="99" t="s">
        <v>1625</v>
      </c>
      <c r="E1565" s="99"/>
      <c r="F1565" s="103">
        <v>38562</v>
      </c>
      <c r="G1565" s="99">
        <v>6.11</v>
      </c>
      <c r="H1565" s="109">
        <v>2.2599999999999998</v>
      </c>
      <c r="I1565" s="99">
        <v>6.11</v>
      </c>
      <c r="J1565" s="20"/>
      <c r="K1565" s="19" t="s">
        <v>1626</v>
      </c>
      <c r="L1565" s="19" t="s">
        <v>1627</v>
      </c>
      <c r="M1565" s="21">
        <v>3</v>
      </c>
      <c r="N1565" s="21"/>
      <c r="O1565" s="21"/>
      <c r="R1565">
        <v>6.11</v>
      </c>
    </row>
    <row r="1566" spans="2:18" ht="14.15" customHeight="1" x14ac:dyDescent="0.35">
      <c r="B1566" s="100">
        <f t="shared" si="27"/>
        <v>1551</v>
      </c>
      <c r="C1566" s="101" t="s">
        <v>1628</v>
      </c>
      <c r="D1566" s="99" t="s">
        <v>1629</v>
      </c>
      <c r="E1566" s="99"/>
      <c r="F1566" s="103">
        <v>38562</v>
      </c>
      <c r="G1566" s="99">
        <v>6.11</v>
      </c>
      <c r="H1566" s="109">
        <v>2.86</v>
      </c>
      <c r="I1566" s="99">
        <v>6.11</v>
      </c>
      <c r="J1566" s="20"/>
      <c r="K1566" s="21"/>
      <c r="L1566" s="21"/>
      <c r="M1566" s="21"/>
      <c r="N1566" s="21"/>
      <c r="O1566" s="21"/>
      <c r="R1566">
        <v>6.11</v>
      </c>
    </row>
    <row r="1567" spans="2:18" ht="14.15" customHeight="1" x14ac:dyDescent="0.35">
      <c r="B1567" s="100">
        <f t="shared" si="27"/>
        <v>1552</v>
      </c>
      <c r="C1567" s="101" t="s">
        <v>1630</v>
      </c>
      <c r="D1567" s="99" t="s">
        <v>1631</v>
      </c>
      <c r="E1567" s="99"/>
      <c r="F1567" s="103">
        <v>38562</v>
      </c>
      <c r="G1567" s="99">
        <v>5.1100000000000003</v>
      </c>
      <c r="H1567" s="109">
        <v>2.8</v>
      </c>
      <c r="I1567" s="99">
        <v>5.1100000000000003</v>
      </c>
      <c r="J1567" s="20"/>
      <c r="K1567" s="21"/>
      <c r="L1567" s="21"/>
      <c r="M1567" s="21"/>
      <c r="N1567" s="21"/>
      <c r="O1567" s="21"/>
      <c r="R1567">
        <v>5.1100000000000003</v>
      </c>
    </row>
    <row r="1568" spans="2:18" ht="14.15" customHeight="1" x14ac:dyDescent="0.35">
      <c r="B1568" s="100">
        <f t="shared" si="27"/>
        <v>1553</v>
      </c>
      <c r="C1568" s="101" t="s">
        <v>1632</v>
      </c>
      <c r="D1568" s="99" t="s">
        <v>1633</v>
      </c>
      <c r="E1568" s="99"/>
      <c r="F1568" s="103">
        <v>38562</v>
      </c>
      <c r="G1568" s="99">
        <v>5.1100000000000003</v>
      </c>
      <c r="H1568" s="109">
        <v>2.31</v>
      </c>
      <c r="I1568" s="99">
        <v>5.1100000000000003</v>
      </c>
      <c r="J1568" s="20"/>
      <c r="K1568" s="21"/>
      <c r="L1568" s="21"/>
      <c r="M1568" s="21"/>
      <c r="N1568" s="21"/>
      <c r="O1568" s="21"/>
      <c r="R1568">
        <v>5.1100000000000003</v>
      </c>
    </row>
    <row r="1569" spans="2:18" ht="14.15" customHeight="1" x14ac:dyDescent="0.35">
      <c r="B1569" s="100">
        <f t="shared" si="27"/>
        <v>1554</v>
      </c>
      <c r="C1569" s="101" t="s">
        <v>1634</v>
      </c>
      <c r="D1569" s="99" t="s">
        <v>1635</v>
      </c>
      <c r="E1569" s="99"/>
      <c r="F1569" s="103">
        <v>38562</v>
      </c>
      <c r="G1569" s="99">
        <v>5.1100000000000003</v>
      </c>
      <c r="H1569" s="109">
        <v>3.13</v>
      </c>
      <c r="I1569" s="99">
        <v>5.1100000000000003</v>
      </c>
      <c r="J1569" s="20"/>
      <c r="K1569" s="21"/>
      <c r="L1569" s="21"/>
      <c r="M1569" s="21"/>
      <c r="N1569" s="21"/>
      <c r="O1569" s="21"/>
      <c r="R1569">
        <v>5.1100000000000003</v>
      </c>
    </row>
    <row r="1570" spans="2:18" ht="14.15" customHeight="1" x14ac:dyDescent="0.35">
      <c r="B1570" s="100">
        <f t="shared" si="27"/>
        <v>1555</v>
      </c>
      <c r="C1570" s="101" t="s">
        <v>1636</v>
      </c>
      <c r="D1570" s="99" t="s">
        <v>1637</v>
      </c>
      <c r="E1570" s="99"/>
      <c r="F1570" s="103">
        <v>38562</v>
      </c>
      <c r="G1570" s="99">
        <v>5.1100000000000003</v>
      </c>
      <c r="H1570" s="109">
        <v>2.75</v>
      </c>
      <c r="I1570" s="99">
        <v>5.1100000000000003</v>
      </c>
      <c r="J1570" s="20"/>
      <c r="K1570" s="21"/>
      <c r="L1570" s="21"/>
      <c r="M1570" s="21"/>
      <c r="N1570" s="21"/>
      <c r="O1570" s="21"/>
      <c r="R1570">
        <v>5.1100000000000003</v>
      </c>
    </row>
    <row r="1571" spans="2:18" ht="14.15" customHeight="1" x14ac:dyDescent="0.35">
      <c r="B1571" s="100">
        <f t="shared" si="27"/>
        <v>1556</v>
      </c>
      <c r="C1571" s="101" t="s">
        <v>1638</v>
      </c>
      <c r="D1571" s="99" t="s">
        <v>1639</v>
      </c>
      <c r="E1571" s="99"/>
      <c r="F1571" s="103">
        <v>38595</v>
      </c>
      <c r="G1571" s="99">
        <v>5</v>
      </c>
      <c r="H1571" s="109">
        <v>3.05</v>
      </c>
      <c r="I1571" s="99">
        <v>5</v>
      </c>
      <c r="J1571" s="20"/>
      <c r="K1571" s="21"/>
      <c r="L1571" s="21"/>
      <c r="M1571" s="21"/>
      <c r="N1571" s="21"/>
      <c r="O1571" s="21"/>
      <c r="R1571">
        <v>5</v>
      </c>
    </row>
    <row r="1572" spans="2:18" ht="14.15" customHeight="1" x14ac:dyDescent="0.35">
      <c r="B1572" s="100">
        <f t="shared" si="27"/>
        <v>1557</v>
      </c>
      <c r="C1572" s="101" t="s">
        <v>1640</v>
      </c>
      <c r="D1572" s="99" t="s">
        <v>1641</v>
      </c>
      <c r="E1572" s="99"/>
      <c r="F1572" s="103">
        <v>38595</v>
      </c>
      <c r="G1572" s="99">
        <v>5</v>
      </c>
      <c r="H1572" s="109">
        <v>2.65</v>
      </c>
      <c r="I1572" s="99">
        <v>5</v>
      </c>
      <c r="J1572" s="20"/>
      <c r="K1572" s="21"/>
      <c r="L1572" s="21"/>
      <c r="M1572" s="21"/>
      <c r="N1572" s="21"/>
      <c r="O1572" s="21"/>
      <c r="R1572">
        <v>5</v>
      </c>
    </row>
    <row r="1573" spans="2:18" ht="14.15" customHeight="1" x14ac:dyDescent="0.35">
      <c r="B1573" s="100"/>
      <c r="C1573" s="101"/>
      <c r="D1573" s="99"/>
      <c r="E1573" s="99"/>
      <c r="F1573" s="103"/>
      <c r="G1573" s="99"/>
      <c r="H1573" s="109"/>
      <c r="I1573" s="99"/>
      <c r="J1573" s="20"/>
      <c r="K1573" s="21"/>
      <c r="L1573" s="21"/>
      <c r="M1573" s="21"/>
      <c r="N1573" s="21"/>
      <c r="O1573" s="21"/>
    </row>
    <row r="1574" spans="2:18" ht="14.15" customHeight="1" x14ac:dyDescent="0.35">
      <c r="B1574" s="100"/>
      <c r="C1574" s="116" t="s">
        <v>1642</v>
      </c>
      <c r="D1574" s="99"/>
      <c r="E1574" s="99"/>
      <c r="F1574" s="103"/>
      <c r="G1574" s="99"/>
      <c r="H1574" s="109"/>
      <c r="I1574" s="99"/>
      <c r="J1574" s="20"/>
      <c r="K1574" s="21"/>
      <c r="L1574" s="21"/>
      <c r="M1574" s="21"/>
      <c r="N1574" s="21"/>
      <c r="O1574" s="21"/>
    </row>
    <row r="1575" spans="2:18" ht="13.5" customHeight="1" x14ac:dyDescent="0.35">
      <c r="B1575" s="100">
        <f>(B1572+1)</f>
        <v>1558</v>
      </c>
      <c r="C1575" s="117" t="s">
        <v>1643</v>
      </c>
      <c r="D1575" s="122">
        <v>9923709</v>
      </c>
      <c r="E1575" s="122"/>
      <c r="F1575" s="103">
        <v>38656</v>
      </c>
      <c r="G1575" s="99">
        <v>6.17</v>
      </c>
      <c r="H1575" s="122">
        <v>2.67</v>
      </c>
      <c r="I1575" s="99">
        <v>6.17</v>
      </c>
      <c r="J1575" s="28">
        <v>38047</v>
      </c>
      <c r="K1575" s="21"/>
      <c r="L1575" s="21"/>
      <c r="M1575" s="21"/>
      <c r="N1575" s="21"/>
      <c r="O1575" s="21"/>
      <c r="R1575">
        <v>6.17</v>
      </c>
    </row>
    <row r="1576" spans="2:18" ht="13.5" customHeight="1" x14ac:dyDescent="0.35">
      <c r="B1576" s="100">
        <f t="shared" ref="B1576:B1639" si="28">(B1575+1)</f>
        <v>1559</v>
      </c>
      <c r="C1576" s="117" t="s">
        <v>1644</v>
      </c>
      <c r="D1576" s="122">
        <v>9923770</v>
      </c>
      <c r="E1576" s="122"/>
      <c r="F1576" s="103">
        <v>38656</v>
      </c>
      <c r="G1576" s="99">
        <v>6.17</v>
      </c>
      <c r="H1576" s="122">
        <v>3.03</v>
      </c>
      <c r="I1576" s="99">
        <v>6.17</v>
      </c>
      <c r="J1576" s="28">
        <v>38261</v>
      </c>
      <c r="K1576" s="21"/>
      <c r="L1576" s="21"/>
      <c r="M1576" s="21"/>
      <c r="N1576" s="21"/>
      <c r="O1576" s="21"/>
      <c r="R1576">
        <v>6.17</v>
      </c>
    </row>
    <row r="1577" spans="2:18" ht="13.5" customHeight="1" x14ac:dyDescent="0.35">
      <c r="B1577" s="100">
        <f t="shared" si="28"/>
        <v>1560</v>
      </c>
      <c r="C1577" s="117" t="s">
        <v>1645</v>
      </c>
      <c r="D1577" s="122">
        <v>9924173</v>
      </c>
      <c r="E1577" s="122"/>
      <c r="F1577" s="103">
        <v>38656</v>
      </c>
      <c r="G1577" s="99">
        <v>6.17</v>
      </c>
      <c r="H1577" s="122">
        <v>2.88</v>
      </c>
      <c r="I1577" s="99">
        <v>6.17</v>
      </c>
      <c r="J1577" s="28">
        <v>38412</v>
      </c>
      <c r="K1577" s="21"/>
      <c r="L1577" s="21"/>
      <c r="M1577" s="21"/>
      <c r="N1577" s="21"/>
      <c r="O1577" s="21"/>
      <c r="R1577">
        <v>6.17</v>
      </c>
    </row>
    <row r="1578" spans="2:18" ht="13.5" customHeight="1" x14ac:dyDescent="0.35">
      <c r="B1578" s="100">
        <f t="shared" si="28"/>
        <v>1561</v>
      </c>
      <c r="C1578" s="117" t="s">
        <v>1646</v>
      </c>
      <c r="D1578" s="122" t="s">
        <v>1647</v>
      </c>
      <c r="E1578" s="122"/>
      <c r="F1578" s="103">
        <v>38656</v>
      </c>
      <c r="G1578" s="99">
        <v>5.17</v>
      </c>
      <c r="H1578" s="122">
        <v>2.86</v>
      </c>
      <c r="I1578" s="99">
        <v>5.17</v>
      </c>
      <c r="J1578" s="28">
        <v>38412</v>
      </c>
      <c r="K1578" s="21"/>
      <c r="L1578" s="21"/>
      <c r="M1578" s="21"/>
      <c r="N1578" s="21"/>
      <c r="O1578" s="21"/>
      <c r="R1578">
        <v>5.17</v>
      </c>
    </row>
    <row r="1579" spans="2:18" ht="13.5" customHeight="1" x14ac:dyDescent="0.35">
      <c r="B1579" s="100">
        <f t="shared" si="28"/>
        <v>1562</v>
      </c>
      <c r="C1579" s="117" t="s">
        <v>1648</v>
      </c>
      <c r="D1579" s="122" t="s">
        <v>1649</v>
      </c>
      <c r="E1579" s="122"/>
      <c r="F1579" s="103">
        <v>38656</v>
      </c>
      <c r="G1579" s="99">
        <v>5.17</v>
      </c>
      <c r="H1579" s="122">
        <v>2.86</v>
      </c>
      <c r="I1579" s="99">
        <v>5.17</v>
      </c>
      <c r="J1579" s="28">
        <v>38412</v>
      </c>
      <c r="K1579" s="21"/>
      <c r="L1579" s="21"/>
      <c r="M1579" s="21"/>
      <c r="N1579" s="21"/>
      <c r="O1579" s="21"/>
      <c r="R1579">
        <v>5.17</v>
      </c>
    </row>
    <row r="1580" spans="2:18" ht="13.5" customHeight="1" x14ac:dyDescent="0.35">
      <c r="B1580" s="100">
        <f t="shared" si="28"/>
        <v>1563</v>
      </c>
      <c r="C1580" s="117" t="s">
        <v>1650</v>
      </c>
      <c r="D1580" s="122" t="s">
        <v>1651</v>
      </c>
      <c r="E1580" s="122"/>
      <c r="F1580" s="103">
        <v>38656</v>
      </c>
      <c r="G1580" s="99">
        <v>5.17</v>
      </c>
      <c r="H1580" s="122">
        <v>3.03</v>
      </c>
      <c r="I1580" s="99">
        <v>5.17</v>
      </c>
      <c r="J1580" s="28">
        <v>38412</v>
      </c>
      <c r="K1580" s="21"/>
      <c r="L1580" s="21"/>
      <c r="M1580" s="21"/>
      <c r="N1580" s="21"/>
      <c r="O1580" s="21"/>
      <c r="R1580">
        <v>5.17</v>
      </c>
    </row>
    <row r="1581" spans="2:18" ht="13.5" customHeight="1" x14ac:dyDescent="0.35">
      <c r="B1581" s="100">
        <f t="shared" si="28"/>
        <v>1564</v>
      </c>
      <c r="C1581" s="117" t="s">
        <v>1652</v>
      </c>
      <c r="D1581" s="122" t="s">
        <v>1653</v>
      </c>
      <c r="E1581" s="122"/>
      <c r="F1581" s="103">
        <v>38656</v>
      </c>
      <c r="G1581" s="99">
        <v>5.17</v>
      </c>
      <c r="H1581" s="122">
        <v>2.99</v>
      </c>
      <c r="I1581" s="99">
        <v>5.17</v>
      </c>
      <c r="J1581" s="28">
        <v>38412</v>
      </c>
      <c r="K1581" s="21"/>
      <c r="L1581" s="21"/>
      <c r="M1581" s="21"/>
      <c r="N1581" s="21"/>
      <c r="O1581" s="21"/>
      <c r="R1581">
        <v>5.17</v>
      </c>
    </row>
    <row r="1582" spans="2:18" ht="13.5" customHeight="1" x14ac:dyDescent="0.35">
      <c r="B1582" s="100">
        <f t="shared" si="28"/>
        <v>1565</v>
      </c>
      <c r="C1582" s="117" t="s">
        <v>1654</v>
      </c>
      <c r="D1582" s="122" t="s">
        <v>1655</v>
      </c>
      <c r="E1582" s="122"/>
      <c r="F1582" s="103">
        <v>38656</v>
      </c>
      <c r="G1582" s="99">
        <v>5.17</v>
      </c>
      <c r="H1582" s="122">
        <v>2.77</v>
      </c>
      <c r="I1582" s="99">
        <v>5.17</v>
      </c>
      <c r="J1582" s="28">
        <v>38412</v>
      </c>
      <c r="K1582" s="21"/>
      <c r="L1582" s="21"/>
      <c r="M1582" s="21"/>
      <c r="N1582" s="21"/>
      <c r="O1582" s="21"/>
      <c r="R1582">
        <v>5.17</v>
      </c>
    </row>
    <row r="1583" spans="2:18" ht="13.5" customHeight="1" x14ac:dyDescent="0.35">
      <c r="B1583" s="100">
        <f t="shared" si="28"/>
        <v>1566</v>
      </c>
      <c r="C1583" s="117" t="s">
        <v>1656</v>
      </c>
      <c r="D1583" s="122" t="s">
        <v>1657</v>
      </c>
      <c r="E1583" s="122"/>
      <c r="F1583" s="103">
        <v>38656</v>
      </c>
      <c r="G1583" s="99">
        <v>5.17</v>
      </c>
      <c r="H1583" s="122">
        <v>3.03</v>
      </c>
      <c r="I1583" s="99">
        <v>5.17</v>
      </c>
      <c r="J1583" s="28">
        <v>38412</v>
      </c>
      <c r="K1583" s="21"/>
      <c r="L1583" s="21"/>
      <c r="M1583" s="21"/>
      <c r="N1583" s="21"/>
      <c r="O1583" s="21"/>
      <c r="R1583">
        <v>5.17</v>
      </c>
    </row>
    <row r="1584" spans="2:18" ht="13.5" customHeight="1" x14ac:dyDescent="0.35">
      <c r="B1584" s="100">
        <f t="shared" si="28"/>
        <v>1567</v>
      </c>
      <c r="C1584" s="117" t="s">
        <v>1658</v>
      </c>
      <c r="D1584" s="122" t="s">
        <v>1659</v>
      </c>
      <c r="E1584" s="122"/>
      <c r="F1584" s="103">
        <v>38656</v>
      </c>
      <c r="G1584" s="99">
        <v>4.17</v>
      </c>
      <c r="H1584" s="122">
        <v>3.31</v>
      </c>
      <c r="I1584" s="99">
        <v>4.17</v>
      </c>
      <c r="J1584" s="28">
        <v>38412</v>
      </c>
      <c r="K1584" s="21"/>
      <c r="L1584" s="21"/>
      <c r="M1584" s="21"/>
      <c r="N1584" s="21"/>
      <c r="O1584" s="21"/>
      <c r="R1584">
        <v>4.17</v>
      </c>
    </row>
    <row r="1585" spans="2:18" ht="13.5" customHeight="1" x14ac:dyDescent="0.35">
      <c r="B1585" s="100">
        <f t="shared" si="28"/>
        <v>1568</v>
      </c>
      <c r="C1585" s="117" t="s">
        <v>1660</v>
      </c>
      <c r="D1585" s="122" t="s">
        <v>1661</v>
      </c>
      <c r="E1585" s="122"/>
      <c r="F1585" s="103">
        <v>38656</v>
      </c>
      <c r="G1585" s="99">
        <v>4.17</v>
      </c>
      <c r="H1585" s="122">
        <v>3.15</v>
      </c>
      <c r="I1585" s="99">
        <v>4.17</v>
      </c>
      <c r="J1585" s="28">
        <v>38412</v>
      </c>
      <c r="K1585" s="21"/>
      <c r="L1585" s="21"/>
      <c r="M1585" s="21"/>
      <c r="N1585" s="21"/>
      <c r="O1585" s="21"/>
      <c r="R1585">
        <v>4.17</v>
      </c>
    </row>
    <row r="1586" spans="2:18" ht="13.5" customHeight="1" x14ac:dyDescent="0.35">
      <c r="B1586" s="100">
        <f t="shared" si="28"/>
        <v>1569</v>
      </c>
      <c r="C1586" s="117" t="s">
        <v>1662</v>
      </c>
      <c r="D1586" s="122" t="s">
        <v>1663</v>
      </c>
      <c r="E1586" s="122"/>
      <c r="F1586" s="103">
        <v>38656</v>
      </c>
      <c r="G1586" s="99">
        <v>4.17</v>
      </c>
      <c r="H1586" s="122">
        <v>3.46</v>
      </c>
      <c r="I1586" s="99">
        <v>4.17</v>
      </c>
      <c r="J1586" s="28">
        <v>38412</v>
      </c>
      <c r="K1586" s="21"/>
      <c r="L1586" s="21"/>
      <c r="M1586" s="21"/>
      <c r="N1586" s="21"/>
      <c r="O1586" s="21"/>
      <c r="R1586">
        <v>4.17</v>
      </c>
    </row>
    <row r="1587" spans="2:18" ht="13.5" customHeight="1" x14ac:dyDescent="0.35">
      <c r="B1587" s="100">
        <f t="shared" si="28"/>
        <v>1570</v>
      </c>
      <c r="C1587" s="117" t="s">
        <v>1664</v>
      </c>
      <c r="D1587" s="122" t="s">
        <v>1665</v>
      </c>
      <c r="E1587" s="122"/>
      <c r="F1587" s="103">
        <v>38656</v>
      </c>
      <c r="G1587" s="99">
        <v>4.17</v>
      </c>
      <c r="H1587" s="122">
        <v>3.17</v>
      </c>
      <c r="I1587" s="99">
        <v>4.17</v>
      </c>
      <c r="J1587" s="28">
        <v>38412</v>
      </c>
      <c r="K1587" s="21"/>
      <c r="L1587" s="21"/>
      <c r="M1587" s="21"/>
      <c r="N1587" s="21"/>
      <c r="O1587" s="21"/>
      <c r="R1587">
        <v>4.17</v>
      </c>
    </row>
    <row r="1588" spans="2:18" ht="13.5" customHeight="1" x14ac:dyDescent="0.35">
      <c r="B1588" s="100">
        <f t="shared" si="28"/>
        <v>1571</v>
      </c>
      <c r="C1588" s="117" t="s">
        <v>1666</v>
      </c>
      <c r="D1588" s="122" t="s">
        <v>1667</v>
      </c>
      <c r="E1588" s="122"/>
      <c r="F1588" s="103">
        <v>38656</v>
      </c>
      <c r="G1588" s="99">
        <v>4.17</v>
      </c>
      <c r="H1588" s="122">
        <v>3.51</v>
      </c>
      <c r="I1588" s="99">
        <v>4.17</v>
      </c>
      <c r="J1588" s="28">
        <v>38412</v>
      </c>
      <c r="K1588" s="21"/>
      <c r="L1588" s="21"/>
      <c r="M1588" s="21"/>
      <c r="N1588" s="21"/>
      <c r="O1588" s="21"/>
      <c r="R1588">
        <v>4.17</v>
      </c>
    </row>
    <row r="1589" spans="2:18" ht="13.5" customHeight="1" x14ac:dyDescent="0.35">
      <c r="B1589" s="100">
        <f t="shared" si="28"/>
        <v>1572</v>
      </c>
      <c r="C1589" s="117" t="s">
        <v>1668</v>
      </c>
      <c r="D1589" s="122" t="s">
        <v>1669</v>
      </c>
      <c r="E1589" s="122"/>
      <c r="F1589" s="103">
        <v>38656</v>
      </c>
      <c r="G1589" s="99">
        <v>4.17</v>
      </c>
      <c r="H1589" s="122">
        <v>3.19</v>
      </c>
      <c r="I1589" s="99">
        <v>4.17</v>
      </c>
      <c r="J1589" s="28">
        <v>38412</v>
      </c>
      <c r="K1589" s="21"/>
      <c r="L1589" s="21"/>
      <c r="M1589" s="21"/>
      <c r="N1589" s="21"/>
      <c r="O1589" s="21"/>
      <c r="R1589">
        <v>4.17</v>
      </c>
    </row>
    <row r="1590" spans="2:18" ht="13.5" customHeight="1" x14ac:dyDescent="0.35">
      <c r="B1590" s="100">
        <f t="shared" si="28"/>
        <v>1573</v>
      </c>
      <c r="C1590" s="117" t="s">
        <v>1670</v>
      </c>
      <c r="D1590" s="122" t="s">
        <v>1671</v>
      </c>
      <c r="E1590" s="122"/>
      <c r="F1590" s="103">
        <v>38656</v>
      </c>
      <c r="G1590" s="99">
        <v>4.17</v>
      </c>
      <c r="H1590" s="122">
        <v>3.08</v>
      </c>
      <c r="I1590" s="99">
        <v>4.17</v>
      </c>
      <c r="J1590" s="28">
        <v>38412</v>
      </c>
      <c r="K1590" s="21"/>
      <c r="L1590" s="21"/>
      <c r="M1590" s="21"/>
      <c r="N1590" s="21"/>
      <c r="O1590" s="21"/>
      <c r="R1590">
        <v>4.17</v>
      </c>
    </row>
    <row r="1591" spans="2:18" ht="13.5" customHeight="1" x14ac:dyDescent="0.35">
      <c r="B1591" s="100">
        <f t="shared" si="28"/>
        <v>1574</v>
      </c>
      <c r="C1591" s="101" t="s">
        <v>1672</v>
      </c>
      <c r="D1591" s="99">
        <v>9620887</v>
      </c>
      <c r="E1591" s="99"/>
      <c r="F1591" s="103">
        <v>38748</v>
      </c>
      <c r="G1591" s="99">
        <v>10.42</v>
      </c>
      <c r="H1591" s="109">
        <v>3.25</v>
      </c>
      <c r="I1591" s="99">
        <v>10.42</v>
      </c>
      <c r="J1591" s="18" t="s">
        <v>1673</v>
      </c>
      <c r="K1591" s="21"/>
      <c r="L1591" s="21"/>
      <c r="M1591" s="21"/>
      <c r="N1591" s="21"/>
      <c r="O1591" s="21"/>
      <c r="R1591">
        <v>10.42</v>
      </c>
    </row>
    <row r="1592" spans="2:18" ht="13.5" customHeight="1" x14ac:dyDescent="0.35">
      <c r="B1592" s="100">
        <f t="shared" si="28"/>
        <v>1575</v>
      </c>
      <c r="C1592" s="101" t="s">
        <v>1674</v>
      </c>
      <c r="D1592" s="99">
        <v>9924083</v>
      </c>
      <c r="E1592" s="99"/>
      <c r="F1592" s="103">
        <v>38748</v>
      </c>
      <c r="G1592" s="99">
        <v>7.42</v>
      </c>
      <c r="H1592" s="109">
        <v>2.39</v>
      </c>
      <c r="I1592" s="99">
        <v>7.42</v>
      </c>
      <c r="J1592" s="28">
        <v>38412</v>
      </c>
      <c r="K1592" s="21"/>
      <c r="L1592" s="21"/>
      <c r="M1592" s="21"/>
      <c r="N1592" s="21"/>
      <c r="O1592" s="21"/>
      <c r="R1592">
        <v>7.42</v>
      </c>
    </row>
    <row r="1593" spans="2:18" ht="13.5" customHeight="1" x14ac:dyDescent="0.35">
      <c r="B1593" s="100">
        <f t="shared" si="28"/>
        <v>1576</v>
      </c>
      <c r="C1593" s="101" t="s">
        <v>1675</v>
      </c>
      <c r="D1593" s="99">
        <v>9924352</v>
      </c>
      <c r="E1593" s="99"/>
      <c r="F1593" s="103">
        <v>38748</v>
      </c>
      <c r="G1593" s="99">
        <v>7.42</v>
      </c>
      <c r="H1593" s="109">
        <v>3.32</v>
      </c>
      <c r="I1593" s="99">
        <v>7.42</v>
      </c>
      <c r="J1593" s="28">
        <v>37895</v>
      </c>
      <c r="K1593" s="21"/>
      <c r="L1593" s="21"/>
      <c r="M1593" s="21"/>
      <c r="N1593" s="21"/>
      <c r="O1593" s="21"/>
      <c r="R1593">
        <v>7.42</v>
      </c>
    </row>
    <row r="1594" spans="2:18" ht="13.5" customHeight="1" x14ac:dyDescent="0.35">
      <c r="B1594" s="100">
        <f t="shared" si="28"/>
        <v>1577</v>
      </c>
      <c r="C1594" s="101" t="s">
        <v>1676</v>
      </c>
      <c r="D1594" s="99" t="s">
        <v>1677</v>
      </c>
      <c r="E1594" s="99"/>
      <c r="F1594" s="103">
        <v>38748</v>
      </c>
      <c r="G1594" s="99">
        <v>6.42</v>
      </c>
      <c r="H1594" s="109">
        <v>3.14</v>
      </c>
      <c r="I1594" s="99">
        <v>6.42</v>
      </c>
      <c r="J1594" s="28">
        <v>38412</v>
      </c>
      <c r="K1594" s="21"/>
      <c r="L1594" s="21"/>
      <c r="M1594" s="21"/>
      <c r="N1594" s="21"/>
      <c r="O1594" s="21"/>
      <c r="R1594">
        <v>6.42</v>
      </c>
    </row>
    <row r="1595" spans="2:18" ht="13.5" customHeight="1" x14ac:dyDescent="0.35">
      <c r="B1595" s="100">
        <f t="shared" si="28"/>
        <v>1578</v>
      </c>
      <c r="C1595" s="101" t="s">
        <v>1678</v>
      </c>
      <c r="D1595" s="99" t="s">
        <v>1679</v>
      </c>
      <c r="E1595" s="99"/>
      <c r="F1595" s="103">
        <v>38748</v>
      </c>
      <c r="G1595" s="99">
        <v>6.42</v>
      </c>
      <c r="H1595" s="109">
        <v>3.11</v>
      </c>
      <c r="I1595" s="99">
        <v>6.42</v>
      </c>
      <c r="J1595" s="28">
        <v>38412</v>
      </c>
      <c r="K1595" s="21"/>
      <c r="L1595" s="21"/>
      <c r="M1595" s="21"/>
      <c r="N1595" s="21"/>
      <c r="O1595" s="21"/>
      <c r="R1595">
        <v>6.42</v>
      </c>
    </row>
    <row r="1596" spans="2:18" ht="13.5" customHeight="1" x14ac:dyDescent="0.35">
      <c r="B1596" s="100">
        <f t="shared" si="28"/>
        <v>1579</v>
      </c>
      <c r="C1596" s="101" t="s">
        <v>1680</v>
      </c>
      <c r="D1596" s="99" t="s">
        <v>1520</v>
      </c>
      <c r="E1596" s="99"/>
      <c r="F1596" s="103">
        <v>38748</v>
      </c>
      <c r="G1596" s="99">
        <v>6.42</v>
      </c>
      <c r="H1596" s="109">
        <v>2.63</v>
      </c>
      <c r="I1596" s="99">
        <v>6.42</v>
      </c>
      <c r="J1596" s="28">
        <v>38412</v>
      </c>
      <c r="K1596" s="21"/>
      <c r="L1596" s="21"/>
      <c r="M1596" s="21"/>
      <c r="N1596" s="21"/>
      <c r="O1596" s="21"/>
      <c r="R1596">
        <v>6.42</v>
      </c>
    </row>
    <row r="1597" spans="2:18" ht="13.5" customHeight="1" x14ac:dyDescent="0.35">
      <c r="B1597" s="100">
        <f t="shared" si="28"/>
        <v>1580</v>
      </c>
      <c r="C1597" s="101" t="s">
        <v>1681</v>
      </c>
      <c r="D1597" s="99" t="s">
        <v>1682</v>
      </c>
      <c r="E1597" s="99"/>
      <c r="F1597" s="103">
        <v>38748</v>
      </c>
      <c r="G1597" s="99">
        <v>6.42</v>
      </c>
      <c r="H1597" s="109">
        <v>3.03</v>
      </c>
      <c r="I1597" s="99">
        <v>6.42</v>
      </c>
      <c r="J1597" s="28">
        <v>38412</v>
      </c>
      <c r="K1597" s="21"/>
      <c r="L1597" s="21"/>
      <c r="M1597" s="21"/>
      <c r="N1597" s="21"/>
      <c r="O1597" s="21"/>
      <c r="R1597">
        <v>6.42</v>
      </c>
    </row>
    <row r="1598" spans="2:18" ht="13.5" customHeight="1" x14ac:dyDescent="0.35">
      <c r="B1598" s="100">
        <f t="shared" si="28"/>
        <v>1581</v>
      </c>
      <c r="C1598" s="101" t="s">
        <v>1683</v>
      </c>
      <c r="D1598" s="99" t="s">
        <v>1684</v>
      </c>
      <c r="E1598" s="99"/>
      <c r="F1598" s="103">
        <v>38748</v>
      </c>
      <c r="G1598" s="99">
        <v>6.42</v>
      </c>
      <c r="H1598" s="109">
        <v>2.68</v>
      </c>
      <c r="I1598" s="99">
        <v>6.42</v>
      </c>
      <c r="J1598" s="28">
        <v>38412</v>
      </c>
      <c r="K1598" s="21"/>
      <c r="L1598" s="21"/>
      <c r="M1598" s="21"/>
      <c r="N1598" s="21"/>
      <c r="O1598" s="21"/>
      <c r="R1598">
        <v>6.42</v>
      </c>
    </row>
    <row r="1599" spans="2:18" ht="13.5" customHeight="1" x14ac:dyDescent="0.35">
      <c r="B1599" s="100">
        <f t="shared" si="28"/>
        <v>1582</v>
      </c>
      <c r="C1599" s="101" t="s">
        <v>1685</v>
      </c>
      <c r="D1599" s="99" t="s">
        <v>1686</v>
      </c>
      <c r="E1599" s="99"/>
      <c r="F1599" s="103">
        <v>38748</v>
      </c>
      <c r="G1599" s="99">
        <v>6.42</v>
      </c>
      <c r="H1599" s="109">
        <v>2.79</v>
      </c>
      <c r="I1599" s="99">
        <v>6.42</v>
      </c>
      <c r="J1599" s="28">
        <v>38412</v>
      </c>
      <c r="K1599" s="21"/>
      <c r="L1599" s="21"/>
      <c r="M1599" s="21"/>
      <c r="N1599" s="21"/>
      <c r="O1599" s="21"/>
      <c r="R1599">
        <v>6.42</v>
      </c>
    </row>
    <row r="1600" spans="2:18" ht="13.5" customHeight="1" x14ac:dyDescent="0.35">
      <c r="B1600" s="100">
        <f t="shared" si="28"/>
        <v>1583</v>
      </c>
      <c r="C1600" s="101" t="s">
        <v>1687</v>
      </c>
      <c r="D1600" s="99" t="s">
        <v>1688</v>
      </c>
      <c r="E1600" s="99"/>
      <c r="F1600" s="103">
        <v>38748</v>
      </c>
      <c r="G1600" s="99">
        <v>6.42</v>
      </c>
      <c r="H1600" s="109">
        <v>3.14</v>
      </c>
      <c r="I1600" s="99">
        <v>6.42</v>
      </c>
      <c r="J1600" s="28">
        <v>38412</v>
      </c>
      <c r="K1600" s="21"/>
      <c r="L1600" s="21"/>
      <c r="M1600" s="21"/>
      <c r="N1600" s="21"/>
      <c r="O1600" s="21"/>
      <c r="R1600">
        <v>6.42</v>
      </c>
    </row>
    <row r="1601" spans="2:18" ht="13.5" customHeight="1" x14ac:dyDescent="0.35">
      <c r="B1601" s="100">
        <f t="shared" si="28"/>
        <v>1584</v>
      </c>
      <c r="C1601" s="101" t="s">
        <v>1689</v>
      </c>
      <c r="D1601" s="99" t="s">
        <v>1690</v>
      </c>
      <c r="E1601" s="99"/>
      <c r="F1601" s="103">
        <v>38748</v>
      </c>
      <c r="G1601" s="99">
        <v>6.42</v>
      </c>
      <c r="H1601" s="109">
        <v>2.72</v>
      </c>
      <c r="I1601" s="99">
        <v>6.42</v>
      </c>
      <c r="J1601" s="28">
        <v>38412</v>
      </c>
      <c r="K1601" s="21"/>
      <c r="L1601" s="21"/>
      <c r="M1601" s="21"/>
      <c r="N1601" s="21"/>
      <c r="O1601" s="21"/>
      <c r="R1601">
        <v>6.42</v>
      </c>
    </row>
    <row r="1602" spans="2:18" ht="13.5" customHeight="1" x14ac:dyDescent="0.35">
      <c r="B1602" s="100">
        <f t="shared" si="28"/>
        <v>1585</v>
      </c>
      <c r="C1602" s="101" t="s">
        <v>1691</v>
      </c>
      <c r="D1602" s="99" t="s">
        <v>1692</v>
      </c>
      <c r="E1602" s="99"/>
      <c r="F1602" s="103">
        <v>38748</v>
      </c>
      <c r="G1602" s="99">
        <v>6.42</v>
      </c>
      <c r="H1602" s="109">
        <v>3.02</v>
      </c>
      <c r="I1602" s="99">
        <v>6.42</v>
      </c>
      <c r="J1602" s="28">
        <v>38596</v>
      </c>
      <c r="K1602" s="21"/>
      <c r="L1602" s="21"/>
      <c r="M1602" s="21"/>
      <c r="N1602" s="21"/>
      <c r="O1602" s="21"/>
      <c r="R1602">
        <v>6.42</v>
      </c>
    </row>
    <row r="1603" spans="2:18" ht="13.5" customHeight="1" x14ac:dyDescent="0.35">
      <c r="B1603" s="100">
        <f t="shared" si="28"/>
        <v>1586</v>
      </c>
      <c r="C1603" s="101" t="s">
        <v>1693</v>
      </c>
      <c r="D1603" s="99" t="s">
        <v>1694</v>
      </c>
      <c r="E1603" s="99"/>
      <c r="F1603" s="103">
        <v>38748</v>
      </c>
      <c r="G1603" s="99">
        <v>6.42</v>
      </c>
      <c r="H1603" s="109">
        <v>3.23</v>
      </c>
      <c r="I1603" s="99">
        <v>6.42</v>
      </c>
      <c r="J1603" s="28">
        <v>38412</v>
      </c>
      <c r="K1603" s="21"/>
      <c r="L1603" s="21"/>
      <c r="M1603" s="21"/>
      <c r="N1603" s="21"/>
      <c r="O1603" s="21"/>
      <c r="R1603">
        <v>6.42</v>
      </c>
    </row>
    <row r="1604" spans="2:18" ht="13.5" customHeight="1" x14ac:dyDescent="0.35">
      <c r="B1604" s="100">
        <f t="shared" si="28"/>
        <v>1587</v>
      </c>
      <c r="C1604" s="101" t="s">
        <v>1695</v>
      </c>
      <c r="D1604" s="99" t="s">
        <v>1696</v>
      </c>
      <c r="E1604" s="99"/>
      <c r="F1604" s="103">
        <v>38748</v>
      </c>
      <c r="G1604" s="99">
        <v>6.42</v>
      </c>
      <c r="H1604" s="109">
        <v>3.03</v>
      </c>
      <c r="I1604" s="99">
        <v>6.42</v>
      </c>
      <c r="J1604" s="28">
        <v>38596</v>
      </c>
      <c r="K1604" s="21"/>
      <c r="L1604" s="21"/>
      <c r="M1604" s="21"/>
      <c r="N1604" s="21"/>
      <c r="O1604" s="21"/>
      <c r="R1604">
        <v>6.42</v>
      </c>
    </row>
    <row r="1605" spans="2:18" ht="13.5" customHeight="1" x14ac:dyDescent="0.35">
      <c r="B1605" s="100">
        <f t="shared" si="28"/>
        <v>1588</v>
      </c>
      <c r="C1605" s="101" t="s">
        <v>1697</v>
      </c>
      <c r="D1605" s="99" t="s">
        <v>1698</v>
      </c>
      <c r="E1605" s="99"/>
      <c r="F1605" s="103">
        <v>38748</v>
      </c>
      <c r="G1605" s="99">
        <v>6.42</v>
      </c>
      <c r="H1605" s="109">
        <v>3.03</v>
      </c>
      <c r="I1605" s="99">
        <v>6.42</v>
      </c>
      <c r="J1605" s="28">
        <v>38412</v>
      </c>
      <c r="K1605" s="21"/>
      <c r="L1605" s="21"/>
      <c r="M1605" s="21"/>
      <c r="N1605" s="21"/>
      <c r="O1605" s="21"/>
      <c r="R1605">
        <v>6.42</v>
      </c>
    </row>
    <row r="1606" spans="2:18" ht="13.5" customHeight="1" x14ac:dyDescent="0.35">
      <c r="B1606" s="100">
        <f t="shared" si="28"/>
        <v>1589</v>
      </c>
      <c r="C1606" s="101" t="s">
        <v>1699</v>
      </c>
      <c r="D1606" s="99" t="s">
        <v>1700</v>
      </c>
      <c r="E1606" s="99"/>
      <c r="F1606" s="103">
        <v>38748</v>
      </c>
      <c r="G1606" s="99">
        <v>5.42</v>
      </c>
      <c r="H1606" s="109">
        <v>3.24</v>
      </c>
      <c r="I1606" s="99">
        <v>5.42</v>
      </c>
      <c r="J1606" s="28">
        <v>38412</v>
      </c>
      <c r="K1606" s="21"/>
      <c r="L1606" s="21"/>
      <c r="M1606" s="21"/>
      <c r="N1606" s="21"/>
      <c r="O1606" s="21"/>
      <c r="R1606">
        <v>5.42</v>
      </c>
    </row>
    <row r="1607" spans="2:18" ht="13.5" customHeight="1" x14ac:dyDescent="0.35">
      <c r="B1607" s="100">
        <f t="shared" si="28"/>
        <v>1590</v>
      </c>
      <c r="C1607" s="101" t="s">
        <v>1701</v>
      </c>
      <c r="D1607" s="99" t="s">
        <v>1702</v>
      </c>
      <c r="E1607" s="99"/>
      <c r="F1607" s="103">
        <v>38748</v>
      </c>
      <c r="G1607" s="99">
        <v>5.42</v>
      </c>
      <c r="H1607" s="109">
        <v>3.02</v>
      </c>
      <c r="I1607" s="99">
        <v>5.42</v>
      </c>
      <c r="J1607" s="28">
        <v>38412</v>
      </c>
      <c r="K1607" s="21"/>
      <c r="L1607" s="21"/>
      <c r="M1607" s="21"/>
      <c r="N1607" s="21"/>
      <c r="O1607" s="21"/>
      <c r="R1607">
        <v>5.42</v>
      </c>
    </row>
    <row r="1608" spans="2:18" ht="13.5" customHeight="1" x14ac:dyDescent="0.35">
      <c r="B1608" s="100">
        <f t="shared" si="28"/>
        <v>1591</v>
      </c>
      <c r="C1608" s="101" t="s">
        <v>1703</v>
      </c>
      <c r="D1608" s="99" t="s">
        <v>1704</v>
      </c>
      <c r="E1608" s="99"/>
      <c r="F1608" s="103">
        <v>38748</v>
      </c>
      <c r="G1608" s="99">
        <v>5.42</v>
      </c>
      <c r="H1608" s="109">
        <v>3.55</v>
      </c>
      <c r="I1608" s="99">
        <v>5.42</v>
      </c>
      <c r="J1608" s="28">
        <v>38596</v>
      </c>
      <c r="K1608" s="21"/>
      <c r="L1608" s="21"/>
      <c r="M1608" s="21"/>
      <c r="N1608" s="21"/>
      <c r="O1608" s="21"/>
      <c r="R1608">
        <v>5.42</v>
      </c>
    </row>
    <row r="1609" spans="2:18" ht="13.5" customHeight="1" x14ac:dyDescent="0.35">
      <c r="B1609" s="100">
        <f t="shared" si="28"/>
        <v>1592</v>
      </c>
      <c r="C1609" s="101" t="s">
        <v>1705</v>
      </c>
      <c r="D1609" s="99" t="s">
        <v>1706</v>
      </c>
      <c r="E1609" s="99"/>
      <c r="F1609" s="103">
        <v>38748</v>
      </c>
      <c r="G1609" s="99">
        <v>5.42</v>
      </c>
      <c r="H1609" s="109">
        <v>3.03</v>
      </c>
      <c r="I1609" s="99">
        <v>5.42</v>
      </c>
      <c r="J1609" s="28">
        <v>38412</v>
      </c>
      <c r="K1609" s="21"/>
      <c r="L1609" s="21"/>
      <c r="M1609" s="21"/>
      <c r="N1609" s="21"/>
      <c r="O1609" s="21"/>
      <c r="R1609">
        <v>5.42</v>
      </c>
    </row>
    <row r="1610" spans="2:18" ht="13.5" customHeight="1" x14ac:dyDescent="0.35">
      <c r="B1610" s="100">
        <f t="shared" si="28"/>
        <v>1593</v>
      </c>
      <c r="C1610" s="101" t="s">
        <v>1707</v>
      </c>
      <c r="D1610" s="99" t="s">
        <v>1708</v>
      </c>
      <c r="E1610" s="99"/>
      <c r="F1610" s="103">
        <v>38748</v>
      </c>
      <c r="G1610" s="99">
        <v>5.42</v>
      </c>
      <c r="H1610" s="109">
        <v>3.25</v>
      </c>
      <c r="I1610" s="99">
        <v>5.42</v>
      </c>
      <c r="J1610" s="28">
        <v>38596</v>
      </c>
      <c r="K1610" s="21"/>
      <c r="L1610" s="21"/>
      <c r="M1610" s="21"/>
      <c r="N1610" s="21"/>
      <c r="O1610" s="21"/>
      <c r="R1610">
        <v>5.42</v>
      </c>
    </row>
    <row r="1611" spans="2:18" ht="13.5" customHeight="1" x14ac:dyDescent="0.35">
      <c r="B1611" s="100">
        <f t="shared" si="28"/>
        <v>1594</v>
      </c>
      <c r="C1611" s="101" t="s">
        <v>1709</v>
      </c>
      <c r="D1611" s="99" t="s">
        <v>1710</v>
      </c>
      <c r="E1611" s="99"/>
      <c r="F1611" s="103">
        <v>38748</v>
      </c>
      <c r="G1611" s="99">
        <v>5.42</v>
      </c>
      <c r="H1611" s="109">
        <v>3.11</v>
      </c>
      <c r="I1611" s="99">
        <v>5.42</v>
      </c>
      <c r="J1611" s="28">
        <v>38412</v>
      </c>
      <c r="K1611" s="21"/>
      <c r="L1611" s="21"/>
      <c r="M1611" s="21"/>
      <c r="N1611" s="21"/>
      <c r="O1611" s="21"/>
      <c r="R1611">
        <v>5.42</v>
      </c>
    </row>
    <row r="1612" spans="2:18" ht="13.5" customHeight="1" x14ac:dyDescent="0.35">
      <c r="B1612" s="100">
        <f t="shared" si="28"/>
        <v>1595</v>
      </c>
      <c r="C1612" s="101" t="s">
        <v>1711</v>
      </c>
      <c r="D1612" s="99" t="s">
        <v>1712</v>
      </c>
      <c r="E1612" s="99"/>
      <c r="F1612" s="103">
        <v>38748</v>
      </c>
      <c r="G1612" s="99">
        <v>5.42</v>
      </c>
      <c r="H1612" s="109">
        <v>2.92</v>
      </c>
      <c r="I1612" s="99">
        <v>5.42</v>
      </c>
      <c r="J1612" s="28">
        <v>38596</v>
      </c>
      <c r="K1612" s="21"/>
      <c r="L1612" s="21"/>
      <c r="M1612" s="21"/>
      <c r="N1612" s="21"/>
      <c r="O1612" s="21"/>
      <c r="R1612">
        <v>5.42</v>
      </c>
    </row>
    <row r="1613" spans="2:18" ht="13.5" customHeight="1" x14ac:dyDescent="0.35">
      <c r="B1613" s="100">
        <f t="shared" si="28"/>
        <v>1596</v>
      </c>
      <c r="C1613" s="101" t="s">
        <v>1713</v>
      </c>
      <c r="D1613" s="99" t="s">
        <v>1714</v>
      </c>
      <c r="E1613" s="99"/>
      <c r="F1613" s="103">
        <v>38748</v>
      </c>
      <c r="G1613" s="99">
        <v>5.42</v>
      </c>
      <c r="H1613" s="109">
        <v>3.32</v>
      </c>
      <c r="I1613" s="99">
        <v>5.42</v>
      </c>
      <c r="J1613" s="28">
        <v>38412</v>
      </c>
      <c r="K1613" s="21"/>
      <c r="L1613" s="21"/>
      <c r="M1613" s="21"/>
      <c r="N1613" s="21"/>
      <c r="O1613" s="21"/>
      <c r="R1613">
        <v>5.42</v>
      </c>
    </row>
    <row r="1614" spans="2:18" ht="13.5" customHeight="1" x14ac:dyDescent="0.35">
      <c r="B1614" s="100">
        <f t="shared" si="28"/>
        <v>1597</v>
      </c>
      <c r="C1614" s="101" t="s">
        <v>1715</v>
      </c>
      <c r="D1614" s="99" t="s">
        <v>1716</v>
      </c>
      <c r="E1614" s="99"/>
      <c r="F1614" s="103">
        <v>38748</v>
      </c>
      <c r="G1614" s="99">
        <v>5.42</v>
      </c>
      <c r="H1614" s="109">
        <v>3.4</v>
      </c>
      <c r="I1614" s="99">
        <v>5.42</v>
      </c>
      <c r="J1614" s="28">
        <v>38412</v>
      </c>
      <c r="K1614" s="21"/>
      <c r="L1614" s="21"/>
      <c r="M1614" s="21"/>
      <c r="N1614" s="21"/>
      <c r="O1614" s="21"/>
      <c r="R1614">
        <v>5.42</v>
      </c>
    </row>
    <row r="1615" spans="2:18" ht="13.5" customHeight="1" x14ac:dyDescent="0.35">
      <c r="B1615" s="100">
        <f t="shared" si="28"/>
        <v>1598</v>
      </c>
      <c r="C1615" s="101" t="s">
        <v>1717</v>
      </c>
      <c r="D1615" s="99" t="s">
        <v>1718</v>
      </c>
      <c r="E1615" s="99"/>
      <c r="F1615" s="103">
        <v>38748</v>
      </c>
      <c r="G1615" s="99">
        <v>5.42</v>
      </c>
      <c r="H1615" s="109">
        <v>3.31</v>
      </c>
      <c r="I1615" s="99">
        <v>5.42</v>
      </c>
      <c r="J1615" s="28">
        <v>38412</v>
      </c>
      <c r="K1615" s="21"/>
      <c r="L1615" s="21"/>
      <c r="M1615" s="21"/>
      <c r="N1615" s="21"/>
      <c r="O1615" s="21"/>
      <c r="R1615">
        <v>5.42</v>
      </c>
    </row>
    <row r="1616" spans="2:18" ht="13.5" customHeight="1" x14ac:dyDescent="0.35">
      <c r="B1616" s="100">
        <f t="shared" si="28"/>
        <v>1599</v>
      </c>
      <c r="C1616" s="101" t="s">
        <v>1719</v>
      </c>
      <c r="D1616" s="99" t="s">
        <v>1720</v>
      </c>
      <c r="E1616" s="99"/>
      <c r="F1616" s="103">
        <v>38748</v>
      </c>
      <c r="G1616" s="99">
        <v>5.42</v>
      </c>
      <c r="H1616" s="109">
        <v>3.05</v>
      </c>
      <c r="I1616" s="99">
        <v>5.42</v>
      </c>
      <c r="J1616" s="28">
        <v>38596</v>
      </c>
      <c r="K1616" s="21"/>
      <c r="L1616" s="21"/>
      <c r="M1616" s="21"/>
      <c r="N1616" s="21"/>
      <c r="O1616" s="21"/>
      <c r="R1616">
        <v>5.42</v>
      </c>
    </row>
    <row r="1617" spans="2:18" ht="13.5" customHeight="1" x14ac:dyDescent="0.35">
      <c r="B1617" s="100">
        <f t="shared" si="28"/>
        <v>1600</v>
      </c>
      <c r="C1617" s="101" t="s">
        <v>1721</v>
      </c>
      <c r="D1617" s="99" t="s">
        <v>1722</v>
      </c>
      <c r="E1617" s="99"/>
      <c r="F1617" s="103">
        <v>38748</v>
      </c>
      <c r="G1617" s="99">
        <v>5.42</v>
      </c>
      <c r="H1617" s="109">
        <v>3.21</v>
      </c>
      <c r="I1617" s="99">
        <v>5.42</v>
      </c>
      <c r="J1617" s="28">
        <v>38412</v>
      </c>
      <c r="K1617" s="21"/>
      <c r="L1617" s="21"/>
      <c r="M1617" s="21"/>
      <c r="N1617" s="21"/>
      <c r="O1617" s="21"/>
      <c r="R1617">
        <v>5.42</v>
      </c>
    </row>
    <row r="1618" spans="2:18" ht="13.5" customHeight="1" x14ac:dyDescent="0.35">
      <c r="B1618" s="100">
        <f t="shared" si="28"/>
        <v>1601</v>
      </c>
      <c r="C1618" s="101" t="s">
        <v>1723</v>
      </c>
      <c r="D1618" s="99" t="s">
        <v>1724</v>
      </c>
      <c r="E1618" s="99"/>
      <c r="F1618" s="103">
        <v>38748</v>
      </c>
      <c r="G1618" s="99">
        <v>5.42</v>
      </c>
      <c r="H1618" s="109">
        <v>3.37</v>
      </c>
      <c r="I1618" s="99">
        <v>5.42</v>
      </c>
      <c r="J1618" s="28">
        <v>38596</v>
      </c>
      <c r="K1618" s="21"/>
      <c r="L1618" s="21"/>
      <c r="M1618" s="21"/>
      <c r="N1618" s="21"/>
      <c r="O1618" s="21"/>
      <c r="R1618">
        <v>5.42</v>
      </c>
    </row>
    <row r="1619" spans="2:18" ht="13.5" customHeight="1" x14ac:dyDescent="0.35">
      <c r="B1619" s="100">
        <f t="shared" si="28"/>
        <v>1602</v>
      </c>
      <c r="C1619" s="101" t="s">
        <v>1725</v>
      </c>
      <c r="D1619" s="99" t="s">
        <v>1726</v>
      </c>
      <c r="E1619" s="99"/>
      <c r="F1619" s="103">
        <v>38748</v>
      </c>
      <c r="G1619" s="99">
        <v>5.42</v>
      </c>
      <c r="H1619" s="109">
        <v>2.83</v>
      </c>
      <c r="I1619" s="99">
        <v>5.42</v>
      </c>
      <c r="J1619" s="28">
        <v>38596</v>
      </c>
      <c r="K1619" s="21"/>
      <c r="L1619" s="21"/>
      <c r="M1619" s="21"/>
      <c r="N1619" s="21"/>
      <c r="O1619" s="21"/>
      <c r="R1619">
        <v>5.42</v>
      </c>
    </row>
    <row r="1620" spans="2:18" ht="13.5" customHeight="1" x14ac:dyDescent="0.35">
      <c r="B1620" s="100">
        <f t="shared" si="28"/>
        <v>1603</v>
      </c>
      <c r="C1620" s="101" t="s">
        <v>1727</v>
      </c>
      <c r="D1620" s="99" t="s">
        <v>1728</v>
      </c>
      <c r="E1620" s="99"/>
      <c r="F1620" s="103" t="s">
        <v>1729</v>
      </c>
      <c r="G1620" s="99">
        <v>5.75</v>
      </c>
      <c r="H1620" s="109">
        <v>3.01</v>
      </c>
      <c r="I1620" s="99">
        <v>5.75</v>
      </c>
      <c r="J1620" s="20"/>
      <c r="K1620" s="21"/>
      <c r="L1620" s="21"/>
      <c r="M1620" s="21"/>
      <c r="N1620" s="21"/>
      <c r="O1620" s="21"/>
      <c r="R1620">
        <v>5.75</v>
      </c>
    </row>
    <row r="1621" spans="2:18" ht="13.5" customHeight="1" x14ac:dyDescent="0.35">
      <c r="B1621" s="100">
        <f t="shared" si="28"/>
        <v>1604</v>
      </c>
      <c r="C1621" s="101" t="s">
        <v>1730</v>
      </c>
      <c r="D1621" s="99" t="s">
        <v>1731</v>
      </c>
      <c r="E1621" s="99"/>
      <c r="F1621" s="103" t="s">
        <v>1729</v>
      </c>
      <c r="G1621" s="99">
        <v>4.75</v>
      </c>
      <c r="H1621" s="109">
        <v>3.07</v>
      </c>
      <c r="I1621" s="99">
        <v>4.75</v>
      </c>
      <c r="J1621" s="20"/>
      <c r="K1621" s="21"/>
      <c r="L1621" s="21"/>
      <c r="M1621" s="21"/>
      <c r="N1621" s="21"/>
      <c r="O1621" s="21"/>
      <c r="R1621">
        <v>4.75</v>
      </c>
    </row>
    <row r="1622" spans="2:18" ht="13.5" customHeight="1" x14ac:dyDescent="0.35">
      <c r="B1622" s="100">
        <f t="shared" si="28"/>
        <v>1605</v>
      </c>
      <c r="C1622" s="101" t="s">
        <v>1732</v>
      </c>
      <c r="D1622" s="99" t="s">
        <v>1733</v>
      </c>
      <c r="E1622" s="99"/>
      <c r="F1622" s="103" t="s">
        <v>1729</v>
      </c>
      <c r="G1622" s="99">
        <v>4.75</v>
      </c>
      <c r="H1622" s="109">
        <v>2.97</v>
      </c>
      <c r="I1622" s="99">
        <v>4.75</v>
      </c>
      <c r="J1622" s="20"/>
      <c r="K1622" s="21"/>
      <c r="L1622" s="21"/>
      <c r="M1622" s="21"/>
      <c r="N1622" s="21"/>
      <c r="O1622" s="21"/>
      <c r="R1622">
        <v>4.75</v>
      </c>
    </row>
    <row r="1623" spans="2:18" ht="13.5" customHeight="1" x14ac:dyDescent="0.35">
      <c r="B1623" s="100">
        <f t="shared" si="28"/>
        <v>1606</v>
      </c>
      <c r="C1623" s="101" t="s">
        <v>1734</v>
      </c>
      <c r="D1623" s="99" t="s">
        <v>1735</v>
      </c>
      <c r="E1623" s="99"/>
      <c r="F1623" s="103" t="s">
        <v>1729</v>
      </c>
      <c r="G1623" s="99">
        <v>4.75</v>
      </c>
      <c r="H1623" s="109">
        <v>2.9</v>
      </c>
      <c r="I1623" s="99">
        <v>4.75</v>
      </c>
      <c r="J1623" s="20"/>
      <c r="K1623" s="21"/>
      <c r="L1623" s="21"/>
      <c r="M1623" s="21"/>
      <c r="N1623" s="21"/>
      <c r="O1623" s="21"/>
      <c r="R1623">
        <v>4.75</v>
      </c>
    </row>
    <row r="1624" spans="2:18" ht="13.5" customHeight="1" x14ac:dyDescent="0.35">
      <c r="B1624" s="100">
        <f t="shared" si="28"/>
        <v>1607</v>
      </c>
      <c r="C1624" s="101" t="s">
        <v>1736</v>
      </c>
      <c r="D1624" s="99" t="s">
        <v>1737</v>
      </c>
      <c r="E1624" s="99"/>
      <c r="F1624" s="103" t="s">
        <v>1729</v>
      </c>
      <c r="G1624" s="99">
        <v>4.75</v>
      </c>
      <c r="H1624" s="109">
        <v>3.24</v>
      </c>
      <c r="I1624" s="99">
        <v>4.75</v>
      </c>
      <c r="J1624" s="20"/>
      <c r="K1624" s="21"/>
      <c r="L1624" s="21"/>
      <c r="M1624" s="21"/>
      <c r="N1624" s="21"/>
      <c r="O1624" s="21"/>
      <c r="R1624">
        <v>4.75</v>
      </c>
    </row>
    <row r="1625" spans="2:18" ht="13.5" customHeight="1" x14ac:dyDescent="0.35">
      <c r="B1625" s="100">
        <f t="shared" si="28"/>
        <v>1608</v>
      </c>
      <c r="C1625" s="101" t="s">
        <v>1738</v>
      </c>
      <c r="D1625" s="99" t="s">
        <v>1739</v>
      </c>
      <c r="E1625" s="99"/>
      <c r="F1625" s="103" t="s">
        <v>1729</v>
      </c>
      <c r="G1625" s="99">
        <v>4.75</v>
      </c>
      <c r="H1625" s="109">
        <v>3.49</v>
      </c>
      <c r="I1625" s="99">
        <v>4.75</v>
      </c>
      <c r="J1625" s="20"/>
      <c r="K1625" s="21"/>
      <c r="L1625" s="21"/>
      <c r="M1625" s="21"/>
      <c r="N1625" s="21"/>
      <c r="O1625" s="21"/>
      <c r="R1625">
        <v>4.75</v>
      </c>
    </row>
    <row r="1626" spans="2:18" ht="13.5" customHeight="1" x14ac:dyDescent="0.35">
      <c r="B1626" s="100">
        <f t="shared" si="28"/>
        <v>1609</v>
      </c>
      <c r="C1626" s="101" t="s">
        <v>1740</v>
      </c>
      <c r="D1626" s="99" t="s">
        <v>1741</v>
      </c>
      <c r="E1626" s="99"/>
      <c r="F1626" s="103" t="s">
        <v>1729</v>
      </c>
      <c r="G1626" s="99">
        <v>4.75</v>
      </c>
      <c r="H1626" s="109">
        <v>3.26</v>
      </c>
      <c r="I1626" s="99">
        <v>4.75</v>
      </c>
      <c r="J1626" s="20"/>
      <c r="K1626" s="21"/>
      <c r="L1626" s="21"/>
      <c r="M1626" s="21"/>
      <c r="N1626" s="21"/>
      <c r="O1626" s="21"/>
      <c r="R1626">
        <v>4.75</v>
      </c>
    </row>
    <row r="1627" spans="2:18" ht="13.5" customHeight="1" x14ac:dyDescent="0.35">
      <c r="B1627" s="100">
        <f t="shared" si="28"/>
        <v>1610</v>
      </c>
      <c r="C1627" s="101" t="s">
        <v>1742</v>
      </c>
      <c r="D1627" s="99" t="s">
        <v>1743</v>
      </c>
      <c r="E1627" s="99"/>
      <c r="F1627" s="103" t="s">
        <v>1729</v>
      </c>
      <c r="G1627" s="99">
        <v>4.75</v>
      </c>
      <c r="H1627" s="109">
        <v>3.23</v>
      </c>
      <c r="I1627" s="99">
        <v>4.75</v>
      </c>
      <c r="J1627" s="20"/>
      <c r="K1627" s="21"/>
      <c r="L1627" s="21"/>
      <c r="M1627" s="21"/>
      <c r="N1627" s="21"/>
      <c r="O1627" s="21"/>
      <c r="R1627">
        <v>4.75</v>
      </c>
    </row>
    <row r="1628" spans="2:18" ht="13.5" customHeight="1" x14ac:dyDescent="0.35">
      <c r="B1628" s="100">
        <f t="shared" si="28"/>
        <v>1611</v>
      </c>
      <c r="C1628" s="101" t="s">
        <v>1744</v>
      </c>
      <c r="D1628" s="99" t="s">
        <v>1745</v>
      </c>
      <c r="E1628" s="99"/>
      <c r="F1628" s="103" t="s">
        <v>1729</v>
      </c>
      <c r="G1628" s="99">
        <v>4.75</v>
      </c>
      <c r="H1628" s="109">
        <v>3.19</v>
      </c>
      <c r="I1628" s="99">
        <v>4.75</v>
      </c>
      <c r="J1628" s="20"/>
      <c r="K1628" s="21"/>
      <c r="L1628" s="21"/>
      <c r="M1628" s="21"/>
      <c r="N1628" s="21"/>
      <c r="O1628" s="21"/>
      <c r="R1628">
        <v>4.75</v>
      </c>
    </row>
    <row r="1629" spans="2:18" ht="13.5" customHeight="1" x14ac:dyDescent="0.35">
      <c r="B1629" s="100">
        <f t="shared" si="28"/>
        <v>1612</v>
      </c>
      <c r="C1629" s="101" t="s">
        <v>1746</v>
      </c>
      <c r="D1629" s="99" t="s">
        <v>1747</v>
      </c>
      <c r="E1629" s="99"/>
      <c r="F1629" s="103" t="s">
        <v>1729</v>
      </c>
      <c r="G1629" s="99">
        <v>4.75</v>
      </c>
      <c r="H1629" s="109">
        <v>3.03</v>
      </c>
      <c r="I1629" s="99">
        <v>4.75</v>
      </c>
      <c r="J1629" s="20"/>
      <c r="K1629" s="21"/>
      <c r="L1629" s="21"/>
      <c r="M1629" s="21"/>
      <c r="N1629" s="21"/>
      <c r="O1629" s="21"/>
      <c r="R1629">
        <v>4.75</v>
      </c>
    </row>
    <row r="1630" spans="2:18" ht="13.5" customHeight="1" x14ac:dyDescent="0.35">
      <c r="B1630" s="100">
        <f t="shared" si="28"/>
        <v>1613</v>
      </c>
      <c r="C1630" s="101" t="s">
        <v>1748</v>
      </c>
      <c r="D1630" s="99" t="s">
        <v>1749</v>
      </c>
      <c r="E1630" s="99"/>
      <c r="F1630" s="103" t="s">
        <v>1729</v>
      </c>
      <c r="G1630" s="99">
        <v>4.75</v>
      </c>
      <c r="H1630" s="109">
        <v>3.04</v>
      </c>
      <c r="I1630" s="99">
        <v>4.75</v>
      </c>
      <c r="J1630" s="20"/>
      <c r="K1630" s="21"/>
      <c r="L1630" s="21"/>
      <c r="M1630" s="21"/>
      <c r="N1630" s="21"/>
      <c r="O1630" s="21"/>
      <c r="R1630">
        <v>4.75</v>
      </c>
    </row>
    <row r="1631" spans="2:18" ht="13.5" customHeight="1" x14ac:dyDescent="0.35">
      <c r="B1631" s="100">
        <f t="shared" si="28"/>
        <v>1614</v>
      </c>
      <c r="C1631" s="101" t="s">
        <v>1750</v>
      </c>
      <c r="D1631" s="99" t="s">
        <v>1751</v>
      </c>
      <c r="E1631" s="99"/>
      <c r="F1631" s="103">
        <v>38917</v>
      </c>
      <c r="G1631" s="99">
        <v>4</v>
      </c>
      <c r="H1631" s="109">
        <v>3.58</v>
      </c>
      <c r="I1631" s="99">
        <v>4</v>
      </c>
      <c r="J1631" s="20"/>
      <c r="K1631" s="21"/>
      <c r="L1631" s="21"/>
      <c r="M1631" s="21"/>
      <c r="N1631" s="21"/>
      <c r="O1631" s="21"/>
      <c r="R1631">
        <v>4</v>
      </c>
    </row>
    <row r="1632" spans="2:18" ht="13.5" customHeight="1" x14ac:dyDescent="0.35">
      <c r="B1632" s="100">
        <f t="shared" si="28"/>
        <v>1615</v>
      </c>
      <c r="C1632" s="101" t="s">
        <v>1752</v>
      </c>
      <c r="D1632" s="99" t="s">
        <v>1753</v>
      </c>
      <c r="E1632" s="99"/>
      <c r="F1632" s="103">
        <v>38917</v>
      </c>
      <c r="G1632" s="99">
        <v>5</v>
      </c>
      <c r="H1632" s="109">
        <v>3.28</v>
      </c>
      <c r="I1632" s="99">
        <v>5</v>
      </c>
      <c r="J1632" s="20"/>
      <c r="K1632" s="21"/>
      <c r="L1632" s="21"/>
      <c r="M1632" s="21"/>
      <c r="N1632" s="21"/>
      <c r="O1632" s="21"/>
      <c r="R1632">
        <v>5</v>
      </c>
    </row>
    <row r="1633" spans="2:18" ht="13.5" customHeight="1" x14ac:dyDescent="0.35">
      <c r="B1633" s="100">
        <f t="shared" si="28"/>
        <v>1616</v>
      </c>
      <c r="C1633" s="101" t="s">
        <v>1754</v>
      </c>
      <c r="D1633" s="99" t="s">
        <v>1755</v>
      </c>
      <c r="E1633" s="99"/>
      <c r="F1633" s="103">
        <v>38917</v>
      </c>
      <c r="G1633" s="99">
        <v>5</v>
      </c>
      <c r="H1633" s="109">
        <v>3.16</v>
      </c>
      <c r="I1633" s="99">
        <v>5</v>
      </c>
      <c r="J1633" s="20"/>
      <c r="K1633" s="21"/>
      <c r="L1633" s="21"/>
      <c r="M1633" s="21"/>
      <c r="N1633" s="21"/>
      <c r="O1633" s="21"/>
      <c r="R1633">
        <v>5</v>
      </c>
    </row>
    <row r="1634" spans="2:18" ht="13.5" customHeight="1" x14ac:dyDescent="0.35">
      <c r="B1634" s="100">
        <f t="shared" si="28"/>
        <v>1617</v>
      </c>
      <c r="C1634" s="101" t="s">
        <v>1756</v>
      </c>
      <c r="D1634" s="99" t="s">
        <v>1757</v>
      </c>
      <c r="E1634" s="99"/>
      <c r="F1634" s="103">
        <v>38917</v>
      </c>
      <c r="G1634" s="99">
        <v>5</v>
      </c>
      <c r="H1634" s="109">
        <v>3.16</v>
      </c>
      <c r="I1634" s="99">
        <v>5</v>
      </c>
      <c r="J1634" s="20"/>
      <c r="K1634" s="21"/>
      <c r="L1634" s="21"/>
      <c r="M1634" s="21"/>
      <c r="N1634" s="21"/>
      <c r="O1634" s="21"/>
      <c r="R1634">
        <v>5</v>
      </c>
    </row>
    <row r="1635" spans="2:18" ht="13.5" customHeight="1" x14ac:dyDescent="0.35">
      <c r="B1635" s="100">
        <f t="shared" si="28"/>
        <v>1618</v>
      </c>
      <c r="C1635" s="111" t="s">
        <v>1758</v>
      </c>
      <c r="D1635" s="99" t="s">
        <v>1759</v>
      </c>
      <c r="E1635" s="99"/>
      <c r="F1635" s="103">
        <v>38917</v>
      </c>
      <c r="G1635" s="99">
        <v>5</v>
      </c>
      <c r="H1635" s="109">
        <v>3.13</v>
      </c>
      <c r="I1635" s="99">
        <v>5</v>
      </c>
      <c r="J1635" s="20"/>
      <c r="K1635" s="21"/>
      <c r="L1635" s="21"/>
      <c r="M1635" s="21"/>
      <c r="N1635" s="21"/>
      <c r="O1635" s="21"/>
      <c r="R1635">
        <v>5</v>
      </c>
    </row>
    <row r="1636" spans="2:18" ht="13.5" customHeight="1" x14ac:dyDescent="0.35">
      <c r="B1636" s="100">
        <f t="shared" si="28"/>
        <v>1619</v>
      </c>
      <c r="C1636" s="101" t="s">
        <v>1760</v>
      </c>
      <c r="D1636" s="99" t="s">
        <v>1761</v>
      </c>
      <c r="E1636" s="99"/>
      <c r="F1636" s="103">
        <v>38917</v>
      </c>
      <c r="G1636" s="99">
        <v>4</v>
      </c>
      <c r="H1636" s="109">
        <v>3.11</v>
      </c>
      <c r="I1636" s="99">
        <v>4</v>
      </c>
      <c r="J1636" s="20"/>
      <c r="K1636" s="21"/>
      <c r="L1636" s="21"/>
      <c r="M1636" s="21"/>
      <c r="N1636" s="21"/>
      <c r="O1636" s="21"/>
      <c r="R1636">
        <v>4</v>
      </c>
    </row>
    <row r="1637" spans="2:18" ht="13.5" customHeight="1" x14ac:dyDescent="0.35">
      <c r="B1637" s="100">
        <f t="shared" si="28"/>
        <v>1620</v>
      </c>
      <c r="C1637" s="104" t="s">
        <v>1762</v>
      </c>
      <c r="D1637" s="99" t="s">
        <v>1763</v>
      </c>
      <c r="E1637" s="99"/>
      <c r="F1637" s="103">
        <v>38917</v>
      </c>
      <c r="G1637" s="99">
        <v>5</v>
      </c>
      <c r="H1637" s="109">
        <v>3.03</v>
      </c>
      <c r="I1637" s="99">
        <v>5</v>
      </c>
      <c r="J1637" s="20"/>
      <c r="K1637" s="21"/>
      <c r="L1637" s="21"/>
      <c r="M1637" s="21"/>
      <c r="N1637" s="21"/>
      <c r="O1637" s="21"/>
      <c r="R1637">
        <v>5</v>
      </c>
    </row>
    <row r="1638" spans="2:18" ht="13.5" customHeight="1" x14ac:dyDescent="0.35">
      <c r="B1638" s="100">
        <f t="shared" si="28"/>
        <v>1621</v>
      </c>
      <c r="C1638" s="104" t="s">
        <v>1764</v>
      </c>
      <c r="D1638" s="99" t="s">
        <v>1765</v>
      </c>
      <c r="E1638" s="99"/>
      <c r="F1638" s="103">
        <v>38917</v>
      </c>
      <c r="G1638" s="99">
        <v>5</v>
      </c>
      <c r="H1638" s="109">
        <v>3.01</v>
      </c>
      <c r="I1638" s="99">
        <v>5</v>
      </c>
      <c r="J1638" s="20"/>
      <c r="K1638" s="21"/>
      <c r="L1638" s="21"/>
      <c r="M1638" s="21"/>
      <c r="N1638" s="21"/>
      <c r="O1638" s="21"/>
      <c r="R1638">
        <v>5</v>
      </c>
    </row>
    <row r="1639" spans="2:18" ht="13.5" customHeight="1" x14ac:dyDescent="0.35">
      <c r="B1639" s="100">
        <f t="shared" si="28"/>
        <v>1622</v>
      </c>
      <c r="C1639" s="101" t="s">
        <v>1766</v>
      </c>
      <c r="D1639" s="99" t="s">
        <v>1767</v>
      </c>
      <c r="E1639" s="99"/>
      <c r="F1639" s="103">
        <v>38917</v>
      </c>
      <c r="G1639" s="99">
        <v>5</v>
      </c>
      <c r="H1639" s="109">
        <v>2.99</v>
      </c>
      <c r="I1639" s="99">
        <v>5</v>
      </c>
      <c r="J1639" s="20"/>
      <c r="K1639" s="21"/>
      <c r="L1639" s="21"/>
      <c r="M1639" s="21"/>
      <c r="N1639" s="21"/>
      <c r="O1639" s="21"/>
      <c r="R1639">
        <v>5</v>
      </c>
    </row>
    <row r="1640" spans="2:18" ht="13.5" customHeight="1" x14ac:dyDescent="0.35">
      <c r="B1640" s="100">
        <f t="shared" ref="B1640:B1661" si="29">(B1639+1)</f>
        <v>1623</v>
      </c>
      <c r="C1640" s="101" t="s">
        <v>1768</v>
      </c>
      <c r="D1640" s="99" t="s">
        <v>1769</v>
      </c>
      <c r="E1640" s="99"/>
      <c r="F1640" s="103">
        <v>38917</v>
      </c>
      <c r="G1640" s="99">
        <v>5</v>
      </c>
      <c r="H1640" s="109">
        <v>2.9</v>
      </c>
      <c r="I1640" s="99">
        <v>5</v>
      </c>
      <c r="J1640" s="20"/>
      <c r="K1640" s="21"/>
      <c r="L1640" s="21"/>
      <c r="M1640" s="21"/>
      <c r="N1640" s="21"/>
      <c r="O1640" s="21"/>
      <c r="R1640">
        <v>5</v>
      </c>
    </row>
    <row r="1641" spans="2:18" ht="13.5" customHeight="1" x14ac:dyDescent="0.35">
      <c r="B1641" s="100">
        <f t="shared" si="29"/>
        <v>1624</v>
      </c>
      <c r="C1641" s="101" t="s">
        <v>1770</v>
      </c>
      <c r="D1641" s="99" t="s">
        <v>1771</v>
      </c>
      <c r="E1641" s="99"/>
      <c r="F1641" s="103">
        <v>38917</v>
      </c>
      <c r="G1641" s="99">
        <v>5</v>
      </c>
      <c r="H1641" s="109">
        <v>2.88</v>
      </c>
      <c r="I1641" s="99">
        <v>5</v>
      </c>
      <c r="J1641" s="20"/>
      <c r="K1641" s="21"/>
      <c r="L1641" s="21"/>
      <c r="M1641" s="21"/>
      <c r="N1641" s="21"/>
      <c r="O1641" s="21"/>
      <c r="R1641">
        <v>5</v>
      </c>
    </row>
    <row r="1642" spans="2:18" ht="13.5" customHeight="1" x14ac:dyDescent="0.35">
      <c r="B1642" s="100">
        <f t="shared" si="29"/>
        <v>1625</v>
      </c>
      <c r="C1642" s="104" t="s">
        <v>1772</v>
      </c>
      <c r="D1642" s="99" t="s">
        <v>1773</v>
      </c>
      <c r="E1642" s="99"/>
      <c r="F1642" s="103">
        <v>38917</v>
      </c>
      <c r="G1642" s="99">
        <v>5</v>
      </c>
      <c r="H1642" s="109">
        <v>2.88</v>
      </c>
      <c r="I1642" s="99">
        <v>5</v>
      </c>
      <c r="J1642" s="20"/>
      <c r="K1642" s="21"/>
      <c r="L1642" s="21"/>
      <c r="M1642" s="21"/>
      <c r="N1642" s="21"/>
      <c r="O1642" s="21"/>
      <c r="R1642">
        <v>5</v>
      </c>
    </row>
    <row r="1643" spans="2:18" ht="13.5" customHeight="1" x14ac:dyDescent="0.35">
      <c r="B1643" s="100">
        <f t="shared" si="29"/>
        <v>1626</v>
      </c>
      <c r="C1643" s="104" t="s">
        <v>1774</v>
      </c>
      <c r="D1643" s="99" t="s">
        <v>1775</v>
      </c>
      <c r="E1643" s="99"/>
      <c r="F1643" s="103">
        <v>38917</v>
      </c>
      <c r="G1643" s="99">
        <v>7</v>
      </c>
      <c r="H1643" s="109">
        <v>2.88</v>
      </c>
      <c r="I1643" s="99">
        <v>7</v>
      </c>
      <c r="J1643" s="20"/>
      <c r="K1643" s="21"/>
      <c r="L1643" s="21"/>
      <c r="M1643" s="21"/>
      <c r="N1643" s="21"/>
      <c r="O1643" s="21"/>
      <c r="R1643">
        <v>7</v>
      </c>
    </row>
    <row r="1644" spans="2:18" ht="13.5" customHeight="1" x14ac:dyDescent="0.35">
      <c r="B1644" s="100">
        <f t="shared" si="29"/>
        <v>1627</v>
      </c>
      <c r="C1644" s="104" t="s">
        <v>1776</v>
      </c>
      <c r="D1644" s="99" t="s">
        <v>1777</v>
      </c>
      <c r="E1644" s="99"/>
      <c r="F1644" s="103">
        <v>38917</v>
      </c>
      <c r="G1644" s="99">
        <v>5</v>
      </c>
      <c r="H1644" s="109">
        <v>2.83</v>
      </c>
      <c r="I1644" s="99">
        <v>5</v>
      </c>
      <c r="J1644" s="20"/>
      <c r="K1644" s="21"/>
      <c r="L1644" s="21"/>
      <c r="M1644" s="21"/>
      <c r="N1644" s="21"/>
      <c r="O1644" s="21"/>
      <c r="R1644">
        <v>5</v>
      </c>
    </row>
    <row r="1645" spans="2:18" ht="13.5" customHeight="1" x14ac:dyDescent="0.35">
      <c r="B1645" s="100">
        <f t="shared" si="29"/>
        <v>1628</v>
      </c>
      <c r="C1645" s="104" t="s">
        <v>1778</v>
      </c>
      <c r="D1645" s="99" t="s">
        <v>1779</v>
      </c>
      <c r="E1645" s="99"/>
      <c r="F1645" s="103">
        <v>38917</v>
      </c>
      <c r="G1645" s="99">
        <v>5</v>
      </c>
      <c r="H1645" s="109">
        <v>2.78</v>
      </c>
      <c r="I1645" s="99">
        <v>5</v>
      </c>
      <c r="J1645" s="20"/>
      <c r="K1645" s="21"/>
      <c r="L1645" s="21"/>
      <c r="M1645" s="21"/>
      <c r="N1645" s="21"/>
      <c r="O1645" s="21"/>
      <c r="R1645">
        <v>5</v>
      </c>
    </row>
    <row r="1646" spans="2:18" ht="13.5" customHeight="1" x14ac:dyDescent="0.35">
      <c r="B1646" s="100">
        <f t="shared" si="29"/>
        <v>1629</v>
      </c>
      <c r="C1646" s="104" t="s">
        <v>1780</v>
      </c>
      <c r="D1646" s="99" t="s">
        <v>1781</v>
      </c>
      <c r="E1646" s="99"/>
      <c r="F1646" s="103">
        <v>38917</v>
      </c>
      <c r="G1646" s="99">
        <v>6</v>
      </c>
      <c r="H1646" s="109">
        <v>2.71</v>
      </c>
      <c r="I1646" s="99">
        <v>6</v>
      </c>
      <c r="J1646" s="20"/>
      <c r="K1646" s="21"/>
      <c r="L1646" s="21"/>
      <c r="M1646" s="21"/>
      <c r="N1646" s="21"/>
      <c r="O1646" s="21"/>
      <c r="R1646">
        <v>6</v>
      </c>
    </row>
    <row r="1647" spans="2:18" ht="13.5" customHeight="1" x14ac:dyDescent="0.35">
      <c r="B1647" s="100">
        <f t="shared" si="29"/>
        <v>1630</v>
      </c>
      <c r="C1647" s="104" t="s">
        <v>1782</v>
      </c>
      <c r="D1647" s="99" t="s">
        <v>1783</v>
      </c>
      <c r="E1647" s="99"/>
      <c r="F1647" s="103">
        <v>38917</v>
      </c>
      <c r="G1647" s="99">
        <v>6</v>
      </c>
      <c r="H1647" s="109">
        <v>2.72</v>
      </c>
      <c r="I1647" s="99">
        <v>6</v>
      </c>
      <c r="J1647" s="20"/>
      <c r="K1647" s="21"/>
      <c r="L1647" s="21"/>
      <c r="M1647" s="21"/>
      <c r="N1647" s="21"/>
      <c r="O1647" s="21"/>
      <c r="R1647">
        <v>6</v>
      </c>
    </row>
    <row r="1648" spans="2:18" ht="13.5" customHeight="1" x14ac:dyDescent="0.35">
      <c r="B1648" s="100">
        <f t="shared" si="29"/>
        <v>1631</v>
      </c>
      <c r="C1648" s="101" t="s">
        <v>1784</v>
      </c>
      <c r="D1648" s="99" t="s">
        <v>1785</v>
      </c>
      <c r="E1648" s="99"/>
      <c r="F1648" s="103">
        <v>38917</v>
      </c>
      <c r="G1648" s="99">
        <v>7</v>
      </c>
      <c r="H1648" s="109">
        <v>2.64</v>
      </c>
      <c r="I1648" s="99">
        <v>7</v>
      </c>
      <c r="J1648" s="20"/>
      <c r="K1648" s="21"/>
      <c r="L1648" s="21"/>
      <c r="M1648" s="21"/>
      <c r="N1648" s="21"/>
      <c r="O1648" s="21"/>
      <c r="R1648">
        <v>7</v>
      </c>
    </row>
    <row r="1649" spans="2:18" ht="13.5" customHeight="1" x14ac:dyDescent="0.35">
      <c r="B1649" s="100">
        <f t="shared" si="29"/>
        <v>1632</v>
      </c>
      <c r="C1649" s="104" t="s">
        <v>1786</v>
      </c>
      <c r="D1649" s="99" t="s">
        <v>1787</v>
      </c>
      <c r="E1649" s="99"/>
      <c r="F1649" s="103">
        <v>38917</v>
      </c>
      <c r="G1649" s="99">
        <v>6</v>
      </c>
      <c r="H1649" s="109">
        <v>2.5299999999999998</v>
      </c>
      <c r="I1649" s="99">
        <v>6</v>
      </c>
      <c r="J1649" s="20"/>
      <c r="K1649" s="21"/>
      <c r="L1649" s="21"/>
      <c r="M1649" s="21"/>
      <c r="N1649" s="21"/>
      <c r="O1649" s="21"/>
      <c r="R1649">
        <v>6</v>
      </c>
    </row>
    <row r="1650" spans="2:18" ht="13.5" customHeight="1" x14ac:dyDescent="0.35">
      <c r="B1650" s="100">
        <f t="shared" si="29"/>
        <v>1633</v>
      </c>
      <c r="C1650" s="104" t="s">
        <v>1788</v>
      </c>
      <c r="D1650" s="99" t="s">
        <v>1789</v>
      </c>
      <c r="E1650" s="99"/>
      <c r="F1650" s="103">
        <v>38917</v>
      </c>
      <c r="G1650" s="99">
        <v>6</v>
      </c>
      <c r="H1650" s="109">
        <v>2.4500000000000002</v>
      </c>
      <c r="I1650" s="99">
        <v>6</v>
      </c>
      <c r="J1650" s="20"/>
      <c r="K1650" s="21"/>
      <c r="L1650" s="21"/>
      <c r="M1650" s="21"/>
      <c r="N1650" s="21"/>
      <c r="O1650" s="21"/>
      <c r="R1650">
        <v>6</v>
      </c>
    </row>
    <row r="1651" spans="2:18" ht="13.5" customHeight="1" x14ac:dyDescent="0.35">
      <c r="B1651" s="100">
        <f t="shared" si="29"/>
        <v>1634</v>
      </c>
      <c r="C1651" s="101" t="s">
        <v>1790</v>
      </c>
      <c r="D1651" s="99" t="s">
        <v>1791</v>
      </c>
      <c r="E1651" s="99"/>
      <c r="F1651" s="103">
        <v>38917</v>
      </c>
      <c r="G1651" s="123">
        <v>9</v>
      </c>
      <c r="H1651" s="124">
        <v>2.2000000000000002</v>
      </c>
      <c r="I1651" s="123">
        <v>9</v>
      </c>
      <c r="J1651" s="20"/>
      <c r="K1651" s="21"/>
      <c r="L1651" s="21"/>
      <c r="M1651" s="21"/>
      <c r="N1651" s="21"/>
      <c r="O1651" s="21"/>
      <c r="R1651">
        <v>9</v>
      </c>
    </row>
    <row r="1652" spans="2:18" ht="13.5" customHeight="1" x14ac:dyDescent="0.35">
      <c r="B1652" s="100">
        <f t="shared" si="29"/>
        <v>1635</v>
      </c>
      <c r="C1652" s="101" t="s">
        <v>1792</v>
      </c>
      <c r="D1652" s="99" t="s">
        <v>1793</v>
      </c>
      <c r="E1652" s="99"/>
      <c r="F1652" s="103">
        <v>38917</v>
      </c>
      <c r="G1652" s="99"/>
      <c r="H1652" s="109">
        <v>3.27</v>
      </c>
      <c r="I1652" s="123"/>
      <c r="J1652" s="20"/>
      <c r="K1652" s="21"/>
      <c r="L1652" s="21"/>
      <c r="M1652" s="21"/>
      <c r="N1652" s="21"/>
      <c r="O1652" s="21"/>
    </row>
    <row r="1653" spans="2:18" ht="13.5" customHeight="1" x14ac:dyDescent="0.35">
      <c r="B1653" s="100">
        <f t="shared" si="29"/>
        <v>1636</v>
      </c>
      <c r="C1653" s="101" t="s">
        <v>1794</v>
      </c>
      <c r="D1653" s="99" t="s">
        <v>1795</v>
      </c>
      <c r="E1653" s="99"/>
      <c r="F1653" s="103">
        <v>38917</v>
      </c>
      <c r="G1653" s="99">
        <v>8</v>
      </c>
      <c r="H1653" s="109">
        <v>2.2200000000000002</v>
      </c>
      <c r="I1653" s="99">
        <v>8</v>
      </c>
      <c r="J1653" s="20"/>
      <c r="K1653" s="21"/>
      <c r="L1653" s="21"/>
      <c r="M1653" s="21"/>
      <c r="N1653" s="21"/>
      <c r="O1653" s="21"/>
      <c r="R1653">
        <v>8</v>
      </c>
    </row>
    <row r="1654" spans="2:18" ht="13.5" customHeight="1" x14ac:dyDescent="0.35">
      <c r="B1654" s="100">
        <f t="shared" si="29"/>
        <v>1637</v>
      </c>
      <c r="C1654" s="125" t="s">
        <v>1796</v>
      </c>
      <c r="D1654" s="99" t="s">
        <v>1797</v>
      </c>
      <c r="E1654" s="99"/>
      <c r="F1654" s="103">
        <v>38959</v>
      </c>
      <c r="G1654" s="99">
        <v>8</v>
      </c>
      <c r="H1654" s="109">
        <v>2.17</v>
      </c>
      <c r="I1654" s="99">
        <v>8</v>
      </c>
      <c r="J1654" s="20"/>
      <c r="K1654" s="29" t="s">
        <v>1798</v>
      </c>
      <c r="L1654" s="29"/>
      <c r="M1654" s="29">
        <v>5.6</v>
      </c>
      <c r="N1654" s="21"/>
      <c r="O1654" s="21"/>
      <c r="R1654">
        <v>8</v>
      </c>
    </row>
    <row r="1655" spans="2:18" ht="13.5" customHeight="1" x14ac:dyDescent="0.35">
      <c r="B1655" s="100">
        <f t="shared" si="29"/>
        <v>1638</v>
      </c>
      <c r="C1655" s="117" t="s">
        <v>1799</v>
      </c>
      <c r="D1655" s="122" t="s">
        <v>1800</v>
      </c>
      <c r="E1655" s="122"/>
      <c r="F1655" s="103">
        <v>38959</v>
      </c>
      <c r="G1655" s="99">
        <v>8</v>
      </c>
      <c r="H1655" s="126">
        <v>2.1800000000000002</v>
      </c>
      <c r="I1655" s="99">
        <v>8</v>
      </c>
      <c r="J1655" s="20"/>
      <c r="K1655" s="29" t="s">
        <v>1801</v>
      </c>
      <c r="L1655" s="29"/>
      <c r="M1655" s="29">
        <v>7.8</v>
      </c>
      <c r="N1655" s="21"/>
      <c r="O1655" s="21"/>
      <c r="R1655">
        <v>8</v>
      </c>
    </row>
    <row r="1656" spans="2:18" ht="13.5" customHeight="1" x14ac:dyDescent="0.35">
      <c r="B1656" s="100">
        <f t="shared" si="29"/>
        <v>1639</v>
      </c>
      <c r="C1656" s="117" t="s">
        <v>1802</v>
      </c>
      <c r="D1656" s="122" t="s">
        <v>1803</v>
      </c>
      <c r="E1656" s="122"/>
      <c r="F1656" s="103">
        <v>38959</v>
      </c>
      <c r="G1656" s="123">
        <v>8</v>
      </c>
      <c r="H1656" s="127">
        <v>2.5299999999999998</v>
      </c>
      <c r="I1656" s="123">
        <v>8</v>
      </c>
      <c r="J1656" s="20"/>
      <c r="K1656" s="29" t="s">
        <v>1804</v>
      </c>
      <c r="L1656" s="29"/>
      <c r="M1656" s="29">
        <f>MIN(H1575:H1661)</f>
        <v>2.17</v>
      </c>
      <c r="N1656" s="21"/>
      <c r="O1656" s="21"/>
      <c r="R1656">
        <v>8</v>
      </c>
    </row>
    <row r="1657" spans="2:18" ht="13.5" customHeight="1" x14ac:dyDescent="0.35">
      <c r="B1657" s="100">
        <f t="shared" si="29"/>
        <v>1640</v>
      </c>
      <c r="C1657" s="117" t="s">
        <v>1805</v>
      </c>
      <c r="D1657" s="122" t="s">
        <v>1806</v>
      </c>
      <c r="E1657" s="122"/>
      <c r="F1657" s="103">
        <v>38959</v>
      </c>
      <c r="G1657" s="99">
        <v>5</v>
      </c>
      <c r="H1657" s="126">
        <v>2.84</v>
      </c>
      <c r="I1657" s="99">
        <v>5</v>
      </c>
      <c r="J1657" s="20"/>
      <c r="K1657" s="29" t="s">
        <v>1807</v>
      </c>
      <c r="L1657" s="29"/>
      <c r="M1657" s="30">
        <f>(SUM(H1575:H1661))/87</f>
        <v>2.9897701149425289</v>
      </c>
      <c r="N1657" s="21"/>
      <c r="O1657" s="21"/>
      <c r="R1657">
        <v>5</v>
      </c>
    </row>
    <row r="1658" spans="2:18" ht="13.5" customHeight="1" x14ac:dyDescent="0.35">
      <c r="B1658" s="100">
        <f t="shared" si="29"/>
        <v>1641</v>
      </c>
      <c r="C1658" s="117" t="s">
        <v>1808</v>
      </c>
      <c r="D1658" s="122" t="s">
        <v>1809</v>
      </c>
      <c r="E1658" s="122"/>
      <c r="F1658" s="103">
        <v>38959</v>
      </c>
      <c r="G1658" s="99">
        <v>5</v>
      </c>
      <c r="H1658" s="126">
        <v>2.84</v>
      </c>
      <c r="I1658" s="99">
        <v>5</v>
      </c>
      <c r="J1658" s="20"/>
      <c r="K1658" s="29" t="s">
        <v>1810</v>
      </c>
      <c r="L1658" s="29"/>
      <c r="M1658" s="29">
        <f>MAX(H1575:H1661)</f>
        <v>3.58</v>
      </c>
      <c r="N1658" s="21"/>
      <c r="O1658" s="21"/>
      <c r="R1658">
        <v>5</v>
      </c>
    </row>
    <row r="1659" spans="2:18" ht="13.5" customHeight="1" x14ac:dyDescent="0.35">
      <c r="B1659" s="100">
        <f t="shared" si="29"/>
        <v>1642</v>
      </c>
      <c r="C1659" s="117" t="s">
        <v>1811</v>
      </c>
      <c r="D1659" s="122" t="s">
        <v>1812</v>
      </c>
      <c r="E1659" s="122"/>
      <c r="F1659" s="103">
        <v>38959</v>
      </c>
      <c r="G1659" s="99">
        <v>5</v>
      </c>
      <c r="H1659" s="126">
        <v>2.87</v>
      </c>
      <c r="I1659" s="99">
        <v>5</v>
      </c>
      <c r="J1659" s="20"/>
      <c r="K1659" s="29" t="s">
        <v>1813</v>
      </c>
      <c r="L1659" s="31">
        <f>COUNTIF(H1575:H1661,"&lt;2.75")</f>
        <v>0</v>
      </c>
      <c r="M1659" s="32">
        <f>(L1659/86)*100</f>
        <v>0</v>
      </c>
      <c r="N1659" s="21"/>
      <c r="O1659" s="21"/>
      <c r="R1659">
        <v>5</v>
      </c>
    </row>
    <row r="1660" spans="2:18" ht="13.5" customHeight="1" x14ac:dyDescent="0.35">
      <c r="B1660" s="100">
        <f t="shared" si="29"/>
        <v>1643</v>
      </c>
      <c r="C1660" s="117" t="s">
        <v>1814</v>
      </c>
      <c r="D1660" s="122" t="s">
        <v>1815</v>
      </c>
      <c r="E1660" s="122"/>
      <c r="F1660" s="103">
        <v>38959</v>
      </c>
      <c r="G1660" s="99">
        <v>5</v>
      </c>
      <c r="H1660" s="126">
        <v>3.17</v>
      </c>
      <c r="I1660" s="99">
        <v>5</v>
      </c>
      <c r="J1660" s="20"/>
      <c r="K1660" s="29" t="s">
        <v>1816</v>
      </c>
      <c r="L1660" s="21">
        <f>COUNTIF(H1575:H1661,"&lt;=3.50")-COUNTIF(H1575:H1661,"&lt;=2.75")</f>
        <v>0</v>
      </c>
      <c r="M1660" s="32">
        <f>(L1660/86)*100</f>
        <v>0</v>
      </c>
      <c r="N1660" s="21"/>
      <c r="O1660" s="21"/>
      <c r="R1660">
        <v>5</v>
      </c>
    </row>
    <row r="1661" spans="2:18" ht="13.5" customHeight="1" x14ac:dyDescent="0.35">
      <c r="B1661" s="100">
        <f t="shared" si="29"/>
        <v>1644</v>
      </c>
      <c r="C1661" s="117" t="s">
        <v>1817</v>
      </c>
      <c r="D1661" s="122" t="s">
        <v>1818</v>
      </c>
      <c r="E1661" s="122"/>
      <c r="F1661" s="103">
        <v>38959</v>
      </c>
      <c r="G1661" s="99">
        <v>4</v>
      </c>
      <c r="H1661" s="126">
        <v>2.63</v>
      </c>
      <c r="I1661" s="99">
        <v>4</v>
      </c>
      <c r="J1661" s="20"/>
      <c r="K1661" s="29" t="s">
        <v>1819</v>
      </c>
      <c r="L1661" s="21">
        <f>COUNTIF(H1575:H1661,"&gt;3.50")</f>
        <v>0</v>
      </c>
      <c r="M1661" s="32">
        <f>(L1661/86)*100</f>
        <v>0</v>
      </c>
      <c r="N1661" s="21"/>
      <c r="O1661" s="21"/>
      <c r="R1661">
        <v>4</v>
      </c>
    </row>
    <row r="1662" spans="2:18" ht="13.5" customHeight="1" x14ac:dyDescent="0.35">
      <c r="B1662" s="100"/>
      <c r="C1662" s="117"/>
      <c r="D1662" s="122"/>
      <c r="E1662" s="122"/>
      <c r="F1662" s="103"/>
      <c r="G1662" s="99"/>
      <c r="H1662" s="126"/>
      <c r="I1662" s="99"/>
      <c r="J1662" s="20"/>
      <c r="K1662" s="29" t="s">
        <v>1820</v>
      </c>
      <c r="L1662" s="29">
        <f>SUM(L1659:L1661)</f>
        <v>0</v>
      </c>
      <c r="M1662" s="29"/>
      <c r="N1662" s="21"/>
      <c r="O1662" s="21"/>
    </row>
    <row r="1663" spans="2:18" ht="13.5" customHeight="1" x14ac:dyDescent="0.35">
      <c r="B1663" s="100"/>
      <c r="C1663" s="128" t="s">
        <v>1821</v>
      </c>
      <c r="D1663" s="122"/>
      <c r="E1663" s="122" t="s">
        <v>1822</v>
      </c>
      <c r="F1663" s="103"/>
      <c r="G1663" s="99"/>
      <c r="H1663" s="126"/>
      <c r="I1663" s="99"/>
      <c r="J1663" s="20"/>
      <c r="K1663" s="21"/>
      <c r="L1663" s="21"/>
      <c r="M1663" s="21"/>
      <c r="N1663" s="21"/>
      <c r="O1663" s="21"/>
    </row>
    <row r="1664" spans="2:18" ht="13.5" customHeight="1" x14ac:dyDescent="0.35">
      <c r="B1664" s="100">
        <f>(B1661+1)</f>
        <v>1645</v>
      </c>
      <c r="C1664" s="101" t="s">
        <v>1823</v>
      </c>
      <c r="D1664" s="99" t="s">
        <v>1824</v>
      </c>
      <c r="E1664" s="99">
        <v>1</v>
      </c>
      <c r="F1664" s="103">
        <v>39020</v>
      </c>
      <c r="G1664" s="99">
        <v>5</v>
      </c>
      <c r="H1664" s="99">
        <v>7</v>
      </c>
      <c r="I1664" s="129">
        <v>5</v>
      </c>
      <c r="J1664" s="20"/>
      <c r="K1664" s="21"/>
      <c r="L1664" s="21"/>
      <c r="M1664" s="21"/>
      <c r="N1664" s="21"/>
      <c r="O1664" s="21"/>
      <c r="R1664">
        <v>5</v>
      </c>
    </row>
    <row r="1665" spans="2:18" ht="13.5" customHeight="1" x14ac:dyDescent="0.35">
      <c r="B1665" s="100">
        <f t="shared" ref="B1665:B1718" si="30">B1664+1</f>
        <v>1646</v>
      </c>
      <c r="C1665" s="101" t="s">
        <v>1825</v>
      </c>
      <c r="D1665" s="99" t="s">
        <v>1826</v>
      </c>
      <c r="E1665" s="99">
        <v>2</v>
      </c>
      <c r="F1665" s="103">
        <v>39020</v>
      </c>
      <c r="G1665" s="99">
        <v>4</v>
      </c>
      <c r="H1665" s="99">
        <v>7</v>
      </c>
      <c r="I1665" s="129">
        <v>4</v>
      </c>
      <c r="J1665" s="20"/>
      <c r="K1665" s="21"/>
      <c r="L1665" s="21"/>
      <c r="M1665" s="21"/>
      <c r="N1665" s="21"/>
      <c r="O1665" s="21"/>
      <c r="R1665">
        <v>4</v>
      </c>
    </row>
    <row r="1666" spans="2:18" ht="13.5" customHeight="1" x14ac:dyDescent="0.35">
      <c r="B1666" s="100">
        <f t="shared" si="30"/>
        <v>1647</v>
      </c>
      <c r="C1666" s="101" t="s">
        <v>1827</v>
      </c>
      <c r="D1666" s="99" t="s">
        <v>1828</v>
      </c>
      <c r="E1666" s="99">
        <v>2</v>
      </c>
      <c r="F1666" s="103">
        <v>39020</v>
      </c>
      <c r="G1666" s="99">
        <v>4</v>
      </c>
      <c r="H1666" s="99">
        <v>7</v>
      </c>
      <c r="I1666" s="129">
        <v>4</v>
      </c>
      <c r="J1666" s="20"/>
      <c r="K1666" s="21"/>
      <c r="L1666" s="21"/>
      <c r="M1666" s="21"/>
      <c r="N1666" s="21"/>
      <c r="O1666" s="21"/>
      <c r="R1666">
        <v>4</v>
      </c>
    </row>
    <row r="1667" spans="2:18" ht="13.5" customHeight="1" x14ac:dyDescent="0.35">
      <c r="B1667" s="100">
        <f t="shared" si="30"/>
        <v>1648</v>
      </c>
      <c r="C1667" s="117" t="s">
        <v>1829</v>
      </c>
      <c r="D1667" s="122" t="s">
        <v>1830</v>
      </c>
      <c r="E1667" s="122">
        <v>97</v>
      </c>
      <c r="F1667" s="103">
        <v>39113</v>
      </c>
      <c r="G1667" s="99">
        <v>10</v>
      </c>
      <c r="H1667" s="99">
        <v>12</v>
      </c>
      <c r="I1667" s="130">
        <v>10</v>
      </c>
      <c r="J1667" s="20"/>
      <c r="K1667" s="21"/>
      <c r="L1667" s="21"/>
      <c r="M1667" s="21"/>
      <c r="N1667" s="21"/>
      <c r="O1667" s="21"/>
      <c r="R1667">
        <v>10</v>
      </c>
    </row>
    <row r="1668" spans="2:18" ht="13.5" customHeight="1" x14ac:dyDescent="0.35">
      <c r="B1668" s="100">
        <f t="shared" si="30"/>
        <v>1649</v>
      </c>
      <c r="C1668" s="117" t="s">
        <v>1831</v>
      </c>
      <c r="D1668" s="122" t="s">
        <v>1832</v>
      </c>
      <c r="E1668" s="122">
        <v>1</v>
      </c>
      <c r="F1668" s="103">
        <v>39113</v>
      </c>
      <c r="G1668" s="99">
        <v>5.5</v>
      </c>
      <c r="H1668" s="99">
        <v>3</v>
      </c>
      <c r="I1668" s="130">
        <v>5.5</v>
      </c>
      <c r="J1668" s="20"/>
      <c r="K1668" s="21"/>
      <c r="L1668" s="21"/>
      <c r="M1668" s="21"/>
      <c r="N1668" s="21"/>
      <c r="O1668" s="21"/>
      <c r="R1668">
        <v>5.5</v>
      </c>
    </row>
    <row r="1669" spans="2:18" ht="13.5" customHeight="1" x14ac:dyDescent="0.35">
      <c r="B1669" s="100">
        <f t="shared" si="30"/>
        <v>1650</v>
      </c>
      <c r="C1669" s="117" t="s">
        <v>1833</v>
      </c>
      <c r="D1669" s="122" t="s">
        <v>1834</v>
      </c>
      <c r="E1669" s="122">
        <v>0</v>
      </c>
      <c r="F1669" s="103">
        <v>39113</v>
      </c>
      <c r="G1669" s="99">
        <v>6</v>
      </c>
      <c r="H1669" s="99">
        <v>5</v>
      </c>
      <c r="I1669" s="130">
        <v>6</v>
      </c>
      <c r="J1669" s="20"/>
      <c r="K1669" s="21"/>
      <c r="L1669" s="21"/>
      <c r="M1669" s="21"/>
      <c r="N1669" s="21"/>
      <c r="O1669" s="21"/>
      <c r="R1669">
        <v>6</v>
      </c>
    </row>
    <row r="1670" spans="2:18" ht="13.5" customHeight="1" x14ac:dyDescent="0.35">
      <c r="B1670" s="100">
        <f t="shared" si="30"/>
        <v>1651</v>
      </c>
      <c r="C1670" s="117" t="s">
        <v>1835</v>
      </c>
      <c r="D1670" s="122" t="s">
        <v>1836</v>
      </c>
      <c r="E1670" s="122">
        <v>1</v>
      </c>
      <c r="F1670" s="103">
        <v>39113</v>
      </c>
      <c r="G1670" s="99">
        <v>5.5</v>
      </c>
      <c r="H1670" s="99">
        <v>10</v>
      </c>
      <c r="I1670" s="130">
        <v>5.5</v>
      </c>
      <c r="J1670" s="20"/>
      <c r="K1670" s="21"/>
      <c r="L1670" s="21"/>
      <c r="M1670" s="21"/>
      <c r="N1670" s="21"/>
      <c r="O1670" s="21"/>
      <c r="R1670">
        <v>5.5</v>
      </c>
    </row>
    <row r="1671" spans="2:18" ht="13.5" customHeight="1" x14ac:dyDescent="0.35">
      <c r="B1671" s="100">
        <f t="shared" si="30"/>
        <v>1652</v>
      </c>
      <c r="C1671" s="117" t="s">
        <v>1837</v>
      </c>
      <c r="D1671" s="122" t="s">
        <v>1838</v>
      </c>
      <c r="E1671" s="122">
        <v>1</v>
      </c>
      <c r="F1671" s="103">
        <v>39113</v>
      </c>
      <c r="G1671" s="99">
        <v>5.5</v>
      </c>
      <c r="H1671" s="99">
        <v>10</v>
      </c>
      <c r="I1671" s="130">
        <v>5.5</v>
      </c>
      <c r="J1671" s="20"/>
      <c r="K1671" s="21"/>
      <c r="L1671" s="21"/>
      <c r="M1671" s="21"/>
      <c r="N1671" s="21"/>
      <c r="O1671" s="21"/>
      <c r="R1671">
        <v>5.5</v>
      </c>
    </row>
    <row r="1672" spans="2:18" ht="13.5" customHeight="1" x14ac:dyDescent="0.35">
      <c r="B1672" s="100">
        <f t="shared" si="30"/>
        <v>1653</v>
      </c>
      <c r="C1672" s="117" t="s">
        <v>1839</v>
      </c>
      <c r="D1672" s="122" t="s">
        <v>1840</v>
      </c>
      <c r="E1672" s="122">
        <v>1</v>
      </c>
      <c r="F1672" s="103">
        <v>39113</v>
      </c>
      <c r="G1672" s="99">
        <v>5.5</v>
      </c>
      <c r="H1672" s="99">
        <v>3</v>
      </c>
      <c r="I1672" s="130">
        <v>5.5</v>
      </c>
      <c r="J1672" s="20"/>
      <c r="K1672" s="21"/>
      <c r="L1672" s="21"/>
      <c r="M1672" s="21"/>
      <c r="N1672" s="21"/>
      <c r="O1672" s="21"/>
      <c r="R1672">
        <v>5.5</v>
      </c>
    </row>
    <row r="1673" spans="2:18" ht="13.5" customHeight="1" x14ac:dyDescent="0.35">
      <c r="B1673" s="100">
        <f t="shared" si="30"/>
        <v>1654</v>
      </c>
      <c r="C1673" s="117" t="s">
        <v>1841</v>
      </c>
      <c r="D1673" s="122" t="s">
        <v>1842</v>
      </c>
      <c r="E1673" s="122">
        <v>1</v>
      </c>
      <c r="F1673" s="103">
        <v>39113</v>
      </c>
      <c r="G1673" s="99">
        <v>5.5</v>
      </c>
      <c r="H1673" s="99">
        <v>3</v>
      </c>
      <c r="I1673" s="130">
        <v>5.5</v>
      </c>
      <c r="J1673" s="20"/>
      <c r="K1673" s="21"/>
      <c r="L1673" s="21"/>
      <c r="M1673" s="21"/>
      <c r="N1673" s="21"/>
      <c r="O1673" s="21"/>
      <c r="R1673">
        <v>5.5</v>
      </c>
    </row>
    <row r="1674" spans="2:18" ht="13.5" customHeight="1" x14ac:dyDescent="0.35">
      <c r="B1674" s="100">
        <f t="shared" si="30"/>
        <v>1655</v>
      </c>
      <c r="C1674" s="117" t="s">
        <v>1843</v>
      </c>
      <c r="D1674" s="122" t="s">
        <v>1844</v>
      </c>
      <c r="E1674" s="122">
        <v>1</v>
      </c>
      <c r="F1674" s="103">
        <v>39113</v>
      </c>
      <c r="G1674" s="99">
        <v>5.5</v>
      </c>
      <c r="H1674" s="99">
        <v>3</v>
      </c>
      <c r="I1674" s="130">
        <v>5.5</v>
      </c>
      <c r="J1674" s="20"/>
      <c r="K1674" s="21"/>
      <c r="L1674" s="21"/>
      <c r="M1674" s="21"/>
      <c r="N1674" s="21"/>
      <c r="O1674" s="21"/>
      <c r="R1674">
        <v>5.5</v>
      </c>
    </row>
    <row r="1675" spans="2:18" ht="13.5" customHeight="1" x14ac:dyDescent="0.35">
      <c r="B1675" s="100">
        <f t="shared" si="30"/>
        <v>1656</v>
      </c>
      <c r="C1675" s="117" t="s">
        <v>1845</v>
      </c>
      <c r="D1675" s="122" t="s">
        <v>1846</v>
      </c>
      <c r="E1675" s="122">
        <v>1</v>
      </c>
      <c r="F1675" s="103">
        <v>39113</v>
      </c>
      <c r="G1675" s="99">
        <v>5.5</v>
      </c>
      <c r="H1675" s="99">
        <v>3</v>
      </c>
      <c r="I1675" s="130">
        <v>5.5</v>
      </c>
      <c r="J1675" s="20"/>
      <c r="K1675" s="21"/>
      <c r="L1675" s="21"/>
      <c r="M1675" s="21"/>
      <c r="N1675" s="21"/>
      <c r="O1675" s="21"/>
      <c r="R1675">
        <v>5.5</v>
      </c>
    </row>
    <row r="1676" spans="2:18" ht="13.5" customHeight="1" x14ac:dyDescent="0.35">
      <c r="B1676" s="100">
        <f t="shared" si="30"/>
        <v>1657</v>
      </c>
      <c r="C1676" s="117" t="s">
        <v>1847</v>
      </c>
      <c r="D1676" s="122" t="s">
        <v>1848</v>
      </c>
      <c r="E1676" s="122">
        <v>1</v>
      </c>
      <c r="F1676" s="103">
        <v>39113</v>
      </c>
      <c r="G1676" s="99">
        <v>5.5</v>
      </c>
      <c r="H1676" s="99">
        <v>10</v>
      </c>
      <c r="I1676" s="130">
        <v>5.5</v>
      </c>
      <c r="J1676" s="20"/>
      <c r="K1676" s="21"/>
      <c r="L1676" s="21"/>
      <c r="M1676" s="21"/>
      <c r="N1676" s="21"/>
      <c r="O1676" s="21"/>
      <c r="R1676">
        <v>5.5</v>
      </c>
    </row>
    <row r="1677" spans="2:18" ht="13.5" customHeight="1" x14ac:dyDescent="0.35">
      <c r="B1677" s="100">
        <f t="shared" si="30"/>
        <v>1658</v>
      </c>
      <c r="C1677" s="117" t="s">
        <v>1849</v>
      </c>
      <c r="D1677" s="122" t="s">
        <v>1850</v>
      </c>
      <c r="E1677" s="122">
        <v>1</v>
      </c>
      <c r="F1677" s="103">
        <v>39113</v>
      </c>
      <c r="G1677" s="99">
        <v>5.5</v>
      </c>
      <c r="H1677" s="99">
        <v>3</v>
      </c>
      <c r="I1677" s="130">
        <v>5.5</v>
      </c>
      <c r="J1677" s="20"/>
      <c r="K1677" s="21"/>
      <c r="L1677" s="21"/>
      <c r="M1677" s="21"/>
      <c r="N1677" s="21"/>
      <c r="O1677" s="21"/>
      <c r="R1677">
        <v>5.5</v>
      </c>
    </row>
    <row r="1678" spans="2:18" ht="13.5" customHeight="1" x14ac:dyDescent="0.35">
      <c r="B1678" s="100">
        <f t="shared" si="30"/>
        <v>1659</v>
      </c>
      <c r="C1678" s="117" t="s">
        <v>1851</v>
      </c>
      <c r="D1678" s="122" t="s">
        <v>1852</v>
      </c>
      <c r="E1678" s="122">
        <v>1</v>
      </c>
      <c r="F1678" s="103">
        <v>39113</v>
      </c>
      <c r="G1678" s="99">
        <v>5.5</v>
      </c>
      <c r="H1678" s="99">
        <v>3</v>
      </c>
      <c r="I1678" s="130">
        <v>5.5</v>
      </c>
      <c r="J1678" s="20"/>
      <c r="K1678" s="21"/>
      <c r="L1678" s="21"/>
      <c r="M1678" s="21"/>
      <c r="N1678" s="21"/>
      <c r="O1678" s="21"/>
      <c r="R1678">
        <v>5.5</v>
      </c>
    </row>
    <row r="1679" spans="2:18" ht="13.5" customHeight="1" x14ac:dyDescent="0.35">
      <c r="B1679" s="100">
        <f t="shared" si="30"/>
        <v>1660</v>
      </c>
      <c r="C1679" s="117" t="s">
        <v>1853</v>
      </c>
      <c r="D1679" s="122" t="s">
        <v>1854</v>
      </c>
      <c r="E1679" s="122">
        <v>1</v>
      </c>
      <c r="F1679" s="103">
        <v>39113</v>
      </c>
      <c r="G1679" s="99">
        <v>5.5</v>
      </c>
      <c r="H1679" s="99">
        <v>10</v>
      </c>
      <c r="I1679" s="130">
        <v>5.5</v>
      </c>
      <c r="J1679" s="20"/>
      <c r="K1679" s="21"/>
      <c r="L1679" s="21"/>
      <c r="M1679" s="21"/>
      <c r="N1679" s="21"/>
      <c r="O1679" s="21"/>
      <c r="R1679">
        <v>5.5</v>
      </c>
    </row>
    <row r="1680" spans="2:18" ht="13.5" customHeight="1" x14ac:dyDescent="0.35">
      <c r="B1680" s="100">
        <f t="shared" si="30"/>
        <v>1661</v>
      </c>
      <c r="C1680" s="117" t="s">
        <v>1855</v>
      </c>
      <c r="D1680" s="122" t="s">
        <v>1856</v>
      </c>
      <c r="E1680" s="122">
        <v>1</v>
      </c>
      <c r="F1680" s="103">
        <v>39113</v>
      </c>
      <c r="G1680" s="99">
        <v>5.5</v>
      </c>
      <c r="H1680" s="99">
        <v>10</v>
      </c>
      <c r="I1680" s="130">
        <v>5.5</v>
      </c>
      <c r="J1680" s="20"/>
      <c r="K1680" s="21"/>
      <c r="L1680" s="21"/>
      <c r="M1680" s="21"/>
      <c r="N1680" s="21"/>
      <c r="O1680" s="21"/>
      <c r="R1680">
        <v>5.5</v>
      </c>
    </row>
    <row r="1681" spans="2:18" ht="13.5" customHeight="1" x14ac:dyDescent="0.35">
      <c r="B1681" s="100">
        <f t="shared" si="30"/>
        <v>1662</v>
      </c>
      <c r="C1681" s="117" t="s">
        <v>1857</v>
      </c>
      <c r="D1681" s="122" t="s">
        <v>1858</v>
      </c>
      <c r="E1681" s="122">
        <v>2</v>
      </c>
      <c r="F1681" s="103">
        <v>39113</v>
      </c>
      <c r="G1681" s="99">
        <v>4.5</v>
      </c>
      <c r="H1681" s="99">
        <v>3</v>
      </c>
      <c r="I1681" s="130">
        <v>4.5</v>
      </c>
      <c r="J1681" s="20"/>
      <c r="K1681" s="21"/>
      <c r="L1681" s="21"/>
      <c r="M1681" s="21"/>
      <c r="N1681" s="21"/>
      <c r="O1681" s="21"/>
      <c r="R1681">
        <v>4.5</v>
      </c>
    </row>
    <row r="1682" spans="2:18" ht="13.5" customHeight="1" x14ac:dyDescent="0.35">
      <c r="B1682" s="100">
        <f t="shared" si="30"/>
        <v>1663</v>
      </c>
      <c r="C1682" s="117" t="s">
        <v>1859</v>
      </c>
      <c r="D1682" s="122" t="s">
        <v>1860</v>
      </c>
      <c r="E1682" s="122">
        <v>2</v>
      </c>
      <c r="F1682" s="103">
        <v>39113</v>
      </c>
      <c r="G1682" s="99">
        <v>4.5</v>
      </c>
      <c r="H1682" s="99">
        <v>3</v>
      </c>
      <c r="I1682" s="130">
        <v>4.5</v>
      </c>
      <c r="J1682" s="20"/>
      <c r="K1682" s="21"/>
      <c r="L1682" s="21"/>
      <c r="M1682" s="21"/>
      <c r="N1682" s="21"/>
      <c r="O1682" s="21"/>
      <c r="R1682">
        <v>4.5</v>
      </c>
    </row>
    <row r="1683" spans="2:18" ht="13.5" customHeight="1" x14ac:dyDescent="0.35">
      <c r="B1683" s="100">
        <f t="shared" si="30"/>
        <v>1664</v>
      </c>
      <c r="C1683" s="117" t="s">
        <v>1861</v>
      </c>
      <c r="D1683" s="122" t="s">
        <v>1862</v>
      </c>
      <c r="E1683" s="122">
        <v>2</v>
      </c>
      <c r="F1683" s="103">
        <v>39113</v>
      </c>
      <c r="G1683" s="99">
        <v>4.5</v>
      </c>
      <c r="H1683" s="99">
        <v>3</v>
      </c>
      <c r="I1683" s="130">
        <v>4.5</v>
      </c>
      <c r="J1683" s="20"/>
      <c r="K1683" s="21"/>
      <c r="L1683" s="21"/>
      <c r="M1683" s="21"/>
      <c r="N1683" s="21"/>
      <c r="O1683" s="21"/>
      <c r="R1683">
        <v>4.5</v>
      </c>
    </row>
    <row r="1684" spans="2:18" ht="13.5" customHeight="1" x14ac:dyDescent="0.35">
      <c r="B1684" s="100">
        <f t="shared" si="30"/>
        <v>1665</v>
      </c>
      <c r="C1684" s="117" t="s">
        <v>1863</v>
      </c>
      <c r="D1684" s="122" t="s">
        <v>1864</v>
      </c>
      <c r="E1684" s="122">
        <v>2</v>
      </c>
      <c r="F1684" s="103">
        <v>39113</v>
      </c>
      <c r="G1684" s="99">
        <v>4.5</v>
      </c>
      <c r="H1684" s="99">
        <v>3</v>
      </c>
      <c r="I1684" s="130">
        <v>4.5</v>
      </c>
      <c r="J1684" s="20"/>
      <c r="K1684" s="21"/>
      <c r="L1684" s="21"/>
      <c r="M1684" s="21"/>
      <c r="N1684" s="21"/>
      <c r="O1684" s="21"/>
      <c r="R1684">
        <v>4.5</v>
      </c>
    </row>
    <row r="1685" spans="2:18" ht="13.5" customHeight="1" x14ac:dyDescent="0.35">
      <c r="B1685" s="100">
        <f t="shared" si="30"/>
        <v>1666</v>
      </c>
      <c r="C1685" s="117" t="s">
        <v>1865</v>
      </c>
      <c r="D1685" s="122" t="s">
        <v>1866</v>
      </c>
      <c r="E1685" s="122">
        <v>2</v>
      </c>
      <c r="F1685" s="103">
        <v>39113</v>
      </c>
      <c r="G1685" s="99">
        <v>4.5</v>
      </c>
      <c r="H1685" s="99">
        <v>3</v>
      </c>
      <c r="I1685" s="130">
        <v>4.5</v>
      </c>
      <c r="J1685" s="20"/>
      <c r="K1685" s="21"/>
      <c r="L1685" s="21"/>
      <c r="M1685" s="21"/>
      <c r="N1685" s="21"/>
      <c r="O1685" s="21"/>
      <c r="R1685">
        <v>4.5</v>
      </c>
    </row>
    <row r="1686" spans="2:18" ht="13.5" customHeight="1" x14ac:dyDescent="0.35">
      <c r="B1686" s="100">
        <f t="shared" si="30"/>
        <v>1667</v>
      </c>
      <c r="C1686" s="131" t="s">
        <v>1867</v>
      </c>
      <c r="D1686" s="122" t="s">
        <v>1868</v>
      </c>
      <c r="E1686" s="122">
        <v>2</v>
      </c>
      <c r="F1686" s="103">
        <v>39113</v>
      </c>
      <c r="G1686" s="99">
        <v>4.5</v>
      </c>
      <c r="H1686" s="99">
        <v>3</v>
      </c>
      <c r="I1686" s="130">
        <v>4.5</v>
      </c>
      <c r="J1686" s="20"/>
      <c r="K1686" s="21"/>
      <c r="L1686" s="21"/>
      <c r="M1686" s="21"/>
      <c r="N1686" s="21"/>
      <c r="O1686" s="21"/>
      <c r="R1686">
        <v>4.5</v>
      </c>
    </row>
    <row r="1687" spans="2:18" ht="13.5" customHeight="1" x14ac:dyDescent="0.35">
      <c r="B1687" s="100">
        <f t="shared" si="30"/>
        <v>1668</v>
      </c>
      <c r="C1687" s="117" t="s">
        <v>1869</v>
      </c>
      <c r="D1687" s="122" t="s">
        <v>1870</v>
      </c>
      <c r="E1687" s="122">
        <v>2</v>
      </c>
      <c r="F1687" s="103">
        <v>39113</v>
      </c>
      <c r="G1687" s="99">
        <v>4.5</v>
      </c>
      <c r="H1687" s="99">
        <v>10</v>
      </c>
      <c r="I1687" s="130">
        <v>4.5</v>
      </c>
      <c r="J1687" s="20"/>
      <c r="K1687" s="21"/>
      <c r="L1687" s="21"/>
      <c r="M1687" s="21"/>
      <c r="N1687" s="21"/>
      <c r="O1687" s="21"/>
      <c r="R1687">
        <v>4.5</v>
      </c>
    </row>
    <row r="1688" spans="2:18" ht="13.5" customHeight="1" x14ac:dyDescent="0.35">
      <c r="B1688" s="100">
        <f t="shared" si="30"/>
        <v>1669</v>
      </c>
      <c r="C1688" s="117" t="s">
        <v>1871</v>
      </c>
      <c r="D1688" s="122" t="s">
        <v>1872</v>
      </c>
      <c r="E1688" s="122">
        <v>1</v>
      </c>
      <c r="F1688" s="103">
        <v>39113</v>
      </c>
      <c r="G1688" s="99">
        <v>5.5</v>
      </c>
      <c r="H1688" s="99">
        <v>3</v>
      </c>
      <c r="I1688" s="130">
        <v>5.5</v>
      </c>
      <c r="J1688" s="20"/>
      <c r="K1688" s="21"/>
      <c r="L1688" s="21"/>
      <c r="M1688" s="21"/>
      <c r="N1688" s="21"/>
      <c r="O1688" s="21"/>
      <c r="R1688">
        <v>5.5</v>
      </c>
    </row>
    <row r="1689" spans="2:18" ht="13.5" customHeight="1" x14ac:dyDescent="0.35">
      <c r="B1689" s="100">
        <f t="shared" si="30"/>
        <v>1670</v>
      </c>
      <c r="C1689" s="117" t="s">
        <v>1873</v>
      </c>
      <c r="D1689" s="122" t="s">
        <v>1874</v>
      </c>
      <c r="E1689" s="122">
        <v>2</v>
      </c>
      <c r="F1689" s="103">
        <v>39113</v>
      </c>
      <c r="G1689" s="99">
        <v>4.5</v>
      </c>
      <c r="H1689" s="99">
        <v>3</v>
      </c>
      <c r="I1689" s="130">
        <v>4.5</v>
      </c>
      <c r="J1689" s="20"/>
      <c r="K1689" s="21"/>
      <c r="L1689" s="21"/>
      <c r="M1689" s="21"/>
      <c r="N1689" s="21"/>
      <c r="O1689" s="21"/>
      <c r="R1689">
        <v>4.5</v>
      </c>
    </row>
    <row r="1690" spans="2:18" ht="13.5" customHeight="1" x14ac:dyDescent="0.35">
      <c r="B1690" s="100">
        <f t="shared" si="30"/>
        <v>1671</v>
      </c>
      <c r="C1690" s="117" t="s">
        <v>1875</v>
      </c>
      <c r="D1690" s="122" t="s">
        <v>1876</v>
      </c>
      <c r="E1690" s="122">
        <v>2</v>
      </c>
      <c r="F1690" s="103">
        <v>39113</v>
      </c>
      <c r="G1690" s="99">
        <v>4.5</v>
      </c>
      <c r="H1690" s="99">
        <v>3</v>
      </c>
      <c r="I1690" s="130">
        <v>4.5</v>
      </c>
      <c r="J1690" s="20"/>
      <c r="K1690" s="21"/>
      <c r="L1690" s="21"/>
      <c r="M1690" s="21"/>
      <c r="N1690" s="21"/>
      <c r="O1690" s="21"/>
      <c r="R1690">
        <v>4.5</v>
      </c>
    </row>
    <row r="1691" spans="2:18" ht="13.5" customHeight="1" x14ac:dyDescent="0.35">
      <c r="B1691" s="100">
        <f t="shared" si="30"/>
        <v>1672</v>
      </c>
      <c r="C1691" s="117" t="s">
        <v>1877</v>
      </c>
      <c r="D1691" s="122" t="s">
        <v>1878</v>
      </c>
      <c r="E1691" s="122">
        <v>2</v>
      </c>
      <c r="F1691" s="103">
        <v>39113</v>
      </c>
      <c r="G1691" s="99">
        <v>4.5</v>
      </c>
      <c r="H1691" s="99">
        <v>3</v>
      </c>
      <c r="I1691" s="130">
        <v>4.5</v>
      </c>
      <c r="J1691" s="20"/>
      <c r="K1691" s="21"/>
      <c r="L1691" s="21"/>
      <c r="M1691" s="21"/>
      <c r="N1691" s="21"/>
      <c r="O1691" s="21"/>
      <c r="R1691">
        <v>4.5</v>
      </c>
    </row>
    <row r="1692" spans="2:18" ht="13.5" customHeight="1" x14ac:dyDescent="0.35">
      <c r="B1692" s="100">
        <f t="shared" si="30"/>
        <v>1673</v>
      </c>
      <c r="C1692" s="117" t="s">
        <v>1879</v>
      </c>
      <c r="D1692" s="122" t="s">
        <v>1880</v>
      </c>
      <c r="E1692" s="122">
        <v>2</v>
      </c>
      <c r="F1692" s="103">
        <v>39113</v>
      </c>
      <c r="G1692" s="99">
        <v>4.5</v>
      </c>
      <c r="H1692" s="99">
        <v>3</v>
      </c>
      <c r="I1692" s="130">
        <v>4.5</v>
      </c>
      <c r="J1692" s="20"/>
      <c r="K1692" s="21"/>
      <c r="L1692" s="21"/>
      <c r="M1692" s="21"/>
      <c r="N1692" s="21"/>
      <c r="O1692" s="21"/>
      <c r="R1692">
        <v>4.5</v>
      </c>
    </row>
    <row r="1693" spans="2:18" ht="13.5" customHeight="1" x14ac:dyDescent="0.35">
      <c r="B1693" s="100">
        <f t="shared" si="30"/>
        <v>1674</v>
      </c>
      <c r="C1693" s="117" t="s">
        <v>1881</v>
      </c>
      <c r="D1693" s="122" t="s">
        <v>1882</v>
      </c>
      <c r="E1693" s="122">
        <v>2</v>
      </c>
      <c r="F1693" s="103">
        <v>39113</v>
      </c>
      <c r="G1693" s="99">
        <v>4.5</v>
      </c>
      <c r="H1693" s="99">
        <v>3</v>
      </c>
      <c r="I1693" s="130">
        <v>4.5</v>
      </c>
      <c r="J1693" s="20"/>
      <c r="K1693" s="21"/>
      <c r="L1693" s="21"/>
      <c r="M1693" s="21"/>
      <c r="N1693" s="21"/>
      <c r="O1693" s="21"/>
      <c r="R1693">
        <v>4.5</v>
      </c>
    </row>
    <row r="1694" spans="2:18" ht="15" customHeight="1" x14ac:dyDescent="0.35">
      <c r="B1694" s="100">
        <f t="shared" si="30"/>
        <v>1675</v>
      </c>
      <c r="C1694" s="132" t="s">
        <v>1883</v>
      </c>
      <c r="D1694" s="115" t="s">
        <v>1884</v>
      </c>
      <c r="E1694" s="115">
        <v>0</v>
      </c>
      <c r="F1694" s="103">
        <v>39202</v>
      </c>
      <c r="G1694" s="99">
        <v>6.8</v>
      </c>
      <c r="H1694" s="99">
        <v>6</v>
      </c>
      <c r="I1694" s="133">
        <v>6.8</v>
      </c>
      <c r="J1694" s="20"/>
      <c r="K1694" s="21"/>
      <c r="L1694" s="21"/>
      <c r="M1694" s="21"/>
      <c r="N1694" s="21"/>
      <c r="O1694" s="21"/>
      <c r="R1694">
        <v>6.8</v>
      </c>
    </row>
    <row r="1695" spans="2:18" ht="15" customHeight="1" x14ac:dyDescent="0.35">
      <c r="B1695" s="100">
        <f t="shared" si="30"/>
        <v>1676</v>
      </c>
      <c r="C1695" s="132" t="s">
        <v>1885</v>
      </c>
      <c r="D1695" s="115" t="s">
        <v>1886</v>
      </c>
      <c r="E1695" s="115">
        <v>1</v>
      </c>
      <c r="F1695" s="103">
        <v>39202</v>
      </c>
      <c r="G1695" s="99">
        <v>5.8</v>
      </c>
      <c r="H1695" s="99">
        <v>6</v>
      </c>
      <c r="I1695" s="133">
        <v>5.8</v>
      </c>
      <c r="J1695" s="20"/>
      <c r="K1695" s="21"/>
      <c r="L1695" s="21"/>
      <c r="M1695" s="21"/>
      <c r="N1695" s="21"/>
      <c r="O1695" s="21"/>
      <c r="R1695">
        <v>5.8</v>
      </c>
    </row>
    <row r="1696" spans="2:18" ht="15" customHeight="1" x14ac:dyDescent="0.35">
      <c r="B1696" s="100">
        <f t="shared" si="30"/>
        <v>1677</v>
      </c>
      <c r="C1696" s="132" t="s">
        <v>1887</v>
      </c>
      <c r="D1696" s="115" t="s">
        <v>1888</v>
      </c>
      <c r="E1696" s="115">
        <v>1</v>
      </c>
      <c r="F1696" s="103">
        <v>39202</v>
      </c>
      <c r="G1696" s="99">
        <v>5.8</v>
      </c>
      <c r="H1696" s="99">
        <v>16</v>
      </c>
      <c r="I1696" s="133">
        <v>5.8</v>
      </c>
      <c r="J1696" s="20"/>
      <c r="K1696" s="21"/>
      <c r="L1696" s="21"/>
      <c r="M1696" s="21"/>
      <c r="N1696" s="21"/>
      <c r="O1696" s="21"/>
      <c r="R1696">
        <v>5.8</v>
      </c>
    </row>
    <row r="1697" spans="2:18" ht="15" customHeight="1" x14ac:dyDescent="0.35">
      <c r="B1697" s="100">
        <f t="shared" si="30"/>
        <v>1678</v>
      </c>
      <c r="C1697" s="132" t="s">
        <v>1889</v>
      </c>
      <c r="D1697" s="115" t="s">
        <v>1890</v>
      </c>
      <c r="E1697" s="115">
        <v>1</v>
      </c>
      <c r="F1697" s="103">
        <v>39202</v>
      </c>
      <c r="G1697" s="99">
        <v>5.8</v>
      </c>
      <c r="H1697" s="99">
        <v>13</v>
      </c>
      <c r="I1697" s="133">
        <v>5.8</v>
      </c>
      <c r="J1697" s="20"/>
      <c r="K1697" s="21"/>
      <c r="L1697" s="21"/>
      <c r="M1697" s="21"/>
      <c r="N1697" s="21"/>
      <c r="O1697" s="21"/>
      <c r="R1697">
        <v>5.8</v>
      </c>
    </row>
    <row r="1698" spans="2:18" ht="15" customHeight="1" x14ac:dyDescent="0.35">
      <c r="B1698" s="100">
        <f t="shared" si="30"/>
        <v>1679</v>
      </c>
      <c r="C1698" s="132" t="s">
        <v>1891</v>
      </c>
      <c r="D1698" s="115" t="s">
        <v>1892</v>
      </c>
      <c r="E1698" s="115">
        <v>1</v>
      </c>
      <c r="F1698" s="103">
        <v>39202</v>
      </c>
      <c r="G1698" s="99">
        <v>5.8</v>
      </c>
      <c r="H1698" s="99">
        <v>19</v>
      </c>
      <c r="I1698" s="133">
        <v>5.8</v>
      </c>
      <c r="J1698" s="20"/>
      <c r="K1698" s="21"/>
      <c r="L1698" s="21"/>
      <c r="M1698" s="21"/>
      <c r="N1698" s="21"/>
      <c r="O1698" s="21"/>
      <c r="R1698">
        <v>5.8</v>
      </c>
    </row>
    <row r="1699" spans="2:18" ht="15" customHeight="1" x14ac:dyDescent="0.35">
      <c r="B1699" s="100">
        <f t="shared" si="30"/>
        <v>1680</v>
      </c>
      <c r="C1699" s="132" t="s">
        <v>1893</v>
      </c>
      <c r="D1699" s="115" t="s">
        <v>1894</v>
      </c>
      <c r="E1699" s="115">
        <v>2</v>
      </c>
      <c r="F1699" s="103">
        <v>39202</v>
      </c>
      <c r="G1699" s="99">
        <v>4.8</v>
      </c>
      <c r="H1699" s="99">
        <v>6</v>
      </c>
      <c r="I1699" s="133">
        <v>4.8</v>
      </c>
      <c r="J1699" s="20"/>
      <c r="K1699" s="21"/>
      <c r="L1699" s="21"/>
      <c r="M1699" s="21"/>
      <c r="N1699" s="21"/>
      <c r="O1699" s="21"/>
      <c r="R1699">
        <v>4.8</v>
      </c>
    </row>
    <row r="1700" spans="2:18" ht="15" customHeight="1" x14ac:dyDescent="0.35">
      <c r="B1700" s="100">
        <f t="shared" si="30"/>
        <v>1681</v>
      </c>
      <c r="C1700" s="132" t="s">
        <v>1895</v>
      </c>
      <c r="D1700" s="115" t="s">
        <v>1896</v>
      </c>
      <c r="E1700" s="115">
        <v>2</v>
      </c>
      <c r="F1700" s="103">
        <v>39202</v>
      </c>
      <c r="G1700" s="99">
        <v>4.8</v>
      </c>
      <c r="H1700" s="99">
        <v>6</v>
      </c>
      <c r="I1700" s="133">
        <v>4.8</v>
      </c>
      <c r="J1700" s="20"/>
      <c r="K1700" s="21"/>
      <c r="L1700" s="21"/>
      <c r="M1700" s="21"/>
      <c r="N1700" s="21"/>
      <c r="O1700" s="21"/>
      <c r="R1700">
        <v>4.8</v>
      </c>
    </row>
    <row r="1701" spans="2:18" ht="15" customHeight="1" x14ac:dyDescent="0.35">
      <c r="B1701" s="100">
        <f t="shared" si="30"/>
        <v>1682</v>
      </c>
      <c r="C1701" s="134" t="s">
        <v>1897</v>
      </c>
      <c r="D1701" s="115" t="s">
        <v>1898</v>
      </c>
      <c r="E1701" s="115">
        <v>2</v>
      </c>
      <c r="F1701" s="103">
        <v>39202</v>
      </c>
      <c r="G1701" s="99">
        <v>4.8</v>
      </c>
      <c r="H1701" s="99">
        <v>6</v>
      </c>
      <c r="I1701" s="133">
        <v>4.8</v>
      </c>
      <c r="J1701" s="20"/>
      <c r="K1701" s="21"/>
      <c r="L1701" s="21"/>
      <c r="M1701" s="21"/>
      <c r="N1701" s="21"/>
      <c r="O1701" s="21"/>
      <c r="R1701">
        <v>4.8</v>
      </c>
    </row>
    <row r="1702" spans="2:18" ht="15" customHeight="1" x14ac:dyDescent="0.35">
      <c r="B1702" s="100">
        <f t="shared" si="30"/>
        <v>1683</v>
      </c>
      <c r="C1702" s="135" t="s">
        <v>1899</v>
      </c>
      <c r="D1702" s="136" t="s">
        <v>1900</v>
      </c>
      <c r="E1702" s="136">
        <v>98</v>
      </c>
      <c r="F1702" s="137">
        <v>39290</v>
      </c>
      <c r="G1702" s="99">
        <v>9</v>
      </c>
      <c r="H1702" s="99">
        <v>21</v>
      </c>
      <c r="I1702" s="138">
        <v>9</v>
      </c>
      <c r="J1702" s="20"/>
      <c r="K1702" s="21"/>
      <c r="L1702" s="21"/>
      <c r="M1702" s="21"/>
      <c r="N1702" s="21"/>
      <c r="O1702" s="21"/>
      <c r="R1702">
        <v>9</v>
      </c>
    </row>
    <row r="1703" spans="2:18" ht="15" customHeight="1" x14ac:dyDescent="0.35">
      <c r="B1703" s="100">
        <f t="shared" si="30"/>
        <v>1684</v>
      </c>
      <c r="C1703" s="135" t="s">
        <v>1901</v>
      </c>
      <c r="D1703" s="136" t="s">
        <v>1902</v>
      </c>
      <c r="E1703" s="136">
        <v>1</v>
      </c>
      <c r="F1703" s="137">
        <v>39290</v>
      </c>
      <c r="G1703" s="99">
        <v>6</v>
      </c>
      <c r="H1703" s="99">
        <v>4</v>
      </c>
      <c r="I1703" s="138">
        <v>6</v>
      </c>
      <c r="J1703" s="20"/>
      <c r="K1703" s="21"/>
      <c r="L1703" s="21"/>
      <c r="M1703" s="21"/>
      <c r="N1703" s="21"/>
      <c r="O1703" s="21"/>
      <c r="R1703">
        <v>6</v>
      </c>
    </row>
    <row r="1704" spans="2:18" ht="15" customHeight="1" x14ac:dyDescent="0.35">
      <c r="B1704" s="100">
        <f t="shared" si="30"/>
        <v>1685</v>
      </c>
      <c r="C1704" s="135" t="s">
        <v>1903</v>
      </c>
      <c r="D1704" s="136" t="s">
        <v>1904</v>
      </c>
      <c r="E1704" s="136">
        <v>1</v>
      </c>
      <c r="F1704" s="137">
        <v>39290</v>
      </c>
      <c r="G1704" s="99">
        <v>6</v>
      </c>
      <c r="H1704" s="99">
        <v>9</v>
      </c>
      <c r="I1704" s="138">
        <v>6</v>
      </c>
      <c r="J1704" s="20"/>
      <c r="K1704" s="21"/>
      <c r="L1704" s="21"/>
      <c r="M1704" s="21"/>
      <c r="N1704" s="21"/>
      <c r="O1704" s="21"/>
      <c r="R1704">
        <v>6</v>
      </c>
    </row>
    <row r="1705" spans="2:18" ht="15" customHeight="1" x14ac:dyDescent="0.35">
      <c r="B1705" s="100">
        <f t="shared" si="30"/>
        <v>1686</v>
      </c>
      <c r="C1705" s="135" t="s">
        <v>1905</v>
      </c>
      <c r="D1705" s="136" t="s">
        <v>1906</v>
      </c>
      <c r="E1705" s="136">
        <v>1</v>
      </c>
      <c r="F1705" s="137">
        <v>39290</v>
      </c>
      <c r="G1705" s="99">
        <v>6</v>
      </c>
      <c r="H1705" s="99">
        <v>9</v>
      </c>
      <c r="I1705" s="138">
        <v>6</v>
      </c>
      <c r="J1705" s="20"/>
      <c r="K1705" s="21"/>
      <c r="L1705" s="21"/>
      <c r="M1705" s="21"/>
      <c r="N1705" s="21"/>
      <c r="O1705" s="21"/>
      <c r="R1705">
        <v>6</v>
      </c>
    </row>
    <row r="1706" spans="2:18" ht="15" customHeight="1" x14ac:dyDescent="0.35">
      <c r="B1706" s="100">
        <f t="shared" si="30"/>
        <v>1687</v>
      </c>
      <c r="C1706" s="135" t="s">
        <v>1907</v>
      </c>
      <c r="D1706" s="136" t="s">
        <v>1908</v>
      </c>
      <c r="E1706" s="136">
        <v>1</v>
      </c>
      <c r="F1706" s="137">
        <v>39290</v>
      </c>
      <c r="G1706" s="99">
        <v>6</v>
      </c>
      <c r="H1706" s="99">
        <v>9</v>
      </c>
      <c r="I1706" s="138">
        <v>6</v>
      </c>
      <c r="J1706" s="20"/>
      <c r="K1706" s="21"/>
      <c r="L1706" s="21"/>
      <c r="M1706" s="21"/>
      <c r="N1706" s="21"/>
      <c r="O1706" s="21"/>
      <c r="R1706">
        <v>6</v>
      </c>
    </row>
    <row r="1707" spans="2:18" ht="15" customHeight="1" x14ac:dyDescent="0.35">
      <c r="B1707" s="100">
        <f t="shared" si="30"/>
        <v>1688</v>
      </c>
      <c r="C1707" s="135" t="s">
        <v>1909</v>
      </c>
      <c r="D1707" s="136" t="s">
        <v>1910</v>
      </c>
      <c r="E1707" s="136">
        <v>1</v>
      </c>
      <c r="F1707" s="137">
        <v>39290</v>
      </c>
      <c r="G1707" s="99">
        <v>6</v>
      </c>
      <c r="H1707" s="99">
        <v>9</v>
      </c>
      <c r="I1707" s="138">
        <v>6</v>
      </c>
      <c r="J1707" s="20"/>
      <c r="K1707" s="33" t="s">
        <v>1626</v>
      </c>
      <c r="L1707" s="29">
        <f>COUNTIF(E1664:E1720,"1")</f>
        <v>25</v>
      </c>
      <c r="M1707" s="21"/>
      <c r="N1707" s="21"/>
      <c r="O1707" s="21"/>
      <c r="R1707">
        <v>6</v>
      </c>
    </row>
    <row r="1708" spans="2:18" ht="15" customHeight="1" x14ac:dyDescent="0.35">
      <c r="B1708" s="100">
        <f t="shared" si="30"/>
        <v>1689</v>
      </c>
      <c r="C1708" s="135" t="s">
        <v>1911</v>
      </c>
      <c r="D1708" s="136" t="s">
        <v>1912</v>
      </c>
      <c r="E1708" s="136">
        <v>1</v>
      </c>
      <c r="F1708" s="137">
        <v>39290</v>
      </c>
      <c r="G1708" s="99">
        <v>6</v>
      </c>
      <c r="H1708" s="99">
        <v>9</v>
      </c>
      <c r="I1708" s="138">
        <v>6</v>
      </c>
      <c r="J1708" s="20"/>
      <c r="K1708" s="33" t="s">
        <v>1913</v>
      </c>
      <c r="L1708" s="29">
        <f>COUNTIF(E1664:E1720,"2")</f>
        <v>23</v>
      </c>
      <c r="M1708" s="21"/>
      <c r="N1708" s="21"/>
      <c r="O1708" s="21"/>
      <c r="R1708">
        <v>6</v>
      </c>
    </row>
    <row r="1709" spans="2:18" ht="15" customHeight="1" x14ac:dyDescent="0.35">
      <c r="B1709" s="100">
        <f t="shared" si="30"/>
        <v>1690</v>
      </c>
      <c r="C1709" s="135" t="s">
        <v>1914</v>
      </c>
      <c r="D1709" s="136" t="s">
        <v>1915</v>
      </c>
      <c r="E1709" s="136">
        <v>2</v>
      </c>
      <c r="F1709" s="137">
        <v>39290</v>
      </c>
      <c r="G1709" s="99">
        <v>5</v>
      </c>
      <c r="H1709" s="99">
        <v>4</v>
      </c>
      <c r="I1709" s="138">
        <v>5</v>
      </c>
      <c r="J1709" s="20"/>
      <c r="K1709" s="33" t="s">
        <v>1916</v>
      </c>
      <c r="L1709" s="29">
        <f>COUNTIF(E1664:E1720,"3")</f>
        <v>5</v>
      </c>
      <c r="M1709" s="21"/>
      <c r="N1709" s="21"/>
      <c r="O1709" s="21"/>
      <c r="R1709">
        <v>5</v>
      </c>
    </row>
    <row r="1710" spans="2:18" ht="15" customHeight="1" x14ac:dyDescent="0.35">
      <c r="B1710" s="100">
        <f t="shared" si="30"/>
        <v>1691</v>
      </c>
      <c r="C1710" s="135" t="s">
        <v>1917</v>
      </c>
      <c r="D1710" s="136" t="s">
        <v>1918</v>
      </c>
      <c r="E1710" s="136">
        <v>2</v>
      </c>
      <c r="F1710" s="137">
        <v>39290</v>
      </c>
      <c r="G1710" s="99">
        <v>5</v>
      </c>
      <c r="H1710" s="99">
        <v>4</v>
      </c>
      <c r="I1710" s="138">
        <v>5</v>
      </c>
      <c r="J1710" s="20"/>
      <c r="K1710" s="21"/>
      <c r="L1710" s="21"/>
      <c r="M1710" s="21"/>
      <c r="N1710" s="21"/>
      <c r="O1710" s="21"/>
      <c r="R1710">
        <v>5</v>
      </c>
    </row>
    <row r="1711" spans="2:18" ht="15" customHeight="1" x14ac:dyDescent="0.35">
      <c r="B1711" s="100">
        <f t="shared" si="30"/>
        <v>1692</v>
      </c>
      <c r="C1711" s="135" t="s">
        <v>1919</v>
      </c>
      <c r="D1711" s="136" t="s">
        <v>1920</v>
      </c>
      <c r="E1711" s="136">
        <v>2</v>
      </c>
      <c r="F1711" s="137">
        <v>39290</v>
      </c>
      <c r="G1711" s="99">
        <v>5</v>
      </c>
      <c r="H1711" s="99">
        <v>4</v>
      </c>
      <c r="I1711" s="138">
        <v>5</v>
      </c>
      <c r="J1711" s="20"/>
      <c r="K1711" s="21"/>
      <c r="L1711" s="21"/>
      <c r="M1711" s="21"/>
      <c r="N1711" s="21"/>
      <c r="O1711" s="21"/>
      <c r="R1711">
        <v>5</v>
      </c>
    </row>
    <row r="1712" spans="2:18" ht="15" customHeight="1" x14ac:dyDescent="0.35">
      <c r="B1712" s="100">
        <f t="shared" si="30"/>
        <v>1693</v>
      </c>
      <c r="C1712" s="135" t="s">
        <v>1921</v>
      </c>
      <c r="D1712" s="136" t="s">
        <v>1922</v>
      </c>
      <c r="E1712" s="136">
        <v>2</v>
      </c>
      <c r="F1712" s="137">
        <v>39290</v>
      </c>
      <c r="G1712" s="99">
        <v>5</v>
      </c>
      <c r="H1712" s="99">
        <v>9</v>
      </c>
      <c r="I1712" s="138">
        <v>5</v>
      </c>
      <c r="J1712" s="20"/>
      <c r="K1712" s="21"/>
      <c r="L1712" s="21"/>
      <c r="M1712" s="21"/>
      <c r="N1712" s="21"/>
      <c r="O1712" s="21"/>
      <c r="R1712">
        <v>5</v>
      </c>
    </row>
    <row r="1713" spans="2:18" ht="15" customHeight="1" x14ac:dyDescent="0.35">
      <c r="B1713" s="100">
        <f t="shared" si="30"/>
        <v>1694</v>
      </c>
      <c r="C1713" s="135" t="s">
        <v>1923</v>
      </c>
      <c r="D1713" s="136" t="s">
        <v>1924</v>
      </c>
      <c r="E1713" s="136">
        <v>2</v>
      </c>
      <c r="F1713" s="137">
        <v>39290</v>
      </c>
      <c r="G1713" s="99">
        <v>5</v>
      </c>
      <c r="H1713" s="99">
        <v>9</v>
      </c>
      <c r="I1713" s="138">
        <v>5</v>
      </c>
      <c r="J1713" s="20"/>
      <c r="K1713" s="29" t="s">
        <v>1798</v>
      </c>
      <c r="L1713" s="29"/>
      <c r="M1713" s="34" t="e">
        <f>SUM(G1664:G1720)/L1721</f>
        <v>#DIV/0!</v>
      </c>
      <c r="N1713" s="21"/>
      <c r="O1713" s="21"/>
      <c r="R1713">
        <v>5</v>
      </c>
    </row>
    <row r="1714" spans="2:18" ht="15" customHeight="1" x14ac:dyDescent="0.35">
      <c r="B1714" s="100">
        <f t="shared" si="30"/>
        <v>1695</v>
      </c>
      <c r="C1714" s="135" t="s">
        <v>1925</v>
      </c>
      <c r="D1714" s="136" t="s">
        <v>1926</v>
      </c>
      <c r="E1714" s="136">
        <v>2</v>
      </c>
      <c r="F1714" s="137">
        <v>39290</v>
      </c>
      <c r="G1714" s="99">
        <v>5</v>
      </c>
      <c r="H1714" s="99">
        <v>4</v>
      </c>
      <c r="I1714" s="138">
        <v>5</v>
      </c>
      <c r="J1714" s="20"/>
      <c r="K1714" s="29" t="s">
        <v>1801</v>
      </c>
      <c r="L1714" s="29"/>
      <c r="M1714" s="34" t="e">
        <f>SUM(H1664:H1720)/L1721</f>
        <v>#DIV/0!</v>
      </c>
      <c r="N1714" s="21"/>
      <c r="O1714" s="21"/>
      <c r="R1714">
        <v>5</v>
      </c>
    </row>
    <row r="1715" spans="2:18" ht="15" customHeight="1" x14ac:dyDescent="0.35">
      <c r="B1715" s="100">
        <f t="shared" si="30"/>
        <v>1696</v>
      </c>
      <c r="C1715" s="135" t="s">
        <v>1927</v>
      </c>
      <c r="D1715" s="136" t="s">
        <v>1928</v>
      </c>
      <c r="E1715" s="136">
        <v>3</v>
      </c>
      <c r="F1715" s="137">
        <v>39290</v>
      </c>
      <c r="G1715" s="99">
        <v>4</v>
      </c>
      <c r="H1715" s="99">
        <v>4</v>
      </c>
      <c r="I1715" s="138">
        <v>4</v>
      </c>
      <c r="J1715" s="20"/>
      <c r="K1715" s="29" t="s">
        <v>1804</v>
      </c>
      <c r="L1715" s="29"/>
      <c r="M1715" s="35">
        <f>MIN(I1664:I1720)</f>
        <v>4</v>
      </c>
      <c r="N1715" s="21"/>
      <c r="O1715" s="21"/>
      <c r="R1715">
        <v>4</v>
      </c>
    </row>
    <row r="1716" spans="2:18" ht="15" customHeight="1" x14ac:dyDescent="0.35">
      <c r="B1716" s="100">
        <f t="shared" si="30"/>
        <v>1697</v>
      </c>
      <c r="C1716" s="135" t="s">
        <v>1929</v>
      </c>
      <c r="D1716" s="136" t="s">
        <v>1930</v>
      </c>
      <c r="E1716" s="136">
        <v>3</v>
      </c>
      <c r="F1716" s="137">
        <v>39290</v>
      </c>
      <c r="G1716" s="99">
        <v>4</v>
      </c>
      <c r="H1716" s="99">
        <v>4</v>
      </c>
      <c r="I1716" s="138">
        <v>4</v>
      </c>
      <c r="J1716" s="20"/>
      <c r="K1716" s="29" t="s">
        <v>1807</v>
      </c>
      <c r="L1716" s="29"/>
      <c r="M1716" s="35">
        <f>SUM(I1664:I1720)/57</f>
        <v>5.2614035087719317</v>
      </c>
      <c r="N1716" s="21"/>
      <c r="O1716" s="21"/>
      <c r="R1716">
        <v>4</v>
      </c>
    </row>
    <row r="1717" spans="2:18" ht="15" customHeight="1" x14ac:dyDescent="0.35">
      <c r="B1717" s="100">
        <f t="shared" si="30"/>
        <v>1698</v>
      </c>
      <c r="C1717" s="135" t="s">
        <v>1931</v>
      </c>
      <c r="D1717" s="136" t="s">
        <v>1932</v>
      </c>
      <c r="E1717" s="136">
        <v>3</v>
      </c>
      <c r="F1717" s="137">
        <v>39290</v>
      </c>
      <c r="G1717" s="99">
        <v>4</v>
      </c>
      <c r="H1717" s="99">
        <v>4</v>
      </c>
      <c r="I1717" s="138">
        <v>4</v>
      </c>
      <c r="J1717" s="20"/>
      <c r="K1717" s="29" t="s">
        <v>1810</v>
      </c>
      <c r="L1717" s="29"/>
      <c r="M1717" s="35">
        <f>MAX(I1664:I1720)</f>
        <v>10</v>
      </c>
      <c r="N1717" s="21"/>
      <c r="O1717" s="21"/>
      <c r="R1717">
        <v>4</v>
      </c>
    </row>
    <row r="1718" spans="2:18" ht="15" customHeight="1" x14ac:dyDescent="0.35">
      <c r="B1718" s="100">
        <f t="shared" si="30"/>
        <v>1699</v>
      </c>
      <c r="C1718" s="135" t="s">
        <v>1933</v>
      </c>
      <c r="D1718" s="136" t="s">
        <v>1934</v>
      </c>
      <c r="E1718" s="136">
        <v>3</v>
      </c>
      <c r="F1718" s="137">
        <v>39290</v>
      </c>
      <c r="G1718" s="99">
        <v>4</v>
      </c>
      <c r="H1718" s="99">
        <v>4</v>
      </c>
      <c r="I1718" s="138">
        <v>4</v>
      </c>
      <c r="J1718" s="20"/>
      <c r="K1718" s="29" t="s">
        <v>1813</v>
      </c>
      <c r="L1718" s="29">
        <f>COUNTIF(I1664:I1720,"&lt;2.75")</f>
        <v>0</v>
      </c>
      <c r="M1718" s="30" t="e">
        <f>(L1718/L1721)*100</f>
        <v>#DIV/0!</v>
      </c>
      <c r="N1718" s="21"/>
      <c r="O1718" s="21"/>
      <c r="R1718">
        <v>4</v>
      </c>
    </row>
    <row r="1719" spans="2:18" s="6" customFormat="1" ht="15" customHeight="1" x14ac:dyDescent="0.3">
      <c r="B1719" s="100">
        <f>(B1718+1)</f>
        <v>1700</v>
      </c>
      <c r="C1719" s="135" t="s">
        <v>1935</v>
      </c>
      <c r="D1719" s="136" t="s">
        <v>1936</v>
      </c>
      <c r="E1719" s="136">
        <v>3</v>
      </c>
      <c r="F1719" s="137">
        <v>39325</v>
      </c>
      <c r="G1719" s="136">
        <v>4</v>
      </c>
      <c r="H1719" s="99">
        <v>4</v>
      </c>
      <c r="I1719" s="138">
        <v>4</v>
      </c>
      <c r="J1719" s="18"/>
      <c r="K1719" s="29" t="s">
        <v>1816</v>
      </c>
      <c r="L1719" s="36">
        <f>COUNTIF(I1664:I1720,"&lt;=3.50")-COUNTIF(I1664:I1720,"&lt;2.75")</f>
        <v>0</v>
      </c>
      <c r="M1719" s="30" t="e">
        <f>(L1719/L1721)*100</f>
        <v>#DIV/0!</v>
      </c>
      <c r="N1719" s="19"/>
      <c r="O1719" s="19"/>
      <c r="R1719" s="6">
        <v>4</v>
      </c>
    </row>
    <row r="1720" spans="2:18" s="6" customFormat="1" ht="15" customHeight="1" x14ac:dyDescent="0.3">
      <c r="B1720" s="100">
        <f>(B1719+1)</f>
        <v>1701</v>
      </c>
      <c r="C1720" s="135" t="s">
        <v>1937</v>
      </c>
      <c r="D1720" s="136" t="s">
        <v>1938</v>
      </c>
      <c r="E1720" s="136">
        <v>1</v>
      </c>
      <c r="F1720" s="137">
        <v>39325</v>
      </c>
      <c r="G1720" s="136">
        <v>6</v>
      </c>
      <c r="H1720" s="99">
        <v>10</v>
      </c>
      <c r="I1720" s="138">
        <v>6</v>
      </c>
      <c r="J1720" s="18"/>
      <c r="K1720" s="29" t="s">
        <v>1819</v>
      </c>
      <c r="L1720" s="29">
        <f>COUNTIF(I1664:I1720,"&gt;3.50")</f>
        <v>0</v>
      </c>
      <c r="M1720" s="30" t="e">
        <f>(L1720/L1721)*100</f>
        <v>#DIV/0!</v>
      </c>
      <c r="N1720" s="19"/>
      <c r="O1720" s="19"/>
      <c r="R1720" s="6">
        <v>6</v>
      </c>
    </row>
    <row r="1721" spans="2:18" ht="15" customHeight="1" x14ac:dyDescent="0.35">
      <c r="B1721" s="100"/>
      <c r="C1721" s="101"/>
      <c r="D1721" s="99"/>
      <c r="E1721" s="99"/>
      <c r="F1721" s="99"/>
      <c r="G1721" s="99"/>
      <c r="H1721" s="99"/>
      <c r="I1721" s="99"/>
      <c r="J1721" s="20"/>
      <c r="K1721" s="29" t="s">
        <v>1820</v>
      </c>
      <c r="L1721" s="29">
        <f>SUM(L1718:L1720)</f>
        <v>0</v>
      </c>
      <c r="M1721" s="29"/>
      <c r="N1721" s="21"/>
      <c r="O1721" s="21"/>
    </row>
    <row r="1722" spans="2:18" ht="15" customHeight="1" x14ac:dyDescent="0.35">
      <c r="B1722" s="100"/>
      <c r="C1722" s="139" t="s">
        <v>1939</v>
      </c>
      <c r="D1722" s="99"/>
      <c r="E1722" s="99"/>
      <c r="F1722" s="99"/>
      <c r="G1722" s="99"/>
      <c r="H1722" s="99"/>
      <c r="I1722" s="99"/>
      <c r="J1722" s="20"/>
      <c r="K1722" s="21"/>
      <c r="L1722" s="21"/>
      <c r="M1722" s="21"/>
      <c r="N1722" s="21"/>
      <c r="O1722" s="21"/>
    </row>
    <row r="1723" spans="2:18" ht="15" customHeight="1" x14ac:dyDescent="0.35">
      <c r="B1723" s="100">
        <f>(B1720+1)</f>
        <v>1702</v>
      </c>
      <c r="C1723" s="101" t="s">
        <v>1940</v>
      </c>
      <c r="D1723" s="99" t="s">
        <v>1941</v>
      </c>
      <c r="E1723" s="99">
        <v>98</v>
      </c>
      <c r="F1723" s="103">
        <v>39384</v>
      </c>
      <c r="G1723" s="99">
        <v>9.1999999999999993</v>
      </c>
      <c r="H1723" s="129">
        <v>2.58</v>
      </c>
      <c r="I1723" s="99">
        <v>9.1999999999999993</v>
      </c>
      <c r="J1723" s="18"/>
      <c r="K1723" s="21"/>
      <c r="L1723" s="21"/>
      <c r="M1723" s="21"/>
      <c r="N1723" s="21"/>
      <c r="O1723" s="21"/>
      <c r="R1723">
        <v>9.1999999999999993</v>
      </c>
    </row>
    <row r="1724" spans="2:18" ht="15" customHeight="1" x14ac:dyDescent="0.35">
      <c r="B1724" s="100">
        <f t="shared" ref="B1724:B1786" si="31">(B1723+1)</f>
        <v>1703</v>
      </c>
      <c r="C1724" s="101" t="s">
        <v>1942</v>
      </c>
      <c r="D1724" s="99" t="s">
        <v>1943</v>
      </c>
      <c r="E1724" s="99">
        <v>1</v>
      </c>
      <c r="F1724" s="103">
        <v>39384</v>
      </c>
      <c r="G1724" s="99">
        <v>6.2</v>
      </c>
      <c r="H1724" s="129">
        <v>2.95</v>
      </c>
      <c r="I1724" s="99">
        <v>6.2</v>
      </c>
      <c r="J1724" s="18"/>
      <c r="K1724" s="21"/>
      <c r="L1724" s="21"/>
      <c r="M1724" s="21"/>
      <c r="N1724" s="21"/>
      <c r="O1724" s="21"/>
      <c r="R1724">
        <v>6.2</v>
      </c>
    </row>
    <row r="1725" spans="2:18" ht="15" customHeight="1" x14ac:dyDescent="0.35">
      <c r="B1725" s="100">
        <f t="shared" si="31"/>
        <v>1704</v>
      </c>
      <c r="C1725" s="101" t="s">
        <v>1944</v>
      </c>
      <c r="D1725" s="99" t="s">
        <v>1945</v>
      </c>
      <c r="E1725" s="99">
        <v>1</v>
      </c>
      <c r="F1725" s="103">
        <v>39384</v>
      </c>
      <c r="G1725" s="99">
        <v>6.2</v>
      </c>
      <c r="H1725" s="129">
        <v>2.83</v>
      </c>
      <c r="I1725" s="99">
        <v>6.2</v>
      </c>
      <c r="J1725" s="18"/>
      <c r="K1725" s="21"/>
      <c r="L1725" s="21"/>
      <c r="M1725" s="21"/>
      <c r="N1725" s="21"/>
      <c r="O1725" s="21"/>
      <c r="R1725">
        <v>6.2</v>
      </c>
    </row>
    <row r="1726" spans="2:18" ht="15" customHeight="1" x14ac:dyDescent="0.35">
      <c r="B1726" s="100">
        <f t="shared" si="31"/>
        <v>1705</v>
      </c>
      <c r="C1726" s="101" t="s">
        <v>1946</v>
      </c>
      <c r="D1726" s="99" t="s">
        <v>1947</v>
      </c>
      <c r="E1726" s="99">
        <v>2</v>
      </c>
      <c r="F1726" s="103">
        <v>39384</v>
      </c>
      <c r="G1726" s="99">
        <v>5.2</v>
      </c>
      <c r="H1726" s="129">
        <v>3.06</v>
      </c>
      <c r="I1726" s="99">
        <v>5.2</v>
      </c>
      <c r="J1726" s="18"/>
      <c r="K1726" s="21"/>
      <c r="L1726" s="21"/>
      <c r="M1726" s="21"/>
      <c r="N1726" s="21"/>
      <c r="O1726" s="21"/>
      <c r="R1726">
        <v>5.2</v>
      </c>
    </row>
    <row r="1727" spans="2:18" ht="15" customHeight="1" x14ac:dyDescent="0.35">
      <c r="B1727" s="100">
        <f t="shared" si="31"/>
        <v>1706</v>
      </c>
      <c r="C1727" s="101" t="s">
        <v>1948</v>
      </c>
      <c r="D1727" s="99" t="s">
        <v>1949</v>
      </c>
      <c r="E1727" s="99">
        <v>2</v>
      </c>
      <c r="F1727" s="103">
        <v>39384</v>
      </c>
      <c r="G1727" s="99">
        <v>5.2</v>
      </c>
      <c r="H1727" s="129">
        <v>2.88</v>
      </c>
      <c r="I1727" s="99">
        <v>5.2</v>
      </c>
      <c r="J1727" s="18"/>
      <c r="K1727" s="21"/>
      <c r="L1727" s="21"/>
      <c r="M1727" s="21"/>
      <c r="N1727" s="21"/>
      <c r="O1727" s="21"/>
      <c r="R1727">
        <v>5.2</v>
      </c>
    </row>
    <row r="1728" spans="2:18" ht="15" customHeight="1" x14ac:dyDescent="0.35">
      <c r="B1728" s="100">
        <f t="shared" si="31"/>
        <v>1707</v>
      </c>
      <c r="C1728" s="101" t="s">
        <v>1950</v>
      </c>
      <c r="D1728" s="99" t="s">
        <v>1951</v>
      </c>
      <c r="E1728" s="99">
        <v>2</v>
      </c>
      <c r="F1728" s="103">
        <v>39384</v>
      </c>
      <c r="G1728" s="99">
        <v>5.2</v>
      </c>
      <c r="H1728" s="129">
        <v>2.74</v>
      </c>
      <c r="I1728" s="99">
        <v>5.2</v>
      </c>
      <c r="J1728" s="18"/>
      <c r="K1728" s="21"/>
      <c r="L1728" s="21"/>
      <c r="M1728" s="21"/>
      <c r="N1728" s="21"/>
      <c r="O1728" s="21"/>
      <c r="R1728">
        <v>5.2</v>
      </c>
    </row>
    <row r="1729" spans="2:18" ht="15" customHeight="1" x14ac:dyDescent="0.35">
      <c r="B1729" s="100">
        <f t="shared" si="31"/>
        <v>1708</v>
      </c>
      <c r="C1729" s="101" t="s">
        <v>1952</v>
      </c>
      <c r="D1729" s="99" t="s">
        <v>1953</v>
      </c>
      <c r="E1729" s="99">
        <v>2</v>
      </c>
      <c r="F1729" s="103">
        <v>39384</v>
      </c>
      <c r="G1729" s="99">
        <v>5.2</v>
      </c>
      <c r="H1729" s="129">
        <v>2.46</v>
      </c>
      <c r="I1729" s="99">
        <v>5.2</v>
      </c>
      <c r="J1729" s="18"/>
      <c r="K1729" s="21"/>
      <c r="L1729" s="21"/>
      <c r="M1729" s="21"/>
      <c r="N1729" s="21"/>
      <c r="O1729" s="21"/>
      <c r="R1729">
        <v>5.2</v>
      </c>
    </row>
    <row r="1730" spans="2:18" ht="15" customHeight="1" x14ac:dyDescent="0.35">
      <c r="B1730" s="100">
        <f t="shared" si="31"/>
        <v>1709</v>
      </c>
      <c r="C1730" s="101" t="s">
        <v>1954</v>
      </c>
      <c r="D1730" s="99" t="s">
        <v>1955</v>
      </c>
      <c r="E1730" s="99">
        <v>3</v>
      </c>
      <c r="F1730" s="103">
        <v>39384</v>
      </c>
      <c r="G1730" s="99">
        <v>4.2</v>
      </c>
      <c r="H1730" s="129">
        <v>3.51</v>
      </c>
      <c r="I1730" s="99">
        <v>4.2</v>
      </c>
      <c r="J1730" s="18"/>
      <c r="K1730" s="21"/>
      <c r="L1730" s="18"/>
      <c r="M1730" s="21"/>
      <c r="N1730" s="21"/>
      <c r="O1730" s="21"/>
      <c r="R1730">
        <v>4.2</v>
      </c>
    </row>
    <row r="1731" spans="2:18" ht="15" customHeight="1" x14ac:dyDescent="0.35">
      <c r="B1731" s="100">
        <f t="shared" si="31"/>
        <v>1710</v>
      </c>
      <c r="C1731" s="101" t="s">
        <v>1956</v>
      </c>
      <c r="D1731" s="99" t="s">
        <v>1957</v>
      </c>
      <c r="E1731" s="99">
        <v>3</v>
      </c>
      <c r="F1731" s="103">
        <v>39384</v>
      </c>
      <c r="G1731" s="99">
        <v>4.2</v>
      </c>
      <c r="H1731" s="129">
        <v>3.35</v>
      </c>
      <c r="I1731" s="99">
        <v>4.2</v>
      </c>
      <c r="J1731" s="18"/>
      <c r="K1731" s="21"/>
      <c r="L1731" s="21"/>
      <c r="M1731" s="21"/>
      <c r="N1731" s="21"/>
      <c r="O1731" s="21"/>
      <c r="R1731">
        <v>4.2</v>
      </c>
    </row>
    <row r="1732" spans="2:18" ht="15" customHeight="1" x14ac:dyDescent="0.35">
      <c r="B1732" s="100">
        <f t="shared" si="31"/>
        <v>1711</v>
      </c>
      <c r="C1732" s="101" t="s">
        <v>1958</v>
      </c>
      <c r="D1732" s="99" t="s">
        <v>1959</v>
      </c>
      <c r="E1732" s="99">
        <v>3</v>
      </c>
      <c r="F1732" s="103">
        <v>39384</v>
      </c>
      <c r="G1732" s="99">
        <v>4.2</v>
      </c>
      <c r="H1732" s="129">
        <v>3.21</v>
      </c>
      <c r="I1732" s="99">
        <v>4.2</v>
      </c>
      <c r="J1732" s="18"/>
      <c r="K1732" s="21"/>
      <c r="L1732" s="21"/>
      <c r="M1732" s="21"/>
      <c r="N1732" s="21"/>
      <c r="O1732" s="21"/>
      <c r="R1732">
        <v>4.2</v>
      </c>
    </row>
    <row r="1733" spans="2:18" ht="15" customHeight="1" x14ac:dyDescent="0.35">
      <c r="B1733" s="100">
        <f t="shared" si="31"/>
        <v>1712</v>
      </c>
      <c r="C1733" s="101" t="s">
        <v>1960</v>
      </c>
      <c r="D1733" s="99" t="s">
        <v>1961</v>
      </c>
      <c r="E1733" s="99">
        <v>3</v>
      </c>
      <c r="F1733" s="103">
        <v>39384</v>
      </c>
      <c r="G1733" s="99">
        <v>4.2</v>
      </c>
      <c r="H1733" s="129">
        <v>3.37</v>
      </c>
      <c r="I1733" s="99">
        <v>4.2</v>
      </c>
      <c r="J1733" s="18"/>
      <c r="K1733" s="19" t="s">
        <v>580</v>
      </c>
      <c r="L1733" s="21"/>
      <c r="M1733" s="21"/>
      <c r="N1733" s="21"/>
      <c r="O1733" s="21"/>
      <c r="R1733">
        <v>4.2</v>
      </c>
    </row>
    <row r="1734" spans="2:18" ht="15" customHeight="1" x14ac:dyDescent="0.35">
      <c r="B1734" s="100">
        <f t="shared" si="31"/>
        <v>1713</v>
      </c>
      <c r="C1734" s="101" t="s">
        <v>1962</v>
      </c>
      <c r="D1734" s="99" t="s">
        <v>1963</v>
      </c>
      <c r="E1734" s="99">
        <v>3</v>
      </c>
      <c r="F1734" s="103">
        <v>39384</v>
      </c>
      <c r="G1734" s="99">
        <v>4.2</v>
      </c>
      <c r="H1734" s="129">
        <v>3.2</v>
      </c>
      <c r="I1734" s="99">
        <v>4.2</v>
      </c>
      <c r="J1734" s="18"/>
      <c r="K1734" s="21"/>
      <c r="L1734" s="21"/>
      <c r="M1734" s="21"/>
      <c r="N1734" s="21"/>
      <c r="O1734" s="21"/>
      <c r="R1734">
        <v>4.2</v>
      </c>
    </row>
    <row r="1735" spans="2:18" ht="15" customHeight="1" x14ac:dyDescent="0.35">
      <c r="B1735" s="100">
        <f t="shared" si="31"/>
        <v>1714</v>
      </c>
      <c r="C1735" s="101" t="s">
        <v>1964</v>
      </c>
      <c r="D1735" s="99" t="s">
        <v>1965</v>
      </c>
      <c r="E1735" s="99">
        <v>99</v>
      </c>
      <c r="F1735" s="103">
        <v>39384</v>
      </c>
      <c r="G1735" s="99">
        <v>8.1999999999999993</v>
      </c>
      <c r="H1735" s="129">
        <v>2.4700000000000002</v>
      </c>
      <c r="I1735" s="99">
        <v>8.1999999999999993</v>
      </c>
      <c r="J1735" s="18"/>
      <c r="K1735" s="21"/>
      <c r="L1735" s="21"/>
      <c r="M1735" s="21"/>
      <c r="N1735" s="21"/>
      <c r="O1735" s="21"/>
      <c r="R1735">
        <v>8.1999999999999993</v>
      </c>
    </row>
    <row r="1736" spans="2:18" ht="15" customHeight="1" x14ac:dyDescent="0.35">
      <c r="B1736" s="100">
        <f t="shared" si="31"/>
        <v>1715</v>
      </c>
      <c r="C1736" s="101" t="s">
        <v>1966</v>
      </c>
      <c r="D1736" s="99" t="s">
        <v>1967</v>
      </c>
      <c r="E1736" s="99">
        <v>1</v>
      </c>
      <c r="F1736" s="103">
        <v>39384</v>
      </c>
      <c r="G1736" s="99">
        <v>6.2</v>
      </c>
      <c r="H1736" s="129">
        <v>2.62</v>
      </c>
      <c r="I1736" s="99">
        <v>6.2</v>
      </c>
      <c r="J1736" s="18"/>
      <c r="K1736" s="21"/>
      <c r="L1736" s="21"/>
      <c r="M1736" s="21"/>
      <c r="N1736" s="21"/>
      <c r="O1736" s="21"/>
      <c r="R1736">
        <v>6.2</v>
      </c>
    </row>
    <row r="1737" spans="2:18" ht="15" customHeight="1" x14ac:dyDescent="0.35">
      <c r="B1737" s="100">
        <f t="shared" si="31"/>
        <v>1716</v>
      </c>
      <c r="C1737" s="101" t="s">
        <v>1968</v>
      </c>
      <c r="D1737" s="99" t="s">
        <v>1969</v>
      </c>
      <c r="E1737" s="99">
        <v>2</v>
      </c>
      <c r="F1737" s="103">
        <v>39384</v>
      </c>
      <c r="G1737" s="99">
        <v>5.2</v>
      </c>
      <c r="H1737" s="129">
        <v>3.3</v>
      </c>
      <c r="I1737" s="99">
        <v>5.2</v>
      </c>
      <c r="J1737" s="18"/>
      <c r="K1737" s="21"/>
      <c r="L1737" s="21"/>
      <c r="M1737" s="21"/>
      <c r="N1737" s="21"/>
      <c r="O1737" s="21"/>
      <c r="R1737">
        <v>5.2</v>
      </c>
    </row>
    <row r="1738" spans="2:18" ht="15" customHeight="1" x14ac:dyDescent="0.35">
      <c r="B1738" s="100">
        <f t="shared" si="31"/>
        <v>1717</v>
      </c>
      <c r="C1738" s="101" t="s">
        <v>1970</v>
      </c>
      <c r="D1738" s="99" t="s">
        <v>1971</v>
      </c>
      <c r="E1738" s="99">
        <v>3</v>
      </c>
      <c r="F1738" s="103">
        <v>39384</v>
      </c>
      <c r="G1738" s="99">
        <v>4.2</v>
      </c>
      <c r="H1738" s="129">
        <v>2.94</v>
      </c>
      <c r="I1738" s="99">
        <v>4.2</v>
      </c>
      <c r="J1738" s="18"/>
      <c r="K1738" s="21"/>
      <c r="L1738" s="21"/>
      <c r="M1738" s="21"/>
      <c r="N1738" s="21"/>
      <c r="O1738" s="21"/>
      <c r="R1738">
        <v>4.2</v>
      </c>
    </row>
    <row r="1739" spans="2:18" ht="15" customHeight="1" x14ac:dyDescent="0.35">
      <c r="B1739" s="100">
        <f t="shared" si="31"/>
        <v>1718</v>
      </c>
      <c r="C1739" s="117" t="s">
        <v>1972</v>
      </c>
      <c r="D1739" s="122" t="s">
        <v>1973</v>
      </c>
      <c r="E1739" s="122">
        <v>2</v>
      </c>
      <c r="F1739" s="99" t="s">
        <v>1974</v>
      </c>
      <c r="G1739" s="99">
        <v>7.5</v>
      </c>
      <c r="H1739" s="122">
        <v>2.81</v>
      </c>
      <c r="I1739" s="122">
        <v>7.5</v>
      </c>
      <c r="J1739" s="37"/>
      <c r="K1739" s="21"/>
      <c r="L1739" s="21"/>
      <c r="M1739" s="21"/>
      <c r="N1739" s="21"/>
      <c r="O1739" s="21"/>
      <c r="R1739">
        <v>7.5</v>
      </c>
    </row>
    <row r="1740" spans="2:18" ht="15" customHeight="1" x14ac:dyDescent="0.35">
      <c r="B1740" s="100">
        <f t="shared" si="31"/>
        <v>1719</v>
      </c>
      <c r="C1740" s="117" t="s">
        <v>1975</v>
      </c>
      <c r="D1740" s="122" t="s">
        <v>1976</v>
      </c>
      <c r="E1740" s="122">
        <v>2</v>
      </c>
      <c r="F1740" s="99" t="s">
        <v>1974</v>
      </c>
      <c r="G1740" s="99">
        <v>7.5</v>
      </c>
      <c r="H1740" s="122">
        <v>3.17</v>
      </c>
      <c r="I1740" s="122">
        <v>7.5</v>
      </c>
      <c r="J1740" s="20"/>
      <c r="K1740" s="21"/>
      <c r="L1740" s="21"/>
      <c r="M1740" s="21"/>
      <c r="N1740" s="21"/>
      <c r="O1740" s="21"/>
      <c r="R1740">
        <v>7.5</v>
      </c>
    </row>
    <row r="1741" spans="2:18" ht="15" customHeight="1" x14ac:dyDescent="0.35">
      <c r="B1741" s="100">
        <f t="shared" si="31"/>
        <v>1720</v>
      </c>
      <c r="C1741" s="117" t="s">
        <v>1977</v>
      </c>
      <c r="D1741" s="122" t="s">
        <v>1978</v>
      </c>
      <c r="E1741" s="122">
        <v>2</v>
      </c>
      <c r="F1741" s="99" t="s">
        <v>1974</v>
      </c>
      <c r="G1741" s="99">
        <v>7.5</v>
      </c>
      <c r="H1741" s="122">
        <v>3.31</v>
      </c>
      <c r="I1741" s="122">
        <v>7.5</v>
      </c>
      <c r="J1741" s="20"/>
      <c r="K1741" s="21"/>
      <c r="L1741" s="21"/>
      <c r="M1741" s="21"/>
      <c r="N1741" s="21"/>
      <c r="O1741" s="21"/>
      <c r="R1741">
        <v>7.5</v>
      </c>
    </row>
    <row r="1742" spans="2:18" ht="15" customHeight="1" x14ac:dyDescent="0.35">
      <c r="B1742" s="100">
        <f t="shared" si="31"/>
        <v>1721</v>
      </c>
      <c r="C1742" s="117" t="s">
        <v>1979</v>
      </c>
      <c r="D1742" s="122" t="s">
        <v>1980</v>
      </c>
      <c r="E1742" s="122">
        <v>2</v>
      </c>
      <c r="F1742" s="99" t="s">
        <v>1974</v>
      </c>
      <c r="G1742" s="99">
        <v>7.5</v>
      </c>
      <c r="H1742" s="122">
        <v>2.54</v>
      </c>
      <c r="I1742" s="122">
        <v>7.5</v>
      </c>
      <c r="J1742" s="20"/>
      <c r="K1742" s="21"/>
      <c r="L1742" s="21"/>
      <c r="M1742" s="21"/>
      <c r="N1742" s="21"/>
      <c r="O1742" s="21"/>
      <c r="R1742">
        <v>7.5</v>
      </c>
    </row>
    <row r="1743" spans="2:18" ht="15" customHeight="1" x14ac:dyDescent="0.35">
      <c r="B1743" s="100">
        <f t="shared" si="31"/>
        <v>1722</v>
      </c>
      <c r="C1743" s="117" t="s">
        <v>1981</v>
      </c>
      <c r="D1743" s="122" t="s">
        <v>1982</v>
      </c>
      <c r="E1743" s="122">
        <v>2</v>
      </c>
      <c r="F1743" s="99" t="s">
        <v>1974</v>
      </c>
      <c r="G1743" s="99">
        <v>7.5</v>
      </c>
      <c r="H1743" s="122">
        <v>3.05</v>
      </c>
      <c r="I1743" s="122">
        <v>7.5</v>
      </c>
      <c r="J1743" s="20"/>
      <c r="K1743" s="21"/>
      <c r="L1743" s="21"/>
      <c r="M1743" s="21"/>
      <c r="N1743" s="21"/>
      <c r="O1743" s="21"/>
      <c r="R1743">
        <v>7.5</v>
      </c>
    </row>
    <row r="1744" spans="2:18" ht="15" customHeight="1" x14ac:dyDescent="0.35">
      <c r="B1744" s="100">
        <f t="shared" si="31"/>
        <v>1723</v>
      </c>
      <c r="C1744" s="117" t="s">
        <v>1983</v>
      </c>
      <c r="D1744" s="122" t="s">
        <v>1984</v>
      </c>
      <c r="E1744" s="122">
        <v>2</v>
      </c>
      <c r="F1744" s="99" t="s">
        <v>1974</v>
      </c>
      <c r="G1744" s="99">
        <v>7.5</v>
      </c>
      <c r="H1744" s="122">
        <v>2.63</v>
      </c>
      <c r="I1744" s="122">
        <v>7.5</v>
      </c>
      <c r="J1744" s="20"/>
      <c r="K1744" s="21"/>
      <c r="L1744" s="21"/>
      <c r="M1744" s="21"/>
      <c r="N1744" s="21"/>
      <c r="O1744" s="21"/>
      <c r="R1744">
        <v>7.5</v>
      </c>
    </row>
    <row r="1745" spans="2:18" ht="15" customHeight="1" x14ac:dyDescent="0.35">
      <c r="B1745" s="100">
        <f t="shared" si="31"/>
        <v>1724</v>
      </c>
      <c r="C1745" s="117" t="s">
        <v>1985</v>
      </c>
      <c r="D1745" s="122" t="s">
        <v>1986</v>
      </c>
      <c r="E1745" s="122">
        <v>3</v>
      </c>
      <c r="F1745" s="99" t="s">
        <v>1974</v>
      </c>
      <c r="G1745" s="99">
        <v>5.5</v>
      </c>
      <c r="H1745" s="122">
        <v>3</v>
      </c>
      <c r="I1745" s="99">
        <v>5.5</v>
      </c>
      <c r="J1745" s="20"/>
      <c r="K1745" s="21"/>
      <c r="L1745" s="21"/>
      <c r="M1745" s="21"/>
      <c r="N1745" s="21"/>
      <c r="O1745" s="21"/>
      <c r="R1745">
        <v>5.5</v>
      </c>
    </row>
    <row r="1746" spans="2:18" ht="15" customHeight="1" x14ac:dyDescent="0.35">
      <c r="B1746" s="100">
        <f t="shared" si="31"/>
        <v>1725</v>
      </c>
      <c r="C1746" s="117" t="s">
        <v>1987</v>
      </c>
      <c r="D1746" s="122" t="s">
        <v>1988</v>
      </c>
      <c r="E1746" s="122">
        <v>3</v>
      </c>
      <c r="F1746" s="99" t="s">
        <v>1974</v>
      </c>
      <c r="G1746" s="99">
        <v>5.5</v>
      </c>
      <c r="H1746" s="122">
        <v>3.01</v>
      </c>
      <c r="I1746" s="99">
        <v>5.5</v>
      </c>
      <c r="J1746" s="20"/>
      <c r="K1746" s="21"/>
      <c r="L1746" s="21"/>
      <c r="M1746" s="21"/>
      <c r="N1746" s="21"/>
      <c r="O1746" s="21"/>
      <c r="R1746">
        <v>5.5</v>
      </c>
    </row>
    <row r="1747" spans="2:18" ht="15" customHeight="1" x14ac:dyDescent="0.35">
      <c r="B1747" s="100">
        <f t="shared" si="31"/>
        <v>1726</v>
      </c>
      <c r="C1747" s="117" t="s">
        <v>1989</v>
      </c>
      <c r="D1747" s="122" t="s">
        <v>1990</v>
      </c>
      <c r="E1747" s="122">
        <v>3</v>
      </c>
      <c r="F1747" s="99" t="s">
        <v>1974</v>
      </c>
      <c r="G1747" s="99">
        <v>5.5</v>
      </c>
      <c r="H1747" s="122">
        <v>3.48</v>
      </c>
      <c r="I1747" s="99">
        <v>5.5</v>
      </c>
      <c r="J1747" s="20"/>
      <c r="K1747" s="21"/>
      <c r="L1747" s="21"/>
      <c r="M1747" s="21"/>
      <c r="N1747" s="21"/>
      <c r="O1747" s="21"/>
      <c r="R1747">
        <v>5.5</v>
      </c>
    </row>
    <row r="1748" spans="2:18" ht="15" customHeight="1" x14ac:dyDescent="0.35">
      <c r="B1748" s="100">
        <f t="shared" si="31"/>
        <v>1727</v>
      </c>
      <c r="C1748" s="117" t="s">
        <v>1991</v>
      </c>
      <c r="D1748" s="122" t="s">
        <v>1992</v>
      </c>
      <c r="E1748" s="122">
        <v>3</v>
      </c>
      <c r="F1748" s="99" t="s">
        <v>1974</v>
      </c>
      <c r="G1748" s="99">
        <v>5.5</v>
      </c>
      <c r="H1748" s="122">
        <v>3.32</v>
      </c>
      <c r="I1748" s="99">
        <v>5.5</v>
      </c>
      <c r="J1748" s="20"/>
      <c r="K1748" s="21"/>
      <c r="L1748" s="21"/>
      <c r="M1748" s="21"/>
      <c r="N1748" s="21"/>
      <c r="O1748" s="21"/>
      <c r="R1748">
        <v>5.5</v>
      </c>
    </row>
    <row r="1749" spans="2:18" ht="15" customHeight="1" x14ac:dyDescent="0.35">
      <c r="B1749" s="100">
        <f t="shared" si="31"/>
        <v>1728</v>
      </c>
      <c r="C1749" s="117" t="s">
        <v>1993</v>
      </c>
      <c r="D1749" s="122" t="s">
        <v>1994</v>
      </c>
      <c r="E1749" s="122">
        <v>3</v>
      </c>
      <c r="F1749" s="99" t="s">
        <v>1974</v>
      </c>
      <c r="G1749" s="99">
        <v>5.5</v>
      </c>
      <c r="H1749" s="122">
        <v>3.61</v>
      </c>
      <c r="I1749" s="99">
        <v>5.5</v>
      </c>
      <c r="J1749" s="20"/>
      <c r="K1749" s="21"/>
      <c r="L1749" s="21"/>
      <c r="M1749" s="21"/>
      <c r="N1749" s="21"/>
      <c r="O1749" s="21"/>
      <c r="R1749">
        <v>5.5</v>
      </c>
    </row>
    <row r="1750" spans="2:18" ht="15" customHeight="1" x14ac:dyDescent="0.35">
      <c r="B1750" s="100">
        <f t="shared" si="31"/>
        <v>1729</v>
      </c>
      <c r="C1750" s="117" t="s">
        <v>1995</v>
      </c>
      <c r="D1750" s="122" t="s">
        <v>1996</v>
      </c>
      <c r="E1750" s="122">
        <v>3</v>
      </c>
      <c r="F1750" s="99" t="s">
        <v>1974</v>
      </c>
      <c r="G1750" s="99">
        <v>5.5</v>
      </c>
      <c r="H1750" s="122">
        <v>3</v>
      </c>
      <c r="I1750" s="99">
        <v>5.5</v>
      </c>
      <c r="J1750" s="20"/>
      <c r="K1750" s="21"/>
      <c r="L1750" s="21"/>
      <c r="M1750" s="21"/>
      <c r="N1750" s="21"/>
      <c r="O1750" s="21"/>
      <c r="R1750">
        <v>5.5</v>
      </c>
    </row>
    <row r="1751" spans="2:18" ht="15" customHeight="1" x14ac:dyDescent="0.35">
      <c r="B1751" s="100">
        <f t="shared" si="31"/>
        <v>1730</v>
      </c>
      <c r="C1751" s="117" t="s">
        <v>1997</v>
      </c>
      <c r="D1751" s="122" t="s">
        <v>1998</v>
      </c>
      <c r="E1751" s="122">
        <v>3</v>
      </c>
      <c r="F1751" s="99" t="s">
        <v>1974</v>
      </c>
      <c r="G1751" s="99">
        <v>5.5</v>
      </c>
      <c r="H1751" s="122">
        <v>3.51</v>
      </c>
      <c r="I1751" s="99">
        <v>5.5</v>
      </c>
      <c r="J1751" s="20"/>
      <c r="K1751" s="21"/>
      <c r="L1751" s="21"/>
      <c r="M1751" s="21"/>
      <c r="N1751" s="21"/>
      <c r="O1751" s="21"/>
      <c r="R1751">
        <v>5.5</v>
      </c>
    </row>
    <row r="1752" spans="2:18" ht="15" customHeight="1" x14ac:dyDescent="0.35">
      <c r="B1752" s="100">
        <f t="shared" si="31"/>
        <v>1731</v>
      </c>
      <c r="C1752" s="117" t="s">
        <v>1999</v>
      </c>
      <c r="D1752" s="122" t="s">
        <v>2000</v>
      </c>
      <c r="E1752" s="122">
        <v>3</v>
      </c>
      <c r="F1752" s="99" t="s">
        <v>1974</v>
      </c>
      <c r="G1752" s="99">
        <v>5.5</v>
      </c>
      <c r="H1752" s="122">
        <v>3.41</v>
      </c>
      <c r="I1752" s="99">
        <v>5.5</v>
      </c>
      <c r="J1752" s="20"/>
      <c r="K1752" s="21"/>
      <c r="L1752" s="21"/>
      <c r="M1752" s="21"/>
      <c r="N1752" s="21"/>
      <c r="O1752" s="21"/>
      <c r="R1752">
        <v>5.5</v>
      </c>
    </row>
    <row r="1753" spans="2:18" ht="15" customHeight="1" x14ac:dyDescent="0.35">
      <c r="B1753" s="100">
        <f t="shared" si="31"/>
        <v>1732</v>
      </c>
      <c r="C1753" s="117" t="s">
        <v>2001</v>
      </c>
      <c r="D1753" s="122" t="s">
        <v>2002</v>
      </c>
      <c r="E1753" s="122">
        <v>3</v>
      </c>
      <c r="F1753" s="99" t="s">
        <v>1974</v>
      </c>
      <c r="G1753" s="99">
        <v>5.5</v>
      </c>
      <c r="H1753" s="122">
        <v>2.89</v>
      </c>
      <c r="I1753" s="99">
        <v>5.5</v>
      </c>
      <c r="J1753" s="20"/>
      <c r="K1753" s="21"/>
      <c r="L1753" s="21"/>
      <c r="M1753" s="21"/>
      <c r="N1753" s="21"/>
      <c r="O1753" s="21"/>
      <c r="R1753">
        <v>5.5</v>
      </c>
    </row>
    <row r="1754" spans="2:18" ht="15" customHeight="1" x14ac:dyDescent="0.35">
      <c r="B1754" s="100">
        <f t="shared" si="31"/>
        <v>1733</v>
      </c>
      <c r="C1754" s="117" t="s">
        <v>2003</v>
      </c>
      <c r="D1754" s="122" t="s">
        <v>2004</v>
      </c>
      <c r="E1754" s="122">
        <v>98</v>
      </c>
      <c r="F1754" s="99" t="s">
        <v>1974</v>
      </c>
      <c r="G1754" s="99">
        <v>9.5</v>
      </c>
      <c r="H1754" s="122">
        <v>2.6</v>
      </c>
      <c r="I1754" s="99">
        <v>9.5</v>
      </c>
      <c r="J1754" s="20"/>
      <c r="K1754" s="21"/>
      <c r="L1754" s="21"/>
      <c r="M1754" s="21"/>
      <c r="N1754" s="21"/>
      <c r="O1754" s="21"/>
      <c r="R1754">
        <v>9.5</v>
      </c>
    </row>
    <row r="1755" spans="2:18" ht="15" customHeight="1" x14ac:dyDescent="0.35">
      <c r="B1755" s="100">
        <f t="shared" si="31"/>
        <v>1734</v>
      </c>
      <c r="C1755" s="117" t="s">
        <v>2005</v>
      </c>
      <c r="D1755" s="122" t="s">
        <v>2006</v>
      </c>
      <c r="E1755" s="122">
        <v>99</v>
      </c>
      <c r="F1755" s="99" t="s">
        <v>1974</v>
      </c>
      <c r="G1755" s="99">
        <v>8.5</v>
      </c>
      <c r="H1755" s="122">
        <v>2.0699999999999998</v>
      </c>
      <c r="I1755" s="99">
        <v>8.5</v>
      </c>
      <c r="J1755" s="20"/>
      <c r="K1755" s="21"/>
      <c r="L1755" s="21"/>
      <c r="M1755" s="21"/>
      <c r="N1755" s="21"/>
      <c r="O1755" s="21"/>
      <c r="R1755">
        <v>8.5</v>
      </c>
    </row>
    <row r="1756" spans="2:18" ht="15" customHeight="1" x14ac:dyDescent="0.35">
      <c r="B1756" s="100">
        <f t="shared" si="31"/>
        <v>1735</v>
      </c>
      <c r="C1756" s="117" t="s">
        <v>2007</v>
      </c>
      <c r="D1756" s="122" t="s">
        <v>2008</v>
      </c>
      <c r="E1756" s="122">
        <v>0</v>
      </c>
      <c r="F1756" s="99" t="s">
        <v>1974</v>
      </c>
      <c r="G1756" s="99">
        <v>7.5</v>
      </c>
      <c r="H1756" s="122">
        <v>2.6</v>
      </c>
      <c r="I1756" s="99">
        <v>7.5</v>
      </c>
      <c r="J1756" s="20"/>
      <c r="K1756" s="21"/>
      <c r="L1756" s="21"/>
      <c r="M1756" s="21"/>
      <c r="N1756" s="21"/>
      <c r="O1756" s="21"/>
      <c r="R1756">
        <v>7.5</v>
      </c>
    </row>
    <row r="1757" spans="2:18" ht="15" customHeight="1" x14ac:dyDescent="0.35">
      <c r="B1757" s="100">
        <f t="shared" si="31"/>
        <v>1736</v>
      </c>
      <c r="C1757" s="114" t="s">
        <v>2009</v>
      </c>
      <c r="D1757" s="122" t="s">
        <v>2010</v>
      </c>
      <c r="E1757" s="122">
        <v>2</v>
      </c>
      <c r="F1757" s="122" t="s">
        <v>2011</v>
      </c>
      <c r="G1757" s="99">
        <v>6.7</v>
      </c>
      <c r="H1757" s="122">
        <v>2.56</v>
      </c>
      <c r="I1757" s="99">
        <v>6.7</v>
      </c>
      <c r="J1757" s="20"/>
      <c r="K1757" s="21"/>
      <c r="L1757" s="21"/>
      <c r="M1757" s="21"/>
      <c r="N1757" s="21"/>
      <c r="O1757" s="21"/>
      <c r="R1757">
        <v>6.7</v>
      </c>
    </row>
    <row r="1758" spans="2:18" ht="15" customHeight="1" x14ac:dyDescent="0.35">
      <c r="B1758" s="100">
        <f t="shared" si="31"/>
        <v>1737</v>
      </c>
      <c r="C1758" s="114" t="s">
        <v>2012</v>
      </c>
      <c r="D1758" s="122" t="s">
        <v>2013</v>
      </c>
      <c r="E1758" s="122">
        <v>2</v>
      </c>
      <c r="F1758" s="122" t="s">
        <v>2011</v>
      </c>
      <c r="G1758" s="99">
        <v>6.7</v>
      </c>
      <c r="H1758" s="122">
        <v>2.82</v>
      </c>
      <c r="I1758" s="99">
        <v>6.7</v>
      </c>
      <c r="J1758" s="20"/>
      <c r="K1758" s="21"/>
      <c r="L1758" s="21"/>
      <c r="M1758" s="21"/>
      <c r="N1758" s="21"/>
      <c r="O1758" s="21"/>
      <c r="R1758">
        <v>6.7</v>
      </c>
    </row>
    <row r="1759" spans="2:18" ht="15" customHeight="1" x14ac:dyDescent="0.35">
      <c r="B1759" s="100">
        <f t="shared" si="31"/>
        <v>1738</v>
      </c>
      <c r="C1759" s="114" t="s">
        <v>2014</v>
      </c>
      <c r="D1759" s="122" t="s">
        <v>2015</v>
      </c>
      <c r="E1759" s="122">
        <v>3</v>
      </c>
      <c r="F1759" s="122" t="s">
        <v>2011</v>
      </c>
      <c r="G1759" s="99">
        <v>4.7</v>
      </c>
      <c r="H1759" s="122">
        <v>3.01</v>
      </c>
      <c r="I1759" s="99">
        <v>4.7</v>
      </c>
      <c r="J1759" s="20"/>
      <c r="K1759" s="21"/>
      <c r="L1759" s="21"/>
      <c r="M1759" s="21"/>
      <c r="N1759" s="21"/>
      <c r="O1759" s="21"/>
      <c r="R1759">
        <v>4.7</v>
      </c>
    </row>
    <row r="1760" spans="2:18" ht="15" customHeight="1" x14ac:dyDescent="0.35">
      <c r="B1760" s="100">
        <f t="shared" si="31"/>
        <v>1739</v>
      </c>
      <c r="C1760" s="114" t="s">
        <v>2016</v>
      </c>
      <c r="D1760" s="122" t="s">
        <v>2017</v>
      </c>
      <c r="E1760" s="122">
        <v>3</v>
      </c>
      <c r="F1760" s="122" t="s">
        <v>2011</v>
      </c>
      <c r="G1760" s="99">
        <v>4.7</v>
      </c>
      <c r="H1760" s="122">
        <v>3.06</v>
      </c>
      <c r="I1760" s="99">
        <v>4.7</v>
      </c>
      <c r="J1760" s="20"/>
      <c r="K1760" s="21"/>
      <c r="L1760" s="21"/>
      <c r="M1760" s="21"/>
      <c r="N1760" s="21"/>
      <c r="O1760" s="21"/>
      <c r="R1760">
        <v>4.7</v>
      </c>
    </row>
    <row r="1761" spans="2:18" ht="15" customHeight="1" x14ac:dyDescent="0.35">
      <c r="B1761" s="100">
        <f t="shared" si="31"/>
        <v>1740</v>
      </c>
      <c r="C1761" s="114" t="s">
        <v>2018</v>
      </c>
      <c r="D1761" s="122" t="s">
        <v>2019</v>
      </c>
      <c r="E1761" s="122">
        <v>3</v>
      </c>
      <c r="F1761" s="122" t="s">
        <v>2011</v>
      </c>
      <c r="G1761" s="99">
        <v>4.7</v>
      </c>
      <c r="H1761" s="122">
        <v>2.96</v>
      </c>
      <c r="I1761" s="99">
        <v>4.7</v>
      </c>
      <c r="J1761" s="20"/>
      <c r="K1761" s="21"/>
      <c r="L1761" s="21"/>
      <c r="M1761" s="21"/>
      <c r="N1761" s="21"/>
      <c r="O1761" s="21"/>
      <c r="R1761">
        <v>4.7</v>
      </c>
    </row>
    <row r="1762" spans="2:18" ht="15" customHeight="1" x14ac:dyDescent="0.35">
      <c r="B1762" s="100">
        <f t="shared" si="31"/>
        <v>1741</v>
      </c>
      <c r="C1762" s="114" t="s">
        <v>2020</v>
      </c>
      <c r="D1762" s="122" t="s">
        <v>2021</v>
      </c>
      <c r="E1762" s="122">
        <v>3</v>
      </c>
      <c r="F1762" s="122" t="s">
        <v>2011</v>
      </c>
      <c r="G1762" s="99">
        <v>4.7</v>
      </c>
      <c r="H1762" s="122">
        <v>3.14</v>
      </c>
      <c r="I1762" s="99">
        <v>4.7</v>
      </c>
      <c r="J1762" s="20"/>
      <c r="K1762" s="21"/>
      <c r="L1762" s="21"/>
      <c r="M1762" s="21"/>
      <c r="N1762" s="21"/>
      <c r="O1762" s="21"/>
      <c r="R1762">
        <v>4.7</v>
      </c>
    </row>
    <row r="1763" spans="2:18" ht="15" customHeight="1" x14ac:dyDescent="0.35">
      <c r="B1763" s="100">
        <f t="shared" si="31"/>
        <v>1742</v>
      </c>
      <c r="C1763" s="114" t="s">
        <v>2022</v>
      </c>
      <c r="D1763" s="122" t="s">
        <v>2023</v>
      </c>
      <c r="E1763" s="122">
        <v>3</v>
      </c>
      <c r="F1763" s="122" t="s">
        <v>2011</v>
      </c>
      <c r="G1763" s="99">
        <v>4.7</v>
      </c>
      <c r="H1763" s="122">
        <v>2.97</v>
      </c>
      <c r="I1763" s="99">
        <v>4.7</v>
      </c>
      <c r="J1763" s="20"/>
      <c r="K1763" s="21"/>
      <c r="L1763" s="21"/>
      <c r="M1763" s="21"/>
      <c r="N1763" s="21"/>
      <c r="O1763" s="21"/>
      <c r="R1763">
        <v>4.7</v>
      </c>
    </row>
    <row r="1764" spans="2:18" ht="15" customHeight="1" x14ac:dyDescent="0.35">
      <c r="B1764" s="100">
        <f t="shared" si="31"/>
        <v>1743</v>
      </c>
      <c r="C1764" s="101" t="s">
        <v>2024</v>
      </c>
      <c r="D1764" s="99" t="s">
        <v>2025</v>
      </c>
      <c r="E1764" s="99">
        <v>0</v>
      </c>
      <c r="F1764" s="122" t="s">
        <v>2011</v>
      </c>
      <c r="G1764" s="99">
        <v>7.5</v>
      </c>
      <c r="H1764" s="99">
        <v>2.83</v>
      </c>
      <c r="I1764" s="99">
        <v>7.5</v>
      </c>
      <c r="J1764" s="20"/>
      <c r="K1764" s="21"/>
      <c r="L1764" s="21"/>
      <c r="M1764" s="21"/>
      <c r="N1764" s="21"/>
      <c r="O1764" s="21"/>
      <c r="R1764">
        <v>7.5</v>
      </c>
    </row>
    <row r="1765" spans="2:18" ht="15" customHeight="1" x14ac:dyDescent="0.35">
      <c r="B1765" s="100">
        <f t="shared" si="31"/>
        <v>1744</v>
      </c>
      <c r="C1765" s="114" t="s">
        <v>2026</v>
      </c>
      <c r="D1765" s="122" t="s">
        <v>2027</v>
      </c>
      <c r="E1765" s="122">
        <v>0</v>
      </c>
      <c r="F1765" s="122" t="s">
        <v>2028</v>
      </c>
      <c r="G1765" s="122">
        <v>8</v>
      </c>
      <c r="H1765" s="140">
        <v>2.2400000000000002</v>
      </c>
      <c r="I1765" s="99">
        <v>8</v>
      </c>
      <c r="J1765" s="20"/>
      <c r="K1765" s="21"/>
      <c r="L1765" s="21"/>
      <c r="M1765" s="21"/>
      <c r="N1765" s="21"/>
      <c r="O1765" s="21"/>
      <c r="R1765">
        <v>8</v>
      </c>
    </row>
    <row r="1766" spans="2:18" ht="15" customHeight="1" x14ac:dyDescent="0.35">
      <c r="B1766" s="100">
        <f t="shared" si="31"/>
        <v>1745</v>
      </c>
      <c r="C1766" s="117" t="s">
        <v>2029</v>
      </c>
      <c r="D1766" s="122" t="s">
        <v>2030</v>
      </c>
      <c r="E1766" s="122">
        <v>1</v>
      </c>
      <c r="F1766" s="122" t="s">
        <v>2028</v>
      </c>
      <c r="G1766" s="122">
        <v>7</v>
      </c>
      <c r="H1766" s="140">
        <v>2.44</v>
      </c>
      <c r="I1766" s="99">
        <v>7</v>
      </c>
      <c r="J1766" s="20"/>
      <c r="K1766" s="21"/>
      <c r="L1766" s="21"/>
      <c r="M1766" s="21"/>
      <c r="N1766" s="21"/>
      <c r="O1766" s="21"/>
      <c r="R1766">
        <v>7</v>
      </c>
    </row>
    <row r="1767" spans="2:18" ht="15" customHeight="1" x14ac:dyDescent="0.35">
      <c r="B1767" s="100">
        <f t="shared" si="31"/>
        <v>1746</v>
      </c>
      <c r="C1767" s="114" t="s">
        <v>2031</v>
      </c>
      <c r="D1767" s="122" t="s">
        <v>2032</v>
      </c>
      <c r="E1767" s="122">
        <v>2</v>
      </c>
      <c r="F1767" s="122" t="s">
        <v>2028</v>
      </c>
      <c r="G1767" s="122">
        <v>6</v>
      </c>
      <c r="H1767" s="140">
        <v>2.78</v>
      </c>
      <c r="I1767" s="99">
        <v>6</v>
      </c>
      <c r="J1767" s="20"/>
      <c r="K1767" s="21"/>
      <c r="L1767" s="21" t="s">
        <v>580</v>
      </c>
      <c r="M1767" s="21"/>
      <c r="N1767" s="21"/>
      <c r="O1767" s="21"/>
      <c r="R1767">
        <v>6</v>
      </c>
    </row>
    <row r="1768" spans="2:18" ht="15" customHeight="1" x14ac:dyDescent="0.35">
      <c r="B1768" s="100">
        <f t="shared" si="31"/>
        <v>1747</v>
      </c>
      <c r="C1768" s="114" t="s">
        <v>2033</v>
      </c>
      <c r="D1768" s="122" t="s">
        <v>2034</v>
      </c>
      <c r="E1768" s="122">
        <v>2</v>
      </c>
      <c r="F1768" s="122" t="s">
        <v>2028</v>
      </c>
      <c r="G1768" s="122">
        <v>6</v>
      </c>
      <c r="H1768" s="140">
        <v>2.66</v>
      </c>
      <c r="I1768" s="99">
        <v>6</v>
      </c>
      <c r="J1768" s="20"/>
      <c r="K1768" s="21"/>
      <c r="L1768" s="21"/>
      <c r="M1768" s="21"/>
      <c r="N1768" s="21"/>
      <c r="O1768" s="21"/>
      <c r="R1768">
        <v>6</v>
      </c>
    </row>
    <row r="1769" spans="2:18" ht="15" customHeight="1" x14ac:dyDescent="0.35">
      <c r="B1769" s="100">
        <f t="shared" si="31"/>
        <v>1748</v>
      </c>
      <c r="C1769" s="114" t="s">
        <v>2035</v>
      </c>
      <c r="D1769" s="122" t="s">
        <v>2036</v>
      </c>
      <c r="E1769" s="122">
        <v>2</v>
      </c>
      <c r="F1769" s="122" t="s">
        <v>2028</v>
      </c>
      <c r="G1769" s="122">
        <v>6</v>
      </c>
      <c r="H1769" s="140">
        <v>3.29</v>
      </c>
      <c r="I1769" s="99">
        <v>6</v>
      </c>
      <c r="J1769" s="20"/>
      <c r="K1769" s="21"/>
      <c r="L1769" s="21"/>
      <c r="M1769" s="21"/>
      <c r="N1769" s="21"/>
      <c r="O1769" s="21"/>
      <c r="R1769">
        <v>6</v>
      </c>
    </row>
    <row r="1770" spans="2:18" ht="15" customHeight="1" x14ac:dyDescent="0.35">
      <c r="B1770" s="100">
        <f t="shared" si="31"/>
        <v>1749</v>
      </c>
      <c r="C1770" s="114" t="s">
        <v>2037</v>
      </c>
      <c r="D1770" s="122" t="s">
        <v>2038</v>
      </c>
      <c r="E1770" s="122">
        <v>2</v>
      </c>
      <c r="F1770" s="122" t="s">
        <v>2028</v>
      </c>
      <c r="G1770" s="122">
        <v>6</v>
      </c>
      <c r="H1770" s="140">
        <v>2.4300000000000002</v>
      </c>
      <c r="I1770" s="99">
        <v>6</v>
      </c>
      <c r="J1770" s="20"/>
      <c r="K1770" s="29" t="s">
        <v>2039</v>
      </c>
      <c r="L1770" s="29">
        <f>COUNTIF(E1723:E1786,"98")</f>
        <v>2</v>
      </c>
      <c r="M1770" s="21"/>
      <c r="N1770" s="21"/>
      <c r="O1770" s="21"/>
      <c r="R1770">
        <v>6</v>
      </c>
    </row>
    <row r="1771" spans="2:18" ht="15" customHeight="1" x14ac:dyDescent="0.35">
      <c r="B1771" s="100">
        <f t="shared" si="31"/>
        <v>1750</v>
      </c>
      <c r="C1771" s="114" t="s">
        <v>2040</v>
      </c>
      <c r="D1771" s="122" t="s">
        <v>2041</v>
      </c>
      <c r="E1771" s="122">
        <v>3</v>
      </c>
      <c r="F1771" s="122" t="s">
        <v>2028</v>
      </c>
      <c r="G1771" s="122">
        <v>5</v>
      </c>
      <c r="H1771" s="140">
        <v>2.81</v>
      </c>
      <c r="I1771" s="99">
        <v>5</v>
      </c>
      <c r="J1771" s="20"/>
      <c r="K1771" s="29" t="s">
        <v>2042</v>
      </c>
      <c r="L1771" s="29">
        <f>COUNTIF(E1723:E1786,"99")</f>
        <v>2</v>
      </c>
      <c r="M1771" s="21"/>
      <c r="N1771" s="21"/>
      <c r="O1771" s="21"/>
      <c r="R1771">
        <v>5</v>
      </c>
    </row>
    <row r="1772" spans="2:18" ht="15" customHeight="1" x14ac:dyDescent="0.35">
      <c r="B1772" s="100">
        <f t="shared" si="31"/>
        <v>1751</v>
      </c>
      <c r="C1772" s="114" t="s">
        <v>2043</v>
      </c>
      <c r="D1772" s="122" t="s">
        <v>2044</v>
      </c>
      <c r="E1772" s="122">
        <v>3</v>
      </c>
      <c r="F1772" s="122" t="s">
        <v>2028</v>
      </c>
      <c r="G1772" s="122">
        <v>5</v>
      </c>
      <c r="H1772" s="140">
        <v>2.82</v>
      </c>
      <c r="I1772" s="99">
        <v>5</v>
      </c>
      <c r="J1772" s="20"/>
      <c r="K1772" s="29" t="s">
        <v>2045</v>
      </c>
      <c r="L1772" s="29">
        <f>COUNTIF(E1723:E1786,"00")</f>
        <v>3</v>
      </c>
      <c r="M1772" s="21"/>
      <c r="N1772" s="19"/>
      <c r="O1772" s="21"/>
      <c r="R1772">
        <v>5</v>
      </c>
    </row>
    <row r="1773" spans="2:18" ht="15" customHeight="1" x14ac:dyDescent="0.35">
      <c r="B1773" s="100">
        <f t="shared" si="31"/>
        <v>1752</v>
      </c>
      <c r="C1773" s="114" t="s">
        <v>2046</v>
      </c>
      <c r="D1773" s="122" t="s">
        <v>2047</v>
      </c>
      <c r="E1773" s="122">
        <v>3</v>
      </c>
      <c r="F1773" s="122" t="s">
        <v>2028</v>
      </c>
      <c r="G1773" s="122">
        <v>5</v>
      </c>
      <c r="H1773" s="140">
        <v>2.78</v>
      </c>
      <c r="I1773" s="99">
        <v>5</v>
      </c>
      <c r="J1773" s="20"/>
      <c r="K1773" s="29" t="s">
        <v>2048</v>
      </c>
      <c r="L1773" s="29">
        <f>COUNTIF(E1723:E1786,"1")</f>
        <v>4</v>
      </c>
      <c r="M1773" s="21"/>
      <c r="N1773" s="19"/>
      <c r="O1773" s="21"/>
      <c r="R1773">
        <v>5</v>
      </c>
    </row>
    <row r="1774" spans="2:18" ht="15" customHeight="1" x14ac:dyDescent="0.35">
      <c r="B1774" s="100">
        <f t="shared" si="31"/>
        <v>1753</v>
      </c>
      <c r="C1774" s="117" t="s">
        <v>2049</v>
      </c>
      <c r="D1774" s="122" t="s">
        <v>2050</v>
      </c>
      <c r="E1774" s="122">
        <v>3</v>
      </c>
      <c r="F1774" s="122" t="s">
        <v>2028</v>
      </c>
      <c r="G1774" s="122">
        <v>5</v>
      </c>
      <c r="H1774" s="140">
        <v>2.75</v>
      </c>
      <c r="I1774" s="99">
        <v>5</v>
      </c>
      <c r="J1774" s="20"/>
      <c r="K1774" s="29" t="s">
        <v>1913</v>
      </c>
      <c r="L1774" s="29">
        <f>COUNTIF(E1723:E1786,"2")</f>
        <v>18</v>
      </c>
      <c r="M1774" s="21"/>
      <c r="N1774" s="19"/>
      <c r="O1774" s="21"/>
      <c r="R1774">
        <v>5</v>
      </c>
    </row>
    <row r="1775" spans="2:18" ht="15" customHeight="1" x14ac:dyDescent="0.35">
      <c r="B1775" s="100">
        <f t="shared" si="31"/>
        <v>1754</v>
      </c>
      <c r="C1775" s="117" t="s">
        <v>2051</v>
      </c>
      <c r="D1775" s="122" t="s">
        <v>2052</v>
      </c>
      <c r="E1775" s="122">
        <v>3</v>
      </c>
      <c r="F1775" s="122" t="s">
        <v>2028</v>
      </c>
      <c r="G1775" s="122">
        <v>5</v>
      </c>
      <c r="H1775" s="140">
        <v>3.31</v>
      </c>
      <c r="I1775" s="99">
        <v>5</v>
      </c>
      <c r="J1775" s="20"/>
      <c r="K1775" s="29" t="s">
        <v>1916</v>
      </c>
      <c r="L1775" s="29">
        <f>COUNTIF(E1723:E1786,"3")</f>
        <v>31</v>
      </c>
      <c r="M1775" s="21"/>
      <c r="N1775" s="21"/>
      <c r="O1775" s="21"/>
      <c r="R1775">
        <v>5</v>
      </c>
    </row>
    <row r="1776" spans="2:18" ht="15" customHeight="1" x14ac:dyDescent="0.35">
      <c r="B1776" s="100">
        <f t="shared" si="31"/>
        <v>1755</v>
      </c>
      <c r="C1776" s="114" t="s">
        <v>2053</v>
      </c>
      <c r="D1776" s="122" t="s">
        <v>2054</v>
      </c>
      <c r="E1776" s="122">
        <v>3</v>
      </c>
      <c r="F1776" s="122" t="s">
        <v>2028</v>
      </c>
      <c r="G1776" s="122">
        <v>5</v>
      </c>
      <c r="H1776" s="140">
        <v>2.9</v>
      </c>
      <c r="I1776" s="99">
        <v>5</v>
      </c>
      <c r="J1776" s="20"/>
      <c r="K1776" s="29" t="s">
        <v>2055</v>
      </c>
      <c r="L1776" s="29">
        <f>COUNTIF(E1723:E1786,"4")</f>
        <v>4</v>
      </c>
      <c r="M1776" s="21"/>
      <c r="N1776" s="21"/>
      <c r="O1776" s="21"/>
      <c r="R1776">
        <v>5</v>
      </c>
    </row>
    <row r="1777" spans="2:18" ht="15" customHeight="1" x14ac:dyDescent="0.35">
      <c r="B1777" s="100">
        <f t="shared" si="31"/>
        <v>1756</v>
      </c>
      <c r="C1777" s="114" t="s">
        <v>2056</v>
      </c>
      <c r="D1777" s="122" t="s">
        <v>2057</v>
      </c>
      <c r="E1777" s="122">
        <v>3</v>
      </c>
      <c r="F1777" s="122" t="s">
        <v>2028</v>
      </c>
      <c r="G1777" s="122">
        <v>5</v>
      </c>
      <c r="H1777" s="140">
        <v>2.92</v>
      </c>
      <c r="I1777" s="99">
        <v>5</v>
      </c>
      <c r="J1777" s="20"/>
      <c r="K1777" s="29" t="s">
        <v>1820</v>
      </c>
      <c r="L1777" s="29">
        <f>SUM(L1770:L1776)</f>
        <v>64</v>
      </c>
      <c r="M1777" s="21"/>
      <c r="N1777" s="21"/>
      <c r="O1777" s="21"/>
      <c r="R1777">
        <v>5</v>
      </c>
    </row>
    <row r="1778" spans="2:18" ht="15" customHeight="1" x14ac:dyDescent="0.35">
      <c r="B1778" s="100">
        <f t="shared" si="31"/>
        <v>1757</v>
      </c>
      <c r="C1778" s="117" t="s">
        <v>2058</v>
      </c>
      <c r="D1778" s="122" t="s">
        <v>2059</v>
      </c>
      <c r="E1778" s="122">
        <v>3</v>
      </c>
      <c r="F1778" s="122" t="s">
        <v>2028</v>
      </c>
      <c r="G1778" s="122">
        <v>5</v>
      </c>
      <c r="H1778" s="140">
        <v>3.08</v>
      </c>
      <c r="I1778" s="99">
        <v>5</v>
      </c>
      <c r="J1778" s="20"/>
      <c r="K1778" s="29" t="s">
        <v>1798</v>
      </c>
      <c r="L1778" s="29"/>
      <c r="M1778" s="34">
        <f>SUM(G1723:G1786)/L1777</f>
        <v>5.7281249999999986</v>
      </c>
      <c r="N1778" s="21"/>
      <c r="O1778" s="21"/>
      <c r="R1778">
        <v>5</v>
      </c>
    </row>
    <row r="1779" spans="2:18" ht="15" customHeight="1" x14ac:dyDescent="0.35">
      <c r="B1779" s="100">
        <f t="shared" si="31"/>
        <v>1758</v>
      </c>
      <c r="C1779" s="117" t="s">
        <v>2060</v>
      </c>
      <c r="D1779" s="122" t="s">
        <v>2061</v>
      </c>
      <c r="E1779" s="122">
        <v>3</v>
      </c>
      <c r="F1779" s="122" t="s">
        <v>2028</v>
      </c>
      <c r="G1779" s="122">
        <v>5</v>
      </c>
      <c r="H1779" s="140">
        <v>2.89</v>
      </c>
      <c r="I1779" s="99">
        <v>5</v>
      </c>
      <c r="J1779" s="20"/>
      <c r="K1779" s="29" t="s">
        <v>1801</v>
      </c>
      <c r="L1779" s="29"/>
      <c r="M1779" s="34">
        <f>SUM(I1723:I1786)/L1777</f>
        <v>5.7281249999999986</v>
      </c>
      <c r="N1779" s="21"/>
      <c r="O1779" s="21"/>
      <c r="R1779">
        <v>5</v>
      </c>
    </row>
    <row r="1780" spans="2:18" ht="15" customHeight="1" x14ac:dyDescent="0.35">
      <c r="B1780" s="100">
        <f t="shared" si="31"/>
        <v>1759</v>
      </c>
      <c r="C1780" s="114" t="s">
        <v>2062</v>
      </c>
      <c r="D1780" s="122" t="s">
        <v>2063</v>
      </c>
      <c r="E1780" s="122">
        <v>4</v>
      </c>
      <c r="F1780" s="122" t="s">
        <v>2028</v>
      </c>
      <c r="G1780" s="122">
        <v>4</v>
      </c>
      <c r="H1780" s="140">
        <v>3.19</v>
      </c>
      <c r="I1780" s="99">
        <v>4</v>
      </c>
      <c r="J1780" s="20"/>
      <c r="K1780" s="29" t="s">
        <v>1804</v>
      </c>
      <c r="L1780" s="29"/>
      <c r="M1780" s="30">
        <f>MIN(H1723:H1786)</f>
        <v>2.0699999999999998</v>
      </c>
      <c r="N1780" s="21"/>
      <c r="O1780" s="21"/>
      <c r="R1780">
        <v>4</v>
      </c>
    </row>
    <row r="1781" spans="2:18" ht="15" customHeight="1" x14ac:dyDescent="0.35">
      <c r="B1781" s="100">
        <f t="shared" si="31"/>
        <v>1760</v>
      </c>
      <c r="C1781" s="117" t="s">
        <v>2064</v>
      </c>
      <c r="D1781" s="122" t="s">
        <v>2065</v>
      </c>
      <c r="E1781" s="122">
        <v>4</v>
      </c>
      <c r="F1781" s="122" t="s">
        <v>2028</v>
      </c>
      <c r="G1781" s="122">
        <v>4</v>
      </c>
      <c r="H1781" s="140">
        <v>3.45</v>
      </c>
      <c r="I1781" s="99">
        <v>4</v>
      </c>
      <c r="J1781" s="20"/>
      <c r="K1781" s="29" t="s">
        <v>1807</v>
      </c>
      <c r="L1781" s="29"/>
      <c r="M1781" s="30">
        <f>SUM(H1723:H1786)/L1777</f>
        <v>2.9573437499999988</v>
      </c>
      <c r="N1781" s="21"/>
      <c r="O1781" s="21"/>
      <c r="R1781">
        <v>4</v>
      </c>
    </row>
    <row r="1782" spans="2:18" ht="15" customHeight="1" x14ac:dyDescent="0.35">
      <c r="B1782" s="100">
        <f t="shared" si="31"/>
        <v>1761</v>
      </c>
      <c r="C1782" s="114" t="s">
        <v>2066</v>
      </c>
      <c r="D1782" s="122" t="s">
        <v>2067</v>
      </c>
      <c r="E1782" s="122">
        <v>4</v>
      </c>
      <c r="F1782" s="122" t="s">
        <v>2028</v>
      </c>
      <c r="G1782" s="122">
        <v>4</v>
      </c>
      <c r="H1782" s="140">
        <v>3.35</v>
      </c>
      <c r="I1782" s="99">
        <v>4</v>
      </c>
      <c r="J1782" s="20"/>
      <c r="K1782" s="29" t="s">
        <v>1810</v>
      </c>
      <c r="L1782" s="29"/>
      <c r="M1782" s="30">
        <f>MAX(H1723:H1786)</f>
        <v>3.61</v>
      </c>
      <c r="N1782" s="21"/>
      <c r="O1782" s="21"/>
      <c r="R1782">
        <v>4</v>
      </c>
    </row>
    <row r="1783" spans="2:18" ht="15" customHeight="1" x14ac:dyDescent="0.35">
      <c r="B1783" s="100">
        <f t="shared" si="31"/>
        <v>1762</v>
      </c>
      <c r="C1783" s="114" t="s">
        <v>2068</v>
      </c>
      <c r="D1783" s="122" t="s">
        <v>2069</v>
      </c>
      <c r="E1783" s="122">
        <v>4</v>
      </c>
      <c r="F1783" s="122" t="s">
        <v>2028</v>
      </c>
      <c r="G1783" s="122">
        <v>4</v>
      </c>
      <c r="H1783" s="140">
        <v>3.53</v>
      </c>
      <c r="I1783" s="99">
        <v>4</v>
      </c>
      <c r="J1783" s="20"/>
      <c r="K1783" s="29" t="s">
        <v>1813</v>
      </c>
      <c r="L1783" s="29">
        <f>COUNTIF(H1723:H1786,"&lt;2.75")</f>
        <v>0</v>
      </c>
      <c r="M1783" s="30" t="e">
        <f>(L1783/L1786)*100</f>
        <v>#DIV/0!</v>
      </c>
      <c r="N1783" s="21"/>
      <c r="O1783" s="21"/>
      <c r="R1783">
        <v>4</v>
      </c>
    </row>
    <row r="1784" spans="2:18" ht="15" customHeight="1" x14ac:dyDescent="0.35">
      <c r="B1784" s="100">
        <f t="shared" si="31"/>
        <v>1763</v>
      </c>
      <c r="C1784" s="125" t="s">
        <v>2070</v>
      </c>
      <c r="D1784" s="99" t="s">
        <v>2071</v>
      </c>
      <c r="E1784" s="99">
        <v>3</v>
      </c>
      <c r="F1784" s="99" t="s">
        <v>2028</v>
      </c>
      <c r="G1784" s="99">
        <v>4</v>
      </c>
      <c r="H1784" s="129">
        <v>3.22</v>
      </c>
      <c r="I1784" s="99">
        <v>4</v>
      </c>
      <c r="J1784" s="20"/>
      <c r="K1784" s="29" t="s">
        <v>1816</v>
      </c>
      <c r="L1784" s="36">
        <f>COUNTIF(H1723:H1786,"&lt;=3.50")-COUNTIF(H1723:H1786,"&lt;2.75")</f>
        <v>0</v>
      </c>
      <c r="M1784" s="30" t="e">
        <f>(L1784/L1786)*100</f>
        <v>#DIV/0!</v>
      </c>
      <c r="N1784" s="21"/>
      <c r="O1784" s="21"/>
      <c r="R1784">
        <v>4</v>
      </c>
    </row>
    <row r="1785" spans="2:18" ht="15" customHeight="1" x14ac:dyDescent="0.35">
      <c r="B1785" s="100">
        <f t="shared" si="31"/>
        <v>1764</v>
      </c>
      <c r="C1785" s="117" t="s">
        <v>2072</v>
      </c>
      <c r="D1785" s="122" t="s">
        <v>2073</v>
      </c>
      <c r="E1785" s="122">
        <v>2</v>
      </c>
      <c r="F1785" s="122" t="s">
        <v>2074</v>
      </c>
      <c r="G1785" s="99">
        <v>6</v>
      </c>
      <c r="H1785" s="130">
        <v>2.81</v>
      </c>
      <c r="I1785" s="99">
        <v>6</v>
      </c>
      <c r="J1785" s="20"/>
      <c r="K1785" s="29" t="s">
        <v>1819</v>
      </c>
      <c r="L1785" s="29">
        <f>COUNTIF(H1723:H1786,"&gt;3.50")</f>
        <v>0</v>
      </c>
      <c r="M1785" s="29" t="e">
        <f>(L1785/L1786)*100</f>
        <v>#DIV/0!</v>
      </c>
      <c r="N1785" s="21"/>
      <c r="O1785" s="21"/>
      <c r="R1785">
        <v>6</v>
      </c>
    </row>
    <row r="1786" spans="2:18" ht="15" customHeight="1" x14ac:dyDescent="0.35">
      <c r="B1786" s="100">
        <f t="shared" si="31"/>
        <v>1765</v>
      </c>
      <c r="C1786" s="117" t="s">
        <v>2075</v>
      </c>
      <c r="D1786" s="122" t="s">
        <v>2076</v>
      </c>
      <c r="E1786" s="122">
        <v>3</v>
      </c>
      <c r="F1786" s="122" t="s">
        <v>2074</v>
      </c>
      <c r="G1786" s="99">
        <v>5</v>
      </c>
      <c r="H1786" s="130">
        <v>2.79</v>
      </c>
      <c r="I1786" s="99">
        <v>5</v>
      </c>
      <c r="J1786" s="20"/>
      <c r="K1786" s="29" t="s">
        <v>1820</v>
      </c>
      <c r="L1786" s="29">
        <f>SUM(L1783:L1785)</f>
        <v>0</v>
      </c>
      <c r="M1786" s="29"/>
      <c r="N1786" s="21"/>
      <c r="O1786" s="21"/>
      <c r="R1786">
        <v>5</v>
      </c>
    </row>
    <row r="1787" spans="2:18" ht="15" customHeight="1" x14ac:dyDescent="0.35">
      <c r="B1787" s="100"/>
      <c r="C1787" s="117"/>
      <c r="D1787" s="122"/>
      <c r="E1787" s="122"/>
      <c r="F1787" s="122"/>
      <c r="G1787" s="99"/>
      <c r="H1787" s="126"/>
      <c r="I1787" s="99"/>
      <c r="J1787" s="20"/>
      <c r="K1787" s="21"/>
      <c r="L1787" s="21"/>
      <c r="M1787" s="21"/>
      <c r="N1787" s="21"/>
      <c r="O1787" s="21"/>
    </row>
    <row r="1788" spans="2:18" ht="15" customHeight="1" x14ac:dyDescent="0.35">
      <c r="B1788" s="100"/>
      <c r="C1788" s="128" t="s">
        <v>2077</v>
      </c>
      <c r="D1788" s="122"/>
      <c r="E1788" s="141" t="s">
        <v>1822</v>
      </c>
      <c r="F1788" s="122"/>
      <c r="G1788" s="99"/>
      <c r="H1788" s="126"/>
      <c r="I1788" s="99"/>
      <c r="J1788" s="20"/>
      <c r="K1788" s="21"/>
      <c r="L1788" s="21"/>
      <c r="M1788" s="21"/>
      <c r="N1788" s="21"/>
      <c r="O1788" s="21"/>
    </row>
    <row r="1789" spans="2:18" ht="15" customHeight="1" x14ac:dyDescent="0.35">
      <c r="B1789" s="100">
        <f>(B1786+1)</f>
        <v>1766</v>
      </c>
      <c r="C1789" s="101" t="s">
        <v>2078</v>
      </c>
      <c r="D1789" s="99" t="s">
        <v>2079</v>
      </c>
      <c r="E1789" s="99">
        <v>4</v>
      </c>
      <c r="F1789" s="99" t="s">
        <v>2080</v>
      </c>
      <c r="G1789" s="99">
        <v>4.2</v>
      </c>
      <c r="H1789" s="129">
        <v>3.72</v>
      </c>
      <c r="I1789" s="99">
        <v>4.2</v>
      </c>
      <c r="J1789" s="20"/>
      <c r="K1789" s="21"/>
      <c r="L1789" s="21"/>
      <c r="M1789" s="21"/>
      <c r="N1789" s="21"/>
      <c r="O1789" s="21"/>
      <c r="R1789">
        <v>4.2</v>
      </c>
    </row>
    <row r="1790" spans="2:18" ht="15" customHeight="1" x14ac:dyDescent="0.35">
      <c r="B1790" s="100">
        <f>(B1789+1)</f>
        <v>1767</v>
      </c>
      <c r="C1790" s="101" t="s">
        <v>2081</v>
      </c>
      <c r="D1790" s="99" t="s">
        <v>2082</v>
      </c>
      <c r="E1790" s="99">
        <v>4</v>
      </c>
      <c r="F1790" s="99" t="s">
        <v>2080</v>
      </c>
      <c r="G1790" s="99">
        <v>4.2</v>
      </c>
      <c r="H1790" s="140">
        <v>3.21</v>
      </c>
      <c r="I1790" s="99">
        <v>4.2</v>
      </c>
      <c r="J1790" s="20"/>
      <c r="K1790" s="21"/>
      <c r="L1790" s="21"/>
      <c r="M1790" s="21"/>
      <c r="N1790" s="21"/>
      <c r="O1790" s="21"/>
      <c r="R1790">
        <v>4.2</v>
      </c>
    </row>
    <row r="1791" spans="2:18" ht="15" customHeight="1" x14ac:dyDescent="0.35">
      <c r="B1791" s="100">
        <f>(B1790+1)</f>
        <v>1768</v>
      </c>
      <c r="C1791" s="101" t="s">
        <v>2083</v>
      </c>
      <c r="D1791" s="99" t="s">
        <v>2084</v>
      </c>
      <c r="E1791" s="99">
        <v>3</v>
      </c>
      <c r="F1791" s="99" t="s">
        <v>2080</v>
      </c>
      <c r="G1791" s="99">
        <v>5.2</v>
      </c>
      <c r="H1791" s="140">
        <v>2.7</v>
      </c>
      <c r="I1791" s="99">
        <v>5.2</v>
      </c>
      <c r="J1791" s="20"/>
      <c r="K1791" s="21"/>
      <c r="L1791" s="21"/>
      <c r="M1791" s="21"/>
      <c r="N1791" s="21"/>
      <c r="O1791" s="21"/>
      <c r="R1791">
        <v>5.2</v>
      </c>
    </row>
    <row r="1792" spans="2:18" ht="15" customHeight="1" x14ac:dyDescent="0.35">
      <c r="B1792" s="100">
        <f>(B1791+1)</f>
        <v>1769</v>
      </c>
      <c r="C1792" s="101" t="s">
        <v>2085</v>
      </c>
      <c r="D1792" s="99" t="s">
        <v>2086</v>
      </c>
      <c r="E1792" s="99">
        <v>3</v>
      </c>
      <c r="F1792" s="99" t="s">
        <v>2080</v>
      </c>
      <c r="G1792" s="99">
        <v>5.2</v>
      </c>
      <c r="H1792" s="129">
        <v>2.68</v>
      </c>
      <c r="I1792" s="99">
        <v>5.2</v>
      </c>
      <c r="J1792" s="20"/>
      <c r="K1792" s="21"/>
      <c r="L1792" s="21" t="s">
        <v>580</v>
      </c>
      <c r="M1792" s="21"/>
      <c r="N1792" s="21"/>
      <c r="O1792" s="21"/>
      <c r="R1792">
        <v>5.2</v>
      </c>
    </row>
    <row r="1793" spans="2:18" ht="15" customHeight="1" x14ac:dyDescent="0.35">
      <c r="B1793" s="100">
        <f>(B1792+1)</f>
        <v>1770</v>
      </c>
      <c r="C1793" s="101" t="s">
        <v>2087</v>
      </c>
      <c r="D1793" s="99" t="s">
        <v>2088</v>
      </c>
      <c r="E1793" s="99">
        <v>1</v>
      </c>
      <c r="F1793" s="99" t="s">
        <v>2080</v>
      </c>
      <c r="G1793" s="99">
        <v>7.2</v>
      </c>
      <c r="H1793" s="140">
        <v>2.35</v>
      </c>
      <c r="I1793" s="99">
        <v>7.2</v>
      </c>
      <c r="J1793" s="20"/>
      <c r="K1793" s="21"/>
      <c r="L1793" s="21"/>
      <c r="M1793" s="19" t="s">
        <v>580</v>
      </c>
      <c r="N1793" s="21"/>
      <c r="O1793" s="21"/>
      <c r="R1793">
        <v>7.2</v>
      </c>
    </row>
    <row r="1794" spans="2:18" ht="15" customHeight="1" x14ac:dyDescent="0.35">
      <c r="B1794" s="100">
        <f>(B1793+1)</f>
        <v>1771</v>
      </c>
      <c r="C1794" s="101" t="s">
        <v>2089</v>
      </c>
      <c r="D1794" s="99" t="s">
        <v>2090</v>
      </c>
      <c r="E1794" s="99">
        <v>1</v>
      </c>
      <c r="F1794" s="99" t="s">
        <v>2080</v>
      </c>
      <c r="G1794" s="99">
        <v>7.2</v>
      </c>
      <c r="H1794" s="140">
        <v>2.17</v>
      </c>
      <c r="I1794" s="99">
        <v>7.2</v>
      </c>
      <c r="J1794" s="20"/>
      <c r="K1794" s="21"/>
      <c r="L1794" s="21"/>
      <c r="M1794" s="21"/>
      <c r="N1794" s="21"/>
      <c r="O1794" s="21"/>
      <c r="R1794">
        <v>7.2</v>
      </c>
    </row>
    <row r="1795" spans="2:18" ht="15" customHeight="1" x14ac:dyDescent="0.35">
      <c r="B1795" s="100">
        <f t="shared" ref="B1795:B1846" si="32">(B1794+1)</f>
        <v>1772</v>
      </c>
      <c r="C1795" s="117" t="s">
        <v>2091</v>
      </c>
      <c r="D1795" s="122" t="s">
        <v>2092</v>
      </c>
      <c r="E1795" s="122">
        <v>4</v>
      </c>
      <c r="F1795" s="122" t="s">
        <v>2093</v>
      </c>
      <c r="G1795" s="122">
        <v>4.5</v>
      </c>
      <c r="H1795" s="126">
        <v>3.51</v>
      </c>
      <c r="I1795" s="99">
        <v>4.5</v>
      </c>
      <c r="J1795" s="20"/>
      <c r="K1795" s="21"/>
      <c r="L1795" s="21"/>
      <c r="M1795" s="21"/>
      <c r="N1795" s="21"/>
      <c r="O1795" s="21"/>
      <c r="R1795">
        <v>4.5</v>
      </c>
    </row>
    <row r="1796" spans="2:18" ht="15" customHeight="1" x14ac:dyDescent="0.35">
      <c r="B1796" s="100">
        <f t="shared" si="32"/>
        <v>1773</v>
      </c>
      <c r="C1796" s="117" t="s">
        <v>2094</v>
      </c>
      <c r="D1796" s="122" t="s">
        <v>2095</v>
      </c>
      <c r="E1796" s="122">
        <v>4</v>
      </c>
      <c r="F1796" s="122" t="s">
        <v>2093</v>
      </c>
      <c r="G1796" s="122">
        <v>4.5</v>
      </c>
      <c r="H1796" s="126">
        <v>3.23</v>
      </c>
      <c r="I1796" s="99">
        <v>4.5</v>
      </c>
      <c r="J1796" s="20"/>
      <c r="K1796" s="21"/>
      <c r="L1796" s="21"/>
      <c r="M1796" s="21"/>
      <c r="N1796" s="21"/>
      <c r="O1796" s="21"/>
      <c r="R1796">
        <v>4.5</v>
      </c>
    </row>
    <row r="1797" spans="2:18" ht="15" customHeight="1" x14ac:dyDescent="0.35">
      <c r="B1797" s="100">
        <f t="shared" si="32"/>
        <v>1774</v>
      </c>
      <c r="C1797" s="117" t="s">
        <v>2096</v>
      </c>
      <c r="D1797" s="122" t="s">
        <v>2097</v>
      </c>
      <c r="E1797" s="122">
        <v>4</v>
      </c>
      <c r="F1797" s="122" t="s">
        <v>2093</v>
      </c>
      <c r="G1797" s="122">
        <v>4.5</v>
      </c>
      <c r="H1797" s="126">
        <v>3.09</v>
      </c>
      <c r="I1797" s="99">
        <v>4.5</v>
      </c>
      <c r="J1797" s="20"/>
      <c r="K1797" s="21"/>
      <c r="L1797" s="21"/>
      <c r="M1797" s="21"/>
      <c r="N1797" s="21"/>
      <c r="O1797" s="21"/>
      <c r="R1797">
        <v>4.5</v>
      </c>
    </row>
    <row r="1798" spans="2:18" ht="15" customHeight="1" x14ac:dyDescent="0.35">
      <c r="B1798" s="100">
        <f t="shared" si="32"/>
        <v>1775</v>
      </c>
      <c r="C1798" s="117" t="s">
        <v>2098</v>
      </c>
      <c r="D1798" s="122" t="s">
        <v>1973</v>
      </c>
      <c r="E1798" s="122">
        <v>2</v>
      </c>
      <c r="F1798" s="122" t="s">
        <v>2093</v>
      </c>
      <c r="G1798" s="122">
        <v>6.5</v>
      </c>
      <c r="H1798" s="126">
        <v>3.06</v>
      </c>
      <c r="I1798" s="99">
        <v>6.5</v>
      </c>
      <c r="J1798" s="20"/>
      <c r="K1798" s="21"/>
      <c r="L1798" s="21"/>
      <c r="M1798" s="21"/>
      <c r="N1798" s="21"/>
      <c r="O1798" s="21"/>
      <c r="R1798">
        <v>6.5</v>
      </c>
    </row>
    <row r="1799" spans="2:18" ht="15" customHeight="1" x14ac:dyDescent="0.35">
      <c r="B1799" s="100">
        <f t="shared" si="32"/>
        <v>1776</v>
      </c>
      <c r="C1799" s="117" t="s">
        <v>2099</v>
      </c>
      <c r="D1799" s="122" t="s">
        <v>2100</v>
      </c>
      <c r="E1799" s="122">
        <v>3</v>
      </c>
      <c r="F1799" s="122" t="s">
        <v>2093</v>
      </c>
      <c r="G1799" s="122">
        <v>5.5</v>
      </c>
      <c r="H1799" s="126">
        <v>2.91</v>
      </c>
      <c r="I1799" s="99">
        <v>5.5</v>
      </c>
      <c r="J1799" s="20"/>
      <c r="K1799" s="21"/>
      <c r="L1799" s="21"/>
      <c r="M1799" s="21"/>
      <c r="N1799" s="21"/>
      <c r="O1799" s="21"/>
      <c r="R1799">
        <v>5.5</v>
      </c>
    </row>
    <row r="1800" spans="2:18" ht="15" customHeight="1" x14ac:dyDescent="0.35">
      <c r="B1800" s="100">
        <f t="shared" si="32"/>
        <v>1777</v>
      </c>
      <c r="C1800" s="117" t="s">
        <v>2101</v>
      </c>
      <c r="D1800" s="122" t="s">
        <v>2102</v>
      </c>
      <c r="E1800" s="122">
        <v>4</v>
      </c>
      <c r="F1800" s="122" t="s">
        <v>2093</v>
      </c>
      <c r="G1800" s="122">
        <v>4.5</v>
      </c>
      <c r="H1800" s="126">
        <v>2.8</v>
      </c>
      <c r="I1800" s="99">
        <v>4.5</v>
      </c>
      <c r="J1800" s="20"/>
      <c r="K1800" s="21"/>
      <c r="L1800" s="21"/>
      <c r="M1800" s="21"/>
      <c r="N1800" s="21"/>
      <c r="O1800" s="21"/>
      <c r="R1800">
        <v>4.5</v>
      </c>
    </row>
    <row r="1801" spans="2:18" ht="15" customHeight="1" x14ac:dyDescent="0.35">
      <c r="B1801" s="100">
        <f t="shared" si="32"/>
        <v>1778</v>
      </c>
      <c r="C1801" s="117" t="s">
        <v>2103</v>
      </c>
      <c r="D1801" s="122" t="s">
        <v>2104</v>
      </c>
      <c r="E1801" s="122">
        <v>3</v>
      </c>
      <c r="F1801" s="122" t="s">
        <v>2093</v>
      </c>
      <c r="G1801" s="122">
        <v>5.5</v>
      </c>
      <c r="H1801" s="126">
        <v>2.76</v>
      </c>
      <c r="I1801" s="99">
        <v>5.5</v>
      </c>
      <c r="J1801" s="20"/>
      <c r="K1801" s="21"/>
      <c r="L1801" s="21"/>
      <c r="M1801" s="21"/>
      <c r="N1801" s="21"/>
      <c r="O1801" s="21"/>
      <c r="R1801">
        <v>5.5</v>
      </c>
    </row>
    <row r="1802" spans="2:18" ht="15" customHeight="1" x14ac:dyDescent="0.35">
      <c r="B1802" s="100">
        <f t="shared" si="32"/>
        <v>1779</v>
      </c>
      <c r="C1802" s="117" t="s">
        <v>2105</v>
      </c>
      <c r="D1802" s="122" t="s">
        <v>2106</v>
      </c>
      <c r="E1802" s="122">
        <v>3</v>
      </c>
      <c r="F1802" s="122" t="s">
        <v>2093</v>
      </c>
      <c r="G1802" s="122">
        <v>5.5</v>
      </c>
      <c r="H1802" s="126">
        <v>2.76</v>
      </c>
      <c r="I1802" s="99">
        <v>5.5</v>
      </c>
      <c r="J1802" s="20"/>
      <c r="K1802" s="21"/>
      <c r="L1802" s="21"/>
      <c r="M1802" s="21"/>
      <c r="N1802" s="21"/>
      <c r="O1802" s="21"/>
      <c r="R1802">
        <v>5.5</v>
      </c>
    </row>
    <row r="1803" spans="2:18" ht="15" customHeight="1" x14ac:dyDescent="0.35">
      <c r="B1803" s="100">
        <f t="shared" si="32"/>
        <v>1780</v>
      </c>
      <c r="C1803" s="117" t="s">
        <v>2107</v>
      </c>
      <c r="D1803" s="122" t="s">
        <v>2108</v>
      </c>
      <c r="E1803" s="122">
        <v>3</v>
      </c>
      <c r="F1803" s="122" t="s">
        <v>2093</v>
      </c>
      <c r="G1803" s="122">
        <v>5.5</v>
      </c>
      <c r="H1803" s="126">
        <v>2.74</v>
      </c>
      <c r="I1803" s="99">
        <v>5.5</v>
      </c>
      <c r="J1803" s="20"/>
      <c r="K1803" s="21"/>
      <c r="L1803" s="21"/>
      <c r="M1803" s="21"/>
      <c r="N1803" s="21"/>
      <c r="O1803" s="21"/>
      <c r="R1803">
        <v>5.5</v>
      </c>
    </row>
    <row r="1804" spans="2:18" ht="15" customHeight="1" x14ac:dyDescent="0.35">
      <c r="B1804" s="100">
        <f t="shared" si="32"/>
        <v>1781</v>
      </c>
      <c r="C1804" s="117" t="s">
        <v>2109</v>
      </c>
      <c r="D1804" s="122" t="s">
        <v>2110</v>
      </c>
      <c r="E1804" s="122">
        <v>99</v>
      </c>
      <c r="F1804" s="122" t="s">
        <v>2093</v>
      </c>
      <c r="G1804" s="122">
        <v>9.5</v>
      </c>
      <c r="H1804" s="122">
        <v>2.64</v>
      </c>
      <c r="I1804" s="99">
        <v>9.5</v>
      </c>
      <c r="J1804" s="20"/>
      <c r="K1804" s="21"/>
      <c r="L1804" s="21"/>
      <c r="M1804" s="21"/>
      <c r="N1804" s="21"/>
      <c r="O1804" s="21"/>
      <c r="R1804">
        <v>9.5</v>
      </c>
    </row>
    <row r="1805" spans="2:18" ht="15" customHeight="1" x14ac:dyDescent="0.35">
      <c r="B1805" s="100">
        <f t="shared" si="32"/>
        <v>1782</v>
      </c>
      <c r="C1805" s="117" t="s">
        <v>2111</v>
      </c>
      <c r="D1805" s="122" t="s">
        <v>2112</v>
      </c>
      <c r="E1805" s="122">
        <v>2</v>
      </c>
      <c r="F1805" s="122" t="s">
        <v>2093</v>
      </c>
      <c r="G1805" s="122">
        <v>6.5</v>
      </c>
      <c r="H1805" s="122">
        <v>2.58</v>
      </c>
      <c r="I1805" s="99">
        <v>6.5</v>
      </c>
      <c r="J1805" s="20"/>
      <c r="K1805" s="21"/>
      <c r="L1805" s="21"/>
      <c r="M1805" s="21"/>
      <c r="N1805" s="21"/>
      <c r="O1805" s="21"/>
      <c r="R1805">
        <v>6.5</v>
      </c>
    </row>
    <row r="1806" spans="2:18" ht="15" customHeight="1" x14ac:dyDescent="0.35">
      <c r="B1806" s="100">
        <f t="shared" si="32"/>
        <v>1783</v>
      </c>
      <c r="C1806" s="114" t="s">
        <v>2113</v>
      </c>
      <c r="D1806" s="122" t="s">
        <v>2114</v>
      </c>
      <c r="E1806" s="122">
        <v>3</v>
      </c>
      <c r="F1806" s="122" t="s">
        <v>2093</v>
      </c>
      <c r="G1806" s="122">
        <v>5.5</v>
      </c>
      <c r="H1806" s="122">
        <v>2.5499999999999998</v>
      </c>
      <c r="I1806" s="99">
        <v>5.5</v>
      </c>
      <c r="J1806" s="20"/>
      <c r="K1806" s="21"/>
      <c r="L1806" s="21"/>
      <c r="M1806" s="21"/>
      <c r="N1806" s="21"/>
      <c r="O1806" s="21"/>
      <c r="R1806">
        <v>5.5</v>
      </c>
    </row>
    <row r="1807" spans="2:18" ht="15" customHeight="1" x14ac:dyDescent="0.35">
      <c r="B1807" s="100">
        <f t="shared" si="32"/>
        <v>1784</v>
      </c>
      <c r="C1807" s="117" t="s">
        <v>2115</v>
      </c>
      <c r="D1807" s="122" t="s">
        <v>2116</v>
      </c>
      <c r="E1807" s="122">
        <v>0</v>
      </c>
      <c r="F1807" s="122" t="s">
        <v>2093</v>
      </c>
      <c r="G1807" s="122">
        <v>8.5</v>
      </c>
      <c r="H1807" s="126">
        <v>2.5</v>
      </c>
      <c r="I1807" s="99">
        <v>8.5</v>
      </c>
      <c r="J1807" s="20"/>
      <c r="K1807" s="21"/>
      <c r="L1807" s="21"/>
      <c r="M1807" s="21"/>
      <c r="N1807" s="21"/>
      <c r="O1807" s="21"/>
      <c r="R1807">
        <v>8.5</v>
      </c>
    </row>
    <row r="1808" spans="2:18" ht="15" customHeight="1" x14ac:dyDescent="0.35">
      <c r="B1808" s="100">
        <f t="shared" si="32"/>
        <v>1785</v>
      </c>
      <c r="C1808" s="117" t="s">
        <v>2117</v>
      </c>
      <c r="D1808" s="122" t="s">
        <v>2118</v>
      </c>
      <c r="E1808" s="122">
        <v>0</v>
      </c>
      <c r="F1808" s="122" t="s">
        <v>2093</v>
      </c>
      <c r="G1808" s="122">
        <v>8.5</v>
      </c>
      <c r="H1808" s="126">
        <v>2.4300000000000002</v>
      </c>
      <c r="I1808" s="99">
        <v>8.5</v>
      </c>
      <c r="J1808" s="20"/>
      <c r="K1808" s="21"/>
      <c r="L1808" s="21"/>
      <c r="M1808" s="21"/>
      <c r="N1808" s="21"/>
      <c r="O1808" s="21"/>
      <c r="R1808">
        <v>8.5</v>
      </c>
    </row>
    <row r="1809" spans="2:18" ht="15" customHeight="1" x14ac:dyDescent="0.35">
      <c r="B1809" s="100">
        <f t="shared" si="32"/>
        <v>1786</v>
      </c>
      <c r="C1809" s="117" t="s">
        <v>2119</v>
      </c>
      <c r="D1809" s="122" t="s">
        <v>2120</v>
      </c>
      <c r="E1809" s="122">
        <v>3</v>
      </c>
      <c r="F1809" s="122" t="s">
        <v>2093</v>
      </c>
      <c r="G1809" s="122">
        <v>5.5</v>
      </c>
      <c r="H1809" s="126">
        <v>2.34</v>
      </c>
      <c r="I1809" s="99">
        <v>5.5</v>
      </c>
      <c r="J1809" s="20"/>
      <c r="K1809" s="21"/>
      <c r="L1809" s="21"/>
      <c r="M1809" s="21"/>
      <c r="N1809" s="21"/>
      <c r="O1809" s="21"/>
      <c r="R1809">
        <v>5.5</v>
      </c>
    </row>
    <row r="1810" spans="2:18" ht="15" customHeight="1" x14ac:dyDescent="0.35">
      <c r="B1810" s="100">
        <f t="shared" si="32"/>
        <v>1787</v>
      </c>
      <c r="C1810" s="117" t="s">
        <v>2121</v>
      </c>
      <c r="D1810" s="122" t="s">
        <v>2122</v>
      </c>
      <c r="E1810" s="122">
        <v>1</v>
      </c>
      <c r="F1810" s="122" t="s">
        <v>2093</v>
      </c>
      <c r="G1810" s="122">
        <v>7.5</v>
      </c>
      <c r="H1810" s="126">
        <v>2.14</v>
      </c>
      <c r="I1810" s="99">
        <v>7.5</v>
      </c>
      <c r="J1810" s="20"/>
      <c r="K1810" s="21"/>
      <c r="L1810" s="21"/>
      <c r="M1810" s="21"/>
      <c r="N1810" s="21"/>
      <c r="O1810" s="21"/>
      <c r="R1810">
        <v>7.5</v>
      </c>
    </row>
    <row r="1811" spans="2:18" ht="15" customHeight="1" x14ac:dyDescent="0.35">
      <c r="B1811" s="100">
        <f t="shared" si="32"/>
        <v>1788</v>
      </c>
      <c r="C1811" s="117" t="s">
        <v>2123</v>
      </c>
      <c r="D1811" s="122" t="s">
        <v>2124</v>
      </c>
      <c r="E1811" s="122">
        <v>4</v>
      </c>
      <c r="F1811" s="122" t="s">
        <v>2125</v>
      </c>
      <c r="G1811" s="122">
        <v>4.8</v>
      </c>
      <c r="H1811" s="126">
        <v>3.37</v>
      </c>
      <c r="I1811" s="99">
        <v>4.8</v>
      </c>
      <c r="J1811" s="20"/>
      <c r="K1811" s="21"/>
      <c r="L1811" s="21"/>
      <c r="M1811" s="21"/>
      <c r="N1811" s="21"/>
      <c r="O1811" s="21"/>
      <c r="R1811">
        <v>4.8</v>
      </c>
    </row>
    <row r="1812" spans="2:18" ht="15" customHeight="1" x14ac:dyDescent="0.35">
      <c r="B1812" s="100">
        <f t="shared" si="32"/>
        <v>1789</v>
      </c>
      <c r="C1812" s="117" t="s">
        <v>2126</v>
      </c>
      <c r="D1812" s="122" t="s">
        <v>2127</v>
      </c>
      <c r="E1812" s="122">
        <v>4</v>
      </c>
      <c r="F1812" s="122" t="s">
        <v>2125</v>
      </c>
      <c r="G1812" s="122">
        <v>4.8</v>
      </c>
      <c r="H1812" s="122">
        <v>3.21</v>
      </c>
      <c r="I1812" s="99">
        <v>4.8</v>
      </c>
      <c r="J1812" s="20"/>
      <c r="K1812" s="21"/>
      <c r="L1812" s="38"/>
      <c r="M1812" s="38"/>
      <c r="N1812" s="38"/>
      <c r="O1812" s="21"/>
      <c r="R1812">
        <v>4.8</v>
      </c>
    </row>
    <row r="1813" spans="2:18" ht="15" customHeight="1" x14ac:dyDescent="0.35">
      <c r="B1813" s="100">
        <f t="shared" si="32"/>
        <v>1790</v>
      </c>
      <c r="C1813" s="117" t="s">
        <v>2128</v>
      </c>
      <c r="D1813" s="122" t="s">
        <v>2129</v>
      </c>
      <c r="E1813" s="122">
        <v>4</v>
      </c>
      <c r="F1813" s="122" t="s">
        <v>2125</v>
      </c>
      <c r="G1813" s="122">
        <v>4.8</v>
      </c>
      <c r="H1813" s="122">
        <v>3.19</v>
      </c>
      <c r="I1813" s="99">
        <v>4.8</v>
      </c>
      <c r="J1813" s="20"/>
      <c r="K1813" s="21"/>
      <c r="L1813" s="38"/>
      <c r="M1813" s="38"/>
      <c r="N1813" s="38"/>
      <c r="O1813" s="21"/>
      <c r="R1813">
        <v>4.8</v>
      </c>
    </row>
    <row r="1814" spans="2:18" ht="15" customHeight="1" x14ac:dyDescent="0.35">
      <c r="B1814" s="100">
        <f t="shared" si="32"/>
        <v>1791</v>
      </c>
      <c r="C1814" s="117" t="s">
        <v>2130</v>
      </c>
      <c r="D1814" s="122" t="s">
        <v>2131</v>
      </c>
      <c r="E1814" s="122">
        <v>4</v>
      </c>
      <c r="F1814" s="122" t="s">
        <v>2125</v>
      </c>
      <c r="G1814" s="122">
        <v>4.8</v>
      </c>
      <c r="H1814" s="122">
        <v>3.12</v>
      </c>
      <c r="I1814" s="99">
        <v>4.8</v>
      </c>
      <c r="J1814" s="20"/>
      <c r="K1814" s="21"/>
      <c r="L1814" s="38"/>
      <c r="M1814" s="38"/>
      <c r="N1814" s="38"/>
      <c r="O1814" s="21"/>
      <c r="R1814">
        <v>4.8</v>
      </c>
    </row>
    <row r="1815" spans="2:18" ht="15" customHeight="1" x14ac:dyDescent="0.35">
      <c r="B1815" s="100">
        <f t="shared" si="32"/>
        <v>1792</v>
      </c>
      <c r="C1815" s="117" t="s">
        <v>2132</v>
      </c>
      <c r="D1815" s="122" t="s">
        <v>2133</v>
      </c>
      <c r="E1815" s="122">
        <v>4</v>
      </c>
      <c r="F1815" s="122" t="s">
        <v>2125</v>
      </c>
      <c r="G1815" s="122">
        <v>4.8</v>
      </c>
      <c r="H1815" s="122">
        <v>3.11</v>
      </c>
      <c r="I1815" s="99">
        <v>4.8</v>
      </c>
      <c r="J1815" s="20"/>
      <c r="K1815" s="21"/>
      <c r="L1815" s="38"/>
      <c r="M1815" s="38"/>
      <c r="N1815" s="38"/>
      <c r="O1815" s="21"/>
      <c r="R1815">
        <v>4.8</v>
      </c>
    </row>
    <row r="1816" spans="2:18" ht="15" customHeight="1" x14ac:dyDescent="0.35">
      <c r="B1816" s="100">
        <f t="shared" si="32"/>
        <v>1793</v>
      </c>
      <c r="C1816" s="117" t="s">
        <v>2134</v>
      </c>
      <c r="D1816" s="122" t="s">
        <v>2135</v>
      </c>
      <c r="E1816" s="122">
        <v>4</v>
      </c>
      <c r="F1816" s="122" t="s">
        <v>2125</v>
      </c>
      <c r="G1816" s="122">
        <v>4.8</v>
      </c>
      <c r="H1816" s="126">
        <v>3.07</v>
      </c>
      <c r="I1816" s="99">
        <v>4.8</v>
      </c>
      <c r="J1816" s="20"/>
      <c r="K1816" s="21"/>
      <c r="L1816" s="38"/>
      <c r="M1816" s="38"/>
      <c r="N1816" s="38"/>
      <c r="O1816" s="21"/>
      <c r="R1816">
        <v>4.8</v>
      </c>
    </row>
    <row r="1817" spans="2:18" ht="15" customHeight="1" x14ac:dyDescent="0.35">
      <c r="B1817" s="100">
        <f t="shared" si="32"/>
        <v>1794</v>
      </c>
      <c r="C1817" s="117" t="s">
        <v>2136</v>
      </c>
      <c r="D1817" s="122" t="s">
        <v>2137</v>
      </c>
      <c r="E1817" s="122">
        <v>4</v>
      </c>
      <c r="F1817" s="122" t="s">
        <v>2125</v>
      </c>
      <c r="G1817" s="122">
        <v>4.8</v>
      </c>
      <c r="H1817" s="122">
        <v>3.06</v>
      </c>
      <c r="I1817" s="99">
        <v>4.8</v>
      </c>
      <c r="J1817" s="20"/>
      <c r="K1817" s="21"/>
      <c r="L1817" s="38"/>
      <c r="M1817" s="38"/>
      <c r="N1817" s="38"/>
      <c r="O1817" s="21"/>
      <c r="R1817">
        <v>4.8</v>
      </c>
    </row>
    <row r="1818" spans="2:18" ht="15" customHeight="1" x14ac:dyDescent="0.35">
      <c r="B1818" s="100">
        <f t="shared" si="32"/>
        <v>1795</v>
      </c>
      <c r="C1818" s="117" t="s">
        <v>2138</v>
      </c>
      <c r="D1818" s="122" t="s">
        <v>2139</v>
      </c>
      <c r="E1818" s="122">
        <v>3</v>
      </c>
      <c r="F1818" s="122" t="s">
        <v>2125</v>
      </c>
      <c r="G1818" s="122">
        <v>5.8</v>
      </c>
      <c r="H1818" s="122">
        <v>3</v>
      </c>
      <c r="I1818" s="99">
        <v>5.8</v>
      </c>
      <c r="J1818" s="20"/>
      <c r="K1818" s="21"/>
      <c r="L1818" s="38"/>
      <c r="M1818" s="38"/>
      <c r="N1818" s="38"/>
      <c r="O1818" s="21"/>
      <c r="R1818">
        <v>5.8</v>
      </c>
    </row>
    <row r="1819" spans="2:18" ht="15" customHeight="1" x14ac:dyDescent="0.35">
      <c r="B1819" s="100">
        <f t="shared" si="32"/>
        <v>1796</v>
      </c>
      <c r="C1819" s="117" t="s">
        <v>2140</v>
      </c>
      <c r="D1819" s="122" t="s">
        <v>2141</v>
      </c>
      <c r="E1819" s="122">
        <v>2</v>
      </c>
      <c r="F1819" s="122" t="s">
        <v>2125</v>
      </c>
      <c r="G1819" s="122">
        <v>6.8</v>
      </c>
      <c r="H1819" s="122">
        <v>2.98</v>
      </c>
      <c r="I1819" s="99">
        <v>6.8</v>
      </c>
      <c r="J1819" s="20"/>
      <c r="K1819" s="21"/>
      <c r="L1819" s="38"/>
      <c r="M1819" s="38"/>
      <c r="N1819" s="38"/>
      <c r="O1819" s="21"/>
      <c r="R1819">
        <v>6.8</v>
      </c>
    </row>
    <row r="1820" spans="2:18" ht="15" customHeight="1" x14ac:dyDescent="0.35">
      <c r="B1820" s="100">
        <f t="shared" si="32"/>
        <v>1797</v>
      </c>
      <c r="C1820" s="117" t="s">
        <v>2142</v>
      </c>
      <c r="D1820" s="122" t="s">
        <v>2143</v>
      </c>
      <c r="E1820" s="122">
        <v>2</v>
      </c>
      <c r="F1820" s="122" t="s">
        <v>2125</v>
      </c>
      <c r="G1820" s="122">
        <v>6.8</v>
      </c>
      <c r="H1820" s="122">
        <v>2.88</v>
      </c>
      <c r="I1820" s="99">
        <v>6.8</v>
      </c>
      <c r="J1820" s="20"/>
      <c r="K1820" s="21"/>
      <c r="L1820" s="38"/>
      <c r="M1820" s="38"/>
      <c r="N1820" s="38"/>
      <c r="O1820" s="21"/>
      <c r="R1820">
        <v>6.8</v>
      </c>
    </row>
    <row r="1821" spans="2:18" ht="15" customHeight="1" x14ac:dyDescent="0.35">
      <c r="B1821" s="100">
        <f t="shared" si="32"/>
        <v>1798</v>
      </c>
      <c r="C1821" s="117" t="s">
        <v>2144</v>
      </c>
      <c r="D1821" s="122" t="s">
        <v>2145</v>
      </c>
      <c r="E1821" s="122">
        <v>3</v>
      </c>
      <c r="F1821" s="122" t="s">
        <v>2125</v>
      </c>
      <c r="G1821" s="122">
        <v>5.8</v>
      </c>
      <c r="H1821" s="122">
        <v>2.69</v>
      </c>
      <c r="I1821" s="99">
        <v>5.8</v>
      </c>
      <c r="J1821" s="20"/>
      <c r="K1821" s="21"/>
      <c r="L1821" s="38"/>
      <c r="M1821" s="38"/>
      <c r="N1821" s="38"/>
      <c r="O1821" s="21"/>
      <c r="R1821">
        <v>5.8</v>
      </c>
    </row>
    <row r="1822" spans="2:18" ht="15" customHeight="1" x14ac:dyDescent="0.35">
      <c r="B1822" s="100">
        <f t="shared" si="32"/>
        <v>1799</v>
      </c>
      <c r="C1822" s="117" t="s">
        <v>2146</v>
      </c>
      <c r="D1822" s="122" t="s">
        <v>2147</v>
      </c>
      <c r="E1822" s="122">
        <v>2</v>
      </c>
      <c r="F1822" s="122" t="s">
        <v>2125</v>
      </c>
      <c r="G1822" s="122">
        <v>6.8</v>
      </c>
      <c r="H1822" s="122">
        <v>2.64</v>
      </c>
      <c r="I1822" s="99">
        <v>6.8</v>
      </c>
      <c r="J1822" s="20"/>
      <c r="K1822" s="21"/>
      <c r="L1822" s="38"/>
      <c r="M1822" s="38"/>
      <c r="N1822" s="38"/>
      <c r="O1822" s="21"/>
      <c r="R1822">
        <v>6.8</v>
      </c>
    </row>
    <row r="1823" spans="2:18" ht="15" customHeight="1" x14ac:dyDescent="0.35">
      <c r="B1823" s="100">
        <f t="shared" si="32"/>
        <v>1800</v>
      </c>
      <c r="C1823" s="117" t="s">
        <v>2148</v>
      </c>
      <c r="D1823" s="122" t="s">
        <v>2149</v>
      </c>
      <c r="E1823" s="122">
        <v>3</v>
      </c>
      <c r="F1823" s="122" t="s">
        <v>2125</v>
      </c>
      <c r="G1823" s="122">
        <v>5.8</v>
      </c>
      <c r="H1823" s="122">
        <v>2.6</v>
      </c>
      <c r="I1823" s="99">
        <v>5.8</v>
      </c>
      <c r="J1823" s="20"/>
      <c r="K1823" s="21"/>
      <c r="L1823" s="38"/>
      <c r="M1823" s="38"/>
      <c r="N1823" s="38"/>
      <c r="O1823" s="21"/>
      <c r="R1823">
        <v>5.8</v>
      </c>
    </row>
    <row r="1824" spans="2:18" ht="15" customHeight="1" x14ac:dyDescent="0.35">
      <c r="B1824" s="100">
        <f t="shared" si="32"/>
        <v>1801</v>
      </c>
      <c r="C1824" s="117" t="s">
        <v>2150</v>
      </c>
      <c r="D1824" s="122" t="s">
        <v>2151</v>
      </c>
      <c r="E1824" s="122">
        <v>2</v>
      </c>
      <c r="F1824" s="122" t="s">
        <v>2125</v>
      </c>
      <c r="G1824" s="122">
        <v>6.8</v>
      </c>
      <c r="H1824" s="122">
        <v>2.36</v>
      </c>
      <c r="I1824" s="99">
        <v>6.8</v>
      </c>
      <c r="J1824" s="20"/>
      <c r="K1824" s="21"/>
      <c r="L1824" s="38"/>
      <c r="M1824" s="38"/>
      <c r="N1824" s="38"/>
      <c r="O1824" s="21"/>
      <c r="R1824">
        <v>6.8</v>
      </c>
    </row>
    <row r="1825" spans="2:18" ht="15" customHeight="1" x14ac:dyDescent="0.35">
      <c r="B1825" s="100">
        <f t="shared" si="32"/>
        <v>1802</v>
      </c>
      <c r="C1825" s="142" t="s">
        <v>2152</v>
      </c>
      <c r="D1825" s="122" t="s">
        <v>2153</v>
      </c>
      <c r="E1825" s="122">
        <v>3</v>
      </c>
      <c r="F1825" s="122" t="s">
        <v>2125</v>
      </c>
      <c r="G1825" s="122">
        <v>5.8</v>
      </c>
      <c r="H1825" s="122">
        <v>2.2999999999999998</v>
      </c>
      <c r="I1825" s="99">
        <v>5.8</v>
      </c>
      <c r="J1825" s="20"/>
      <c r="K1825" s="21"/>
      <c r="L1825" s="38"/>
      <c r="M1825" s="38"/>
      <c r="N1825" s="38"/>
      <c r="O1825" s="21"/>
      <c r="R1825">
        <v>5.8</v>
      </c>
    </row>
    <row r="1826" spans="2:18" ht="15" customHeight="1" x14ac:dyDescent="0.35">
      <c r="B1826" s="100">
        <f t="shared" si="32"/>
        <v>1803</v>
      </c>
      <c r="C1826" s="117" t="s">
        <v>2154</v>
      </c>
      <c r="D1826" s="122" t="s">
        <v>2155</v>
      </c>
      <c r="E1826" s="122">
        <v>5</v>
      </c>
      <c r="F1826" s="122" t="s">
        <v>2156</v>
      </c>
      <c r="G1826" s="122">
        <v>4</v>
      </c>
      <c r="H1826" s="126">
        <v>3.6</v>
      </c>
      <c r="I1826" s="143">
        <v>4</v>
      </c>
      <c r="J1826" s="20"/>
      <c r="K1826" s="21"/>
      <c r="L1826" s="38"/>
      <c r="M1826" s="38"/>
      <c r="N1826" s="38"/>
      <c r="O1826" s="21"/>
      <c r="R1826">
        <v>4</v>
      </c>
    </row>
    <row r="1827" spans="2:18" ht="15" customHeight="1" x14ac:dyDescent="0.35">
      <c r="B1827" s="100">
        <f t="shared" si="32"/>
        <v>1804</v>
      </c>
      <c r="C1827" s="117" t="s">
        <v>2157</v>
      </c>
      <c r="D1827" s="122" t="s">
        <v>2158</v>
      </c>
      <c r="E1827" s="122">
        <v>4</v>
      </c>
      <c r="F1827" s="122" t="s">
        <v>2156</v>
      </c>
      <c r="G1827" s="122">
        <v>5</v>
      </c>
      <c r="H1827" s="126">
        <v>3.44</v>
      </c>
      <c r="I1827" s="143">
        <v>5</v>
      </c>
      <c r="J1827" s="20"/>
      <c r="K1827" s="21"/>
      <c r="L1827" s="21"/>
      <c r="M1827" s="21"/>
      <c r="N1827" s="21"/>
      <c r="O1827" s="21"/>
      <c r="R1827">
        <v>5</v>
      </c>
    </row>
    <row r="1828" spans="2:18" ht="15" customHeight="1" x14ac:dyDescent="0.35">
      <c r="B1828" s="100">
        <f t="shared" si="32"/>
        <v>1805</v>
      </c>
      <c r="C1828" s="117" t="s">
        <v>2159</v>
      </c>
      <c r="D1828" s="122" t="s">
        <v>2160</v>
      </c>
      <c r="E1828" s="122">
        <v>5</v>
      </c>
      <c r="F1828" s="122" t="s">
        <v>2156</v>
      </c>
      <c r="G1828" s="122">
        <v>4</v>
      </c>
      <c r="H1828" s="126">
        <v>3.37</v>
      </c>
      <c r="I1828" s="143">
        <v>4</v>
      </c>
      <c r="J1828" s="20"/>
      <c r="K1828" s="21"/>
      <c r="L1828" s="21"/>
      <c r="M1828" s="21"/>
      <c r="N1828" s="21"/>
      <c r="O1828" s="21"/>
      <c r="R1828">
        <v>4</v>
      </c>
    </row>
    <row r="1829" spans="2:18" ht="15" customHeight="1" x14ac:dyDescent="0.35">
      <c r="B1829" s="100">
        <f t="shared" si="32"/>
        <v>1806</v>
      </c>
      <c r="C1829" s="117" t="s">
        <v>2161</v>
      </c>
      <c r="D1829" s="122" t="s">
        <v>2162</v>
      </c>
      <c r="E1829" s="122">
        <v>5</v>
      </c>
      <c r="F1829" s="122" t="s">
        <v>2156</v>
      </c>
      <c r="G1829" s="122">
        <v>4</v>
      </c>
      <c r="H1829" s="126">
        <v>3.26</v>
      </c>
      <c r="I1829" s="143">
        <v>4</v>
      </c>
      <c r="J1829" s="20"/>
      <c r="K1829" s="21"/>
      <c r="L1829" s="21"/>
      <c r="M1829" s="21"/>
      <c r="N1829" s="21"/>
      <c r="O1829" s="21"/>
      <c r="R1829">
        <v>4</v>
      </c>
    </row>
    <row r="1830" spans="2:18" ht="15" customHeight="1" x14ac:dyDescent="0.35">
      <c r="B1830" s="100">
        <f t="shared" si="32"/>
        <v>1807</v>
      </c>
      <c r="C1830" s="117" t="s">
        <v>2163</v>
      </c>
      <c r="D1830" s="122" t="s">
        <v>2164</v>
      </c>
      <c r="E1830" s="122">
        <v>4</v>
      </c>
      <c r="F1830" s="122" t="s">
        <v>2156</v>
      </c>
      <c r="G1830" s="122">
        <v>5</v>
      </c>
      <c r="H1830" s="126">
        <v>3.23</v>
      </c>
      <c r="I1830" s="143">
        <v>5</v>
      </c>
      <c r="J1830" s="20"/>
      <c r="K1830" s="21"/>
      <c r="L1830" s="21"/>
      <c r="M1830" s="21"/>
      <c r="N1830" s="21"/>
      <c r="O1830" s="21"/>
      <c r="R1830">
        <v>5</v>
      </c>
    </row>
    <row r="1831" spans="2:18" ht="15" customHeight="1" x14ac:dyDescent="0.35">
      <c r="B1831" s="100">
        <f t="shared" si="32"/>
        <v>1808</v>
      </c>
      <c r="C1831" s="117" t="s">
        <v>2165</v>
      </c>
      <c r="D1831" s="122" t="s">
        <v>2166</v>
      </c>
      <c r="E1831" s="122">
        <v>4</v>
      </c>
      <c r="F1831" s="122" t="s">
        <v>2156</v>
      </c>
      <c r="G1831" s="122">
        <v>5</v>
      </c>
      <c r="H1831" s="126">
        <v>3.17</v>
      </c>
      <c r="I1831" s="143">
        <v>5</v>
      </c>
      <c r="J1831" s="20"/>
      <c r="K1831" s="29" t="s">
        <v>2045</v>
      </c>
      <c r="L1831" s="29">
        <f>COUNTIF(E1789:E1846,"0")</f>
        <v>3</v>
      </c>
      <c r="M1831" s="21"/>
      <c r="N1831" s="21"/>
      <c r="O1831" s="21"/>
      <c r="R1831">
        <v>5</v>
      </c>
    </row>
    <row r="1832" spans="2:18" ht="15" customHeight="1" x14ac:dyDescent="0.35">
      <c r="B1832" s="100">
        <f t="shared" si="32"/>
        <v>1809</v>
      </c>
      <c r="C1832" s="117" t="s">
        <v>2167</v>
      </c>
      <c r="D1832" s="122" t="s">
        <v>2168</v>
      </c>
      <c r="E1832" s="122">
        <v>5</v>
      </c>
      <c r="F1832" s="122" t="s">
        <v>2156</v>
      </c>
      <c r="G1832" s="122">
        <v>4</v>
      </c>
      <c r="H1832" s="126">
        <v>3.19</v>
      </c>
      <c r="I1832" s="143">
        <v>4</v>
      </c>
      <c r="J1832" s="20"/>
      <c r="K1832" s="29" t="s">
        <v>2042</v>
      </c>
      <c r="L1832" s="29">
        <f>COUNTIF(E1789:E1846,"99")</f>
        <v>1</v>
      </c>
      <c r="M1832" s="21"/>
      <c r="N1832" s="21"/>
      <c r="O1832" s="21"/>
      <c r="R1832">
        <v>4</v>
      </c>
    </row>
    <row r="1833" spans="2:18" ht="15" customHeight="1" x14ac:dyDescent="0.35">
      <c r="B1833" s="100">
        <f t="shared" si="32"/>
        <v>1810</v>
      </c>
      <c r="C1833" s="117" t="s">
        <v>2169</v>
      </c>
      <c r="D1833" s="122" t="s">
        <v>2170</v>
      </c>
      <c r="E1833" s="122">
        <v>4</v>
      </c>
      <c r="F1833" s="122" t="s">
        <v>2156</v>
      </c>
      <c r="G1833" s="122">
        <v>5</v>
      </c>
      <c r="H1833" s="126">
        <v>3.07</v>
      </c>
      <c r="I1833" s="143">
        <v>5</v>
      </c>
      <c r="J1833" s="20"/>
      <c r="K1833" s="29" t="s">
        <v>2048</v>
      </c>
      <c r="L1833" s="29">
        <f>COUNTIF(E1789:E1846,"1")</f>
        <v>3</v>
      </c>
      <c r="M1833" s="29"/>
      <c r="N1833" s="19"/>
      <c r="O1833" s="21"/>
      <c r="R1833">
        <v>5</v>
      </c>
    </row>
    <row r="1834" spans="2:18" ht="15" customHeight="1" x14ac:dyDescent="0.35">
      <c r="B1834" s="100">
        <f t="shared" si="32"/>
        <v>1811</v>
      </c>
      <c r="C1834" s="117" t="s">
        <v>2171</v>
      </c>
      <c r="D1834" s="122" t="s">
        <v>2172</v>
      </c>
      <c r="E1834" s="122">
        <v>4</v>
      </c>
      <c r="F1834" s="122" t="s">
        <v>2156</v>
      </c>
      <c r="G1834" s="122">
        <v>5</v>
      </c>
      <c r="H1834" s="126">
        <v>3.04</v>
      </c>
      <c r="I1834" s="143">
        <v>5</v>
      </c>
      <c r="J1834" s="20"/>
      <c r="K1834" s="29" t="s">
        <v>1913</v>
      </c>
      <c r="L1834" s="29">
        <f>COUNTIF(E1789:E1846,"2")</f>
        <v>6</v>
      </c>
      <c r="M1834" s="29"/>
      <c r="N1834" s="19"/>
      <c r="O1834" s="21"/>
      <c r="R1834">
        <v>5</v>
      </c>
    </row>
    <row r="1835" spans="2:18" ht="15" customHeight="1" x14ac:dyDescent="0.35">
      <c r="B1835" s="100">
        <f t="shared" si="32"/>
        <v>1812</v>
      </c>
      <c r="C1835" s="117" t="s">
        <v>2173</v>
      </c>
      <c r="D1835" s="122" t="s">
        <v>2174</v>
      </c>
      <c r="E1835" s="122">
        <v>5</v>
      </c>
      <c r="F1835" s="122" t="s">
        <v>2156</v>
      </c>
      <c r="G1835" s="122">
        <v>4</v>
      </c>
      <c r="H1835" s="126">
        <v>3.04</v>
      </c>
      <c r="I1835" s="143">
        <v>4</v>
      </c>
      <c r="J1835" s="20"/>
      <c r="K1835" s="29" t="s">
        <v>1916</v>
      </c>
      <c r="L1835" s="29">
        <f>COUNTIF(E1789:E1846,"3")</f>
        <v>17</v>
      </c>
      <c r="M1835" s="29"/>
      <c r="N1835" s="19"/>
      <c r="O1835" s="21"/>
      <c r="R1835">
        <v>4</v>
      </c>
    </row>
    <row r="1836" spans="2:18" ht="15" customHeight="1" x14ac:dyDescent="0.35">
      <c r="B1836" s="100">
        <f t="shared" si="32"/>
        <v>1813</v>
      </c>
      <c r="C1836" s="117" t="s">
        <v>2175</v>
      </c>
      <c r="D1836" s="122" t="s">
        <v>2176</v>
      </c>
      <c r="E1836" s="122">
        <v>5</v>
      </c>
      <c r="F1836" s="122" t="s">
        <v>2156</v>
      </c>
      <c r="G1836" s="122">
        <v>4</v>
      </c>
      <c r="H1836" s="126">
        <v>3.02</v>
      </c>
      <c r="I1836" s="143">
        <v>4</v>
      </c>
      <c r="J1836" s="20"/>
      <c r="K1836" s="29" t="s">
        <v>2055</v>
      </c>
      <c r="L1836" s="29">
        <f>COUNTIF(E1789:E1846,"4")</f>
        <v>21</v>
      </c>
      <c r="M1836" s="29"/>
      <c r="N1836" s="19"/>
      <c r="O1836" s="21"/>
      <c r="R1836">
        <v>4</v>
      </c>
    </row>
    <row r="1837" spans="2:18" ht="15" customHeight="1" x14ac:dyDescent="0.35">
      <c r="B1837" s="100">
        <f t="shared" si="32"/>
        <v>1814</v>
      </c>
      <c r="C1837" s="117" t="s">
        <v>2177</v>
      </c>
      <c r="D1837" s="122" t="s">
        <v>2178</v>
      </c>
      <c r="E1837" s="122">
        <v>4</v>
      </c>
      <c r="F1837" s="122" t="s">
        <v>2156</v>
      </c>
      <c r="G1837" s="122">
        <v>5</v>
      </c>
      <c r="H1837" s="126">
        <v>2.99</v>
      </c>
      <c r="I1837" s="143">
        <v>5</v>
      </c>
      <c r="J1837" s="20"/>
      <c r="K1837" s="29" t="s">
        <v>2179</v>
      </c>
      <c r="L1837" s="29">
        <f>COUNTIF(E1789:E1846,"5")</f>
        <v>7</v>
      </c>
      <c r="M1837" s="29"/>
      <c r="N1837" s="19"/>
      <c r="O1837" s="21"/>
      <c r="R1837">
        <v>5</v>
      </c>
    </row>
    <row r="1838" spans="2:18" ht="15" customHeight="1" x14ac:dyDescent="0.35">
      <c r="B1838" s="100">
        <f t="shared" si="32"/>
        <v>1815</v>
      </c>
      <c r="C1838" s="117" t="s">
        <v>2180</v>
      </c>
      <c r="D1838" s="122" t="s">
        <v>2181</v>
      </c>
      <c r="E1838" s="122">
        <v>5</v>
      </c>
      <c r="F1838" s="122" t="s">
        <v>2156</v>
      </c>
      <c r="G1838" s="122">
        <v>4</v>
      </c>
      <c r="H1838" s="126">
        <v>2.98</v>
      </c>
      <c r="I1838" s="143">
        <v>4</v>
      </c>
      <c r="J1838" s="20"/>
      <c r="K1838" s="29" t="s">
        <v>1820</v>
      </c>
      <c r="L1838" s="29">
        <f>SUM(L1831:L1837)</f>
        <v>58</v>
      </c>
      <c r="M1838" s="21"/>
      <c r="N1838" s="21"/>
      <c r="O1838" s="21"/>
      <c r="R1838">
        <v>4</v>
      </c>
    </row>
    <row r="1839" spans="2:18" ht="15" customHeight="1" x14ac:dyDescent="0.35">
      <c r="B1839" s="100">
        <f t="shared" si="32"/>
        <v>1816</v>
      </c>
      <c r="C1839" s="117" t="s">
        <v>2182</v>
      </c>
      <c r="D1839" s="122" t="s">
        <v>2183</v>
      </c>
      <c r="E1839" s="122">
        <v>3</v>
      </c>
      <c r="F1839" s="122" t="s">
        <v>2156</v>
      </c>
      <c r="G1839" s="122">
        <v>6</v>
      </c>
      <c r="H1839" s="126">
        <v>2.95</v>
      </c>
      <c r="I1839" s="143">
        <v>6</v>
      </c>
      <c r="J1839" s="20"/>
      <c r="K1839" s="29" t="s">
        <v>1798</v>
      </c>
      <c r="L1839" s="29"/>
      <c r="M1839" s="34">
        <f>SUM(G1789:G1846)/L1838</f>
        <v>5.5551724137931062</v>
      </c>
      <c r="N1839" s="21"/>
      <c r="O1839" s="21"/>
      <c r="R1839">
        <v>6</v>
      </c>
    </row>
    <row r="1840" spans="2:18" ht="15" customHeight="1" x14ac:dyDescent="0.35">
      <c r="B1840" s="100">
        <f t="shared" si="32"/>
        <v>1817</v>
      </c>
      <c r="C1840" s="117" t="s">
        <v>2184</v>
      </c>
      <c r="D1840" s="122" t="s">
        <v>2185</v>
      </c>
      <c r="E1840" s="122">
        <v>3</v>
      </c>
      <c r="F1840" s="122" t="s">
        <v>2156</v>
      </c>
      <c r="G1840" s="122">
        <v>6</v>
      </c>
      <c r="H1840" s="126">
        <v>2.93</v>
      </c>
      <c r="I1840" s="143">
        <v>6</v>
      </c>
      <c r="J1840" s="20"/>
      <c r="K1840" s="29" t="s">
        <v>1801</v>
      </c>
      <c r="L1840" s="29"/>
      <c r="M1840" s="34">
        <f>SUM(I1789:I1846)/L1838</f>
        <v>5.5551724137931062</v>
      </c>
      <c r="N1840" s="21"/>
      <c r="O1840" s="21"/>
      <c r="R1840">
        <v>6</v>
      </c>
    </row>
    <row r="1841" spans="1:19" ht="15" customHeight="1" x14ac:dyDescent="0.35">
      <c r="B1841" s="100">
        <f t="shared" si="32"/>
        <v>1818</v>
      </c>
      <c r="C1841" s="117" t="s">
        <v>2186</v>
      </c>
      <c r="D1841" s="122" t="s">
        <v>2187</v>
      </c>
      <c r="E1841" s="122">
        <v>4</v>
      </c>
      <c r="F1841" s="122" t="s">
        <v>2156</v>
      </c>
      <c r="G1841" s="122">
        <v>5</v>
      </c>
      <c r="H1841" s="126">
        <v>2.93</v>
      </c>
      <c r="I1841" s="143">
        <v>5</v>
      </c>
      <c r="J1841" s="20"/>
      <c r="K1841" s="29" t="s">
        <v>1804</v>
      </c>
      <c r="L1841" s="29"/>
      <c r="M1841" s="30">
        <f>MIN(H1789:H1846)</f>
        <v>2.14</v>
      </c>
      <c r="N1841" s="21"/>
      <c r="O1841" s="21"/>
      <c r="R1841">
        <v>5</v>
      </c>
    </row>
    <row r="1842" spans="1:19" ht="15" customHeight="1" x14ac:dyDescent="0.35">
      <c r="B1842" s="100">
        <f t="shared" si="32"/>
        <v>1819</v>
      </c>
      <c r="C1842" s="117" t="s">
        <v>2188</v>
      </c>
      <c r="D1842" s="122" t="s">
        <v>2189</v>
      </c>
      <c r="E1842" s="122">
        <v>4</v>
      </c>
      <c r="F1842" s="122" t="s">
        <v>2156</v>
      </c>
      <c r="G1842" s="122">
        <v>5</v>
      </c>
      <c r="H1842" s="126">
        <v>2.92</v>
      </c>
      <c r="I1842" s="143">
        <v>5</v>
      </c>
      <c r="J1842" s="20"/>
      <c r="K1842" s="29" t="s">
        <v>1807</v>
      </c>
      <c r="L1842" s="29"/>
      <c r="M1842" s="30">
        <f>SUM(H1789:H1846)/L1838</f>
        <v>2.888793103448275</v>
      </c>
      <c r="N1842" s="21"/>
      <c r="O1842" s="21"/>
      <c r="R1842">
        <v>5</v>
      </c>
    </row>
    <row r="1843" spans="1:19" ht="15" customHeight="1" x14ac:dyDescent="0.35">
      <c r="B1843" s="100">
        <f t="shared" si="32"/>
        <v>1820</v>
      </c>
      <c r="C1843" s="134" t="s">
        <v>2190</v>
      </c>
      <c r="D1843" s="115" t="s">
        <v>2191</v>
      </c>
      <c r="E1843" s="115">
        <v>3</v>
      </c>
      <c r="F1843" s="122" t="s">
        <v>2156</v>
      </c>
      <c r="G1843" s="122">
        <v>6</v>
      </c>
      <c r="H1843" s="144">
        <v>2.8</v>
      </c>
      <c r="I1843" s="143">
        <v>6</v>
      </c>
      <c r="J1843" s="20"/>
      <c r="K1843" s="29" t="s">
        <v>1810</v>
      </c>
      <c r="L1843" s="29"/>
      <c r="M1843" s="29">
        <v>3.72</v>
      </c>
      <c r="N1843" s="21"/>
      <c r="O1843" s="21"/>
      <c r="R1843">
        <v>6</v>
      </c>
    </row>
    <row r="1844" spans="1:19" ht="15" customHeight="1" x14ac:dyDescent="0.35">
      <c r="B1844" s="100">
        <f t="shared" si="32"/>
        <v>1821</v>
      </c>
      <c r="C1844" s="117" t="s">
        <v>2192</v>
      </c>
      <c r="D1844" s="122" t="s">
        <v>2193</v>
      </c>
      <c r="E1844" s="122">
        <v>0</v>
      </c>
      <c r="F1844" s="122" t="s">
        <v>2156</v>
      </c>
      <c r="G1844" s="122">
        <v>9</v>
      </c>
      <c r="H1844" s="126">
        <v>2.35</v>
      </c>
      <c r="I1844" s="143">
        <v>9</v>
      </c>
      <c r="J1844" s="20"/>
      <c r="K1844" s="29" t="s">
        <v>1813</v>
      </c>
      <c r="L1844" s="29">
        <f>COUNTIF(H1789:H1846,"&lt;2.75")</f>
        <v>0</v>
      </c>
      <c r="M1844" s="30" t="e">
        <f>(L1844/L1847)*100</f>
        <v>#DIV/0!</v>
      </c>
      <c r="N1844" s="21"/>
      <c r="O1844" s="21"/>
      <c r="R1844">
        <v>9</v>
      </c>
    </row>
    <row r="1845" spans="1:19" ht="15" customHeight="1" x14ac:dyDescent="0.35">
      <c r="B1845" s="100">
        <f t="shared" si="32"/>
        <v>1822</v>
      </c>
      <c r="C1845" s="117" t="s">
        <v>2194</v>
      </c>
      <c r="D1845" s="122" t="s">
        <v>2195</v>
      </c>
      <c r="E1845" s="122">
        <v>3</v>
      </c>
      <c r="F1845" s="122" t="s">
        <v>2156</v>
      </c>
      <c r="G1845" s="122">
        <v>6</v>
      </c>
      <c r="H1845" s="126">
        <v>2.3199999999999998</v>
      </c>
      <c r="I1845" s="143">
        <v>6</v>
      </c>
      <c r="J1845" s="20"/>
      <c r="K1845" s="29" t="s">
        <v>1816</v>
      </c>
      <c r="L1845" s="40">
        <f>COUNTIF(H1789:H1846,"&lt;=3.50")-COUNTIF(H1789:H1846,"&lt;2.75")</f>
        <v>0</v>
      </c>
      <c r="M1845" s="30" t="e">
        <f>(L1845/L1847)*100</f>
        <v>#DIV/0!</v>
      </c>
      <c r="N1845" s="21"/>
      <c r="O1845" s="21"/>
      <c r="R1845">
        <v>6</v>
      </c>
    </row>
    <row r="1846" spans="1:19" ht="15" customHeight="1" x14ac:dyDescent="0.35">
      <c r="B1846" s="100">
        <f t="shared" si="32"/>
        <v>1823</v>
      </c>
      <c r="C1846" s="101" t="s">
        <v>2196</v>
      </c>
      <c r="D1846" s="115" t="s">
        <v>2197</v>
      </c>
      <c r="E1846" s="115">
        <v>3</v>
      </c>
      <c r="F1846" s="122" t="s">
        <v>2198</v>
      </c>
      <c r="G1846" s="122">
        <v>6</v>
      </c>
      <c r="H1846" s="130">
        <v>2.5</v>
      </c>
      <c r="I1846" s="143">
        <v>6</v>
      </c>
      <c r="J1846" s="20"/>
      <c r="K1846" s="29" t="s">
        <v>1819</v>
      </c>
      <c r="L1846" s="29">
        <f>COUNTIF(H1789:H1846,"&gt;3.50")</f>
        <v>0</v>
      </c>
      <c r="M1846" s="30" t="e">
        <f>(L1846/L1847)*100</f>
        <v>#DIV/0!</v>
      </c>
      <c r="N1846" s="21"/>
      <c r="O1846" s="21"/>
      <c r="R1846">
        <v>6</v>
      </c>
    </row>
    <row r="1847" spans="1:19" ht="15" customHeight="1" x14ac:dyDescent="0.35">
      <c r="B1847" s="100"/>
      <c r="C1847" s="101"/>
      <c r="D1847" s="99"/>
      <c r="E1847" s="99"/>
      <c r="F1847" s="99"/>
      <c r="G1847" s="99"/>
      <c r="H1847" s="99"/>
      <c r="I1847" s="145"/>
      <c r="J1847" s="20"/>
      <c r="K1847" s="29" t="s">
        <v>1820</v>
      </c>
      <c r="L1847" s="29">
        <f>SUM(L1844:L1846)</f>
        <v>0</v>
      </c>
      <c r="M1847" s="29"/>
      <c r="N1847" s="21"/>
      <c r="O1847" s="21"/>
    </row>
    <row r="1848" spans="1:19" ht="15" customHeight="1" x14ac:dyDescent="0.35">
      <c r="B1848" s="100"/>
      <c r="C1848" s="101"/>
      <c r="D1848" s="99"/>
      <c r="E1848" s="99"/>
      <c r="F1848" s="99"/>
      <c r="G1848" s="145"/>
      <c r="H1848" s="99"/>
      <c r="I1848" s="99"/>
      <c r="J1848" s="20"/>
      <c r="K1848" s="21"/>
      <c r="L1848" s="21"/>
      <c r="M1848" s="21"/>
      <c r="N1848" s="21"/>
      <c r="O1848" s="21"/>
    </row>
    <row r="1849" spans="1:19" ht="15" customHeight="1" x14ac:dyDescent="0.35">
      <c r="B1849" s="100"/>
      <c r="C1849" s="146" t="s">
        <v>2199</v>
      </c>
      <c r="D1849" s="99"/>
      <c r="E1849" s="141" t="s">
        <v>1822</v>
      </c>
      <c r="F1849" s="147"/>
      <c r="G1849" s="141" t="s">
        <v>2200</v>
      </c>
      <c r="H1849" s="148" t="s">
        <v>6</v>
      </c>
      <c r="I1849" s="100" t="s">
        <v>2200</v>
      </c>
      <c r="J1849" s="42" t="s">
        <v>2201</v>
      </c>
      <c r="K1849" s="21"/>
      <c r="L1849" s="21"/>
      <c r="M1849" s="21"/>
      <c r="N1849" s="21"/>
      <c r="O1849" s="21"/>
      <c r="R1849" t="s">
        <v>5043</v>
      </c>
      <c r="S1849" t="s">
        <v>5044</v>
      </c>
    </row>
    <row r="1850" spans="1:19" s="4" customFormat="1" ht="15" customHeight="1" x14ac:dyDescent="0.35">
      <c r="A1850"/>
      <c r="B1850" s="100">
        <v>1824</v>
      </c>
      <c r="C1850" s="142" t="s">
        <v>2202</v>
      </c>
      <c r="D1850" s="149" t="s">
        <v>2203</v>
      </c>
      <c r="E1850" s="150">
        <v>5</v>
      </c>
      <c r="F1850" s="105" t="s">
        <v>2204</v>
      </c>
      <c r="G1850" s="151">
        <v>4.2</v>
      </c>
      <c r="H1850" s="149">
        <v>3.68</v>
      </c>
      <c r="I1850" s="151">
        <v>4.2</v>
      </c>
      <c r="J1850" s="22"/>
      <c r="K1850" s="24"/>
      <c r="L1850" s="24"/>
      <c r="M1850" s="24"/>
      <c r="N1850" s="24"/>
      <c r="O1850" s="24"/>
      <c r="R1850" s="4">
        <v>4.2</v>
      </c>
    </row>
    <row r="1851" spans="1:19" ht="15" customHeight="1" x14ac:dyDescent="0.35">
      <c r="B1851" s="100">
        <f t="shared" ref="B1851:B1914" si="33">(B1850+1)</f>
        <v>1825</v>
      </c>
      <c r="C1851" s="117" t="s">
        <v>2205</v>
      </c>
      <c r="D1851" s="122" t="s">
        <v>2206</v>
      </c>
      <c r="E1851" s="152">
        <v>5</v>
      </c>
      <c r="F1851" s="99" t="s">
        <v>2204</v>
      </c>
      <c r="G1851" s="153">
        <v>4.2</v>
      </c>
      <c r="H1851" s="122">
        <v>3.62</v>
      </c>
      <c r="I1851" s="153">
        <v>4.2</v>
      </c>
      <c r="J1851" s="18">
        <v>453</v>
      </c>
      <c r="K1851" s="21"/>
      <c r="L1851" s="21"/>
      <c r="M1851" s="21"/>
      <c r="N1851" s="21"/>
      <c r="O1851" s="21"/>
      <c r="R1851">
        <v>4.2</v>
      </c>
    </row>
    <row r="1852" spans="1:19" ht="15" customHeight="1" x14ac:dyDescent="0.35">
      <c r="B1852" s="100">
        <f t="shared" si="33"/>
        <v>1826</v>
      </c>
      <c r="C1852" s="117" t="s">
        <v>2207</v>
      </c>
      <c r="D1852" s="122" t="s">
        <v>2208</v>
      </c>
      <c r="E1852" s="152">
        <v>5</v>
      </c>
      <c r="F1852" s="99" t="s">
        <v>2204</v>
      </c>
      <c r="G1852" s="153">
        <v>4.2</v>
      </c>
      <c r="H1852" s="122">
        <v>3.58</v>
      </c>
      <c r="I1852" s="153">
        <v>4.2</v>
      </c>
      <c r="J1852" s="18">
        <v>457</v>
      </c>
      <c r="K1852" s="21"/>
      <c r="L1852" s="21"/>
      <c r="M1852" s="21"/>
      <c r="N1852" s="21"/>
      <c r="O1852" s="21"/>
      <c r="R1852">
        <v>4.2</v>
      </c>
    </row>
    <row r="1853" spans="1:19" ht="15" customHeight="1" x14ac:dyDescent="0.35">
      <c r="B1853" s="100">
        <f t="shared" si="33"/>
        <v>1827</v>
      </c>
      <c r="C1853" s="134" t="s">
        <v>2209</v>
      </c>
      <c r="D1853" s="115" t="s">
        <v>2210</v>
      </c>
      <c r="E1853" s="154">
        <v>5</v>
      </c>
      <c r="F1853" s="99" t="s">
        <v>2204</v>
      </c>
      <c r="G1853" s="153">
        <v>4.2</v>
      </c>
      <c r="H1853" s="115">
        <v>3.58</v>
      </c>
      <c r="I1853" s="153">
        <v>4.2</v>
      </c>
      <c r="J1853" s="18">
        <v>510</v>
      </c>
      <c r="K1853" s="21"/>
      <c r="L1853" s="21"/>
      <c r="M1853" s="21"/>
      <c r="N1853" s="21"/>
      <c r="O1853" s="21"/>
      <c r="R1853">
        <v>4.2</v>
      </c>
    </row>
    <row r="1854" spans="1:19" ht="15" customHeight="1" x14ac:dyDescent="0.35">
      <c r="B1854" s="100">
        <f t="shared" si="33"/>
        <v>1828</v>
      </c>
      <c r="C1854" s="117" t="s">
        <v>2211</v>
      </c>
      <c r="D1854" s="122" t="s">
        <v>2212</v>
      </c>
      <c r="E1854" s="152">
        <v>5</v>
      </c>
      <c r="F1854" s="99" t="s">
        <v>2204</v>
      </c>
      <c r="G1854" s="153">
        <v>4.2</v>
      </c>
      <c r="H1854" s="122">
        <v>3.5</v>
      </c>
      <c r="I1854" s="153">
        <v>4.2</v>
      </c>
      <c r="J1854" s="18">
        <v>440</v>
      </c>
      <c r="K1854" s="21"/>
      <c r="L1854" s="21"/>
      <c r="M1854" s="21"/>
      <c r="N1854" s="21"/>
      <c r="O1854" s="21"/>
      <c r="R1854">
        <v>4.2</v>
      </c>
    </row>
    <row r="1855" spans="1:19" ht="15" customHeight="1" x14ac:dyDescent="0.35">
      <c r="B1855" s="100">
        <f t="shared" si="33"/>
        <v>1829</v>
      </c>
      <c r="C1855" s="117" t="s">
        <v>2213</v>
      </c>
      <c r="D1855" s="122" t="s">
        <v>2214</v>
      </c>
      <c r="E1855" s="152">
        <v>4</v>
      </c>
      <c r="F1855" s="99" t="s">
        <v>2204</v>
      </c>
      <c r="G1855" s="153">
        <v>5.2</v>
      </c>
      <c r="H1855" s="122">
        <v>3.36</v>
      </c>
      <c r="I1855" s="153">
        <v>5.2</v>
      </c>
      <c r="J1855" s="18">
        <v>513</v>
      </c>
      <c r="K1855" s="21"/>
      <c r="L1855" s="21"/>
      <c r="M1855" s="21"/>
      <c r="N1855" s="21"/>
      <c r="O1855" s="21"/>
      <c r="R1855">
        <v>5.2</v>
      </c>
    </row>
    <row r="1856" spans="1:19" ht="15" customHeight="1" x14ac:dyDescent="0.35">
      <c r="B1856" s="100">
        <f t="shared" si="33"/>
        <v>1830</v>
      </c>
      <c r="C1856" s="117" t="s">
        <v>2215</v>
      </c>
      <c r="D1856" s="122" t="s">
        <v>2216</v>
      </c>
      <c r="E1856" s="152">
        <v>5</v>
      </c>
      <c r="F1856" s="99" t="s">
        <v>2204</v>
      </c>
      <c r="G1856" s="153">
        <v>4.2</v>
      </c>
      <c r="H1856" s="122">
        <v>3.16</v>
      </c>
      <c r="I1856" s="153">
        <v>4.2</v>
      </c>
      <c r="J1856" s="18">
        <v>453</v>
      </c>
      <c r="K1856" s="21"/>
      <c r="L1856" s="21"/>
      <c r="M1856" s="21"/>
      <c r="N1856" s="21"/>
      <c r="O1856" s="21"/>
      <c r="R1856">
        <v>4.2</v>
      </c>
    </row>
    <row r="1857" spans="2:18" ht="15" customHeight="1" x14ac:dyDescent="0.35">
      <c r="B1857" s="100">
        <f t="shared" si="33"/>
        <v>1831</v>
      </c>
      <c r="C1857" s="117" t="s">
        <v>2217</v>
      </c>
      <c r="D1857" s="122" t="s">
        <v>2218</v>
      </c>
      <c r="E1857" s="152">
        <v>5</v>
      </c>
      <c r="F1857" s="99" t="s">
        <v>2204</v>
      </c>
      <c r="G1857" s="153">
        <v>4.2</v>
      </c>
      <c r="H1857" s="122">
        <v>3.09</v>
      </c>
      <c r="I1857" s="153">
        <v>4.2</v>
      </c>
      <c r="J1857" s="18">
        <v>537</v>
      </c>
      <c r="K1857" s="21"/>
      <c r="L1857" s="21"/>
      <c r="M1857" s="21"/>
      <c r="N1857" s="21"/>
      <c r="O1857" s="21"/>
      <c r="R1857">
        <v>4.2</v>
      </c>
    </row>
    <row r="1858" spans="2:18" ht="15" customHeight="1" x14ac:dyDescent="0.35">
      <c r="B1858" s="100">
        <f t="shared" si="33"/>
        <v>1832</v>
      </c>
      <c r="C1858" s="117" t="s">
        <v>2219</v>
      </c>
      <c r="D1858" s="122" t="s">
        <v>2220</v>
      </c>
      <c r="E1858" s="152">
        <v>5</v>
      </c>
      <c r="F1858" s="99" t="s">
        <v>2204</v>
      </c>
      <c r="G1858" s="153">
        <v>4.2</v>
      </c>
      <c r="H1858" s="122">
        <v>3.04</v>
      </c>
      <c r="I1858" s="153">
        <v>4.2</v>
      </c>
      <c r="J1858" s="18">
        <v>423</v>
      </c>
      <c r="K1858" s="21"/>
      <c r="L1858" s="21"/>
      <c r="M1858" s="21"/>
      <c r="N1858" s="21"/>
      <c r="O1858" s="21"/>
      <c r="R1858">
        <v>4.2</v>
      </c>
    </row>
    <row r="1859" spans="2:18" ht="15" customHeight="1" x14ac:dyDescent="0.35">
      <c r="B1859" s="100">
        <f t="shared" si="33"/>
        <v>1833</v>
      </c>
      <c r="C1859" s="117" t="s">
        <v>2221</v>
      </c>
      <c r="D1859" s="122" t="s">
        <v>2222</v>
      </c>
      <c r="E1859" s="152">
        <v>4</v>
      </c>
      <c r="F1859" s="99" t="s">
        <v>2204</v>
      </c>
      <c r="G1859" s="153">
        <v>5.2</v>
      </c>
      <c r="H1859" s="122">
        <v>2.95</v>
      </c>
      <c r="I1859" s="153">
        <v>5.2</v>
      </c>
      <c r="J1859" s="18">
        <v>477</v>
      </c>
      <c r="K1859" s="21"/>
      <c r="L1859" s="21"/>
      <c r="M1859" s="21"/>
      <c r="N1859" s="21"/>
      <c r="O1859" s="21"/>
      <c r="R1859">
        <v>5.2</v>
      </c>
    </row>
    <row r="1860" spans="2:18" ht="15" customHeight="1" x14ac:dyDescent="0.35">
      <c r="B1860" s="100">
        <f t="shared" si="33"/>
        <v>1834</v>
      </c>
      <c r="C1860" s="117" t="s">
        <v>2223</v>
      </c>
      <c r="D1860" s="122" t="s">
        <v>2224</v>
      </c>
      <c r="E1860" s="152">
        <v>4</v>
      </c>
      <c r="F1860" s="99" t="s">
        <v>2204</v>
      </c>
      <c r="G1860" s="153">
        <v>5.2</v>
      </c>
      <c r="H1860" s="122">
        <v>2.94</v>
      </c>
      <c r="I1860" s="153">
        <v>5.2</v>
      </c>
      <c r="J1860" s="18">
        <v>413</v>
      </c>
      <c r="K1860" s="21"/>
      <c r="L1860" s="21"/>
      <c r="M1860" s="21"/>
      <c r="N1860" s="21"/>
      <c r="O1860" s="21"/>
      <c r="R1860">
        <v>5.2</v>
      </c>
    </row>
    <row r="1861" spans="2:18" ht="15" customHeight="1" x14ac:dyDescent="0.35">
      <c r="B1861" s="100">
        <f t="shared" si="33"/>
        <v>1835</v>
      </c>
      <c r="C1861" s="117" t="s">
        <v>2225</v>
      </c>
      <c r="D1861" s="122" t="s">
        <v>2226</v>
      </c>
      <c r="E1861" s="152">
        <v>4</v>
      </c>
      <c r="F1861" s="99" t="s">
        <v>2204</v>
      </c>
      <c r="G1861" s="153">
        <v>5.2</v>
      </c>
      <c r="H1861" s="122">
        <v>2.88</v>
      </c>
      <c r="I1861" s="153">
        <v>5.2</v>
      </c>
      <c r="J1861" s="18">
        <v>483</v>
      </c>
      <c r="K1861" s="21"/>
      <c r="L1861" s="21"/>
      <c r="M1861" s="21"/>
      <c r="N1861" s="21"/>
      <c r="O1861" s="21"/>
      <c r="R1861">
        <v>5.2</v>
      </c>
    </row>
    <row r="1862" spans="2:18" ht="15" customHeight="1" x14ac:dyDescent="0.35">
      <c r="B1862" s="100">
        <f t="shared" si="33"/>
        <v>1836</v>
      </c>
      <c r="C1862" s="117" t="s">
        <v>2227</v>
      </c>
      <c r="D1862" s="122" t="s">
        <v>2228</v>
      </c>
      <c r="E1862" s="152">
        <v>3</v>
      </c>
      <c r="F1862" s="99" t="s">
        <v>2204</v>
      </c>
      <c r="G1862" s="153">
        <v>6.2</v>
      </c>
      <c r="H1862" s="122">
        <v>2.75</v>
      </c>
      <c r="I1862" s="153">
        <v>6.2</v>
      </c>
      <c r="J1862" s="18">
        <v>507</v>
      </c>
      <c r="K1862" s="21"/>
      <c r="L1862" s="21"/>
      <c r="M1862" s="21"/>
      <c r="N1862" s="21"/>
      <c r="O1862" s="21"/>
      <c r="R1862">
        <v>6.2</v>
      </c>
    </row>
    <row r="1863" spans="2:18" ht="15" customHeight="1" x14ac:dyDescent="0.35">
      <c r="B1863" s="100">
        <f t="shared" si="33"/>
        <v>1837</v>
      </c>
      <c r="C1863" s="117" t="s">
        <v>2229</v>
      </c>
      <c r="D1863" s="122" t="s">
        <v>2230</v>
      </c>
      <c r="E1863" s="152">
        <v>3</v>
      </c>
      <c r="F1863" s="99" t="s">
        <v>2204</v>
      </c>
      <c r="G1863" s="153">
        <v>6.2</v>
      </c>
      <c r="H1863" s="122">
        <v>2.64</v>
      </c>
      <c r="I1863" s="153">
        <v>6.2</v>
      </c>
      <c r="J1863" s="18">
        <v>473</v>
      </c>
      <c r="K1863" s="21"/>
      <c r="L1863" s="21"/>
      <c r="M1863" s="21"/>
      <c r="N1863" s="21"/>
      <c r="O1863" s="21"/>
      <c r="R1863">
        <v>6.2</v>
      </c>
    </row>
    <row r="1864" spans="2:18" ht="15" customHeight="1" x14ac:dyDescent="0.35">
      <c r="B1864" s="100">
        <f t="shared" si="33"/>
        <v>1838</v>
      </c>
      <c r="C1864" s="117" t="s">
        <v>2231</v>
      </c>
      <c r="D1864" s="122" t="s">
        <v>2232</v>
      </c>
      <c r="E1864" s="152">
        <v>1</v>
      </c>
      <c r="F1864" s="99" t="s">
        <v>2204</v>
      </c>
      <c r="G1864" s="153">
        <v>8.1999999999999993</v>
      </c>
      <c r="H1864" s="122">
        <v>2.5299999999999998</v>
      </c>
      <c r="I1864" s="153">
        <v>8.1999999999999993</v>
      </c>
      <c r="J1864" s="18">
        <v>476</v>
      </c>
      <c r="K1864" s="21"/>
      <c r="L1864" s="21"/>
      <c r="M1864" s="21"/>
      <c r="N1864" s="21"/>
      <c r="O1864" s="21"/>
      <c r="R1864">
        <v>8.1999999999999993</v>
      </c>
    </row>
    <row r="1865" spans="2:18" ht="15" customHeight="1" x14ac:dyDescent="0.35">
      <c r="B1865" s="100">
        <f t="shared" si="33"/>
        <v>1839</v>
      </c>
      <c r="C1865" s="117" t="s">
        <v>2233</v>
      </c>
      <c r="D1865" s="122" t="s">
        <v>2234</v>
      </c>
      <c r="E1865" s="152">
        <v>1</v>
      </c>
      <c r="F1865" s="99" t="s">
        <v>2204</v>
      </c>
      <c r="G1865" s="153">
        <v>8.1999999999999993</v>
      </c>
      <c r="H1865" s="122">
        <v>2.38</v>
      </c>
      <c r="I1865" s="153">
        <v>8.1999999999999993</v>
      </c>
      <c r="J1865" s="18">
        <v>413</v>
      </c>
      <c r="K1865" s="21"/>
      <c r="L1865" s="21"/>
      <c r="M1865" s="21"/>
      <c r="N1865" s="21"/>
      <c r="O1865" s="21"/>
      <c r="R1865">
        <v>8.1999999999999993</v>
      </c>
    </row>
    <row r="1866" spans="2:18" ht="15" customHeight="1" x14ac:dyDescent="0.35">
      <c r="B1866" s="100">
        <f t="shared" si="33"/>
        <v>1840</v>
      </c>
      <c r="C1866" s="117" t="s">
        <v>2235</v>
      </c>
      <c r="D1866" s="122" t="s">
        <v>2236</v>
      </c>
      <c r="E1866" s="152">
        <v>3</v>
      </c>
      <c r="F1866" s="99" t="s">
        <v>2204</v>
      </c>
      <c r="G1866" s="153">
        <v>6.2</v>
      </c>
      <c r="H1866" s="122">
        <v>2.33</v>
      </c>
      <c r="I1866" s="153">
        <v>6.2</v>
      </c>
      <c r="J1866" s="18">
        <v>483</v>
      </c>
      <c r="K1866" s="21"/>
      <c r="L1866" s="21"/>
      <c r="M1866" s="21"/>
      <c r="N1866" s="21"/>
      <c r="O1866" s="21"/>
      <c r="R1866">
        <v>6.2</v>
      </c>
    </row>
    <row r="1867" spans="2:18" ht="15" customHeight="1" x14ac:dyDescent="0.35">
      <c r="B1867" s="100">
        <f t="shared" si="33"/>
        <v>1841</v>
      </c>
      <c r="C1867" s="134" t="s">
        <v>2237</v>
      </c>
      <c r="D1867" s="115" t="s">
        <v>2238</v>
      </c>
      <c r="E1867" s="154">
        <v>3</v>
      </c>
      <c r="F1867" s="99" t="s">
        <v>2204</v>
      </c>
      <c r="G1867" s="153">
        <v>6.2</v>
      </c>
      <c r="H1867" s="115">
        <v>2.21</v>
      </c>
      <c r="I1867" s="153">
        <v>6.2</v>
      </c>
      <c r="J1867" s="18">
        <v>477</v>
      </c>
      <c r="K1867" s="21"/>
      <c r="L1867" s="21"/>
      <c r="M1867" s="21"/>
      <c r="N1867" s="21"/>
      <c r="O1867" s="21"/>
      <c r="R1867">
        <v>6.2</v>
      </c>
    </row>
    <row r="1868" spans="2:18" ht="15" customHeight="1" x14ac:dyDescent="0.35">
      <c r="B1868" s="100">
        <f t="shared" si="33"/>
        <v>1842</v>
      </c>
      <c r="C1868" s="134" t="s">
        <v>2239</v>
      </c>
      <c r="D1868" s="115" t="s">
        <v>2240</v>
      </c>
      <c r="E1868" s="154">
        <v>4</v>
      </c>
      <c r="F1868" s="99" t="s">
        <v>2204</v>
      </c>
      <c r="G1868" s="153">
        <v>5.2</v>
      </c>
      <c r="H1868" s="115">
        <v>3.1</v>
      </c>
      <c r="I1868" s="153">
        <v>5.2</v>
      </c>
      <c r="J1868" s="18">
        <v>470</v>
      </c>
      <c r="K1868" s="21"/>
      <c r="L1868" s="21"/>
      <c r="M1868" s="21"/>
      <c r="N1868" s="21"/>
      <c r="O1868" s="21"/>
      <c r="R1868">
        <v>5.2</v>
      </c>
    </row>
    <row r="1869" spans="2:18" ht="15" customHeight="1" x14ac:dyDescent="0.35">
      <c r="B1869" s="100">
        <f t="shared" si="33"/>
        <v>1843</v>
      </c>
      <c r="C1869" s="134" t="s">
        <v>2241</v>
      </c>
      <c r="D1869" s="115" t="s">
        <v>2242</v>
      </c>
      <c r="E1869" s="154">
        <v>3</v>
      </c>
      <c r="F1869" s="99" t="s">
        <v>2204</v>
      </c>
      <c r="G1869" s="153">
        <v>6.2</v>
      </c>
      <c r="H1869" s="115">
        <v>2.78</v>
      </c>
      <c r="I1869" s="153">
        <v>6.2</v>
      </c>
      <c r="J1869" s="18">
        <v>473</v>
      </c>
      <c r="K1869" s="21"/>
      <c r="L1869" s="21"/>
      <c r="M1869" s="21"/>
      <c r="N1869" s="19"/>
      <c r="O1869" s="21"/>
      <c r="R1869">
        <v>6.2</v>
      </c>
    </row>
    <row r="1870" spans="2:18" ht="15" customHeight="1" x14ac:dyDescent="0.35">
      <c r="B1870" s="100">
        <f t="shared" si="33"/>
        <v>1844</v>
      </c>
      <c r="C1870" s="155" t="s">
        <v>2243</v>
      </c>
      <c r="D1870" s="156" t="s">
        <v>2244</v>
      </c>
      <c r="E1870" s="157">
        <v>2</v>
      </c>
      <c r="F1870" s="156" t="s">
        <v>2245</v>
      </c>
      <c r="G1870" s="156">
        <v>7.5</v>
      </c>
      <c r="H1870" s="156">
        <v>2.42</v>
      </c>
      <c r="I1870" s="99">
        <v>7.5</v>
      </c>
      <c r="J1870" s="20">
        <v>460</v>
      </c>
      <c r="K1870" s="21"/>
      <c r="L1870" s="21"/>
      <c r="M1870" s="21"/>
      <c r="N1870" s="19"/>
      <c r="O1870" s="21"/>
      <c r="R1870">
        <v>7.5</v>
      </c>
    </row>
    <row r="1871" spans="2:18" ht="15" customHeight="1" x14ac:dyDescent="0.35">
      <c r="B1871" s="100">
        <f t="shared" si="33"/>
        <v>1845</v>
      </c>
      <c r="C1871" s="155" t="s">
        <v>2246</v>
      </c>
      <c r="D1871" s="156" t="s">
        <v>2247</v>
      </c>
      <c r="E1871" s="157">
        <v>2</v>
      </c>
      <c r="F1871" s="156" t="s">
        <v>2245</v>
      </c>
      <c r="G1871" s="156">
        <v>7.5</v>
      </c>
      <c r="H1871" s="156">
        <v>2.15</v>
      </c>
      <c r="I1871" s="99">
        <v>7.5</v>
      </c>
      <c r="J1871" s="20">
        <v>520</v>
      </c>
      <c r="K1871" s="21"/>
      <c r="L1871" s="21"/>
      <c r="M1871" s="21"/>
      <c r="N1871" s="19"/>
      <c r="O1871" s="21"/>
      <c r="R1871">
        <v>7.5</v>
      </c>
    </row>
    <row r="1872" spans="2:18" ht="15" customHeight="1" x14ac:dyDescent="0.35">
      <c r="B1872" s="100">
        <f t="shared" si="33"/>
        <v>1846</v>
      </c>
      <c r="C1872" s="155" t="s">
        <v>2248</v>
      </c>
      <c r="D1872" s="156" t="s">
        <v>2249</v>
      </c>
      <c r="E1872" s="157">
        <v>3</v>
      </c>
      <c r="F1872" s="156" t="s">
        <v>2245</v>
      </c>
      <c r="G1872" s="156">
        <v>6.5</v>
      </c>
      <c r="H1872" s="156">
        <v>2.56</v>
      </c>
      <c r="I1872" s="99">
        <v>6.5</v>
      </c>
      <c r="J1872" s="20">
        <v>440</v>
      </c>
      <c r="K1872" s="21"/>
      <c r="L1872" s="21"/>
      <c r="M1872" s="21"/>
      <c r="N1872" s="19"/>
      <c r="O1872" s="21"/>
      <c r="R1872">
        <v>6.5</v>
      </c>
    </row>
    <row r="1873" spans="2:18" ht="15" customHeight="1" x14ac:dyDescent="0.35">
      <c r="B1873" s="100">
        <f t="shared" si="33"/>
        <v>1847</v>
      </c>
      <c r="C1873" s="155" t="s">
        <v>2250</v>
      </c>
      <c r="D1873" s="156" t="s">
        <v>2251</v>
      </c>
      <c r="E1873" s="157">
        <v>3</v>
      </c>
      <c r="F1873" s="156" t="s">
        <v>2245</v>
      </c>
      <c r="G1873" s="156">
        <v>6.5</v>
      </c>
      <c r="H1873" s="156">
        <v>2.31</v>
      </c>
      <c r="I1873" s="99">
        <v>6.5</v>
      </c>
      <c r="J1873" s="20">
        <v>460</v>
      </c>
      <c r="K1873" s="21"/>
      <c r="L1873" s="21"/>
      <c r="M1873" s="21"/>
      <c r="N1873" s="19"/>
      <c r="O1873" s="21"/>
      <c r="R1873">
        <v>6.5</v>
      </c>
    </row>
    <row r="1874" spans="2:18" ht="15" customHeight="1" x14ac:dyDescent="0.35">
      <c r="B1874" s="100">
        <f t="shared" si="33"/>
        <v>1848</v>
      </c>
      <c r="C1874" s="155" t="s">
        <v>2252</v>
      </c>
      <c r="D1874" s="156" t="s">
        <v>2253</v>
      </c>
      <c r="E1874" s="157">
        <v>3</v>
      </c>
      <c r="F1874" s="156" t="s">
        <v>2245</v>
      </c>
      <c r="G1874" s="156">
        <v>6.5</v>
      </c>
      <c r="H1874" s="156">
        <v>2.76</v>
      </c>
      <c r="I1874" s="99">
        <v>6.5</v>
      </c>
      <c r="J1874" s="20">
        <v>477</v>
      </c>
      <c r="K1874" s="21"/>
      <c r="L1874" s="21"/>
      <c r="M1874" s="21"/>
      <c r="N1874" s="21"/>
      <c r="O1874" s="21"/>
      <c r="R1874">
        <v>6.5</v>
      </c>
    </row>
    <row r="1875" spans="2:18" ht="15" customHeight="1" x14ac:dyDescent="0.35">
      <c r="B1875" s="100">
        <f t="shared" si="33"/>
        <v>1849</v>
      </c>
      <c r="C1875" s="155" t="s">
        <v>2254</v>
      </c>
      <c r="D1875" s="156" t="s">
        <v>2255</v>
      </c>
      <c r="E1875" s="157">
        <v>5</v>
      </c>
      <c r="F1875" s="156" t="s">
        <v>2245</v>
      </c>
      <c r="G1875" s="156">
        <v>4.5</v>
      </c>
      <c r="H1875" s="156">
        <v>3.15</v>
      </c>
      <c r="I1875" s="99">
        <v>4.5</v>
      </c>
      <c r="J1875" s="20">
        <v>473</v>
      </c>
      <c r="K1875" s="21"/>
      <c r="L1875" s="21"/>
      <c r="M1875" s="21"/>
      <c r="N1875" s="21"/>
      <c r="O1875" s="21"/>
      <c r="R1875">
        <v>4.5</v>
      </c>
    </row>
    <row r="1876" spans="2:18" ht="15" customHeight="1" x14ac:dyDescent="0.35">
      <c r="B1876" s="100">
        <f t="shared" si="33"/>
        <v>1850</v>
      </c>
      <c r="C1876" s="155" t="s">
        <v>2256</v>
      </c>
      <c r="D1876" s="156" t="s">
        <v>2257</v>
      </c>
      <c r="E1876" s="157">
        <v>5</v>
      </c>
      <c r="F1876" s="156" t="s">
        <v>2245</v>
      </c>
      <c r="G1876" s="156">
        <v>4.5</v>
      </c>
      <c r="H1876" s="156">
        <v>3.19</v>
      </c>
      <c r="I1876" s="99">
        <v>4.5</v>
      </c>
      <c r="J1876" s="20">
        <v>463</v>
      </c>
      <c r="K1876" s="21"/>
      <c r="L1876" s="21"/>
      <c r="M1876" s="21"/>
      <c r="N1876" s="21"/>
      <c r="O1876" s="21"/>
      <c r="R1876">
        <v>4.5</v>
      </c>
    </row>
    <row r="1877" spans="2:18" ht="15" customHeight="1" x14ac:dyDescent="0.35">
      <c r="B1877" s="100">
        <f t="shared" si="33"/>
        <v>1851</v>
      </c>
      <c r="C1877" s="155" t="s">
        <v>2258</v>
      </c>
      <c r="D1877" s="156" t="s">
        <v>2259</v>
      </c>
      <c r="E1877" s="157">
        <v>5</v>
      </c>
      <c r="F1877" s="156" t="s">
        <v>2245</v>
      </c>
      <c r="G1877" s="156">
        <v>4.5</v>
      </c>
      <c r="H1877" s="156">
        <v>3.12</v>
      </c>
      <c r="I1877" s="99">
        <v>4.5</v>
      </c>
      <c r="J1877" s="20">
        <v>470</v>
      </c>
      <c r="K1877" s="21"/>
      <c r="L1877" s="21"/>
      <c r="M1877" s="21"/>
      <c r="N1877" s="21"/>
      <c r="O1877" s="21"/>
      <c r="R1877">
        <v>4.5</v>
      </c>
    </row>
    <row r="1878" spans="2:18" ht="15" customHeight="1" x14ac:dyDescent="0.35">
      <c r="B1878" s="100">
        <f t="shared" si="33"/>
        <v>1852</v>
      </c>
      <c r="C1878" s="155" t="s">
        <v>2260</v>
      </c>
      <c r="D1878" s="156" t="s">
        <v>2261</v>
      </c>
      <c r="E1878" s="157">
        <v>3</v>
      </c>
      <c r="F1878" s="156" t="s">
        <v>2245</v>
      </c>
      <c r="G1878" s="156">
        <v>6.5</v>
      </c>
      <c r="H1878" s="156">
        <v>2.61</v>
      </c>
      <c r="I1878" s="99">
        <v>6.5</v>
      </c>
      <c r="J1878" s="20">
        <v>460</v>
      </c>
      <c r="K1878" s="21"/>
      <c r="L1878" s="21"/>
      <c r="M1878" s="21"/>
      <c r="N1878" s="21"/>
      <c r="O1878" s="21"/>
      <c r="R1878">
        <v>6.5</v>
      </c>
    </row>
    <row r="1879" spans="2:18" ht="15" customHeight="1" x14ac:dyDescent="0.35">
      <c r="B1879" s="100">
        <f t="shared" si="33"/>
        <v>1853</v>
      </c>
      <c r="C1879" s="155" t="s">
        <v>2262</v>
      </c>
      <c r="D1879" s="156" t="s">
        <v>2263</v>
      </c>
      <c r="E1879" s="157">
        <v>3</v>
      </c>
      <c r="F1879" s="156" t="s">
        <v>2264</v>
      </c>
      <c r="G1879" s="156">
        <v>6.5</v>
      </c>
      <c r="H1879" s="156">
        <v>2.52</v>
      </c>
      <c r="I1879" s="99">
        <v>6.5</v>
      </c>
      <c r="J1879" s="20">
        <v>473</v>
      </c>
      <c r="K1879" s="21"/>
      <c r="L1879" s="21"/>
      <c r="M1879" s="21"/>
      <c r="N1879" s="21"/>
      <c r="O1879" s="21"/>
      <c r="R1879">
        <v>6.5</v>
      </c>
    </row>
    <row r="1880" spans="2:18" ht="15" customHeight="1" x14ac:dyDescent="0.35">
      <c r="B1880" s="100">
        <f t="shared" si="33"/>
        <v>1854</v>
      </c>
      <c r="C1880" s="158" t="s">
        <v>2265</v>
      </c>
      <c r="D1880" s="159" t="s">
        <v>2266</v>
      </c>
      <c r="E1880" s="160">
        <v>3</v>
      </c>
      <c r="F1880" s="161">
        <v>40296</v>
      </c>
      <c r="G1880" s="99">
        <v>6.9</v>
      </c>
      <c r="H1880" s="159">
        <v>2.5499999999999998</v>
      </c>
      <c r="I1880" s="99">
        <v>6.9</v>
      </c>
      <c r="J1880" s="20">
        <v>443</v>
      </c>
      <c r="K1880" s="21"/>
      <c r="L1880" s="21"/>
      <c r="M1880" s="21"/>
      <c r="N1880" s="21"/>
      <c r="O1880" s="21"/>
      <c r="R1880">
        <v>6.9</v>
      </c>
    </row>
    <row r="1881" spans="2:18" ht="15" customHeight="1" x14ac:dyDescent="0.35">
      <c r="B1881" s="100">
        <f t="shared" si="33"/>
        <v>1855</v>
      </c>
      <c r="C1881" s="158" t="s">
        <v>2267</v>
      </c>
      <c r="D1881" s="159" t="s">
        <v>2268</v>
      </c>
      <c r="E1881" s="160">
        <v>5</v>
      </c>
      <c r="F1881" s="161">
        <v>40296</v>
      </c>
      <c r="G1881" s="99">
        <v>4.9000000000000004</v>
      </c>
      <c r="H1881" s="159">
        <v>3.1</v>
      </c>
      <c r="I1881" s="99">
        <v>4.9000000000000004</v>
      </c>
      <c r="J1881" s="20">
        <v>473</v>
      </c>
      <c r="K1881" s="21"/>
      <c r="L1881" s="21"/>
      <c r="M1881" s="21"/>
      <c r="N1881" s="21"/>
      <c r="O1881" s="21"/>
      <c r="R1881">
        <v>4.9000000000000004</v>
      </c>
    </row>
    <row r="1882" spans="2:18" ht="15" customHeight="1" x14ac:dyDescent="0.35">
      <c r="B1882" s="100">
        <f t="shared" si="33"/>
        <v>1856</v>
      </c>
      <c r="C1882" s="158" t="s">
        <v>2269</v>
      </c>
      <c r="D1882" s="159" t="s">
        <v>2270</v>
      </c>
      <c r="E1882" s="160">
        <v>5</v>
      </c>
      <c r="F1882" s="161">
        <v>40296</v>
      </c>
      <c r="G1882" s="99">
        <v>4.9000000000000004</v>
      </c>
      <c r="H1882" s="159">
        <v>3.15</v>
      </c>
      <c r="I1882" s="99">
        <v>4.9000000000000004</v>
      </c>
      <c r="J1882" s="20">
        <v>517</v>
      </c>
      <c r="K1882" s="21"/>
      <c r="L1882" s="21"/>
      <c r="M1882" s="21"/>
      <c r="N1882" s="21"/>
      <c r="O1882" s="21"/>
      <c r="R1882">
        <v>4.9000000000000004</v>
      </c>
    </row>
    <row r="1883" spans="2:18" ht="15" customHeight="1" x14ac:dyDescent="0.35">
      <c r="B1883" s="100">
        <f t="shared" si="33"/>
        <v>1857</v>
      </c>
      <c r="C1883" s="158" t="s">
        <v>2271</v>
      </c>
      <c r="D1883" s="159" t="s">
        <v>2272</v>
      </c>
      <c r="E1883" s="160">
        <v>5</v>
      </c>
      <c r="F1883" s="161">
        <v>40296</v>
      </c>
      <c r="G1883" s="99">
        <v>4.9000000000000004</v>
      </c>
      <c r="H1883" s="159">
        <v>3.34</v>
      </c>
      <c r="I1883" s="99">
        <v>4.9000000000000004</v>
      </c>
      <c r="J1883" s="20">
        <v>440</v>
      </c>
      <c r="K1883" s="21"/>
      <c r="L1883" s="21"/>
      <c r="M1883" s="21"/>
      <c r="N1883" s="21"/>
      <c r="O1883" s="21"/>
      <c r="R1883">
        <v>4.9000000000000004</v>
      </c>
    </row>
    <row r="1884" spans="2:18" ht="15" customHeight="1" x14ac:dyDescent="0.35">
      <c r="B1884" s="100">
        <f t="shared" si="33"/>
        <v>1858</v>
      </c>
      <c r="C1884" s="158" t="s">
        <v>2273</v>
      </c>
      <c r="D1884" s="159" t="s">
        <v>2274</v>
      </c>
      <c r="E1884" s="160">
        <v>5</v>
      </c>
      <c r="F1884" s="161">
        <v>40296</v>
      </c>
      <c r="G1884" s="99">
        <v>4.9000000000000004</v>
      </c>
      <c r="H1884" s="159">
        <v>3.1</v>
      </c>
      <c r="I1884" s="99">
        <v>4.9000000000000004</v>
      </c>
      <c r="J1884" s="20">
        <v>440</v>
      </c>
      <c r="K1884" s="21"/>
      <c r="L1884" s="21"/>
      <c r="M1884" s="21"/>
      <c r="N1884" s="21"/>
      <c r="O1884" s="21"/>
      <c r="R1884">
        <v>4.9000000000000004</v>
      </c>
    </row>
    <row r="1885" spans="2:18" ht="15" customHeight="1" x14ac:dyDescent="0.35">
      <c r="B1885" s="100">
        <f t="shared" si="33"/>
        <v>1859</v>
      </c>
      <c r="C1885" s="158" t="s">
        <v>2275</v>
      </c>
      <c r="D1885" s="159" t="s">
        <v>2276</v>
      </c>
      <c r="E1885" s="160">
        <v>5</v>
      </c>
      <c r="F1885" s="161">
        <v>40296</v>
      </c>
      <c r="G1885" s="99">
        <v>4.9000000000000004</v>
      </c>
      <c r="H1885" s="159">
        <v>3.15</v>
      </c>
      <c r="I1885" s="99">
        <v>4.9000000000000004</v>
      </c>
      <c r="J1885" s="20">
        <v>500</v>
      </c>
      <c r="K1885" s="21"/>
      <c r="L1885" s="21"/>
      <c r="M1885" s="21"/>
      <c r="N1885" s="21"/>
      <c r="O1885" s="21"/>
      <c r="R1885">
        <v>4.9000000000000004</v>
      </c>
    </row>
    <row r="1886" spans="2:18" ht="15" customHeight="1" x14ac:dyDescent="0.35">
      <c r="B1886" s="100">
        <f t="shared" si="33"/>
        <v>1860</v>
      </c>
      <c r="C1886" s="158" t="s">
        <v>2277</v>
      </c>
      <c r="D1886" s="159" t="s">
        <v>2278</v>
      </c>
      <c r="E1886" s="160">
        <v>5</v>
      </c>
      <c r="F1886" s="161">
        <v>40296</v>
      </c>
      <c r="G1886" s="99">
        <v>4.9000000000000004</v>
      </c>
      <c r="H1886" s="159">
        <v>3.03</v>
      </c>
      <c r="I1886" s="99">
        <v>4.9000000000000004</v>
      </c>
      <c r="J1886" s="20">
        <v>420</v>
      </c>
      <c r="K1886" s="21"/>
      <c r="L1886" s="21"/>
      <c r="M1886" s="21"/>
      <c r="N1886" s="21"/>
      <c r="O1886" s="21"/>
      <c r="R1886">
        <v>4.9000000000000004</v>
      </c>
    </row>
    <row r="1887" spans="2:18" ht="15" customHeight="1" x14ac:dyDescent="0.35">
      <c r="B1887" s="100">
        <f t="shared" si="33"/>
        <v>1861</v>
      </c>
      <c r="C1887" s="125" t="s">
        <v>2279</v>
      </c>
      <c r="D1887" s="122" t="s">
        <v>2280</v>
      </c>
      <c r="E1887" s="152">
        <v>3</v>
      </c>
      <c r="F1887" s="161">
        <v>40385</v>
      </c>
      <c r="G1887" s="99">
        <v>7</v>
      </c>
      <c r="H1887" s="99">
        <v>2.4700000000000002</v>
      </c>
      <c r="I1887" s="143">
        <v>7</v>
      </c>
      <c r="J1887" s="20">
        <v>460</v>
      </c>
      <c r="K1887" s="38"/>
      <c r="L1887" s="38"/>
      <c r="M1887" s="21"/>
      <c r="N1887" s="21"/>
      <c r="O1887" s="21"/>
      <c r="R1887">
        <v>7</v>
      </c>
    </row>
    <row r="1888" spans="2:18" ht="15" customHeight="1" x14ac:dyDescent="0.35">
      <c r="B1888" s="100">
        <f t="shared" si="33"/>
        <v>1862</v>
      </c>
      <c r="C1888" s="162" t="s">
        <v>2281</v>
      </c>
      <c r="D1888" s="163" t="s">
        <v>2282</v>
      </c>
      <c r="E1888" s="164">
        <v>3</v>
      </c>
      <c r="F1888" s="161">
        <v>40385</v>
      </c>
      <c r="G1888" s="159">
        <v>7</v>
      </c>
      <c r="H1888" s="159">
        <v>2.62</v>
      </c>
      <c r="I1888" s="143">
        <v>7</v>
      </c>
      <c r="J1888" s="20">
        <v>460</v>
      </c>
      <c r="K1888" s="38"/>
      <c r="L1888" s="38"/>
      <c r="M1888" s="21"/>
      <c r="N1888" s="21"/>
      <c r="O1888" s="21"/>
      <c r="R1888">
        <v>7</v>
      </c>
    </row>
    <row r="1889" spans="2:18" ht="15" customHeight="1" x14ac:dyDescent="0.35">
      <c r="B1889" s="100">
        <f t="shared" si="33"/>
        <v>1863</v>
      </c>
      <c r="C1889" s="162" t="s">
        <v>2283</v>
      </c>
      <c r="D1889" s="163" t="s">
        <v>2284</v>
      </c>
      <c r="E1889" s="164">
        <v>4</v>
      </c>
      <c r="F1889" s="161">
        <v>40385</v>
      </c>
      <c r="G1889" s="159">
        <v>6</v>
      </c>
      <c r="H1889" s="159">
        <v>2.99</v>
      </c>
      <c r="I1889" s="143">
        <v>6</v>
      </c>
      <c r="J1889" s="20">
        <v>473</v>
      </c>
      <c r="K1889" s="38"/>
      <c r="L1889" s="38"/>
      <c r="M1889" s="21"/>
      <c r="N1889" s="21"/>
      <c r="O1889" s="21"/>
      <c r="R1889">
        <v>6</v>
      </c>
    </row>
    <row r="1890" spans="2:18" ht="15" customHeight="1" x14ac:dyDescent="0.35">
      <c r="B1890" s="100">
        <f t="shared" si="33"/>
        <v>1864</v>
      </c>
      <c r="C1890" s="162" t="s">
        <v>2285</v>
      </c>
      <c r="D1890" s="163" t="s">
        <v>2286</v>
      </c>
      <c r="E1890" s="164">
        <v>5</v>
      </c>
      <c r="F1890" s="161">
        <v>40385</v>
      </c>
      <c r="G1890" s="163">
        <v>5</v>
      </c>
      <c r="H1890" s="163">
        <v>3.22</v>
      </c>
      <c r="I1890" s="143">
        <v>5</v>
      </c>
      <c r="J1890" s="20">
        <v>470</v>
      </c>
      <c r="K1890" s="38"/>
      <c r="L1890" s="38"/>
      <c r="M1890" s="21"/>
      <c r="N1890" s="21"/>
      <c r="O1890" s="21"/>
      <c r="R1890">
        <v>5</v>
      </c>
    </row>
    <row r="1891" spans="2:18" ht="15" customHeight="1" x14ac:dyDescent="0.35">
      <c r="B1891" s="100">
        <f t="shared" si="33"/>
        <v>1865</v>
      </c>
      <c r="C1891" s="162" t="s">
        <v>2287</v>
      </c>
      <c r="D1891" s="163" t="s">
        <v>2288</v>
      </c>
      <c r="E1891" s="164">
        <v>5</v>
      </c>
      <c r="F1891" s="161">
        <v>40385</v>
      </c>
      <c r="G1891" s="159">
        <v>5</v>
      </c>
      <c r="H1891" s="159">
        <v>2.91</v>
      </c>
      <c r="I1891" s="143">
        <v>5</v>
      </c>
      <c r="J1891" s="20">
        <v>470</v>
      </c>
      <c r="K1891" s="38"/>
      <c r="L1891" s="38"/>
      <c r="M1891" s="21"/>
      <c r="N1891" s="21"/>
      <c r="O1891" s="21"/>
      <c r="R1891">
        <v>5</v>
      </c>
    </row>
    <row r="1892" spans="2:18" ht="15" customHeight="1" x14ac:dyDescent="0.35">
      <c r="B1892" s="100">
        <f t="shared" si="33"/>
        <v>1866</v>
      </c>
      <c r="C1892" s="162" t="s">
        <v>2289</v>
      </c>
      <c r="D1892" s="163" t="s">
        <v>2290</v>
      </c>
      <c r="E1892" s="164">
        <v>5</v>
      </c>
      <c r="F1892" s="161">
        <v>40385</v>
      </c>
      <c r="G1892" s="163">
        <v>5</v>
      </c>
      <c r="H1892" s="163">
        <v>2.98</v>
      </c>
      <c r="I1892" s="143">
        <v>5</v>
      </c>
      <c r="J1892" s="20">
        <v>467</v>
      </c>
      <c r="K1892" s="38"/>
      <c r="L1892" s="38"/>
      <c r="M1892" s="21"/>
      <c r="N1892" s="21"/>
      <c r="O1892" s="21"/>
      <c r="R1892">
        <v>5</v>
      </c>
    </row>
    <row r="1893" spans="2:18" ht="15" customHeight="1" x14ac:dyDescent="0.35">
      <c r="B1893" s="100">
        <f t="shared" si="33"/>
        <v>1867</v>
      </c>
      <c r="C1893" s="162" t="s">
        <v>2291</v>
      </c>
      <c r="D1893" s="163" t="s">
        <v>2292</v>
      </c>
      <c r="E1893" s="164">
        <v>5</v>
      </c>
      <c r="F1893" s="161">
        <v>40385</v>
      </c>
      <c r="G1893" s="163">
        <v>5</v>
      </c>
      <c r="H1893" s="163">
        <v>3.03</v>
      </c>
      <c r="I1893" s="143">
        <v>5</v>
      </c>
      <c r="J1893" s="20">
        <v>463</v>
      </c>
      <c r="K1893" s="38"/>
      <c r="L1893" s="38"/>
      <c r="M1893" s="21"/>
      <c r="N1893" s="21"/>
      <c r="O1893" s="21"/>
      <c r="R1893">
        <v>5</v>
      </c>
    </row>
    <row r="1894" spans="2:18" ht="15" customHeight="1" x14ac:dyDescent="0.35">
      <c r="B1894" s="100">
        <f t="shared" si="33"/>
        <v>1868</v>
      </c>
      <c r="C1894" s="162" t="s">
        <v>2293</v>
      </c>
      <c r="D1894" s="163" t="s">
        <v>2294</v>
      </c>
      <c r="E1894" s="164">
        <v>5</v>
      </c>
      <c r="F1894" s="161">
        <v>40385</v>
      </c>
      <c r="G1894" s="159">
        <v>5</v>
      </c>
      <c r="H1894" s="159">
        <v>3.08</v>
      </c>
      <c r="I1894" s="143">
        <v>5</v>
      </c>
      <c r="J1894" s="20">
        <v>530</v>
      </c>
      <c r="K1894" s="38"/>
      <c r="L1894" s="38"/>
      <c r="M1894" s="21"/>
      <c r="N1894" s="21"/>
      <c r="O1894" s="21"/>
      <c r="R1894">
        <v>5</v>
      </c>
    </row>
    <row r="1895" spans="2:18" ht="15" customHeight="1" x14ac:dyDescent="0.35">
      <c r="B1895" s="100">
        <f t="shared" si="33"/>
        <v>1869</v>
      </c>
      <c r="C1895" s="162" t="s">
        <v>2295</v>
      </c>
      <c r="D1895" s="163" t="s">
        <v>2296</v>
      </c>
      <c r="E1895" s="164">
        <v>5</v>
      </c>
      <c r="F1895" s="161">
        <v>40385</v>
      </c>
      <c r="G1895" s="159">
        <v>5</v>
      </c>
      <c r="H1895" s="159">
        <v>3.1</v>
      </c>
      <c r="I1895" s="143">
        <v>5</v>
      </c>
      <c r="J1895" s="20">
        <v>470</v>
      </c>
      <c r="K1895" s="29" t="s">
        <v>2048</v>
      </c>
      <c r="L1895" s="29">
        <f>COUNTIF(E1850:E1914,"1")</f>
        <v>2</v>
      </c>
      <c r="M1895" s="21"/>
      <c r="N1895" s="21"/>
      <c r="O1895" s="21"/>
      <c r="R1895">
        <v>5</v>
      </c>
    </row>
    <row r="1896" spans="2:18" ht="15" customHeight="1" x14ac:dyDescent="0.35">
      <c r="B1896" s="100">
        <f t="shared" si="33"/>
        <v>1870</v>
      </c>
      <c r="C1896" s="162" t="s">
        <v>2297</v>
      </c>
      <c r="D1896" s="163" t="s">
        <v>2298</v>
      </c>
      <c r="E1896" s="164">
        <v>5</v>
      </c>
      <c r="F1896" s="161">
        <v>40385</v>
      </c>
      <c r="G1896" s="159">
        <v>5</v>
      </c>
      <c r="H1896" s="159">
        <v>3.02</v>
      </c>
      <c r="I1896" s="143">
        <v>5</v>
      </c>
      <c r="J1896" s="20">
        <v>420</v>
      </c>
      <c r="K1896" s="29" t="s">
        <v>1913</v>
      </c>
      <c r="L1896" s="29">
        <f>COUNTIF(E1850:E1914,"2")</f>
        <v>2</v>
      </c>
      <c r="M1896" s="21"/>
      <c r="N1896" s="21"/>
      <c r="O1896" s="21"/>
      <c r="R1896">
        <v>5</v>
      </c>
    </row>
    <row r="1897" spans="2:18" ht="15" customHeight="1" x14ac:dyDescent="0.35">
      <c r="B1897" s="100">
        <f t="shared" si="33"/>
        <v>1871</v>
      </c>
      <c r="C1897" s="162" t="s">
        <v>2299</v>
      </c>
      <c r="D1897" s="163" t="s">
        <v>2300</v>
      </c>
      <c r="E1897" s="164">
        <v>5</v>
      </c>
      <c r="F1897" s="161">
        <v>40385</v>
      </c>
      <c r="G1897" s="159">
        <v>5</v>
      </c>
      <c r="H1897" s="159">
        <v>2.78</v>
      </c>
      <c r="I1897" s="143">
        <v>5</v>
      </c>
      <c r="J1897" s="20">
        <v>460</v>
      </c>
      <c r="K1897" s="29" t="s">
        <v>1916</v>
      </c>
      <c r="L1897" s="29">
        <f>COUNTIF(E1850:E1914,"3")</f>
        <v>13</v>
      </c>
      <c r="M1897" s="21"/>
      <c r="N1897" s="21"/>
      <c r="O1897" s="21"/>
      <c r="R1897">
        <v>5</v>
      </c>
    </row>
    <row r="1898" spans="2:18" ht="15" customHeight="1" x14ac:dyDescent="0.35">
      <c r="B1898" s="100">
        <f t="shared" si="33"/>
        <v>1872</v>
      </c>
      <c r="C1898" s="162" t="s">
        <v>2301</v>
      </c>
      <c r="D1898" s="163" t="s">
        <v>2302</v>
      </c>
      <c r="E1898" s="164">
        <v>5</v>
      </c>
      <c r="F1898" s="161">
        <v>40385</v>
      </c>
      <c r="G1898" s="159">
        <v>5</v>
      </c>
      <c r="H1898" s="159">
        <v>3.03</v>
      </c>
      <c r="I1898" s="143">
        <v>5</v>
      </c>
      <c r="J1898" s="20">
        <v>473</v>
      </c>
      <c r="K1898" s="29" t="s">
        <v>2055</v>
      </c>
      <c r="L1898" s="29">
        <f>COUNTIF(E1850:E1914,"4")</f>
        <v>6</v>
      </c>
      <c r="M1898" s="21"/>
      <c r="N1898" s="21"/>
      <c r="O1898" s="21"/>
      <c r="R1898">
        <v>5</v>
      </c>
    </row>
    <row r="1899" spans="2:18" ht="15" customHeight="1" x14ac:dyDescent="0.35">
      <c r="B1899" s="100">
        <f t="shared" si="33"/>
        <v>1873</v>
      </c>
      <c r="C1899" s="162" t="s">
        <v>2303</v>
      </c>
      <c r="D1899" s="163" t="s">
        <v>2304</v>
      </c>
      <c r="E1899" s="164">
        <v>5</v>
      </c>
      <c r="F1899" s="161">
        <v>40385</v>
      </c>
      <c r="G1899" s="159">
        <v>5</v>
      </c>
      <c r="H1899" s="159">
        <v>2.87</v>
      </c>
      <c r="I1899" s="143">
        <v>5</v>
      </c>
      <c r="J1899" s="20">
        <v>457</v>
      </c>
      <c r="K1899" s="29" t="s">
        <v>2179</v>
      </c>
      <c r="L1899" s="29">
        <f>COUNTIF(E1850:E1914,"5")</f>
        <v>33</v>
      </c>
      <c r="M1899" s="21"/>
      <c r="N1899" s="21"/>
      <c r="O1899" s="21"/>
      <c r="R1899">
        <v>5</v>
      </c>
    </row>
    <row r="1900" spans="2:18" ht="15" customHeight="1" x14ac:dyDescent="0.35">
      <c r="B1900" s="100">
        <f t="shared" si="33"/>
        <v>1874</v>
      </c>
      <c r="C1900" s="162" t="s">
        <v>2305</v>
      </c>
      <c r="D1900" s="163" t="s">
        <v>2306</v>
      </c>
      <c r="E1900" s="164">
        <v>5</v>
      </c>
      <c r="F1900" s="161">
        <v>40385</v>
      </c>
      <c r="G1900" s="159">
        <v>5</v>
      </c>
      <c r="H1900" s="159">
        <v>2.93</v>
      </c>
      <c r="I1900" s="143">
        <v>5</v>
      </c>
      <c r="J1900" s="20">
        <v>477</v>
      </c>
      <c r="K1900" s="29" t="s">
        <v>2307</v>
      </c>
      <c r="L1900" s="29">
        <f>COUNTIF(E1850:E1914,"6")</f>
        <v>9</v>
      </c>
      <c r="M1900" s="21"/>
      <c r="N1900" s="21"/>
      <c r="O1900" s="21"/>
      <c r="R1900">
        <v>5</v>
      </c>
    </row>
    <row r="1901" spans="2:18" ht="15" customHeight="1" x14ac:dyDescent="0.35">
      <c r="B1901" s="100">
        <f t="shared" si="33"/>
        <v>1875</v>
      </c>
      <c r="C1901" s="162" t="s">
        <v>2308</v>
      </c>
      <c r="D1901" s="163" t="s">
        <v>2309</v>
      </c>
      <c r="E1901" s="164">
        <v>5</v>
      </c>
      <c r="F1901" s="161">
        <v>40385</v>
      </c>
      <c r="G1901" s="159">
        <v>5</v>
      </c>
      <c r="H1901" s="159">
        <v>3.01</v>
      </c>
      <c r="I1901" s="143">
        <v>5</v>
      </c>
      <c r="J1901" s="20">
        <v>467</v>
      </c>
      <c r="K1901" s="29" t="s">
        <v>2310</v>
      </c>
      <c r="L1901" s="29">
        <f>SUM(L1895:L1900)</f>
        <v>65</v>
      </c>
      <c r="M1901" s="21"/>
      <c r="N1901" s="21"/>
      <c r="O1901" s="21"/>
      <c r="R1901">
        <v>5</v>
      </c>
    </row>
    <row r="1902" spans="2:18" ht="15" customHeight="1" x14ac:dyDescent="0.35">
      <c r="B1902" s="100">
        <f t="shared" si="33"/>
        <v>1876</v>
      </c>
      <c r="C1902" s="162" t="s">
        <v>2311</v>
      </c>
      <c r="D1902" s="163" t="s">
        <v>2312</v>
      </c>
      <c r="E1902" s="164">
        <v>5</v>
      </c>
      <c r="F1902" s="161">
        <v>40385</v>
      </c>
      <c r="G1902" s="163">
        <v>5</v>
      </c>
      <c r="H1902" s="163">
        <v>3.08</v>
      </c>
      <c r="I1902" s="143">
        <v>5</v>
      </c>
      <c r="J1902" s="20">
        <v>493</v>
      </c>
      <c r="K1902" s="29" t="s">
        <v>2313</v>
      </c>
      <c r="L1902" s="21"/>
      <c r="M1902" s="21">
        <f>COUNTIF(G1850:G1914,"&lt;=5")-COUNTIF(G1850:G1914,"&lt;3")</f>
        <v>42</v>
      </c>
      <c r="N1902" s="21"/>
      <c r="O1902" s="21"/>
      <c r="R1902">
        <v>5</v>
      </c>
    </row>
    <row r="1903" spans="2:18" ht="15" customHeight="1" x14ac:dyDescent="0.35">
      <c r="B1903" s="100">
        <f t="shared" si="33"/>
        <v>1877</v>
      </c>
      <c r="C1903" s="162" t="s">
        <v>2314</v>
      </c>
      <c r="D1903" s="163" t="s">
        <v>2315</v>
      </c>
      <c r="E1903" s="164">
        <v>5</v>
      </c>
      <c r="F1903" s="161">
        <v>40385</v>
      </c>
      <c r="G1903" s="159">
        <v>5</v>
      </c>
      <c r="H1903" s="159">
        <v>2.79</v>
      </c>
      <c r="I1903" s="143">
        <v>5</v>
      </c>
      <c r="J1903" s="20">
        <v>463</v>
      </c>
      <c r="K1903" s="29" t="s">
        <v>1798</v>
      </c>
      <c r="L1903" s="29"/>
      <c r="M1903" s="34">
        <f>SUM(G1850:G1914)/L1901</f>
        <v>5.2353846153846169</v>
      </c>
      <c r="N1903" s="21"/>
      <c r="O1903" s="21"/>
      <c r="R1903">
        <v>5</v>
      </c>
    </row>
    <row r="1904" spans="2:18" ht="15" customHeight="1" x14ac:dyDescent="0.35">
      <c r="B1904" s="100">
        <f t="shared" si="33"/>
        <v>1878</v>
      </c>
      <c r="C1904" s="162" t="s">
        <v>2316</v>
      </c>
      <c r="D1904" s="163" t="s">
        <v>2317</v>
      </c>
      <c r="E1904" s="164">
        <v>5</v>
      </c>
      <c r="F1904" s="161">
        <v>40385</v>
      </c>
      <c r="G1904" s="159">
        <v>5</v>
      </c>
      <c r="H1904" s="159">
        <v>3.1</v>
      </c>
      <c r="I1904" s="143">
        <v>5</v>
      </c>
      <c r="J1904" s="20">
        <v>423</v>
      </c>
      <c r="K1904" s="29" t="s">
        <v>1801</v>
      </c>
      <c r="L1904" s="29"/>
      <c r="M1904" s="34">
        <f>SUM(I1850:I1914)/L1901</f>
        <v>5.2353846153846169</v>
      </c>
      <c r="N1904" s="21"/>
      <c r="O1904" s="21"/>
      <c r="R1904">
        <v>5</v>
      </c>
    </row>
    <row r="1905" spans="2:19" ht="15" customHeight="1" x14ac:dyDescent="0.35">
      <c r="B1905" s="100">
        <f t="shared" si="33"/>
        <v>1879</v>
      </c>
      <c r="C1905" s="162" t="s">
        <v>2318</v>
      </c>
      <c r="D1905" s="163" t="s">
        <v>2319</v>
      </c>
      <c r="E1905" s="164">
        <v>6</v>
      </c>
      <c r="F1905" s="161">
        <v>40385</v>
      </c>
      <c r="G1905" s="159">
        <v>4</v>
      </c>
      <c r="H1905" s="159">
        <v>3.22</v>
      </c>
      <c r="I1905" s="143">
        <v>4</v>
      </c>
      <c r="J1905" s="20">
        <v>430</v>
      </c>
      <c r="K1905" s="29" t="s">
        <v>1804</v>
      </c>
      <c r="L1905" s="29"/>
      <c r="M1905" s="29">
        <f>MIN(H1850:H1914)</f>
        <v>2.15</v>
      </c>
      <c r="N1905" s="21"/>
      <c r="O1905" s="21"/>
      <c r="R1905">
        <v>4</v>
      </c>
    </row>
    <row r="1906" spans="2:19" ht="15" customHeight="1" x14ac:dyDescent="0.35">
      <c r="B1906" s="100">
        <f t="shared" si="33"/>
        <v>1880</v>
      </c>
      <c r="C1906" s="162" t="s">
        <v>2320</v>
      </c>
      <c r="D1906" s="163" t="s">
        <v>2321</v>
      </c>
      <c r="E1906" s="164">
        <v>6</v>
      </c>
      <c r="F1906" s="161">
        <v>40385</v>
      </c>
      <c r="G1906" s="159">
        <v>4</v>
      </c>
      <c r="H1906" s="159">
        <v>3.68</v>
      </c>
      <c r="I1906" s="143">
        <v>4</v>
      </c>
      <c r="J1906" s="20">
        <v>427</v>
      </c>
      <c r="K1906" s="29" t="s">
        <v>1807</v>
      </c>
      <c r="L1906" s="29"/>
      <c r="M1906" s="30">
        <f>SUM(H1850:H1914)/L1901</f>
        <v>2.9976923076923079</v>
      </c>
      <c r="N1906" s="21"/>
      <c r="O1906" s="21"/>
      <c r="R1906">
        <v>4</v>
      </c>
    </row>
    <row r="1907" spans="2:19" ht="15" customHeight="1" x14ac:dyDescent="0.35">
      <c r="B1907" s="100">
        <f t="shared" si="33"/>
        <v>1881</v>
      </c>
      <c r="C1907" s="162" t="s">
        <v>2322</v>
      </c>
      <c r="D1907" s="163" t="s">
        <v>2323</v>
      </c>
      <c r="E1907" s="164">
        <v>6</v>
      </c>
      <c r="F1907" s="161">
        <v>40385</v>
      </c>
      <c r="G1907" s="163">
        <v>4</v>
      </c>
      <c r="H1907" s="163">
        <v>3.21</v>
      </c>
      <c r="I1907" s="143">
        <v>4</v>
      </c>
      <c r="J1907" s="20">
        <v>457</v>
      </c>
      <c r="K1907" s="29" t="s">
        <v>1810</v>
      </c>
      <c r="L1907" s="29"/>
      <c r="M1907" s="29">
        <f>MAX(H1850:H1914)</f>
        <v>3.68</v>
      </c>
      <c r="N1907" s="21"/>
      <c r="O1907" s="21"/>
      <c r="R1907">
        <v>4</v>
      </c>
    </row>
    <row r="1908" spans="2:19" ht="15" customHeight="1" x14ac:dyDescent="0.35">
      <c r="B1908" s="100">
        <f t="shared" si="33"/>
        <v>1882</v>
      </c>
      <c r="C1908" s="162" t="s">
        <v>2324</v>
      </c>
      <c r="D1908" s="163" t="s">
        <v>2325</v>
      </c>
      <c r="E1908" s="164">
        <v>6</v>
      </c>
      <c r="F1908" s="161">
        <v>40385</v>
      </c>
      <c r="G1908" s="159">
        <v>4</v>
      </c>
      <c r="H1908" s="159">
        <v>3.39</v>
      </c>
      <c r="I1908" s="143">
        <v>4</v>
      </c>
      <c r="J1908" s="20">
        <v>440</v>
      </c>
      <c r="K1908" s="29" t="s">
        <v>1813</v>
      </c>
      <c r="L1908" s="29">
        <f>COUNTIF(H1850:H1914,"&lt;2.75")</f>
        <v>0</v>
      </c>
      <c r="M1908" s="30" t="e">
        <f>(L1908/L1911)*100</f>
        <v>#DIV/0!</v>
      </c>
      <c r="N1908" s="21"/>
      <c r="O1908" s="21"/>
      <c r="R1908">
        <v>4</v>
      </c>
    </row>
    <row r="1909" spans="2:19" ht="15" customHeight="1" x14ac:dyDescent="0.35">
      <c r="B1909" s="100">
        <f t="shared" si="33"/>
        <v>1883</v>
      </c>
      <c r="C1909" s="162" t="s">
        <v>2326</v>
      </c>
      <c r="D1909" s="163" t="s">
        <v>2327</v>
      </c>
      <c r="E1909" s="164">
        <v>6</v>
      </c>
      <c r="F1909" s="161">
        <v>40385</v>
      </c>
      <c r="G1909" s="159">
        <v>4</v>
      </c>
      <c r="H1909" s="159">
        <v>3.14</v>
      </c>
      <c r="I1909" s="143">
        <v>4</v>
      </c>
      <c r="J1909" s="20">
        <v>450</v>
      </c>
      <c r="K1909" s="29" t="s">
        <v>1816</v>
      </c>
      <c r="L1909" s="29">
        <f>COUNTIF(H1850:H1914,"&lt;=3.50")-COUNTIF(H1850:H1914,"&lt;2.75")</f>
        <v>0</v>
      </c>
      <c r="M1909" s="30" t="e">
        <f>(L1909/L1911)*100</f>
        <v>#DIV/0!</v>
      </c>
      <c r="N1909" s="21"/>
      <c r="O1909" s="21"/>
      <c r="R1909">
        <v>4</v>
      </c>
    </row>
    <row r="1910" spans="2:19" ht="15" customHeight="1" x14ac:dyDescent="0.35">
      <c r="B1910" s="100">
        <f t="shared" si="33"/>
        <v>1884</v>
      </c>
      <c r="C1910" s="162" t="s">
        <v>2328</v>
      </c>
      <c r="D1910" s="163" t="s">
        <v>2329</v>
      </c>
      <c r="E1910" s="164">
        <v>6</v>
      </c>
      <c r="F1910" s="161">
        <v>40385</v>
      </c>
      <c r="G1910" s="159">
        <v>4</v>
      </c>
      <c r="H1910" s="159">
        <v>3.64</v>
      </c>
      <c r="I1910" s="143">
        <v>4</v>
      </c>
      <c r="J1910" s="20">
        <v>457</v>
      </c>
      <c r="K1910" s="29" t="s">
        <v>1819</v>
      </c>
      <c r="L1910" s="29">
        <f>COUNTIF(H1850:H1914,"&gt;3.50")</f>
        <v>0</v>
      </c>
      <c r="M1910" s="30" t="e">
        <f>(L1910/L1911)*100</f>
        <v>#DIV/0!</v>
      </c>
      <c r="N1910" s="21"/>
      <c r="O1910" s="21"/>
      <c r="R1910">
        <v>4</v>
      </c>
    </row>
    <row r="1911" spans="2:19" ht="15" customHeight="1" x14ac:dyDescent="0.35">
      <c r="B1911" s="100">
        <f t="shared" si="33"/>
        <v>1885</v>
      </c>
      <c r="C1911" s="162" t="s">
        <v>2330</v>
      </c>
      <c r="D1911" s="163" t="s">
        <v>2331</v>
      </c>
      <c r="E1911" s="164">
        <v>6</v>
      </c>
      <c r="F1911" s="161">
        <v>40385</v>
      </c>
      <c r="G1911" s="163">
        <v>4</v>
      </c>
      <c r="H1911" s="163">
        <v>3.31</v>
      </c>
      <c r="I1911" s="143">
        <v>4</v>
      </c>
      <c r="J1911" s="20">
        <v>500</v>
      </c>
      <c r="K1911" s="29" t="s">
        <v>1820</v>
      </c>
      <c r="L1911" s="29">
        <f>SUM(L1908:L1910)</f>
        <v>0</v>
      </c>
      <c r="M1911" s="29"/>
      <c r="N1911" s="21"/>
      <c r="O1911" s="21"/>
      <c r="R1911">
        <v>4</v>
      </c>
    </row>
    <row r="1912" spans="2:19" ht="15" customHeight="1" x14ac:dyDescent="0.35">
      <c r="B1912" s="100">
        <f t="shared" si="33"/>
        <v>1886</v>
      </c>
      <c r="C1912" s="162" t="s">
        <v>2332</v>
      </c>
      <c r="D1912" s="163" t="s">
        <v>2333</v>
      </c>
      <c r="E1912" s="164">
        <v>6</v>
      </c>
      <c r="F1912" s="161">
        <v>40385</v>
      </c>
      <c r="G1912" s="159">
        <v>4</v>
      </c>
      <c r="H1912" s="159">
        <v>3.67</v>
      </c>
      <c r="I1912" s="143">
        <v>4</v>
      </c>
      <c r="J1912" s="20">
        <v>430</v>
      </c>
      <c r="K1912" s="38"/>
      <c r="L1912" s="38"/>
      <c r="M1912" s="21"/>
      <c r="N1912" s="21"/>
      <c r="O1912" s="21"/>
      <c r="R1912">
        <v>4</v>
      </c>
    </row>
    <row r="1913" spans="2:19" ht="15" customHeight="1" x14ac:dyDescent="0.35">
      <c r="B1913" s="100">
        <f t="shared" si="33"/>
        <v>1887</v>
      </c>
      <c r="C1913" s="162" t="s">
        <v>2334</v>
      </c>
      <c r="D1913" s="163" t="s">
        <v>2335</v>
      </c>
      <c r="E1913" s="164">
        <v>6</v>
      </c>
      <c r="F1913" s="161">
        <v>40385</v>
      </c>
      <c r="G1913" s="159">
        <v>4</v>
      </c>
      <c r="H1913" s="159">
        <v>3.43</v>
      </c>
      <c r="I1913" s="143">
        <v>4</v>
      </c>
      <c r="J1913" s="20">
        <v>447</v>
      </c>
      <c r="K1913" s="46" t="s">
        <v>2336</v>
      </c>
      <c r="L1913" s="46">
        <f>SUM(J1851:J1914)/64</f>
        <v>465.015625</v>
      </c>
      <c r="M1913" s="21"/>
      <c r="N1913" s="21"/>
      <c r="O1913" s="21"/>
      <c r="R1913">
        <v>4</v>
      </c>
    </row>
    <row r="1914" spans="2:19" ht="15" customHeight="1" x14ac:dyDescent="0.35">
      <c r="B1914" s="100">
        <f t="shared" si="33"/>
        <v>1888</v>
      </c>
      <c r="C1914" s="101" t="s">
        <v>2337</v>
      </c>
      <c r="D1914" s="99" t="s">
        <v>2338</v>
      </c>
      <c r="E1914" s="102">
        <v>5</v>
      </c>
      <c r="F1914" s="103">
        <v>40421</v>
      </c>
      <c r="G1914" s="99">
        <v>5</v>
      </c>
      <c r="H1914" s="159">
        <v>2.84</v>
      </c>
      <c r="I1914" s="99">
        <v>5</v>
      </c>
      <c r="J1914" s="20">
        <v>467</v>
      </c>
      <c r="K1914" s="29" t="s">
        <v>2339</v>
      </c>
      <c r="L1914" s="29">
        <f>MIN(J1851:J1914)</f>
        <v>413</v>
      </c>
      <c r="M1914" s="21"/>
      <c r="N1914" s="21"/>
      <c r="O1914" s="21"/>
      <c r="R1914">
        <v>5</v>
      </c>
    </row>
    <row r="1915" spans="2:19" ht="15" customHeight="1" x14ac:dyDescent="0.35">
      <c r="B1915" s="100"/>
      <c r="C1915" s="101"/>
      <c r="D1915" s="99"/>
      <c r="E1915" s="99"/>
      <c r="F1915" s="99"/>
      <c r="G1915" s="131"/>
      <c r="H1915" s="115"/>
      <c r="I1915" s="153"/>
      <c r="J1915" s="20"/>
      <c r="K1915" s="29" t="s">
        <v>2340</v>
      </c>
      <c r="L1915" s="29">
        <f>MAX(J1851:J1914)</f>
        <v>537</v>
      </c>
      <c r="M1915" s="21"/>
      <c r="N1915" s="21"/>
      <c r="O1915" s="21"/>
    </row>
    <row r="1916" spans="2:19" ht="15" customHeight="1" x14ac:dyDescent="0.35">
      <c r="B1916" s="100"/>
      <c r="C1916" s="101"/>
      <c r="D1916" s="99"/>
      <c r="E1916" s="99"/>
      <c r="F1916" s="99"/>
      <c r="G1916" s="99"/>
      <c r="H1916" s="159"/>
      <c r="I1916" s="99"/>
      <c r="J1916" s="20"/>
      <c r="K1916" s="21"/>
      <c r="L1916" s="21"/>
      <c r="M1916" s="21"/>
      <c r="N1916" s="21"/>
      <c r="O1916" s="21"/>
    </row>
    <row r="1917" spans="2:19" ht="15" customHeight="1" x14ac:dyDescent="0.35">
      <c r="B1917" s="100"/>
      <c r="C1917" s="146" t="s">
        <v>2341</v>
      </c>
      <c r="D1917" s="99"/>
      <c r="E1917" s="141" t="s">
        <v>1822</v>
      </c>
      <c r="F1917" s="147"/>
      <c r="G1917" s="141" t="s">
        <v>2200</v>
      </c>
      <c r="H1917" s="148" t="s">
        <v>6</v>
      </c>
      <c r="I1917" s="100" t="s">
        <v>2200</v>
      </c>
      <c r="J1917" s="42" t="s">
        <v>2201</v>
      </c>
      <c r="K1917" s="21"/>
      <c r="L1917" s="21"/>
      <c r="M1917" s="21"/>
      <c r="N1917" s="21"/>
      <c r="O1917" s="21"/>
      <c r="R1917" t="s">
        <v>5043</v>
      </c>
      <c r="S1917" t="s">
        <v>5044</v>
      </c>
    </row>
    <row r="1918" spans="2:19" ht="15" customHeight="1" x14ac:dyDescent="0.35">
      <c r="B1918" s="100">
        <v>1889</v>
      </c>
      <c r="C1918" s="165" t="s">
        <v>2342</v>
      </c>
      <c r="D1918" s="166" t="s">
        <v>2343</v>
      </c>
      <c r="E1918" s="166">
        <v>4</v>
      </c>
      <c r="F1918" s="166" t="s">
        <v>2344</v>
      </c>
      <c r="G1918" s="166">
        <v>6.2</v>
      </c>
      <c r="H1918" s="166">
        <v>2.77</v>
      </c>
      <c r="I1918" s="153">
        <v>6.2</v>
      </c>
      <c r="J1918" s="20">
        <v>463</v>
      </c>
      <c r="K1918" s="21"/>
      <c r="L1918" s="21"/>
      <c r="M1918" s="21"/>
      <c r="N1918" s="21"/>
      <c r="O1918" s="21"/>
      <c r="R1918">
        <v>6.2</v>
      </c>
    </row>
    <row r="1919" spans="2:19" ht="15" customHeight="1" x14ac:dyDescent="0.35">
      <c r="B1919" s="100">
        <f t="shared" ref="B1919:B1982" si="34">(B1918+1)</f>
        <v>1890</v>
      </c>
      <c r="C1919" s="165" t="s">
        <v>2345</v>
      </c>
      <c r="D1919" s="166" t="s">
        <v>2346</v>
      </c>
      <c r="E1919" s="166">
        <v>5</v>
      </c>
      <c r="F1919" s="166" t="s">
        <v>2344</v>
      </c>
      <c r="G1919" s="166">
        <v>5.2</v>
      </c>
      <c r="H1919" s="166">
        <v>2.76</v>
      </c>
      <c r="I1919" s="153">
        <v>5.2</v>
      </c>
      <c r="J1919" s="20">
        <v>438</v>
      </c>
      <c r="K1919" s="21"/>
      <c r="L1919" s="21"/>
      <c r="M1919" s="21"/>
      <c r="N1919" s="21"/>
      <c r="O1919" s="21"/>
      <c r="R1919">
        <v>5.2</v>
      </c>
    </row>
    <row r="1920" spans="2:19" ht="15" customHeight="1" x14ac:dyDescent="0.35">
      <c r="B1920" s="100">
        <f t="shared" si="34"/>
        <v>1891</v>
      </c>
      <c r="C1920" s="165" t="s">
        <v>2347</v>
      </c>
      <c r="D1920" s="166" t="s">
        <v>2348</v>
      </c>
      <c r="E1920" s="166">
        <v>5</v>
      </c>
      <c r="F1920" s="166" t="s">
        <v>2344</v>
      </c>
      <c r="G1920" s="166">
        <v>5.2</v>
      </c>
      <c r="H1920" s="166">
        <v>2.94</v>
      </c>
      <c r="I1920" s="153">
        <v>5.2</v>
      </c>
      <c r="J1920" s="20">
        <v>527</v>
      </c>
      <c r="K1920" s="21"/>
      <c r="L1920" s="21"/>
      <c r="M1920" s="21"/>
      <c r="N1920" s="21"/>
      <c r="O1920" s="21"/>
      <c r="R1920">
        <v>5.2</v>
      </c>
    </row>
    <row r="1921" spans="2:18" ht="15" customHeight="1" x14ac:dyDescent="0.35">
      <c r="B1921" s="100">
        <f t="shared" si="34"/>
        <v>1892</v>
      </c>
      <c r="C1921" s="165" t="s">
        <v>2349</v>
      </c>
      <c r="D1921" s="166" t="s">
        <v>2350</v>
      </c>
      <c r="E1921" s="166">
        <v>6</v>
      </c>
      <c r="F1921" s="166" t="s">
        <v>2344</v>
      </c>
      <c r="G1921" s="166">
        <v>4.2</v>
      </c>
      <c r="H1921" s="166">
        <v>3.13</v>
      </c>
      <c r="I1921" s="153">
        <v>4.2</v>
      </c>
      <c r="J1921" s="20">
        <v>477</v>
      </c>
      <c r="K1921" s="21"/>
      <c r="L1921" s="21"/>
      <c r="M1921" s="21"/>
      <c r="N1921" s="21"/>
      <c r="O1921" s="21"/>
      <c r="R1921">
        <v>4.2</v>
      </c>
    </row>
    <row r="1922" spans="2:18" ht="15" customHeight="1" x14ac:dyDescent="0.35">
      <c r="B1922" s="100">
        <f t="shared" si="34"/>
        <v>1893</v>
      </c>
      <c r="C1922" s="165" t="s">
        <v>2351</v>
      </c>
      <c r="D1922" s="166" t="s">
        <v>2352</v>
      </c>
      <c r="E1922" s="166">
        <v>6</v>
      </c>
      <c r="F1922" s="166" t="s">
        <v>2344</v>
      </c>
      <c r="G1922" s="166">
        <v>4.2</v>
      </c>
      <c r="H1922" s="166">
        <v>3.3</v>
      </c>
      <c r="I1922" s="153">
        <v>4.2</v>
      </c>
      <c r="J1922" s="20">
        <v>590</v>
      </c>
      <c r="K1922" s="21"/>
      <c r="L1922" s="21"/>
      <c r="M1922" s="21"/>
      <c r="N1922" s="21"/>
      <c r="O1922" s="21"/>
      <c r="R1922">
        <v>4.2</v>
      </c>
    </row>
    <row r="1923" spans="2:18" ht="15" customHeight="1" x14ac:dyDescent="0.35">
      <c r="B1923" s="100">
        <f t="shared" si="34"/>
        <v>1894</v>
      </c>
      <c r="C1923" s="165" t="s">
        <v>2353</v>
      </c>
      <c r="D1923" s="166" t="s">
        <v>2354</v>
      </c>
      <c r="E1923" s="166">
        <v>6</v>
      </c>
      <c r="F1923" s="166" t="s">
        <v>2344</v>
      </c>
      <c r="G1923" s="166">
        <v>4.2</v>
      </c>
      <c r="H1923" s="166">
        <v>3.23</v>
      </c>
      <c r="I1923" s="153">
        <v>4.2</v>
      </c>
      <c r="J1923" s="20">
        <v>493</v>
      </c>
      <c r="K1923" s="21"/>
      <c r="L1923" s="21"/>
      <c r="M1923" s="21"/>
      <c r="N1923" s="21"/>
      <c r="O1923" s="21"/>
      <c r="R1923">
        <v>4.2</v>
      </c>
    </row>
    <row r="1924" spans="2:18" ht="15" customHeight="1" x14ac:dyDescent="0.35">
      <c r="B1924" s="100">
        <f t="shared" si="34"/>
        <v>1895</v>
      </c>
      <c r="C1924" s="165" t="s">
        <v>2355</v>
      </c>
      <c r="D1924" s="166" t="s">
        <v>2356</v>
      </c>
      <c r="E1924" s="166">
        <v>6</v>
      </c>
      <c r="F1924" s="166" t="s">
        <v>2344</v>
      </c>
      <c r="G1924" s="166">
        <v>4.2</v>
      </c>
      <c r="H1924" s="166">
        <v>3.51</v>
      </c>
      <c r="I1924" s="153">
        <v>4.2</v>
      </c>
      <c r="J1924" s="20">
        <v>470</v>
      </c>
      <c r="K1924" s="21"/>
      <c r="L1924" s="21"/>
      <c r="M1924" s="21"/>
      <c r="N1924" s="21"/>
      <c r="O1924" s="21"/>
      <c r="R1924">
        <v>4.2</v>
      </c>
    </row>
    <row r="1925" spans="2:18" ht="15" customHeight="1" x14ac:dyDescent="0.35">
      <c r="B1925" s="100">
        <f t="shared" si="34"/>
        <v>1896</v>
      </c>
      <c r="C1925" s="165" t="s">
        <v>2357</v>
      </c>
      <c r="D1925" s="166" t="s">
        <v>2358</v>
      </c>
      <c r="E1925" s="166">
        <v>6</v>
      </c>
      <c r="F1925" s="166" t="s">
        <v>2344</v>
      </c>
      <c r="G1925" s="166">
        <v>4.2</v>
      </c>
      <c r="H1925" s="166">
        <v>3.46</v>
      </c>
      <c r="I1925" s="153">
        <v>4.2</v>
      </c>
      <c r="J1925" s="20">
        <v>467</v>
      </c>
      <c r="K1925" s="21"/>
      <c r="L1925" s="21"/>
      <c r="M1925" s="21"/>
      <c r="N1925" s="21"/>
      <c r="O1925" s="21"/>
      <c r="R1925">
        <v>4.2</v>
      </c>
    </row>
    <row r="1926" spans="2:18" ht="15" customHeight="1" x14ac:dyDescent="0.35">
      <c r="B1926" s="100">
        <f t="shared" si="34"/>
        <v>1897</v>
      </c>
      <c r="C1926" s="167" t="s">
        <v>2359</v>
      </c>
      <c r="D1926" s="168" t="s">
        <v>2360</v>
      </c>
      <c r="E1926" s="168">
        <v>6</v>
      </c>
      <c r="F1926" s="168" t="s">
        <v>2361</v>
      </c>
      <c r="G1926" s="168">
        <v>4.5</v>
      </c>
      <c r="H1926" s="168">
        <v>3.53</v>
      </c>
      <c r="I1926" s="168">
        <v>4.5</v>
      </c>
      <c r="J1926" s="20">
        <v>480</v>
      </c>
      <c r="K1926" s="21"/>
      <c r="L1926" s="21"/>
      <c r="M1926" s="21"/>
      <c r="N1926" s="49"/>
      <c r="O1926" s="21"/>
      <c r="R1926">
        <v>4.5</v>
      </c>
    </row>
    <row r="1927" spans="2:18" ht="15" customHeight="1" x14ac:dyDescent="0.35">
      <c r="B1927" s="100">
        <f t="shared" si="34"/>
        <v>1898</v>
      </c>
      <c r="C1927" s="167" t="s">
        <v>2362</v>
      </c>
      <c r="D1927" s="168" t="s">
        <v>2363</v>
      </c>
      <c r="E1927" s="168">
        <v>6</v>
      </c>
      <c r="F1927" s="168" t="s">
        <v>2361</v>
      </c>
      <c r="G1927" s="168">
        <v>4.5</v>
      </c>
      <c r="H1927" s="168">
        <v>3.22</v>
      </c>
      <c r="I1927" s="168">
        <v>4.5</v>
      </c>
      <c r="J1927" s="20">
        <v>437</v>
      </c>
      <c r="K1927" s="49"/>
      <c r="L1927" s="21"/>
      <c r="M1927" s="49" t="s">
        <v>580</v>
      </c>
      <c r="N1927" s="49"/>
      <c r="O1927" s="21"/>
      <c r="R1927">
        <v>4.5</v>
      </c>
    </row>
    <row r="1928" spans="2:18" ht="15" customHeight="1" x14ac:dyDescent="0.35">
      <c r="B1928" s="100">
        <f t="shared" si="34"/>
        <v>1899</v>
      </c>
      <c r="C1928" s="167" t="s">
        <v>2364</v>
      </c>
      <c r="D1928" s="168" t="s">
        <v>2365</v>
      </c>
      <c r="E1928" s="168">
        <v>6</v>
      </c>
      <c r="F1928" s="168" t="s">
        <v>2361</v>
      </c>
      <c r="G1928" s="168">
        <v>4.5</v>
      </c>
      <c r="H1928" s="168">
        <v>3.19</v>
      </c>
      <c r="I1928" s="168">
        <v>4.5</v>
      </c>
      <c r="J1928" s="20">
        <v>470</v>
      </c>
      <c r="K1928" s="49"/>
      <c r="L1928" s="21"/>
      <c r="M1928" s="49"/>
      <c r="N1928" s="49"/>
      <c r="O1928" s="21"/>
      <c r="R1928">
        <v>4.5</v>
      </c>
    </row>
    <row r="1929" spans="2:18" ht="15" customHeight="1" x14ac:dyDescent="0.35">
      <c r="B1929" s="100">
        <f t="shared" si="34"/>
        <v>1900</v>
      </c>
      <c r="C1929" s="167" t="s">
        <v>2366</v>
      </c>
      <c r="D1929" s="168" t="s">
        <v>2367</v>
      </c>
      <c r="E1929" s="168">
        <v>6</v>
      </c>
      <c r="F1929" s="168" t="s">
        <v>2361</v>
      </c>
      <c r="G1929" s="168">
        <v>4.5</v>
      </c>
      <c r="H1929" s="168">
        <v>3.17</v>
      </c>
      <c r="I1929" s="168">
        <v>4.5</v>
      </c>
      <c r="J1929" s="20">
        <v>420</v>
      </c>
      <c r="K1929" s="49"/>
      <c r="L1929" s="21"/>
      <c r="M1929" s="49"/>
      <c r="N1929" s="49"/>
      <c r="O1929" s="21"/>
      <c r="R1929">
        <v>4.5</v>
      </c>
    </row>
    <row r="1930" spans="2:18" ht="15" customHeight="1" x14ac:dyDescent="0.35">
      <c r="B1930" s="100">
        <f t="shared" si="34"/>
        <v>1901</v>
      </c>
      <c r="C1930" s="167" t="s">
        <v>2368</v>
      </c>
      <c r="D1930" s="168" t="s">
        <v>2369</v>
      </c>
      <c r="E1930" s="168">
        <v>5</v>
      </c>
      <c r="F1930" s="168" t="s">
        <v>2361</v>
      </c>
      <c r="G1930" s="168">
        <v>5.5</v>
      </c>
      <c r="H1930" s="168">
        <v>3.03</v>
      </c>
      <c r="I1930" s="168">
        <v>5.5</v>
      </c>
      <c r="J1930" s="20">
        <v>454</v>
      </c>
      <c r="K1930" s="49"/>
      <c r="L1930" s="21"/>
      <c r="M1930" s="49"/>
      <c r="N1930" s="49"/>
      <c r="O1930" s="21"/>
      <c r="R1930">
        <v>5.5</v>
      </c>
    </row>
    <row r="1931" spans="2:18" ht="15" customHeight="1" x14ac:dyDescent="0.35">
      <c r="B1931" s="100">
        <f t="shared" si="34"/>
        <v>1902</v>
      </c>
      <c r="C1931" s="167" t="s">
        <v>2370</v>
      </c>
      <c r="D1931" s="168" t="s">
        <v>2371</v>
      </c>
      <c r="E1931" s="168">
        <v>6</v>
      </c>
      <c r="F1931" s="168" t="s">
        <v>2361</v>
      </c>
      <c r="G1931" s="168">
        <v>4.5</v>
      </c>
      <c r="H1931" s="168">
        <v>3.03</v>
      </c>
      <c r="I1931" s="168">
        <v>4.5</v>
      </c>
      <c r="J1931" s="20">
        <v>460</v>
      </c>
      <c r="K1931" s="49"/>
      <c r="L1931" s="21"/>
      <c r="M1931" s="49"/>
      <c r="N1931" s="49"/>
      <c r="O1931" s="21"/>
      <c r="R1931">
        <v>4.5</v>
      </c>
    </row>
    <row r="1932" spans="2:18" ht="15" customHeight="1" x14ac:dyDescent="0.35">
      <c r="B1932" s="100">
        <f t="shared" si="34"/>
        <v>1903</v>
      </c>
      <c r="C1932" s="167" t="s">
        <v>2372</v>
      </c>
      <c r="D1932" s="168" t="s">
        <v>2373</v>
      </c>
      <c r="E1932" s="168">
        <v>5</v>
      </c>
      <c r="F1932" s="168" t="s">
        <v>2361</v>
      </c>
      <c r="G1932" s="168">
        <v>5.5</v>
      </c>
      <c r="H1932" s="168">
        <v>2.94</v>
      </c>
      <c r="I1932" s="168">
        <v>5.5</v>
      </c>
      <c r="J1932" s="20">
        <v>460</v>
      </c>
      <c r="K1932" s="49"/>
      <c r="L1932" s="21"/>
      <c r="M1932" s="49"/>
      <c r="N1932" s="49"/>
      <c r="O1932" s="21"/>
      <c r="R1932">
        <v>5.5</v>
      </c>
    </row>
    <row r="1933" spans="2:18" ht="15" customHeight="1" x14ac:dyDescent="0.35">
      <c r="B1933" s="100">
        <f t="shared" si="34"/>
        <v>1904</v>
      </c>
      <c r="C1933" s="167" t="s">
        <v>2374</v>
      </c>
      <c r="D1933" s="168" t="s">
        <v>2375</v>
      </c>
      <c r="E1933" s="168">
        <v>4</v>
      </c>
      <c r="F1933" s="168" t="s">
        <v>2361</v>
      </c>
      <c r="G1933" s="168">
        <v>6.5</v>
      </c>
      <c r="H1933" s="168">
        <v>2.5</v>
      </c>
      <c r="I1933" s="168">
        <v>6.5</v>
      </c>
      <c r="J1933" s="20">
        <v>443</v>
      </c>
      <c r="K1933" s="49"/>
      <c r="L1933" s="21"/>
      <c r="M1933" s="49"/>
      <c r="N1933" s="49"/>
      <c r="O1933" s="21"/>
      <c r="R1933">
        <v>6.5</v>
      </c>
    </row>
    <row r="1934" spans="2:18" ht="15" customHeight="1" x14ac:dyDescent="0.35">
      <c r="B1934" s="100">
        <f t="shared" si="34"/>
        <v>1905</v>
      </c>
      <c r="C1934" s="167" t="s">
        <v>2376</v>
      </c>
      <c r="D1934" s="168" t="s">
        <v>2377</v>
      </c>
      <c r="E1934" s="168">
        <v>4</v>
      </c>
      <c r="F1934" s="168" t="s">
        <v>2361</v>
      </c>
      <c r="G1934" s="168">
        <v>6.5</v>
      </c>
      <c r="H1934" s="168">
        <v>2.4</v>
      </c>
      <c r="I1934" s="168">
        <v>6.5</v>
      </c>
      <c r="J1934" s="20">
        <v>447</v>
      </c>
      <c r="K1934" s="49"/>
      <c r="L1934" s="21"/>
      <c r="M1934" s="49"/>
      <c r="N1934" s="49"/>
      <c r="O1934" s="21"/>
      <c r="R1934">
        <v>6.5</v>
      </c>
    </row>
    <row r="1935" spans="2:18" ht="15" customHeight="1" x14ac:dyDescent="0.35">
      <c r="B1935" s="100">
        <f t="shared" si="34"/>
        <v>1906</v>
      </c>
      <c r="C1935" s="101" t="s">
        <v>2378</v>
      </c>
      <c r="D1935" s="99" t="s">
        <v>2379</v>
      </c>
      <c r="E1935" s="99">
        <v>3</v>
      </c>
      <c r="F1935" s="99" t="s">
        <v>2380</v>
      </c>
      <c r="G1935" s="99">
        <v>7.7</v>
      </c>
      <c r="H1935" s="99">
        <v>2.2599999999999998</v>
      </c>
      <c r="I1935" s="153">
        <v>7.7</v>
      </c>
      <c r="J1935" s="20">
        <v>460</v>
      </c>
      <c r="K1935" s="21"/>
      <c r="L1935" s="21"/>
      <c r="M1935" s="21"/>
      <c r="N1935" s="21"/>
      <c r="O1935" s="21"/>
      <c r="R1935">
        <v>7.7</v>
      </c>
    </row>
    <row r="1936" spans="2:18" ht="15" customHeight="1" x14ac:dyDescent="0.35">
      <c r="B1936" s="100">
        <f t="shared" si="34"/>
        <v>1907</v>
      </c>
      <c r="C1936" s="169" t="s">
        <v>2381</v>
      </c>
      <c r="D1936" s="170" t="s">
        <v>2382</v>
      </c>
      <c r="E1936" s="170">
        <v>6</v>
      </c>
      <c r="F1936" s="170" t="s">
        <v>2383</v>
      </c>
      <c r="G1936" s="170">
        <v>4.8</v>
      </c>
      <c r="H1936" s="170">
        <v>3.53</v>
      </c>
      <c r="I1936" s="153">
        <v>4.8</v>
      </c>
      <c r="J1936" s="20">
        <v>460</v>
      </c>
      <c r="K1936" s="38"/>
      <c r="L1936" s="38"/>
      <c r="M1936" s="38"/>
      <c r="N1936" s="21"/>
      <c r="O1936" s="21"/>
      <c r="R1936">
        <v>4.8</v>
      </c>
    </row>
    <row r="1937" spans="2:18" ht="15" customHeight="1" x14ac:dyDescent="0.35">
      <c r="B1937" s="100">
        <f t="shared" si="34"/>
        <v>1908</v>
      </c>
      <c r="C1937" s="169" t="s">
        <v>2384</v>
      </c>
      <c r="D1937" s="170" t="s">
        <v>2385</v>
      </c>
      <c r="E1937" s="170">
        <v>6</v>
      </c>
      <c r="F1937" s="170" t="s">
        <v>2383</v>
      </c>
      <c r="G1937" s="170">
        <v>4.8</v>
      </c>
      <c r="H1937" s="170">
        <v>3.18</v>
      </c>
      <c r="I1937" s="153">
        <v>4.8</v>
      </c>
      <c r="J1937" s="20">
        <v>427</v>
      </c>
      <c r="K1937" s="38"/>
      <c r="L1937" s="38"/>
      <c r="M1937" s="21"/>
      <c r="N1937" s="21"/>
      <c r="O1937" s="21"/>
      <c r="R1937">
        <v>4.8</v>
      </c>
    </row>
    <row r="1938" spans="2:18" ht="15" customHeight="1" x14ac:dyDescent="0.35">
      <c r="B1938" s="100">
        <f t="shared" si="34"/>
        <v>1909</v>
      </c>
      <c r="C1938" s="169" t="s">
        <v>2386</v>
      </c>
      <c r="D1938" s="170" t="s">
        <v>2387</v>
      </c>
      <c r="E1938" s="170">
        <v>6</v>
      </c>
      <c r="F1938" s="170" t="s">
        <v>2383</v>
      </c>
      <c r="G1938" s="170">
        <v>4.8</v>
      </c>
      <c r="H1938" s="170">
        <v>3.17</v>
      </c>
      <c r="I1938" s="153">
        <v>4.8</v>
      </c>
      <c r="J1938" s="20">
        <v>423</v>
      </c>
      <c r="K1938" s="38"/>
      <c r="L1938" s="38"/>
      <c r="M1938" s="21"/>
      <c r="N1938" s="21"/>
      <c r="O1938" s="21"/>
      <c r="R1938">
        <v>4.8</v>
      </c>
    </row>
    <row r="1939" spans="2:18" ht="15" customHeight="1" x14ac:dyDescent="0.35">
      <c r="B1939" s="100">
        <f t="shared" si="34"/>
        <v>1910</v>
      </c>
      <c r="C1939" s="169" t="s">
        <v>2388</v>
      </c>
      <c r="D1939" s="170" t="s">
        <v>2389</v>
      </c>
      <c r="E1939" s="170">
        <v>6</v>
      </c>
      <c r="F1939" s="170" t="s">
        <v>2383</v>
      </c>
      <c r="G1939" s="170">
        <v>4.8</v>
      </c>
      <c r="H1939" s="170">
        <v>3.08</v>
      </c>
      <c r="I1939" s="153">
        <v>4.8</v>
      </c>
      <c r="J1939" s="20">
        <v>420</v>
      </c>
      <c r="K1939" s="38"/>
      <c r="L1939" s="38"/>
      <c r="M1939" s="21"/>
      <c r="N1939" s="21"/>
      <c r="O1939" s="21"/>
      <c r="R1939">
        <v>4.8</v>
      </c>
    </row>
    <row r="1940" spans="2:18" ht="15" customHeight="1" x14ac:dyDescent="0.35">
      <c r="B1940" s="100">
        <f t="shared" si="34"/>
        <v>1911</v>
      </c>
      <c r="C1940" s="169" t="s">
        <v>2390</v>
      </c>
      <c r="D1940" s="170" t="s">
        <v>2391</v>
      </c>
      <c r="E1940" s="170">
        <v>6</v>
      </c>
      <c r="F1940" s="170" t="s">
        <v>2383</v>
      </c>
      <c r="G1940" s="170">
        <v>4.8</v>
      </c>
      <c r="H1940" s="170">
        <v>3.02</v>
      </c>
      <c r="I1940" s="153">
        <v>4.8</v>
      </c>
      <c r="J1940" s="20">
        <v>497</v>
      </c>
      <c r="K1940" s="38"/>
      <c r="L1940" s="38"/>
      <c r="M1940" s="21"/>
      <c r="N1940" s="21"/>
      <c r="O1940" s="21"/>
      <c r="R1940">
        <v>4.8</v>
      </c>
    </row>
    <row r="1941" spans="2:18" ht="15" customHeight="1" x14ac:dyDescent="0.35">
      <c r="B1941" s="100">
        <f t="shared" si="34"/>
        <v>1912</v>
      </c>
      <c r="C1941" s="169" t="s">
        <v>2392</v>
      </c>
      <c r="D1941" s="170" t="s">
        <v>2393</v>
      </c>
      <c r="E1941" s="170">
        <v>5</v>
      </c>
      <c r="F1941" s="170" t="s">
        <v>2383</v>
      </c>
      <c r="G1941" s="170">
        <v>5.8</v>
      </c>
      <c r="H1941" s="170">
        <v>2.82</v>
      </c>
      <c r="I1941" s="153">
        <v>5.8</v>
      </c>
      <c r="J1941" s="20">
        <v>460</v>
      </c>
      <c r="K1941" s="38"/>
      <c r="L1941" s="38"/>
      <c r="M1941" s="21"/>
      <c r="N1941" s="21"/>
      <c r="O1941" s="21"/>
      <c r="R1941">
        <v>5.8</v>
      </c>
    </row>
    <row r="1942" spans="2:18" ht="15" customHeight="1" x14ac:dyDescent="0.35">
      <c r="B1942" s="100">
        <f t="shared" si="34"/>
        <v>1913</v>
      </c>
      <c r="C1942" s="169" t="s">
        <v>2394</v>
      </c>
      <c r="D1942" s="170" t="s">
        <v>2395</v>
      </c>
      <c r="E1942" s="170">
        <v>5</v>
      </c>
      <c r="F1942" s="170" t="s">
        <v>2383</v>
      </c>
      <c r="G1942" s="170">
        <v>5.8</v>
      </c>
      <c r="H1942" s="170">
        <v>2.77</v>
      </c>
      <c r="I1942" s="153">
        <v>5.8</v>
      </c>
      <c r="J1942" s="20">
        <v>470</v>
      </c>
      <c r="K1942" s="38"/>
      <c r="L1942" s="38"/>
      <c r="M1942" s="21"/>
      <c r="N1942" s="21"/>
      <c r="O1942" s="21"/>
      <c r="R1942">
        <v>5.8</v>
      </c>
    </row>
    <row r="1943" spans="2:18" ht="15" customHeight="1" x14ac:dyDescent="0.35">
      <c r="B1943" s="100">
        <f t="shared" si="34"/>
        <v>1914</v>
      </c>
      <c r="C1943" s="158" t="s">
        <v>2396</v>
      </c>
      <c r="D1943" s="159" t="s">
        <v>2397</v>
      </c>
      <c r="E1943" s="159">
        <v>3</v>
      </c>
      <c r="F1943" s="159" t="s">
        <v>2398</v>
      </c>
      <c r="G1943" s="147">
        <v>8</v>
      </c>
      <c r="H1943" s="159">
        <v>2.25</v>
      </c>
      <c r="I1943" s="153">
        <v>8</v>
      </c>
      <c r="J1943" s="20">
        <v>480</v>
      </c>
      <c r="K1943" s="38"/>
      <c r="L1943" s="21"/>
      <c r="M1943" s="21"/>
      <c r="N1943" s="21"/>
      <c r="O1943" s="21"/>
      <c r="R1943">
        <v>8</v>
      </c>
    </row>
    <row r="1944" spans="2:18" ht="15" customHeight="1" x14ac:dyDescent="0.35">
      <c r="B1944" s="100">
        <f t="shared" si="34"/>
        <v>1915</v>
      </c>
      <c r="C1944" s="158" t="s">
        <v>2399</v>
      </c>
      <c r="D1944" s="159" t="s">
        <v>2400</v>
      </c>
      <c r="E1944" s="159">
        <v>3</v>
      </c>
      <c r="F1944" s="159" t="s">
        <v>2398</v>
      </c>
      <c r="G1944" s="147">
        <v>8</v>
      </c>
      <c r="H1944" s="159">
        <v>2.11</v>
      </c>
      <c r="I1944" s="153">
        <v>8</v>
      </c>
      <c r="J1944" s="20">
        <v>473</v>
      </c>
      <c r="K1944" s="46">
        <v>2003</v>
      </c>
      <c r="L1944" s="29">
        <f>COUNTIF(E1918:E1965,"3")</f>
        <v>4</v>
      </c>
      <c r="M1944" s="21"/>
      <c r="N1944" s="21"/>
      <c r="O1944" s="21"/>
      <c r="R1944">
        <v>8</v>
      </c>
    </row>
    <row r="1945" spans="2:18" ht="15" customHeight="1" x14ac:dyDescent="0.35">
      <c r="B1945" s="100">
        <f t="shared" si="34"/>
        <v>1916</v>
      </c>
      <c r="C1945" s="158" t="s">
        <v>2401</v>
      </c>
      <c r="D1945" s="159" t="s">
        <v>2402</v>
      </c>
      <c r="E1945" s="159">
        <v>3</v>
      </c>
      <c r="F1945" s="159" t="s">
        <v>2398</v>
      </c>
      <c r="G1945" s="147">
        <v>8</v>
      </c>
      <c r="H1945" s="159">
        <v>2.68</v>
      </c>
      <c r="I1945" s="153">
        <v>8</v>
      </c>
      <c r="J1945" s="20">
        <v>540</v>
      </c>
      <c r="K1945" s="46">
        <v>2004</v>
      </c>
      <c r="L1945" s="29">
        <f>COUNTIF(E1918:E1965,"4")</f>
        <v>6</v>
      </c>
      <c r="M1945" s="21"/>
      <c r="N1945" s="21"/>
      <c r="O1945" s="21"/>
      <c r="R1945">
        <v>8</v>
      </c>
    </row>
    <row r="1946" spans="2:18" ht="15" customHeight="1" x14ac:dyDescent="0.35">
      <c r="B1946" s="100">
        <f t="shared" si="34"/>
        <v>1917</v>
      </c>
      <c r="C1946" s="158" t="s">
        <v>2403</v>
      </c>
      <c r="D1946" s="159" t="s">
        <v>2404</v>
      </c>
      <c r="E1946" s="159">
        <v>4</v>
      </c>
      <c r="F1946" s="159" t="s">
        <v>2398</v>
      </c>
      <c r="G1946" s="147">
        <v>7</v>
      </c>
      <c r="H1946" s="159">
        <v>2.7</v>
      </c>
      <c r="I1946" s="153">
        <v>7</v>
      </c>
      <c r="J1946" s="20">
        <v>440</v>
      </c>
      <c r="K1946" s="46">
        <v>2005</v>
      </c>
      <c r="L1946" s="29">
        <f>COUNTIF(E1918:E1965,"5")</f>
        <v>9</v>
      </c>
      <c r="M1946" s="21"/>
      <c r="N1946" s="21"/>
      <c r="O1946" s="21"/>
      <c r="R1946">
        <v>7</v>
      </c>
    </row>
    <row r="1947" spans="2:18" ht="15" customHeight="1" x14ac:dyDescent="0.35">
      <c r="B1947" s="100">
        <f t="shared" si="34"/>
        <v>1918</v>
      </c>
      <c r="C1947" s="158" t="s">
        <v>2405</v>
      </c>
      <c r="D1947" s="159" t="s">
        <v>2406</v>
      </c>
      <c r="E1947" s="159">
        <v>4</v>
      </c>
      <c r="F1947" s="159" t="s">
        <v>2398</v>
      </c>
      <c r="G1947" s="147">
        <v>7</v>
      </c>
      <c r="H1947" s="159">
        <v>2.4300000000000002</v>
      </c>
      <c r="I1947" s="153">
        <v>7</v>
      </c>
      <c r="J1947" s="20">
        <v>443</v>
      </c>
      <c r="K1947" s="46">
        <v>2006</v>
      </c>
      <c r="L1947" s="29">
        <f>COUNTIF(E1918:E1965,"6")</f>
        <v>21</v>
      </c>
      <c r="M1947" s="21"/>
      <c r="N1947" s="21"/>
      <c r="O1947" s="21"/>
      <c r="R1947">
        <v>7</v>
      </c>
    </row>
    <row r="1948" spans="2:18" ht="15" customHeight="1" x14ac:dyDescent="0.35">
      <c r="B1948" s="100">
        <f t="shared" si="34"/>
        <v>1919</v>
      </c>
      <c r="C1948" s="158" t="s">
        <v>2407</v>
      </c>
      <c r="D1948" s="159" t="s">
        <v>2408</v>
      </c>
      <c r="E1948" s="159">
        <v>4</v>
      </c>
      <c r="F1948" s="159" t="s">
        <v>2398</v>
      </c>
      <c r="G1948" s="147">
        <v>7</v>
      </c>
      <c r="H1948" s="159">
        <v>2.5</v>
      </c>
      <c r="I1948" s="153">
        <v>7</v>
      </c>
      <c r="J1948" s="20">
        <v>463</v>
      </c>
      <c r="K1948" s="46">
        <v>2007</v>
      </c>
      <c r="L1948" s="29">
        <f>COUNTIF(E1918:E1965,"7")</f>
        <v>8</v>
      </c>
      <c r="M1948" s="21"/>
      <c r="N1948" s="21"/>
      <c r="O1948" s="21"/>
      <c r="R1948">
        <v>7</v>
      </c>
    </row>
    <row r="1949" spans="2:18" ht="15" customHeight="1" x14ac:dyDescent="0.35">
      <c r="B1949" s="100">
        <f t="shared" si="34"/>
        <v>1920</v>
      </c>
      <c r="C1949" s="158" t="s">
        <v>2409</v>
      </c>
      <c r="D1949" s="159" t="s">
        <v>2410</v>
      </c>
      <c r="E1949" s="159">
        <v>5</v>
      </c>
      <c r="F1949" s="159" t="s">
        <v>2398</v>
      </c>
      <c r="G1949" s="147">
        <v>6</v>
      </c>
      <c r="H1949" s="159">
        <v>2.92</v>
      </c>
      <c r="I1949" s="153">
        <v>6</v>
      </c>
      <c r="J1949" s="20">
        <v>457</v>
      </c>
      <c r="K1949" s="46"/>
      <c r="L1949" s="29">
        <f>SUM(L1944:L1948)</f>
        <v>48</v>
      </c>
      <c r="M1949" s="21"/>
      <c r="N1949" s="21"/>
      <c r="O1949" s="21"/>
      <c r="R1949">
        <v>6</v>
      </c>
    </row>
    <row r="1950" spans="2:18" ht="15" customHeight="1" x14ac:dyDescent="0.35">
      <c r="B1950" s="100">
        <f t="shared" si="34"/>
        <v>1921</v>
      </c>
      <c r="C1950" s="158" t="s">
        <v>2411</v>
      </c>
      <c r="D1950" s="159" t="s">
        <v>2412</v>
      </c>
      <c r="E1950" s="159">
        <v>5</v>
      </c>
      <c r="F1950" s="159" t="s">
        <v>2398</v>
      </c>
      <c r="G1950" s="147">
        <v>6</v>
      </c>
      <c r="H1950" s="159">
        <v>2.77</v>
      </c>
      <c r="I1950" s="153">
        <v>6</v>
      </c>
      <c r="J1950" s="20">
        <v>430</v>
      </c>
      <c r="K1950" s="29" t="s">
        <v>2313</v>
      </c>
      <c r="L1950" s="21"/>
      <c r="M1950" s="29">
        <f>COUNTIF(G1918:G1965,"&lt;=5")-COUNTIF(G1918:G1965,"&lt;3")</f>
        <v>29</v>
      </c>
      <c r="N1950" s="21"/>
      <c r="O1950" s="21"/>
      <c r="R1950">
        <v>6</v>
      </c>
    </row>
    <row r="1951" spans="2:18" ht="15" customHeight="1" x14ac:dyDescent="0.35">
      <c r="B1951" s="100">
        <f t="shared" si="34"/>
        <v>1922</v>
      </c>
      <c r="C1951" s="158" t="s">
        <v>2413</v>
      </c>
      <c r="D1951" s="159" t="s">
        <v>2414</v>
      </c>
      <c r="E1951" s="159">
        <v>5</v>
      </c>
      <c r="F1951" s="159" t="s">
        <v>2398</v>
      </c>
      <c r="G1951" s="147">
        <v>6</v>
      </c>
      <c r="H1951" s="159">
        <v>2.82</v>
      </c>
      <c r="I1951" s="153">
        <v>6</v>
      </c>
      <c r="J1951" s="20">
        <v>440</v>
      </c>
      <c r="K1951" s="29" t="s">
        <v>1798</v>
      </c>
      <c r="L1951" s="46"/>
      <c r="M1951" s="34">
        <f>SUM(G1918:G1965)/L1949</f>
        <v>5.2583333333333329</v>
      </c>
      <c r="N1951" s="21"/>
      <c r="O1951" s="21"/>
      <c r="R1951">
        <v>6</v>
      </c>
    </row>
    <row r="1952" spans="2:18" ht="15" customHeight="1" x14ac:dyDescent="0.35">
      <c r="B1952" s="100">
        <f t="shared" si="34"/>
        <v>1923</v>
      </c>
      <c r="C1952" s="171" t="s">
        <v>2415</v>
      </c>
      <c r="D1952" s="172" t="s">
        <v>2416</v>
      </c>
      <c r="E1952" s="172">
        <v>6</v>
      </c>
      <c r="F1952" s="172" t="s">
        <v>2398</v>
      </c>
      <c r="G1952" s="147">
        <v>5</v>
      </c>
      <c r="H1952" s="159">
        <v>2.74</v>
      </c>
      <c r="I1952" s="153">
        <v>5</v>
      </c>
      <c r="J1952" s="20">
        <v>427</v>
      </c>
      <c r="K1952" s="29" t="s">
        <v>1801</v>
      </c>
      <c r="L1952" s="46"/>
      <c r="M1952" s="34">
        <f>SUM(I1918:I1965)/L1949</f>
        <v>5.2583333333333329</v>
      </c>
      <c r="N1952" s="21"/>
      <c r="O1952" s="21"/>
      <c r="R1952">
        <v>5</v>
      </c>
    </row>
    <row r="1953" spans="2:19" ht="15" customHeight="1" x14ac:dyDescent="0.35">
      <c r="B1953" s="100">
        <f t="shared" si="34"/>
        <v>1924</v>
      </c>
      <c r="C1953" s="171" t="s">
        <v>2417</v>
      </c>
      <c r="D1953" s="172" t="s">
        <v>2418</v>
      </c>
      <c r="E1953" s="172">
        <v>6</v>
      </c>
      <c r="F1953" s="172" t="s">
        <v>2398</v>
      </c>
      <c r="G1953" s="147">
        <v>5</v>
      </c>
      <c r="H1953" s="159">
        <v>2.77</v>
      </c>
      <c r="I1953" s="153">
        <v>5</v>
      </c>
      <c r="J1953" s="20">
        <v>430</v>
      </c>
      <c r="K1953" s="29" t="s">
        <v>1804</v>
      </c>
      <c r="L1953" s="46"/>
      <c r="M1953" s="30">
        <f>MIN(H1918:H1965)</f>
        <v>2.11</v>
      </c>
      <c r="N1953" s="21"/>
      <c r="O1953" s="21"/>
      <c r="R1953">
        <v>5</v>
      </c>
    </row>
    <row r="1954" spans="2:19" ht="15" customHeight="1" x14ac:dyDescent="0.35">
      <c r="B1954" s="100">
        <f t="shared" si="34"/>
        <v>1925</v>
      </c>
      <c r="C1954" s="171" t="s">
        <v>2419</v>
      </c>
      <c r="D1954" s="172" t="s">
        <v>2420</v>
      </c>
      <c r="E1954" s="172">
        <v>6</v>
      </c>
      <c r="F1954" s="172" t="s">
        <v>2398</v>
      </c>
      <c r="G1954" s="147">
        <v>5</v>
      </c>
      <c r="H1954" s="159">
        <v>3.03</v>
      </c>
      <c r="I1954" s="153">
        <v>5</v>
      </c>
      <c r="J1954" s="20">
        <v>427</v>
      </c>
      <c r="K1954" s="29" t="s">
        <v>1807</v>
      </c>
      <c r="L1954" s="46"/>
      <c r="M1954" s="30">
        <f>SUM(H1918:H1965)/L1949</f>
        <v>2.9927083333333324</v>
      </c>
      <c r="N1954" s="21"/>
      <c r="O1954" s="21"/>
      <c r="R1954">
        <v>5</v>
      </c>
    </row>
    <row r="1955" spans="2:19" ht="15" customHeight="1" x14ac:dyDescent="0.35">
      <c r="B1955" s="100">
        <f t="shared" si="34"/>
        <v>1926</v>
      </c>
      <c r="C1955" s="171" t="s">
        <v>2421</v>
      </c>
      <c r="D1955" s="172" t="s">
        <v>2422</v>
      </c>
      <c r="E1955" s="172">
        <v>6</v>
      </c>
      <c r="F1955" s="172" t="s">
        <v>2398</v>
      </c>
      <c r="G1955" s="147">
        <v>5</v>
      </c>
      <c r="H1955" s="159">
        <v>3.04</v>
      </c>
      <c r="I1955" s="153">
        <v>5</v>
      </c>
      <c r="J1955" s="20">
        <v>427</v>
      </c>
      <c r="K1955" s="29" t="s">
        <v>1810</v>
      </c>
      <c r="L1955" s="46"/>
      <c r="M1955" s="30">
        <f>MAX(H1918:H1965)</f>
        <v>3.67</v>
      </c>
      <c r="N1955" s="21"/>
      <c r="O1955" s="21"/>
      <c r="R1955">
        <v>5</v>
      </c>
    </row>
    <row r="1956" spans="2:19" ht="15" customHeight="1" x14ac:dyDescent="0.35">
      <c r="B1956" s="100">
        <f t="shared" si="34"/>
        <v>1927</v>
      </c>
      <c r="C1956" s="171" t="s">
        <v>2423</v>
      </c>
      <c r="D1956" s="172" t="s">
        <v>2424</v>
      </c>
      <c r="E1956" s="172">
        <v>6</v>
      </c>
      <c r="F1956" s="172" t="s">
        <v>2398</v>
      </c>
      <c r="G1956" s="147">
        <v>5</v>
      </c>
      <c r="H1956" s="159">
        <v>2.72</v>
      </c>
      <c r="I1956" s="153">
        <v>5</v>
      </c>
      <c r="J1956" s="20">
        <v>430</v>
      </c>
      <c r="K1956" s="29" t="s">
        <v>1813</v>
      </c>
      <c r="L1956" s="29">
        <f>COUNTIF(H1918:H1965,"&lt;2.75")</f>
        <v>0</v>
      </c>
      <c r="M1956" s="30" t="e">
        <f>(L1956/L1959)*100</f>
        <v>#DIV/0!</v>
      </c>
      <c r="N1956" s="21"/>
      <c r="O1956" s="21"/>
      <c r="R1956">
        <v>5</v>
      </c>
    </row>
    <row r="1957" spans="2:19" ht="15" customHeight="1" x14ac:dyDescent="0.35">
      <c r="B1957" s="100">
        <f t="shared" si="34"/>
        <v>1928</v>
      </c>
      <c r="C1957" s="171" t="s">
        <v>2425</v>
      </c>
      <c r="D1957" s="172" t="s">
        <v>2426</v>
      </c>
      <c r="E1957" s="172">
        <v>6</v>
      </c>
      <c r="F1957" s="172" t="s">
        <v>2398</v>
      </c>
      <c r="G1957" s="147">
        <v>5</v>
      </c>
      <c r="H1957" s="173">
        <v>3</v>
      </c>
      <c r="I1957" s="153">
        <v>5</v>
      </c>
      <c r="J1957" s="20">
        <v>400</v>
      </c>
      <c r="K1957" s="29" t="s">
        <v>1816</v>
      </c>
      <c r="L1957" s="29">
        <f>COUNTIF(H1918:H1965,"&lt;=3.50")-COUNTIF(H1918:H1965,"&lt;2.75")</f>
        <v>0</v>
      </c>
      <c r="M1957" s="30" t="e">
        <f>(L1957/L1959)*100</f>
        <v>#DIV/0!</v>
      </c>
      <c r="N1957" s="21"/>
      <c r="O1957" s="21"/>
      <c r="R1957">
        <v>5</v>
      </c>
    </row>
    <row r="1958" spans="2:19" ht="15" customHeight="1" x14ac:dyDescent="0.35">
      <c r="B1958" s="100">
        <f t="shared" si="34"/>
        <v>1929</v>
      </c>
      <c r="C1958" s="174" t="s">
        <v>2427</v>
      </c>
      <c r="D1958" s="172" t="s">
        <v>2428</v>
      </c>
      <c r="E1958" s="172">
        <v>7</v>
      </c>
      <c r="F1958" s="172" t="s">
        <v>2398</v>
      </c>
      <c r="G1958" s="147">
        <v>4</v>
      </c>
      <c r="H1958" s="159">
        <v>3.2</v>
      </c>
      <c r="I1958" s="153">
        <v>4</v>
      </c>
      <c r="J1958" s="20">
        <v>407</v>
      </c>
      <c r="K1958" s="29" t="s">
        <v>1819</v>
      </c>
      <c r="L1958" s="29">
        <f>COUNTIF(H1918:H1965,"&gt;3.50")</f>
        <v>0</v>
      </c>
      <c r="M1958" s="30" t="e">
        <f>(L1958/L1959)*100</f>
        <v>#DIV/0!</v>
      </c>
      <c r="N1958" s="21"/>
      <c r="O1958" s="21"/>
      <c r="R1958">
        <v>4</v>
      </c>
    </row>
    <row r="1959" spans="2:19" ht="15" customHeight="1" x14ac:dyDescent="0.35">
      <c r="B1959" s="100">
        <f t="shared" si="34"/>
        <v>1930</v>
      </c>
      <c r="C1959" s="171" t="s">
        <v>2429</v>
      </c>
      <c r="D1959" s="172" t="s">
        <v>2430</v>
      </c>
      <c r="E1959" s="172">
        <v>7</v>
      </c>
      <c r="F1959" s="172" t="s">
        <v>2398</v>
      </c>
      <c r="G1959" s="147">
        <v>4</v>
      </c>
      <c r="H1959" s="159">
        <v>3.52</v>
      </c>
      <c r="I1959" s="153">
        <v>4</v>
      </c>
      <c r="J1959" s="20">
        <v>563</v>
      </c>
      <c r="K1959" s="29" t="s">
        <v>1820</v>
      </c>
      <c r="L1959" s="29">
        <f>SUM(L1956:L1958)</f>
        <v>0</v>
      </c>
      <c r="M1959" s="21"/>
      <c r="N1959" s="21"/>
      <c r="O1959" s="21"/>
      <c r="R1959">
        <v>4</v>
      </c>
    </row>
    <row r="1960" spans="2:19" ht="15" customHeight="1" x14ac:dyDescent="0.35">
      <c r="B1960" s="100">
        <f t="shared" si="34"/>
        <v>1931</v>
      </c>
      <c r="C1960" s="171" t="s">
        <v>2431</v>
      </c>
      <c r="D1960" s="172" t="s">
        <v>2432</v>
      </c>
      <c r="E1960" s="172">
        <v>7</v>
      </c>
      <c r="F1960" s="172" t="s">
        <v>2398</v>
      </c>
      <c r="G1960" s="147">
        <v>4</v>
      </c>
      <c r="H1960" s="159">
        <v>3.26</v>
      </c>
      <c r="I1960" s="153">
        <v>4</v>
      </c>
      <c r="J1960" s="20">
        <v>423</v>
      </c>
      <c r="K1960" s="38"/>
      <c r="L1960" s="21"/>
      <c r="M1960" s="21"/>
      <c r="N1960" s="21"/>
      <c r="O1960" s="21"/>
      <c r="R1960">
        <v>4</v>
      </c>
    </row>
    <row r="1961" spans="2:19" ht="15" customHeight="1" x14ac:dyDescent="0.35">
      <c r="B1961" s="100">
        <f t="shared" si="34"/>
        <v>1932</v>
      </c>
      <c r="C1961" s="171" t="s">
        <v>2433</v>
      </c>
      <c r="D1961" s="172" t="s">
        <v>2434</v>
      </c>
      <c r="E1961" s="172">
        <v>7</v>
      </c>
      <c r="F1961" s="172" t="s">
        <v>2398</v>
      </c>
      <c r="G1961" s="147">
        <v>4</v>
      </c>
      <c r="H1961" s="159">
        <v>3.31</v>
      </c>
      <c r="I1961" s="153">
        <v>4</v>
      </c>
      <c r="J1961" s="20">
        <v>457</v>
      </c>
      <c r="K1961" s="38"/>
      <c r="L1961" s="21"/>
      <c r="M1961" s="21"/>
      <c r="N1961" s="21"/>
      <c r="O1961" s="21"/>
      <c r="R1961">
        <v>4</v>
      </c>
    </row>
    <row r="1962" spans="2:19" ht="15" customHeight="1" x14ac:dyDescent="0.35">
      <c r="B1962" s="100">
        <f t="shared" si="34"/>
        <v>1933</v>
      </c>
      <c r="C1962" s="171" t="s">
        <v>2435</v>
      </c>
      <c r="D1962" s="172" t="s">
        <v>2436</v>
      </c>
      <c r="E1962" s="172">
        <v>7</v>
      </c>
      <c r="F1962" s="172" t="s">
        <v>2398</v>
      </c>
      <c r="G1962" s="147">
        <v>4</v>
      </c>
      <c r="H1962" s="159">
        <v>3.32</v>
      </c>
      <c r="I1962" s="153">
        <v>4</v>
      </c>
      <c r="J1962" s="20">
        <v>477</v>
      </c>
      <c r="K1962" s="38"/>
      <c r="L1962" s="21"/>
      <c r="M1962" s="21"/>
      <c r="N1962" s="21"/>
      <c r="O1962" s="21"/>
      <c r="R1962">
        <v>4</v>
      </c>
    </row>
    <row r="1963" spans="2:19" ht="15" customHeight="1" x14ac:dyDescent="0.35">
      <c r="B1963" s="100">
        <f t="shared" si="34"/>
        <v>1934</v>
      </c>
      <c r="C1963" s="171" t="s">
        <v>2437</v>
      </c>
      <c r="D1963" s="172" t="s">
        <v>2438</v>
      </c>
      <c r="E1963" s="172">
        <v>7</v>
      </c>
      <c r="F1963" s="172" t="s">
        <v>2398</v>
      </c>
      <c r="G1963" s="147">
        <v>4</v>
      </c>
      <c r="H1963" s="159">
        <v>3.67</v>
      </c>
      <c r="I1963" s="153">
        <v>4</v>
      </c>
      <c r="J1963" s="20">
        <v>547</v>
      </c>
      <c r="K1963" s="46" t="s">
        <v>2336</v>
      </c>
      <c r="L1963" s="40" t="e">
        <f>SUM(J1918:J1965)/L1959</f>
        <v>#DIV/0!</v>
      </c>
      <c r="M1963" s="21"/>
      <c r="N1963" s="21"/>
      <c r="O1963" s="21"/>
      <c r="R1963">
        <v>4</v>
      </c>
    </row>
    <row r="1964" spans="2:19" ht="15" customHeight="1" x14ac:dyDescent="0.35">
      <c r="B1964" s="100">
        <f t="shared" si="34"/>
        <v>1935</v>
      </c>
      <c r="C1964" s="171" t="s">
        <v>2439</v>
      </c>
      <c r="D1964" s="172" t="s">
        <v>2440</v>
      </c>
      <c r="E1964" s="172">
        <v>7</v>
      </c>
      <c r="F1964" s="172" t="s">
        <v>2398</v>
      </c>
      <c r="G1964" s="147">
        <v>4</v>
      </c>
      <c r="H1964" s="159">
        <v>3.41</v>
      </c>
      <c r="I1964" s="153">
        <v>4</v>
      </c>
      <c r="J1964" s="20">
        <v>463</v>
      </c>
      <c r="K1964" s="29" t="s">
        <v>2339</v>
      </c>
      <c r="L1964" s="29">
        <f>MIN(J1918:J1965)</f>
        <v>400</v>
      </c>
      <c r="M1964" s="21"/>
      <c r="N1964" s="21"/>
      <c r="O1964" s="21"/>
      <c r="R1964">
        <v>4</v>
      </c>
    </row>
    <row r="1965" spans="2:19" ht="15" customHeight="1" x14ac:dyDescent="0.35">
      <c r="B1965" s="100">
        <f t="shared" si="34"/>
        <v>1936</v>
      </c>
      <c r="C1965" s="171" t="s">
        <v>2441</v>
      </c>
      <c r="D1965" s="172" t="s">
        <v>2442</v>
      </c>
      <c r="E1965" s="172">
        <v>7</v>
      </c>
      <c r="F1965" s="172" t="s">
        <v>2398</v>
      </c>
      <c r="G1965" s="147">
        <v>4</v>
      </c>
      <c r="H1965" s="159">
        <v>3.54</v>
      </c>
      <c r="I1965" s="153">
        <v>4</v>
      </c>
      <c r="J1965" s="20">
        <v>580</v>
      </c>
      <c r="K1965" s="29" t="s">
        <v>2340</v>
      </c>
      <c r="L1965" s="29">
        <f>MAX(J1918:J1965)</f>
        <v>590</v>
      </c>
      <c r="M1965" s="21"/>
      <c r="N1965" s="21"/>
      <c r="O1965" s="21"/>
      <c r="R1965">
        <v>4</v>
      </c>
    </row>
    <row r="1966" spans="2:19" ht="15" customHeight="1" x14ac:dyDescent="0.35">
      <c r="B1966" s="100"/>
      <c r="C1966" s="175"/>
      <c r="D1966" s="147"/>
      <c r="E1966" s="147"/>
      <c r="F1966" s="147"/>
      <c r="G1966" s="175"/>
      <c r="H1966" s="159"/>
      <c r="I1966" s="102"/>
      <c r="J1966" s="20"/>
      <c r="K1966" s="21"/>
      <c r="L1966" s="21"/>
      <c r="M1966" s="21"/>
      <c r="N1966" s="21"/>
      <c r="O1966" s="21"/>
    </row>
    <row r="1967" spans="2:19" ht="15" customHeight="1" x14ac:dyDescent="0.35">
      <c r="B1967" s="100"/>
      <c r="C1967" s="175"/>
      <c r="D1967" s="147"/>
      <c r="E1967" s="147"/>
      <c r="F1967" s="147"/>
      <c r="G1967" s="175"/>
      <c r="H1967" s="159"/>
      <c r="I1967" s="99"/>
      <c r="J1967" s="20"/>
      <c r="K1967" s="21"/>
      <c r="L1967" s="21"/>
      <c r="M1967" s="21"/>
      <c r="N1967" s="21"/>
      <c r="O1967" s="21"/>
    </row>
    <row r="1968" spans="2:19" ht="15" customHeight="1" x14ac:dyDescent="0.35">
      <c r="B1968" s="100"/>
      <c r="C1968" s="176" t="s">
        <v>2443</v>
      </c>
      <c r="D1968" s="147"/>
      <c r="E1968" s="141" t="s">
        <v>1822</v>
      </c>
      <c r="F1968" s="147"/>
      <c r="G1968" s="141" t="s">
        <v>2200</v>
      </c>
      <c r="H1968" s="148" t="s">
        <v>6</v>
      </c>
      <c r="I1968" s="100" t="s">
        <v>2200</v>
      </c>
      <c r="J1968" s="42" t="s">
        <v>2201</v>
      </c>
      <c r="K1968" s="21"/>
      <c r="L1968" s="21"/>
      <c r="M1968" s="21"/>
      <c r="N1968" s="21"/>
      <c r="O1968" s="21"/>
      <c r="R1968" t="s">
        <v>5043</v>
      </c>
      <c r="S1968" t="s">
        <v>5044</v>
      </c>
    </row>
    <row r="1969" spans="2:18" ht="15" customHeight="1" x14ac:dyDescent="0.35">
      <c r="B1969" s="100">
        <f>(B1965+1)</f>
        <v>1937</v>
      </c>
      <c r="C1969" s="101" t="s">
        <v>2444</v>
      </c>
      <c r="D1969" s="99" t="s">
        <v>2445</v>
      </c>
      <c r="E1969" s="99">
        <v>2</v>
      </c>
      <c r="F1969" s="99" t="s">
        <v>2446</v>
      </c>
      <c r="G1969" s="99">
        <v>9.1999999999999993</v>
      </c>
      <c r="H1969" s="129">
        <v>2.13</v>
      </c>
      <c r="I1969" s="143">
        <v>9.1999999999999993</v>
      </c>
      <c r="J1969" s="20"/>
      <c r="K1969" s="21"/>
      <c r="L1969" s="21"/>
      <c r="M1969" s="21"/>
      <c r="N1969" s="21"/>
      <c r="O1969" s="21"/>
      <c r="R1969">
        <v>9.1999999999999993</v>
      </c>
    </row>
    <row r="1970" spans="2:18" ht="15" customHeight="1" x14ac:dyDescent="0.35">
      <c r="B1970" s="100">
        <f t="shared" si="34"/>
        <v>1938</v>
      </c>
      <c r="C1970" s="101" t="s">
        <v>2447</v>
      </c>
      <c r="D1970" s="177" t="s">
        <v>2448</v>
      </c>
      <c r="E1970" s="177">
        <v>7</v>
      </c>
      <c r="F1970" s="103">
        <v>40836</v>
      </c>
      <c r="G1970" s="99">
        <v>4.2</v>
      </c>
      <c r="H1970" s="178">
        <v>3.3</v>
      </c>
      <c r="I1970" s="143">
        <v>4.2</v>
      </c>
      <c r="J1970" s="20">
        <v>413</v>
      </c>
      <c r="K1970" s="21"/>
      <c r="L1970" s="21"/>
      <c r="M1970" s="21"/>
      <c r="N1970" s="21"/>
      <c r="O1970" s="21"/>
      <c r="R1970">
        <v>4.2</v>
      </c>
    </row>
    <row r="1971" spans="2:18" ht="15" customHeight="1" x14ac:dyDescent="0.35">
      <c r="B1971" s="100">
        <f t="shared" si="34"/>
        <v>1939</v>
      </c>
      <c r="C1971" s="101" t="s">
        <v>2449</v>
      </c>
      <c r="D1971" s="177" t="s">
        <v>2450</v>
      </c>
      <c r="E1971" s="177">
        <v>7</v>
      </c>
      <c r="F1971" s="103">
        <v>40836</v>
      </c>
      <c r="G1971" s="99">
        <v>4.2</v>
      </c>
      <c r="H1971" s="178">
        <v>3.16</v>
      </c>
      <c r="I1971" s="143">
        <v>4.2</v>
      </c>
      <c r="J1971" s="20">
        <v>403</v>
      </c>
      <c r="K1971" s="21"/>
      <c r="L1971" s="21"/>
      <c r="M1971" s="21"/>
      <c r="N1971" s="21"/>
      <c r="O1971" s="21"/>
      <c r="R1971">
        <v>4.2</v>
      </c>
    </row>
    <row r="1972" spans="2:18" ht="15" customHeight="1" x14ac:dyDescent="0.35">
      <c r="B1972" s="100">
        <f t="shared" si="34"/>
        <v>1940</v>
      </c>
      <c r="C1972" s="101" t="s">
        <v>2451</v>
      </c>
      <c r="D1972" s="177" t="s">
        <v>2452</v>
      </c>
      <c r="E1972" s="177">
        <v>7</v>
      </c>
      <c r="F1972" s="103">
        <v>40836</v>
      </c>
      <c r="G1972" s="99">
        <v>4.2</v>
      </c>
      <c r="H1972" s="178">
        <v>3.2</v>
      </c>
      <c r="I1972" s="143">
        <v>4.2</v>
      </c>
      <c r="J1972" s="20">
        <v>507</v>
      </c>
      <c r="K1972" s="21"/>
      <c r="L1972" s="21"/>
      <c r="M1972" s="21"/>
      <c r="N1972" s="21"/>
      <c r="O1972" s="21"/>
      <c r="R1972">
        <v>4.2</v>
      </c>
    </row>
    <row r="1973" spans="2:18" ht="15" customHeight="1" x14ac:dyDescent="0.35">
      <c r="B1973" s="100">
        <f t="shared" si="34"/>
        <v>1941</v>
      </c>
      <c r="C1973" s="101" t="s">
        <v>2453</v>
      </c>
      <c r="D1973" s="177" t="s">
        <v>2454</v>
      </c>
      <c r="E1973" s="177">
        <v>7</v>
      </c>
      <c r="F1973" s="103">
        <v>40836</v>
      </c>
      <c r="G1973" s="99">
        <v>4.2</v>
      </c>
      <c r="H1973" s="178">
        <v>3.28</v>
      </c>
      <c r="I1973" s="143">
        <v>4.2</v>
      </c>
      <c r="J1973" s="20">
        <v>427</v>
      </c>
      <c r="K1973" s="21"/>
      <c r="L1973" s="21"/>
      <c r="M1973" s="21"/>
      <c r="N1973" s="21"/>
      <c r="O1973" s="21"/>
      <c r="R1973">
        <v>4.2</v>
      </c>
    </row>
    <row r="1974" spans="2:18" ht="15" customHeight="1" x14ac:dyDescent="0.35">
      <c r="B1974" s="100">
        <f t="shared" si="34"/>
        <v>1942</v>
      </c>
      <c r="C1974" s="101" t="s">
        <v>2455</v>
      </c>
      <c r="D1974" s="177" t="s">
        <v>2456</v>
      </c>
      <c r="E1974" s="177">
        <v>7</v>
      </c>
      <c r="F1974" s="103">
        <v>40836</v>
      </c>
      <c r="G1974" s="99">
        <v>4.2</v>
      </c>
      <c r="H1974" s="178">
        <v>3.47</v>
      </c>
      <c r="I1974" s="143">
        <v>4.2</v>
      </c>
      <c r="J1974" s="20">
        <v>423</v>
      </c>
      <c r="K1974" s="21"/>
      <c r="L1974" s="21"/>
      <c r="M1974" s="30"/>
      <c r="N1974" s="21"/>
      <c r="O1974" s="21"/>
      <c r="R1974">
        <v>4.2</v>
      </c>
    </row>
    <row r="1975" spans="2:18" ht="15" customHeight="1" x14ac:dyDescent="0.35">
      <c r="B1975" s="100">
        <f t="shared" si="34"/>
        <v>1943</v>
      </c>
      <c r="C1975" s="101" t="s">
        <v>2457</v>
      </c>
      <c r="D1975" s="177" t="s">
        <v>2458</v>
      </c>
      <c r="E1975" s="177">
        <v>5</v>
      </c>
      <c r="F1975" s="103">
        <v>40836</v>
      </c>
      <c r="G1975" s="99">
        <v>6.2</v>
      </c>
      <c r="H1975" s="178">
        <v>2.8</v>
      </c>
      <c r="I1975" s="143">
        <v>6.2</v>
      </c>
      <c r="J1975" s="20">
        <v>467</v>
      </c>
      <c r="K1975" s="21"/>
      <c r="L1975" s="21"/>
      <c r="M1975" s="30"/>
      <c r="N1975" s="21"/>
      <c r="O1975" s="21"/>
      <c r="R1975">
        <v>6.2</v>
      </c>
    </row>
    <row r="1976" spans="2:18" ht="15" customHeight="1" x14ac:dyDescent="0.35">
      <c r="B1976" s="100">
        <f t="shared" si="34"/>
        <v>1944</v>
      </c>
      <c r="C1976" s="101" t="s">
        <v>2459</v>
      </c>
      <c r="D1976" s="177" t="s">
        <v>2460</v>
      </c>
      <c r="E1976" s="177">
        <v>6</v>
      </c>
      <c r="F1976" s="103">
        <v>40836</v>
      </c>
      <c r="G1976" s="99">
        <v>5.2</v>
      </c>
      <c r="H1976" s="178">
        <v>3.1</v>
      </c>
      <c r="I1976" s="143">
        <v>5.2</v>
      </c>
      <c r="J1976" s="20">
        <v>507</v>
      </c>
      <c r="K1976" s="21"/>
      <c r="L1976" s="21"/>
      <c r="M1976" s="30"/>
      <c r="N1976" s="21"/>
      <c r="O1976" s="21"/>
      <c r="R1976">
        <v>5.2</v>
      </c>
    </row>
    <row r="1977" spans="2:18" ht="15" customHeight="1" x14ac:dyDescent="0.35">
      <c r="B1977" s="100">
        <f t="shared" si="34"/>
        <v>1945</v>
      </c>
      <c r="C1977" s="101" t="s">
        <v>2461</v>
      </c>
      <c r="D1977" s="177" t="s">
        <v>2462</v>
      </c>
      <c r="E1977" s="177">
        <v>7</v>
      </c>
      <c r="F1977" s="103">
        <v>40836</v>
      </c>
      <c r="G1977" s="99">
        <v>4.2</v>
      </c>
      <c r="H1977" s="178">
        <v>3.03</v>
      </c>
      <c r="I1977" s="143">
        <v>4.2</v>
      </c>
      <c r="J1977" s="20">
        <v>413</v>
      </c>
      <c r="K1977" s="21"/>
      <c r="L1977" s="29"/>
      <c r="M1977" s="21"/>
      <c r="N1977" s="21"/>
      <c r="O1977" s="21"/>
      <c r="R1977">
        <v>4.2</v>
      </c>
    </row>
    <row r="1978" spans="2:18" ht="15" customHeight="1" x14ac:dyDescent="0.35">
      <c r="B1978" s="100">
        <f t="shared" si="34"/>
        <v>1946</v>
      </c>
      <c r="C1978" s="101" t="s">
        <v>2463</v>
      </c>
      <c r="D1978" s="177" t="s">
        <v>2464</v>
      </c>
      <c r="E1978" s="177">
        <v>7</v>
      </c>
      <c r="F1978" s="103">
        <v>40836</v>
      </c>
      <c r="G1978" s="99">
        <v>4.2</v>
      </c>
      <c r="H1978" s="178">
        <v>3.26</v>
      </c>
      <c r="I1978" s="143">
        <v>4.2</v>
      </c>
      <c r="J1978" s="20">
        <v>450</v>
      </c>
      <c r="K1978" s="38"/>
      <c r="L1978" s="21"/>
      <c r="M1978" s="21"/>
      <c r="N1978" s="21"/>
      <c r="O1978" s="21"/>
      <c r="R1978">
        <v>4.2</v>
      </c>
    </row>
    <row r="1979" spans="2:18" ht="15" customHeight="1" x14ac:dyDescent="0.35">
      <c r="B1979" s="100">
        <f t="shared" si="34"/>
        <v>1947</v>
      </c>
      <c r="C1979" s="101" t="s">
        <v>2465</v>
      </c>
      <c r="D1979" s="177" t="s">
        <v>2466</v>
      </c>
      <c r="E1979" s="177">
        <v>7</v>
      </c>
      <c r="F1979" s="103">
        <v>40836</v>
      </c>
      <c r="G1979" s="99">
        <v>4.2</v>
      </c>
      <c r="H1979" s="178">
        <v>3.17</v>
      </c>
      <c r="I1979" s="143">
        <v>4.2</v>
      </c>
      <c r="J1979" s="20">
        <v>433</v>
      </c>
      <c r="K1979" s="38"/>
      <c r="L1979" s="21"/>
      <c r="M1979" s="21"/>
      <c r="N1979" s="21"/>
      <c r="O1979" s="21"/>
      <c r="R1979">
        <v>4.2</v>
      </c>
    </row>
    <row r="1980" spans="2:18" ht="15" customHeight="1" x14ac:dyDescent="0.35">
      <c r="B1980" s="100">
        <f t="shared" si="34"/>
        <v>1948</v>
      </c>
      <c r="C1980" s="101" t="s">
        <v>2467</v>
      </c>
      <c r="D1980" s="177" t="s">
        <v>2468</v>
      </c>
      <c r="E1980" s="177">
        <v>7</v>
      </c>
      <c r="F1980" s="103">
        <v>40836</v>
      </c>
      <c r="G1980" s="99">
        <v>4.2</v>
      </c>
      <c r="H1980" s="178">
        <v>3.56</v>
      </c>
      <c r="I1980" s="143">
        <v>4.2</v>
      </c>
      <c r="J1980" s="20">
        <v>467</v>
      </c>
      <c r="K1980" s="38"/>
      <c r="L1980" s="21"/>
      <c r="M1980" s="21"/>
      <c r="N1980" s="21"/>
      <c r="O1980" s="21"/>
      <c r="R1980">
        <v>4.2</v>
      </c>
    </row>
    <row r="1981" spans="2:18" ht="15" customHeight="1" x14ac:dyDescent="0.35">
      <c r="B1981" s="100">
        <f t="shared" si="34"/>
        <v>1949</v>
      </c>
      <c r="C1981" s="101" t="s">
        <v>2469</v>
      </c>
      <c r="D1981" s="177" t="s">
        <v>2470</v>
      </c>
      <c r="E1981" s="177">
        <v>6</v>
      </c>
      <c r="F1981" s="103">
        <v>40836</v>
      </c>
      <c r="G1981" s="99">
        <v>5.2</v>
      </c>
      <c r="H1981" s="178">
        <v>2.78</v>
      </c>
      <c r="I1981" s="143">
        <v>5.2</v>
      </c>
      <c r="J1981" s="20">
        <v>417</v>
      </c>
      <c r="K1981" s="38"/>
      <c r="L1981" s="21"/>
      <c r="M1981" s="21"/>
      <c r="N1981" s="21"/>
      <c r="O1981" s="21"/>
      <c r="R1981">
        <v>5.2</v>
      </c>
    </row>
    <row r="1982" spans="2:18" ht="15" customHeight="1" x14ac:dyDescent="0.35">
      <c r="B1982" s="100">
        <f t="shared" si="34"/>
        <v>1950</v>
      </c>
      <c r="C1982" s="101" t="s">
        <v>2471</v>
      </c>
      <c r="D1982" s="177" t="s">
        <v>2472</v>
      </c>
      <c r="E1982" s="177">
        <v>3</v>
      </c>
      <c r="F1982" s="103">
        <v>40836</v>
      </c>
      <c r="G1982" s="99">
        <v>8.1999999999999993</v>
      </c>
      <c r="H1982" s="178">
        <v>2.1</v>
      </c>
      <c r="I1982" s="143">
        <v>8.1999999999999993</v>
      </c>
      <c r="J1982" s="20">
        <v>460</v>
      </c>
      <c r="K1982" s="38"/>
      <c r="L1982" s="21"/>
      <c r="M1982" s="21"/>
      <c r="N1982" s="21"/>
      <c r="O1982" s="21"/>
      <c r="R1982">
        <v>8.1999999999999993</v>
      </c>
    </row>
    <row r="1983" spans="2:18" ht="15" customHeight="1" x14ac:dyDescent="0.35">
      <c r="B1983" s="100">
        <f t="shared" ref="B1983:B2043" si="35">(B1982+1)</f>
        <v>1951</v>
      </c>
      <c r="C1983" s="101" t="s">
        <v>2473</v>
      </c>
      <c r="D1983" s="177" t="s">
        <v>2474</v>
      </c>
      <c r="E1983" s="177">
        <v>3</v>
      </c>
      <c r="F1983" s="103">
        <v>40836</v>
      </c>
      <c r="G1983" s="99">
        <v>8.1999999999999993</v>
      </c>
      <c r="H1983" s="178">
        <v>2.4900000000000002</v>
      </c>
      <c r="I1983" s="143">
        <v>8.1999999999999993</v>
      </c>
      <c r="J1983" s="20">
        <v>477</v>
      </c>
      <c r="K1983" s="38"/>
      <c r="L1983" s="21"/>
      <c r="M1983" s="21"/>
      <c r="N1983" s="21"/>
      <c r="O1983" s="21"/>
      <c r="R1983">
        <v>8.1999999999999993</v>
      </c>
    </row>
    <row r="1984" spans="2:18" ht="15" customHeight="1" x14ac:dyDescent="0.35">
      <c r="B1984" s="100">
        <f t="shared" si="35"/>
        <v>1952</v>
      </c>
      <c r="C1984" s="101" t="s">
        <v>2475</v>
      </c>
      <c r="D1984" s="177" t="s">
        <v>2476</v>
      </c>
      <c r="E1984" s="177">
        <v>3</v>
      </c>
      <c r="F1984" s="103">
        <v>40836</v>
      </c>
      <c r="G1984" s="99">
        <v>8.1999999999999993</v>
      </c>
      <c r="H1984" s="178">
        <v>2.1</v>
      </c>
      <c r="I1984" s="143">
        <v>8.1999999999999993</v>
      </c>
      <c r="J1984" s="20">
        <v>503</v>
      </c>
      <c r="K1984" s="38"/>
      <c r="L1984" s="21"/>
      <c r="M1984" s="21"/>
      <c r="N1984" s="21"/>
      <c r="O1984" s="21"/>
      <c r="R1984">
        <v>8.1999999999999993</v>
      </c>
    </row>
    <row r="1985" spans="2:18" ht="15" customHeight="1" x14ac:dyDescent="0.35">
      <c r="B1985" s="100">
        <f t="shared" si="35"/>
        <v>1953</v>
      </c>
      <c r="C1985" s="179" t="s">
        <v>2477</v>
      </c>
      <c r="D1985" s="180" t="s">
        <v>2478</v>
      </c>
      <c r="E1985" s="180">
        <v>6</v>
      </c>
      <c r="F1985" s="180" t="s">
        <v>2479</v>
      </c>
      <c r="G1985" s="180">
        <v>5.5</v>
      </c>
      <c r="H1985" s="181">
        <v>2.86</v>
      </c>
      <c r="I1985" s="168">
        <v>5.5</v>
      </c>
      <c r="J1985" s="20">
        <v>407</v>
      </c>
      <c r="K1985" s="21"/>
      <c r="L1985" s="21"/>
      <c r="M1985" s="21"/>
      <c r="N1985" s="21"/>
      <c r="O1985" s="21"/>
      <c r="R1985">
        <v>5.5</v>
      </c>
    </row>
    <row r="1986" spans="2:18" ht="15" customHeight="1" x14ac:dyDescent="0.35">
      <c r="B1986" s="100">
        <f t="shared" si="35"/>
        <v>1954</v>
      </c>
      <c r="C1986" s="179" t="s">
        <v>2480</v>
      </c>
      <c r="D1986" s="180" t="s">
        <v>2481</v>
      </c>
      <c r="E1986" s="180">
        <v>6</v>
      </c>
      <c r="F1986" s="180" t="s">
        <v>2479</v>
      </c>
      <c r="G1986" s="180">
        <v>5.5</v>
      </c>
      <c r="H1986" s="181">
        <v>2.39</v>
      </c>
      <c r="I1986" s="168">
        <v>5.5</v>
      </c>
      <c r="J1986" s="20">
        <v>410</v>
      </c>
      <c r="K1986" s="50" t="s">
        <v>2482</v>
      </c>
      <c r="L1986" s="21"/>
      <c r="M1986" s="21"/>
      <c r="N1986" s="50"/>
      <c r="O1986" s="21"/>
      <c r="R1986">
        <v>5.5</v>
      </c>
    </row>
    <row r="1987" spans="2:18" ht="15" customHeight="1" x14ac:dyDescent="0.35">
      <c r="B1987" s="100">
        <f t="shared" si="35"/>
        <v>1955</v>
      </c>
      <c r="C1987" s="179" t="s">
        <v>2483</v>
      </c>
      <c r="D1987" s="180" t="s">
        <v>2484</v>
      </c>
      <c r="E1987" s="180">
        <v>6</v>
      </c>
      <c r="F1987" s="180" t="s">
        <v>2479</v>
      </c>
      <c r="G1987" s="180">
        <v>5.5</v>
      </c>
      <c r="H1987" s="181">
        <v>2.81</v>
      </c>
      <c r="I1987" s="168">
        <v>5.5</v>
      </c>
      <c r="J1987" s="20">
        <v>430</v>
      </c>
      <c r="K1987" s="50" t="s">
        <v>2482</v>
      </c>
      <c r="L1987" s="21"/>
      <c r="M1987" s="21"/>
      <c r="N1987" s="50"/>
      <c r="O1987" s="21"/>
      <c r="R1987">
        <v>5.5</v>
      </c>
    </row>
    <row r="1988" spans="2:18" ht="15" customHeight="1" x14ac:dyDescent="0.35">
      <c r="B1988" s="100">
        <f t="shared" si="35"/>
        <v>1956</v>
      </c>
      <c r="C1988" s="179" t="s">
        <v>2485</v>
      </c>
      <c r="D1988" s="180" t="s">
        <v>2486</v>
      </c>
      <c r="E1988" s="180">
        <v>6</v>
      </c>
      <c r="F1988" s="180" t="s">
        <v>2479</v>
      </c>
      <c r="G1988" s="180">
        <v>5.5</v>
      </c>
      <c r="H1988" s="181">
        <v>2.91</v>
      </c>
      <c r="I1988" s="168">
        <v>5.5</v>
      </c>
      <c r="J1988" s="20">
        <v>420</v>
      </c>
      <c r="K1988" s="50" t="s">
        <v>2482</v>
      </c>
      <c r="L1988" s="21"/>
      <c r="M1988" s="21"/>
      <c r="N1988" s="50"/>
      <c r="O1988" s="21"/>
      <c r="R1988">
        <v>5.5</v>
      </c>
    </row>
    <row r="1989" spans="2:18" ht="15" customHeight="1" x14ac:dyDescent="0.35">
      <c r="B1989" s="100">
        <f t="shared" si="35"/>
        <v>1957</v>
      </c>
      <c r="C1989" s="179" t="s">
        <v>2487</v>
      </c>
      <c r="D1989" s="180" t="s">
        <v>2488</v>
      </c>
      <c r="E1989" s="180">
        <v>6</v>
      </c>
      <c r="F1989" s="180" t="s">
        <v>2479</v>
      </c>
      <c r="G1989" s="180">
        <v>5.5</v>
      </c>
      <c r="H1989" s="181">
        <v>2.99</v>
      </c>
      <c r="I1989" s="168">
        <v>5.5</v>
      </c>
      <c r="J1989" s="20">
        <v>437</v>
      </c>
      <c r="K1989" s="50" t="s">
        <v>2482</v>
      </c>
      <c r="L1989" s="21"/>
      <c r="M1989" s="21"/>
      <c r="N1989" s="50"/>
      <c r="O1989" s="21"/>
      <c r="R1989">
        <v>5.5</v>
      </c>
    </row>
    <row r="1990" spans="2:18" ht="15" customHeight="1" x14ac:dyDescent="0.35">
      <c r="B1990" s="100">
        <f t="shared" si="35"/>
        <v>1958</v>
      </c>
      <c r="C1990" s="179" t="s">
        <v>2489</v>
      </c>
      <c r="D1990" s="180" t="s">
        <v>2490</v>
      </c>
      <c r="E1990" s="180">
        <v>6</v>
      </c>
      <c r="F1990" s="180" t="s">
        <v>2479</v>
      </c>
      <c r="G1990" s="180">
        <v>5.5</v>
      </c>
      <c r="H1990" s="181">
        <v>3.01</v>
      </c>
      <c r="I1990" s="168">
        <v>5.5</v>
      </c>
      <c r="J1990" s="20">
        <v>477</v>
      </c>
      <c r="K1990" s="50" t="s">
        <v>2482</v>
      </c>
      <c r="L1990" s="21"/>
      <c r="M1990" s="21"/>
      <c r="N1990" s="50"/>
      <c r="O1990" s="21"/>
      <c r="R1990">
        <v>5.5</v>
      </c>
    </row>
    <row r="1991" spans="2:18" ht="15" customHeight="1" x14ac:dyDescent="0.35">
      <c r="B1991" s="100">
        <f t="shared" si="35"/>
        <v>1959</v>
      </c>
      <c r="C1991" s="179" t="s">
        <v>2491</v>
      </c>
      <c r="D1991" s="180" t="s">
        <v>2492</v>
      </c>
      <c r="E1991" s="180">
        <v>6</v>
      </c>
      <c r="F1991" s="180" t="s">
        <v>2479</v>
      </c>
      <c r="G1991" s="180">
        <v>5.5</v>
      </c>
      <c r="H1991" s="181">
        <v>3.04</v>
      </c>
      <c r="I1991" s="168">
        <v>5.5</v>
      </c>
      <c r="J1991" s="20">
        <v>433</v>
      </c>
      <c r="K1991" s="50" t="s">
        <v>2482</v>
      </c>
      <c r="L1991" s="21"/>
      <c r="M1991" s="21"/>
      <c r="N1991" s="50"/>
      <c r="O1991" s="21"/>
      <c r="R1991">
        <v>5.5</v>
      </c>
    </row>
    <row r="1992" spans="2:18" ht="15" customHeight="1" x14ac:dyDescent="0.35">
      <c r="B1992" s="100">
        <f t="shared" si="35"/>
        <v>1960</v>
      </c>
      <c r="C1992" s="179" t="s">
        <v>2493</v>
      </c>
      <c r="D1992" s="180" t="s">
        <v>2494</v>
      </c>
      <c r="E1992" s="180">
        <v>7</v>
      </c>
      <c r="F1992" s="180" t="s">
        <v>2479</v>
      </c>
      <c r="G1992" s="180">
        <v>4.5</v>
      </c>
      <c r="H1992" s="181">
        <v>3.01</v>
      </c>
      <c r="I1992" s="168">
        <v>4.5</v>
      </c>
      <c r="J1992" s="20">
        <v>447</v>
      </c>
      <c r="K1992" s="50" t="s">
        <v>2482</v>
      </c>
      <c r="L1992" s="21"/>
      <c r="M1992" s="21"/>
      <c r="N1992" s="50"/>
      <c r="O1992" s="21"/>
      <c r="R1992">
        <v>4.5</v>
      </c>
    </row>
    <row r="1993" spans="2:18" ht="15" customHeight="1" x14ac:dyDescent="0.35">
      <c r="B1993" s="100">
        <f t="shared" si="35"/>
        <v>1961</v>
      </c>
      <c r="C1993" s="179" t="s">
        <v>2495</v>
      </c>
      <c r="D1993" s="180" t="s">
        <v>2496</v>
      </c>
      <c r="E1993" s="180">
        <v>7</v>
      </c>
      <c r="F1993" s="180" t="s">
        <v>2479</v>
      </c>
      <c r="G1993" s="180">
        <v>4.5</v>
      </c>
      <c r="H1993" s="181">
        <v>3.1</v>
      </c>
      <c r="I1993" s="168">
        <v>4.5</v>
      </c>
      <c r="J1993" s="20">
        <v>437</v>
      </c>
      <c r="K1993" s="50" t="s">
        <v>2482</v>
      </c>
      <c r="L1993" s="21"/>
      <c r="M1993" s="21"/>
      <c r="N1993" s="50"/>
      <c r="O1993" s="21"/>
      <c r="R1993">
        <v>4.5</v>
      </c>
    </row>
    <row r="1994" spans="2:18" ht="15" customHeight="1" x14ac:dyDescent="0.35">
      <c r="B1994" s="100">
        <f t="shared" si="35"/>
        <v>1962</v>
      </c>
      <c r="C1994" s="179" t="s">
        <v>2497</v>
      </c>
      <c r="D1994" s="180" t="s">
        <v>2498</v>
      </c>
      <c r="E1994" s="180">
        <v>7</v>
      </c>
      <c r="F1994" s="180" t="s">
        <v>2479</v>
      </c>
      <c r="G1994" s="180">
        <v>4.5</v>
      </c>
      <c r="H1994" s="181">
        <v>3.53</v>
      </c>
      <c r="I1994" s="168">
        <v>4.5</v>
      </c>
      <c r="J1994" s="20">
        <v>490</v>
      </c>
      <c r="K1994" s="50" t="s">
        <v>2482</v>
      </c>
      <c r="L1994" s="21"/>
      <c r="M1994" s="21"/>
      <c r="N1994" s="50"/>
      <c r="O1994" s="21"/>
      <c r="R1994">
        <v>4.5</v>
      </c>
    </row>
    <row r="1995" spans="2:18" ht="15" customHeight="1" x14ac:dyDescent="0.35">
      <c r="B1995" s="100">
        <f t="shared" si="35"/>
        <v>1963</v>
      </c>
      <c r="C1995" s="179" t="s">
        <v>2499</v>
      </c>
      <c r="D1995" s="180" t="s">
        <v>2500</v>
      </c>
      <c r="E1995" s="180">
        <v>7</v>
      </c>
      <c r="F1995" s="180" t="s">
        <v>2479</v>
      </c>
      <c r="G1995" s="180">
        <v>4.5</v>
      </c>
      <c r="H1995" s="181">
        <v>2.87</v>
      </c>
      <c r="I1995" s="168">
        <v>4.5</v>
      </c>
      <c r="J1995" s="20">
        <v>417</v>
      </c>
      <c r="K1995" s="50" t="s">
        <v>2482</v>
      </c>
      <c r="L1995" s="21"/>
      <c r="M1995" s="21"/>
      <c r="N1995" s="50"/>
      <c r="O1995" s="21"/>
      <c r="R1995">
        <v>4.5</v>
      </c>
    </row>
    <row r="1996" spans="2:18" ht="15" customHeight="1" x14ac:dyDescent="0.35">
      <c r="B1996" s="100">
        <f t="shared" si="35"/>
        <v>1964</v>
      </c>
      <c r="C1996" s="179" t="s">
        <v>2501</v>
      </c>
      <c r="D1996" s="180" t="s">
        <v>2502</v>
      </c>
      <c r="E1996" s="180">
        <v>7</v>
      </c>
      <c r="F1996" s="180" t="s">
        <v>2479</v>
      </c>
      <c r="G1996" s="180">
        <v>4.5</v>
      </c>
      <c r="H1996" s="181">
        <v>2.97</v>
      </c>
      <c r="I1996" s="168">
        <v>4.5</v>
      </c>
      <c r="J1996" s="20">
        <v>470</v>
      </c>
      <c r="K1996" s="51" t="s">
        <v>2482</v>
      </c>
      <c r="L1996" s="21"/>
      <c r="M1996" s="21"/>
      <c r="N1996" s="50"/>
      <c r="O1996" s="21"/>
      <c r="R1996">
        <v>4.5</v>
      </c>
    </row>
    <row r="1997" spans="2:18" ht="15" customHeight="1" x14ac:dyDescent="0.35">
      <c r="B1997" s="100">
        <f t="shared" si="35"/>
        <v>1965</v>
      </c>
      <c r="C1997" s="179" t="s">
        <v>2503</v>
      </c>
      <c r="D1997" s="180" t="s">
        <v>2504</v>
      </c>
      <c r="E1997" s="180">
        <v>7</v>
      </c>
      <c r="F1997" s="180" t="s">
        <v>2479</v>
      </c>
      <c r="G1997" s="180">
        <v>4.5</v>
      </c>
      <c r="H1997" s="181">
        <v>3.17</v>
      </c>
      <c r="I1997" s="168">
        <v>4.5</v>
      </c>
      <c r="J1997" s="20">
        <v>413</v>
      </c>
      <c r="K1997" s="51" t="s">
        <v>2482</v>
      </c>
      <c r="L1997" s="21"/>
      <c r="M1997" s="21"/>
      <c r="N1997" s="50"/>
      <c r="O1997" s="21"/>
      <c r="R1997">
        <v>4.5</v>
      </c>
    </row>
    <row r="1998" spans="2:18" ht="15" customHeight="1" x14ac:dyDescent="0.35">
      <c r="B1998" s="100">
        <f t="shared" si="35"/>
        <v>1966</v>
      </c>
      <c r="C1998" s="179" t="s">
        <v>2505</v>
      </c>
      <c r="D1998" s="180" t="s">
        <v>2506</v>
      </c>
      <c r="E1998" s="180">
        <v>7</v>
      </c>
      <c r="F1998" s="180" t="s">
        <v>2479</v>
      </c>
      <c r="G1998" s="180">
        <v>4.5</v>
      </c>
      <c r="H1998" s="181">
        <v>3.16</v>
      </c>
      <c r="I1998" s="168">
        <v>4.5</v>
      </c>
      <c r="J1998" s="20">
        <v>453</v>
      </c>
      <c r="K1998" s="51" t="s">
        <v>2482</v>
      </c>
      <c r="L1998" s="21"/>
      <c r="M1998" s="21"/>
      <c r="N1998" s="50"/>
      <c r="O1998" s="21"/>
      <c r="R1998">
        <v>4.5</v>
      </c>
    </row>
    <row r="1999" spans="2:18" ht="15" customHeight="1" x14ac:dyDescent="0.35">
      <c r="B1999" s="100">
        <f t="shared" si="35"/>
        <v>1967</v>
      </c>
      <c r="C1999" s="179" t="s">
        <v>2507</v>
      </c>
      <c r="D1999" s="180" t="s">
        <v>2508</v>
      </c>
      <c r="E1999" s="180">
        <v>7</v>
      </c>
      <c r="F1999" s="180" t="s">
        <v>2479</v>
      </c>
      <c r="G1999" s="180">
        <v>4.5</v>
      </c>
      <c r="H1999" s="181">
        <v>3.32</v>
      </c>
      <c r="I1999" s="168">
        <v>4.5</v>
      </c>
      <c r="J1999" s="20">
        <v>497</v>
      </c>
      <c r="K1999" s="52">
        <v>2002</v>
      </c>
      <c r="L1999" s="29">
        <f>COUNTIF(E1969:E2043,"2")</f>
        <v>1</v>
      </c>
      <c r="M1999" s="21"/>
      <c r="N1999" s="50"/>
      <c r="O1999" s="21"/>
      <c r="R1999">
        <v>4.5</v>
      </c>
    </row>
    <row r="2000" spans="2:18" ht="15" customHeight="1" x14ac:dyDescent="0.35">
      <c r="B2000" s="100">
        <f t="shared" si="35"/>
        <v>1968</v>
      </c>
      <c r="C2000" s="179" t="s">
        <v>2509</v>
      </c>
      <c r="D2000" s="180" t="s">
        <v>2510</v>
      </c>
      <c r="E2000" s="180">
        <v>7</v>
      </c>
      <c r="F2000" s="180" t="s">
        <v>2479</v>
      </c>
      <c r="G2000" s="180">
        <v>4.5</v>
      </c>
      <c r="H2000" s="181">
        <v>3.22</v>
      </c>
      <c r="I2000" s="168">
        <v>4.5</v>
      </c>
      <c r="J2000" s="20">
        <v>460</v>
      </c>
      <c r="K2000" s="52">
        <v>2003</v>
      </c>
      <c r="L2000" s="29">
        <f>COUNTIF(E1969:E2043,"3")</f>
        <v>4</v>
      </c>
      <c r="M2000" s="21"/>
      <c r="N2000" s="50"/>
      <c r="O2000" s="21"/>
      <c r="R2000">
        <v>4.5</v>
      </c>
    </row>
    <row r="2001" spans="2:18" ht="15" customHeight="1" x14ac:dyDescent="0.35">
      <c r="B2001" s="100">
        <f t="shared" si="35"/>
        <v>1969</v>
      </c>
      <c r="C2001" s="179" t="s">
        <v>2511</v>
      </c>
      <c r="D2001" s="180" t="s">
        <v>2512</v>
      </c>
      <c r="E2001" s="180">
        <v>7</v>
      </c>
      <c r="F2001" s="180" t="s">
        <v>2479</v>
      </c>
      <c r="G2001" s="180">
        <v>4.5</v>
      </c>
      <c r="H2001" s="181">
        <v>3.41</v>
      </c>
      <c r="I2001" s="168">
        <v>4.5</v>
      </c>
      <c r="J2001" s="20">
        <v>403</v>
      </c>
      <c r="K2001" s="52">
        <v>2004</v>
      </c>
      <c r="L2001" s="29">
        <f>COUNTIF(E1969:E2043,"4")</f>
        <v>2</v>
      </c>
      <c r="M2001" s="21"/>
      <c r="N2001" s="50"/>
      <c r="O2001" s="21"/>
      <c r="R2001">
        <v>4.5</v>
      </c>
    </row>
    <row r="2002" spans="2:18" ht="15" customHeight="1" x14ac:dyDescent="0.35">
      <c r="B2002" s="100">
        <f t="shared" si="35"/>
        <v>1970</v>
      </c>
      <c r="C2002" s="182" t="s">
        <v>2513</v>
      </c>
      <c r="D2002" s="143" t="s">
        <v>2514</v>
      </c>
      <c r="E2002" s="143">
        <v>4</v>
      </c>
      <c r="F2002" s="143" t="s">
        <v>2515</v>
      </c>
      <c r="G2002" s="143">
        <v>7.8</v>
      </c>
      <c r="H2002" s="183">
        <v>2.29</v>
      </c>
      <c r="I2002" s="143">
        <v>7.8</v>
      </c>
      <c r="J2002" s="20">
        <v>430</v>
      </c>
      <c r="K2002" s="53">
        <v>2005</v>
      </c>
      <c r="L2002" s="29">
        <f>COUNTIF(E1969:E2043,"5")</f>
        <v>5</v>
      </c>
      <c r="M2002" s="21"/>
      <c r="N2002" s="50"/>
      <c r="O2002" s="21"/>
      <c r="R2002">
        <v>7.8</v>
      </c>
    </row>
    <row r="2003" spans="2:18" ht="15" customHeight="1" x14ac:dyDescent="0.35">
      <c r="B2003" s="100">
        <f t="shared" si="35"/>
        <v>1971</v>
      </c>
      <c r="C2003" s="182" t="s">
        <v>2516</v>
      </c>
      <c r="D2003" s="143" t="s">
        <v>2517</v>
      </c>
      <c r="E2003" s="143">
        <v>6</v>
      </c>
      <c r="F2003" s="143" t="s">
        <v>2515</v>
      </c>
      <c r="G2003" s="143">
        <v>5.8</v>
      </c>
      <c r="H2003" s="183">
        <v>2.95</v>
      </c>
      <c r="I2003" s="143">
        <v>5.8</v>
      </c>
      <c r="J2003" s="20">
        <v>473</v>
      </c>
      <c r="K2003" s="53">
        <v>2006</v>
      </c>
      <c r="L2003" s="29">
        <f>COUNTIF(E1969:E2043,"6")</f>
        <v>12</v>
      </c>
      <c r="M2003" s="21"/>
      <c r="N2003" s="21"/>
      <c r="O2003" s="21"/>
      <c r="R2003">
        <v>5.8</v>
      </c>
    </row>
    <row r="2004" spans="2:18" ht="15" customHeight="1" x14ac:dyDescent="0.35">
      <c r="B2004" s="100">
        <f t="shared" si="35"/>
        <v>1972</v>
      </c>
      <c r="C2004" s="182" t="s">
        <v>2518</v>
      </c>
      <c r="D2004" s="143" t="s">
        <v>2519</v>
      </c>
      <c r="E2004" s="143">
        <v>6</v>
      </c>
      <c r="F2004" s="143" t="s">
        <v>2515</v>
      </c>
      <c r="G2004" s="143">
        <v>5.8</v>
      </c>
      <c r="H2004" s="183">
        <v>2.85</v>
      </c>
      <c r="I2004" s="143">
        <v>5.8</v>
      </c>
      <c r="J2004" s="20">
        <v>427</v>
      </c>
      <c r="K2004" s="53">
        <v>2007</v>
      </c>
      <c r="L2004" s="29">
        <f>COUNTIF(E1969:E2043,"7")</f>
        <v>46</v>
      </c>
      <c r="M2004" s="21"/>
      <c r="N2004" s="21"/>
      <c r="O2004" s="21"/>
      <c r="R2004">
        <v>5.8</v>
      </c>
    </row>
    <row r="2005" spans="2:18" ht="15" customHeight="1" x14ac:dyDescent="0.35">
      <c r="B2005" s="100">
        <f t="shared" si="35"/>
        <v>1973</v>
      </c>
      <c r="C2005" s="182" t="s">
        <v>2520</v>
      </c>
      <c r="D2005" s="143" t="s">
        <v>2521</v>
      </c>
      <c r="E2005" s="143">
        <v>7</v>
      </c>
      <c r="F2005" s="143" t="s">
        <v>2515</v>
      </c>
      <c r="G2005" s="143">
        <v>4.8</v>
      </c>
      <c r="H2005" s="183">
        <v>3.08</v>
      </c>
      <c r="I2005" s="143">
        <v>4.8</v>
      </c>
      <c r="J2005" s="20">
        <v>443</v>
      </c>
      <c r="K2005" s="53">
        <v>2008</v>
      </c>
      <c r="L2005" s="29">
        <f>COUNTIF(E1970:E2043,"8")</f>
        <v>5</v>
      </c>
      <c r="M2005" s="21"/>
      <c r="N2005" s="21"/>
      <c r="O2005" s="21"/>
      <c r="R2005">
        <v>4.8</v>
      </c>
    </row>
    <row r="2006" spans="2:18" ht="15" customHeight="1" x14ac:dyDescent="0.35">
      <c r="B2006" s="100">
        <f t="shared" si="35"/>
        <v>1974</v>
      </c>
      <c r="C2006" s="182" t="s">
        <v>2522</v>
      </c>
      <c r="D2006" s="143" t="s">
        <v>2523</v>
      </c>
      <c r="E2006" s="143">
        <v>7</v>
      </c>
      <c r="F2006" s="143" t="s">
        <v>2515</v>
      </c>
      <c r="G2006" s="143">
        <v>4.8</v>
      </c>
      <c r="H2006" s="183">
        <v>3</v>
      </c>
      <c r="I2006" s="143">
        <v>4.8</v>
      </c>
      <c r="J2006" s="20">
        <v>427</v>
      </c>
      <c r="K2006" s="42" t="s">
        <v>2310</v>
      </c>
      <c r="L2006" s="29">
        <f>SUM(L1999:L2005)</f>
        <v>75</v>
      </c>
      <c r="M2006" s="21"/>
      <c r="N2006" s="21"/>
      <c r="O2006" s="21"/>
      <c r="R2006">
        <v>4.8</v>
      </c>
    </row>
    <row r="2007" spans="2:18" ht="15" customHeight="1" x14ac:dyDescent="0.35">
      <c r="B2007" s="100">
        <f t="shared" si="35"/>
        <v>1975</v>
      </c>
      <c r="C2007" s="182" t="s">
        <v>2524</v>
      </c>
      <c r="D2007" s="143" t="s">
        <v>2525</v>
      </c>
      <c r="E2007" s="143">
        <v>7</v>
      </c>
      <c r="F2007" s="143" t="s">
        <v>2515</v>
      </c>
      <c r="G2007" s="143">
        <v>4.8</v>
      </c>
      <c r="H2007" s="183">
        <v>3</v>
      </c>
      <c r="I2007" s="143">
        <v>4.8</v>
      </c>
      <c r="J2007" s="20">
        <v>454</v>
      </c>
      <c r="K2007" s="29" t="s">
        <v>2313</v>
      </c>
      <c r="L2007" s="21"/>
      <c r="M2007" s="29">
        <f>COUNTIF(G1969:G2043,"&lt;=5")-COUNTIF(G1969:G2043,"&lt;3")</f>
        <v>51</v>
      </c>
      <c r="N2007" s="21"/>
      <c r="O2007" s="21"/>
      <c r="R2007">
        <v>4.8</v>
      </c>
    </row>
    <row r="2008" spans="2:18" ht="15" customHeight="1" x14ac:dyDescent="0.35">
      <c r="B2008" s="100">
        <f t="shared" si="35"/>
        <v>1976</v>
      </c>
      <c r="C2008" s="182" t="s">
        <v>2526</v>
      </c>
      <c r="D2008" s="143" t="s">
        <v>2527</v>
      </c>
      <c r="E2008" s="143">
        <v>7</v>
      </c>
      <c r="F2008" s="143" t="s">
        <v>2515</v>
      </c>
      <c r="G2008" s="143">
        <v>4.8</v>
      </c>
      <c r="H2008" s="183">
        <v>3.1</v>
      </c>
      <c r="I2008" s="143">
        <v>4.8</v>
      </c>
      <c r="J2008" s="20">
        <v>460</v>
      </c>
      <c r="K2008" s="29" t="s">
        <v>2528</v>
      </c>
      <c r="L2008" s="21"/>
      <c r="M2008" s="29">
        <f>COUNTIF(G1969:G2047,"&lt;=5")-COUNTIF(G1969:G2047,"&lt;4")</f>
        <v>52</v>
      </c>
      <c r="N2008" s="21"/>
      <c r="O2008" s="21"/>
      <c r="R2008">
        <v>4.8</v>
      </c>
    </row>
    <row r="2009" spans="2:18" ht="15" customHeight="1" x14ac:dyDescent="0.35">
      <c r="B2009" s="100">
        <f t="shared" si="35"/>
        <v>1977</v>
      </c>
      <c r="C2009" s="182" t="s">
        <v>2529</v>
      </c>
      <c r="D2009" s="143" t="s">
        <v>2530</v>
      </c>
      <c r="E2009" s="143">
        <v>7</v>
      </c>
      <c r="F2009" s="143" t="s">
        <v>2515</v>
      </c>
      <c r="G2009" s="143">
        <v>4.8</v>
      </c>
      <c r="H2009" s="183">
        <v>3.14</v>
      </c>
      <c r="I2009" s="143">
        <v>4.8</v>
      </c>
      <c r="J2009" s="20">
        <v>510</v>
      </c>
      <c r="K2009" s="29" t="s">
        <v>1798</v>
      </c>
      <c r="L2009" s="29"/>
      <c r="M2009" s="34">
        <f>SUM(G1969:G2047)/L2006</f>
        <v>5.3240000000000025</v>
      </c>
      <c r="N2009" s="21"/>
      <c r="O2009" s="21"/>
      <c r="R2009">
        <v>4.8</v>
      </c>
    </row>
    <row r="2010" spans="2:18" ht="15" customHeight="1" x14ac:dyDescent="0.35">
      <c r="B2010" s="100">
        <f t="shared" si="35"/>
        <v>1978</v>
      </c>
      <c r="C2010" s="182" t="s">
        <v>2531</v>
      </c>
      <c r="D2010" s="143" t="s">
        <v>2532</v>
      </c>
      <c r="E2010" s="143">
        <v>7</v>
      </c>
      <c r="F2010" s="143" t="s">
        <v>2515</v>
      </c>
      <c r="G2010" s="143">
        <v>4.8</v>
      </c>
      <c r="H2010" s="183">
        <v>3.12</v>
      </c>
      <c r="I2010" s="143">
        <v>4.8</v>
      </c>
      <c r="J2010" s="20">
        <v>410</v>
      </c>
      <c r="K2010" s="29" t="s">
        <v>1801</v>
      </c>
      <c r="L2010" s="29"/>
      <c r="M2010" s="34">
        <f>SUM(I1969:I2046)/L2006</f>
        <v>5.2573333333333361</v>
      </c>
      <c r="N2010" s="21"/>
      <c r="O2010" s="21"/>
      <c r="R2010">
        <v>4.8</v>
      </c>
    </row>
    <row r="2011" spans="2:18" ht="15" customHeight="1" x14ac:dyDescent="0.35">
      <c r="B2011" s="100">
        <f t="shared" si="35"/>
        <v>1979</v>
      </c>
      <c r="C2011" s="182" t="s">
        <v>2533</v>
      </c>
      <c r="D2011" s="143" t="s">
        <v>2534</v>
      </c>
      <c r="E2011" s="143">
        <v>7</v>
      </c>
      <c r="F2011" s="143" t="s">
        <v>2515</v>
      </c>
      <c r="G2011" s="143">
        <v>4.8</v>
      </c>
      <c r="H2011" s="183">
        <v>2.99</v>
      </c>
      <c r="I2011" s="143">
        <v>4.8</v>
      </c>
      <c r="J2011" s="20">
        <v>434</v>
      </c>
      <c r="K2011" s="29" t="s">
        <v>1804</v>
      </c>
      <c r="L2011" s="29"/>
      <c r="M2011" s="30">
        <f>MIN(H1969:H2047)</f>
        <v>2.1</v>
      </c>
      <c r="N2011" s="21"/>
      <c r="O2011" s="21"/>
      <c r="R2011">
        <v>4.8</v>
      </c>
    </row>
    <row r="2012" spans="2:18" ht="15" customHeight="1" x14ac:dyDescent="0.35">
      <c r="B2012" s="100">
        <f t="shared" si="35"/>
        <v>1980</v>
      </c>
      <c r="C2012" s="182" t="s">
        <v>2535</v>
      </c>
      <c r="D2012" s="143" t="s">
        <v>2536</v>
      </c>
      <c r="E2012" s="143">
        <v>7</v>
      </c>
      <c r="F2012" s="143" t="s">
        <v>2515</v>
      </c>
      <c r="G2012" s="143">
        <v>4.8</v>
      </c>
      <c r="H2012" s="183">
        <v>2.92</v>
      </c>
      <c r="I2012" s="143">
        <v>4.8</v>
      </c>
      <c r="J2012" s="20">
        <v>420</v>
      </c>
      <c r="K2012" s="29" t="s">
        <v>1807</v>
      </c>
      <c r="L2012" s="29"/>
      <c r="M2012" s="30">
        <f>SUM(H1969:H2047)/L2006</f>
        <v>3.0224000000000006</v>
      </c>
      <c r="N2012" s="21"/>
      <c r="O2012" s="21"/>
      <c r="R2012">
        <v>4.8</v>
      </c>
    </row>
    <row r="2013" spans="2:18" ht="15" customHeight="1" x14ac:dyDescent="0.35">
      <c r="B2013" s="100">
        <f t="shared" si="35"/>
        <v>1981</v>
      </c>
      <c r="C2013" s="182" t="s">
        <v>2537</v>
      </c>
      <c r="D2013" s="143" t="s">
        <v>2538</v>
      </c>
      <c r="E2013" s="143">
        <v>7</v>
      </c>
      <c r="F2013" s="143" t="s">
        <v>2515</v>
      </c>
      <c r="G2013" s="143">
        <v>4.8</v>
      </c>
      <c r="H2013" s="183">
        <v>3.02</v>
      </c>
      <c r="I2013" s="143">
        <v>4.8</v>
      </c>
      <c r="J2013" s="20">
        <v>403</v>
      </c>
      <c r="K2013" s="29" t="s">
        <v>1810</v>
      </c>
      <c r="L2013" s="29"/>
      <c r="M2013" s="30">
        <f>MAX(H1969:H2047)</f>
        <v>3.76</v>
      </c>
      <c r="N2013" s="21"/>
      <c r="O2013" s="21"/>
      <c r="R2013">
        <v>4.8</v>
      </c>
    </row>
    <row r="2014" spans="2:18" ht="15" customHeight="1" x14ac:dyDescent="0.35">
      <c r="B2014" s="100">
        <f t="shared" si="35"/>
        <v>1982</v>
      </c>
      <c r="C2014" s="182" t="s">
        <v>2539</v>
      </c>
      <c r="D2014" s="143" t="s">
        <v>2540</v>
      </c>
      <c r="E2014" s="143">
        <v>7</v>
      </c>
      <c r="F2014" s="143" t="s">
        <v>2515</v>
      </c>
      <c r="G2014" s="143">
        <v>4.8</v>
      </c>
      <c r="H2014" s="183">
        <v>3.02</v>
      </c>
      <c r="I2014" s="143">
        <v>4.8</v>
      </c>
      <c r="J2014" s="20">
        <v>420</v>
      </c>
      <c r="K2014" s="29" t="s">
        <v>1813</v>
      </c>
      <c r="L2014" s="29">
        <f>COUNTIF(H1969:H2043,"&lt;2.75")</f>
        <v>0</v>
      </c>
      <c r="M2014" s="30" t="e">
        <f>(L2014/L2017)*100</f>
        <v>#DIV/0!</v>
      </c>
      <c r="N2014" s="21"/>
      <c r="O2014" s="21"/>
      <c r="R2014">
        <v>4.8</v>
      </c>
    </row>
    <row r="2015" spans="2:18" ht="15" customHeight="1" x14ac:dyDescent="0.35">
      <c r="B2015" s="100">
        <f t="shared" si="35"/>
        <v>1983</v>
      </c>
      <c r="C2015" s="182" t="s">
        <v>2541</v>
      </c>
      <c r="D2015" s="143" t="s">
        <v>2542</v>
      </c>
      <c r="E2015" s="143">
        <v>7</v>
      </c>
      <c r="F2015" s="143" t="s">
        <v>2515</v>
      </c>
      <c r="G2015" s="143">
        <v>4.8</v>
      </c>
      <c r="H2015" s="183">
        <v>3.24</v>
      </c>
      <c r="I2015" s="143">
        <v>4.8</v>
      </c>
      <c r="J2015" s="20">
        <v>477</v>
      </c>
      <c r="K2015" s="29" t="s">
        <v>1816</v>
      </c>
      <c r="L2015" s="40">
        <f>COUNTIF(H1969:H2043,"&lt;3.50")-COUNTIF(H1969:H2043,"&lt;2.75")</f>
        <v>0</v>
      </c>
      <c r="M2015" s="30" t="e">
        <f>(L2015/L2017)*100</f>
        <v>#DIV/0!</v>
      </c>
      <c r="N2015" s="21"/>
      <c r="O2015" s="21"/>
      <c r="R2015">
        <v>4.8</v>
      </c>
    </row>
    <row r="2016" spans="2:18" ht="15" customHeight="1" x14ac:dyDescent="0.35">
      <c r="B2016" s="100">
        <f t="shared" si="35"/>
        <v>1984</v>
      </c>
      <c r="C2016" s="182" t="s">
        <v>2543</v>
      </c>
      <c r="D2016" s="143" t="s">
        <v>2544</v>
      </c>
      <c r="E2016" s="143">
        <v>7</v>
      </c>
      <c r="F2016" s="143" t="s">
        <v>2515</v>
      </c>
      <c r="G2016" s="143">
        <v>4.8</v>
      </c>
      <c r="H2016" s="183">
        <v>3.02</v>
      </c>
      <c r="I2016" s="143">
        <v>4.8</v>
      </c>
      <c r="J2016" s="20">
        <v>490</v>
      </c>
      <c r="K2016" s="29" t="s">
        <v>1819</v>
      </c>
      <c r="L2016" s="29">
        <f>COUNTIF(H1969:H2043,"&gt;3.50")</f>
        <v>0</v>
      </c>
      <c r="M2016" s="30" t="e">
        <f>(L2016/L2017)*100</f>
        <v>#DIV/0!</v>
      </c>
      <c r="N2016" s="21"/>
      <c r="O2016" s="21"/>
      <c r="R2016">
        <v>4.8</v>
      </c>
    </row>
    <row r="2017" spans="2:18" ht="15" customHeight="1" x14ac:dyDescent="0.35">
      <c r="B2017" s="100">
        <f t="shared" si="35"/>
        <v>1985</v>
      </c>
      <c r="C2017" s="182" t="s">
        <v>2545</v>
      </c>
      <c r="D2017" s="143" t="s">
        <v>2546</v>
      </c>
      <c r="E2017" s="143">
        <v>7</v>
      </c>
      <c r="F2017" s="143" t="s">
        <v>2515</v>
      </c>
      <c r="G2017" s="143">
        <v>4.8</v>
      </c>
      <c r="H2017" s="183">
        <v>3.12</v>
      </c>
      <c r="I2017" s="143">
        <v>4.8</v>
      </c>
      <c r="J2017" s="20">
        <v>410</v>
      </c>
      <c r="K2017" s="29" t="s">
        <v>1820</v>
      </c>
      <c r="L2017" s="29">
        <f>SUM(L2014:L2016)</f>
        <v>0</v>
      </c>
      <c r="M2017" s="29"/>
      <c r="N2017" s="21"/>
      <c r="O2017" s="21"/>
      <c r="R2017">
        <v>4.8</v>
      </c>
    </row>
    <row r="2018" spans="2:18" ht="15" customHeight="1" x14ac:dyDescent="0.35">
      <c r="B2018" s="100">
        <f t="shared" si="35"/>
        <v>1986</v>
      </c>
      <c r="C2018" s="182" t="s">
        <v>2547</v>
      </c>
      <c r="D2018" s="143" t="s">
        <v>2548</v>
      </c>
      <c r="E2018" s="143">
        <v>4</v>
      </c>
      <c r="F2018" s="143" t="s">
        <v>2515</v>
      </c>
      <c r="G2018" s="143">
        <v>7.8</v>
      </c>
      <c r="H2018" s="183">
        <v>2.35</v>
      </c>
      <c r="I2018" s="143">
        <v>7.8</v>
      </c>
      <c r="J2018" s="20">
        <v>473</v>
      </c>
      <c r="K2018" s="21"/>
      <c r="L2018" s="21"/>
      <c r="M2018" s="21"/>
      <c r="N2018" s="21"/>
      <c r="O2018" s="21"/>
      <c r="R2018">
        <v>7.8</v>
      </c>
    </row>
    <row r="2019" spans="2:18" ht="15" customHeight="1" x14ac:dyDescent="0.35">
      <c r="B2019" s="100">
        <f t="shared" si="35"/>
        <v>1987</v>
      </c>
      <c r="C2019" s="162" t="s">
        <v>2549</v>
      </c>
      <c r="D2019" s="163" t="s">
        <v>2550</v>
      </c>
      <c r="E2019" s="159">
        <v>5</v>
      </c>
      <c r="F2019" s="184">
        <v>41114</v>
      </c>
      <c r="G2019" s="99">
        <v>7</v>
      </c>
      <c r="H2019" s="159">
        <v>3.15</v>
      </c>
      <c r="I2019" s="185">
        <v>7</v>
      </c>
      <c r="J2019" s="18">
        <v>537</v>
      </c>
      <c r="K2019" s="54"/>
      <c r="L2019" s="54"/>
      <c r="M2019" s="21"/>
      <c r="N2019" s="21"/>
      <c r="O2019" s="21"/>
      <c r="R2019">
        <v>7</v>
      </c>
    </row>
    <row r="2020" spans="2:18" ht="15" customHeight="1" x14ac:dyDescent="0.35">
      <c r="B2020" s="100">
        <f t="shared" si="35"/>
        <v>1988</v>
      </c>
      <c r="C2020" s="162" t="s">
        <v>2551</v>
      </c>
      <c r="D2020" s="163" t="s">
        <v>2552</v>
      </c>
      <c r="E2020" s="122">
        <v>5</v>
      </c>
      <c r="F2020" s="184">
        <v>41114</v>
      </c>
      <c r="G2020" s="99">
        <v>7</v>
      </c>
      <c r="H2020" s="173">
        <v>3</v>
      </c>
      <c r="I2020" s="185">
        <v>7</v>
      </c>
      <c r="J2020" s="18">
        <v>457</v>
      </c>
      <c r="K2020" s="46" t="s">
        <v>2336</v>
      </c>
      <c r="L2020" s="55">
        <f>SUM(J1970:J2043)/74</f>
        <v>447.63513513513516</v>
      </c>
      <c r="M2020" s="21"/>
      <c r="N2020" s="21"/>
      <c r="O2020" s="21"/>
      <c r="R2020">
        <v>7</v>
      </c>
    </row>
    <row r="2021" spans="2:18" ht="15" customHeight="1" x14ac:dyDescent="0.35">
      <c r="B2021" s="100">
        <f t="shared" si="35"/>
        <v>1989</v>
      </c>
      <c r="C2021" s="162" t="s">
        <v>2553</v>
      </c>
      <c r="D2021" s="163" t="s">
        <v>2554</v>
      </c>
      <c r="E2021" s="159">
        <v>7</v>
      </c>
      <c r="F2021" s="184">
        <v>41114</v>
      </c>
      <c r="G2021" s="99">
        <v>5</v>
      </c>
      <c r="H2021" s="186">
        <v>3</v>
      </c>
      <c r="I2021" s="185">
        <v>5</v>
      </c>
      <c r="J2021" s="18">
        <v>440</v>
      </c>
      <c r="K2021" s="29" t="s">
        <v>2339</v>
      </c>
      <c r="L2021" s="56">
        <f>MIN(J1970:J2043)</f>
        <v>403</v>
      </c>
      <c r="M2021" s="21"/>
      <c r="N2021" s="21"/>
      <c r="O2021" s="21"/>
      <c r="R2021">
        <v>5</v>
      </c>
    </row>
    <row r="2022" spans="2:18" ht="15" customHeight="1" x14ac:dyDescent="0.35">
      <c r="B2022" s="100">
        <f t="shared" si="35"/>
        <v>1990</v>
      </c>
      <c r="C2022" s="162" t="s">
        <v>2555</v>
      </c>
      <c r="D2022" s="163" t="s">
        <v>2556</v>
      </c>
      <c r="E2022" s="159">
        <v>3</v>
      </c>
      <c r="F2022" s="184">
        <v>41114</v>
      </c>
      <c r="G2022" s="99">
        <v>9</v>
      </c>
      <c r="H2022" s="187">
        <v>2.96</v>
      </c>
      <c r="I2022" s="185">
        <v>9</v>
      </c>
      <c r="J2022" s="18">
        <v>420</v>
      </c>
      <c r="K2022" s="29" t="s">
        <v>2340</v>
      </c>
      <c r="L2022" s="56">
        <f>MAX(J1970:J2043)</f>
        <v>537</v>
      </c>
      <c r="M2022" s="21"/>
      <c r="N2022" s="21"/>
      <c r="O2022" s="21"/>
      <c r="R2022">
        <v>9</v>
      </c>
    </row>
    <row r="2023" spans="2:18" ht="15" customHeight="1" x14ac:dyDescent="0.35">
      <c r="B2023" s="100">
        <f t="shared" si="35"/>
        <v>1991</v>
      </c>
      <c r="C2023" s="162" t="s">
        <v>2557</v>
      </c>
      <c r="D2023" s="163" t="s">
        <v>2558</v>
      </c>
      <c r="E2023" s="159">
        <v>5</v>
      </c>
      <c r="F2023" s="184">
        <v>41114</v>
      </c>
      <c r="G2023" s="99">
        <v>7</v>
      </c>
      <c r="H2023" s="187">
        <v>2.16</v>
      </c>
      <c r="I2023" s="185">
        <v>7</v>
      </c>
      <c r="J2023" s="18">
        <v>433</v>
      </c>
      <c r="K2023" s="54"/>
      <c r="L2023" s="54"/>
      <c r="M2023" s="21"/>
      <c r="N2023" s="21"/>
      <c r="O2023" s="21"/>
      <c r="R2023">
        <v>7</v>
      </c>
    </row>
    <row r="2024" spans="2:18" ht="15" customHeight="1" x14ac:dyDescent="0.35">
      <c r="B2024" s="100">
        <f t="shared" si="35"/>
        <v>1992</v>
      </c>
      <c r="C2024" s="162" t="s">
        <v>2559</v>
      </c>
      <c r="D2024" s="163" t="s">
        <v>2560</v>
      </c>
      <c r="E2024" s="122">
        <v>6</v>
      </c>
      <c r="F2024" s="184">
        <v>41114</v>
      </c>
      <c r="G2024" s="99">
        <v>6</v>
      </c>
      <c r="H2024" s="159">
        <v>2.78</v>
      </c>
      <c r="I2024" s="185">
        <v>6</v>
      </c>
      <c r="J2024" s="18">
        <v>500</v>
      </c>
      <c r="K2024" s="54"/>
      <c r="L2024" s="54"/>
      <c r="M2024" s="21"/>
      <c r="N2024" s="21"/>
      <c r="O2024" s="21"/>
      <c r="R2024">
        <v>6</v>
      </c>
    </row>
    <row r="2025" spans="2:18" ht="15" customHeight="1" x14ac:dyDescent="0.35">
      <c r="B2025" s="100">
        <f t="shared" si="35"/>
        <v>1993</v>
      </c>
      <c r="C2025" s="162" t="s">
        <v>2561</v>
      </c>
      <c r="D2025" s="163" t="s">
        <v>2562</v>
      </c>
      <c r="E2025" s="159">
        <v>7</v>
      </c>
      <c r="F2025" s="184">
        <v>41114</v>
      </c>
      <c r="G2025" s="99">
        <v>5</v>
      </c>
      <c r="H2025" s="159">
        <v>2.73</v>
      </c>
      <c r="I2025" s="185">
        <v>5</v>
      </c>
      <c r="J2025" s="18">
        <v>453</v>
      </c>
      <c r="K2025" s="54"/>
      <c r="L2025" s="54"/>
      <c r="M2025" s="21"/>
      <c r="N2025" s="21"/>
      <c r="O2025" s="21"/>
      <c r="R2025">
        <v>5</v>
      </c>
    </row>
    <row r="2026" spans="2:18" ht="15" customHeight="1" x14ac:dyDescent="0.35">
      <c r="B2026" s="100">
        <f t="shared" si="35"/>
        <v>1994</v>
      </c>
      <c r="C2026" s="162" t="s">
        <v>2563</v>
      </c>
      <c r="D2026" s="163" t="s">
        <v>2564</v>
      </c>
      <c r="E2026" s="159">
        <v>7</v>
      </c>
      <c r="F2026" s="184">
        <v>41114</v>
      </c>
      <c r="G2026" s="99">
        <v>5</v>
      </c>
      <c r="H2026" s="187">
        <v>2.84</v>
      </c>
      <c r="I2026" s="185">
        <v>5</v>
      </c>
      <c r="J2026" s="18">
        <v>420</v>
      </c>
      <c r="K2026" s="54"/>
      <c r="L2026" s="54"/>
      <c r="M2026" s="21"/>
      <c r="N2026" s="21"/>
      <c r="O2026" s="21"/>
      <c r="R2026">
        <v>5</v>
      </c>
    </row>
    <row r="2027" spans="2:18" ht="15" customHeight="1" x14ac:dyDescent="0.35">
      <c r="B2027" s="100">
        <f t="shared" si="35"/>
        <v>1995</v>
      </c>
      <c r="C2027" s="162" t="s">
        <v>2565</v>
      </c>
      <c r="D2027" s="163" t="s">
        <v>2566</v>
      </c>
      <c r="E2027" s="159">
        <v>7</v>
      </c>
      <c r="F2027" s="184">
        <v>41114</v>
      </c>
      <c r="G2027" s="99">
        <v>5</v>
      </c>
      <c r="H2027" s="187">
        <v>2.75</v>
      </c>
      <c r="I2027" s="185">
        <v>5</v>
      </c>
      <c r="J2027" s="18">
        <v>517</v>
      </c>
      <c r="K2027" s="54"/>
      <c r="L2027" s="54"/>
      <c r="M2027" s="21"/>
      <c r="N2027" s="21"/>
      <c r="O2027" s="21"/>
      <c r="R2027">
        <v>5</v>
      </c>
    </row>
    <row r="2028" spans="2:18" ht="15" customHeight="1" x14ac:dyDescent="0.35">
      <c r="B2028" s="100">
        <f t="shared" si="35"/>
        <v>1996</v>
      </c>
      <c r="C2028" s="162" t="s">
        <v>2567</v>
      </c>
      <c r="D2028" s="163" t="s">
        <v>2568</v>
      </c>
      <c r="E2028" s="159">
        <v>7</v>
      </c>
      <c r="F2028" s="184">
        <v>41114</v>
      </c>
      <c r="G2028" s="99">
        <v>5</v>
      </c>
      <c r="H2028" s="187">
        <v>3.07</v>
      </c>
      <c r="I2028" s="185">
        <v>5</v>
      </c>
      <c r="J2028" s="18">
        <v>460</v>
      </c>
      <c r="K2028" s="54"/>
      <c r="L2028" s="54"/>
      <c r="M2028" s="21"/>
      <c r="N2028" s="21"/>
      <c r="O2028" s="21"/>
      <c r="R2028">
        <v>5</v>
      </c>
    </row>
    <row r="2029" spans="2:18" ht="15" customHeight="1" x14ac:dyDescent="0.35">
      <c r="B2029" s="100">
        <f t="shared" si="35"/>
        <v>1997</v>
      </c>
      <c r="C2029" s="162" t="s">
        <v>2569</v>
      </c>
      <c r="D2029" s="163" t="s">
        <v>2570</v>
      </c>
      <c r="E2029" s="159">
        <v>7</v>
      </c>
      <c r="F2029" s="184">
        <v>41114</v>
      </c>
      <c r="G2029" s="99">
        <v>5</v>
      </c>
      <c r="H2029" s="159">
        <v>3.05</v>
      </c>
      <c r="I2029" s="185">
        <v>5</v>
      </c>
      <c r="J2029" s="18">
        <v>430</v>
      </c>
      <c r="K2029" s="54"/>
      <c r="L2029" s="54"/>
      <c r="M2029" s="21"/>
      <c r="N2029" s="21"/>
      <c r="O2029" s="21"/>
      <c r="R2029">
        <v>5</v>
      </c>
    </row>
    <row r="2030" spans="2:18" ht="15" customHeight="1" x14ac:dyDescent="0.35">
      <c r="B2030" s="100">
        <f t="shared" si="35"/>
        <v>1998</v>
      </c>
      <c r="C2030" s="162" t="s">
        <v>2571</v>
      </c>
      <c r="D2030" s="163" t="s">
        <v>2572</v>
      </c>
      <c r="E2030" s="159">
        <v>7</v>
      </c>
      <c r="F2030" s="184">
        <v>41114</v>
      </c>
      <c r="G2030" s="99">
        <v>5</v>
      </c>
      <c r="H2030" s="187">
        <v>3.27</v>
      </c>
      <c r="I2030" s="185">
        <v>5</v>
      </c>
      <c r="J2030" s="18">
        <v>453</v>
      </c>
      <c r="K2030" s="54"/>
      <c r="L2030" s="54"/>
      <c r="M2030" s="21"/>
      <c r="N2030" s="21"/>
      <c r="O2030" s="21"/>
      <c r="R2030">
        <v>5</v>
      </c>
    </row>
    <row r="2031" spans="2:18" ht="15" customHeight="1" x14ac:dyDescent="0.35">
      <c r="B2031" s="100">
        <f t="shared" si="35"/>
        <v>1999</v>
      </c>
      <c r="C2031" s="162" t="s">
        <v>2573</v>
      </c>
      <c r="D2031" s="163" t="s">
        <v>2574</v>
      </c>
      <c r="E2031" s="159">
        <v>7</v>
      </c>
      <c r="F2031" s="184">
        <v>41114</v>
      </c>
      <c r="G2031" s="99">
        <v>5</v>
      </c>
      <c r="H2031" s="187">
        <v>3.08</v>
      </c>
      <c r="I2031" s="185">
        <v>5</v>
      </c>
      <c r="J2031" s="18">
        <v>414</v>
      </c>
      <c r="K2031" s="54"/>
      <c r="L2031" s="54"/>
      <c r="M2031" s="21"/>
      <c r="N2031" s="21"/>
      <c r="O2031" s="21"/>
      <c r="R2031">
        <v>5</v>
      </c>
    </row>
    <row r="2032" spans="2:18" ht="15" customHeight="1" x14ac:dyDescent="0.35">
      <c r="B2032" s="100">
        <f t="shared" si="35"/>
        <v>2000</v>
      </c>
      <c r="C2032" s="162" t="s">
        <v>2575</v>
      </c>
      <c r="D2032" s="163" t="s">
        <v>2576</v>
      </c>
      <c r="E2032" s="159">
        <v>7</v>
      </c>
      <c r="F2032" s="184">
        <v>41114</v>
      </c>
      <c r="G2032" s="99">
        <v>5</v>
      </c>
      <c r="H2032" s="187">
        <v>2.86</v>
      </c>
      <c r="I2032" s="185">
        <v>5</v>
      </c>
      <c r="J2032" s="18">
        <v>437</v>
      </c>
      <c r="K2032" s="54"/>
      <c r="L2032" s="54"/>
      <c r="M2032" s="21"/>
      <c r="N2032" s="21"/>
      <c r="O2032" s="21"/>
      <c r="R2032">
        <v>5</v>
      </c>
    </row>
    <row r="2033" spans="2:19" ht="15" customHeight="1" x14ac:dyDescent="0.35">
      <c r="B2033" s="100">
        <f t="shared" si="35"/>
        <v>2001</v>
      </c>
      <c r="C2033" s="162" t="s">
        <v>2577</v>
      </c>
      <c r="D2033" s="163" t="s">
        <v>2578</v>
      </c>
      <c r="E2033" s="159">
        <v>7</v>
      </c>
      <c r="F2033" s="184">
        <v>41114</v>
      </c>
      <c r="G2033" s="99">
        <v>5</v>
      </c>
      <c r="H2033" s="187">
        <v>2.92</v>
      </c>
      <c r="I2033" s="185">
        <v>5</v>
      </c>
      <c r="J2033" s="18">
        <v>527</v>
      </c>
      <c r="K2033" s="54"/>
      <c r="L2033" s="54"/>
      <c r="M2033" s="21"/>
      <c r="N2033" s="21"/>
      <c r="O2033" s="21"/>
      <c r="R2033">
        <v>5</v>
      </c>
    </row>
    <row r="2034" spans="2:19" ht="15" customHeight="1" x14ac:dyDescent="0.35">
      <c r="B2034" s="100">
        <f t="shared" si="35"/>
        <v>2002</v>
      </c>
      <c r="C2034" s="162" t="s">
        <v>2579</v>
      </c>
      <c r="D2034" s="163" t="s">
        <v>2580</v>
      </c>
      <c r="E2034" s="159">
        <v>7</v>
      </c>
      <c r="F2034" s="184">
        <v>41114</v>
      </c>
      <c r="G2034" s="99">
        <v>5</v>
      </c>
      <c r="H2034" s="187">
        <v>3.01</v>
      </c>
      <c r="I2034" s="185">
        <v>5</v>
      </c>
      <c r="J2034" s="18">
        <v>427</v>
      </c>
      <c r="K2034" s="54"/>
      <c r="L2034" s="54"/>
      <c r="M2034" s="21"/>
      <c r="N2034" s="21"/>
      <c r="O2034" s="21"/>
      <c r="R2034">
        <v>5</v>
      </c>
    </row>
    <row r="2035" spans="2:19" ht="15" customHeight="1" x14ac:dyDescent="0.35">
      <c r="B2035" s="100">
        <f t="shared" si="35"/>
        <v>2003</v>
      </c>
      <c r="C2035" s="162" t="s">
        <v>2581</v>
      </c>
      <c r="D2035" s="163" t="s">
        <v>2582</v>
      </c>
      <c r="E2035" s="159">
        <v>8</v>
      </c>
      <c r="F2035" s="184">
        <v>41114</v>
      </c>
      <c r="G2035" s="99">
        <v>4</v>
      </c>
      <c r="H2035" s="187">
        <v>3.76</v>
      </c>
      <c r="I2035" s="185">
        <v>4</v>
      </c>
      <c r="J2035" s="18">
        <v>480</v>
      </c>
      <c r="K2035" s="54"/>
      <c r="L2035" s="54"/>
      <c r="M2035" s="21"/>
      <c r="N2035" s="21"/>
      <c r="O2035" s="21"/>
      <c r="R2035">
        <v>4</v>
      </c>
    </row>
    <row r="2036" spans="2:19" ht="15" customHeight="1" x14ac:dyDescent="0.35">
      <c r="B2036" s="100">
        <f t="shared" si="35"/>
        <v>2004</v>
      </c>
      <c r="C2036" s="162" t="s">
        <v>2583</v>
      </c>
      <c r="D2036" s="163" t="s">
        <v>2584</v>
      </c>
      <c r="E2036" s="159">
        <v>8</v>
      </c>
      <c r="F2036" s="184">
        <v>41114</v>
      </c>
      <c r="G2036" s="99">
        <v>4</v>
      </c>
      <c r="H2036" s="187">
        <v>3.42</v>
      </c>
      <c r="I2036" s="185">
        <v>4</v>
      </c>
      <c r="J2036" s="18">
        <v>410</v>
      </c>
      <c r="K2036" s="54"/>
      <c r="L2036" s="54"/>
      <c r="M2036" s="21"/>
      <c r="N2036" s="21"/>
      <c r="O2036" s="21"/>
      <c r="R2036">
        <v>4</v>
      </c>
    </row>
    <row r="2037" spans="2:19" ht="15" customHeight="1" x14ac:dyDescent="0.35">
      <c r="B2037" s="100">
        <f t="shared" si="35"/>
        <v>2005</v>
      </c>
      <c r="C2037" s="162" t="s">
        <v>2585</v>
      </c>
      <c r="D2037" s="163" t="s">
        <v>2586</v>
      </c>
      <c r="E2037" s="159">
        <v>8</v>
      </c>
      <c r="F2037" s="184">
        <v>41114</v>
      </c>
      <c r="G2037" s="99">
        <v>4</v>
      </c>
      <c r="H2037" s="187">
        <v>3.07</v>
      </c>
      <c r="I2037" s="185">
        <v>4</v>
      </c>
      <c r="J2037" s="18">
        <v>417</v>
      </c>
      <c r="K2037" s="54"/>
      <c r="L2037" s="54"/>
      <c r="M2037" s="21"/>
      <c r="N2037" s="21"/>
      <c r="O2037" s="21"/>
      <c r="R2037">
        <v>4</v>
      </c>
    </row>
    <row r="2038" spans="2:19" ht="15" customHeight="1" x14ac:dyDescent="0.35">
      <c r="B2038" s="100">
        <f t="shared" si="35"/>
        <v>2006</v>
      </c>
      <c r="C2038" s="162" t="s">
        <v>2587</v>
      </c>
      <c r="D2038" s="163" t="s">
        <v>2588</v>
      </c>
      <c r="E2038" s="159">
        <v>8</v>
      </c>
      <c r="F2038" s="184">
        <v>41114</v>
      </c>
      <c r="G2038" s="99">
        <v>4</v>
      </c>
      <c r="H2038" s="187">
        <v>3.56</v>
      </c>
      <c r="I2038" s="185">
        <v>4</v>
      </c>
      <c r="J2038" s="18">
        <v>447</v>
      </c>
      <c r="K2038" s="54"/>
      <c r="L2038" s="54"/>
      <c r="M2038" s="21"/>
      <c r="N2038" s="21"/>
      <c r="O2038" s="21"/>
      <c r="R2038">
        <v>4</v>
      </c>
    </row>
    <row r="2039" spans="2:19" ht="15" customHeight="1" x14ac:dyDescent="0.35">
      <c r="B2039" s="100">
        <f t="shared" si="35"/>
        <v>2007</v>
      </c>
      <c r="C2039" s="162" t="s">
        <v>2589</v>
      </c>
      <c r="D2039" s="163" t="s">
        <v>2590</v>
      </c>
      <c r="E2039" s="159">
        <v>5</v>
      </c>
      <c r="F2039" s="184">
        <v>41114</v>
      </c>
      <c r="G2039" s="99">
        <v>7</v>
      </c>
      <c r="H2039" s="187">
        <v>2.79</v>
      </c>
      <c r="I2039" s="185">
        <v>7</v>
      </c>
      <c r="J2039" s="18">
        <v>471</v>
      </c>
      <c r="K2039" s="54"/>
      <c r="L2039" s="54"/>
      <c r="M2039" s="21"/>
      <c r="N2039" s="21"/>
      <c r="O2039" s="21"/>
      <c r="R2039">
        <v>7</v>
      </c>
    </row>
    <row r="2040" spans="2:19" ht="15" customHeight="1" x14ac:dyDescent="0.35">
      <c r="B2040" s="100">
        <f t="shared" si="35"/>
        <v>2008</v>
      </c>
      <c r="C2040" s="162" t="s">
        <v>2591</v>
      </c>
      <c r="D2040" s="163" t="s">
        <v>2592</v>
      </c>
      <c r="E2040" s="159">
        <v>7</v>
      </c>
      <c r="F2040" s="184">
        <v>41114</v>
      </c>
      <c r="G2040" s="99">
        <v>5</v>
      </c>
      <c r="H2040" s="187">
        <v>3.18</v>
      </c>
      <c r="I2040" s="185">
        <v>5</v>
      </c>
      <c r="J2040" s="18">
        <v>413</v>
      </c>
      <c r="K2040" s="54"/>
      <c r="L2040" s="54"/>
      <c r="M2040" s="21"/>
      <c r="N2040" s="21"/>
      <c r="O2040" s="21"/>
      <c r="R2040">
        <v>5</v>
      </c>
    </row>
    <row r="2041" spans="2:19" ht="15" customHeight="1" x14ac:dyDescent="0.35">
      <c r="B2041" s="100">
        <f t="shared" si="35"/>
        <v>2009</v>
      </c>
      <c r="C2041" s="162" t="s">
        <v>2593</v>
      </c>
      <c r="D2041" s="163" t="s">
        <v>2594</v>
      </c>
      <c r="E2041" s="159">
        <v>7</v>
      </c>
      <c r="F2041" s="184">
        <v>41114</v>
      </c>
      <c r="G2041" s="99">
        <v>5</v>
      </c>
      <c r="H2041" s="187">
        <v>2.78</v>
      </c>
      <c r="I2041" s="185">
        <v>5</v>
      </c>
      <c r="J2041" s="18">
        <v>440</v>
      </c>
      <c r="K2041" s="54"/>
      <c r="L2041" s="54"/>
      <c r="M2041" s="21"/>
      <c r="N2041" s="21"/>
      <c r="O2041" s="21"/>
      <c r="R2041">
        <v>5</v>
      </c>
    </row>
    <row r="2042" spans="2:19" ht="15" customHeight="1" x14ac:dyDescent="0.35">
      <c r="B2042" s="100">
        <f t="shared" si="35"/>
        <v>2010</v>
      </c>
      <c r="C2042" s="162" t="s">
        <v>2595</v>
      </c>
      <c r="D2042" s="163" t="s">
        <v>2596</v>
      </c>
      <c r="E2042" s="159">
        <v>7</v>
      </c>
      <c r="F2042" s="184">
        <v>41114</v>
      </c>
      <c r="G2042" s="99">
        <v>5</v>
      </c>
      <c r="H2042" s="187">
        <v>2.4500000000000002</v>
      </c>
      <c r="I2042" s="185">
        <v>5</v>
      </c>
      <c r="J2042" s="18">
        <v>470</v>
      </c>
      <c r="K2042" s="54"/>
      <c r="L2042" s="54"/>
      <c r="M2042" s="21"/>
      <c r="N2042" s="21"/>
      <c r="O2042" s="21"/>
      <c r="R2042">
        <v>5</v>
      </c>
    </row>
    <row r="2043" spans="2:19" ht="15" customHeight="1" x14ac:dyDescent="0.35">
      <c r="B2043" s="100">
        <f t="shared" si="35"/>
        <v>2011</v>
      </c>
      <c r="C2043" s="162" t="s">
        <v>2597</v>
      </c>
      <c r="D2043" s="163" t="s">
        <v>2598</v>
      </c>
      <c r="E2043" s="188">
        <v>8</v>
      </c>
      <c r="F2043" s="184">
        <v>41114</v>
      </c>
      <c r="G2043" s="99">
        <v>4</v>
      </c>
      <c r="H2043" s="187">
        <v>3.09</v>
      </c>
      <c r="I2043" s="185">
        <v>4</v>
      </c>
      <c r="J2043" s="18">
        <v>423</v>
      </c>
      <c r="K2043" s="54"/>
      <c r="L2043" s="54"/>
      <c r="M2043" s="21"/>
      <c r="N2043" s="21"/>
      <c r="O2043" s="21"/>
      <c r="R2043">
        <v>4</v>
      </c>
    </row>
    <row r="2044" spans="2:19" ht="15" customHeight="1" x14ac:dyDescent="0.35">
      <c r="B2044" s="100"/>
      <c r="C2044" s="101"/>
      <c r="D2044" s="99"/>
      <c r="E2044" s="99"/>
      <c r="F2044" s="99"/>
      <c r="G2044" s="99"/>
      <c r="H2044" s="99"/>
      <c r="I2044" s="99"/>
      <c r="J2044" s="18"/>
      <c r="K2044" s="54"/>
      <c r="L2044" s="54"/>
      <c r="M2044" s="21"/>
      <c r="N2044" s="21"/>
      <c r="O2044" s="21"/>
    </row>
    <row r="2045" spans="2:19" ht="15" customHeight="1" x14ac:dyDescent="0.35">
      <c r="B2045" s="100"/>
      <c r="C2045" s="101"/>
      <c r="D2045" s="99"/>
      <c r="E2045" s="99"/>
      <c r="F2045" s="99"/>
      <c r="G2045" s="99"/>
      <c r="H2045" s="99"/>
      <c r="I2045" s="99"/>
      <c r="J2045" s="20"/>
      <c r="K2045" s="21"/>
      <c r="L2045" s="21"/>
      <c r="M2045" s="21"/>
      <c r="N2045" s="21"/>
      <c r="O2045" s="21"/>
    </row>
    <row r="2046" spans="2:19" ht="15" customHeight="1" x14ac:dyDescent="0.35">
      <c r="B2046" s="100"/>
      <c r="C2046" s="146" t="s">
        <v>2599</v>
      </c>
      <c r="D2046" s="99"/>
      <c r="E2046" s="141" t="s">
        <v>1822</v>
      </c>
      <c r="F2046" s="147"/>
      <c r="G2046" s="141" t="s">
        <v>2200</v>
      </c>
      <c r="H2046" s="148" t="s">
        <v>6</v>
      </c>
      <c r="I2046" s="100" t="s">
        <v>2200</v>
      </c>
      <c r="J2046" s="42" t="s">
        <v>2201</v>
      </c>
      <c r="K2046" s="21"/>
      <c r="L2046" s="21"/>
      <c r="M2046" s="21"/>
      <c r="N2046" s="21"/>
      <c r="O2046" s="21"/>
      <c r="R2046" t="s">
        <v>5043</v>
      </c>
      <c r="S2046" t="s">
        <v>5044</v>
      </c>
    </row>
    <row r="2047" spans="2:19" ht="15" customHeight="1" x14ac:dyDescent="0.35">
      <c r="B2047" s="100">
        <f>(B2043+1)</f>
        <v>2012</v>
      </c>
      <c r="C2047" s="101" t="s">
        <v>2600</v>
      </c>
      <c r="D2047" s="99" t="s">
        <v>2601</v>
      </c>
      <c r="E2047" s="99">
        <v>7</v>
      </c>
      <c r="F2047" s="103">
        <v>41158</v>
      </c>
      <c r="G2047" s="99">
        <v>5</v>
      </c>
      <c r="H2047" s="99">
        <v>3.04</v>
      </c>
      <c r="I2047" s="99">
        <v>5</v>
      </c>
      <c r="J2047" s="20">
        <v>460</v>
      </c>
      <c r="K2047" s="21"/>
      <c r="L2047" s="21"/>
      <c r="M2047" s="21"/>
      <c r="N2047" s="21"/>
      <c r="O2047" s="21"/>
      <c r="R2047">
        <v>5</v>
      </c>
    </row>
    <row r="2048" spans="2:19" ht="15" customHeight="1" x14ac:dyDescent="0.35">
      <c r="B2048" s="100">
        <f>(B2047+1)</f>
        <v>2013</v>
      </c>
      <c r="C2048" s="165" t="s">
        <v>2602</v>
      </c>
      <c r="D2048" s="166" t="s">
        <v>2603</v>
      </c>
      <c r="E2048" s="99">
        <v>8</v>
      </c>
      <c r="F2048" s="166" t="s">
        <v>2604</v>
      </c>
      <c r="G2048" s="99">
        <v>4.4000000000000004</v>
      </c>
      <c r="H2048" s="166">
        <v>3.32</v>
      </c>
      <c r="I2048" s="166">
        <v>4.4000000000000004</v>
      </c>
      <c r="J2048" s="20">
        <v>420</v>
      </c>
      <c r="K2048" s="21"/>
      <c r="L2048" s="21"/>
      <c r="M2048" s="21"/>
      <c r="N2048" s="21"/>
      <c r="O2048" s="21"/>
      <c r="R2048">
        <v>4.4000000000000004</v>
      </c>
    </row>
    <row r="2049" spans="2:20" ht="15" customHeight="1" x14ac:dyDescent="0.35">
      <c r="B2049" s="100">
        <f t="shared" ref="B2049:B2112" si="36">(B2048+1)</f>
        <v>2014</v>
      </c>
      <c r="C2049" s="165" t="s">
        <v>2605</v>
      </c>
      <c r="D2049" s="166" t="s">
        <v>2606</v>
      </c>
      <c r="E2049" s="99">
        <v>7</v>
      </c>
      <c r="F2049" s="166" t="s">
        <v>2604</v>
      </c>
      <c r="G2049" s="99">
        <v>5.4</v>
      </c>
      <c r="H2049" s="166">
        <v>2.96</v>
      </c>
      <c r="I2049" s="166">
        <v>5.4</v>
      </c>
      <c r="J2049" s="20">
        <v>523</v>
      </c>
      <c r="K2049" s="21"/>
      <c r="L2049" s="21"/>
      <c r="M2049" s="21"/>
      <c r="N2049" s="21"/>
      <c r="O2049" s="21"/>
      <c r="R2049">
        <v>5.4</v>
      </c>
    </row>
    <row r="2050" spans="2:20" ht="15" customHeight="1" x14ac:dyDescent="0.35">
      <c r="B2050" s="100">
        <f t="shared" si="36"/>
        <v>2015</v>
      </c>
      <c r="C2050" s="165" t="s">
        <v>2607</v>
      </c>
      <c r="D2050" s="166" t="s">
        <v>2608</v>
      </c>
      <c r="E2050" s="99">
        <v>7</v>
      </c>
      <c r="F2050" s="166" t="s">
        <v>2604</v>
      </c>
      <c r="G2050" s="99">
        <v>5.4</v>
      </c>
      <c r="H2050" s="166">
        <v>2.86</v>
      </c>
      <c r="I2050" s="166">
        <v>5.4</v>
      </c>
      <c r="J2050" s="20">
        <v>470</v>
      </c>
      <c r="K2050" s="21"/>
      <c r="L2050" s="21"/>
      <c r="M2050" s="21"/>
      <c r="N2050" s="21"/>
      <c r="O2050" s="21"/>
      <c r="R2050">
        <v>5.4</v>
      </c>
    </row>
    <row r="2051" spans="2:20" ht="15" customHeight="1" x14ac:dyDescent="0.35">
      <c r="B2051" s="100">
        <f t="shared" si="36"/>
        <v>2016</v>
      </c>
      <c r="C2051" s="165" t="s">
        <v>2609</v>
      </c>
      <c r="D2051" s="166" t="s">
        <v>2610</v>
      </c>
      <c r="E2051" s="99">
        <v>8</v>
      </c>
      <c r="F2051" s="166" t="s">
        <v>2604</v>
      </c>
      <c r="G2051" s="99">
        <v>4.2</v>
      </c>
      <c r="H2051" s="166">
        <v>3.32</v>
      </c>
      <c r="I2051" s="166">
        <v>4.2</v>
      </c>
      <c r="J2051" s="20">
        <v>472</v>
      </c>
      <c r="K2051" s="21"/>
      <c r="L2051" s="21"/>
      <c r="M2051" s="21"/>
      <c r="N2051" s="21"/>
      <c r="O2051" s="21"/>
      <c r="R2051">
        <v>4.2</v>
      </c>
    </row>
    <row r="2052" spans="2:20" ht="15" customHeight="1" x14ac:dyDescent="0.35">
      <c r="B2052" s="100">
        <f t="shared" si="36"/>
        <v>2017</v>
      </c>
      <c r="C2052" s="165" t="s">
        <v>2611</v>
      </c>
      <c r="D2052" s="166" t="s">
        <v>2612</v>
      </c>
      <c r="E2052" s="99">
        <v>8</v>
      </c>
      <c r="F2052" s="166" t="s">
        <v>2604</v>
      </c>
      <c r="G2052" s="99">
        <v>4.4000000000000004</v>
      </c>
      <c r="H2052" s="166">
        <v>3.06</v>
      </c>
      <c r="I2052" s="166">
        <v>4.4000000000000004</v>
      </c>
      <c r="J2052" s="20">
        <v>420</v>
      </c>
      <c r="K2052" s="52">
        <v>2002</v>
      </c>
      <c r="L2052" s="29">
        <f>COUNTIF(E2047:E2054,"2")</f>
        <v>0</v>
      </c>
      <c r="M2052" s="21"/>
      <c r="N2052" s="21"/>
      <c r="O2052" s="21"/>
      <c r="R2052">
        <v>4.4000000000000004</v>
      </c>
    </row>
    <row r="2053" spans="2:20" ht="15" customHeight="1" x14ac:dyDescent="0.35">
      <c r="B2053" s="100">
        <f t="shared" si="36"/>
        <v>2018</v>
      </c>
      <c r="C2053" s="165" t="s">
        <v>2613</v>
      </c>
      <c r="D2053" s="166" t="s">
        <v>2614</v>
      </c>
      <c r="E2053" s="99">
        <v>7</v>
      </c>
      <c r="F2053" s="166" t="s">
        <v>2604</v>
      </c>
      <c r="G2053" s="99">
        <v>5.4</v>
      </c>
      <c r="H2053" s="166">
        <v>2.78</v>
      </c>
      <c r="I2053" s="166">
        <v>5.4</v>
      </c>
      <c r="J2053" s="20">
        <v>490</v>
      </c>
      <c r="K2053" s="52">
        <v>2003</v>
      </c>
      <c r="L2053" s="29">
        <f>COUNTIF(E2047:E2054,"3")</f>
        <v>0</v>
      </c>
      <c r="M2053" s="21"/>
      <c r="N2053" s="19" t="s">
        <v>580</v>
      </c>
      <c r="O2053" s="21"/>
      <c r="R2053">
        <v>5.4</v>
      </c>
    </row>
    <row r="2054" spans="2:20" ht="15" customHeight="1" x14ac:dyDescent="0.35">
      <c r="B2054" s="100">
        <f t="shared" si="36"/>
        <v>2019</v>
      </c>
      <c r="C2054" s="165" t="s">
        <v>2615</v>
      </c>
      <c r="D2054" s="166" t="s">
        <v>2616</v>
      </c>
      <c r="E2054" s="99">
        <v>7</v>
      </c>
      <c r="F2054" s="166" t="s">
        <v>2604</v>
      </c>
      <c r="G2054" s="99">
        <v>5.2</v>
      </c>
      <c r="H2054" s="166">
        <v>3.13</v>
      </c>
      <c r="I2054" s="166">
        <v>5.2</v>
      </c>
      <c r="J2054" s="20">
        <v>533</v>
      </c>
      <c r="K2054" s="52">
        <v>2004</v>
      </c>
      <c r="L2054" s="29">
        <f>COUNTIF(E2047:E2054,"4")</f>
        <v>0</v>
      </c>
      <c r="M2054" s="21"/>
      <c r="N2054" s="21"/>
      <c r="O2054" s="21"/>
      <c r="R2054">
        <v>5.2</v>
      </c>
    </row>
    <row r="2055" spans="2:20" ht="15" customHeight="1" x14ac:dyDescent="0.35">
      <c r="B2055" s="100">
        <f t="shared" si="36"/>
        <v>2020</v>
      </c>
      <c r="C2055" s="162" t="s">
        <v>2617</v>
      </c>
      <c r="D2055" s="159" t="s">
        <v>2618</v>
      </c>
      <c r="E2055" s="159">
        <v>8</v>
      </c>
      <c r="F2055" s="159" t="s">
        <v>2619</v>
      </c>
      <c r="G2055" s="99">
        <v>4.5</v>
      </c>
      <c r="H2055" s="159">
        <v>3.52</v>
      </c>
      <c r="I2055" s="166">
        <v>4.5</v>
      </c>
      <c r="J2055" s="44">
        <v>507</v>
      </c>
      <c r="K2055" s="57">
        <v>2005</v>
      </c>
      <c r="L2055" s="29">
        <f>COUNTIF(E2047:E2054,"5")</f>
        <v>0</v>
      </c>
      <c r="M2055" s="21"/>
      <c r="N2055" s="47"/>
      <c r="O2055" s="21"/>
      <c r="P2055" s="7"/>
      <c r="Q2055" s="7"/>
      <c r="R2055" s="7">
        <v>4.5</v>
      </c>
      <c r="S2055" s="7"/>
      <c r="T2055" s="7"/>
    </row>
    <row r="2056" spans="2:20" ht="15" customHeight="1" x14ac:dyDescent="0.35">
      <c r="B2056" s="100">
        <f t="shared" si="36"/>
        <v>2021</v>
      </c>
      <c r="C2056" s="162" t="s">
        <v>2620</v>
      </c>
      <c r="D2056" s="159" t="s">
        <v>2621</v>
      </c>
      <c r="E2056" s="159">
        <v>8</v>
      </c>
      <c r="F2056" s="159" t="s">
        <v>2619</v>
      </c>
      <c r="G2056" s="99">
        <v>4.5</v>
      </c>
      <c r="H2056" s="159">
        <v>3.35</v>
      </c>
      <c r="I2056" s="166">
        <v>4.5</v>
      </c>
      <c r="J2056" s="44">
        <v>407</v>
      </c>
      <c r="K2056" s="57">
        <v>2006</v>
      </c>
      <c r="L2056" s="29">
        <f>COUNTIF(E2047:E2117,"6")</f>
        <v>4</v>
      </c>
      <c r="M2056" s="21"/>
      <c r="N2056" s="47"/>
      <c r="O2056" s="21"/>
      <c r="P2056" s="7"/>
      <c r="Q2056" s="7"/>
      <c r="R2056" s="7">
        <v>4.5</v>
      </c>
      <c r="S2056" s="7"/>
      <c r="T2056" s="7"/>
    </row>
    <row r="2057" spans="2:20" ht="15" customHeight="1" x14ac:dyDescent="0.35">
      <c r="B2057" s="100">
        <f t="shared" si="36"/>
        <v>2022</v>
      </c>
      <c r="C2057" s="162" t="s">
        <v>2622</v>
      </c>
      <c r="D2057" s="159" t="s">
        <v>2623</v>
      </c>
      <c r="E2057" s="159">
        <v>8</v>
      </c>
      <c r="F2057" s="159" t="s">
        <v>2619</v>
      </c>
      <c r="G2057" s="99">
        <v>4.5</v>
      </c>
      <c r="H2057" s="159">
        <v>3.3</v>
      </c>
      <c r="I2057" s="166">
        <v>4.5</v>
      </c>
      <c r="J2057" s="44">
        <v>454</v>
      </c>
      <c r="K2057" s="57">
        <v>2007</v>
      </c>
      <c r="L2057" s="29">
        <f>COUNTIF(E2047:E2117,"7")</f>
        <v>13</v>
      </c>
      <c r="M2057" s="21"/>
      <c r="N2057" s="47" t="s">
        <v>580</v>
      </c>
      <c r="O2057" s="21"/>
      <c r="P2057" s="7"/>
      <c r="Q2057" s="7"/>
      <c r="R2057" s="7">
        <v>4.5</v>
      </c>
      <c r="S2057" s="7"/>
      <c r="T2057" s="7"/>
    </row>
    <row r="2058" spans="2:20" ht="15" customHeight="1" x14ac:dyDescent="0.35">
      <c r="B2058" s="100">
        <f t="shared" si="36"/>
        <v>2023</v>
      </c>
      <c r="C2058" s="162" t="s">
        <v>2624</v>
      </c>
      <c r="D2058" s="163" t="s">
        <v>2625</v>
      </c>
      <c r="E2058" s="159">
        <v>8</v>
      </c>
      <c r="F2058" s="159" t="s">
        <v>2619</v>
      </c>
      <c r="G2058" s="99">
        <v>4.5</v>
      </c>
      <c r="H2058" s="159">
        <v>3.24</v>
      </c>
      <c r="I2058" s="166">
        <v>4.5</v>
      </c>
      <c r="J2058" s="44">
        <v>427</v>
      </c>
      <c r="K2058" s="57">
        <v>2008</v>
      </c>
      <c r="L2058" s="29">
        <f>COUNTIF(E2047:E2117,"8")</f>
        <v>33</v>
      </c>
      <c r="M2058" s="21"/>
      <c r="N2058" s="47"/>
      <c r="O2058" s="21"/>
      <c r="P2058" s="9"/>
      <c r="Q2058" s="9"/>
      <c r="R2058" s="9">
        <v>4.5</v>
      </c>
      <c r="S2058" s="9"/>
      <c r="T2058" s="7"/>
    </row>
    <row r="2059" spans="2:20" ht="15" customHeight="1" x14ac:dyDescent="0.35">
      <c r="B2059" s="100">
        <f t="shared" si="36"/>
        <v>2024</v>
      </c>
      <c r="C2059" s="162" t="s">
        <v>2626</v>
      </c>
      <c r="D2059" s="159" t="s">
        <v>2627</v>
      </c>
      <c r="E2059" s="159">
        <v>8</v>
      </c>
      <c r="F2059" s="159" t="s">
        <v>2619</v>
      </c>
      <c r="G2059" s="99">
        <v>4.5</v>
      </c>
      <c r="H2059" s="159">
        <v>3.23</v>
      </c>
      <c r="I2059" s="166">
        <v>4.5</v>
      </c>
      <c r="J2059" s="44">
        <v>437</v>
      </c>
      <c r="K2059" s="57">
        <v>2009</v>
      </c>
      <c r="L2059" s="29">
        <f>COUNTIF(E2047:E2117,"9")</f>
        <v>21</v>
      </c>
      <c r="M2059" s="21"/>
      <c r="N2059" s="47"/>
      <c r="O2059" s="21"/>
      <c r="P2059" s="7"/>
      <c r="Q2059" s="7"/>
      <c r="R2059" s="7">
        <v>4.5</v>
      </c>
      <c r="S2059" s="7"/>
      <c r="T2059" s="7"/>
    </row>
    <row r="2060" spans="2:20" ht="15" customHeight="1" x14ac:dyDescent="0.35">
      <c r="B2060" s="100">
        <f t="shared" si="36"/>
        <v>2025</v>
      </c>
      <c r="C2060" s="162" t="s">
        <v>2628</v>
      </c>
      <c r="D2060" s="159" t="s">
        <v>2629</v>
      </c>
      <c r="E2060" s="159">
        <v>8</v>
      </c>
      <c r="F2060" s="159" t="s">
        <v>2619</v>
      </c>
      <c r="G2060" s="99">
        <v>4.5</v>
      </c>
      <c r="H2060" s="159">
        <v>3.22</v>
      </c>
      <c r="I2060" s="166">
        <v>4.5</v>
      </c>
      <c r="J2060" s="44">
        <v>434</v>
      </c>
      <c r="K2060" s="42" t="s">
        <v>2310</v>
      </c>
      <c r="L2060" s="29">
        <f>SUM(L2052:L2059)</f>
        <v>71</v>
      </c>
      <c r="M2060" s="21"/>
      <c r="N2060" s="47"/>
      <c r="O2060" s="21"/>
      <c r="P2060" s="7"/>
      <c r="Q2060" s="7"/>
      <c r="R2060" s="7">
        <v>4.5</v>
      </c>
      <c r="S2060" s="7"/>
      <c r="T2060" s="7"/>
    </row>
    <row r="2061" spans="2:20" ht="15" customHeight="1" x14ac:dyDescent="0.35">
      <c r="B2061" s="100">
        <f t="shared" si="36"/>
        <v>2026</v>
      </c>
      <c r="C2061" s="162" t="s">
        <v>2630</v>
      </c>
      <c r="D2061" s="159" t="s">
        <v>2631</v>
      </c>
      <c r="E2061" s="159">
        <v>8</v>
      </c>
      <c r="F2061" s="159" t="s">
        <v>2619</v>
      </c>
      <c r="G2061" s="99">
        <v>4.5</v>
      </c>
      <c r="H2061" s="159">
        <v>3.21</v>
      </c>
      <c r="I2061" s="166">
        <v>4.5</v>
      </c>
      <c r="J2061" s="44">
        <v>443</v>
      </c>
      <c r="K2061" s="29" t="s">
        <v>2528</v>
      </c>
      <c r="L2061" s="21"/>
      <c r="M2061" s="29">
        <f>COUNTIF(G2047:G2117,"&lt;=5")-COUNTIF(G2047:G2117,"&lt;3")</f>
        <v>55</v>
      </c>
      <c r="N2061" s="47"/>
      <c r="O2061" s="21"/>
      <c r="P2061" s="7"/>
      <c r="Q2061" s="7"/>
      <c r="R2061" s="7">
        <v>4.5</v>
      </c>
      <c r="S2061" s="7"/>
      <c r="T2061" s="7"/>
    </row>
    <row r="2062" spans="2:20" ht="15" customHeight="1" x14ac:dyDescent="0.35">
      <c r="B2062" s="100">
        <f t="shared" si="36"/>
        <v>2027</v>
      </c>
      <c r="C2062" s="162" t="s">
        <v>2632</v>
      </c>
      <c r="D2062" s="159" t="s">
        <v>2633</v>
      </c>
      <c r="E2062" s="159">
        <v>8</v>
      </c>
      <c r="F2062" s="159" t="s">
        <v>2619</v>
      </c>
      <c r="G2062" s="99">
        <v>4.5</v>
      </c>
      <c r="H2062" s="159">
        <v>3.21</v>
      </c>
      <c r="I2062" s="166">
        <v>4.5</v>
      </c>
      <c r="J2062" s="44">
        <v>433</v>
      </c>
      <c r="K2062" s="29" t="s">
        <v>1798</v>
      </c>
      <c r="L2062" s="29"/>
      <c r="M2062" s="34">
        <f>SUM(G2022:G2099)/L2060</f>
        <v>5.2028169014084504</v>
      </c>
      <c r="N2062" s="47"/>
      <c r="O2062" s="21"/>
      <c r="P2062" s="7"/>
      <c r="Q2062" s="7"/>
      <c r="R2062" s="7">
        <v>4.5</v>
      </c>
      <c r="S2062" s="7"/>
      <c r="T2062" s="7"/>
    </row>
    <row r="2063" spans="2:20" ht="15" customHeight="1" x14ac:dyDescent="0.35">
      <c r="B2063" s="100">
        <f t="shared" si="36"/>
        <v>2028</v>
      </c>
      <c r="C2063" s="162" t="s">
        <v>2634</v>
      </c>
      <c r="D2063" s="159" t="s">
        <v>2635</v>
      </c>
      <c r="E2063" s="159">
        <v>8</v>
      </c>
      <c r="F2063" s="159" t="s">
        <v>2619</v>
      </c>
      <c r="G2063" s="99">
        <v>4.5</v>
      </c>
      <c r="H2063" s="159">
        <v>3.19</v>
      </c>
      <c r="I2063" s="99">
        <v>4.5</v>
      </c>
      <c r="J2063" s="44">
        <v>437</v>
      </c>
      <c r="K2063" s="29" t="s">
        <v>1801</v>
      </c>
      <c r="L2063" s="29"/>
      <c r="M2063" s="34">
        <f>SUM(I2047:I2117)/L2060</f>
        <v>4.6957746478873235</v>
      </c>
      <c r="N2063" s="21"/>
      <c r="O2063" s="21"/>
      <c r="P2063" s="7"/>
      <c r="Q2063" s="7"/>
      <c r="R2063" s="7">
        <v>4.5</v>
      </c>
      <c r="S2063" s="7"/>
      <c r="T2063" s="7"/>
    </row>
    <row r="2064" spans="2:20" ht="15" customHeight="1" x14ac:dyDescent="0.35">
      <c r="B2064" s="100">
        <f t="shared" si="36"/>
        <v>2029</v>
      </c>
      <c r="C2064" s="162" t="s">
        <v>2636</v>
      </c>
      <c r="D2064" s="159" t="s">
        <v>2637</v>
      </c>
      <c r="E2064" s="159">
        <v>8</v>
      </c>
      <c r="F2064" s="159" t="s">
        <v>2619</v>
      </c>
      <c r="G2064" s="99">
        <v>4.5</v>
      </c>
      <c r="H2064" s="159">
        <v>3.13</v>
      </c>
      <c r="I2064" s="166">
        <v>4.5</v>
      </c>
      <c r="J2064" s="44">
        <v>413</v>
      </c>
      <c r="K2064" s="29" t="s">
        <v>1804</v>
      </c>
      <c r="L2064" s="29"/>
      <c r="M2064" s="30">
        <f>MIN(H2047:H2117)</f>
        <v>2.27</v>
      </c>
      <c r="N2064" s="47"/>
      <c r="O2064" s="21"/>
      <c r="P2064" s="7"/>
      <c r="Q2064" s="7"/>
      <c r="R2064" s="7">
        <v>4.5</v>
      </c>
      <c r="S2064" s="7"/>
      <c r="T2064" s="7"/>
    </row>
    <row r="2065" spans="2:20" ht="15" customHeight="1" x14ac:dyDescent="0.35">
      <c r="B2065" s="100">
        <f t="shared" si="36"/>
        <v>2030</v>
      </c>
      <c r="C2065" s="162" t="s">
        <v>2638</v>
      </c>
      <c r="D2065" s="159" t="s">
        <v>2639</v>
      </c>
      <c r="E2065" s="159">
        <v>8</v>
      </c>
      <c r="F2065" s="159" t="s">
        <v>2619</v>
      </c>
      <c r="G2065" s="99">
        <v>4.5</v>
      </c>
      <c r="H2065" s="159">
        <v>3.07</v>
      </c>
      <c r="I2065" s="166">
        <v>4.5</v>
      </c>
      <c r="J2065" s="44">
        <v>403</v>
      </c>
      <c r="K2065" s="29" t="s">
        <v>1807</v>
      </c>
      <c r="L2065" s="29"/>
      <c r="M2065" s="30">
        <f>SUM(H2047:H2117)/L2060</f>
        <v>3.1294366197183097</v>
      </c>
      <c r="N2065" s="47"/>
      <c r="O2065" s="21"/>
      <c r="P2065" s="7"/>
      <c r="Q2065" s="7"/>
      <c r="R2065" s="7">
        <v>4.5</v>
      </c>
      <c r="S2065" s="7"/>
      <c r="T2065" s="7"/>
    </row>
    <row r="2066" spans="2:20" ht="15" customHeight="1" x14ac:dyDescent="0.35">
      <c r="B2066" s="100">
        <f t="shared" si="36"/>
        <v>2031</v>
      </c>
      <c r="C2066" s="162" t="s">
        <v>2640</v>
      </c>
      <c r="D2066" s="159" t="s">
        <v>2641</v>
      </c>
      <c r="E2066" s="159">
        <v>8</v>
      </c>
      <c r="F2066" s="159" t="s">
        <v>2619</v>
      </c>
      <c r="G2066" s="99">
        <v>4.5</v>
      </c>
      <c r="H2066" s="159">
        <v>3.04</v>
      </c>
      <c r="I2066" s="166">
        <v>4.5</v>
      </c>
      <c r="J2066" s="44">
        <v>460</v>
      </c>
      <c r="K2066" s="29" t="s">
        <v>1810</v>
      </c>
      <c r="L2066" s="29"/>
      <c r="M2066" s="30">
        <f>MAX(H2047:H2117)</f>
        <v>3.9</v>
      </c>
      <c r="N2066" s="47"/>
      <c r="O2066" s="21"/>
      <c r="P2066" s="7"/>
      <c r="Q2066" s="7"/>
      <c r="R2066" s="7">
        <v>4.5</v>
      </c>
      <c r="S2066" s="7"/>
      <c r="T2066" s="7"/>
    </row>
    <row r="2067" spans="2:20" ht="15" customHeight="1" x14ac:dyDescent="0.35">
      <c r="B2067" s="100">
        <f t="shared" si="36"/>
        <v>2032</v>
      </c>
      <c r="C2067" s="162" t="s">
        <v>2642</v>
      </c>
      <c r="D2067" s="159" t="s">
        <v>2643</v>
      </c>
      <c r="E2067" s="159">
        <v>8</v>
      </c>
      <c r="F2067" s="159" t="s">
        <v>2619</v>
      </c>
      <c r="G2067" s="99">
        <v>4.5</v>
      </c>
      <c r="H2067" s="159">
        <v>3.03</v>
      </c>
      <c r="I2067" s="166">
        <v>4.5</v>
      </c>
      <c r="J2067" s="44">
        <v>437</v>
      </c>
      <c r="K2067" s="29" t="s">
        <v>1813</v>
      </c>
      <c r="L2067" s="29">
        <f>COUNTIF(H2047:H2117,"&lt;2.75")</f>
        <v>0</v>
      </c>
      <c r="M2067" s="30" t="e">
        <f>(L2067/L2070)*100</f>
        <v>#DIV/0!</v>
      </c>
      <c r="N2067" s="47"/>
      <c r="O2067" s="21"/>
      <c r="P2067" s="7"/>
      <c r="Q2067" s="7"/>
      <c r="R2067" s="7">
        <v>4.5</v>
      </c>
      <c r="S2067" s="7"/>
      <c r="T2067" s="7"/>
    </row>
    <row r="2068" spans="2:20" ht="15" customHeight="1" x14ac:dyDescent="0.35">
      <c r="B2068" s="100">
        <f t="shared" si="36"/>
        <v>2033</v>
      </c>
      <c r="C2068" s="162" t="s">
        <v>2644</v>
      </c>
      <c r="D2068" s="159" t="s">
        <v>2645</v>
      </c>
      <c r="E2068" s="159">
        <v>6</v>
      </c>
      <c r="F2068" s="159" t="s">
        <v>2619</v>
      </c>
      <c r="G2068" s="99">
        <v>6.5</v>
      </c>
      <c r="H2068" s="159">
        <v>3.02</v>
      </c>
      <c r="I2068" s="166">
        <v>6.5</v>
      </c>
      <c r="J2068" s="44">
        <v>437</v>
      </c>
      <c r="K2068" s="29" t="s">
        <v>1816</v>
      </c>
      <c r="L2068" s="40">
        <f>COUNTIF(H2047:H2117,"&lt;3.50")-COUNTIF(H2047:H2117,"&lt;2.75")</f>
        <v>0</v>
      </c>
      <c r="M2068" s="30" t="e">
        <f>(L2068/L2070)*100</f>
        <v>#DIV/0!</v>
      </c>
      <c r="N2068" s="47"/>
      <c r="O2068" s="21"/>
      <c r="P2068" s="7"/>
      <c r="Q2068" s="7"/>
      <c r="R2068" s="7">
        <v>6.5</v>
      </c>
      <c r="S2068" s="7"/>
      <c r="T2068" s="7"/>
    </row>
    <row r="2069" spans="2:20" ht="15" customHeight="1" x14ac:dyDescent="0.35">
      <c r="B2069" s="100">
        <f t="shared" si="36"/>
        <v>2034</v>
      </c>
      <c r="C2069" s="162" t="s">
        <v>2646</v>
      </c>
      <c r="D2069" s="159" t="s">
        <v>2647</v>
      </c>
      <c r="E2069" s="159">
        <v>6</v>
      </c>
      <c r="F2069" s="159" t="s">
        <v>2619</v>
      </c>
      <c r="G2069" s="99">
        <v>6.5</v>
      </c>
      <c r="H2069" s="159">
        <v>3</v>
      </c>
      <c r="I2069" s="166">
        <v>6.5</v>
      </c>
      <c r="J2069" s="44">
        <v>497</v>
      </c>
      <c r="K2069" s="29" t="s">
        <v>1819</v>
      </c>
      <c r="L2069" s="29">
        <f>COUNTIF(H2047:H2117,"&gt;3.50")</f>
        <v>0</v>
      </c>
      <c r="M2069" s="30" t="e">
        <f>(L2069/L2070)*100</f>
        <v>#DIV/0!</v>
      </c>
      <c r="N2069" s="47"/>
      <c r="O2069" s="21"/>
      <c r="P2069" s="7"/>
      <c r="Q2069" s="7"/>
      <c r="R2069" s="7">
        <v>6.5</v>
      </c>
      <c r="S2069" s="7"/>
      <c r="T2069" s="7"/>
    </row>
    <row r="2070" spans="2:20" ht="15" customHeight="1" x14ac:dyDescent="0.35">
      <c r="B2070" s="100">
        <f t="shared" si="36"/>
        <v>2035</v>
      </c>
      <c r="C2070" s="162" t="s">
        <v>2648</v>
      </c>
      <c r="D2070" s="159" t="s">
        <v>2649</v>
      </c>
      <c r="E2070" s="159">
        <v>8</v>
      </c>
      <c r="F2070" s="159" t="s">
        <v>2619</v>
      </c>
      <c r="G2070" s="99">
        <v>4.5</v>
      </c>
      <c r="H2070" s="159">
        <v>2.96</v>
      </c>
      <c r="I2070" s="166">
        <v>4.5</v>
      </c>
      <c r="J2070" s="44">
        <v>413</v>
      </c>
      <c r="K2070" s="29" t="s">
        <v>1820</v>
      </c>
      <c r="L2070" s="29">
        <f>SUM(L2067:L2069)</f>
        <v>0</v>
      </c>
      <c r="M2070" s="29"/>
      <c r="N2070" s="47"/>
      <c r="O2070" s="21"/>
      <c r="P2070" s="7"/>
      <c r="Q2070" s="7"/>
      <c r="R2070" s="7">
        <v>4.5</v>
      </c>
      <c r="S2070" s="7"/>
      <c r="T2070" s="7"/>
    </row>
    <row r="2071" spans="2:20" ht="15" customHeight="1" x14ac:dyDescent="0.35">
      <c r="B2071" s="100">
        <f t="shared" si="36"/>
        <v>2036</v>
      </c>
      <c r="C2071" s="162" t="s">
        <v>2650</v>
      </c>
      <c r="D2071" s="159" t="s">
        <v>2651</v>
      </c>
      <c r="E2071" s="159">
        <v>8</v>
      </c>
      <c r="F2071" s="159" t="s">
        <v>2619</v>
      </c>
      <c r="G2071" s="99">
        <v>4.5</v>
      </c>
      <c r="H2071" s="159">
        <v>2.94</v>
      </c>
      <c r="I2071" s="166">
        <v>4.5</v>
      </c>
      <c r="J2071" s="44">
        <v>410</v>
      </c>
      <c r="K2071" s="21"/>
      <c r="L2071" s="21"/>
      <c r="M2071" s="21"/>
      <c r="N2071" s="47"/>
      <c r="O2071" s="21"/>
      <c r="P2071" s="7"/>
      <c r="Q2071" s="7"/>
      <c r="R2071" s="7">
        <v>4.5</v>
      </c>
      <c r="S2071" s="7"/>
      <c r="T2071" s="7"/>
    </row>
    <row r="2072" spans="2:20" ht="15" customHeight="1" x14ac:dyDescent="0.35">
      <c r="B2072" s="100">
        <f t="shared" si="36"/>
        <v>2037</v>
      </c>
      <c r="C2072" s="162" t="s">
        <v>2652</v>
      </c>
      <c r="D2072" s="159" t="s">
        <v>2653</v>
      </c>
      <c r="E2072" s="159">
        <v>8</v>
      </c>
      <c r="F2072" s="159" t="s">
        <v>2619</v>
      </c>
      <c r="G2072" s="99">
        <v>4.5</v>
      </c>
      <c r="H2072" s="159">
        <v>2.92</v>
      </c>
      <c r="I2072" s="166">
        <v>4.5</v>
      </c>
      <c r="J2072" s="44">
        <v>457</v>
      </c>
      <c r="K2072" s="21"/>
      <c r="L2072" s="21"/>
      <c r="M2072" s="21"/>
      <c r="N2072" s="47"/>
      <c r="O2072" s="21"/>
      <c r="P2072" s="7"/>
      <c r="Q2072" s="7"/>
      <c r="R2072" s="7">
        <v>4.5</v>
      </c>
      <c r="S2072" s="7"/>
      <c r="T2072" s="7"/>
    </row>
    <row r="2073" spans="2:20" ht="15" customHeight="1" x14ac:dyDescent="0.35">
      <c r="B2073" s="100">
        <f t="shared" si="36"/>
        <v>2038</v>
      </c>
      <c r="C2073" s="162" t="s">
        <v>2654</v>
      </c>
      <c r="D2073" s="159" t="s">
        <v>2655</v>
      </c>
      <c r="E2073" s="159">
        <v>8</v>
      </c>
      <c r="F2073" s="159" t="s">
        <v>2619</v>
      </c>
      <c r="G2073" s="99">
        <v>4.5</v>
      </c>
      <c r="H2073" s="159">
        <v>2.91</v>
      </c>
      <c r="I2073" s="166">
        <v>4.5</v>
      </c>
      <c r="J2073" s="44">
        <v>410</v>
      </c>
      <c r="K2073" s="46" t="s">
        <v>2336</v>
      </c>
      <c r="L2073" s="40" t="e">
        <f>SUM(J2047:J2117)/L2070</f>
        <v>#DIV/0!</v>
      </c>
      <c r="M2073" s="21"/>
      <c r="N2073" s="47"/>
      <c r="O2073" s="21"/>
      <c r="P2073" s="7"/>
      <c r="Q2073" s="7"/>
      <c r="R2073" s="7">
        <v>4.5</v>
      </c>
      <c r="S2073" s="7"/>
      <c r="T2073" s="7"/>
    </row>
    <row r="2074" spans="2:20" ht="15" customHeight="1" x14ac:dyDescent="0.35">
      <c r="B2074" s="100">
        <f t="shared" si="36"/>
        <v>2039</v>
      </c>
      <c r="C2074" s="162" t="s">
        <v>2656</v>
      </c>
      <c r="D2074" s="159" t="s">
        <v>2657</v>
      </c>
      <c r="E2074" s="159">
        <v>7</v>
      </c>
      <c r="F2074" s="159" t="s">
        <v>2619</v>
      </c>
      <c r="G2074" s="99">
        <v>5.5</v>
      </c>
      <c r="H2074" s="159">
        <v>2.85</v>
      </c>
      <c r="I2074" s="166">
        <v>5.5</v>
      </c>
      <c r="J2074" s="44">
        <v>440</v>
      </c>
      <c r="K2074" s="19" t="s">
        <v>2339</v>
      </c>
      <c r="L2074" s="29">
        <f>MIN(J2047:J2117)</f>
        <v>400</v>
      </c>
      <c r="M2074" s="21"/>
      <c r="N2074" s="47"/>
      <c r="O2074" s="21"/>
      <c r="P2074" s="7"/>
      <c r="Q2074" s="7"/>
      <c r="R2074" s="7">
        <v>5.5</v>
      </c>
      <c r="S2074" s="7"/>
      <c r="T2074" s="7"/>
    </row>
    <row r="2075" spans="2:20" ht="15" customHeight="1" x14ac:dyDescent="0.35">
      <c r="B2075" s="100">
        <f t="shared" si="36"/>
        <v>2040</v>
      </c>
      <c r="C2075" s="162" t="s">
        <v>2658</v>
      </c>
      <c r="D2075" s="159" t="s">
        <v>2659</v>
      </c>
      <c r="E2075" s="159">
        <v>7</v>
      </c>
      <c r="F2075" s="159" t="s">
        <v>2619</v>
      </c>
      <c r="G2075" s="99">
        <v>5.5</v>
      </c>
      <c r="H2075" s="159">
        <v>2.8</v>
      </c>
      <c r="I2075" s="166">
        <v>5.5</v>
      </c>
      <c r="J2075" s="44">
        <v>470</v>
      </c>
      <c r="K2075" s="19" t="s">
        <v>2340</v>
      </c>
      <c r="L2075" s="29">
        <f>MAX(J2047:J2117)</f>
        <v>533</v>
      </c>
      <c r="M2075" s="21"/>
      <c r="N2075" s="47"/>
      <c r="O2075" s="21"/>
      <c r="P2075" s="7"/>
      <c r="Q2075" s="7"/>
      <c r="R2075" s="7">
        <v>5.5</v>
      </c>
      <c r="S2075" s="7"/>
      <c r="T2075" s="7"/>
    </row>
    <row r="2076" spans="2:20" ht="15" customHeight="1" x14ac:dyDescent="0.35">
      <c r="B2076" s="100">
        <f t="shared" si="36"/>
        <v>2041</v>
      </c>
      <c r="C2076" s="162" t="s">
        <v>2660</v>
      </c>
      <c r="D2076" s="159" t="s">
        <v>2661</v>
      </c>
      <c r="E2076" s="159">
        <v>6</v>
      </c>
      <c r="F2076" s="159" t="s">
        <v>2619</v>
      </c>
      <c r="G2076" s="99">
        <v>6.5</v>
      </c>
      <c r="H2076" s="159">
        <v>2.82</v>
      </c>
      <c r="I2076" s="166">
        <v>6.5</v>
      </c>
      <c r="J2076" s="44">
        <v>493</v>
      </c>
      <c r="K2076" s="21"/>
      <c r="L2076" s="21"/>
      <c r="M2076" s="21"/>
      <c r="N2076" s="47"/>
      <c r="O2076" s="21"/>
      <c r="P2076" s="7"/>
      <c r="Q2076" s="7"/>
      <c r="R2076" s="7">
        <v>6.5</v>
      </c>
      <c r="S2076" s="7"/>
      <c r="T2076" s="7"/>
    </row>
    <row r="2077" spans="2:20" ht="15" customHeight="1" x14ac:dyDescent="0.35">
      <c r="B2077" s="100">
        <f t="shared" si="36"/>
        <v>2042</v>
      </c>
      <c r="C2077" s="162" t="s">
        <v>2662</v>
      </c>
      <c r="D2077" s="159" t="s">
        <v>2663</v>
      </c>
      <c r="E2077" s="159">
        <v>7</v>
      </c>
      <c r="F2077" s="159" t="s">
        <v>2619</v>
      </c>
      <c r="G2077" s="99">
        <v>5.5</v>
      </c>
      <c r="H2077" s="159">
        <v>2.72</v>
      </c>
      <c r="I2077" s="166">
        <v>5.5</v>
      </c>
      <c r="J2077" s="44">
        <v>500</v>
      </c>
      <c r="K2077" s="21"/>
      <c r="L2077" s="21"/>
      <c r="M2077" s="21"/>
      <c r="N2077" s="47"/>
      <c r="O2077" s="21"/>
      <c r="P2077" s="7"/>
      <c r="Q2077" s="7"/>
      <c r="R2077" s="7">
        <v>5.5</v>
      </c>
      <c r="S2077" s="7"/>
      <c r="T2077" s="7"/>
    </row>
    <row r="2078" spans="2:20" ht="15" customHeight="1" x14ac:dyDescent="0.35">
      <c r="B2078" s="100">
        <f t="shared" si="36"/>
        <v>2043</v>
      </c>
      <c r="C2078" s="162" t="s">
        <v>2664</v>
      </c>
      <c r="D2078" s="163" t="s">
        <v>2665</v>
      </c>
      <c r="E2078" s="159">
        <v>8</v>
      </c>
      <c r="F2078" s="163" t="s">
        <v>2666</v>
      </c>
      <c r="G2078" s="99">
        <v>4.5</v>
      </c>
      <c r="H2078" s="163">
        <v>3.12</v>
      </c>
      <c r="I2078" s="166">
        <v>4.5</v>
      </c>
      <c r="J2078" s="45">
        <v>460</v>
      </c>
      <c r="K2078" s="47"/>
      <c r="L2078" s="21"/>
      <c r="M2078" s="21"/>
      <c r="N2078" s="21"/>
      <c r="O2078" s="21"/>
      <c r="R2078">
        <v>4.5</v>
      </c>
    </row>
    <row r="2079" spans="2:20" ht="15" customHeight="1" x14ac:dyDescent="0.35">
      <c r="B2079" s="100">
        <f t="shared" si="36"/>
        <v>2044</v>
      </c>
      <c r="C2079" s="162" t="s">
        <v>2667</v>
      </c>
      <c r="D2079" s="163" t="s">
        <v>2668</v>
      </c>
      <c r="E2079" s="159">
        <v>8</v>
      </c>
      <c r="F2079" s="163" t="s">
        <v>2666</v>
      </c>
      <c r="G2079" s="99">
        <v>4.5</v>
      </c>
      <c r="H2079" s="163">
        <v>3.03</v>
      </c>
      <c r="I2079" s="166">
        <v>4.5</v>
      </c>
      <c r="J2079" s="45">
        <v>417</v>
      </c>
      <c r="K2079" s="47"/>
      <c r="L2079" s="21"/>
      <c r="M2079" s="21"/>
      <c r="N2079" s="21"/>
      <c r="O2079" s="21"/>
      <c r="R2079">
        <v>4.5</v>
      </c>
    </row>
    <row r="2080" spans="2:20" ht="15" customHeight="1" x14ac:dyDescent="0.35">
      <c r="B2080" s="100">
        <f t="shared" si="36"/>
        <v>2045</v>
      </c>
      <c r="C2080" s="162" t="s">
        <v>2669</v>
      </c>
      <c r="D2080" s="163" t="s">
        <v>2670</v>
      </c>
      <c r="E2080" s="159">
        <v>8</v>
      </c>
      <c r="F2080" s="163" t="s">
        <v>2666</v>
      </c>
      <c r="G2080" s="99">
        <v>4.5</v>
      </c>
      <c r="H2080" s="163">
        <v>3.19</v>
      </c>
      <c r="I2080" s="166">
        <v>4.5</v>
      </c>
      <c r="J2080" s="45">
        <v>463</v>
      </c>
      <c r="K2080" s="47"/>
      <c r="L2080" s="21"/>
      <c r="M2080" s="21"/>
      <c r="N2080" s="21"/>
      <c r="O2080" s="21"/>
      <c r="R2080">
        <v>4.5</v>
      </c>
    </row>
    <row r="2081" spans="2:18" ht="15" customHeight="1" x14ac:dyDescent="0.35">
      <c r="B2081" s="100">
        <f t="shared" si="36"/>
        <v>2046</v>
      </c>
      <c r="C2081" s="162" t="s">
        <v>2671</v>
      </c>
      <c r="D2081" s="163" t="s">
        <v>2672</v>
      </c>
      <c r="E2081" s="159">
        <v>8</v>
      </c>
      <c r="F2081" s="163" t="s">
        <v>2666</v>
      </c>
      <c r="G2081" s="99">
        <v>4.5</v>
      </c>
      <c r="H2081" s="163">
        <v>3.33</v>
      </c>
      <c r="I2081" s="166">
        <v>4.5</v>
      </c>
      <c r="J2081" s="45">
        <v>487</v>
      </c>
      <c r="K2081" s="47"/>
      <c r="L2081" s="21"/>
      <c r="M2081" s="21"/>
      <c r="N2081" s="21"/>
      <c r="O2081" s="21"/>
      <c r="R2081">
        <v>4.5</v>
      </c>
    </row>
    <row r="2082" spans="2:18" ht="15" customHeight="1" x14ac:dyDescent="0.35">
      <c r="B2082" s="100">
        <f t="shared" si="36"/>
        <v>2047</v>
      </c>
      <c r="C2082" s="162" t="s">
        <v>2673</v>
      </c>
      <c r="D2082" s="163" t="s">
        <v>2674</v>
      </c>
      <c r="E2082" s="159">
        <v>8</v>
      </c>
      <c r="F2082" s="163" t="s">
        <v>2666</v>
      </c>
      <c r="G2082" s="99">
        <v>4.5</v>
      </c>
      <c r="H2082" s="163">
        <v>3.13</v>
      </c>
      <c r="I2082" s="166">
        <v>4.5</v>
      </c>
      <c r="J2082" s="45">
        <v>433</v>
      </c>
      <c r="K2082" s="47"/>
      <c r="L2082" s="21"/>
      <c r="M2082" s="21"/>
      <c r="N2082" s="21"/>
      <c r="O2082" s="21"/>
      <c r="R2082">
        <v>4.5</v>
      </c>
    </row>
    <row r="2083" spans="2:18" ht="15" customHeight="1" x14ac:dyDescent="0.35">
      <c r="B2083" s="100">
        <f t="shared" si="36"/>
        <v>2048</v>
      </c>
      <c r="C2083" s="162" t="s">
        <v>2675</v>
      </c>
      <c r="D2083" s="163" t="s">
        <v>2676</v>
      </c>
      <c r="E2083" s="159">
        <v>7</v>
      </c>
      <c r="F2083" s="163" t="s">
        <v>2666</v>
      </c>
      <c r="G2083" s="99">
        <v>5.5</v>
      </c>
      <c r="H2083" s="163">
        <v>2.4300000000000002</v>
      </c>
      <c r="I2083" s="166">
        <v>5.5</v>
      </c>
      <c r="J2083" s="45">
        <v>400</v>
      </c>
      <c r="K2083" s="47"/>
      <c r="L2083" s="21"/>
      <c r="M2083" s="21"/>
      <c r="N2083" s="21"/>
      <c r="O2083" s="21"/>
      <c r="R2083">
        <v>5.5</v>
      </c>
    </row>
    <row r="2084" spans="2:18" ht="15" customHeight="1" x14ac:dyDescent="0.35">
      <c r="B2084" s="100">
        <f t="shared" si="36"/>
        <v>2049</v>
      </c>
      <c r="C2084" s="162" t="s">
        <v>2677</v>
      </c>
      <c r="D2084" s="163" t="s">
        <v>2678</v>
      </c>
      <c r="E2084" s="159">
        <v>7</v>
      </c>
      <c r="F2084" s="163" t="s">
        <v>2666</v>
      </c>
      <c r="G2084" s="99">
        <v>5.5</v>
      </c>
      <c r="H2084" s="163">
        <v>2.44</v>
      </c>
      <c r="I2084" s="166">
        <v>5.5</v>
      </c>
      <c r="J2084" s="45">
        <v>460</v>
      </c>
      <c r="K2084" s="47"/>
      <c r="L2084" s="21"/>
      <c r="M2084" s="21"/>
      <c r="N2084" s="21"/>
      <c r="O2084" s="21"/>
      <c r="R2084">
        <v>5.5</v>
      </c>
    </row>
    <row r="2085" spans="2:18" ht="15" customHeight="1" x14ac:dyDescent="0.35">
      <c r="B2085" s="100">
        <f t="shared" si="36"/>
        <v>2050</v>
      </c>
      <c r="C2085" s="162" t="s">
        <v>2679</v>
      </c>
      <c r="D2085" s="163" t="s">
        <v>2680</v>
      </c>
      <c r="E2085" s="159">
        <v>8</v>
      </c>
      <c r="F2085" s="163" t="s">
        <v>2666</v>
      </c>
      <c r="G2085" s="99">
        <v>4.5</v>
      </c>
      <c r="H2085" s="163">
        <v>3.03</v>
      </c>
      <c r="I2085" s="166">
        <v>4.5</v>
      </c>
      <c r="J2085" s="45">
        <v>457</v>
      </c>
      <c r="K2085" s="47"/>
      <c r="L2085" s="21"/>
      <c r="M2085" s="21"/>
      <c r="N2085" s="21"/>
      <c r="O2085" s="21"/>
      <c r="R2085">
        <v>4.5</v>
      </c>
    </row>
    <row r="2086" spans="2:18" ht="15" customHeight="1" x14ac:dyDescent="0.35">
      <c r="B2086" s="100">
        <f t="shared" si="36"/>
        <v>2051</v>
      </c>
      <c r="C2086" s="162" t="s">
        <v>2681</v>
      </c>
      <c r="D2086" s="163" t="s">
        <v>2682</v>
      </c>
      <c r="E2086" s="159">
        <v>7</v>
      </c>
      <c r="F2086" s="163" t="s">
        <v>2666</v>
      </c>
      <c r="G2086" s="99">
        <v>5.5</v>
      </c>
      <c r="H2086" s="163">
        <v>2.27</v>
      </c>
      <c r="I2086" s="166">
        <v>5.5</v>
      </c>
      <c r="J2086" s="45">
        <v>413</v>
      </c>
      <c r="K2086" s="47"/>
      <c r="L2086" s="21"/>
      <c r="M2086" s="21"/>
      <c r="N2086" s="21"/>
      <c r="O2086" s="21"/>
      <c r="R2086">
        <v>5.5</v>
      </c>
    </row>
    <row r="2087" spans="2:18" ht="15" customHeight="1" x14ac:dyDescent="0.35">
      <c r="B2087" s="100">
        <f t="shared" si="36"/>
        <v>2052</v>
      </c>
      <c r="C2087" s="189" t="s">
        <v>2683</v>
      </c>
      <c r="D2087" s="190" t="s">
        <v>2684</v>
      </c>
      <c r="E2087" s="190">
        <v>6</v>
      </c>
      <c r="F2087" s="190" t="s">
        <v>2685</v>
      </c>
      <c r="G2087" s="190">
        <v>7</v>
      </c>
      <c r="H2087" s="190">
        <v>2.66</v>
      </c>
      <c r="I2087" s="99">
        <v>7</v>
      </c>
      <c r="J2087" s="44">
        <v>510</v>
      </c>
      <c r="K2087" s="43"/>
      <c r="L2087" s="43"/>
      <c r="M2087" s="21"/>
      <c r="N2087" s="21"/>
      <c r="O2087" s="21"/>
      <c r="R2087">
        <v>7</v>
      </c>
    </row>
    <row r="2088" spans="2:18" ht="15" customHeight="1" x14ac:dyDescent="0.35">
      <c r="B2088" s="100">
        <f t="shared" si="36"/>
        <v>2053</v>
      </c>
      <c r="C2088" s="189" t="s">
        <v>2686</v>
      </c>
      <c r="D2088" s="190" t="s">
        <v>2687</v>
      </c>
      <c r="E2088" s="190">
        <v>8</v>
      </c>
      <c r="F2088" s="190" t="s">
        <v>2685</v>
      </c>
      <c r="G2088" s="190">
        <v>5</v>
      </c>
      <c r="H2088" s="190">
        <v>3.05</v>
      </c>
      <c r="I2088" s="99">
        <v>5</v>
      </c>
      <c r="J2088" s="44">
        <v>503</v>
      </c>
      <c r="K2088" s="43"/>
      <c r="L2088" s="43"/>
      <c r="M2088" s="21"/>
      <c r="N2088" s="21"/>
      <c r="O2088" s="21"/>
      <c r="R2088">
        <v>5</v>
      </c>
    </row>
    <row r="2089" spans="2:18" ht="15" customHeight="1" x14ac:dyDescent="0.35">
      <c r="B2089" s="100">
        <f t="shared" si="36"/>
        <v>2054</v>
      </c>
      <c r="C2089" s="189" t="s">
        <v>2688</v>
      </c>
      <c r="D2089" s="190" t="s">
        <v>2689</v>
      </c>
      <c r="E2089" s="190">
        <v>9</v>
      </c>
      <c r="F2089" s="190" t="s">
        <v>2685</v>
      </c>
      <c r="G2089" s="190">
        <v>4</v>
      </c>
      <c r="H2089" s="190">
        <v>3.57</v>
      </c>
      <c r="I2089" s="99">
        <v>4</v>
      </c>
      <c r="J2089" s="44">
        <v>407</v>
      </c>
      <c r="K2089" s="43"/>
      <c r="L2089" s="43"/>
      <c r="M2089" s="21"/>
      <c r="N2089" s="21"/>
      <c r="O2089" s="21"/>
      <c r="R2089">
        <v>4</v>
      </c>
    </row>
    <row r="2090" spans="2:18" ht="15" customHeight="1" x14ac:dyDescent="0.35">
      <c r="B2090" s="100">
        <f t="shared" si="36"/>
        <v>2055</v>
      </c>
      <c r="C2090" s="189" t="s">
        <v>2690</v>
      </c>
      <c r="D2090" s="190" t="s">
        <v>2691</v>
      </c>
      <c r="E2090" s="190">
        <v>9</v>
      </c>
      <c r="F2090" s="190" t="s">
        <v>2685</v>
      </c>
      <c r="G2090" s="190">
        <v>4</v>
      </c>
      <c r="H2090" s="190">
        <v>3.42</v>
      </c>
      <c r="I2090" s="99">
        <v>4</v>
      </c>
      <c r="J2090" s="44">
        <v>507</v>
      </c>
      <c r="K2090" s="43"/>
      <c r="L2090" s="43" t="s">
        <v>580</v>
      </c>
      <c r="M2090" s="21"/>
      <c r="N2090" s="21"/>
      <c r="O2090" s="21"/>
      <c r="R2090">
        <v>4</v>
      </c>
    </row>
    <row r="2091" spans="2:18" ht="15" customHeight="1" x14ac:dyDescent="0.35">
      <c r="B2091" s="100">
        <f t="shared" si="36"/>
        <v>2056</v>
      </c>
      <c r="C2091" s="189" t="s">
        <v>2692</v>
      </c>
      <c r="D2091" s="190" t="s">
        <v>2693</v>
      </c>
      <c r="E2091" s="190">
        <v>9</v>
      </c>
      <c r="F2091" s="190" t="s">
        <v>2685</v>
      </c>
      <c r="G2091" s="190">
        <v>4</v>
      </c>
      <c r="H2091" s="190">
        <v>3.15</v>
      </c>
      <c r="I2091" s="99">
        <v>4</v>
      </c>
      <c r="J2091" s="44">
        <v>433</v>
      </c>
      <c r="K2091" s="43"/>
      <c r="L2091" s="43"/>
      <c r="M2091" s="21"/>
      <c r="N2091" s="21"/>
      <c r="O2091" s="21"/>
      <c r="R2091">
        <v>4</v>
      </c>
    </row>
    <row r="2092" spans="2:18" ht="15" customHeight="1" x14ac:dyDescent="0.35">
      <c r="B2092" s="100">
        <f t="shared" si="36"/>
        <v>2057</v>
      </c>
      <c r="C2092" s="189" t="s">
        <v>2694</v>
      </c>
      <c r="D2092" s="190" t="s">
        <v>2695</v>
      </c>
      <c r="E2092" s="190">
        <v>8</v>
      </c>
      <c r="F2092" s="190" t="s">
        <v>2685</v>
      </c>
      <c r="G2092" s="190">
        <v>5</v>
      </c>
      <c r="H2092" s="190">
        <v>2.97</v>
      </c>
      <c r="I2092" s="99">
        <v>5</v>
      </c>
      <c r="J2092" s="44">
        <v>484</v>
      </c>
      <c r="K2092" s="43"/>
      <c r="L2092" s="43"/>
      <c r="M2092" s="21"/>
      <c r="N2092" s="21"/>
      <c r="O2092" s="21"/>
      <c r="R2092">
        <v>5</v>
      </c>
    </row>
    <row r="2093" spans="2:18" ht="15" customHeight="1" x14ac:dyDescent="0.35">
      <c r="B2093" s="100">
        <f t="shared" si="36"/>
        <v>2058</v>
      </c>
      <c r="C2093" s="189" t="s">
        <v>2696</v>
      </c>
      <c r="D2093" s="190" t="s">
        <v>2697</v>
      </c>
      <c r="E2093" s="190">
        <v>8</v>
      </c>
      <c r="F2093" s="190" t="s">
        <v>2685</v>
      </c>
      <c r="G2093" s="190">
        <v>5</v>
      </c>
      <c r="H2093" s="190">
        <v>2.9</v>
      </c>
      <c r="I2093" s="99">
        <v>5</v>
      </c>
      <c r="J2093" s="44">
        <v>504</v>
      </c>
      <c r="K2093" s="43"/>
      <c r="L2093" s="43"/>
      <c r="M2093" s="21"/>
      <c r="N2093" s="21"/>
      <c r="O2093" s="21"/>
      <c r="R2093">
        <v>5</v>
      </c>
    </row>
    <row r="2094" spans="2:18" ht="15" customHeight="1" x14ac:dyDescent="0.35">
      <c r="B2094" s="100">
        <f t="shared" si="36"/>
        <v>2059</v>
      </c>
      <c r="C2094" s="189" t="s">
        <v>2698</v>
      </c>
      <c r="D2094" s="190" t="s">
        <v>2699</v>
      </c>
      <c r="E2094" s="190">
        <v>9</v>
      </c>
      <c r="F2094" s="190" t="s">
        <v>2685</v>
      </c>
      <c r="G2094" s="190">
        <v>4</v>
      </c>
      <c r="H2094" s="190">
        <v>3.58</v>
      </c>
      <c r="I2094" s="99">
        <v>4</v>
      </c>
      <c r="J2094" s="44">
        <v>503</v>
      </c>
      <c r="K2094" s="43"/>
      <c r="L2094" s="43"/>
      <c r="M2094" s="21"/>
      <c r="N2094" s="21"/>
      <c r="O2094" s="21"/>
      <c r="R2094">
        <v>4</v>
      </c>
    </row>
    <row r="2095" spans="2:18" ht="15" customHeight="1" x14ac:dyDescent="0.35">
      <c r="B2095" s="100">
        <f t="shared" si="36"/>
        <v>2060</v>
      </c>
      <c r="C2095" s="189" t="s">
        <v>2700</v>
      </c>
      <c r="D2095" s="190" t="s">
        <v>2701</v>
      </c>
      <c r="E2095" s="190">
        <v>9</v>
      </c>
      <c r="F2095" s="190" t="s">
        <v>2685</v>
      </c>
      <c r="G2095" s="190">
        <v>4</v>
      </c>
      <c r="H2095" s="190">
        <v>3.52</v>
      </c>
      <c r="I2095" s="99">
        <v>4</v>
      </c>
      <c r="J2095" s="44">
        <v>460</v>
      </c>
      <c r="K2095" s="43"/>
      <c r="L2095" s="43"/>
      <c r="M2095" s="21"/>
      <c r="N2095" s="21"/>
      <c r="O2095" s="21"/>
      <c r="R2095">
        <v>4</v>
      </c>
    </row>
    <row r="2096" spans="2:18" ht="15" customHeight="1" x14ac:dyDescent="0.35">
      <c r="B2096" s="100">
        <f t="shared" si="36"/>
        <v>2061</v>
      </c>
      <c r="C2096" s="189" t="s">
        <v>2702</v>
      </c>
      <c r="D2096" s="190" t="s">
        <v>2703</v>
      </c>
      <c r="E2096" s="190">
        <v>9</v>
      </c>
      <c r="F2096" s="190" t="s">
        <v>2685</v>
      </c>
      <c r="G2096" s="190">
        <v>4</v>
      </c>
      <c r="H2096" s="190">
        <v>3.53</v>
      </c>
      <c r="I2096" s="99">
        <v>4</v>
      </c>
      <c r="J2096" s="44">
        <v>447</v>
      </c>
      <c r="K2096" s="43"/>
      <c r="L2096" s="43"/>
      <c r="M2096" s="21"/>
      <c r="N2096" s="21"/>
      <c r="O2096" s="21"/>
      <c r="R2096">
        <v>4</v>
      </c>
    </row>
    <row r="2097" spans="2:18" ht="15" customHeight="1" x14ac:dyDescent="0.35">
      <c r="B2097" s="100">
        <f t="shared" si="36"/>
        <v>2062</v>
      </c>
      <c r="C2097" s="189" t="s">
        <v>2704</v>
      </c>
      <c r="D2097" s="190" t="s">
        <v>2705</v>
      </c>
      <c r="E2097" s="190">
        <v>7</v>
      </c>
      <c r="F2097" s="190" t="s">
        <v>2685</v>
      </c>
      <c r="G2097" s="190">
        <v>6</v>
      </c>
      <c r="H2097" s="190">
        <v>2.76</v>
      </c>
      <c r="I2097" s="99">
        <v>6</v>
      </c>
      <c r="J2097" s="44">
        <v>460</v>
      </c>
      <c r="K2097" s="43"/>
      <c r="L2097" s="43"/>
      <c r="M2097" s="21"/>
      <c r="N2097" s="21"/>
      <c r="O2097" s="21"/>
      <c r="R2097">
        <v>6</v>
      </c>
    </row>
    <row r="2098" spans="2:18" ht="15" customHeight="1" x14ac:dyDescent="0.35">
      <c r="B2098" s="100">
        <f t="shared" si="36"/>
        <v>2063</v>
      </c>
      <c r="C2098" s="189" t="s">
        <v>2706</v>
      </c>
      <c r="D2098" s="190" t="s">
        <v>2707</v>
      </c>
      <c r="E2098" s="190">
        <v>9</v>
      </c>
      <c r="F2098" s="190" t="s">
        <v>2685</v>
      </c>
      <c r="G2098" s="190">
        <v>4</v>
      </c>
      <c r="H2098" s="190">
        <v>3.46</v>
      </c>
      <c r="I2098" s="99">
        <v>4</v>
      </c>
      <c r="J2098" s="44">
        <v>433</v>
      </c>
      <c r="K2098" s="43"/>
      <c r="L2098" s="43"/>
      <c r="M2098" s="21"/>
      <c r="N2098" s="21"/>
      <c r="O2098" s="21"/>
      <c r="R2098">
        <v>4</v>
      </c>
    </row>
    <row r="2099" spans="2:18" ht="15" customHeight="1" x14ac:dyDescent="0.35">
      <c r="B2099" s="100">
        <f t="shared" si="36"/>
        <v>2064</v>
      </c>
      <c r="C2099" s="189" t="s">
        <v>2708</v>
      </c>
      <c r="D2099" s="190" t="s">
        <v>2709</v>
      </c>
      <c r="E2099" s="190">
        <v>9</v>
      </c>
      <c r="F2099" s="190" t="s">
        <v>2685</v>
      </c>
      <c r="G2099" s="190">
        <v>4</v>
      </c>
      <c r="H2099" s="190">
        <v>3.37</v>
      </c>
      <c r="I2099" s="99">
        <v>4</v>
      </c>
      <c r="J2099" s="44">
        <v>437</v>
      </c>
      <c r="K2099" s="43"/>
      <c r="L2099" s="43"/>
      <c r="M2099" s="21"/>
      <c r="N2099" s="21"/>
      <c r="O2099" s="21"/>
      <c r="R2099">
        <v>4</v>
      </c>
    </row>
    <row r="2100" spans="2:18" ht="15" customHeight="1" x14ac:dyDescent="0.35">
      <c r="B2100" s="100">
        <f t="shared" si="36"/>
        <v>2065</v>
      </c>
      <c r="C2100" s="189" t="s">
        <v>2710</v>
      </c>
      <c r="D2100" s="190" t="s">
        <v>2711</v>
      </c>
      <c r="E2100" s="190">
        <v>9</v>
      </c>
      <c r="F2100" s="190" t="s">
        <v>2685</v>
      </c>
      <c r="G2100" s="190">
        <v>4</v>
      </c>
      <c r="H2100" s="190">
        <v>3.71</v>
      </c>
      <c r="I2100" s="99">
        <v>4</v>
      </c>
      <c r="J2100" s="44">
        <v>470</v>
      </c>
      <c r="K2100" s="43"/>
      <c r="L2100" s="43"/>
      <c r="M2100" s="21"/>
      <c r="N2100" s="21"/>
      <c r="O2100" s="21"/>
      <c r="R2100">
        <v>4</v>
      </c>
    </row>
    <row r="2101" spans="2:18" ht="15" customHeight="1" x14ac:dyDescent="0.35">
      <c r="B2101" s="100">
        <f t="shared" si="36"/>
        <v>2066</v>
      </c>
      <c r="C2101" s="189" t="s">
        <v>2712</v>
      </c>
      <c r="D2101" s="190" t="s">
        <v>2713</v>
      </c>
      <c r="E2101" s="190">
        <v>9</v>
      </c>
      <c r="F2101" s="190" t="s">
        <v>2685</v>
      </c>
      <c r="G2101" s="190">
        <v>4</v>
      </c>
      <c r="H2101" s="190">
        <v>3.4</v>
      </c>
      <c r="I2101" s="99">
        <v>4</v>
      </c>
      <c r="J2101" s="44">
        <v>477</v>
      </c>
      <c r="K2101" s="43"/>
      <c r="L2101" s="43"/>
      <c r="M2101" s="21"/>
      <c r="N2101" s="21"/>
      <c r="O2101" s="21"/>
      <c r="R2101">
        <v>4</v>
      </c>
    </row>
    <row r="2102" spans="2:18" ht="15" customHeight="1" x14ac:dyDescent="0.35">
      <c r="B2102" s="100">
        <f t="shared" si="36"/>
        <v>2067</v>
      </c>
      <c r="C2102" s="189" t="s">
        <v>2714</v>
      </c>
      <c r="D2102" s="190" t="s">
        <v>2715</v>
      </c>
      <c r="E2102" s="190">
        <v>9</v>
      </c>
      <c r="F2102" s="190" t="s">
        <v>2685</v>
      </c>
      <c r="G2102" s="190">
        <v>4</v>
      </c>
      <c r="H2102" s="190">
        <v>3.28</v>
      </c>
      <c r="I2102" s="99">
        <v>4</v>
      </c>
      <c r="J2102" s="44">
        <v>480</v>
      </c>
      <c r="K2102" s="43"/>
      <c r="L2102" s="43"/>
      <c r="M2102" s="21"/>
      <c r="N2102" s="21"/>
      <c r="O2102" s="21"/>
      <c r="R2102">
        <v>4</v>
      </c>
    </row>
    <row r="2103" spans="2:18" ht="15" customHeight="1" x14ac:dyDescent="0.35">
      <c r="B2103" s="100">
        <f t="shared" si="36"/>
        <v>2068</v>
      </c>
      <c r="C2103" s="189" t="s">
        <v>2716</v>
      </c>
      <c r="D2103" s="190" t="s">
        <v>2717</v>
      </c>
      <c r="E2103" s="190">
        <v>9</v>
      </c>
      <c r="F2103" s="190" t="s">
        <v>2685</v>
      </c>
      <c r="G2103" s="190">
        <v>4</v>
      </c>
      <c r="H2103" s="190">
        <v>3.4</v>
      </c>
      <c r="I2103" s="99">
        <v>4</v>
      </c>
      <c r="J2103" s="44">
        <v>433</v>
      </c>
      <c r="K2103" s="43"/>
      <c r="L2103" s="43"/>
      <c r="M2103" s="21"/>
      <c r="N2103" s="21"/>
      <c r="O2103" s="21"/>
      <c r="R2103">
        <v>4</v>
      </c>
    </row>
    <row r="2104" spans="2:18" ht="15" customHeight="1" x14ac:dyDescent="0.35">
      <c r="B2104" s="100">
        <f t="shared" si="36"/>
        <v>2069</v>
      </c>
      <c r="C2104" s="189" t="s">
        <v>2718</v>
      </c>
      <c r="D2104" s="190" t="s">
        <v>2719</v>
      </c>
      <c r="E2104" s="190">
        <v>9</v>
      </c>
      <c r="F2104" s="190" t="s">
        <v>2685</v>
      </c>
      <c r="G2104" s="190">
        <v>4</v>
      </c>
      <c r="H2104" s="190">
        <v>3.26</v>
      </c>
      <c r="I2104" s="99">
        <v>4</v>
      </c>
      <c r="J2104" s="44">
        <v>407</v>
      </c>
      <c r="K2104" s="43"/>
      <c r="L2104" s="43"/>
      <c r="M2104" s="21"/>
      <c r="N2104" s="21"/>
      <c r="O2104" s="21"/>
      <c r="R2104">
        <v>4</v>
      </c>
    </row>
    <row r="2105" spans="2:18" ht="15" customHeight="1" x14ac:dyDescent="0.35">
      <c r="B2105" s="100">
        <f t="shared" si="36"/>
        <v>2070</v>
      </c>
      <c r="C2105" s="189" t="s">
        <v>2720</v>
      </c>
      <c r="D2105" s="190" t="s">
        <v>2721</v>
      </c>
      <c r="E2105" s="190">
        <v>9</v>
      </c>
      <c r="F2105" s="190" t="s">
        <v>2685</v>
      </c>
      <c r="G2105" s="190">
        <v>4</v>
      </c>
      <c r="H2105" s="190">
        <v>3.64</v>
      </c>
      <c r="I2105" s="99">
        <v>4</v>
      </c>
      <c r="J2105" s="44">
        <v>467</v>
      </c>
      <c r="K2105" s="43"/>
      <c r="L2105" s="43"/>
      <c r="M2105" s="21"/>
      <c r="N2105" s="21"/>
      <c r="O2105" s="21"/>
      <c r="R2105">
        <v>4</v>
      </c>
    </row>
    <row r="2106" spans="2:18" ht="15" customHeight="1" x14ac:dyDescent="0.35">
      <c r="B2106" s="100">
        <f t="shared" si="36"/>
        <v>2071</v>
      </c>
      <c r="C2106" s="189" t="s">
        <v>2722</v>
      </c>
      <c r="D2106" s="190" t="s">
        <v>2723</v>
      </c>
      <c r="E2106" s="190">
        <v>9</v>
      </c>
      <c r="F2106" s="190" t="s">
        <v>2685</v>
      </c>
      <c r="G2106" s="190">
        <v>4</v>
      </c>
      <c r="H2106" s="190">
        <v>3.9</v>
      </c>
      <c r="I2106" s="99">
        <v>4</v>
      </c>
      <c r="J2106" s="44">
        <v>500</v>
      </c>
      <c r="K2106" s="43"/>
      <c r="L2106" s="43"/>
      <c r="M2106" s="21"/>
      <c r="N2106" s="21"/>
      <c r="O2106" s="21"/>
      <c r="R2106">
        <v>4</v>
      </c>
    </row>
    <row r="2107" spans="2:18" ht="15" customHeight="1" x14ac:dyDescent="0.35">
      <c r="B2107" s="100">
        <f t="shared" si="36"/>
        <v>2072</v>
      </c>
      <c r="C2107" s="189" t="s">
        <v>2724</v>
      </c>
      <c r="D2107" s="190" t="s">
        <v>2725</v>
      </c>
      <c r="E2107" s="190">
        <v>9</v>
      </c>
      <c r="F2107" s="190" t="s">
        <v>2685</v>
      </c>
      <c r="G2107" s="190">
        <v>4</v>
      </c>
      <c r="H2107" s="190">
        <v>3.33</v>
      </c>
      <c r="I2107" s="99">
        <v>4</v>
      </c>
      <c r="J2107" s="44">
        <v>410</v>
      </c>
      <c r="K2107" s="43"/>
      <c r="L2107" s="43"/>
      <c r="M2107" s="21"/>
      <c r="N2107" s="21"/>
      <c r="O2107" s="21"/>
      <c r="R2107">
        <v>4</v>
      </c>
    </row>
    <row r="2108" spans="2:18" ht="15" customHeight="1" x14ac:dyDescent="0.35">
      <c r="B2108" s="100">
        <f t="shared" si="36"/>
        <v>2073</v>
      </c>
      <c r="C2108" s="189" t="s">
        <v>2726</v>
      </c>
      <c r="D2108" s="190" t="s">
        <v>2727</v>
      </c>
      <c r="E2108" s="190">
        <v>8</v>
      </c>
      <c r="F2108" s="190" t="s">
        <v>2685</v>
      </c>
      <c r="G2108" s="190">
        <v>5</v>
      </c>
      <c r="H2108" s="190">
        <v>2.77</v>
      </c>
      <c r="I2108" s="99">
        <v>5</v>
      </c>
      <c r="J2108" s="44">
        <v>447</v>
      </c>
      <c r="K2108" s="43"/>
      <c r="L2108" s="43"/>
      <c r="M2108" s="21"/>
      <c r="N2108" s="21"/>
      <c r="O2108" s="21"/>
      <c r="R2108">
        <v>5</v>
      </c>
    </row>
    <row r="2109" spans="2:18" ht="15" customHeight="1" x14ac:dyDescent="0.35">
      <c r="B2109" s="100">
        <f t="shared" si="36"/>
        <v>2074</v>
      </c>
      <c r="C2109" s="189" t="s">
        <v>2728</v>
      </c>
      <c r="D2109" s="190" t="s">
        <v>2729</v>
      </c>
      <c r="E2109" s="190">
        <v>9</v>
      </c>
      <c r="F2109" s="190" t="s">
        <v>2685</v>
      </c>
      <c r="G2109" s="190">
        <v>4</v>
      </c>
      <c r="H2109" s="190">
        <v>3.7</v>
      </c>
      <c r="I2109" s="99">
        <v>4</v>
      </c>
      <c r="J2109" s="44">
        <v>480</v>
      </c>
      <c r="K2109" s="43"/>
      <c r="L2109" s="43"/>
      <c r="M2109" s="21"/>
      <c r="N2109" s="21"/>
      <c r="O2109" s="21"/>
      <c r="R2109">
        <v>4</v>
      </c>
    </row>
    <row r="2110" spans="2:18" ht="15" customHeight="1" x14ac:dyDescent="0.35">
      <c r="B2110" s="100">
        <f t="shared" si="36"/>
        <v>2075</v>
      </c>
      <c r="C2110" s="189" t="s">
        <v>2730</v>
      </c>
      <c r="D2110" s="190" t="s">
        <v>2731</v>
      </c>
      <c r="E2110" s="190">
        <v>7</v>
      </c>
      <c r="F2110" s="190" t="s">
        <v>2685</v>
      </c>
      <c r="G2110" s="190">
        <v>6</v>
      </c>
      <c r="H2110" s="190">
        <v>2.4700000000000002</v>
      </c>
      <c r="I2110" s="99">
        <v>6</v>
      </c>
      <c r="J2110" s="44">
        <v>430</v>
      </c>
      <c r="K2110" s="43"/>
      <c r="L2110" s="43"/>
      <c r="M2110" s="21"/>
      <c r="N2110" s="21"/>
      <c r="O2110" s="21"/>
      <c r="R2110">
        <v>6</v>
      </c>
    </row>
    <row r="2111" spans="2:18" ht="15" customHeight="1" x14ac:dyDescent="0.35">
      <c r="B2111" s="100">
        <f t="shared" si="36"/>
        <v>2076</v>
      </c>
      <c r="C2111" s="189" t="s">
        <v>2732</v>
      </c>
      <c r="D2111" s="190" t="s">
        <v>2733</v>
      </c>
      <c r="E2111" s="190">
        <v>9</v>
      </c>
      <c r="F2111" s="190" t="s">
        <v>2685</v>
      </c>
      <c r="G2111" s="190">
        <v>4</v>
      </c>
      <c r="H2111" s="190">
        <v>3.55</v>
      </c>
      <c r="I2111" s="99">
        <v>4</v>
      </c>
      <c r="J2111" s="44">
        <v>460</v>
      </c>
      <c r="K2111" s="43"/>
      <c r="L2111" s="43"/>
      <c r="M2111" s="21"/>
      <c r="N2111" s="21"/>
      <c r="O2111" s="21"/>
      <c r="R2111">
        <v>4</v>
      </c>
    </row>
    <row r="2112" spans="2:18" ht="15" customHeight="1" x14ac:dyDescent="0.35">
      <c r="B2112" s="100">
        <f t="shared" si="36"/>
        <v>2077</v>
      </c>
      <c r="C2112" s="189" t="s">
        <v>2734</v>
      </c>
      <c r="D2112" s="190" t="s">
        <v>2735</v>
      </c>
      <c r="E2112" s="190">
        <v>8</v>
      </c>
      <c r="F2112" s="190" t="s">
        <v>2685</v>
      </c>
      <c r="G2112" s="190">
        <v>5</v>
      </c>
      <c r="H2112" s="190">
        <v>2.81</v>
      </c>
      <c r="I2112" s="99">
        <v>5</v>
      </c>
      <c r="J2112" s="44">
        <v>483</v>
      </c>
      <c r="K2112" s="43"/>
      <c r="L2112" s="43"/>
      <c r="M2112" s="21"/>
      <c r="N2112" s="21"/>
      <c r="O2112" s="21"/>
      <c r="R2112">
        <v>5</v>
      </c>
    </row>
    <row r="2113" spans="2:19" ht="15" customHeight="1" x14ac:dyDescent="0.35">
      <c r="B2113" s="100">
        <f>(B2112+1)</f>
        <v>2078</v>
      </c>
      <c r="C2113" s="189" t="s">
        <v>2736</v>
      </c>
      <c r="D2113" s="190" t="s">
        <v>2737</v>
      </c>
      <c r="E2113" s="190">
        <v>9</v>
      </c>
      <c r="F2113" s="190" t="s">
        <v>2685</v>
      </c>
      <c r="G2113" s="190">
        <v>4</v>
      </c>
      <c r="H2113" s="190">
        <v>3.43</v>
      </c>
      <c r="I2113" s="99">
        <v>4</v>
      </c>
      <c r="J2113" s="44">
        <v>480</v>
      </c>
      <c r="K2113" s="43"/>
      <c r="L2113" s="43"/>
      <c r="M2113" s="21"/>
      <c r="N2113" s="21"/>
      <c r="O2113" s="21"/>
      <c r="R2113">
        <v>4</v>
      </c>
    </row>
    <row r="2114" spans="2:19" ht="15" customHeight="1" x14ac:dyDescent="0.35">
      <c r="B2114" s="100">
        <f>(B2113+1)</f>
        <v>2079</v>
      </c>
      <c r="C2114" s="189" t="s">
        <v>2738</v>
      </c>
      <c r="D2114" s="190" t="s">
        <v>2739</v>
      </c>
      <c r="E2114" s="190">
        <v>8</v>
      </c>
      <c r="F2114" s="190" t="s">
        <v>2685</v>
      </c>
      <c r="G2114" s="190">
        <v>5</v>
      </c>
      <c r="H2114" s="190">
        <v>2.76</v>
      </c>
      <c r="I2114" s="99">
        <v>5</v>
      </c>
      <c r="J2114" s="44">
        <v>470</v>
      </c>
      <c r="K2114" s="43"/>
      <c r="L2114" s="43"/>
      <c r="M2114" s="21"/>
      <c r="N2114" s="21"/>
      <c r="O2114" s="21"/>
      <c r="R2114">
        <v>5</v>
      </c>
    </row>
    <row r="2115" spans="2:19" ht="15" customHeight="1" x14ac:dyDescent="0.35">
      <c r="B2115" s="100">
        <f>(B2114+1)</f>
        <v>2080</v>
      </c>
      <c r="C2115" s="189" t="s">
        <v>2740</v>
      </c>
      <c r="D2115" s="190" t="s">
        <v>2741</v>
      </c>
      <c r="E2115" s="190">
        <v>9</v>
      </c>
      <c r="F2115" s="190" t="s">
        <v>2685</v>
      </c>
      <c r="G2115" s="190">
        <v>4</v>
      </c>
      <c r="H2115" s="190">
        <v>3.45</v>
      </c>
      <c r="I2115" s="99">
        <v>4</v>
      </c>
      <c r="J2115" s="44">
        <v>473</v>
      </c>
      <c r="K2115" s="43"/>
      <c r="L2115" s="43"/>
      <c r="M2115" s="21"/>
      <c r="N2115" s="21"/>
      <c r="O2115" s="21"/>
      <c r="R2115">
        <v>4</v>
      </c>
    </row>
    <row r="2116" spans="2:19" ht="15" customHeight="1" x14ac:dyDescent="0.35">
      <c r="B2116" s="100">
        <f>(B2115+1)</f>
        <v>2081</v>
      </c>
      <c r="C2116" s="189" t="s">
        <v>2742</v>
      </c>
      <c r="D2116" s="190" t="s">
        <v>2743</v>
      </c>
      <c r="E2116" s="190">
        <v>9</v>
      </c>
      <c r="F2116" s="190" t="s">
        <v>2685</v>
      </c>
      <c r="G2116" s="190">
        <v>4</v>
      </c>
      <c r="H2116" s="190">
        <v>3.46</v>
      </c>
      <c r="I2116" s="99">
        <v>4</v>
      </c>
      <c r="J2116" s="44">
        <v>467</v>
      </c>
      <c r="K2116" s="43"/>
      <c r="L2116" s="43"/>
      <c r="M2116" s="21"/>
      <c r="N2116" s="21"/>
      <c r="O2116" s="21"/>
      <c r="R2116">
        <v>4</v>
      </c>
    </row>
    <row r="2117" spans="2:19" ht="15" customHeight="1" x14ac:dyDescent="0.35">
      <c r="B2117" s="100">
        <f>(B2116+1)</f>
        <v>2082</v>
      </c>
      <c r="C2117" s="189" t="s">
        <v>2744</v>
      </c>
      <c r="D2117" s="190" t="s">
        <v>2745</v>
      </c>
      <c r="E2117" s="190">
        <v>8</v>
      </c>
      <c r="F2117" s="190" t="s">
        <v>2685</v>
      </c>
      <c r="G2117" s="190">
        <v>5</v>
      </c>
      <c r="H2117" s="190">
        <v>2.81</v>
      </c>
      <c r="I2117" s="99">
        <v>5</v>
      </c>
      <c r="J2117" s="44">
        <v>503</v>
      </c>
      <c r="K2117" s="43"/>
      <c r="L2117" s="43"/>
      <c r="M2117" s="21"/>
      <c r="N2117" s="21"/>
      <c r="O2117" s="21"/>
      <c r="R2117">
        <v>5</v>
      </c>
    </row>
    <row r="2118" spans="2:19" ht="15" customHeight="1" x14ac:dyDescent="0.35">
      <c r="B2118" s="100"/>
      <c r="C2118" s="101"/>
      <c r="D2118" s="99"/>
      <c r="E2118" s="99"/>
      <c r="F2118" s="99"/>
      <c r="G2118" s="99"/>
      <c r="H2118" s="99"/>
      <c r="I2118" s="99"/>
      <c r="J2118" s="20"/>
      <c r="K2118" s="21"/>
      <c r="L2118" s="21"/>
      <c r="M2118" s="21"/>
      <c r="N2118" s="21"/>
      <c r="O2118" s="21"/>
    </row>
    <row r="2119" spans="2:19" ht="15" customHeight="1" x14ac:dyDescent="0.35">
      <c r="B2119" s="100"/>
      <c r="C2119" s="101"/>
      <c r="D2119" s="99"/>
      <c r="E2119" s="99"/>
      <c r="F2119" s="99"/>
      <c r="G2119" s="99"/>
      <c r="H2119" s="99"/>
      <c r="I2119" s="99"/>
      <c r="J2119" s="20"/>
      <c r="K2119" s="21"/>
      <c r="L2119" s="21"/>
      <c r="M2119" s="21"/>
      <c r="N2119" s="21"/>
      <c r="O2119" s="21"/>
    </row>
    <row r="2120" spans="2:19" ht="15" customHeight="1" x14ac:dyDescent="0.35">
      <c r="B2120" s="100"/>
      <c r="C2120" s="146" t="s">
        <v>2746</v>
      </c>
      <c r="D2120" s="99"/>
      <c r="E2120" s="141" t="s">
        <v>1822</v>
      </c>
      <c r="F2120" s="147"/>
      <c r="G2120" s="141" t="s">
        <v>2200</v>
      </c>
      <c r="H2120" s="148" t="s">
        <v>6</v>
      </c>
      <c r="I2120" s="100" t="s">
        <v>2200</v>
      </c>
      <c r="J2120" s="42" t="s">
        <v>2201</v>
      </c>
      <c r="K2120" s="21"/>
      <c r="L2120" s="21"/>
      <c r="M2120" s="21"/>
      <c r="N2120" s="21"/>
      <c r="O2120" s="21"/>
      <c r="R2120" t="s">
        <v>5043</v>
      </c>
      <c r="S2120" t="s">
        <v>5044</v>
      </c>
    </row>
    <row r="2121" spans="2:19" ht="15" customHeight="1" x14ac:dyDescent="0.35">
      <c r="B2121" s="100">
        <v>2083</v>
      </c>
      <c r="C2121" s="182" t="s">
        <v>2747</v>
      </c>
      <c r="D2121" s="191" t="s">
        <v>2748</v>
      </c>
      <c r="E2121" s="105">
        <v>9</v>
      </c>
      <c r="F2121" s="143" t="s">
        <v>2749</v>
      </c>
      <c r="G2121" s="143">
        <v>4</v>
      </c>
      <c r="H2121" s="143">
        <v>3.26</v>
      </c>
      <c r="I2121" s="99">
        <v>4</v>
      </c>
      <c r="J2121" s="18">
        <v>467</v>
      </c>
      <c r="K2121" s="57">
        <v>2005</v>
      </c>
      <c r="L2121" s="29">
        <f>COUNTIF(E2115:E2122,"5")</f>
        <v>0</v>
      </c>
      <c r="M2121" s="21"/>
      <c r="N2121" s="21"/>
      <c r="O2121" s="21"/>
      <c r="R2121">
        <v>4</v>
      </c>
    </row>
    <row r="2122" spans="2:19" ht="15" customHeight="1" x14ac:dyDescent="0.35">
      <c r="B2122" s="100">
        <f t="shared" ref="B2122:B2185" si="37">(B2121+1)</f>
        <v>2084</v>
      </c>
      <c r="C2122" s="182" t="s">
        <v>2750</v>
      </c>
      <c r="D2122" s="191" t="s">
        <v>2751</v>
      </c>
      <c r="E2122" s="105">
        <v>9</v>
      </c>
      <c r="F2122" s="143" t="s">
        <v>2749</v>
      </c>
      <c r="G2122" s="143">
        <v>4</v>
      </c>
      <c r="H2122" s="143">
        <v>3.45</v>
      </c>
      <c r="I2122" s="99">
        <v>4</v>
      </c>
      <c r="J2122" s="18">
        <v>427</v>
      </c>
      <c r="K2122" s="57">
        <v>2006</v>
      </c>
      <c r="L2122" s="29">
        <f>COUNTIF(E2121:E2207,"6")</f>
        <v>4</v>
      </c>
      <c r="M2122" s="21"/>
      <c r="N2122" s="21"/>
      <c r="O2122" s="21"/>
      <c r="R2122">
        <v>4</v>
      </c>
    </row>
    <row r="2123" spans="2:19" ht="15" customHeight="1" x14ac:dyDescent="0.35">
      <c r="B2123" s="100">
        <f t="shared" si="37"/>
        <v>2085</v>
      </c>
      <c r="C2123" s="182" t="s">
        <v>2752</v>
      </c>
      <c r="D2123" s="191" t="s">
        <v>2753</v>
      </c>
      <c r="E2123" s="105">
        <v>9</v>
      </c>
      <c r="F2123" s="143" t="s">
        <v>2749</v>
      </c>
      <c r="G2123" s="143">
        <v>4</v>
      </c>
      <c r="H2123" s="143">
        <v>3.25</v>
      </c>
      <c r="I2123" s="99">
        <v>4</v>
      </c>
      <c r="J2123" s="18">
        <v>447</v>
      </c>
      <c r="K2123" s="57">
        <v>2007</v>
      </c>
      <c r="L2123" s="29">
        <f>COUNTIF(E2121:E2207,"7")</f>
        <v>9</v>
      </c>
      <c r="M2123" s="21"/>
      <c r="N2123" s="21"/>
      <c r="O2123" s="21"/>
      <c r="R2123">
        <v>4</v>
      </c>
    </row>
    <row r="2124" spans="2:19" ht="15" customHeight="1" x14ac:dyDescent="0.35">
      <c r="B2124" s="100">
        <f t="shared" si="37"/>
        <v>2086</v>
      </c>
      <c r="C2124" s="182" t="s">
        <v>2754</v>
      </c>
      <c r="D2124" s="191" t="s">
        <v>2755</v>
      </c>
      <c r="E2124" s="105">
        <v>9</v>
      </c>
      <c r="F2124" s="143" t="s">
        <v>2749</v>
      </c>
      <c r="G2124" s="143">
        <v>4</v>
      </c>
      <c r="H2124" s="143">
        <v>3.25</v>
      </c>
      <c r="I2124" s="99">
        <v>4</v>
      </c>
      <c r="J2124" s="18">
        <v>490</v>
      </c>
      <c r="K2124" s="57">
        <v>2008</v>
      </c>
      <c r="L2124" s="29">
        <f>COUNTIF(E2121:E2207,"8")</f>
        <v>29</v>
      </c>
      <c r="M2124" s="21"/>
      <c r="N2124" s="21"/>
      <c r="O2124" s="21"/>
      <c r="R2124">
        <v>4</v>
      </c>
    </row>
    <row r="2125" spans="2:19" ht="15" customHeight="1" x14ac:dyDescent="0.35">
      <c r="B2125" s="100">
        <f t="shared" si="37"/>
        <v>2087</v>
      </c>
      <c r="C2125" s="182" t="s">
        <v>2756</v>
      </c>
      <c r="D2125" s="191" t="s">
        <v>2757</v>
      </c>
      <c r="E2125" s="105">
        <v>9</v>
      </c>
      <c r="F2125" s="143" t="s">
        <v>2749</v>
      </c>
      <c r="G2125" s="143">
        <v>4</v>
      </c>
      <c r="H2125" s="143">
        <v>3.63</v>
      </c>
      <c r="I2125" s="99">
        <v>4</v>
      </c>
      <c r="J2125" s="18">
        <v>430</v>
      </c>
      <c r="K2125" s="57">
        <v>2009</v>
      </c>
      <c r="L2125" s="29">
        <f>COUNTIF(E2121:E2207,"9")</f>
        <v>30</v>
      </c>
      <c r="M2125" s="21"/>
      <c r="N2125" s="21"/>
      <c r="O2125" s="21"/>
      <c r="R2125">
        <v>4</v>
      </c>
    </row>
    <row r="2126" spans="2:19" ht="15" customHeight="1" x14ac:dyDescent="0.35">
      <c r="B2126" s="100">
        <f t="shared" si="37"/>
        <v>2088</v>
      </c>
      <c r="C2126" s="182" t="s">
        <v>2758</v>
      </c>
      <c r="D2126" s="191" t="s">
        <v>2759</v>
      </c>
      <c r="E2126" s="105">
        <v>9</v>
      </c>
      <c r="F2126" s="143" t="s">
        <v>2749</v>
      </c>
      <c r="G2126" s="143">
        <v>4</v>
      </c>
      <c r="H2126" s="143">
        <v>3.51</v>
      </c>
      <c r="I2126" s="99">
        <v>4</v>
      </c>
      <c r="J2126" s="18">
        <v>450</v>
      </c>
      <c r="K2126" s="57">
        <v>2010</v>
      </c>
      <c r="L2126" s="29">
        <f>COUNTIF(E2121:E2207,"10")</f>
        <v>15</v>
      </c>
      <c r="M2126" s="21"/>
      <c r="N2126" s="21"/>
      <c r="O2126" s="21"/>
      <c r="R2126">
        <v>4</v>
      </c>
    </row>
    <row r="2127" spans="2:19" ht="15" customHeight="1" x14ac:dyDescent="0.35">
      <c r="B2127" s="100">
        <f t="shared" si="37"/>
        <v>2089</v>
      </c>
      <c r="C2127" s="182" t="s">
        <v>2760</v>
      </c>
      <c r="D2127" s="143" t="s">
        <v>2761</v>
      </c>
      <c r="E2127" s="99">
        <v>8</v>
      </c>
      <c r="F2127" s="143" t="s">
        <v>2749</v>
      </c>
      <c r="G2127" s="143">
        <v>5</v>
      </c>
      <c r="H2127" s="143">
        <v>2.66</v>
      </c>
      <c r="I2127" s="99">
        <v>5</v>
      </c>
      <c r="J2127" s="18">
        <v>497</v>
      </c>
      <c r="K2127" s="21"/>
      <c r="L2127" s="21"/>
      <c r="M2127" s="21"/>
      <c r="N2127" s="21"/>
      <c r="O2127" s="21"/>
      <c r="R2127">
        <v>5</v>
      </c>
    </row>
    <row r="2128" spans="2:19" ht="15" customHeight="1" x14ac:dyDescent="0.35">
      <c r="B2128" s="100">
        <f t="shared" si="37"/>
        <v>2090</v>
      </c>
      <c r="C2128" s="182" t="s">
        <v>2762</v>
      </c>
      <c r="D2128" s="143" t="s">
        <v>2763</v>
      </c>
      <c r="E2128" s="99">
        <v>8</v>
      </c>
      <c r="F2128" s="143" t="s">
        <v>2764</v>
      </c>
      <c r="G2128" s="143">
        <v>5</v>
      </c>
      <c r="H2128" s="143">
        <v>2.93</v>
      </c>
      <c r="I2128" s="99">
        <v>5</v>
      </c>
      <c r="J2128" s="18">
        <v>487</v>
      </c>
      <c r="K2128" s="42" t="s">
        <v>2310</v>
      </c>
      <c r="L2128" s="29">
        <f>SUM(L2120:L2126)</f>
        <v>87</v>
      </c>
      <c r="M2128" s="21"/>
      <c r="N2128" s="21"/>
      <c r="O2128" s="21"/>
      <c r="R2128">
        <v>5</v>
      </c>
    </row>
    <row r="2129" spans="2:18" ht="15" customHeight="1" x14ac:dyDescent="0.35">
      <c r="B2129" s="100">
        <f t="shared" si="37"/>
        <v>2091</v>
      </c>
      <c r="C2129" s="182" t="s">
        <v>2765</v>
      </c>
      <c r="D2129" s="191" t="s">
        <v>2766</v>
      </c>
      <c r="E2129" s="105">
        <v>9</v>
      </c>
      <c r="F2129" s="143" t="s">
        <v>2764</v>
      </c>
      <c r="G2129" s="143">
        <v>4</v>
      </c>
      <c r="H2129" s="143">
        <v>3.25</v>
      </c>
      <c r="I2129" s="99">
        <v>4</v>
      </c>
      <c r="J2129" s="18">
        <v>417</v>
      </c>
      <c r="K2129" s="29" t="s">
        <v>2528</v>
      </c>
      <c r="L2129" s="21"/>
      <c r="M2129" s="29">
        <f>COUNTIF(G2121:G2207,"&lt;=5")-COUNTIF(G2121:G2207,"&lt;3")</f>
        <v>46</v>
      </c>
      <c r="N2129" s="21"/>
      <c r="O2129" s="21"/>
      <c r="R2129">
        <v>4</v>
      </c>
    </row>
    <row r="2130" spans="2:18" ht="15" customHeight="1" x14ac:dyDescent="0.35">
      <c r="B2130" s="100">
        <f t="shared" si="37"/>
        <v>2092</v>
      </c>
      <c r="C2130" s="182" t="s">
        <v>2767</v>
      </c>
      <c r="D2130" s="191" t="s">
        <v>2768</v>
      </c>
      <c r="E2130" s="105">
        <v>9</v>
      </c>
      <c r="F2130" s="143" t="s">
        <v>2764</v>
      </c>
      <c r="G2130" s="143">
        <v>4</v>
      </c>
      <c r="H2130" s="143">
        <v>3.4</v>
      </c>
      <c r="I2130" s="99">
        <v>4</v>
      </c>
      <c r="J2130" s="18">
        <v>430</v>
      </c>
      <c r="K2130" s="29" t="s">
        <v>1798</v>
      </c>
      <c r="L2130" s="29"/>
      <c r="M2130" s="34">
        <f>SUM(G2121:G2207)/L2128</f>
        <v>4.8226436781609259</v>
      </c>
      <c r="N2130" s="21"/>
      <c r="O2130" s="21"/>
      <c r="R2130">
        <v>4</v>
      </c>
    </row>
    <row r="2131" spans="2:18" ht="15" customHeight="1" x14ac:dyDescent="0.35">
      <c r="B2131" s="100">
        <f t="shared" si="37"/>
        <v>2093</v>
      </c>
      <c r="C2131" s="162" t="s">
        <v>2769</v>
      </c>
      <c r="D2131" s="163" t="s">
        <v>2770</v>
      </c>
      <c r="E2131" s="163">
        <v>8</v>
      </c>
      <c r="F2131" s="192" t="s">
        <v>2771</v>
      </c>
      <c r="G2131" s="163">
        <v>5.0999999999999996</v>
      </c>
      <c r="H2131" s="163">
        <v>2.87</v>
      </c>
      <c r="I2131" s="163">
        <v>5.0999999999999996</v>
      </c>
      <c r="J2131" s="45">
        <v>487</v>
      </c>
      <c r="K2131" s="29" t="s">
        <v>1801</v>
      </c>
      <c r="L2131" s="29"/>
      <c r="M2131" s="34">
        <f>SUM(I2121:I2207)/L2128</f>
        <v>4.8226436781609259</v>
      </c>
      <c r="N2131" s="21"/>
      <c r="O2131" s="21"/>
      <c r="R2131">
        <v>5.0999999999999996</v>
      </c>
    </row>
    <row r="2132" spans="2:18" ht="15" customHeight="1" x14ac:dyDescent="0.35">
      <c r="B2132" s="100">
        <f t="shared" si="37"/>
        <v>2094</v>
      </c>
      <c r="C2132" s="162" t="s">
        <v>2772</v>
      </c>
      <c r="D2132" s="193" t="s">
        <v>2773</v>
      </c>
      <c r="E2132" s="193">
        <v>9</v>
      </c>
      <c r="F2132" s="192" t="s">
        <v>2771</v>
      </c>
      <c r="G2132" s="163">
        <v>4.0999999999999996</v>
      </c>
      <c r="H2132" s="163">
        <v>3.43</v>
      </c>
      <c r="I2132" s="163">
        <v>4.0999999999999996</v>
      </c>
      <c r="J2132" s="45">
        <v>433</v>
      </c>
      <c r="K2132" s="29" t="s">
        <v>1804</v>
      </c>
      <c r="L2132" s="29"/>
      <c r="M2132" s="30">
        <f>MIN(H2121:H2207)</f>
        <v>2.16</v>
      </c>
      <c r="N2132" s="21"/>
      <c r="O2132" s="21"/>
      <c r="R2132">
        <v>4.0999999999999996</v>
      </c>
    </row>
    <row r="2133" spans="2:18" ht="15" customHeight="1" x14ac:dyDescent="0.35">
      <c r="B2133" s="100">
        <f t="shared" si="37"/>
        <v>2095</v>
      </c>
      <c r="C2133" s="162" t="s">
        <v>2774</v>
      </c>
      <c r="D2133" s="163" t="s">
        <v>2775</v>
      </c>
      <c r="E2133" s="163">
        <v>8</v>
      </c>
      <c r="F2133" s="192" t="s">
        <v>2771</v>
      </c>
      <c r="G2133" s="163">
        <v>5.0999999999999996</v>
      </c>
      <c r="H2133" s="163">
        <v>2.74</v>
      </c>
      <c r="I2133" s="163">
        <v>5.0999999999999996</v>
      </c>
      <c r="J2133" s="45">
        <v>490</v>
      </c>
      <c r="K2133" s="29" t="s">
        <v>1807</v>
      </c>
      <c r="L2133" s="29"/>
      <c r="M2133" s="30">
        <f>SUM(H2121:H2207)/L2128</f>
        <v>3.0364367816091944</v>
      </c>
      <c r="N2133" s="21"/>
      <c r="O2133" s="21"/>
      <c r="R2133">
        <v>5.0999999999999996</v>
      </c>
    </row>
    <row r="2134" spans="2:18" ht="15" customHeight="1" x14ac:dyDescent="0.35">
      <c r="B2134" s="100">
        <f t="shared" si="37"/>
        <v>2096</v>
      </c>
      <c r="C2134" s="162" t="s">
        <v>2776</v>
      </c>
      <c r="D2134" s="193" t="s">
        <v>2777</v>
      </c>
      <c r="E2134" s="193">
        <v>9</v>
      </c>
      <c r="F2134" s="192" t="s">
        <v>2771</v>
      </c>
      <c r="G2134" s="163">
        <v>4.0999999999999996</v>
      </c>
      <c r="H2134" s="163">
        <v>3.48</v>
      </c>
      <c r="I2134" s="163">
        <v>4.0999999999999996</v>
      </c>
      <c r="J2134" s="45">
        <v>433</v>
      </c>
      <c r="K2134" s="29" t="s">
        <v>1810</v>
      </c>
      <c r="L2134" s="29"/>
      <c r="M2134" s="30">
        <f>MAX(H2121:H2207)</f>
        <v>3.82</v>
      </c>
      <c r="N2134" s="21"/>
      <c r="O2134" s="21"/>
      <c r="R2134">
        <v>4.0999999999999996</v>
      </c>
    </row>
    <row r="2135" spans="2:18" ht="15" customHeight="1" x14ac:dyDescent="0.35">
      <c r="B2135" s="100">
        <f t="shared" si="37"/>
        <v>2097</v>
      </c>
      <c r="C2135" s="162" t="s">
        <v>2778</v>
      </c>
      <c r="D2135" s="163" t="s">
        <v>2779</v>
      </c>
      <c r="E2135" s="163">
        <v>8</v>
      </c>
      <c r="F2135" s="192" t="s">
        <v>2771</v>
      </c>
      <c r="G2135" s="163">
        <v>5.0999999999999996</v>
      </c>
      <c r="H2135" s="163">
        <v>2.76</v>
      </c>
      <c r="I2135" s="163">
        <v>5.0999999999999996</v>
      </c>
      <c r="J2135" s="45">
        <v>497</v>
      </c>
      <c r="K2135" s="29" t="s">
        <v>1813</v>
      </c>
      <c r="L2135" s="29">
        <f>COUNTIF(H2121:H2207,"&lt;2.75")</f>
        <v>0</v>
      </c>
      <c r="M2135" s="30" t="e">
        <f>(L2135/L2138)*100</f>
        <v>#DIV/0!</v>
      </c>
      <c r="N2135" s="21"/>
      <c r="O2135" s="21"/>
      <c r="R2135">
        <v>5.0999999999999996</v>
      </c>
    </row>
    <row r="2136" spans="2:18" ht="15" customHeight="1" x14ac:dyDescent="0.35">
      <c r="B2136" s="100">
        <f t="shared" si="37"/>
        <v>2098</v>
      </c>
      <c r="C2136" s="162" t="s">
        <v>2780</v>
      </c>
      <c r="D2136" s="193" t="s">
        <v>2781</v>
      </c>
      <c r="E2136" s="193">
        <v>9</v>
      </c>
      <c r="F2136" s="192" t="s">
        <v>2771</v>
      </c>
      <c r="G2136" s="163">
        <v>4.0999999999999996</v>
      </c>
      <c r="H2136" s="163">
        <v>3.21</v>
      </c>
      <c r="I2136" s="163">
        <v>4.0999999999999996</v>
      </c>
      <c r="J2136" s="45">
        <v>430</v>
      </c>
      <c r="K2136" s="29" t="s">
        <v>1816</v>
      </c>
      <c r="L2136" s="40">
        <f>COUNTIF(H2121:H2207,"&lt;3.50")-COUNTIF(H2121:H2207,"&lt;2.75")</f>
        <v>0</v>
      </c>
      <c r="M2136" s="30" t="e">
        <f>(L2136/L2138)*100</f>
        <v>#DIV/0!</v>
      </c>
      <c r="N2136" s="21"/>
      <c r="O2136" s="21"/>
      <c r="R2136">
        <v>4.0999999999999996</v>
      </c>
    </row>
    <row r="2137" spans="2:18" ht="15" customHeight="1" x14ac:dyDescent="0.35">
      <c r="B2137" s="100">
        <f t="shared" si="37"/>
        <v>2099</v>
      </c>
      <c r="C2137" s="194" t="s">
        <v>2782</v>
      </c>
      <c r="D2137" s="195" t="s">
        <v>2783</v>
      </c>
      <c r="E2137" s="99">
        <v>6</v>
      </c>
      <c r="F2137" s="195" t="s">
        <v>2784</v>
      </c>
      <c r="G2137" s="99">
        <v>7.3</v>
      </c>
      <c r="H2137" s="195">
        <v>2.81</v>
      </c>
      <c r="I2137" s="99">
        <v>7.3</v>
      </c>
      <c r="J2137" s="91" t="s">
        <v>2785</v>
      </c>
      <c r="K2137" s="29" t="s">
        <v>1819</v>
      </c>
      <c r="L2137" s="29">
        <f>COUNTIF(H2121:H2207,"&gt;3.50")</f>
        <v>0</v>
      </c>
      <c r="M2137" s="30" t="e">
        <f>(L2137/L2138)*100</f>
        <v>#DIV/0!</v>
      </c>
      <c r="N2137" s="21"/>
      <c r="O2137" s="21"/>
      <c r="R2137">
        <v>7.3</v>
      </c>
    </row>
    <row r="2138" spans="2:18" ht="15" customHeight="1" x14ac:dyDescent="0.35">
      <c r="B2138" s="100">
        <f t="shared" si="37"/>
        <v>2100</v>
      </c>
      <c r="C2138" s="194" t="s">
        <v>2786</v>
      </c>
      <c r="D2138" s="195" t="s">
        <v>2787</v>
      </c>
      <c r="E2138" s="99">
        <v>6</v>
      </c>
      <c r="F2138" s="195" t="s">
        <v>2784</v>
      </c>
      <c r="G2138" s="99">
        <v>7.3</v>
      </c>
      <c r="H2138" s="195">
        <v>2.5499999999999998</v>
      </c>
      <c r="I2138" s="99">
        <v>7.3</v>
      </c>
      <c r="J2138" s="91" t="s">
        <v>2788</v>
      </c>
      <c r="K2138" s="29" t="s">
        <v>1820</v>
      </c>
      <c r="L2138" s="29">
        <f>SUM(L2135:L2137)</f>
        <v>0</v>
      </c>
      <c r="M2138" s="29"/>
      <c r="N2138" s="21"/>
      <c r="O2138" s="21"/>
      <c r="R2138">
        <v>7.3</v>
      </c>
    </row>
    <row r="2139" spans="2:18" ht="15" customHeight="1" x14ac:dyDescent="0.35">
      <c r="B2139" s="100">
        <f t="shared" si="37"/>
        <v>2101</v>
      </c>
      <c r="C2139" s="194" t="s">
        <v>2789</v>
      </c>
      <c r="D2139" s="195" t="s">
        <v>2790</v>
      </c>
      <c r="E2139" s="99">
        <v>8</v>
      </c>
      <c r="F2139" s="195" t="s">
        <v>2784</v>
      </c>
      <c r="G2139" s="195">
        <v>5.3</v>
      </c>
      <c r="H2139" s="195">
        <v>2.81</v>
      </c>
      <c r="I2139" s="99">
        <v>5.3</v>
      </c>
      <c r="J2139" s="91" t="s">
        <v>2791</v>
      </c>
      <c r="K2139" s="21"/>
      <c r="L2139" s="21"/>
      <c r="M2139" s="21"/>
      <c r="N2139" s="21"/>
      <c r="O2139" s="21"/>
      <c r="R2139">
        <v>5.3</v>
      </c>
    </row>
    <row r="2140" spans="2:18" ht="15" customHeight="1" x14ac:dyDescent="0.35">
      <c r="B2140" s="100">
        <f t="shared" si="37"/>
        <v>2102</v>
      </c>
      <c r="C2140" s="162" t="s">
        <v>2792</v>
      </c>
      <c r="D2140" s="163" t="s">
        <v>2793</v>
      </c>
      <c r="E2140" s="193">
        <v>9</v>
      </c>
      <c r="F2140" s="163" t="s">
        <v>2794</v>
      </c>
      <c r="G2140" s="99">
        <v>4.4000000000000004</v>
      </c>
      <c r="H2140" s="163">
        <v>3.43</v>
      </c>
      <c r="I2140" s="196">
        <v>4.4000000000000004</v>
      </c>
      <c r="J2140" s="45">
        <v>487</v>
      </c>
      <c r="K2140" s="21"/>
      <c r="L2140" s="21"/>
      <c r="M2140" s="21"/>
      <c r="N2140" s="47"/>
      <c r="O2140" s="47"/>
      <c r="R2140">
        <v>4.4000000000000004</v>
      </c>
    </row>
    <row r="2141" spans="2:18" ht="15" customHeight="1" x14ac:dyDescent="0.35">
      <c r="B2141" s="100">
        <f t="shared" si="37"/>
        <v>2103</v>
      </c>
      <c r="C2141" s="162" t="s">
        <v>2795</v>
      </c>
      <c r="D2141" s="163" t="s">
        <v>2796</v>
      </c>
      <c r="E2141" s="193">
        <v>9</v>
      </c>
      <c r="F2141" s="163" t="s">
        <v>2794</v>
      </c>
      <c r="G2141" s="99">
        <v>4.4000000000000004</v>
      </c>
      <c r="H2141" s="163">
        <v>3.27</v>
      </c>
      <c r="I2141" s="196">
        <v>4.4000000000000004</v>
      </c>
      <c r="J2141" s="45">
        <v>507</v>
      </c>
      <c r="K2141" s="46" t="s">
        <v>2336</v>
      </c>
      <c r="L2141" s="29" t="e">
        <f>SUM(J2121:J2207)/L2138</f>
        <v>#DIV/0!</v>
      </c>
      <c r="M2141" s="59"/>
      <c r="N2141" s="47"/>
      <c r="O2141" s="47"/>
      <c r="R2141">
        <v>4.4000000000000004</v>
      </c>
    </row>
    <row r="2142" spans="2:18" ht="15" customHeight="1" x14ac:dyDescent="0.35">
      <c r="B2142" s="100">
        <f t="shared" si="37"/>
        <v>2104</v>
      </c>
      <c r="C2142" s="162" t="s">
        <v>2797</v>
      </c>
      <c r="D2142" s="163" t="s">
        <v>2798</v>
      </c>
      <c r="E2142" s="193">
        <v>9</v>
      </c>
      <c r="F2142" s="163" t="s">
        <v>2794</v>
      </c>
      <c r="G2142" s="99">
        <v>4.4000000000000004</v>
      </c>
      <c r="H2142" s="163">
        <v>3.24</v>
      </c>
      <c r="I2142" s="196">
        <v>4.4000000000000004</v>
      </c>
      <c r="J2142" s="45">
        <v>527</v>
      </c>
      <c r="K2142" s="19" t="s">
        <v>2339</v>
      </c>
      <c r="L2142" s="29">
        <f>MIN(J2121:J2207)</f>
        <v>413</v>
      </c>
      <c r="M2142" s="21"/>
      <c r="N2142" s="47"/>
      <c r="O2142" s="47"/>
      <c r="R2142">
        <v>4.4000000000000004</v>
      </c>
    </row>
    <row r="2143" spans="2:18" ht="15" customHeight="1" x14ac:dyDescent="0.35">
      <c r="B2143" s="100">
        <f t="shared" si="37"/>
        <v>2105</v>
      </c>
      <c r="C2143" s="162" t="s">
        <v>2799</v>
      </c>
      <c r="D2143" s="163" t="s">
        <v>2800</v>
      </c>
      <c r="E2143" s="193">
        <v>9</v>
      </c>
      <c r="F2143" s="163" t="s">
        <v>2794</v>
      </c>
      <c r="G2143" s="99">
        <v>4.4000000000000004</v>
      </c>
      <c r="H2143" s="163">
        <v>3.24</v>
      </c>
      <c r="I2143" s="196">
        <v>4.4000000000000004</v>
      </c>
      <c r="J2143" s="45">
        <v>500</v>
      </c>
      <c r="K2143" s="19" t="s">
        <v>2340</v>
      </c>
      <c r="L2143" s="29">
        <f>MAX(J2121:J2207)</f>
        <v>553</v>
      </c>
      <c r="M2143" s="21"/>
      <c r="N2143" s="47"/>
      <c r="O2143" s="47"/>
      <c r="R2143">
        <v>4.4000000000000004</v>
      </c>
    </row>
    <row r="2144" spans="2:18" ht="15" customHeight="1" x14ac:dyDescent="0.35">
      <c r="B2144" s="100">
        <f t="shared" si="37"/>
        <v>2106</v>
      </c>
      <c r="C2144" s="162" t="s">
        <v>2801</v>
      </c>
      <c r="D2144" s="163" t="s">
        <v>2802</v>
      </c>
      <c r="E2144" s="163">
        <v>6</v>
      </c>
      <c r="F2144" s="163" t="s">
        <v>2794</v>
      </c>
      <c r="G2144" s="99">
        <v>7.4</v>
      </c>
      <c r="H2144" s="163">
        <v>3.18</v>
      </c>
      <c r="I2144" s="196">
        <v>7.4</v>
      </c>
      <c r="J2144" s="45">
        <v>497</v>
      </c>
      <c r="K2144" s="21"/>
      <c r="L2144" s="21"/>
      <c r="M2144" s="21"/>
      <c r="N2144" s="47"/>
      <c r="O2144" s="47"/>
      <c r="R2144">
        <v>7.4</v>
      </c>
    </row>
    <row r="2145" spans="2:18" ht="15" customHeight="1" x14ac:dyDescent="0.35">
      <c r="B2145" s="100">
        <f t="shared" si="37"/>
        <v>2107</v>
      </c>
      <c r="C2145" s="162" t="s">
        <v>2803</v>
      </c>
      <c r="D2145" s="163" t="s">
        <v>2804</v>
      </c>
      <c r="E2145" s="193">
        <v>9</v>
      </c>
      <c r="F2145" s="163" t="s">
        <v>2794</v>
      </c>
      <c r="G2145" s="99">
        <v>4.4000000000000004</v>
      </c>
      <c r="H2145" s="163">
        <v>3.16</v>
      </c>
      <c r="I2145" s="196">
        <v>4.4000000000000004</v>
      </c>
      <c r="J2145" s="45">
        <v>440</v>
      </c>
      <c r="K2145" s="21"/>
      <c r="L2145" s="21"/>
      <c r="M2145" s="21"/>
      <c r="N2145" s="47"/>
      <c r="O2145" s="47"/>
      <c r="R2145">
        <v>4.4000000000000004</v>
      </c>
    </row>
    <row r="2146" spans="2:18" ht="15" customHeight="1" x14ac:dyDescent="0.35">
      <c r="B2146" s="100">
        <f t="shared" si="37"/>
        <v>2108</v>
      </c>
      <c r="C2146" s="162" t="s">
        <v>2805</v>
      </c>
      <c r="D2146" s="163" t="s">
        <v>2806</v>
      </c>
      <c r="E2146" s="163">
        <v>8</v>
      </c>
      <c r="F2146" s="163" t="s">
        <v>2794</v>
      </c>
      <c r="G2146" s="99">
        <v>5.4</v>
      </c>
      <c r="H2146" s="163">
        <v>3.1</v>
      </c>
      <c r="I2146" s="196">
        <v>5.4</v>
      </c>
      <c r="J2146" s="45">
        <v>517</v>
      </c>
      <c r="K2146" s="21"/>
      <c r="L2146" s="21"/>
      <c r="M2146" s="21"/>
      <c r="N2146" s="47"/>
      <c r="O2146" s="47"/>
      <c r="R2146">
        <v>5.4</v>
      </c>
    </row>
    <row r="2147" spans="2:18" ht="15" customHeight="1" x14ac:dyDescent="0.35">
      <c r="B2147" s="100">
        <f t="shared" si="37"/>
        <v>2109</v>
      </c>
      <c r="C2147" s="162" t="s">
        <v>2807</v>
      </c>
      <c r="D2147" s="163" t="s">
        <v>2808</v>
      </c>
      <c r="E2147" s="163">
        <v>8</v>
      </c>
      <c r="F2147" s="163" t="s">
        <v>2794</v>
      </c>
      <c r="G2147" s="99">
        <v>5.4</v>
      </c>
      <c r="H2147" s="163">
        <v>3.08</v>
      </c>
      <c r="I2147" s="196">
        <v>5.4</v>
      </c>
      <c r="J2147" s="45">
        <v>477</v>
      </c>
      <c r="K2147" s="21"/>
      <c r="L2147" s="21"/>
      <c r="M2147" s="21"/>
      <c r="N2147" s="47"/>
      <c r="O2147" s="47"/>
      <c r="R2147">
        <v>5.4</v>
      </c>
    </row>
    <row r="2148" spans="2:18" ht="15" customHeight="1" x14ac:dyDescent="0.35">
      <c r="B2148" s="100">
        <f t="shared" si="37"/>
        <v>2110</v>
      </c>
      <c r="C2148" s="162" t="s">
        <v>2809</v>
      </c>
      <c r="D2148" s="163" t="s">
        <v>2810</v>
      </c>
      <c r="E2148" s="193">
        <v>9</v>
      </c>
      <c r="F2148" s="163" t="s">
        <v>2794</v>
      </c>
      <c r="G2148" s="99">
        <v>4.4000000000000004</v>
      </c>
      <c r="H2148" s="163">
        <v>3.07</v>
      </c>
      <c r="I2148" s="196">
        <v>4.4000000000000004</v>
      </c>
      <c r="J2148" s="45">
        <v>473</v>
      </c>
      <c r="K2148" s="21"/>
      <c r="L2148" s="21"/>
      <c r="M2148" s="21"/>
      <c r="N2148" s="47"/>
      <c r="O2148" s="47"/>
      <c r="R2148">
        <v>4.4000000000000004</v>
      </c>
    </row>
    <row r="2149" spans="2:18" ht="15" customHeight="1" x14ac:dyDescent="0.35">
      <c r="B2149" s="100">
        <f t="shared" si="37"/>
        <v>2111</v>
      </c>
      <c r="C2149" s="162" t="s">
        <v>2811</v>
      </c>
      <c r="D2149" s="163" t="s">
        <v>2812</v>
      </c>
      <c r="E2149" s="163">
        <v>7</v>
      </c>
      <c r="F2149" s="163" t="s">
        <v>2794</v>
      </c>
      <c r="G2149" s="99">
        <v>6.4</v>
      </c>
      <c r="H2149" s="163">
        <v>3.05</v>
      </c>
      <c r="I2149" s="196">
        <v>6.4</v>
      </c>
      <c r="J2149" s="45">
        <v>437</v>
      </c>
      <c r="K2149" s="21"/>
      <c r="L2149" s="21"/>
      <c r="M2149" s="21"/>
      <c r="N2149" s="47"/>
      <c r="O2149" s="47"/>
      <c r="R2149">
        <v>6.4</v>
      </c>
    </row>
    <row r="2150" spans="2:18" ht="15" customHeight="1" x14ac:dyDescent="0.35">
      <c r="B2150" s="100">
        <f t="shared" si="37"/>
        <v>2112</v>
      </c>
      <c r="C2150" s="162" t="s">
        <v>2813</v>
      </c>
      <c r="D2150" s="163" t="s">
        <v>2814</v>
      </c>
      <c r="E2150" s="193">
        <v>9</v>
      </c>
      <c r="F2150" s="163" t="s">
        <v>2794</v>
      </c>
      <c r="G2150" s="99">
        <v>4.4000000000000004</v>
      </c>
      <c r="H2150" s="163">
        <v>3.05</v>
      </c>
      <c r="I2150" s="196">
        <v>4.4000000000000004</v>
      </c>
      <c r="J2150" s="45">
        <v>433</v>
      </c>
      <c r="K2150" s="21"/>
      <c r="L2150" s="21"/>
      <c r="M2150" s="21"/>
      <c r="N2150" s="47"/>
      <c r="O2150" s="47"/>
      <c r="R2150">
        <v>4.4000000000000004</v>
      </c>
    </row>
    <row r="2151" spans="2:18" ht="15" customHeight="1" x14ac:dyDescent="0.35">
      <c r="B2151" s="100">
        <f t="shared" si="37"/>
        <v>2113</v>
      </c>
      <c r="C2151" s="162" t="s">
        <v>2815</v>
      </c>
      <c r="D2151" s="163" t="s">
        <v>2816</v>
      </c>
      <c r="E2151" s="163">
        <v>8</v>
      </c>
      <c r="F2151" s="163" t="s">
        <v>2794</v>
      </c>
      <c r="G2151" s="99">
        <v>5.4</v>
      </c>
      <c r="H2151" s="163">
        <v>3.03</v>
      </c>
      <c r="I2151" s="196">
        <v>5.4</v>
      </c>
      <c r="J2151" s="45">
        <v>527</v>
      </c>
      <c r="K2151" s="21"/>
      <c r="L2151" s="21">
        <f>L2059+L2125+L2217</f>
        <v>64</v>
      </c>
      <c r="M2151" s="21"/>
      <c r="N2151" s="47"/>
      <c r="O2151" s="47"/>
      <c r="R2151">
        <v>5.4</v>
      </c>
    </row>
    <row r="2152" spans="2:18" ht="15" customHeight="1" x14ac:dyDescent="0.35">
      <c r="B2152" s="100">
        <f t="shared" si="37"/>
        <v>2114</v>
      </c>
      <c r="C2152" s="162" t="s">
        <v>2817</v>
      </c>
      <c r="D2152" s="163" t="s">
        <v>2818</v>
      </c>
      <c r="E2152" s="163">
        <v>8</v>
      </c>
      <c r="F2152" s="163" t="s">
        <v>2794</v>
      </c>
      <c r="G2152" s="99">
        <v>5.4</v>
      </c>
      <c r="H2152" s="163">
        <v>3.03</v>
      </c>
      <c r="I2152" s="196">
        <v>5.4</v>
      </c>
      <c r="J2152" s="45">
        <v>510</v>
      </c>
      <c r="K2152" s="21"/>
      <c r="L2152" s="21"/>
      <c r="M2152" s="21"/>
      <c r="N2152" s="47"/>
      <c r="O2152" s="47"/>
      <c r="R2152">
        <v>5.4</v>
      </c>
    </row>
    <row r="2153" spans="2:18" ht="15" customHeight="1" x14ac:dyDescent="0.35">
      <c r="B2153" s="100">
        <f t="shared" si="37"/>
        <v>2115</v>
      </c>
      <c r="C2153" s="162" t="s">
        <v>2819</v>
      </c>
      <c r="D2153" s="163" t="s">
        <v>2820</v>
      </c>
      <c r="E2153" s="163">
        <v>8</v>
      </c>
      <c r="F2153" s="163" t="s">
        <v>2794</v>
      </c>
      <c r="G2153" s="99">
        <v>5.4</v>
      </c>
      <c r="H2153" s="163">
        <v>2.86</v>
      </c>
      <c r="I2153" s="196">
        <v>5.4</v>
      </c>
      <c r="J2153" s="45">
        <v>467</v>
      </c>
      <c r="K2153" s="21"/>
      <c r="L2153" s="21"/>
      <c r="M2153" s="19" t="s">
        <v>580</v>
      </c>
      <c r="N2153" s="47"/>
      <c r="O2153" s="47"/>
      <c r="R2153">
        <v>5.4</v>
      </c>
    </row>
    <row r="2154" spans="2:18" ht="15" customHeight="1" x14ac:dyDescent="0.35">
      <c r="B2154" s="100">
        <f t="shared" si="37"/>
        <v>2116</v>
      </c>
      <c r="C2154" s="162" t="s">
        <v>2821</v>
      </c>
      <c r="D2154" s="163" t="s">
        <v>2822</v>
      </c>
      <c r="E2154" s="163">
        <v>8</v>
      </c>
      <c r="F2154" s="163" t="s">
        <v>2794</v>
      </c>
      <c r="G2154" s="99">
        <v>5.4</v>
      </c>
      <c r="H2154" s="163">
        <v>2.84</v>
      </c>
      <c r="I2154" s="196">
        <v>5.4</v>
      </c>
      <c r="J2154" s="45">
        <v>517</v>
      </c>
      <c r="K2154" s="21"/>
      <c r="L2154" s="21"/>
      <c r="M2154" s="21"/>
      <c r="N2154" s="47"/>
      <c r="O2154" s="47"/>
      <c r="R2154">
        <v>5.4</v>
      </c>
    </row>
    <row r="2155" spans="2:18" ht="15" customHeight="1" x14ac:dyDescent="0.35">
      <c r="B2155" s="100">
        <f t="shared" si="37"/>
        <v>2117</v>
      </c>
      <c r="C2155" s="162" t="s">
        <v>2823</v>
      </c>
      <c r="D2155" s="163" t="s">
        <v>2824</v>
      </c>
      <c r="E2155" s="163">
        <v>8</v>
      </c>
      <c r="F2155" s="163" t="s">
        <v>2794</v>
      </c>
      <c r="G2155" s="99">
        <v>5.4</v>
      </c>
      <c r="H2155" s="163">
        <v>2.79</v>
      </c>
      <c r="I2155" s="196">
        <v>5.4</v>
      </c>
      <c r="J2155" s="45">
        <v>517</v>
      </c>
      <c r="K2155" s="21"/>
      <c r="L2155" s="21"/>
      <c r="M2155" s="21"/>
      <c r="N2155" s="47"/>
      <c r="O2155" s="47"/>
      <c r="R2155">
        <v>5.4</v>
      </c>
    </row>
    <row r="2156" spans="2:18" ht="15" customHeight="1" x14ac:dyDescent="0.35">
      <c r="B2156" s="100">
        <f t="shared" si="37"/>
        <v>2118</v>
      </c>
      <c r="C2156" s="162" t="s">
        <v>2825</v>
      </c>
      <c r="D2156" s="163" t="s">
        <v>2826</v>
      </c>
      <c r="E2156" s="163">
        <v>7</v>
      </c>
      <c r="F2156" s="163" t="s">
        <v>2794</v>
      </c>
      <c r="G2156" s="99">
        <v>6.4</v>
      </c>
      <c r="H2156" s="163">
        <v>2.66</v>
      </c>
      <c r="I2156" s="196">
        <v>6.4</v>
      </c>
      <c r="J2156" s="45">
        <v>413</v>
      </c>
      <c r="K2156" s="21"/>
      <c r="L2156" s="21"/>
      <c r="M2156" s="21"/>
      <c r="N2156" s="47"/>
      <c r="O2156" s="47"/>
      <c r="R2156">
        <v>6.4</v>
      </c>
    </row>
    <row r="2157" spans="2:18" ht="15" customHeight="1" x14ac:dyDescent="0.35">
      <c r="B2157" s="100">
        <f t="shared" si="37"/>
        <v>2119</v>
      </c>
      <c r="C2157" s="162" t="s">
        <v>2827</v>
      </c>
      <c r="D2157" s="163" t="s">
        <v>2828</v>
      </c>
      <c r="E2157" s="163">
        <v>8</v>
      </c>
      <c r="F2157" s="163" t="s">
        <v>2794</v>
      </c>
      <c r="G2157" s="99">
        <v>5.4</v>
      </c>
      <c r="H2157" s="163">
        <v>2.65</v>
      </c>
      <c r="I2157" s="196">
        <v>5.4</v>
      </c>
      <c r="J2157" s="45">
        <v>503</v>
      </c>
      <c r="K2157" s="21"/>
      <c r="L2157" s="21"/>
      <c r="M2157" s="21"/>
      <c r="N2157" s="47"/>
      <c r="O2157" s="47"/>
      <c r="R2157">
        <v>5.4</v>
      </c>
    </row>
    <row r="2158" spans="2:18" ht="15" customHeight="1" x14ac:dyDescent="0.35">
      <c r="B2158" s="100">
        <f t="shared" si="37"/>
        <v>2120</v>
      </c>
      <c r="C2158" s="162" t="s">
        <v>2829</v>
      </c>
      <c r="D2158" s="163" t="s">
        <v>2830</v>
      </c>
      <c r="E2158" s="163">
        <v>7</v>
      </c>
      <c r="F2158" s="163" t="s">
        <v>2794</v>
      </c>
      <c r="G2158" s="99">
        <v>6.4</v>
      </c>
      <c r="H2158" s="163">
        <v>2.63</v>
      </c>
      <c r="I2158" s="135">
        <v>6.4</v>
      </c>
      <c r="J2158" s="45">
        <v>517</v>
      </c>
      <c r="K2158" s="21"/>
      <c r="L2158" s="21"/>
      <c r="M2158" s="21"/>
      <c r="N2158" s="47"/>
      <c r="O2158" s="47"/>
      <c r="R2158">
        <v>6.4</v>
      </c>
    </row>
    <row r="2159" spans="2:18" ht="15" customHeight="1" x14ac:dyDescent="0.35">
      <c r="B2159" s="100">
        <f t="shared" si="37"/>
        <v>2121</v>
      </c>
      <c r="C2159" s="162" t="s">
        <v>2831</v>
      </c>
      <c r="D2159" s="163" t="s">
        <v>2832</v>
      </c>
      <c r="E2159" s="163">
        <v>8</v>
      </c>
      <c r="F2159" s="163" t="s">
        <v>2794</v>
      </c>
      <c r="G2159" s="99">
        <v>5.4</v>
      </c>
      <c r="H2159" s="163">
        <v>2.44</v>
      </c>
      <c r="I2159" s="196">
        <v>5.4</v>
      </c>
      <c r="J2159" s="45">
        <v>553</v>
      </c>
      <c r="K2159" s="21"/>
      <c r="L2159" s="21"/>
      <c r="M2159" s="21"/>
      <c r="N2159" s="47"/>
      <c r="O2159" s="47"/>
      <c r="P2159" s="10" t="s">
        <v>2482</v>
      </c>
      <c r="Q2159" s="12"/>
      <c r="R2159">
        <v>5.4</v>
      </c>
    </row>
    <row r="2160" spans="2:18" ht="15" customHeight="1" x14ac:dyDescent="0.35">
      <c r="B2160" s="100">
        <f t="shared" si="37"/>
        <v>2122</v>
      </c>
      <c r="C2160" s="197" t="s">
        <v>2833</v>
      </c>
      <c r="D2160" s="99" t="s">
        <v>2834</v>
      </c>
      <c r="E2160" s="99">
        <v>6</v>
      </c>
      <c r="F2160" s="99" t="s">
        <v>2835</v>
      </c>
      <c r="G2160" s="99">
        <v>7.4</v>
      </c>
      <c r="H2160" s="99">
        <v>2.99</v>
      </c>
      <c r="I2160" s="99">
        <v>7.4</v>
      </c>
      <c r="J2160" s="18">
        <v>460</v>
      </c>
      <c r="K2160" s="21"/>
      <c r="L2160" s="21"/>
      <c r="M2160" s="21"/>
      <c r="N2160" s="47"/>
      <c r="O2160" s="47"/>
      <c r="P2160" s="10" t="s">
        <v>2482</v>
      </c>
      <c r="Q2160" s="12"/>
      <c r="R2160">
        <v>7.4</v>
      </c>
    </row>
    <row r="2161" spans="2:18" ht="15" customHeight="1" x14ac:dyDescent="0.35">
      <c r="B2161" s="100">
        <f t="shared" si="37"/>
        <v>2123</v>
      </c>
      <c r="C2161" s="162" t="s">
        <v>2836</v>
      </c>
      <c r="D2161" s="163" t="s">
        <v>2837</v>
      </c>
      <c r="E2161" s="99">
        <v>8</v>
      </c>
      <c r="F2161" s="103">
        <v>41762</v>
      </c>
      <c r="G2161" s="99">
        <v>5.6</v>
      </c>
      <c r="H2161" s="163">
        <v>2.71</v>
      </c>
      <c r="I2161" s="196">
        <v>5.6</v>
      </c>
      <c r="J2161" s="45">
        <v>473</v>
      </c>
      <c r="K2161" s="21"/>
      <c r="L2161" s="21"/>
      <c r="M2161" s="21"/>
      <c r="N2161" s="47"/>
      <c r="O2161" s="47"/>
      <c r="R2161">
        <v>5.6</v>
      </c>
    </row>
    <row r="2162" spans="2:18" ht="15" customHeight="1" x14ac:dyDescent="0.35">
      <c r="B2162" s="100">
        <f t="shared" si="37"/>
        <v>2124</v>
      </c>
      <c r="C2162" s="162" t="s">
        <v>2838</v>
      </c>
      <c r="D2162" s="163" t="s">
        <v>2839</v>
      </c>
      <c r="E2162" s="99">
        <v>8</v>
      </c>
      <c r="F2162" s="103">
        <v>41762</v>
      </c>
      <c r="G2162" s="99">
        <v>5.6</v>
      </c>
      <c r="H2162" s="163">
        <v>2.63</v>
      </c>
      <c r="I2162" s="196">
        <v>5.6</v>
      </c>
      <c r="J2162" s="45">
        <v>507</v>
      </c>
      <c r="K2162" s="21"/>
      <c r="L2162" s="19" t="s">
        <v>580</v>
      </c>
      <c r="M2162" s="21"/>
      <c r="N2162" s="47"/>
      <c r="O2162" s="47"/>
      <c r="R2162">
        <v>5.6</v>
      </c>
    </row>
    <row r="2163" spans="2:18" ht="15" customHeight="1" x14ac:dyDescent="0.35">
      <c r="B2163" s="100">
        <f t="shared" si="37"/>
        <v>2125</v>
      </c>
      <c r="C2163" s="162" t="s">
        <v>2840</v>
      </c>
      <c r="D2163" s="163" t="s">
        <v>2841</v>
      </c>
      <c r="E2163" s="105">
        <v>9</v>
      </c>
      <c r="F2163" s="103">
        <v>41762</v>
      </c>
      <c r="G2163" s="99">
        <v>4.5999999999999996</v>
      </c>
      <c r="H2163" s="163">
        <v>3.12</v>
      </c>
      <c r="I2163" s="196">
        <v>4.5999999999999996</v>
      </c>
      <c r="J2163" s="45">
        <v>483</v>
      </c>
      <c r="K2163" s="21"/>
      <c r="L2163" s="21"/>
      <c r="M2163" s="21"/>
      <c r="N2163" s="47"/>
      <c r="O2163" s="47"/>
      <c r="R2163">
        <v>4.5999999999999996</v>
      </c>
    </row>
    <row r="2164" spans="2:18" ht="15" customHeight="1" x14ac:dyDescent="0.35">
      <c r="B2164" s="100">
        <f t="shared" si="37"/>
        <v>2126</v>
      </c>
      <c r="C2164" s="162" t="s">
        <v>2842</v>
      </c>
      <c r="D2164" s="163" t="s">
        <v>2843</v>
      </c>
      <c r="E2164" s="105">
        <v>9</v>
      </c>
      <c r="F2164" s="99" t="s">
        <v>2844</v>
      </c>
      <c r="G2164" s="99">
        <v>5.7</v>
      </c>
      <c r="H2164" s="163">
        <v>3.1</v>
      </c>
      <c r="I2164" s="196">
        <v>5.7</v>
      </c>
      <c r="J2164" s="45">
        <v>553</v>
      </c>
      <c r="K2164" s="21"/>
      <c r="L2164" s="21"/>
      <c r="M2164" s="21"/>
      <c r="N2164" s="47"/>
      <c r="O2164" s="47"/>
      <c r="R2164">
        <v>5.7</v>
      </c>
    </row>
    <row r="2165" spans="2:18" ht="15" customHeight="1" x14ac:dyDescent="0.35">
      <c r="B2165" s="100">
        <f t="shared" si="37"/>
        <v>2127</v>
      </c>
      <c r="C2165" s="162" t="s">
        <v>2845</v>
      </c>
      <c r="D2165" s="163" t="s">
        <v>2846</v>
      </c>
      <c r="E2165" s="99">
        <v>8</v>
      </c>
      <c r="F2165" s="99" t="s">
        <v>2844</v>
      </c>
      <c r="G2165" s="99">
        <v>5.7</v>
      </c>
      <c r="H2165" s="163">
        <v>3.79</v>
      </c>
      <c r="I2165" s="196">
        <v>5.7</v>
      </c>
      <c r="J2165" s="45">
        <v>477</v>
      </c>
      <c r="K2165" s="21"/>
      <c r="L2165" s="21"/>
      <c r="M2165" s="21"/>
      <c r="N2165" s="47"/>
      <c r="O2165" s="47"/>
      <c r="R2165">
        <v>5.7</v>
      </c>
    </row>
    <row r="2166" spans="2:18" ht="15" customHeight="1" x14ac:dyDescent="0.35">
      <c r="B2166" s="100">
        <f t="shared" si="37"/>
        <v>2128</v>
      </c>
      <c r="C2166" s="162" t="s">
        <v>2847</v>
      </c>
      <c r="D2166" s="163" t="s">
        <v>2848</v>
      </c>
      <c r="E2166" s="99">
        <v>7</v>
      </c>
      <c r="F2166" s="99" t="s">
        <v>2844</v>
      </c>
      <c r="G2166" s="99">
        <v>6.7</v>
      </c>
      <c r="H2166" s="163">
        <v>2.16</v>
      </c>
      <c r="I2166" s="196">
        <v>6.7</v>
      </c>
      <c r="J2166" s="45">
        <v>430</v>
      </c>
      <c r="K2166" s="21"/>
      <c r="L2166" s="21"/>
      <c r="M2166" s="21"/>
      <c r="N2166" s="47"/>
      <c r="O2166" s="47"/>
      <c r="R2166">
        <v>6.7</v>
      </c>
    </row>
    <row r="2167" spans="2:18" ht="15" customHeight="1" x14ac:dyDescent="0.35">
      <c r="B2167" s="100">
        <f t="shared" si="37"/>
        <v>2129</v>
      </c>
      <c r="C2167" s="162" t="s">
        <v>2849</v>
      </c>
      <c r="D2167" s="163" t="s">
        <v>2850</v>
      </c>
      <c r="E2167" s="99">
        <v>8</v>
      </c>
      <c r="F2167" s="99" t="s">
        <v>2844</v>
      </c>
      <c r="G2167" s="99">
        <v>5.7</v>
      </c>
      <c r="H2167" s="163">
        <v>2.65</v>
      </c>
      <c r="I2167" s="196">
        <v>5.7</v>
      </c>
      <c r="J2167" s="45">
        <v>460</v>
      </c>
      <c r="K2167" s="21"/>
      <c r="L2167" s="21"/>
      <c r="M2167" s="21"/>
      <c r="N2167" s="47"/>
      <c r="O2167" s="47"/>
      <c r="R2167">
        <v>5.7</v>
      </c>
    </row>
    <row r="2168" spans="2:18" ht="15" customHeight="1" x14ac:dyDescent="0.35">
      <c r="B2168" s="100">
        <f t="shared" si="37"/>
        <v>2130</v>
      </c>
      <c r="C2168" s="162" t="s">
        <v>2851</v>
      </c>
      <c r="D2168" s="163" t="s">
        <v>2852</v>
      </c>
      <c r="E2168" s="99">
        <v>8</v>
      </c>
      <c r="F2168" s="99" t="s">
        <v>2844</v>
      </c>
      <c r="G2168" s="99">
        <v>5.7</v>
      </c>
      <c r="H2168" s="163">
        <v>2.27</v>
      </c>
      <c r="I2168" s="196">
        <v>5.7</v>
      </c>
      <c r="J2168" s="45">
        <v>440</v>
      </c>
      <c r="K2168" s="21"/>
      <c r="L2168" s="21"/>
      <c r="M2168" s="21"/>
      <c r="N2168" s="47"/>
      <c r="O2168" s="47"/>
      <c r="R2168">
        <v>5.7</v>
      </c>
    </row>
    <row r="2169" spans="2:18" ht="15" customHeight="1" x14ac:dyDescent="0.35">
      <c r="B2169" s="100">
        <f t="shared" si="37"/>
        <v>2131</v>
      </c>
      <c r="C2169" s="162" t="s">
        <v>2853</v>
      </c>
      <c r="D2169" s="163" t="s">
        <v>2854</v>
      </c>
      <c r="E2169" s="99">
        <v>7</v>
      </c>
      <c r="F2169" s="99" t="s">
        <v>2844</v>
      </c>
      <c r="G2169" s="99">
        <v>6.7</v>
      </c>
      <c r="H2169" s="163">
        <v>2.33</v>
      </c>
      <c r="I2169" s="196">
        <v>6.7</v>
      </c>
      <c r="J2169" s="45">
        <v>460</v>
      </c>
      <c r="K2169" s="21"/>
      <c r="L2169" s="21"/>
      <c r="M2169" s="21"/>
      <c r="N2169" s="47"/>
      <c r="O2169" s="47"/>
      <c r="R2169">
        <v>6.7</v>
      </c>
    </row>
    <row r="2170" spans="2:18" ht="15" customHeight="1" x14ac:dyDescent="0.35">
      <c r="B2170" s="100">
        <f t="shared" si="37"/>
        <v>2132</v>
      </c>
      <c r="C2170" s="162" t="s">
        <v>2855</v>
      </c>
      <c r="D2170" s="163" t="s">
        <v>2856</v>
      </c>
      <c r="E2170" s="105">
        <v>9</v>
      </c>
      <c r="F2170" s="99" t="s">
        <v>2844</v>
      </c>
      <c r="G2170" s="99">
        <v>4.7</v>
      </c>
      <c r="H2170" s="163">
        <v>3</v>
      </c>
      <c r="I2170" s="196">
        <v>4.7</v>
      </c>
      <c r="J2170" s="45">
        <v>524</v>
      </c>
      <c r="K2170" s="21"/>
      <c r="L2170" s="21"/>
      <c r="M2170" s="21"/>
      <c r="N2170" s="47"/>
      <c r="O2170" s="47"/>
      <c r="R2170">
        <v>4.7</v>
      </c>
    </row>
    <row r="2171" spans="2:18" ht="15" customHeight="1" x14ac:dyDescent="0.35">
      <c r="B2171" s="100">
        <f t="shared" si="37"/>
        <v>2133</v>
      </c>
      <c r="C2171" s="162" t="s">
        <v>2857</v>
      </c>
      <c r="D2171" s="163" t="s">
        <v>2858</v>
      </c>
      <c r="E2171" s="99">
        <v>8</v>
      </c>
      <c r="F2171" s="99" t="s">
        <v>2844</v>
      </c>
      <c r="G2171" s="99">
        <v>5.7</v>
      </c>
      <c r="H2171" s="163">
        <v>2.91</v>
      </c>
      <c r="I2171" s="196">
        <v>5.7</v>
      </c>
      <c r="J2171" s="45">
        <v>463</v>
      </c>
      <c r="K2171" s="21"/>
      <c r="L2171" s="21"/>
      <c r="M2171" s="21"/>
      <c r="N2171" s="47"/>
      <c r="O2171" s="47"/>
      <c r="R2171">
        <v>5.7</v>
      </c>
    </row>
    <row r="2172" spans="2:18" ht="15" customHeight="1" x14ac:dyDescent="0.35">
      <c r="B2172" s="100">
        <f t="shared" si="37"/>
        <v>2134</v>
      </c>
      <c r="C2172" s="162" t="s">
        <v>2859</v>
      </c>
      <c r="D2172" s="163" t="s">
        <v>2860</v>
      </c>
      <c r="E2172" s="99">
        <v>8</v>
      </c>
      <c r="F2172" s="99" t="s">
        <v>2844</v>
      </c>
      <c r="G2172" s="99">
        <v>5.7</v>
      </c>
      <c r="H2172" s="163">
        <v>2.57</v>
      </c>
      <c r="I2172" s="196">
        <v>5.7</v>
      </c>
      <c r="J2172" s="45">
        <v>457</v>
      </c>
      <c r="K2172" s="21"/>
      <c r="L2172" s="21"/>
      <c r="M2172" s="21"/>
      <c r="N2172" s="47"/>
      <c r="O2172" s="47"/>
      <c r="R2172">
        <v>5.7</v>
      </c>
    </row>
    <row r="2173" spans="2:18" ht="15" customHeight="1" x14ac:dyDescent="0.35">
      <c r="B2173" s="100">
        <f t="shared" si="37"/>
        <v>2135</v>
      </c>
      <c r="C2173" s="162" t="s">
        <v>2861</v>
      </c>
      <c r="D2173" s="163" t="s">
        <v>2862</v>
      </c>
      <c r="E2173" s="99">
        <v>7</v>
      </c>
      <c r="F2173" s="99" t="s">
        <v>2844</v>
      </c>
      <c r="G2173" s="99">
        <v>6.7</v>
      </c>
      <c r="H2173" s="163">
        <v>2.8</v>
      </c>
      <c r="I2173" s="196">
        <v>6.7</v>
      </c>
      <c r="J2173" s="45">
        <v>484</v>
      </c>
      <c r="K2173" s="21"/>
      <c r="L2173" s="21"/>
      <c r="M2173" s="21"/>
      <c r="N2173" s="47"/>
      <c r="O2173" s="47"/>
      <c r="R2173">
        <v>6.7</v>
      </c>
    </row>
    <row r="2174" spans="2:18" ht="15" customHeight="1" x14ac:dyDescent="0.35">
      <c r="B2174" s="100">
        <f t="shared" si="37"/>
        <v>2136</v>
      </c>
      <c r="C2174" s="162" t="s">
        <v>2863</v>
      </c>
      <c r="D2174" s="163" t="s">
        <v>2864</v>
      </c>
      <c r="E2174" s="105">
        <v>9</v>
      </c>
      <c r="F2174" s="99" t="s">
        <v>2844</v>
      </c>
      <c r="G2174" s="99">
        <v>4.7</v>
      </c>
      <c r="H2174" s="163">
        <v>2.95</v>
      </c>
      <c r="I2174" s="196">
        <v>4.7</v>
      </c>
      <c r="J2174" s="45">
        <v>448</v>
      </c>
      <c r="K2174" s="21"/>
      <c r="L2174" s="21"/>
      <c r="M2174" s="21"/>
      <c r="N2174" s="47"/>
      <c r="O2174" s="47"/>
      <c r="R2174">
        <v>4.7</v>
      </c>
    </row>
    <row r="2175" spans="2:18" ht="15" customHeight="1" x14ac:dyDescent="0.35">
      <c r="B2175" s="100">
        <f t="shared" si="37"/>
        <v>2137</v>
      </c>
      <c r="C2175" s="162" t="s">
        <v>2865</v>
      </c>
      <c r="D2175" s="163" t="s">
        <v>2866</v>
      </c>
      <c r="E2175" s="105">
        <v>9</v>
      </c>
      <c r="F2175" s="99" t="s">
        <v>2844</v>
      </c>
      <c r="G2175" s="99">
        <v>4.47</v>
      </c>
      <c r="H2175" s="163">
        <v>2.72</v>
      </c>
      <c r="I2175" s="196">
        <v>4.47</v>
      </c>
      <c r="J2175" s="45">
        <v>553</v>
      </c>
      <c r="K2175" s="21"/>
      <c r="L2175" s="21"/>
      <c r="M2175" s="21"/>
      <c r="N2175" s="47"/>
      <c r="O2175" s="47"/>
      <c r="R2175">
        <v>4.47</v>
      </c>
    </row>
    <row r="2176" spans="2:18" ht="15" customHeight="1" x14ac:dyDescent="0.35">
      <c r="B2176" s="100">
        <f t="shared" si="37"/>
        <v>2138</v>
      </c>
      <c r="C2176" s="162" t="s">
        <v>2867</v>
      </c>
      <c r="D2176" s="163" t="s">
        <v>2868</v>
      </c>
      <c r="E2176" s="99">
        <v>8</v>
      </c>
      <c r="F2176" s="99" t="s">
        <v>2844</v>
      </c>
      <c r="G2176" s="99">
        <v>5.7</v>
      </c>
      <c r="H2176" s="163">
        <v>2.79</v>
      </c>
      <c r="I2176" s="196">
        <v>5.7</v>
      </c>
      <c r="J2176" s="45">
        <v>467</v>
      </c>
      <c r="K2176" s="21"/>
      <c r="L2176" s="21"/>
      <c r="M2176" s="21"/>
      <c r="N2176" s="47"/>
      <c r="O2176" s="47"/>
      <c r="R2176">
        <v>5.7</v>
      </c>
    </row>
    <row r="2177" spans="2:18" ht="15" customHeight="1" x14ac:dyDescent="0.35">
      <c r="B2177" s="100">
        <f t="shared" si="37"/>
        <v>2139</v>
      </c>
      <c r="C2177" s="162" t="s">
        <v>2869</v>
      </c>
      <c r="D2177" s="163" t="s">
        <v>2870</v>
      </c>
      <c r="E2177" s="99">
        <v>8</v>
      </c>
      <c r="F2177" s="99" t="s">
        <v>2844</v>
      </c>
      <c r="G2177" s="99">
        <v>5.7</v>
      </c>
      <c r="H2177" s="163">
        <v>2.38</v>
      </c>
      <c r="I2177" s="196">
        <v>5.7</v>
      </c>
      <c r="J2177" s="45">
        <v>473</v>
      </c>
      <c r="K2177" s="21"/>
      <c r="L2177" s="21"/>
      <c r="M2177" s="21"/>
      <c r="N2177" s="47"/>
      <c r="O2177" s="47"/>
      <c r="R2177">
        <v>5.7</v>
      </c>
    </row>
    <row r="2178" spans="2:18" ht="15" customHeight="1" x14ac:dyDescent="0.35">
      <c r="B2178" s="100">
        <f t="shared" si="37"/>
        <v>2140</v>
      </c>
      <c r="C2178" s="198" t="s">
        <v>2871</v>
      </c>
      <c r="D2178" s="163" t="s">
        <v>2872</v>
      </c>
      <c r="E2178" s="99">
        <v>8</v>
      </c>
      <c r="F2178" s="192" t="s">
        <v>2873</v>
      </c>
      <c r="G2178" s="99">
        <v>5.8</v>
      </c>
      <c r="H2178" s="163">
        <v>2.88</v>
      </c>
      <c r="I2178" s="199">
        <v>5.8</v>
      </c>
      <c r="J2178" s="45">
        <v>483</v>
      </c>
      <c r="K2178" s="60"/>
      <c r="L2178" s="60"/>
      <c r="M2178" s="21"/>
      <c r="N2178" s="60"/>
      <c r="O2178" s="61"/>
      <c r="R2178">
        <v>5.8</v>
      </c>
    </row>
    <row r="2179" spans="2:18" ht="15" customHeight="1" x14ac:dyDescent="0.35">
      <c r="B2179" s="100">
        <f t="shared" si="37"/>
        <v>2141</v>
      </c>
      <c r="C2179" s="162" t="s">
        <v>2874</v>
      </c>
      <c r="D2179" s="163" t="s">
        <v>2875</v>
      </c>
      <c r="E2179" s="99">
        <v>8</v>
      </c>
      <c r="F2179" s="200" t="s">
        <v>2876</v>
      </c>
      <c r="G2179" s="201">
        <v>5.9</v>
      </c>
      <c r="H2179" s="163">
        <v>2.76</v>
      </c>
      <c r="I2179" s="199">
        <v>5.9</v>
      </c>
      <c r="J2179" s="45">
        <v>460</v>
      </c>
      <c r="K2179" s="60"/>
      <c r="L2179" s="60"/>
      <c r="M2179" s="21"/>
      <c r="N2179" s="60"/>
      <c r="O2179" s="21"/>
      <c r="R2179">
        <v>5.9</v>
      </c>
    </row>
    <row r="2180" spans="2:18" ht="15" customHeight="1" x14ac:dyDescent="0.35">
      <c r="B2180" s="100">
        <f t="shared" si="37"/>
        <v>2142</v>
      </c>
      <c r="C2180" s="162" t="s">
        <v>2877</v>
      </c>
      <c r="D2180" s="163" t="s">
        <v>2878</v>
      </c>
      <c r="E2180" s="99">
        <v>8</v>
      </c>
      <c r="F2180" s="200" t="s">
        <v>2876</v>
      </c>
      <c r="G2180" s="201">
        <v>5.9</v>
      </c>
      <c r="H2180" s="163">
        <v>2.57</v>
      </c>
      <c r="I2180" s="199">
        <v>5.9</v>
      </c>
      <c r="J2180" s="45">
        <v>450</v>
      </c>
      <c r="K2180" s="60"/>
      <c r="L2180" s="60"/>
      <c r="M2180" s="21"/>
      <c r="N2180" s="60"/>
      <c r="O2180" s="21"/>
      <c r="R2180">
        <v>5.9</v>
      </c>
    </row>
    <row r="2181" spans="2:18" ht="15" customHeight="1" x14ac:dyDescent="0.35">
      <c r="B2181" s="100">
        <f t="shared" si="37"/>
        <v>2143</v>
      </c>
      <c r="C2181" s="162" t="s">
        <v>2879</v>
      </c>
      <c r="D2181" s="163" t="s">
        <v>2880</v>
      </c>
      <c r="E2181" s="99">
        <v>10</v>
      </c>
      <c r="F2181" s="200" t="s">
        <v>2876</v>
      </c>
      <c r="G2181" s="202">
        <v>3.1</v>
      </c>
      <c r="H2181" s="163">
        <v>3.75</v>
      </c>
      <c r="I2181" s="199">
        <v>3.1</v>
      </c>
      <c r="J2181" s="45">
        <v>530</v>
      </c>
      <c r="K2181" s="60"/>
      <c r="L2181" s="60"/>
      <c r="M2181" s="21"/>
      <c r="N2181" s="60"/>
      <c r="O2181" s="21"/>
      <c r="R2181">
        <v>3.1</v>
      </c>
    </row>
    <row r="2182" spans="2:18" ht="15" customHeight="1" x14ac:dyDescent="0.35">
      <c r="B2182" s="100">
        <f t="shared" si="37"/>
        <v>2144</v>
      </c>
      <c r="C2182" s="162" t="s">
        <v>2881</v>
      </c>
      <c r="D2182" s="163" t="s">
        <v>2882</v>
      </c>
      <c r="E2182" s="99">
        <v>10</v>
      </c>
      <c r="F2182" s="200" t="s">
        <v>2876</v>
      </c>
      <c r="G2182" s="202">
        <v>3.1</v>
      </c>
      <c r="H2182" s="163">
        <v>3.66</v>
      </c>
      <c r="I2182" s="199">
        <v>3.1</v>
      </c>
      <c r="J2182" s="45">
        <v>463</v>
      </c>
      <c r="K2182" s="60"/>
      <c r="L2182" s="60"/>
      <c r="M2182" s="21"/>
      <c r="N2182" s="60"/>
      <c r="O2182" s="21"/>
      <c r="R2182">
        <v>3.1</v>
      </c>
    </row>
    <row r="2183" spans="2:18" ht="15" customHeight="1" x14ac:dyDescent="0.35">
      <c r="B2183" s="100">
        <f t="shared" si="37"/>
        <v>2145</v>
      </c>
      <c r="C2183" s="162" t="s">
        <v>2883</v>
      </c>
      <c r="D2183" s="163" t="s">
        <v>2884</v>
      </c>
      <c r="E2183" s="99">
        <v>10</v>
      </c>
      <c r="F2183" s="200" t="s">
        <v>2876</v>
      </c>
      <c r="G2183" s="202">
        <v>3.1</v>
      </c>
      <c r="H2183" s="163">
        <v>3.76</v>
      </c>
      <c r="I2183" s="199">
        <v>3.1</v>
      </c>
      <c r="J2183" s="45">
        <v>517</v>
      </c>
      <c r="K2183" s="60"/>
      <c r="L2183" s="60"/>
      <c r="M2183" s="21"/>
      <c r="N2183" s="60"/>
      <c r="O2183" s="21"/>
      <c r="R2183">
        <v>3.1</v>
      </c>
    </row>
    <row r="2184" spans="2:18" ht="15" customHeight="1" x14ac:dyDescent="0.35">
      <c r="B2184" s="100">
        <f t="shared" si="37"/>
        <v>2146</v>
      </c>
      <c r="C2184" s="162" t="s">
        <v>2885</v>
      </c>
      <c r="D2184" s="163" t="s">
        <v>2886</v>
      </c>
      <c r="E2184" s="99">
        <v>10</v>
      </c>
      <c r="F2184" s="200" t="s">
        <v>2876</v>
      </c>
      <c r="G2184" s="202">
        <v>3.1</v>
      </c>
      <c r="H2184" s="163">
        <v>3.4</v>
      </c>
      <c r="I2184" s="199">
        <v>3.1</v>
      </c>
      <c r="J2184" s="45">
        <v>487</v>
      </c>
      <c r="K2184" s="60"/>
      <c r="L2184" s="60"/>
      <c r="M2184" s="21"/>
      <c r="N2184" s="60"/>
      <c r="O2184" s="21"/>
      <c r="R2184">
        <v>3.1</v>
      </c>
    </row>
    <row r="2185" spans="2:18" ht="15" customHeight="1" x14ac:dyDescent="0.35">
      <c r="B2185" s="100">
        <f t="shared" si="37"/>
        <v>2147</v>
      </c>
      <c r="C2185" s="162" t="s">
        <v>2887</v>
      </c>
      <c r="D2185" s="163" t="s">
        <v>2888</v>
      </c>
      <c r="E2185" s="99">
        <v>10</v>
      </c>
      <c r="F2185" s="200" t="s">
        <v>2876</v>
      </c>
      <c r="G2185" s="202">
        <v>3.1</v>
      </c>
      <c r="H2185" s="163">
        <v>3.35</v>
      </c>
      <c r="I2185" s="199">
        <v>3.1</v>
      </c>
      <c r="J2185" s="45">
        <v>513</v>
      </c>
      <c r="K2185" s="60"/>
      <c r="L2185" s="60"/>
      <c r="M2185" s="21"/>
      <c r="N2185" s="60"/>
      <c r="O2185" s="21"/>
      <c r="R2185">
        <v>3.1</v>
      </c>
    </row>
    <row r="2186" spans="2:18" ht="15" customHeight="1" x14ac:dyDescent="0.35">
      <c r="B2186" s="100">
        <f t="shared" ref="B2186:B2207" si="38">(B2185+1)</f>
        <v>2148</v>
      </c>
      <c r="C2186" s="162" t="s">
        <v>2889</v>
      </c>
      <c r="D2186" s="163" t="s">
        <v>2890</v>
      </c>
      <c r="E2186" s="105">
        <v>9</v>
      </c>
      <c r="F2186" s="200" t="s">
        <v>2876</v>
      </c>
      <c r="G2186" s="201">
        <v>4.0999999999999996</v>
      </c>
      <c r="H2186" s="163">
        <v>2.84</v>
      </c>
      <c r="I2186" s="199">
        <v>4.0999999999999996</v>
      </c>
      <c r="J2186" s="45">
        <v>474</v>
      </c>
      <c r="K2186" s="60"/>
      <c r="L2186" s="60"/>
      <c r="M2186" s="21"/>
      <c r="N2186" s="60"/>
      <c r="O2186" s="21"/>
      <c r="R2186">
        <v>4.0999999999999996</v>
      </c>
    </row>
    <row r="2187" spans="2:18" ht="15" customHeight="1" x14ac:dyDescent="0.35">
      <c r="B2187" s="100">
        <f t="shared" si="38"/>
        <v>2149</v>
      </c>
      <c r="C2187" s="162" t="s">
        <v>2891</v>
      </c>
      <c r="D2187" s="163" t="s">
        <v>2892</v>
      </c>
      <c r="E2187" s="99">
        <v>10</v>
      </c>
      <c r="F2187" s="200" t="s">
        <v>2876</v>
      </c>
      <c r="G2187" s="202">
        <v>3.1</v>
      </c>
      <c r="H2187" s="163">
        <v>3.66</v>
      </c>
      <c r="I2187" s="199">
        <v>3.1</v>
      </c>
      <c r="J2187" s="45">
        <v>473</v>
      </c>
      <c r="K2187" s="60"/>
      <c r="L2187" s="60"/>
      <c r="M2187" s="21"/>
      <c r="N2187" s="60"/>
      <c r="O2187" s="21"/>
      <c r="R2187">
        <v>3.1</v>
      </c>
    </row>
    <row r="2188" spans="2:18" ht="15" customHeight="1" x14ac:dyDescent="0.35">
      <c r="B2188" s="100">
        <f t="shared" si="38"/>
        <v>2150</v>
      </c>
      <c r="C2188" s="162" t="s">
        <v>2893</v>
      </c>
      <c r="D2188" s="163" t="s">
        <v>2894</v>
      </c>
      <c r="E2188" s="99">
        <v>10</v>
      </c>
      <c r="F2188" s="200" t="s">
        <v>2876</v>
      </c>
      <c r="G2188" s="202">
        <v>3.1</v>
      </c>
      <c r="H2188" s="163">
        <v>3.82</v>
      </c>
      <c r="I2188" s="199">
        <v>3.1</v>
      </c>
      <c r="J2188" s="45">
        <v>460</v>
      </c>
      <c r="K2188" s="60"/>
      <c r="L2188" s="60"/>
      <c r="M2188" s="21"/>
      <c r="N2188" s="60"/>
      <c r="O2188" s="21"/>
      <c r="R2188">
        <v>3.1</v>
      </c>
    </row>
    <row r="2189" spans="2:18" ht="15" customHeight="1" x14ac:dyDescent="0.35">
      <c r="B2189" s="100">
        <f t="shared" si="38"/>
        <v>2151</v>
      </c>
      <c r="C2189" s="162" t="s">
        <v>2895</v>
      </c>
      <c r="D2189" s="163" t="s">
        <v>2896</v>
      </c>
      <c r="E2189" s="99">
        <v>10</v>
      </c>
      <c r="F2189" s="200" t="s">
        <v>2876</v>
      </c>
      <c r="G2189" s="202">
        <v>3.1</v>
      </c>
      <c r="H2189" s="163">
        <v>3.51</v>
      </c>
      <c r="I2189" s="199">
        <v>3.1</v>
      </c>
      <c r="J2189" s="45">
        <v>467</v>
      </c>
      <c r="K2189" s="60"/>
      <c r="L2189" s="60"/>
      <c r="M2189" s="21"/>
      <c r="N2189" s="60"/>
      <c r="O2189" s="21"/>
      <c r="R2189">
        <v>3.1</v>
      </c>
    </row>
    <row r="2190" spans="2:18" ht="15" customHeight="1" x14ac:dyDescent="0.35">
      <c r="B2190" s="100">
        <f t="shared" si="38"/>
        <v>2152</v>
      </c>
      <c r="C2190" s="162" t="s">
        <v>2897</v>
      </c>
      <c r="D2190" s="163" t="s">
        <v>2898</v>
      </c>
      <c r="E2190" s="99">
        <v>10</v>
      </c>
      <c r="F2190" s="200" t="s">
        <v>2876</v>
      </c>
      <c r="G2190" s="202">
        <v>3.1</v>
      </c>
      <c r="H2190" s="163">
        <v>3.41</v>
      </c>
      <c r="I2190" s="199">
        <v>3.1</v>
      </c>
      <c r="J2190" s="45">
        <v>493</v>
      </c>
      <c r="K2190" s="60"/>
      <c r="L2190" s="60"/>
      <c r="M2190" s="21"/>
      <c r="N2190" s="60"/>
      <c r="O2190" s="21"/>
      <c r="R2190">
        <v>3.1</v>
      </c>
    </row>
    <row r="2191" spans="2:18" ht="15" customHeight="1" x14ac:dyDescent="0.35">
      <c r="B2191" s="100">
        <f t="shared" si="38"/>
        <v>2153</v>
      </c>
      <c r="C2191" s="162" t="s">
        <v>2899</v>
      </c>
      <c r="D2191" s="163" t="s">
        <v>2900</v>
      </c>
      <c r="E2191" s="99">
        <v>8</v>
      </c>
      <c r="F2191" s="200" t="s">
        <v>2876</v>
      </c>
      <c r="G2191" s="202">
        <v>5.0999999999999996</v>
      </c>
      <c r="H2191" s="163">
        <v>2.9</v>
      </c>
      <c r="I2191" s="199">
        <v>5.0999999999999996</v>
      </c>
      <c r="J2191" s="45">
        <v>450</v>
      </c>
      <c r="K2191" s="60"/>
      <c r="L2191" s="60"/>
      <c r="M2191" s="21"/>
      <c r="N2191" s="60"/>
      <c r="O2191" s="21"/>
      <c r="R2191">
        <v>5.0999999999999996</v>
      </c>
    </row>
    <row r="2192" spans="2:18" ht="15" customHeight="1" x14ac:dyDescent="0.35">
      <c r="B2192" s="100">
        <f t="shared" si="38"/>
        <v>2154</v>
      </c>
      <c r="C2192" s="162" t="s">
        <v>2901</v>
      </c>
      <c r="D2192" s="163" t="s">
        <v>2902</v>
      </c>
      <c r="E2192" s="99">
        <v>10</v>
      </c>
      <c r="F2192" s="200" t="s">
        <v>2876</v>
      </c>
      <c r="G2192" s="202">
        <v>3.1</v>
      </c>
      <c r="H2192" s="163">
        <v>2.97</v>
      </c>
      <c r="I2192" s="199">
        <v>3.1</v>
      </c>
      <c r="J2192" s="45">
        <v>417</v>
      </c>
      <c r="K2192" s="60"/>
      <c r="L2192" s="60"/>
      <c r="M2192" s="21"/>
      <c r="N2192" s="60"/>
      <c r="O2192" s="21"/>
      <c r="R2192">
        <v>3.1</v>
      </c>
    </row>
    <row r="2193" spans="2:18" ht="15" customHeight="1" x14ac:dyDescent="0.35">
      <c r="B2193" s="100">
        <f t="shared" si="38"/>
        <v>2155</v>
      </c>
      <c r="C2193" s="162" t="s">
        <v>2903</v>
      </c>
      <c r="D2193" s="163" t="s">
        <v>2904</v>
      </c>
      <c r="E2193" s="99">
        <v>10</v>
      </c>
      <c r="F2193" s="200" t="s">
        <v>2876</v>
      </c>
      <c r="G2193" s="202">
        <v>3.1</v>
      </c>
      <c r="H2193" s="163">
        <v>3.7</v>
      </c>
      <c r="I2193" s="199">
        <v>3.1</v>
      </c>
      <c r="J2193" s="45">
        <v>427</v>
      </c>
      <c r="K2193" s="60"/>
      <c r="L2193" s="60"/>
      <c r="M2193" s="21"/>
      <c r="N2193" s="60"/>
      <c r="O2193" s="21"/>
      <c r="R2193">
        <v>3.1</v>
      </c>
    </row>
    <row r="2194" spans="2:18" ht="15" customHeight="1" x14ac:dyDescent="0.35">
      <c r="B2194" s="100">
        <f t="shared" si="38"/>
        <v>2156</v>
      </c>
      <c r="C2194" s="162" t="s">
        <v>2905</v>
      </c>
      <c r="D2194" s="163" t="s">
        <v>2906</v>
      </c>
      <c r="E2194" s="105">
        <v>9</v>
      </c>
      <c r="F2194" s="200" t="s">
        <v>2876</v>
      </c>
      <c r="G2194" s="202">
        <v>4.0999999999999996</v>
      </c>
      <c r="H2194" s="163">
        <v>3.04</v>
      </c>
      <c r="I2194" s="199">
        <v>4.0999999999999996</v>
      </c>
      <c r="J2194" s="45">
        <v>490</v>
      </c>
      <c r="K2194" s="60"/>
      <c r="L2194" s="60"/>
      <c r="M2194" s="21"/>
      <c r="N2194" s="60"/>
      <c r="O2194" s="21"/>
      <c r="R2194">
        <v>4.0999999999999996</v>
      </c>
    </row>
    <row r="2195" spans="2:18" ht="15" customHeight="1" x14ac:dyDescent="0.35">
      <c r="B2195" s="100">
        <f t="shared" si="38"/>
        <v>2157</v>
      </c>
      <c r="C2195" s="162" t="s">
        <v>2907</v>
      </c>
      <c r="D2195" s="163" t="s">
        <v>2908</v>
      </c>
      <c r="E2195" s="99">
        <v>10</v>
      </c>
      <c r="F2195" s="200" t="s">
        <v>2876</v>
      </c>
      <c r="G2195" s="202">
        <v>3.1</v>
      </c>
      <c r="H2195" s="163">
        <v>3.6</v>
      </c>
      <c r="I2195" s="199">
        <v>3.1</v>
      </c>
      <c r="J2195" s="45">
        <v>463</v>
      </c>
      <c r="K2195" s="60"/>
      <c r="L2195" s="60"/>
      <c r="M2195" s="21"/>
      <c r="N2195" s="60"/>
      <c r="O2195" s="21"/>
      <c r="R2195">
        <v>3.1</v>
      </c>
    </row>
    <row r="2196" spans="2:18" ht="15" customHeight="1" x14ac:dyDescent="0.35">
      <c r="B2196" s="100">
        <f t="shared" si="38"/>
        <v>2158</v>
      </c>
      <c r="C2196" s="162" t="s">
        <v>2909</v>
      </c>
      <c r="D2196" s="163" t="s">
        <v>2910</v>
      </c>
      <c r="E2196" s="105">
        <v>9</v>
      </c>
      <c r="F2196" s="200" t="s">
        <v>2876</v>
      </c>
      <c r="G2196" s="202">
        <v>4.0999999999999996</v>
      </c>
      <c r="H2196" s="163">
        <v>3.15</v>
      </c>
      <c r="I2196" s="199">
        <v>4.0999999999999996</v>
      </c>
      <c r="J2196" s="45">
        <v>423</v>
      </c>
      <c r="K2196" s="60"/>
      <c r="L2196" s="60"/>
      <c r="M2196" s="21"/>
      <c r="N2196" s="60"/>
      <c r="O2196" s="21"/>
      <c r="R2196">
        <v>4.0999999999999996</v>
      </c>
    </row>
    <row r="2197" spans="2:18" ht="15" customHeight="1" x14ac:dyDescent="0.35">
      <c r="B2197" s="100">
        <f t="shared" si="38"/>
        <v>2159</v>
      </c>
      <c r="C2197" s="162" t="s">
        <v>2911</v>
      </c>
      <c r="D2197" s="163" t="s">
        <v>2912</v>
      </c>
      <c r="E2197" s="105">
        <v>9</v>
      </c>
      <c r="F2197" s="200" t="s">
        <v>2876</v>
      </c>
      <c r="G2197" s="202">
        <v>4.0999999999999996</v>
      </c>
      <c r="H2197" s="163">
        <v>3.05</v>
      </c>
      <c r="I2197" s="199">
        <v>4.0999999999999996</v>
      </c>
      <c r="J2197" s="45">
        <v>497</v>
      </c>
      <c r="K2197" s="60"/>
      <c r="L2197" s="60"/>
      <c r="M2197" s="21"/>
      <c r="N2197" s="60"/>
      <c r="O2197" s="21"/>
      <c r="R2197">
        <v>4.0999999999999996</v>
      </c>
    </row>
    <row r="2198" spans="2:18" ht="15" customHeight="1" x14ac:dyDescent="0.35">
      <c r="B2198" s="100">
        <f t="shared" si="38"/>
        <v>2160</v>
      </c>
      <c r="C2198" s="162" t="s">
        <v>2913</v>
      </c>
      <c r="D2198" s="163" t="s">
        <v>2914</v>
      </c>
      <c r="E2198" s="99">
        <v>10</v>
      </c>
      <c r="F2198" s="200" t="s">
        <v>2876</v>
      </c>
      <c r="G2198" s="202">
        <v>3.1</v>
      </c>
      <c r="H2198" s="163">
        <v>3.41</v>
      </c>
      <c r="I2198" s="199">
        <v>3.1</v>
      </c>
      <c r="J2198" s="45">
        <v>470</v>
      </c>
      <c r="K2198" s="60"/>
      <c r="L2198" s="60"/>
      <c r="M2198" s="21"/>
      <c r="N2198" s="60"/>
      <c r="O2198" s="21"/>
      <c r="R2198">
        <v>3.1</v>
      </c>
    </row>
    <row r="2199" spans="2:18" ht="15" customHeight="1" x14ac:dyDescent="0.35">
      <c r="B2199" s="100">
        <f t="shared" si="38"/>
        <v>2161</v>
      </c>
      <c r="C2199" s="162" t="s">
        <v>2915</v>
      </c>
      <c r="D2199" s="163" t="s">
        <v>2916</v>
      </c>
      <c r="E2199" s="99">
        <v>7</v>
      </c>
      <c r="F2199" s="200" t="s">
        <v>2876</v>
      </c>
      <c r="G2199" s="202">
        <v>6.1</v>
      </c>
      <c r="H2199" s="163">
        <v>2.74</v>
      </c>
      <c r="I2199" s="199">
        <v>6.1</v>
      </c>
      <c r="J2199" s="45">
        <v>510</v>
      </c>
      <c r="K2199" s="60"/>
      <c r="L2199" s="60"/>
      <c r="M2199" s="21"/>
      <c r="N2199" s="60"/>
      <c r="O2199" s="21"/>
      <c r="R2199">
        <v>6.1</v>
      </c>
    </row>
    <row r="2200" spans="2:18" ht="15" customHeight="1" x14ac:dyDescent="0.35">
      <c r="B2200" s="100">
        <f t="shared" si="38"/>
        <v>2162</v>
      </c>
      <c r="C2200" s="162" t="s">
        <v>2917</v>
      </c>
      <c r="D2200" s="163" t="s">
        <v>2918</v>
      </c>
      <c r="E2200" s="99">
        <v>8</v>
      </c>
      <c r="F2200" s="200" t="s">
        <v>2876</v>
      </c>
      <c r="G2200" s="202">
        <v>5.0999999999999996</v>
      </c>
      <c r="H2200" s="163">
        <v>2.59</v>
      </c>
      <c r="I2200" s="199">
        <v>5.0999999999999996</v>
      </c>
      <c r="J2200" s="45">
        <v>440</v>
      </c>
      <c r="K2200" s="60"/>
      <c r="L2200" s="60"/>
      <c r="M2200" s="21"/>
      <c r="N2200" s="60"/>
      <c r="O2200" s="21"/>
      <c r="R2200">
        <v>5.0999999999999996</v>
      </c>
    </row>
    <row r="2201" spans="2:18" ht="15" customHeight="1" x14ac:dyDescent="0.35">
      <c r="B2201" s="100">
        <f t="shared" si="38"/>
        <v>2163</v>
      </c>
      <c r="C2201" s="162" t="s">
        <v>2919</v>
      </c>
      <c r="D2201" s="163" t="s">
        <v>2920</v>
      </c>
      <c r="E2201" s="99">
        <v>10</v>
      </c>
      <c r="F2201" s="200" t="s">
        <v>2876</v>
      </c>
      <c r="G2201" s="202">
        <v>3.1</v>
      </c>
      <c r="H2201" s="163">
        <v>3.63</v>
      </c>
      <c r="I2201" s="199">
        <v>3.1</v>
      </c>
      <c r="J2201" s="45">
        <v>490</v>
      </c>
      <c r="K2201" s="60"/>
      <c r="L2201" s="60"/>
      <c r="M2201" s="21"/>
      <c r="N2201" s="60"/>
      <c r="O2201" s="21"/>
      <c r="R2201">
        <v>3.1</v>
      </c>
    </row>
    <row r="2202" spans="2:18" ht="15" customHeight="1" x14ac:dyDescent="0.35">
      <c r="B2202" s="100">
        <f t="shared" si="38"/>
        <v>2164</v>
      </c>
      <c r="C2202" s="162" t="s">
        <v>2921</v>
      </c>
      <c r="D2202" s="163" t="s">
        <v>2922</v>
      </c>
      <c r="E2202" s="99">
        <v>10</v>
      </c>
      <c r="F2202" s="200" t="s">
        <v>2876</v>
      </c>
      <c r="G2202" s="202">
        <v>3.1</v>
      </c>
      <c r="H2202" s="163">
        <v>3.57</v>
      </c>
      <c r="I2202" s="199">
        <v>3.1</v>
      </c>
      <c r="J2202" s="45">
        <v>443</v>
      </c>
      <c r="K2202" s="60"/>
      <c r="L2202" s="60"/>
      <c r="M2202" s="21"/>
      <c r="N2202" s="60"/>
      <c r="O2202" s="21"/>
      <c r="R2202">
        <v>3.1</v>
      </c>
    </row>
    <row r="2203" spans="2:18" ht="15" customHeight="1" x14ac:dyDescent="0.35">
      <c r="B2203" s="100">
        <f t="shared" si="38"/>
        <v>2165</v>
      </c>
      <c r="C2203" s="162" t="s">
        <v>2923</v>
      </c>
      <c r="D2203" s="163" t="s">
        <v>2924</v>
      </c>
      <c r="E2203" s="99">
        <v>7</v>
      </c>
      <c r="F2203" s="200" t="s">
        <v>2876</v>
      </c>
      <c r="G2203" s="202">
        <v>6.1</v>
      </c>
      <c r="H2203" s="163">
        <v>2.8</v>
      </c>
      <c r="I2203" s="199">
        <v>6.1</v>
      </c>
      <c r="J2203" s="45">
        <v>553</v>
      </c>
      <c r="K2203" s="60"/>
      <c r="L2203" s="60"/>
      <c r="M2203" s="21"/>
      <c r="N2203" s="60"/>
      <c r="O2203" s="21"/>
      <c r="R2203">
        <v>6.1</v>
      </c>
    </row>
    <row r="2204" spans="2:18" ht="15" customHeight="1" x14ac:dyDescent="0.35">
      <c r="B2204" s="100">
        <f t="shared" si="38"/>
        <v>2166</v>
      </c>
      <c r="C2204" s="162" t="s">
        <v>2925</v>
      </c>
      <c r="D2204" s="163" t="s">
        <v>2926</v>
      </c>
      <c r="E2204" s="99">
        <v>7</v>
      </c>
      <c r="F2204" s="200" t="s">
        <v>2876</v>
      </c>
      <c r="G2204" s="202">
        <v>6.1</v>
      </c>
      <c r="H2204" s="163">
        <v>2.3199999999999998</v>
      </c>
      <c r="I2204" s="199">
        <v>6.1</v>
      </c>
      <c r="J2204" s="45">
        <v>420</v>
      </c>
      <c r="K2204" s="60"/>
      <c r="L2204" s="60"/>
      <c r="M2204" s="21"/>
      <c r="N2204" s="60"/>
      <c r="O2204" s="21"/>
      <c r="R2204">
        <v>6.1</v>
      </c>
    </row>
    <row r="2205" spans="2:18" ht="15" customHeight="1" x14ac:dyDescent="0.35">
      <c r="B2205" s="100">
        <f t="shared" si="38"/>
        <v>2167</v>
      </c>
      <c r="C2205" s="162" t="s">
        <v>2927</v>
      </c>
      <c r="D2205" s="163" t="s">
        <v>2928</v>
      </c>
      <c r="E2205" s="105">
        <v>9</v>
      </c>
      <c r="F2205" s="200" t="s">
        <v>2876</v>
      </c>
      <c r="G2205" s="202">
        <v>4.0999999999999996</v>
      </c>
      <c r="H2205" s="163">
        <v>2.31</v>
      </c>
      <c r="I2205" s="199">
        <v>4.0999999999999996</v>
      </c>
      <c r="J2205" s="45">
        <v>473</v>
      </c>
      <c r="K2205" s="60"/>
      <c r="L2205" s="60"/>
      <c r="M2205" s="21"/>
      <c r="N2205" s="60"/>
      <c r="O2205" s="21"/>
      <c r="R2205">
        <v>4.0999999999999996</v>
      </c>
    </row>
    <row r="2206" spans="2:18" ht="15" customHeight="1" x14ac:dyDescent="0.35">
      <c r="B2206" s="100">
        <f t="shared" si="38"/>
        <v>2168</v>
      </c>
      <c r="C2206" s="162" t="s">
        <v>2929</v>
      </c>
      <c r="D2206" s="163" t="s">
        <v>2930</v>
      </c>
      <c r="E2206" s="105">
        <v>9</v>
      </c>
      <c r="F2206" s="200" t="s">
        <v>2876</v>
      </c>
      <c r="G2206" s="202">
        <v>4.0999999999999996</v>
      </c>
      <c r="H2206" s="163">
        <v>3.06</v>
      </c>
      <c r="I2206" s="199">
        <v>4.0999999999999996</v>
      </c>
      <c r="J2206" s="45">
        <v>497</v>
      </c>
      <c r="K2206" s="60"/>
      <c r="L2206" s="60"/>
      <c r="M2206" s="21"/>
      <c r="N2206" s="60"/>
      <c r="O2206" s="21"/>
      <c r="R2206">
        <v>4.0999999999999996</v>
      </c>
    </row>
    <row r="2207" spans="2:18" ht="15" customHeight="1" x14ac:dyDescent="0.35">
      <c r="B2207" s="100">
        <f t="shared" si="38"/>
        <v>2169</v>
      </c>
      <c r="C2207" s="162" t="s">
        <v>2931</v>
      </c>
      <c r="D2207" s="163" t="s">
        <v>2932</v>
      </c>
      <c r="E2207" s="105">
        <v>9</v>
      </c>
      <c r="F2207" s="200" t="s">
        <v>2876</v>
      </c>
      <c r="G2207" s="202">
        <v>4.0999999999999996</v>
      </c>
      <c r="H2207" s="163">
        <v>3.04</v>
      </c>
      <c r="I2207" s="199">
        <v>4.0999999999999996</v>
      </c>
      <c r="J2207" s="45">
        <v>413</v>
      </c>
      <c r="K2207" s="60"/>
      <c r="L2207" s="60"/>
      <c r="M2207" s="21"/>
      <c r="N2207" s="60"/>
      <c r="O2207" s="21"/>
      <c r="R2207">
        <v>4.0999999999999996</v>
      </c>
    </row>
    <row r="2208" spans="2:18" ht="15" customHeight="1" x14ac:dyDescent="0.35">
      <c r="B2208" s="100"/>
      <c r="C2208" s="101"/>
      <c r="D2208" s="99"/>
      <c r="E2208" s="99"/>
      <c r="F2208" s="99"/>
      <c r="G2208" s="99"/>
      <c r="H2208" s="99"/>
      <c r="I2208" s="99"/>
      <c r="J2208" s="20"/>
      <c r="K2208" s="21"/>
      <c r="L2208" s="21"/>
      <c r="M2208" s="21"/>
      <c r="N2208" s="21"/>
      <c r="O2208" s="21"/>
    </row>
    <row r="2209" spans="2:19" ht="15" customHeight="1" x14ac:dyDescent="0.35">
      <c r="B2209" s="100"/>
      <c r="C2209" s="101"/>
      <c r="D2209" s="99"/>
      <c r="E2209" s="99"/>
      <c r="F2209" s="99"/>
      <c r="G2209" s="99"/>
      <c r="H2209" s="99"/>
      <c r="I2209" s="99"/>
      <c r="J2209" s="20"/>
      <c r="K2209" s="21"/>
      <c r="L2209" s="21"/>
      <c r="M2209" s="21"/>
      <c r="N2209" s="21"/>
      <c r="O2209" s="21"/>
    </row>
    <row r="2210" spans="2:19" ht="15" customHeight="1" x14ac:dyDescent="0.35">
      <c r="B2210" s="100"/>
      <c r="C2210" s="101"/>
      <c r="D2210" s="99"/>
      <c r="E2210" s="99"/>
      <c r="F2210" s="99"/>
      <c r="G2210" s="99"/>
      <c r="H2210" s="99"/>
      <c r="I2210" s="99"/>
      <c r="J2210" s="20"/>
      <c r="K2210" s="21"/>
      <c r="L2210" s="21"/>
      <c r="M2210" s="21"/>
      <c r="N2210" s="21"/>
      <c r="O2210" s="21"/>
    </row>
    <row r="2211" spans="2:19" ht="15" customHeight="1" x14ac:dyDescent="0.35">
      <c r="B2211" s="100"/>
      <c r="C2211" s="146" t="s">
        <v>2933</v>
      </c>
      <c r="D2211" s="99"/>
      <c r="E2211" s="141" t="s">
        <v>1822</v>
      </c>
      <c r="F2211" s="147"/>
      <c r="G2211" s="141" t="s">
        <v>2200</v>
      </c>
      <c r="H2211" s="148" t="s">
        <v>6</v>
      </c>
      <c r="I2211" s="100" t="s">
        <v>2200</v>
      </c>
      <c r="J2211" s="42" t="s">
        <v>2201</v>
      </c>
      <c r="K2211" s="42" t="s">
        <v>2934</v>
      </c>
      <c r="L2211" s="21"/>
      <c r="M2211" s="21"/>
      <c r="N2211" s="21"/>
      <c r="O2211" s="21"/>
      <c r="R2211" t="s">
        <v>5043</v>
      </c>
      <c r="S2211" t="s">
        <v>5044</v>
      </c>
    </row>
    <row r="2212" spans="2:19" ht="15" customHeight="1" x14ac:dyDescent="0.35">
      <c r="B2212" s="100">
        <f>(B2207+1)</f>
        <v>2170</v>
      </c>
      <c r="C2212" s="165" t="s">
        <v>2935</v>
      </c>
      <c r="D2212" s="166" t="s">
        <v>2936</v>
      </c>
      <c r="E2212" s="99">
        <v>10</v>
      </c>
      <c r="F2212" s="166" t="s">
        <v>2937</v>
      </c>
      <c r="G2212" s="99">
        <v>4</v>
      </c>
      <c r="H2212" s="166">
        <v>3.54</v>
      </c>
      <c r="I2212" s="203">
        <v>4</v>
      </c>
      <c r="J2212" s="20">
        <v>500</v>
      </c>
      <c r="K2212" s="21"/>
      <c r="L2212" s="38"/>
      <c r="M2212" s="38"/>
      <c r="N2212" s="48"/>
      <c r="O2212" s="21"/>
      <c r="R2212">
        <v>4</v>
      </c>
    </row>
    <row r="2213" spans="2:19" ht="15" customHeight="1" x14ac:dyDescent="0.35">
      <c r="B2213" s="100">
        <f t="shared" ref="B2213:B2276" si="39">(B2212+1)</f>
        <v>2171</v>
      </c>
      <c r="C2213" s="165" t="s">
        <v>2938</v>
      </c>
      <c r="D2213" s="166" t="s">
        <v>2939</v>
      </c>
      <c r="E2213" s="105">
        <v>9</v>
      </c>
      <c r="F2213" s="166" t="s">
        <v>2937</v>
      </c>
      <c r="G2213" s="99">
        <v>5</v>
      </c>
      <c r="H2213" s="166">
        <v>3.02</v>
      </c>
      <c r="I2213" s="203">
        <v>5</v>
      </c>
      <c r="J2213" s="20">
        <v>473</v>
      </c>
      <c r="K2213" s="57"/>
      <c r="L2213" s="29"/>
      <c r="M2213" s="38"/>
      <c r="N2213" s="48"/>
      <c r="O2213" s="21"/>
      <c r="R2213">
        <v>5</v>
      </c>
    </row>
    <row r="2214" spans="2:19" ht="15" customHeight="1" x14ac:dyDescent="0.35">
      <c r="B2214" s="100">
        <f t="shared" si="39"/>
        <v>2172</v>
      </c>
      <c r="C2214" s="165" t="s">
        <v>2940</v>
      </c>
      <c r="D2214" s="166" t="s">
        <v>2941</v>
      </c>
      <c r="E2214" s="105">
        <v>9</v>
      </c>
      <c r="F2214" s="166" t="s">
        <v>2937</v>
      </c>
      <c r="G2214" s="99">
        <v>5</v>
      </c>
      <c r="H2214" s="166">
        <v>3.11</v>
      </c>
      <c r="I2214" s="203">
        <v>5</v>
      </c>
      <c r="J2214" s="20">
        <v>417</v>
      </c>
      <c r="K2214" s="57"/>
      <c r="L2214" s="29"/>
      <c r="M2214" s="38"/>
      <c r="N2214" s="48"/>
      <c r="O2214" s="21"/>
      <c r="R2214">
        <v>5</v>
      </c>
    </row>
    <row r="2215" spans="2:19" ht="15" customHeight="1" x14ac:dyDescent="0.35">
      <c r="B2215" s="100">
        <f t="shared" si="39"/>
        <v>2173</v>
      </c>
      <c r="C2215" s="165" t="s">
        <v>2942</v>
      </c>
      <c r="D2215" s="166" t="s">
        <v>2943</v>
      </c>
      <c r="E2215" s="105">
        <v>9</v>
      </c>
      <c r="F2215" s="166" t="s">
        <v>2944</v>
      </c>
      <c r="G2215" s="99">
        <v>5</v>
      </c>
      <c r="H2215" s="166">
        <v>3.11</v>
      </c>
      <c r="I2215" s="203">
        <v>5</v>
      </c>
      <c r="J2215" s="20">
        <v>467</v>
      </c>
      <c r="K2215" s="57">
        <v>2007</v>
      </c>
      <c r="L2215" s="29">
        <f>COUNTIF(E2212:E2297,"7")</f>
        <v>5</v>
      </c>
      <c r="M2215" s="21"/>
      <c r="N2215" s="48"/>
      <c r="O2215" s="21"/>
      <c r="R2215">
        <v>5</v>
      </c>
    </row>
    <row r="2216" spans="2:19" ht="15" customHeight="1" x14ac:dyDescent="0.35">
      <c r="B2216" s="100">
        <f t="shared" si="39"/>
        <v>2174</v>
      </c>
      <c r="C2216" s="165" t="s">
        <v>2945</v>
      </c>
      <c r="D2216" s="166" t="s">
        <v>2946</v>
      </c>
      <c r="E2216" s="99">
        <v>10</v>
      </c>
      <c r="F2216" s="166" t="s">
        <v>2944</v>
      </c>
      <c r="G2216" s="99">
        <v>4</v>
      </c>
      <c r="H2216" s="166">
        <v>3.53</v>
      </c>
      <c r="I2216" s="203">
        <v>4</v>
      </c>
      <c r="J2216" s="20">
        <v>543</v>
      </c>
      <c r="K2216" s="57">
        <v>2008</v>
      </c>
      <c r="L2216" s="29">
        <f>COUNTIF(E2212:E2297,"8")</f>
        <v>12</v>
      </c>
      <c r="M2216" s="21"/>
      <c r="N2216" s="48"/>
      <c r="O2216" s="21"/>
      <c r="R2216">
        <v>4</v>
      </c>
    </row>
    <row r="2217" spans="2:19" ht="15" customHeight="1" x14ac:dyDescent="0.35">
      <c r="B2217" s="100">
        <f t="shared" si="39"/>
        <v>2175</v>
      </c>
      <c r="C2217" s="165" t="s">
        <v>2947</v>
      </c>
      <c r="D2217" s="166" t="s">
        <v>2948</v>
      </c>
      <c r="E2217" s="99">
        <v>10</v>
      </c>
      <c r="F2217" s="166" t="s">
        <v>2949</v>
      </c>
      <c r="G2217" s="99">
        <v>4.0999999999999996</v>
      </c>
      <c r="H2217" s="166">
        <v>3.58</v>
      </c>
      <c r="I2217" s="203">
        <v>4.0999999999999996</v>
      </c>
      <c r="J2217" s="92">
        <v>437</v>
      </c>
      <c r="K2217" s="57">
        <v>2009</v>
      </c>
      <c r="L2217" s="29">
        <f>COUNTIF(E2212:E2297,"9")</f>
        <v>13</v>
      </c>
      <c r="M2217" s="21"/>
      <c r="N2217" s="48"/>
      <c r="O2217" s="21"/>
      <c r="P2217" s="8"/>
      <c r="Q2217" s="8"/>
      <c r="R2217" s="8">
        <v>4.0999999999999996</v>
      </c>
    </row>
    <row r="2218" spans="2:19" ht="15" customHeight="1" x14ac:dyDescent="0.35">
      <c r="B2218" s="100">
        <f t="shared" si="39"/>
        <v>2176</v>
      </c>
      <c r="C2218" s="165" t="s">
        <v>2950</v>
      </c>
      <c r="D2218" s="166" t="s">
        <v>2951</v>
      </c>
      <c r="E2218" s="99">
        <v>10</v>
      </c>
      <c r="F2218" s="166" t="s">
        <v>2949</v>
      </c>
      <c r="G2218" s="99">
        <v>4.0999999999999996</v>
      </c>
      <c r="H2218" s="166">
        <v>3.74</v>
      </c>
      <c r="I2218" s="203">
        <v>4.0999999999999996</v>
      </c>
      <c r="J2218" s="92">
        <v>517</v>
      </c>
      <c r="K2218" s="57">
        <v>2010</v>
      </c>
      <c r="L2218" s="29">
        <f>COUNTIF(E2212:E2297,"10")</f>
        <v>32</v>
      </c>
      <c r="M2218" s="21"/>
      <c r="N2218" s="48"/>
      <c r="O2218" s="21"/>
      <c r="P2218" s="8"/>
      <c r="Q2218" s="8"/>
      <c r="R2218" s="8">
        <v>4.0999999999999996</v>
      </c>
    </row>
    <row r="2219" spans="2:19" ht="15" customHeight="1" x14ac:dyDescent="0.35">
      <c r="B2219" s="100">
        <f t="shared" si="39"/>
        <v>2177</v>
      </c>
      <c r="C2219" s="165" t="s">
        <v>2952</v>
      </c>
      <c r="D2219" s="166" t="s">
        <v>2953</v>
      </c>
      <c r="E2219" s="99">
        <v>10</v>
      </c>
      <c r="F2219" s="166" t="s">
        <v>2949</v>
      </c>
      <c r="G2219" s="99">
        <v>4.0999999999999996</v>
      </c>
      <c r="H2219" s="166">
        <v>3.37</v>
      </c>
      <c r="I2219" s="203">
        <v>4.0999999999999996</v>
      </c>
      <c r="J2219" s="92">
        <v>620</v>
      </c>
      <c r="K2219" s="57">
        <v>2011</v>
      </c>
      <c r="L2219" s="29">
        <f>COUNTIF(E2212:E2297,"11")</f>
        <v>24</v>
      </c>
      <c r="M2219" s="21"/>
      <c r="N2219" s="48"/>
      <c r="O2219" s="21"/>
      <c r="P2219" s="8"/>
      <c r="Q2219" s="8"/>
      <c r="R2219" s="8">
        <v>4.0999999999999996</v>
      </c>
    </row>
    <row r="2220" spans="2:19" ht="15" customHeight="1" x14ac:dyDescent="0.35">
      <c r="B2220" s="100">
        <f t="shared" si="39"/>
        <v>2178</v>
      </c>
      <c r="C2220" s="165" t="s">
        <v>2954</v>
      </c>
      <c r="D2220" s="166" t="s">
        <v>2955</v>
      </c>
      <c r="E2220" s="99">
        <v>8</v>
      </c>
      <c r="F2220" s="166" t="s">
        <v>2949</v>
      </c>
      <c r="G2220" s="99">
        <v>6.1</v>
      </c>
      <c r="H2220" s="166">
        <v>2.65</v>
      </c>
      <c r="I2220" s="203">
        <v>6.1</v>
      </c>
      <c r="J2220" s="92">
        <v>457</v>
      </c>
      <c r="K2220" s="21"/>
      <c r="L2220" s="21"/>
      <c r="M2220" s="21"/>
      <c r="N2220" s="48"/>
      <c r="O2220" s="21"/>
      <c r="P2220" s="8"/>
      <c r="Q2220" s="8"/>
      <c r="R2220" s="8">
        <v>6.1</v>
      </c>
    </row>
    <row r="2221" spans="2:19" ht="15" customHeight="1" x14ac:dyDescent="0.35">
      <c r="B2221" s="100">
        <f t="shared" si="39"/>
        <v>2179</v>
      </c>
      <c r="C2221" s="165" t="s">
        <v>2956</v>
      </c>
      <c r="D2221" s="166" t="s">
        <v>2957</v>
      </c>
      <c r="E2221" s="99">
        <v>10</v>
      </c>
      <c r="F2221" s="166" t="s">
        <v>2949</v>
      </c>
      <c r="G2221" s="99">
        <v>4.0999999999999996</v>
      </c>
      <c r="H2221" s="166">
        <v>3.53</v>
      </c>
      <c r="I2221" s="203">
        <v>4.0999999999999996</v>
      </c>
      <c r="J2221" s="92">
        <v>483</v>
      </c>
      <c r="K2221" s="21"/>
      <c r="L2221" s="21"/>
      <c r="M2221" s="21"/>
      <c r="N2221" s="48"/>
      <c r="O2221" s="21"/>
      <c r="P2221" s="8"/>
      <c r="Q2221" s="8"/>
      <c r="R2221" s="8">
        <v>4.0999999999999996</v>
      </c>
    </row>
    <row r="2222" spans="2:19" ht="15" customHeight="1" x14ac:dyDescent="0.35">
      <c r="B2222" s="100">
        <f t="shared" si="39"/>
        <v>2180</v>
      </c>
      <c r="C2222" s="165" t="s">
        <v>2958</v>
      </c>
      <c r="D2222" s="166" t="s">
        <v>2959</v>
      </c>
      <c r="E2222" s="105">
        <v>9</v>
      </c>
      <c r="F2222" s="166" t="s">
        <v>2949</v>
      </c>
      <c r="G2222" s="99">
        <v>5.0999999999999996</v>
      </c>
      <c r="H2222" s="166">
        <v>2.83</v>
      </c>
      <c r="I2222" s="203">
        <v>5.0999999999999996</v>
      </c>
      <c r="J2222" s="92">
        <v>483</v>
      </c>
      <c r="K2222" s="42" t="s">
        <v>2310</v>
      </c>
      <c r="L2222" s="29">
        <f>SUM(L2215:L2219)</f>
        <v>86</v>
      </c>
      <c r="M2222" s="21"/>
      <c r="N2222" s="48"/>
      <c r="O2222" s="21"/>
      <c r="P2222" s="8"/>
      <c r="Q2222" s="8"/>
      <c r="R2222" s="8">
        <v>5.0999999999999996</v>
      </c>
    </row>
    <row r="2223" spans="2:19" ht="15" customHeight="1" x14ac:dyDescent="0.35">
      <c r="B2223" s="100">
        <f t="shared" si="39"/>
        <v>2181</v>
      </c>
      <c r="C2223" s="165" t="s">
        <v>2960</v>
      </c>
      <c r="D2223" s="166" t="s">
        <v>2961</v>
      </c>
      <c r="E2223" s="99">
        <v>10</v>
      </c>
      <c r="F2223" s="166" t="s">
        <v>2949</v>
      </c>
      <c r="G2223" s="99">
        <v>4.0999999999999996</v>
      </c>
      <c r="H2223" s="166">
        <v>3.19</v>
      </c>
      <c r="I2223" s="203">
        <v>4.0999999999999996</v>
      </c>
      <c r="J2223" s="92">
        <v>447</v>
      </c>
      <c r="K2223" s="29" t="s">
        <v>2528</v>
      </c>
      <c r="L2223" s="21"/>
      <c r="M2223" s="29">
        <f>COUNTIF(G2212:G2297,"&lt;=5")-COUNTIF(G2212:G2297,"&lt;3")</f>
        <v>60</v>
      </c>
      <c r="N2223" s="48"/>
      <c r="O2223" s="21"/>
      <c r="P2223" s="8"/>
      <c r="Q2223" s="8"/>
      <c r="R2223" s="8">
        <v>4.0999999999999996</v>
      </c>
    </row>
    <row r="2224" spans="2:19" ht="15" customHeight="1" x14ac:dyDescent="0.35">
      <c r="B2224" s="100">
        <f t="shared" si="39"/>
        <v>2182</v>
      </c>
      <c r="C2224" s="165" t="s">
        <v>2962</v>
      </c>
      <c r="D2224" s="166" t="s">
        <v>2963</v>
      </c>
      <c r="E2224" s="105">
        <v>9</v>
      </c>
      <c r="F2224" s="166" t="s">
        <v>2949</v>
      </c>
      <c r="G2224" s="99">
        <v>5.0999999999999996</v>
      </c>
      <c r="H2224" s="166">
        <v>2.74</v>
      </c>
      <c r="I2224" s="203">
        <v>5.0999999999999996</v>
      </c>
      <c r="J2224" s="92">
        <v>467</v>
      </c>
      <c r="K2224" s="29" t="s">
        <v>1798</v>
      </c>
      <c r="L2224" s="29"/>
      <c r="M2224" s="34">
        <f>SUM(G2212:G2297)/L2222</f>
        <v>4.5372093023255911</v>
      </c>
      <c r="N2224" s="48"/>
      <c r="O2224" s="21"/>
      <c r="P2224" s="8"/>
      <c r="Q2224" s="8"/>
      <c r="R2224" s="8">
        <v>5.0999999999999996</v>
      </c>
    </row>
    <row r="2225" spans="2:18" ht="15" customHeight="1" x14ac:dyDescent="0.35">
      <c r="B2225" s="100">
        <f t="shared" si="39"/>
        <v>2183</v>
      </c>
      <c r="C2225" s="165" t="s">
        <v>2964</v>
      </c>
      <c r="D2225" s="166" t="s">
        <v>2965</v>
      </c>
      <c r="E2225" s="105">
        <v>9</v>
      </c>
      <c r="F2225" s="166" t="s">
        <v>2949</v>
      </c>
      <c r="G2225" s="99">
        <v>5.0999999999999996</v>
      </c>
      <c r="H2225" s="166">
        <v>2.4500000000000002</v>
      </c>
      <c r="I2225" s="203">
        <v>5.0999999999999996</v>
      </c>
      <c r="J2225" s="92">
        <v>457</v>
      </c>
      <c r="K2225" s="29" t="s">
        <v>1801</v>
      </c>
      <c r="L2225" s="29"/>
      <c r="M2225" s="34">
        <f>SUM(I2212:I2297)/L2222</f>
        <v>4.5372093023255911</v>
      </c>
      <c r="N2225" s="48"/>
      <c r="O2225" s="21"/>
      <c r="P2225" s="8"/>
      <c r="Q2225" s="8"/>
      <c r="R2225" s="8">
        <v>5.0999999999999996</v>
      </c>
    </row>
    <row r="2226" spans="2:18" ht="15" customHeight="1" x14ac:dyDescent="0.35">
      <c r="B2226" s="100">
        <f t="shared" si="39"/>
        <v>2184</v>
      </c>
      <c r="C2226" s="165" t="s">
        <v>2966</v>
      </c>
      <c r="D2226" s="166" t="s">
        <v>2967</v>
      </c>
      <c r="E2226" s="99">
        <v>10</v>
      </c>
      <c r="F2226" s="166" t="s">
        <v>2949</v>
      </c>
      <c r="G2226" s="99">
        <v>4.0999999999999996</v>
      </c>
      <c r="H2226" s="166">
        <v>3.3</v>
      </c>
      <c r="I2226" s="203">
        <v>4.0999999999999996</v>
      </c>
      <c r="J2226" s="92">
        <v>457</v>
      </c>
      <c r="K2226" s="29" t="s">
        <v>1804</v>
      </c>
      <c r="L2226" s="29"/>
      <c r="M2226" s="30">
        <f>MIN(H2212:H2297)</f>
        <v>2.0499999999999998</v>
      </c>
      <c r="N2226" s="48"/>
      <c r="O2226" s="21"/>
      <c r="P2226" s="8"/>
      <c r="Q2226" s="8"/>
      <c r="R2226" s="8">
        <v>4.0999999999999996</v>
      </c>
    </row>
    <row r="2227" spans="2:18" ht="15" customHeight="1" x14ac:dyDescent="0.35">
      <c r="B2227" s="100">
        <f t="shared" si="39"/>
        <v>2185</v>
      </c>
      <c r="C2227" s="165" t="s">
        <v>2968</v>
      </c>
      <c r="D2227" s="166" t="s">
        <v>2969</v>
      </c>
      <c r="E2227" s="99">
        <v>10</v>
      </c>
      <c r="F2227" s="166" t="s">
        <v>2949</v>
      </c>
      <c r="G2227" s="99">
        <v>4.0999999999999996</v>
      </c>
      <c r="H2227" s="166">
        <v>3.63</v>
      </c>
      <c r="I2227" s="203">
        <v>4.0999999999999996</v>
      </c>
      <c r="J2227" s="92">
        <v>470</v>
      </c>
      <c r="K2227" s="29" t="s">
        <v>1807</v>
      </c>
      <c r="L2227" s="29"/>
      <c r="M2227" s="30">
        <f>SUM(H2212:H2297)/L2222</f>
        <v>3.1095348837209298</v>
      </c>
      <c r="N2227" s="48"/>
      <c r="O2227" s="21"/>
      <c r="P2227" s="8"/>
      <c r="Q2227" s="8"/>
      <c r="R2227" s="8">
        <v>4.0999999999999996</v>
      </c>
    </row>
    <row r="2228" spans="2:18" ht="15" customHeight="1" x14ac:dyDescent="0.35">
      <c r="B2228" s="100">
        <f t="shared" si="39"/>
        <v>2186</v>
      </c>
      <c r="C2228" s="165" t="s">
        <v>2970</v>
      </c>
      <c r="D2228" s="166" t="s">
        <v>2971</v>
      </c>
      <c r="E2228" s="99">
        <v>8</v>
      </c>
      <c r="F2228" s="166" t="s">
        <v>2949</v>
      </c>
      <c r="G2228" s="99">
        <v>6.1</v>
      </c>
      <c r="H2228" s="166">
        <v>2.2999999999999998</v>
      </c>
      <c r="I2228" s="203">
        <v>6.1</v>
      </c>
      <c r="J2228" s="92">
        <v>470</v>
      </c>
      <c r="K2228" s="29" t="s">
        <v>1810</v>
      </c>
      <c r="L2228" s="29"/>
      <c r="M2228" s="30">
        <f>MAX(H2214:H2297)</f>
        <v>3.77</v>
      </c>
      <c r="N2228" s="48"/>
      <c r="O2228" s="21"/>
      <c r="P2228" s="8"/>
      <c r="Q2228" s="8"/>
      <c r="R2228" s="8">
        <v>6.1</v>
      </c>
    </row>
    <row r="2229" spans="2:18" ht="15" customHeight="1" x14ac:dyDescent="0.35">
      <c r="B2229" s="100">
        <f t="shared" si="39"/>
        <v>2187</v>
      </c>
      <c r="C2229" s="194" t="s">
        <v>2972</v>
      </c>
      <c r="D2229" s="195" t="s">
        <v>2973</v>
      </c>
      <c r="E2229" s="105">
        <v>9</v>
      </c>
      <c r="F2229" s="195" t="s">
        <v>2876</v>
      </c>
      <c r="G2229" s="129">
        <v>4.0999999999999996</v>
      </c>
      <c r="H2229" s="195">
        <v>2.42</v>
      </c>
      <c r="I2229" s="204">
        <v>4.0999999999999996</v>
      </c>
      <c r="J2229" s="93">
        <v>530</v>
      </c>
      <c r="K2229" s="29" t="s">
        <v>1813</v>
      </c>
      <c r="L2229" s="29">
        <f>COUNTIF(H2212:H2297,"&lt;2.75")</f>
        <v>0</v>
      </c>
      <c r="M2229" s="30" t="e">
        <f>(L2229/L2232)*100</f>
        <v>#DIV/0!</v>
      </c>
      <c r="N2229" s="62"/>
      <c r="O2229" s="21"/>
      <c r="R2229">
        <v>4.0999999999999996</v>
      </c>
    </row>
    <row r="2230" spans="2:18" ht="15" customHeight="1" x14ac:dyDescent="0.35">
      <c r="B2230" s="100">
        <f t="shared" si="39"/>
        <v>2188</v>
      </c>
      <c r="C2230" s="194" t="s">
        <v>2974</v>
      </c>
      <c r="D2230" s="195" t="s">
        <v>2975</v>
      </c>
      <c r="E2230" s="99">
        <v>10</v>
      </c>
      <c r="F2230" s="195" t="s">
        <v>2876</v>
      </c>
      <c r="G2230" s="129">
        <v>3.1</v>
      </c>
      <c r="H2230" s="195">
        <v>3.59</v>
      </c>
      <c r="I2230" s="204">
        <v>3.1</v>
      </c>
      <c r="J2230" s="93">
        <v>470</v>
      </c>
      <c r="K2230" s="29" t="s">
        <v>1816</v>
      </c>
      <c r="L2230" s="40">
        <f>COUNTIF(H2212:H2297,"&lt;3.50")-COUNTIF(H2212:H2297,"&lt;2.75")</f>
        <v>0</v>
      </c>
      <c r="M2230" s="30" t="e">
        <f>(L2230/L2232)*100</f>
        <v>#DIV/0!</v>
      </c>
      <c r="N2230" s="63"/>
      <c r="O2230" s="21"/>
      <c r="R2230">
        <v>3.1</v>
      </c>
    </row>
    <row r="2231" spans="2:18" ht="15" customHeight="1" x14ac:dyDescent="0.35">
      <c r="B2231" s="100">
        <f t="shared" si="39"/>
        <v>2189</v>
      </c>
      <c r="C2231" s="194" t="s">
        <v>2976</v>
      </c>
      <c r="D2231" s="195" t="s">
        <v>2977</v>
      </c>
      <c r="E2231" s="105">
        <v>9</v>
      </c>
      <c r="F2231" s="195" t="s">
        <v>2978</v>
      </c>
      <c r="G2231" s="99">
        <v>5.2</v>
      </c>
      <c r="H2231" s="195">
        <v>2.59</v>
      </c>
      <c r="I2231" s="204">
        <v>5.2</v>
      </c>
      <c r="J2231" s="93">
        <v>460</v>
      </c>
      <c r="K2231" s="29" t="s">
        <v>1819</v>
      </c>
      <c r="L2231" s="29">
        <f>COUNTIF(H2212:H2297,"&gt;3.50")</f>
        <v>0</v>
      </c>
      <c r="M2231" s="30" t="e">
        <f>(L2231/L2232)*100</f>
        <v>#DIV/0!</v>
      </c>
      <c r="N2231" s="58"/>
      <c r="O2231" s="21"/>
      <c r="R2231">
        <v>5.2</v>
      </c>
    </row>
    <row r="2232" spans="2:18" ht="15" customHeight="1" x14ac:dyDescent="0.35">
      <c r="B2232" s="100">
        <f t="shared" si="39"/>
        <v>2190</v>
      </c>
      <c r="C2232" s="194" t="s">
        <v>2979</v>
      </c>
      <c r="D2232" s="195" t="s">
        <v>2980</v>
      </c>
      <c r="E2232" s="99">
        <v>10</v>
      </c>
      <c r="F2232" s="195" t="s">
        <v>2978</v>
      </c>
      <c r="G2232" s="99">
        <v>4.2</v>
      </c>
      <c r="H2232" s="195">
        <v>3.57</v>
      </c>
      <c r="I2232" s="204">
        <v>4.2</v>
      </c>
      <c r="J2232" s="93">
        <v>487</v>
      </c>
      <c r="K2232" s="29" t="s">
        <v>1820</v>
      </c>
      <c r="L2232" s="29">
        <f>SUM(L2229:L2231)</f>
        <v>0</v>
      </c>
      <c r="M2232" s="29"/>
      <c r="N2232" s="58"/>
      <c r="O2232" s="21"/>
      <c r="R2232">
        <v>4.2</v>
      </c>
    </row>
    <row r="2233" spans="2:18" ht="15" customHeight="1" x14ac:dyDescent="0.35">
      <c r="B2233" s="100">
        <f t="shared" si="39"/>
        <v>2191</v>
      </c>
      <c r="C2233" s="194" t="s">
        <v>2981</v>
      </c>
      <c r="D2233" s="195" t="s">
        <v>2982</v>
      </c>
      <c r="E2233" s="99">
        <v>10</v>
      </c>
      <c r="F2233" s="195" t="s">
        <v>2978</v>
      </c>
      <c r="G2233" s="99">
        <v>4.2</v>
      </c>
      <c r="H2233" s="195">
        <v>3.54</v>
      </c>
      <c r="I2233" s="204">
        <v>4.2</v>
      </c>
      <c r="J2233" s="93">
        <v>510</v>
      </c>
      <c r="K2233" s="21"/>
      <c r="L2233" s="21"/>
      <c r="M2233" s="21"/>
      <c r="N2233" s="58"/>
      <c r="O2233" s="21"/>
      <c r="R2233">
        <v>4.2</v>
      </c>
    </row>
    <row r="2234" spans="2:18" ht="15" customHeight="1" x14ac:dyDescent="0.35">
      <c r="B2234" s="100">
        <f t="shared" si="39"/>
        <v>2192</v>
      </c>
      <c r="C2234" s="194" t="s">
        <v>2983</v>
      </c>
      <c r="D2234" s="195" t="s">
        <v>2984</v>
      </c>
      <c r="E2234" s="99">
        <v>7</v>
      </c>
      <c r="F2234" s="195" t="s">
        <v>2978</v>
      </c>
      <c r="G2234" s="99">
        <v>7.2</v>
      </c>
      <c r="H2234" s="195">
        <v>2.19</v>
      </c>
      <c r="I2234" s="204">
        <v>7.2</v>
      </c>
      <c r="J2234" s="93">
        <v>474</v>
      </c>
      <c r="K2234" s="21"/>
      <c r="L2234" s="21"/>
      <c r="M2234" s="21"/>
      <c r="N2234" s="58"/>
      <c r="O2234" s="21"/>
      <c r="R2234">
        <v>7.2</v>
      </c>
    </row>
    <row r="2235" spans="2:18" ht="15" customHeight="1" x14ac:dyDescent="0.35">
      <c r="B2235" s="100">
        <f t="shared" si="39"/>
        <v>2193</v>
      </c>
      <c r="C2235" s="194" t="s">
        <v>2985</v>
      </c>
      <c r="D2235" s="195" t="s">
        <v>2986</v>
      </c>
      <c r="E2235" s="99">
        <v>7</v>
      </c>
      <c r="F2235" s="195" t="s">
        <v>2987</v>
      </c>
      <c r="G2235" s="99">
        <v>7.3</v>
      </c>
      <c r="H2235" s="195">
        <v>2.66</v>
      </c>
      <c r="I2235" s="204">
        <v>7.3</v>
      </c>
      <c r="J2235" s="93">
        <v>419</v>
      </c>
      <c r="K2235" s="46" t="s">
        <v>2336</v>
      </c>
      <c r="L2235" s="29" t="e">
        <f>SUM(J2212:J2321)/L2232</f>
        <v>#DIV/0!</v>
      </c>
      <c r="M2235" s="59"/>
      <c r="N2235" s="58"/>
      <c r="O2235" s="21"/>
      <c r="R2235">
        <v>7.3</v>
      </c>
    </row>
    <row r="2236" spans="2:18" ht="15" customHeight="1" x14ac:dyDescent="0.35">
      <c r="B2236" s="100">
        <f t="shared" si="39"/>
        <v>2194</v>
      </c>
      <c r="C2236" s="194" t="s">
        <v>2988</v>
      </c>
      <c r="D2236" s="195" t="s">
        <v>2989</v>
      </c>
      <c r="E2236" s="99">
        <v>7</v>
      </c>
      <c r="F2236" s="195" t="s">
        <v>2990</v>
      </c>
      <c r="G2236" s="99">
        <v>7.4</v>
      </c>
      <c r="H2236" s="195">
        <v>2.64</v>
      </c>
      <c r="I2236" s="204">
        <v>7.4</v>
      </c>
      <c r="J2236" s="93">
        <v>487</v>
      </c>
      <c r="K2236" s="19" t="s">
        <v>2339</v>
      </c>
      <c r="L2236" s="29">
        <f>MIN(J2212:J2297)</f>
        <v>400</v>
      </c>
      <c r="M2236" s="21"/>
      <c r="N2236" s="58"/>
      <c r="O2236" s="21"/>
      <c r="R2236">
        <v>7.4</v>
      </c>
    </row>
    <row r="2237" spans="2:18" ht="15" customHeight="1" x14ac:dyDescent="0.35">
      <c r="B2237" s="100">
        <f t="shared" si="39"/>
        <v>2195</v>
      </c>
      <c r="C2237" s="194" t="s">
        <v>2991</v>
      </c>
      <c r="D2237" s="195" t="s">
        <v>2992</v>
      </c>
      <c r="E2237" s="99">
        <v>7</v>
      </c>
      <c r="F2237" s="195" t="s">
        <v>2990</v>
      </c>
      <c r="G2237" s="99">
        <v>7.4</v>
      </c>
      <c r="H2237" s="195">
        <v>2.37</v>
      </c>
      <c r="I2237" s="204">
        <v>7.4</v>
      </c>
      <c r="J2237" s="93">
        <v>427</v>
      </c>
      <c r="K2237" s="19" t="s">
        <v>2340</v>
      </c>
      <c r="L2237" s="29">
        <f>MAX(J2212:J2297)</f>
        <v>620</v>
      </c>
      <c r="M2237" s="21"/>
      <c r="N2237" s="58"/>
      <c r="O2237" s="21"/>
      <c r="R2237">
        <v>7.4</v>
      </c>
    </row>
    <row r="2238" spans="2:18" ht="15" customHeight="1" x14ac:dyDescent="0.35">
      <c r="B2238" s="100">
        <f t="shared" si="39"/>
        <v>2196</v>
      </c>
      <c r="C2238" s="194" t="s">
        <v>2993</v>
      </c>
      <c r="D2238" s="195" t="s">
        <v>2994</v>
      </c>
      <c r="E2238" s="99">
        <v>7</v>
      </c>
      <c r="F2238" s="195" t="s">
        <v>2990</v>
      </c>
      <c r="G2238" s="99">
        <v>7.4</v>
      </c>
      <c r="H2238" s="195">
        <v>3.18</v>
      </c>
      <c r="I2238" s="204">
        <v>7.4</v>
      </c>
      <c r="J2238" s="93">
        <v>457</v>
      </c>
      <c r="K2238" s="21"/>
      <c r="L2238" s="21"/>
      <c r="M2238" s="21"/>
      <c r="N2238" s="58"/>
      <c r="O2238" s="21"/>
      <c r="R2238">
        <v>7.4</v>
      </c>
    </row>
    <row r="2239" spans="2:18" ht="15" customHeight="1" x14ac:dyDescent="0.35">
      <c r="B2239" s="100">
        <f t="shared" si="39"/>
        <v>2197</v>
      </c>
      <c r="C2239" s="194" t="s">
        <v>2995</v>
      </c>
      <c r="D2239" s="195" t="s">
        <v>2996</v>
      </c>
      <c r="E2239" s="99">
        <v>8</v>
      </c>
      <c r="F2239" s="195" t="s">
        <v>2990</v>
      </c>
      <c r="G2239" s="99">
        <v>6.4</v>
      </c>
      <c r="H2239" s="195">
        <v>2.27</v>
      </c>
      <c r="I2239" s="204">
        <v>6.4</v>
      </c>
      <c r="J2239" s="93">
        <v>403</v>
      </c>
      <c r="K2239" s="21"/>
      <c r="L2239" s="21"/>
      <c r="M2239" s="21"/>
      <c r="N2239" s="58"/>
      <c r="O2239" s="21"/>
      <c r="R2239">
        <v>6.4</v>
      </c>
    </row>
    <row r="2240" spans="2:18" ht="15" customHeight="1" x14ac:dyDescent="0.35">
      <c r="B2240" s="100">
        <f t="shared" si="39"/>
        <v>2198</v>
      </c>
      <c r="C2240" s="194" t="s">
        <v>2997</v>
      </c>
      <c r="D2240" s="195" t="s">
        <v>2998</v>
      </c>
      <c r="E2240" s="99">
        <v>8</v>
      </c>
      <c r="F2240" s="195" t="s">
        <v>2990</v>
      </c>
      <c r="G2240" s="99">
        <v>6.4</v>
      </c>
      <c r="H2240" s="195">
        <v>2.21</v>
      </c>
      <c r="I2240" s="204">
        <v>6.4</v>
      </c>
      <c r="J2240" s="93">
        <v>427</v>
      </c>
      <c r="K2240" s="21"/>
      <c r="L2240" s="21"/>
      <c r="M2240" s="21"/>
      <c r="N2240" s="58"/>
      <c r="O2240" s="21"/>
      <c r="R2240">
        <v>6.4</v>
      </c>
    </row>
    <row r="2241" spans="2:18" ht="15" customHeight="1" x14ac:dyDescent="0.35">
      <c r="B2241" s="100">
        <f t="shared" si="39"/>
        <v>2199</v>
      </c>
      <c r="C2241" s="194" t="s">
        <v>2999</v>
      </c>
      <c r="D2241" s="195" t="s">
        <v>3000</v>
      </c>
      <c r="E2241" s="99">
        <v>8</v>
      </c>
      <c r="F2241" s="195" t="s">
        <v>2990</v>
      </c>
      <c r="G2241" s="99">
        <v>6.4</v>
      </c>
      <c r="H2241" s="195">
        <v>2.4500000000000002</v>
      </c>
      <c r="I2241" s="204">
        <v>6.4</v>
      </c>
      <c r="J2241" s="93">
        <v>437</v>
      </c>
      <c r="K2241" s="21"/>
      <c r="L2241" s="21"/>
      <c r="M2241" s="21"/>
      <c r="N2241" s="58"/>
      <c r="O2241" s="21"/>
      <c r="R2241">
        <v>6.4</v>
      </c>
    </row>
    <row r="2242" spans="2:18" ht="15" customHeight="1" x14ac:dyDescent="0.35">
      <c r="B2242" s="100">
        <f t="shared" si="39"/>
        <v>2200</v>
      </c>
      <c r="C2242" s="194" t="s">
        <v>3001</v>
      </c>
      <c r="D2242" s="195" t="s">
        <v>3002</v>
      </c>
      <c r="E2242" s="99">
        <v>8</v>
      </c>
      <c r="F2242" s="195" t="s">
        <v>2990</v>
      </c>
      <c r="G2242" s="99">
        <v>6.4</v>
      </c>
      <c r="H2242" s="195">
        <v>2.0499999999999998</v>
      </c>
      <c r="I2242" s="204">
        <v>6.4</v>
      </c>
      <c r="J2242" s="93">
        <v>443</v>
      </c>
      <c r="K2242" s="21"/>
      <c r="L2242" s="21"/>
      <c r="M2242" s="21"/>
      <c r="N2242" s="58"/>
      <c r="O2242" s="21"/>
      <c r="R2242">
        <v>6.4</v>
      </c>
    </row>
    <row r="2243" spans="2:18" ht="15" customHeight="1" x14ac:dyDescent="0.35">
      <c r="B2243" s="100">
        <f t="shared" si="39"/>
        <v>2201</v>
      </c>
      <c r="C2243" s="194" t="s">
        <v>3003</v>
      </c>
      <c r="D2243" s="195" t="s">
        <v>3004</v>
      </c>
      <c r="E2243" s="105">
        <v>9</v>
      </c>
      <c r="F2243" s="195" t="s">
        <v>2990</v>
      </c>
      <c r="G2243" s="99">
        <v>5.4</v>
      </c>
      <c r="H2243" s="195">
        <v>2.83</v>
      </c>
      <c r="I2243" s="204">
        <v>5.4</v>
      </c>
      <c r="J2243" s="93">
        <v>517</v>
      </c>
      <c r="K2243" s="21"/>
      <c r="L2243" s="21"/>
      <c r="M2243" s="21"/>
      <c r="N2243" s="58"/>
      <c r="O2243" s="21"/>
      <c r="R2243">
        <v>5.4</v>
      </c>
    </row>
    <row r="2244" spans="2:18" ht="15" customHeight="1" x14ac:dyDescent="0.35">
      <c r="B2244" s="100">
        <f t="shared" si="39"/>
        <v>2202</v>
      </c>
      <c r="C2244" s="194" t="s">
        <v>3005</v>
      </c>
      <c r="D2244" s="195" t="s">
        <v>3006</v>
      </c>
      <c r="E2244" s="105">
        <v>9</v>
      </c>
      <c r="F2244" s="195" t="s">
        <v>2990</v>
      </c>
      <c r="G2244" s="99">
        <v>5.4</v>
      </c>
      <c r="H2244" s="195">
        <v>2.5499999999999998</v>
      </c>
      <c r="I2244" s="204">
        <v>5.4</v>
      </c>
      <c r="J2244" s="93">
        <v>427</v>
      </c>
      <c r="K2244" s="21"/>
      <c r="L2244" s="21"/>
      <c r="M2244" s="21"/>
      <c r="N2244" s="58"/>
      <c r="O2244" s="21"/>
      <c r="R2244">
        <v>5.4</v>
      </c>
    </row>
    <row r="2245" spans="2:18" ht="15" customHeight="1" x14ac:dyDescent="0.35">
      <c r="B2245" s="100">
        <f t="shared" si="39"/>
        <v>2203</v>
      </c>
      <c r="C2245" s="194" t="s">
        <v>3007</v>
      </c>
      <c r="D2245" s="195" t="s">
        <v>3008</v>
      </c>
      <c r="E2245" s="99">
        <v>10</v>
      </c>
      <c r="F2245" s="195" t="s">
        <v>2990</v>
      </c>
      <c r="G2245" s="99">
        <v>4.4000000000000004</v>
      </c>
      <c r="H2245" s="195">
        <v>2.85</v>
      </c>
      <c r="I2245" s="204">
        <v>4.4000000000000004</v>
      </c>
      <c r="J2245" s="93">
        <v>463</v>
      </c>
      <c r="K2245" s="21"/>
      <c r="L2245" s="21"/>
      <c r="M2245" s="21"/>
      <c r="N2245" s="58"/>
      <c r="O2245" s="21"/>
      <c r="R2245">
        <v>4.4000000000000004</v>
      </c>
    </row>
    <row r="2246" spans="2:18" ht="15" customHeight="1" x14ac:dyDescent="0.35">
      <c r="B2246" s="100">
        <f t="shared" si="39"/>
        <v>2204</v>
      </c>
      <c r="C2246" s="194" t="s">
        <v>3009</v>
      </c>
      <c r="D2246" s="195" t="s">
        <v>3010</v>
      </c>
      <c r="E2246" s="99">
        <v>10</v>
      </c>
      <c r="F2246" s="195" t="s">
        <v>2990</v>
      </c>
      <c r="G2246" s="99">
        <v>4.4000000000000004</v>
      </c>
      <c r="H2246" s="195">
        <v>3.2</v>
      </c>
      <c r="I2246" s="204">
        <v>4.4000000000000004</v>
      </c>
      <c r="J2246" s="93">
        <v>470</v>
      </c>
      <c r="K2246" s="21"/>
      <c r="L2246" s="21"/>
      <c r="M2246" s="21"/>
      <c r="N2246" s="58"/>
      <c r="O2246" s="21"/>
      <c r="R2246">
        <v>4.4000000000000004</v>
      </c>
    </row>
    <row r="2247" spans="2:18" ht="15" customHeight="1" x14ac:dyDescent="0.35">
      <c r="B2247" s="100">
        <f t="shared" si="39"/>
        <v>2205</v>
      </c>
      <c r="C2247" s="194" t="s">
        <v>3011</v>
      </c>
      <c r="D2247" s="195" t="s">
        <v>3012</v>
      </c>
      <c r="E2247" s="99">
        <v>10</v>
      </c>
      <c r="F2247" s="195" t="s">
        <v>2990</v>
      </c>
      <c r="G2247" s="99">
        <v>4.4000000000000004</v>
      </c>
      <c r="H2247" s="195">
        <v>3.61</v>
      </c>
      <c r="I2247" s="204">
        <v>4.4000000000000004</v>
      </c>
      <c r="J2247" s="93">
        <v>503</v>
      </c>
      <c r="K2247" s="21"/>
      <c r="L2247" s="21"/>
      <c r="M2247" s="21"/>
      <c r="N2247" s="58"/>
      <c r="O2247" s="21"/>
      <c r="R2247">
        <v>4.4000000000000004</v>
      </c>
    </row>
    <row r="2248" spans="2:18" ht="15" customHeight="1" x14ac:dyDescent="0.35">
      <c r="B2248" s="100">
        <f t="shared" si="39"/>
        <v>2206</v>
      </c>
      <c r="C2248" s="194" t="s">
        <v>3013</v>
      </c>
      <c r="D2248" s="195" t="s">
        <v>3014</v>
      </c>
      <c r="E2248" s="99">
        <v>10</v>
      </c>
      <c r="F2248" s="195" t="s">
        <v>2990</v>
      </c>
      <c r="G2248" s="99">
        <v>4.4000000000000004</v>
      </c>
      <c r="H2248" s="195">
        <v>3.24</v>
      </c>
      <c r="I2248" s="204">
        <v>4.4000000000000004</v>
      </c>
      <c r="J2248" s="93">
        <v>477</v>
      </c>
      <c r="K2248" s="21"/>
      <c r="L2248" s="21"/>
      <c r="M2248" s="21"/>
      <c r="N2248" s="58"/>
      <c r="O2248" s="21"/>
      <c r="R2248">
        <v>4.4000000000000004</v>
      </c>
    </row>
    <row r="2249" spans="2:18" ht="15" customHeight="1" x14ac:dyDescent="0.35">
      <c r="B2249" s="100">
        <f t="shared" si="39"/>
        <v>2207</v>
      </c>
      <c r="C2249" s="194" t="s">
        <v>3015</v>
      </c>
      <c r="D2249" s="195" t="s">
        <v>3016</v>
      </c>
      <c r="E2249" s="99">
        <v>10</v>
      </c>
      <c r="F2249" s="195" t="s">
        <v>2990</v>
      </c>
      <c r="G2249" s="99">
        <v>4.4000000000000004</v>
      </c>
      <c r="H2249" s="195">
        <v>3.51</v>
      </c>
      <c r="I2249" s="204">
        <v>4.4000000000000004</v>
      </c>
      <c r="J2249" s="93">
        <v>460</v>
      </c>
      <c r="K2249" s="21"/>
      <c r="L2249" s="21"/>
      <c r="M2249" s="21"/>
      <c r="N2249" s="58"/>
      <c r="O2249" s="21"/>
      <c r="R2249">
        <v>4.4000000000000004</v>
      </c>
    </row>
    <row r="2250" spans="2:18" ht="15" customHeight="1" x14ac:dyDescent="0.35">
      <c r="B2250" s="100">
        <f t="shared" si="39"/>
        <v>2208</v>
      </c>
      <c r="C2250" s="194" t="s">
        <v>3017</v>
      </c>
      <c r="D2250" s="195" t="s">
        <v>3018</v>
      </c>
      <c r="E2250" s="99">
        <v>10</v>
      </c>
      <c r="F2250" s="195" t="s">
        <v>2990</v>
      </c>
      <c r="G2250" s="99">
        <v>4.4000000000000004</v>
      </c>
      <c r="H2250" s="195">
        <v>3.16</v>
      </c>
      <c r="I2250" s="204">
        <v>4.4000000000000004</v>
      </c>
      <c r="J2250" s="93">
        <v>557</v>
      </c>
      <c r="K2250" s="21"/>
      <c r="L2250" s="21"/>
      <c r="M2250" s="21"/>
      <c r="N2250" s="58"/>
      <c r="O2250" s="21"/>
      <c r="R2250">
        <v>4.4000000000000004</v>
      </c>
    </row>
    <row r="2251" spans="2:18" ht="15" customHeight="1" x14ac:dyDescent="0.35">
      <c r="B2251" s="100">
        <f t="shared" si="39"/>
        <v>2209</v>
      </c>
      <c r="C2251" s="194" t="s">
        <v>3019</v>
      </c>
      <c r="D2251" s="195" t="s">
        <v>3020</v>
      </c>
      <c r="E2251" s="99">
        <v>10</v>
      </c>
      <c r="F2251" s="195" t="s">
        <v>2990</v>
      </c>
      <c r="G2251" s="99">
        <v>4.4000000000000004</v>
      </c>
      <c r="H2251" s="195">
        <v>3.53</v>
      </c>
      <c r="I2251" s="204">
        <v>4.4000000000000004</v>
      </c>
      <c r="J2251" s="93">
        <v>493</v>
      </c>
      <c r="K2251" s="21"/>
      <c r="L2251" s="21"/>
      <c r="M2251" s="21"/>
      <c r="N2251" s="58"/>
      <c r="O2251" s="21"/>
      <c r="R2251">
        <v>4.4000000000000004</v>
      </c>
    </row>
    <row r="2252" spans="2:18" ht="15" customHeight="1" x14ac:dyDescent="0.35">
      <c r="B2252" s="100">
        <f t="shared" si="39"/>
        <v>2210</v>
      </c>
      <c r="C2252" s="194" t="s">
        <v>3021</v>
      </c>
      <c r="D2252" s="195" t="s">
        <v>3022</v>
      </c>
      <c r="E2252" s="99">
        <v>10</v>
      </c>
      <c r="F2252" s="195" t="s">
        <v>2990</v>
      </c>
      <c r="G2252" s="99">
        <v>4.4000000000000004</v>
      </c>
      <c r="H2252" s="195">
        <v>3.12</v>
      </c>
      <c r="I2252" s="204">
        <v>4.4000000000000004</v>
      </c>
      <c r="J2252" s="93">
        <v>477</v>
      </c>
      <c r="K2252" s="21"/>
      <c r="L2252" s="21"/>
      <c r="M2252" s="21"/>
      <c r="N2252" s="58"/>
      <c r="O2252" s="21"/>
      <c r="R2252">
        <v>4.4000000000000004</v>
      </c>
    </row>
    <row r="2253" spans="2:18" ht="15" customHeight="1" x14ac:dyDescent="0.35">
      <c r="B2253" s="100">
        <f t="shared" si="39"/>
        <v>2211</v>
      </c>
      <c r="C2253" s="194" t="s">
        <v>3023</v>
      </c>
      <c r="D2253" s="195" t="s">
        <v>3024</v>
      </c>
      <c r="E2253" s="99">
        <v>10</v>
      </c>
      <c r="F2253" s="195" t="s">
        <v>2990</v>
      </c>
      <c r="G2253" s="99">
        <v>4.4000000000000004</v>
      </c>
      <c r="H2253" s="195">
        <v>3.11</v>
      </c>
      <c r="I2253" s="204">
        <v>4.4000000000000004</v>
      </c>
      <c r="J2253" s="93">
        <v>463</v>
      </c>
      <c r="K2253" s="21"/>
      <c r="L2253" s="21"/>
      <c r="M2253" s="21"/>
      <c r="N2253" s="58"/>
      <c r="O2253" s="21"/>
      <c r="R2253">
        <v>4.4000000000000004</v>
      </c>
    </row>
    <row r="2254" spans="2:18" ht="15" customHeight="1" x14ac:dyDescent="0.35">
      <c r="B2254" s="100">
        <f t="shared" si="39"/>
        <v>2212</v>
      </c>
      <c r="C2254" s="194" t="s">
        <v>3025</v>
      </c>
      <c r="D2254" s="195" t="s">
        <v>3026</v>
      </c>
      <c r="E2254" s="99">
        <v>10</v>
      </c>
      <c r="F2254" s="195" t="s">
        <v>2990</v>
      </c>
      <c r="G2254" s="99">
        <v>4.4000000000000004</v>
      </c>
      <c r="H2254" s="195">
        <v>3.15</v>
      </c>
      <c r="I2254" s="204">
        <v>4.4000000000000004</v>
      </c>
      <c r="J2254" s="93">
        <v>460</v>
      </c>
      <c r="K2254" s="21"/>
      <c r="L2254" s="21"/>
      <c r="M2254" s="21"/>
      <c r="N2254" s="58"/>
      <c r="O2254" s="21"/>
      <c r="R2254">
        <v>4.4000000000000004</v>
      </c>
    </row>
    <row r="2255" spans="2:18" ht="15" customHeight="1" x14ac:dyDescent="0.35">
      <c r="B2255" s="100">
        <f t="shared" si="39"/>
        <v>2213</v>
      </c>
      <c r="C2255" s="194" t="s">
        <v>3027</v>
      </c>
      <c r="D2255" s="195" t="s">
        <v>3028</v>
      </c>
      <c r="E2255" s="99">
        <v>10</v>
      </c>
      <c r="F2255" s="195" t="s">
        <v>2990</v>
      </c>
      <c r="G2255" s="99">
        <v>4.4000000000000004</v>
      </c>
      <c r="H2255" s="195">
        <v>3.33</v>
      </c>
      <c r="I2255" s="204">
        <v>4.4000000000000004</v>
      </c>
      <c r="J2255" s="93">
        <v>470</v>
      </c>
      <c r="K2255" s="21"/>
      <c r="L2255" s="21"/>
      <c r="M2255" s="21"/>
      <c r="N2255" s="58"/>
      <c r="O2255" s="21"/>
      <c r="R2255">
        <v>4.4000000000000004</v>
      </c>
    </row>
    <row r="2256" spans="2:18" ht="15" customHeight="1" x14ac:dyDescent="0.35">
      <c r="B2256" s="100">
        <f t="shared" si="39"/>
        <v>2214</v>
      </c>
      <c r="C2256" s="194" t="s">
        <v>3029</v>
      </c>
      <c r="D2256" s="195" t="s">
        <v>3030</v>
      </c>
      <c r="E2256" s="105">
        <v>9</v>
      </c>
      <c r="F2256" s="195" t="s">
        <v>3031</v>
      </c>
      <c r="G2256" s="99">
        <v>5.5</v>
      </c>
      <c r="H2256" s="195">
        <v>2.78</v>
      </c>
      <c r="I2256" s="204">
        <v>5.5</v>
      </c>
      <c r="J2256" s="93">
        <v>497</v>
      </c>
      <c r="K2256" s="21"/>
      <c r="L2256" s="21"/>
      <c r="M2256" s="21"/>
      <c r="N2256" s="58"/>
      <c r="O2256" s="21"/>
      <c r="R2256">
        <v>5.5</v>
      </c>
    </row>
    <row r="2257" spans="2:18" ht="15" customHeight="1" x14ac:dyDescent="0.35">
      <c r="B2257" s="100">
        <f t="shared" si="39"/>
        <v>2215</v>
      </c>
      <c r="C2257" s="194" t="s">
        <v>3032</v>
      </c>
      <c r="D2257" s="195" t="s">
        <v>3033</v>
      </c>
      <c r="E2257" s="99">
        <v>10</v>
      </c>
      <c r="F2257" s="195" t="s">
        <v>3031</v>
      </c>
      <c r="G2257" s="99">
        <v>4.5</v>
      </c>
      <c r="H2257" s="195">
        <v>3.3</v>
      </c>
      <c r="I2257" s="204">
        <v>4.5</v>
      </c>
      <c r="J2257" s="93">
        <v>500</v>
      </c>
      <c r="K2257" s="21"/>
      <c r="L2257" s="21"/>
      <c r="M2257" s="21"/>
      <c r="N2257" s="58"/>
      <c r="O2257" s="21"/>
      <c r="R2257">
        <v>4.5</v>
      </c>
    </row>
    <row r="2258" spans="2:18" ht="15" customHeight="1" x14ac:dyDescent="0.35">
      <c r="B2258" s="100">
        <f t="shared" si="39"/>
        <v>2216</v>
      </c>
      <c r="C2258" s="194" t="s">
        <v>3034</v>
      </c>
      <c r="D2258" s="195" t="s">
        <v>3035</v>
      </c>
      <c r="E2258" s="99">
        <v>8</v>
      </c>
      <c r="F2258" s="195" t="s">
        <v>3036</v>
      </c>
      <c r="G2258" s="99">
        <v>6.6</v>
      </c>
      <c r="H2258" s="195">
        <v>2.95</v>
      </c>
      <c r="I2258" s="204">
        <v>6.6</v>
      </c>
      <c r="J2258" s="93">
        <v>463</v>
      </c>
      <c r="K2258" s="21"/>
      <c r="L2258" s="21"/>
      <c r="M2258" s="21"/>
      <c r="N2258" s="58"/>
      <c r="O2258" s="21"/>
      <c r="R2258">
        <v>6.6</v>
      </c>
    </row>
    <row r="2259" spans="2:18" ht="15" customHeight="1" x14ac:dyDescent="0.35">
      <c r="B2259" s="100">
        <f t="shared" si="39"/>
        <v>2217</v>
      </c>
      <c r="C2259" s="194" t="s">
        <v>3037</v>
      </c>
      <c r="D2259" s="195" t="s">
        <v>3038</v>
      </c>
      <c r="E2259" s="99">
        <v>10</v>
      </c>
      <c r="F2259" s="195" t="s">
        <v>3039</v>
      </c>
      <c r="G2259" s="99">
        <v>4.7</v>
      </c>
      <c r="H2259" s="195">
        <v>3.11</v>
      </c>
      <c r="I2259" s="204">
        <v>4.7</v>
      </c>
      <c r="J2259" s="93">
        <v>493</v>
      </c>
      <c r="K2259" s="21"/>
      <c r="L2259" s="21"/>
      <c r="M2259" s="21"/>
      <c r="N2259" s="58"/>
      <c r="O2259" s="21"/>
      <c r="R2259">
        <v>4.7</v>
      </c>
    </row>
    <row r="2260" spans="2:18" ht="15" customHeight="1" x14ac:dyDescent="0.35">
      <c r="B2260" s="100">
        <f t="shared" si="39"/>
        <v>2218</v>
      </c>
      <c r="C2260" s="194" t="s">
        <v>3040</v>
      </c>
      <c r="D2260" s="195" t="s">
        <v>3041</v>
      </c>
      <c r="E2260" s="99">
        <v>8</v>
      </c>
      <c r="F2260" s="195" t="s">
        <v>3031</v>
      </c>
      <c r="G2260" s="99">
        <v>6.5</v>
      </c>
      <c r="H2260" s="195">
        <v>2.34</v>
      </c>
      <c r="I2260" s="204">
        <v>6.5</v>
      </c>
      <c r="J2260" s="93">
        <v>417</v>
      </c>
      <c r="K2260" s="21"/>
      <c r="L2260" s="21"/>
      <c r="M2260" s="21"/>
      <c r="N2260" s="58"/>
      <c r="O2260" s="21"/>
      <c r="R2260">
        <v>6.5</v>
      </c>
    </row>
    <row r="2261" spans="2:18" ht="15" customHeight="1" x14ac:dyDescent="0.35">
      <c r="B2261" s="100">
        <f t="shared" si="39"/>
        <v>2219</v>
      </c>
      <c r="C2261" s="194" t="s">
        <v>3042</v>
      </c>
      <c r="D2261" s="195" t="s">
        <v>3043</v>
      </c>
      <c r="E2261" s="99">
        <v>10</v>
      </c>
      <c r="F2261" s="195" t="s">
        <v>3039</v>
      </c>
      <c r="G2261" s="99">
        <v>4.7</v>
      </c>
      <c r="H2261" s="195">
        <v>2.95</v>
      </c>
      <c r="I2261" s="204">
        <v>4.7</v>
      </c>
      <c r="J2261" s="93">
        <v>453</v>
      </c>
      <c r="K2261" s="21"/>
      <c r="L2261" s="21"/>
      <c r="M2261" s="21"/>
      <c r="N2261" s="58"/>
      <c r="O2261" s="21"/>
      <c r="R2261">
        <v>4.7</v>
      </c>
    </row>
    <row r="2262" spans="2:18" ht="15" customHeight="1" x14ac:dyDescent="0.35">
      <c r="B2262" s="100">
        <f t="shared" si="39"/>
        <v>2220</v>
      </c>
      <c r="C2262" s="194" t="s">
        <v>3044</v>
      </c>
      <c r="D2262" s="195" t="s">
        <v>3045</v>
      </c>
      <c r="E2262" s="99">
        <v>8</v>
      </c>
      <c r="F2262" s="195" t="s">
        <v>3046</v>
      </c>
      <c r="G2262" s="99">
        <v>6.6</v>
      </c>
      <c r="H2262" s="195">
        <v>3.06</v>
      </c>
      <c r="I2262" s="204">
        <v>6.6</v>
      </c>
      <c r="J2262" s="93">
        <v>487</v>
      </c>
      <c r="K2262" s="21"/>
      <c r="L2262" s="21"/>
      <c r="M2262" s="21"/>
      <c r="N2262" s="58"/>
      <c r="O2262" s="21"/>
      <c r="R2262">
        <v>6.6</v>
      </c>
    </row>
    <row r="2263" spans="2:18" ht="15" customHeight="1" x14ac:dyDescent="0.35">
      <c r="B2263" s="100">
        <f t="shared" si="39"/>
        <v>2221</v>
      </c>
      <c r="C2263" s="194" t="s">
        <v>3047</v>
      </c>
      <c r="D2263" s="195" t="s">
        <v>3048</v>
      </c>
      <c r="E2263" s="99">
        <v>10</v>
      </c>
      <c r="F2263" s="195" t="s">
        <v>3049</v>
      </c>
      <c r="G2263" s="99">
        <v>4.8</v>
      </c>
      <c r="H2263" s="195">
        <v>3.08</v>
      </c>
      <c r="I2263" s="204">
        <v>4.8</v>
      </c>
      <c r="J2263" s="93">
        <v>520</v>
      </c>
      <c r="K2263" s="21"/>
      <c r="L2263" s="21"/>
      <c r="M2263" s="21"/>
      <c r="N2263" s="58"/>
      <c r="O2263" s="21"/>
      <c r="R2263">
        <v>4.8</v>
      </c>
    </row>
    <row r="2264" spans="2:18" ht="15" customHeight="1" x14ac:dyDescent="0.35">
      <c r="B2264" s="100">
        <f t="shared" si="39"/>
        <v>2222</v>
      </c>
      <c r="C2264" s="194" t="s">
        <v>3050</v>
      </c>
      <c r="D2264" s="195" t="s">
        <v>3051</v>
      </c>
      <c r="E2264" s="105">
        <v>9</v>
      </c>
      <c r="F2264" s="195" t="s">
        <v>3049</v>
      </c>
      <c r="G2264" s="99">
        <v>5.8</v>
      </c>
      <c r="H2264" s="195">
        <v>2.81</v>
      </c>
      <c r="I2264" s="204">
        <v>5.8</v>
      </c>
      <c r="J2264" s="93">
        <v>533</v>
      </c>
      <c r="K2264" s="21"/>
      <c r="L2264" s="21"/>
      <c r="M2264" s="21"/>
      <c r="N2264" s="58"/>
      <c r="O2264" s="21"/>
      <c r="R2264">
        <v>5.8</v>
      </c>
    </row>
    <row r="2265" spans="2:18" ht="15" customHeight="1" x14ac:dyDescent="0.35">
      <c r="B2265" s="100">
        <f t="shared" si="39"/>
        <v>2223</v>
      </c>
      <c r="C2265" s="194" t="s">
        <v>3052</v>
      </c>
      <c r="D2265" s="195" t="s">
        <v>3053</v>
      </c>
      <c r="E2265" s="99">
        <v>10</v>
      </c>
      <c r="F2265" s="195" t="s">
        <v>3049</v>
      </c>
      <c r="G2265" s="99">
        <v>4.8</v>
      </c>
      <c r="H2265" s="195">
        <v>3.43</v>
      </c>
      <c r="I2265" s="204">
        <v>4.8</v>
      </c>
      <c r="J2265" s="93">
        <v>487</v>
      </c>
      <c r="K2265" s="21"/>
      <c r="L2265" s="21"/>
      <c r="M2265" s="21"/>
      <c r="N2265" s="58"/>
      <c r="O2265" s="21"/>
      <c r="R2265">
        <v>4.8</v>
      </c>
    </row>
    <row r="2266" spans="2:18" ht="15" customHeight="1" x14ac:dyDescent="0.35">
      <c r="B2266" s="100">
        <f t="shared" si="39"/>
        <v>2224</v>
      </c>
      <c r="C2266" s="205" t="s">
        <v>3054</v>
      </c>
      <c r="D2266" s="206" t="s">
        <v>3055</v>
      </c>
      <c r="E2266" s="99">
        <v>10</v>
      </c>
      <c r="F2266" s="206" t="s">
        <v>3056</v>
      </c>
      <c r="G2266" s="129">
        <v>4.0999999999999996</v>
      </c>
      <c r="H2266" s="206">
        <v>3.14</v>
      </c>
      <c r="I2266" s="207">
        <v>4.0999999999999996</v>
      </c>
      <c r="J2266" s="93">
        <v>563</v>
      </c>
      <c r="K2266" s="64">
        <v>58.75</v>
      </c>
      <c r="L2266" s="21"/>
      <c r="M2266" s="21"/>
      <c r="N2266" s="65"/>
      <c r="O2266" s="21"/>
      <c r="R2266">
        <v>4.0999999999999996</v>
      </c>
    </row>
    <row r="2267" spans="2:18" ht="15" customHeight="1" x14ac:dyDescent="0.35">
      <c r="B2267" s="100">
        <f t="shared" si="39"/>
        <v>2225</v>
      </c>
      <c r="C2267" s="205" t="s">
        <v>3057</v>
      </c>
      <c r="D2267" s="206" t="s">
        <v>3058</v>
      </c>
      <c r="E2267" s="99">
        <v>11</v>
      </c>
      <c r="F2267" s="206" t="s">
        <v>3056</v>
      </c>
      <c r="G2267" s="129">
        <v>3.1</v>
      </c>
      <c r="H2267" s="206">
        <v>3.35</v>
      </c>
      <c r="I2267" s="207">
        <v>3.1</v>
      </c>
      <c r="J2267" s="93">
        <v>413</v>
      </c>
      <c r="K2267" s="64">
        <v>53.75</v>
      </c>
      <c r="L2267" s="21"/>
      <c r="M2267" s="21"/>
      <c r="N2267" s="65"/>
      <c r="O2267" s="21"/>
      <c r="R2267">
        <v>3.1</v>
      </c>
    </row>
    <row r="2268" spans="2:18" ht="15" customHeight="1" x14ac:dyDescent="0.35">
      <c r="B2268" s="100">
        <f t="shared" si="39"/>
        <v>2226</v>
      </c>
      <c r="C2268" s="205" t="s">
        <v>3059</v>
      </c>
      <c r="D2268" s="206" t="s">
        <v>3060</v>
      </c>
      <c r="E2268" s="99">
        <v>10</v>
      </c>
      <c r="F2268" s="206" t="s">
        <v>3056</v>
      </c>
      <c r="G2268" s="129">
        <v>4.0999999999999996</v>
      </c>
      <c r="H2268" s="206">
        <v>3.06</v>
      </c>
      <c r="I2268" s="207">
        <v>4.0999999999999996</v>
      </c>
      <c r="J2268" s="93">
        <v>470</v>
      </c>
      <c r="K2268" s="64">
        <v>50.1</v>
      </c>
      <c r="L2268" s="21"/>
      <c r="M2268" s="21"/>
      <c r="N2268" s="65"/>
      <c r="O2268" s="21"/>
      <c r="R2268">
        <v>4.0999999999999996</v>
      </c>
    </row>
    <row r="2269" spans="2:18" ht="15" customHeight="1" x14ac:dyDescent="0.35">
      <c r="B2269" s="100">
        <f t="shared" si="39"/>
        <v>2227</v>
      </c>
      <c r="C2269" s="205" t="s">
        <v>3061</v>
      </c>
      <c r="D2269" s="206" t="s">
        <v>3062</v>
      </c>
      <c r="E2269" s="99">
        <v>10</v>
      </c>
      <c r="F2269" s="206" t="s">
        <v>3056</v>
      </c>
      <c r="G2269" s="129">
        <v>4.0999999999999996</v>
      </c>
      <c r="H2269" s="206">
        <v>2.93</v>
      </c>
      <c r="I2269" s="207">
        <v>4.0999999999999996</v>
      </c>
      <c r="J2269" s="93">
        <v>460</v>
      </c>
      <c r="K2269" s="64">
        <v>77.5</v>
      </c>
      <c r="L2269" s="21"/>
      <c r="M2269" s="21"/>
      <c r="N2269" s="65"/>
      <c r="O2269" s="21"/>
      <c r="R2269">
        <v>4.0999999999999996</v>
      </c>
    </row>
    <row r="2270" spans="2:18" ht="15" customHeight="1" x14ac:dyDescent="0.35">
      <c r="B2270" s="100">
        <f t="shared" si="39"/>
        <v>2228</v>
      </c>
      <c r="C2270" s="205" t="s">
        <v>3063</v>
      </c>
      <c r="D2270" s="206" t="s">
        <v>3064</v>
      </c>
      <c r="E2270" s="99">
        <v>11</v>
      </c>
      <c r="F2270" s="206" t="s">
        <v>3056</v>
      </c>
      <c r="G2270" s="129">
        <v>3.1</v>
      </c>
      <c r="H2270" s="153">
        <v>3.77</v>
      </c>
      <c r="I2270" s="207">
        <v>3.1</v>
      </c>
      <c r="J2270" s="93">
        <v>503</v>
      </c>
      <c r="K2270" s="64" t="s">
        <v>3065</v>
      </c>
      <c r="L2270" s="21"/>
      <c r="M2270" s="21"/>
      <c r="N2270" s="65"/>
      <c r="O2270" s="21"/>
      <c r="R2270">
        <v>3.1</v>
      </c>
    </row>
    <row r="2271" spans="2:18" ht="15" customHeight="1" x14ac:dyDescent="0.35">
      <c r="B2271" s="100">
        <f t="shared" si="39"/>
        <v>2229</v>
      </c>
      <c r="C2271" s="205" t="s">
        <v>3066</v>
      </c>
      <c r="D2271" s="206" t="s">
        <v>3067</v>
      </c>
      <c r="E2271" s="99">
        <v>11</v>
      </c>
      <c r="F2271" s="206" t="s">
        <v>3056</v>
      </c>
      <c r="G2271" s="129">
        <v>3.1</v>
      </c>
      <c r="H2271" s="153">
        <v>3.34</v>
      </c>
      <c r="I2271" s="207">
        <v>3.1</v>
      </c>
      <c r="J2271" s="93">
        <v>453</v>
      </c>
      <c r="K2271" s="64" t="s">
        <v>3068</v>
      </c>
      <c r="L2271" s="21"/>
      <c r="M2271" s="21"/>
      <c r="N2271" s="65"/>
      <c r="O2271" s="21"/>
      <c r="R2271">
        <v>3.1</v>
      </c>
    </row>
    <row r="2272" spans="2:18" ht="15" customHeight="1" x14ac:dyDescent="0.35">
      <c r="B2272" s="100">
        <f t="shared" si="39"/>
        <v>2230</v>
      </c>
      <c r="C2272" s="205" t="s">
        <v>3069</v>
      </c>
      <c r="D2272" s="206" t="s">
        <v>3070</v>
      </c>
      <c r="E2272" s="99">
        <v>11</v>
      </c>
      <c r="F2272" s="206" t="s">
        <v>3056</v>
      </c>
      <c r="G2272" s="129">
        <v>3.1</v>
      </c>
      <c r="H2272" s="153">
        <v>3.31</v>
      </c>
      <c r="I2272" s="207">
        <v>3.1</v>
      </c>
      <c r="J2272" s="93">
        <v>450</v>
      </c>
      <c r="K2272" s="64">
        <v>61.25</v>
      </c>
      <c r="L2272" s="21"/>
      <c r="M2272" s="21"/>
      <c r="N2272" s="65"/>
      <c r="O2272" s="21"/>
      <c r="R2272">
        <v>3.1</v>
      </c>
    </row>
    <row r="2273" spans="2:18" ht="15" customHeight="1" x14ac:dyDescent="0.35">
      <c r="B2273" s="100">
        <f t="shared" si="39"/>
        <v>2231</v>
      </c>
      <c r="C2273" s="205" t="s">
        <v>3071</v>
      </c>
      <c r="D2273" s="206" t="s">
        <v>3072</v>
      </c>
      <c r="E2273" s="99">
        <v>11</v>
      </c>
      <c r="F2273" s="206" t="s">
        <v>3056</v>
      </c>
      <c r="G2273" s="129">
        <v>3.1</v>
      </c>
      <c r="H2273" s="153">
        <v>3.53</v>
      </c>
      <c r="I2273" s="207">
        <v>3.1</v>
      </c>
      <c r="J2273" s="93">
        <v>427</v>
      </c>
      <c r="K2273" s="64" t="s">
        <v>3073</v>
      </c>
      <c r="L2273" s="21"/>
      <c r="M2273" s="21"/>
      <c r="N2273" s="65"/>
      <c r="O2273" s="21"/>
      <c r="R2273">
        <v>3.1</v>
      </c>
    </row>
    <row r="2274" spans="2:18" ht="15" customHeight="1" x14ac:dyDescent="0.35">
      <c r="B2274" s="100">
        <f t="shared" si="39"/>
        <v>2232</v>
      </c>
      <c r="C2274" s="205" t="s">
        <v>3074</v>
      </c>
      <c r="D2274" s="206" t="s">
        <v>3075</v>
      </c>
      <c r="E2274" s="99">
        <v>11</v>
      </c>
      <c r="F2274" s="206" t="s">
        <v>3056</v>
      </c>
      <c r="G2274" s="129">
        <v>3.1</v>
      </c>
      <c r="H2274" s="153">
        <v>3.52</v>
      </c>
      <c r="I2274" s="207">
        <v>3.1</v>
      </c>
      <c r="J2274" s="93">
        <v>450</v>
      </c>
      <c r="K2274" s="64">
        <v>51.25</v>
      </c>
      <c r="L2274" s="21"/>
      <c r="M2274" s="21"/>
      <c r="N2274" s="65"/>
      <c r="O2274" s="21"/>
      <c r="R2274">
        <v>3.1</v>
      </c>
    </row>
    <row r="2275" spans="2:18" ht="15" customHeight="1" x14ac:dyDescent="0.35">
      <c r="B2275" s="100">
        <f t="shared" si="39"/>
        <v>2233</v>
      </c>
      <c r="C2275" s="205" t="s">
        <v>3076</v>
      </c>
      <c r="D2275" s="206" t="s">
        <v>3077</v>
      </c>
      <c r="E2275" s="99">
        <v>11</v>
      </c>
      <c r="F2275" s="206" t="s">
        <v>3056</v>
      </c>
      <c r="G2275" s="129">
        <v>3.1</v>
      </c>
      <c r="H2275" s="153">
        <v>3.54</v>
      </c>
      <c r="I2275" s="207">
        <v>3.1</v>
      </c>
      <c r="J2275" s="93">
        <v>477</v>
      </c>
      <c r="K2275" s="64">
        <v>53.75</v>
      </c>
      <c r="L2275" s="21"/>
      <c r="M2275" s="21"/>
      <c r="N2275" s="65"/>
      <c r="O2275" s="21"/>
      <c r="R2275">
        <v>3.1</v>
      </c>
    </row>
    <row r="2276" spans="2:18" ht="15" customHeight="1" x14ac:dyDescent="0.35">
      <c r="B2276" s="100">
        <f t="shared" si="39"/>
        <v>2234</v>
      </c>
      <c r="C2276" s="205" t="s">
        <v>3078</v>
      </c>
      <c r="D2276" s="206" t="s">
        <v>3079</v>
      </c>
      <c r="E2276" s="99">
        <v>8</v>
      </c>
      <c r="F2276" s="206" t="s">
        <v>3056</v>
      </c>
      <c r="G2276" s="129">
        <v>6.1</v>
      </c>
      <c r="H2276" s="153">
        <v>2.4500000000000002</v>
      </c>
      <c r="I2276" s="207">
        <v>6.1</v>
      </c>
      <c r="J2276" s="93">
        <v>500</v>
      </c>
      <c r="K2276" s="64">
        <v>51.25</v>
      </c>
      <c r="L2276" s="21"/>
      <c r="M2276" s="21"/>
      <c r="N2276" s="65"/>
      <c r="O2276" s="21"/>
      <c r="R2276">
        <v>6.1</v>
      </c>
    </row>
    <row r="2277" spans="2:18" ht="15" customHeight="1" x14ac:dyDescent="0.35">
      <c r="B2277" s="100">
        <f t="shared" ref="B2277:B2340" si="40">(B2276+1)</f>
        <v>2235</v>
      </c>
      <c r="C2277" s="205" t="s">
        <v>3080</v>
      </c>
      <c r="D2277" s="206" t="s">
        <v>3081</v>
      </c>
      <c r="E2277" s="99">
        <v>11</v>
      </c>
      <c r="F2277" s="206" t="s">
        <v>3056</v>
      </c>
      <c r="G2277" s="129">
        <v>3.1</v>
      </c>
      <c r="H2277" s="153">
        <v>3.39</v>
      </c>
      <c r="I2277" s="207">
        <v>3.1</v>
      </c>
      <c r="J2277" s="93">
        <v>487</v>
      </c>
      <c r="K2277" s="64" t="s">
        <v>3065</v>
      </c>
      <c r="L2277" s="21"/>
      <c r="M2277" s="21"/>
      <c r="N2277" s="65"/>
      <c r="O2277" s="21"/>
      <c r="R2277">
        <v>3.1</v>
      </c>
    </row>
    <row r="2278" spans="2:18" ht="15" customHeight="1" x14ac:dyDescent="0.35">
      <c r="B2278" s="100">
        <f t="shared" si="40"/>
        <v>2236</v>
      </c>
      <c r="C2278" s="205" t="s">
        <v>3082</v>
      </c>
      <c r="D2278" s="206" t="s">
        <v>3083</v>
      </c>
      <c r="E2278" s="99">
        <v>10</v>
      </c>
      <c r="F2278" s="206" t="s">
        <v>3056</v>
      </c>
      <c r="G2278" s="129">
        <v>4.0999999999999996</v>
      </c>
      <c r="H2278" s="153">
        <v>3.06</v>
      </c>
      <c r="I2278" s="207">
        <v>4.0999999999999996</v>
      </c>
      <c r="J2278" s="93">
        <v>473</v>
      </c>
      <c r="K2278" s="64">
        <v>51.25</v>
      </c>
      <c r="L2278" s="21"/>
      <c r="M2278" s="21"/>
      <c r="N2278" s="65"/>
      <c r="O2278" s="21"/>
      <c r="R2278">
        <v>4.0999999999999996</v>
      </c>
    </row>
    <row r="2279" spans="2:18" ht="15" customHeight="1" x14ac:dyDescent="0.35">
      <c r="B2279" s="100">
        <f t="shared" si="40"/>
        <v>2237</v>
      </c>
      <c r="C2279" s="205" t="s">
        <v>3084</v>
      </c>
      <c r="D2279" s="206" t="s">
        <v>3085</v>
      </c>
      <c r="E2279" s="99">
        <v>11</v>
      </c>
      <c r="F2279" s="206" t="s">
        <v>3056</v>
      </c>
      <c r="G2279" s="129">
        <v>3.1</v>
      </c>
      <c r="H2279" s="153">
        <v>3.64</v>
      </c>
      <c r="I2279" s="207">
        <v>3.1</v>
      </c>
      <c r="J2279" s="93">
        <v>513</v>
      </c>
      <c r="K2279" s="64">
        <v>56.25</v>
      </c>
      <c r="L2279" s="21"/>
      <c r="M2279" s="21"/>
      <c r="N2279" s="65"/>
      <c r="O2279" s="21"/>
      <c r="R2279">
        <v>3.1</v>
      </c>
    </row>
    <row r="2280" spans="2:18" ht="15" customHeight="1" x14ac:dyDescent="0.35">
      <c r="B2280" s="100">
        <f t="shared" si="40"/>
        <v>2238</v>
      </c>
      <c r="C2280" s="205" t="s">
        <v>3086</v>
      </c>
      <c r="D2280" s="206" t="s">
        <v>3087</v>
      </c>
      <c r="E2280" s="99">
        <v>8</v>
      </c>
      <c r="F2280" s="206" t="s">
        <v>3056</v>
      </c>
      <c r="G2280" s="129">
        <v>6.1</v>
      </c>
      <c r="H2280" s="153">
        <v>2.3199999999999998</v>
      </c>
      <c r="I2280" s="207">
        <v>6.1</v>
      </c>
      <c r="J2280" s="93">
        <v>400</v>
      </c>
      <c r="K2280" s="64">
        <v>50.1</v>
      </c>
      <c r="L2280" s="21"/>
      <c r="M2280" s="21"/>
      <c r="N2280" s="65"/>
      <c r="O2280" s="21"/>
      <c r="R2280">
        <v>6.1</v>
      </c>
    </row>
    <row r="2281" spans="2:18" ht="15" customHeight="1" x14ac:dyDescent="0.35">
      <c r="B2281" s="100">
        <f t="shared" si="40"/>
        <v>2239</v>
      </c>
      <c r="C2281" s="205" t="s">
        <v>3088</v>
      </c>
      <c r="D2281" s="206" t="s">
        <v>3089</v>
      </c>
      <c r="E2281" s="99">
        <v>11</v>
      </c>
      <c r="F2281" s="206" t="s">
        <v>3056</v>
      </c>
      <c r="G2281" s="129">
        <v>3.1</v>
      </c>
      <c r="H2281" s="153">
        <v>3.58</v>
      </c>
      <c r="I2281" s="207">
        <v>3.1</v>
      </c>
      <c r="J2281" s="93">
        <v>520</v>
      </c>
      <c r="K2281" s="64">
        <v>63.75</v>
      </c>
      <c r="L2281" s="21"/>
      <c r="M2281" s="21"/>
      <c r="N2281" s="65"/>
      <c r="O2281" s="21"/>
      <c r="R2281">
        <v>3.1</v>
      </c>
    </row>
    <row r="2282" spans="2:18" ht="15" customHeight="1" x14ac:dyDescent="0.35">
      <c r="B2282" s="100">
        <f t="shared" si="40"/>
        <v>2240</v>
      </c>
      <c r="C2282" s="205" t="s">
        <v>3090</v>
      </c>
      <c r="D2282" s="206" t="s">
        <v>3091</v>
      </c>
      <c r="E2282" s="99">
        <v>11</v>
      </c>
      <c r="F2282" s="206" t="s">
        <v>3056</v>
      </c>
      <c r="G2282" s="129">
        <v>3.1</v>
      </c>
      <c r="H2282" s="153">
        <v>3.32</v>
      </c>
      <c r="I2282" s="207">
        <v>3.1</v>
      </c>
      <c r="J2282" s="93">
        <v>437</v>
      </c>
      <c r="K2282" s="64">
        <v>53.75</v>
      </c>
      <c r="L2282" s="21"/>
      <c r="M2282" s="21"/>
      <c r="N2282" s="65"/>
      <c r="O2282" s="21"/>
      <c r="R2282">
        <v>3.1</v>
      </c>
    </row>
    <row r="2283" spans="2:18" ht="15" customHeight="1" x14ac:dyDescent="0.35">
      <c r="B2283" s="100">
        <f t="shared" si="40"/>
        <v>2241</v>
      </c>
      <c r="C2283" s="205" t="s">
        <v>3092</v>
      </c>
      <c r="D2283" s="206" t="s">
        <v>3093</v>
      </c>
      <c r="E2283" s="99">
        <v>11</v>
      </c>
      <c r="F2283" s="206" t="s">
        <v>3056</v>
      </c>
      <c r="G2283" s="129">
        <v>3.1</v>
      </c>
      <c r="H2283" s="153">
        <v>3.06</v>
      </c>
      <c r="I2283" s="207">
        <v>3.1</v>
      </c>
      <c r="J2283" s="93">
        <v>497</v>
      </c>
      <c r="K2283" s="64">
        <v>61.25</v>
      </c>
      <c r="L2283" s="21"/>
      <c r="M2283" s="21"/>
      <c r="N2283" s="65"/>
      <c r="O2283" s="21"/>
      <c r="R2283">
        <v>3.1</v>
      </c>
    </row>
    <row r="2284" spans="2:18" ht="15" customHeight="1" x14ac:dyDescent="0.35">
      <c r="B2284" s="100">
        <f t="shared" si="40"/>
        <v>2242</v>
      </c>
      <c r="C2284" s="205" t="s">
        <v>3094</v>
      </c>
      <c r="D2284" s="206" t="s">
        <v>3095</v>
      </c>
      <c r="E2284" s="99">
        <v>11</v>
      </c>
      <c r="F2284" s="206" t="s">
        <v>3056</v>
      </c>
      <c r="G2284" s="129">
        <v>3.1</v>
      </c>
      <c r="H2284" s="153">
        <v>3.51</v>
      </c>
      <c r="I2284" s="207">
        <v>3.1</v>
      </c>
      <c r="J2284" s="93">
        <v>490</v>
      </c>
      <c r="K2284" s="64">
        <v>61.25</v>
      </c>
      <c r="L2284" s="21"/>
      <c r="M2284" s="21"/>
      <c r="N2284" s="65"/>
      <c r="O2284" s="21"/>
      <c r="R2284">
        <v>3.1</v>
      </c>
    </row>
    <row r="2285" spans="2:18" ht="15" customHeight="1" x14ac:dyDescent="0.35">
      <c r="B2285" s="100">
        <f t="shared" si="40"/>
        <v>2243</v>
      </c>
      <c r="C2285" s="205" t="s">
        <v>3096</v>
      </c>
      <c r="D2285" s="206" t="s">
        <v>3097</v>
      </c>
      <c r="E2285" s="99">
        <v>11</v>
      </c>
      <c r="F2285" s="206" t="s">
        <v>3056</v>
      </c>
      <c r="G2285" s="129">
        <v>3.1</v>
      </c>
      <c r="H2285" s="153">
        <v>3.38</v>
      </c>
      <c r="I2285" s="207">
        <v>3.1</v>
      </c>
      <c r="J2285" s="93">
        <v>537</v>
      </c>
      <c r="K2285" s="64" t="s">
        <v>3065</v>
      </c>
      <c r="L2285" s="21"/>
      <c r="M2285" s="21"/>
      <c r="N2285" s="65"/>
      <c r="O2285" s="21"/>
      <c r="R2285">
        <v>3.1</v>
      </c>
    </row>
    <row r="2286" spans="2:18" ht="15" customHeight="1" x14ac:dyDescent="0.35">
      <c r="B2286" s="100">
        <f t="shared" si="40"/>
        <v>2244</v>
      </c>
      <c r="C2286" s="205" t="s">
        <v>3098</v>
      </c>
      <c r="D2286" s="206" t="s">
        <v>3099</v>
      </c>
      <c r="E2286" s="99">
        <v>11</v>
      </c>
      <c r="F2286" s="206" t="s">
        <v>3056</v>
      </c>
      <c r="G2286" s="129">
        <v>3.1</v>
      </c>
      <c r="H2286" s="153">
        <v>3.68</v>
      </c>
      <c r="I2286" s="207">
        <v>3.1</v>
      </c>
      <c r="J2286" s="93">
        <v>437</v>
      </c>
      <c r="K2286" s="64">
        <v>58.75</v>
      </c>
      <c r="L2286" s="21"/>
      <c r="M2286" s="21"/>
      <c r="N2286" s="65"/>
      <c r="O2286" s="21"/>
      <c r="R2286">
        <v>3.1</v>
      </c>
    </row>
    <row r="2287" spans="2:18" ht="15" customHeight="1" x14ac:dyDescent="0.35">
      <c r="B2287" s="100">
        <f t="shared" si="40"/>
        <v>2245</v>
      </c>
      <c r="C2287" s="205" t="s">
        <v>3100</v>
      </c>
      <c r="D2287" s="206" t="s">
        <v>3101</v>
      </c>
      <c r="E2287" s="99">
        <v>11</v>
      </c>
      <c r="F2287" s="206" t="s">
        <v>3056</v>
      </c>
      <c r="G2287" s="129">
        <v>3.1</v>
      </c>
      <c r="H2287" s="153">
        <v>3.07</v>
      </c>
      <c r="I2287" s="207">
        <v>3.1</v>
      </c>
      <c r="J2287" s="93">
        <v>493</v>
      </c>
      <c r="K2287" s="64">
        <v>57.5</v>
      </c>
      <c r="L2287" s="21"/>
      <c r="M2287" s="21"/>
      <c r="N2287" s="65"/>
      <c r="O2287" s="21"/>
      <c r="R2287">
        <v>3.1</v>
      </c>
    </row>
    <row r="2288" spans="2:18" ht="15" customHeight="1" x14ac:dyDescent="0.35">
      <c r="B2288" s="100">
        <f t="shared" si="40"/>
        <v>2246</v>
      </c>
      <c r="C2288" s="205" t="s">
        <v>3102</v>
      </c>
      <c r="D2288" s="206" t="s">
        <v>3103</v>
      </c>
      <c r="E2288" s="105">
        <v>9</v>
      </c>
      <c r="F2288" s="206" t="s">
        <v>3056</v>
      </c>
      <c r="G2288" s="129">
        <v>5.0999999999999996</v>
      </c>
      <c r="H2288" s="153">
        <v>2.52</v>
      </c>
      <c r="I2288" s="207">
        <v>5.0999999999999996</v>
      </c>
      <c r="J2288" s="93">
        <v>407</v>
      </c>
      <c r="K2288" s="64">
        <v>50.1</v>
      </c>
      <c r="L2288" s="21"/>
      <c r="M2288" s="21"/>
      <c r="N2288" s="65"/>
      <c r="O2288" s="21"/>
      <c r="R2288">
        <v>5.0999999999999996</v>
      </c>
    </row>
    <row r="2289" spans="2:19" ht="15" customHeight="1" x14ac:dyDescent="0.35">
      <c r="B2289" s="100">
        <f t="shared" si="40"/>
        <v>2247</v>
      </c>
      <c r="C2289" s="205" t="s">
        <v>3104</v>
      </c>
      <c r="D2289" s="206" t="s">
        <v>3105</v>
      </c>
      <c r="E2289" s="99">
        <v>11</v>
      </c>
      <c r="F2289" s="206" t="s">
        <v>3056</v>
      </c>
      <c r="G2289" s="129">
        <v>3.1</v>
      </c>
      <c r="H2289" s="153">
        <v>3.4</v>
      </c>
      <c r="I2289" s="207">
        <v>3.1</v>
      </c>
      <c r="J2289" s="93">
        <v>473</v>
      </c>
      <c r="K2289" s="64">
        <v>52.5</v>
      </c>
      <c r="L2289" s="21"/>
      <c r="M2289" s="21"/>
      <c r="N2289" s="65"/>
      <c r="O2289" s="21"/>
      <c r="R2289">
        <v>3.1</v>
      </c>
    </row>
    <row r="2290" spans="2:19" ht="15" customHeight="1" x14ac:dyDescent="0.35">
      <c r="B2290" s="100">
        <f t="shared" si="40"/>
        <v>2248</v>
      </c>
      <c r="C2290" s="205" t="s">
        <v>3106</v>
      </c>
      <c r="D2290" s="206" t="s">
        <v>3107</v>
      </c>
      <c r="E2290" s="99">
        <v>11</v>
      </c>
      <c r="F2290" s="206" t="s">
        <v>3056</v>
      </c>
      <c r="G2290" s="129">
        <v>3.1</v>
      </c>
      <c r="H2290" s="153">
        <v>3.63</v>
      </c>
      <c r="I2290" s="207">
        <v>3.1</v>
      </c>
      <c r="J2290" s="93">
        <v>437</v>
      </c>
      <c r="K2290" s="64">
        <v>58.75</v>
      </c>
      <c r="L2290" s="21"/>
      <c r="M2290" s="21"/>
      <c r="N2290" s="65"/>
      <c r="O2290" s="21"/>
      <c r="R2290">
        <v>3.1</v>
      </c>
    </row>
    <row r="2291" spans="2:19" ht="15" customHeight="1" x14ac:dyDescent="0.35">
      <c r="B2291" s="100">
        <f t="shared" si="40"/>
        <v>2249</v>
      </c>
      <c r="C2291" s="205" t="s">
        <v>3108</v>
      </c>
      <c r="D2291" s="206" t="s">
        <v>3109</v>
      </c>
      <c r="E2291" s="99">
        <v>11</v>
      </c>
      <c r="F2291" s="206" t="s">
        <v>3056</v>
      </c>
      <c r="G2291" s="129">
        <v>3.1</v>
      </c>
      <c r="H2291" s="153">
        <v>3.51</v>
      </c>
      <c r="I2291" s="207">
        <v>3.1</v>
      </c>
      <c r="J2291" s="93">
        <v>460</v>
      </c>
      <c r="K2291" s="64">
        <v>52.5</v>
      </c>
      <c r="L2291" s="21"/>
      <c r="M2291" s="21"/>
      <c r="N2291" s="65"/>
      <c r="O2291" s="21"/>
      <c r="R2291">
        <v>3.1</v>
      </c>
    </row>
    <row r="2292" spans="2:19" ht="15" customHeight="1" x14ac:dyDescent="0.35">
      <c r="B2292" s="100">
        <f t="shared" si="40"/>
        <v>2250</v>
      </c>
      <c r="C2292" s="205" t="s">
        <v>3110</v>
      </c>
      <c r="D2292" s="206" t="s">
        <v>3111</v>
      </c>
      <c r="E2292" s="99">
        <v>11</v>
      </c>
      <c r="F2292" s="206" t="s">
        <v>3056</v>
      </c>
      <c r="G2292" s="129">
        <v>3.1</v>
      </c>
      <c r="H2292" s="153">
        <v>3.46</v>
      </c>
      <c r="I2292" s="207">
        <v>3.1</v>
      </c>
      <c r="J2292" s="93">
        <v>507</v>
      </c>
      <c r="K2292" s="64" t="s">
        <v>3073</v>
      </c>
      <c r="L2292" s="21"/>
      <c r="M2292" s="21"/>
      <c r="N2292" s="65"/>
      <c r="O2292" s="21"/>
      <c r="R2292">
        <v>3.1</v>
      </c>
    </row>
    <row r="2293" spans="2:19" ht="15" customHeight="1" x14ac:dyDescent="0.35">
      <c r="B2293" s="100">
        <f t="shared" si="40"/>
        <v>2251</v>
      </c>
      <c r="C2293" s="205" t="s">
        <v>3112</v>
      </c>
      <c r="D2293" s="206" t="s">
        <v>3113</v>
      </c>
      <c r="E2293" s="99">
        <v>11</v>
      </c>
      <c r="F2293" s="206" t="s">
        <v>3056</v>
      </c>
      <c r="G2293" s="129">
        <v>3.1</v>
      </c>
      <c r="H2293" s="153">
        <v>3.54</v>
      </c>
      <c r="I2293" s="207">
        <v>3.1</v>
      </c>
      <c r="J2293" s="93">
        <v>520</v>
      </c>
      <c r="K2293" s="64">
        <v>57.5</v>
      </c>
      <c r="L2293" s="21"/>
      <c r="M2293" s="21"/>
      <c r="N2293" s="65"/>
      <c r="O2293" s="21"/>
      <c r="R2293">
        <v>3.1</v>
      </c>
    </row>
    <row r="2294" spans="2:19" ht="15" customHeight="1" x14ac:dyDescent="0.35">
      <c r="B2294" s="100">
        <f t="shared" si="40"/>
        <v>2252</v>
      </c>
      <c r="C2294" s="205" t="s">
        <v>3114</v>
      </c>
      <c r="D2294" s="206" t="s">
        <v>3115</v>
      </c>
      <c r="E2294" s="99">
        <v>11</v>
      </c>
      <c r="F2294" s="206" t="s">
        <v>3056</v>
      </c>
      <c r="G2294" s="129">
        <v>3.1</v>
      </c>
      <c r="H2294" s="153">
        <v>3.6</v>
      </c>
      <c r="I2294" s="207">
        <v>3.1</v>
      </c>
      <c r="J2294" s="93">
        <v>500</v>
      </c>
      <c r="K2294" s="64" t="s">
        <v>3116</v>
      </c>
      <c r="L2294" s="21"/>
      <c r="M2294" s="21"/>
      <c r="N2294" s="65"/>
      <c r="O2294" s="21"/>
      <c r="R2294">
        <v>3.1</v>
      </c>
    </row>
    <row r="2295" spans="2:19" ht="15" customHeight="1" x14ac:dyDescent="0.35">
      <c r="B2295" s="100">
        <f t="shared" si="40"/>
        <v>2253</v>
      </c>
      <c r="C2295" s="205" t="s">
        <v>3117</v>
      </c>
      <c r="D2295" s="206" t="s">
        <v>3118</v>
      </c>
      <c r="E2295" s="99">
        <v>11</v>
      </c>
      <c r="F2295" s="206" t="s">
        <v>3056</v>
      </c>
      <c r="G2295" s="129">
        <v>3.1</v>
      </c>
      <c r="H2295" s="153">
        <v>3.33</v>
      </c>
      <c r="I2295" s="207">
        <v>3.1</v>
      </c>
      <c r="J2295" s="93">
        <v>483</v>
      </c>
      <c r="K2295" s="64">
        <v>52.5</v>
      </c>
      <c r="L2295" s="21"/>
      <c r="M2295" s="21"/>
      <c r="N2295" s="65"/>
      <c r="O2295" s="21"/>
      <c r="R2295">
        <v>3.1</v>
      </c>
    </row>
    <row r="2296" spans="2:19" ht="15" customHeight="1" x14ac:dyDescent="0.35">
      <c r="B2296" s="100">
        <f t="shared" si="40"/>
        <v>2254</v>
      </c>
      <c r="C2296" s="205" t="s">
        <v>3119</v>
      </c>
      <c r="D2296" s="206" t="s">
        <v>3120</v>
      </c>
      <c r="E2296" s="99">
        <v>8</v>
      </c>
      <c r="F2296" s="206" t="s">
        <v>3056</v>
      </c>
      <c r="G2296" s="129">
        <v>6.1</v>
      </c>
      <c r="H2296" s="153">
        <v>2.83</v>
      </c>
      <c r="I2296" s="207">
        <v>6.1</v>
      </c>
      <c r="J2296" s="93">
        <v>400</v>
      </c>
      <c r="K2296" s="64">
        <v>50.1</v>
      </c>
      <c r="L2296" s="21"/>
      <c r="M2296" s="21"/>
      <c r="N2296" s="65"/>
      <c r="O2296" s="21"/>
      <c r="R2296">
        <v>6.1</v>
      </c>
    </row>
    <row r="2297" spans="2:19" ht="15" customHeight="1" x14ac:dyDescent="0.35">
      <c r="B2297" s="100">
        <f t="shared" si="40"/>
        <v>2255</v>
      </c>
      <c r="C2297" s="205" t="s">
        <v>3121</v>
      </c>
      <c r="D2297" s="206" t="s">
        <v>3122</v>
      </c>
      <c r="E2297" s="99">
        <v>11</v>
      </c>
      <c r="F2297" s="206" t="s">
        <v>3056</v>
      </c>
      <c r="G2297" s="129">
        <v>3.1</v>
      </c>
      <c r="H2297" s="153">
        <v>3.3</v>
      </c>
      <c r="I2297" s="207">
        <v>3.1</v>
      </c>
      <c r="J2297" s="93">
        <v>480</v>
      </c>
      <c r="K2297" s="64">
        <v>58.75</v>
      </c>
      <c r="L2297" s="21"/>
      <c r="M2297" s="21"/>
      <c r="N2297" s="65"/>
      <c r="O2297" s="21"/>
      <c r="R2297">
        <v>3.1</v>
      </c>
    </row>
    <row r="2298" spans="2:19" ht="15" customHeight="1" x14ac:dyDescent="0.35">
      <c r="B2298" s="100"/>
      <c r="C2298" s="205"/>
      <c r="D2298" s="206"/>
      <c r="E2298" s="99"/>
      <c r="F2298" s="206"/>
      <c r="G2298" s="129"/>
      <c r="H2298" s="153"/>
      <c r="I2298" s="207"/>
      <c r="J2298" s="41"/>
      <c r="K2298" s="66"/>
      <c r="L2298" s="21"/>
      <c r="M2298" s="21"/>
      <c r="N2298" s="67"/>
      <c r="O2298" s="21"/>
    </row>
    <row r="2299" spans="2:19" ht="15" customHeight="1" x14ac:dyDescent="0.35">
      <c r="B2299" s="100"/>
      <c r="C2299" s="146" t="s">
        <v>3123</v>
      </c>
      <c r="D2299" s="206"/>
      <c r="E2299" s="99"/>
      <c r="F2299" s="206"/>
      <c r="G2299" s="129"/>
      <c r="H2299" s="153"/>
      <c r="I2299" s="207"/>
      <c r="J2299" s="41"/>
      <c r="K2299" s="66"/>
      <c r="L2299" s="21"/>
      <c r="M2299" s="21"/>
      <c r="N2299" s="67"/>
      <c r="O2299" s="21"/>
    </row>
    <row r="2300" spans="2:19" ht="15" customHeight="1" x14ac:dyDescent="0.35">
      <c r="B2300" s="100"/>
      <c r="C2300" s="205"/>
      <c r="D2300" s="206"/>
      <c r="E2300" s="141" t="s">
        <v>1822</v>
      </c>
      <c r="F2300" s="147"/>
      <c r="G2300" s="141" t="s">
        <v>2200</v>
      </c>
      <c r="H2300" s="148" t="s">
        <v>6</v>
      </c>
      <c r="I2300" s="100" t="s">
        <v>2200</v>
      </c>
      <c r="J2300" s="42" t="s">
        <v>2201</v>
      </c>
      <c r="K2300" s="42" t="s">
        <v>2934</v>
      </c>
      <c r="L2300" s="21"/>
      <c r="M2300" s="21"/>
      <c r="N2300" s="67"/>
      <c r="O2300" s="21"/>
      <c r="R2300" t="s">
        <v>5043</v>
      </c>
      <c r="S2300" t="s">
        <v>5044</v>
      </c>
    </row>
    <row r="2301" spans="2:19" ht="15" customHeight="1" x14ac:dyDescent="0.35">
      <c r="B2301" s="100">
        <f>(B2297+1)</f>
        <v>2256</v>
      </c>
      <c r="C2301" s="208" t="s">
        <v>3124</v>
      </c>
      <c r="D2301" s="209" t="s">
        <v>3125</v>
      </c>
      <c r="E2301" s="209">
        <v>11</v>
      </c>
      <c r="F2301" s="210">
        <v>42279</v>
      </c>
      <c r="G2301" s="99">
        <v>4.0999999999999996</v>
      </c>
      <c r="H2301" s="209">
        <v>3.15</v>
      </c>
      <c r="I2301" s="211">
        <v>4.0999999999999996</v>
      </c>
      <c r="J2301" s="69">
        <v>410</v>
      </c>
      <c r="K2301" s="70">
        <v>52.5</v>
      </c>
      <c r="L2301" s="57"/>
      <c r="M2301" s="29"/>
      <c r="N2301" s="21"/>
      <c r="O2301" s="21"/>
      <c r="P2301">
        <v>7</v>
      </c>
      <c r="R2301">
        <v>4.0999999999999996</v>
      </c>
    </row>
    <row r="2302" spans="2:19" ht="15" customHeight="1" x14ac:dyDescent="0.35">
      <c r="B2302" s="100">
        <f t="shared" si="40"/>
        <v>2257</v>
      </c>
      <c r="C2302" s="208" t="s">
        <v>3126</v>
      </c>
      <c r="D2302" s="209" t="s">
        <v>3127</v>
      </c>
      <c r="E2302" s="209">
        <v>11</v>
      </c>
      <c r="F2302" s="210">
        <v>42300</v>
      </c>
      <c r="G2302" s="99">
        <v>4.0999999999999996</v>
      </c>
      <c r="H2302" s="209">
        <v>3.14</v>
      </c>
      <c r="I2302" s="211">
        <v>4.0999999999999996</v>
      </c>
      <c r="J2302" s="69">
        <v>480</v>
      </c>
      <c r="K2302" s="70">
        <v>66.25</v>
      </c>
      <c r="L2302" s="57">
        <v>2008</v>
      </c>
      <c r="M2302" s="29">
        <f>COUNTIF(E2301:E2402,"8")</f>
        <v>2</v>
      </c>
      <c r="N2302" s="21"/>
      <c r="O2302" s="21"/>
      <c r="P2302">
        <v>8</v>
      </c>
      <c r="R2302">
        <v>4.0999999999999996</v>
      </c>
    </row>
    <row r="2303" spans="2:19" ht="15" customHeight="1" x14ac:dyDescent="0.35">
      <c r="B2303" s="100">
        <f t="shared" si="40"/>
        <v>2258</v>
      </c>
      <c r="C2303" s="208" t="s">
        <v>3128</v>
      </c>
      <c r="D2303" s="209" t="s">
        <v>3129</v>
      </c>
      <c r="E2303" s="209">
        <v>9</v>
      </c>
      <c r="F2303" s="210">
        <v>42300</v>
      </c>
      <c r="G2303" s="99">
        <v>6.1</v>
      </c>
      <c r="H2303" s="209">
        <v>2.41</v>
      </c>
      <c r="I2303" s="211">
        <v>6.1</v>
      </c>
      <c r="J2303" s="69">
        <v>590</v>
      </c>
      <c r="K2303" s="70">
        <v>57.5</v>
      </c>
      <c r="L2303" s="57">
        <v>2009</v>
      </c>
      <c r="M2303" s="29">
        <f>COUNTIF(E2301:E2402,"9")</f>
        <v>7</v>
      </c>
      <c r="N2303" s="19" t="s">
        <v>580</v>
      </c>
      <c r="O2303" s="21"/>
      <c r="R2303">
        <v>6.1</v>
      </c>
    </row>
    <row r="2304" spans="2:19" ht="15" customHeight="1" x14ac:dyDescent="0.35">
      <c r="B2304" s="100">
        <f t="shared" si="40"/>
        <v>2259</v>
      </c>
      <c r="C2304" s="208" t="s">
        <v>3130</v>
      </c>
      <c r="D2304" s="209" t="s">
        <v>3131</v>
      </c>
      <c r="E2304" s="209">
        <v>11</v>
      </c>
      <c r="F2304" s="210">
        <v>42300</v>
      </c>
      <c r="G2304" s="99">
        <v>4.0999999999999996</v>
      </c>
      <c r="H2304" s="212">
        <v>3.53</v>
      </c>
      <c r="I2304" s="211">
        <v>4.0999999999999996</v>
      </c>
      <c r="J2304" s="69">
        <v>483</v>
      </c>
      <c r="K2304" s="70">
        <v>51.25</v>
      </c>
      <c r="L2304" s="57">
        <v>2010</v>
      </c>
      <c r="M2304" s="29">
        <f>COUNTIF(E2301:E2402,"10")</f>
        <v>11</v>
      </c>
      <c r="N2304" s="21"/>
      <c r="O2304" s="21"/>
      <c r="R2304" s="13">
        <v>4.0999999999999996</v>
      </c>
    </row>
    <row r="2305" spans="2:18" ht="15" customHeight="1" x14ac:dyDescent="0.35">
      <c r="B2305" s="100">
        <f t="shared" si="40"/>
        <v>2260</v>
      </c>
      <c r="C2305" s="208" t="s">
        <v>3132</v>
      </c>
      <c r="D2305" s="209" t="s">
        <v>3133</v>
      </c>
      <c r="E2305" s="209">
        <v>11</v>
      </c>
      <c r="F2305" s="210">
        <v>42300</v>
      </c>
      <c r="G2305" s="99">
        <v>4.0999999999999996</v>
      </c>
      <c r="H2305" s="209">
        <v>3.33</v>
      </c>
      <c r="I2305" s="211">
        <v>4.0999999999999996</v>
      </c>
      <c r="J2305" s="69">
        <v>450</v>
      </c>
      <c r="K2305" s="70">
        <v>65</v>
      </c>
      <c r="L2305" s="57">
        <v>2011</v>
      </c>
      <c r="M2305" s="29">
        <f>COUNTIF(E2301:E2402,"11")</f>
        <v>54</v>
      </c>
      <c r="N2305" s="21"/>
      <c r="O2305" s="21"/>
      <c r="R2305" s="13">
        <v>4.0999999999999996</v>
      </c>
    </row>
    <row r="2306" spans="2:18" ht="15" customHeight="1" x14ac:dyDescent="0.35">
      <c r="B2306" s="100">
        <f t="shared" si="40"/>
        <v>2261</v>
      </c>
      <c r="C2306" s="208" t="s">
        <v>3134</v>
      </c>
      <c r="D2306" s="209" t="s">
        <v>3135</v>
      </c>
      <c r="E2306" s="209">
        <v>11</v>
      </c>
      <c r="F2306" s="210">
        <v>42300</v>
      </c>
      <c r="G2306" s="99">
        <v>4.0999999999999996</v>
      </c>
      <c r="H2306" s="209">
        <v>3.45</v>
      </c>
      <c r="I2306" s="211">
        <v>4.0999999999999996</v>
      </c>
      <c r="J2306" s="69">
        <v>467</v>
      </c>
      <c r="K2306" s="70">
        <v>66.25</v>
      </c>
      <c r="L2306" s="57">
        <v>2012</v>
      </c>
      <c r="M2306" s="29">
        <f>COUNTIF(E2301:E2402,"12")</f>
        <v>28</v>
      </c>
      <c r="N2306" s="21"/>
      <c r="O2306" s="21" t="s">
        <v>580</v>
      </c>
      <c r="R2306" s="13">
        <v>4.0999999999999996</v>
      </c>
    </row>
    <row r="2307" spans="2:18" ht="15" customHeight="1" x14ac:dyDescent="0.35">
      <c r="B2307" s="100">
        <f t="shared" si="40"/>
        <v>2262</v>
      </c>
      <c r="C2307" s="208" t="s">
        <v>3136</v>
      </c>
      <c r="D2307" s="209" t="s">
        <v>3137</v>
      </c>
      <c r="E2307" s="209">
        <v>11</v>
      </c>
      <c r="F2307" s="210">
        <v>42300</v>
      </c>
      <c r="G2307" s="99">
        <v>4.0999999999999996</v>
      </c>
      <c r="H2307" s="209">
        <v>3.42</v>
      </c>
      <c r="I2307" s="211">
        <v>4.0999999999999996</v>
      </c>
      <c r="J2307" s="69">
        <v>453</v>
      </c>
      <c r="K2307" s="70">
        <v>61.25</v>
      </c>
      <c r="L2307" s="21"/>
      <c r="M2307" s="21"/>
      <c r="N2307" s="21"/>
      <c r="O2307" s="21"/>
      <c r="R2307" s="13">
        <v>4.0999999999999996</v>
      </c>
    </row>
    <row r="2308" spans="2:18" ht="15" customHeight="1" x14ac:dyDescent="0.35">
      <c r="B2308" s="100">
        <f t="shared" si="40"/>
        <v>2263</v>
      </c>
      <c r="C2308" s="208" t="s">
        <v>3138</v>
      </c>
      <c r="D2308" s="209" t="s">
        <v>3139</v>
      </c>
      <c r="E2308" s="209">
        <v>11</v>
      </c>
      <c r="F2308" s="210">
        <v>42300</v>
      </c>
      <c r="G2308" s="99">
        <v>4.0999999999999996</v>
      </c>
      <c r="H2308" s="209">
        <v>3.35</v>
      </c>
      <c r="I2308" s="211">
        <v>4.0999999999999996</v>
      </c>
      <c r="J2308" s="69">
        <v>437</v>
      </c>
      <c r="K2308" s="70">
        <v>67.5</v>
      </c>
      <c r="L2308" s="42" t="s">
        <v>2310</v>
      </c>
      <c r="M2308" s="29">
        <f>SUM(M2302:M2306)</f>
        <v>102</v>
      </c>
      <c r="N2308" s="21"/>
      <c r="O2308" s="21"/>
      <c r="R2308" s="13">
        <v>4.0999999999999996</v>
      </c>
    </row>
    <row r="2309" spans="2:18" ht="15" customHeight="1" x14ac:dyDescent="0.35">
      <c r="B2309" s="100">
        <f t="shared" si="40"/>
        <v>2264</v>
      </c>
      <c r="C2309" s="208" t="s">
        <v>3140</v>
      </c>
      <c r="D2309" s="209" t="s">
        <v>3141</v>
      </c>
      <c r="E2309" s="209">
        <v>11</v>
      </c>
      <c r="F2309" s="210">
        <v>42300</v>
      </c>
      <c r="G2309" s="99">
        <v>4.0999999999999996</v>
      </c>
      <c r="H2309" s="209">
        <v>3.18</v>
      </c>
      <c r="I2309" s="211">
        <v>4.0999999999999996</v>
      </c>
      <c r="J2309" s="69">
        <v>430</v>
      </c>
      <c r="K2309" s="70">
        <v>61.25</v>
      </c>
      <c r="L2309" s="29" t="s">
        <v>2528</v>
      </c>
      <c r="M2309" s="21"/>
      <c r="N2309" s="40">
        <f>COUNTIF(G2301:G2402,"&lt;=5")-COUNTIF(G2301:G2402,"&lt;4")</f>
        <v>54</v>
      </c>
      <c r="O2309" s="21"/>
      <c r="R2309" s="13">
        <v>4.0999999999999996</v>
      </c>
    </row>
    <row r="2310" spans="2:18" ht="15" customHeight="1" x14ac:dyDescent="0.35">
      <c r="B2310" s="100">
        <f t="shared" si="40"/>
        <v>2265</v>
      </c>
      <c r="C2310" s="208" t="s">
        <v>3142</v>
      </c>
      <c r="D2310" s="209" t="s">
        <v>3143</v>
      </c>
      <c r="E2310" s="209">
        <v>11</v>
      </c>
      <c r="F2310" s="210">
        <v>42300</v>
      </c>
      <c r="G2310" s="99">
        <v>4.0999999999999996</v>
      </c>
      <c r="H2310" s="209">
        <v>3.21</v>
      </c>
      <c r="I2310" s="211">
        <v>4.0999999999999996</v>
      </c>
      <c r="J2310" s="69">
        <v>453</v>
      </c>
      <c r="K2310" s="70">
        <v>55</v>
      </c>
      <c r="L2310" s="29" t="s">
        <v>1798</v>
      </c>
      <c r="M2310" s="29"/>
      <c r="N2310" s="34">
        <f>SUM(G2301:G2402)/M2308</f>
        <v>4.1639215686274555</v>
      </c>
      <c r="O2310" s="21"/>
      <c r="R2310">
        <v>4.0999999999999996</v>
      </c>
    </row>
    <row r="2311" spans="2:18" ht="15" customHeight="1" x14ac:dyDescent="0.35">
      <c r="B2311" s="100">
        <f t="shared" si="40"/>
        <v>2266</v>
      </c>
      <c r="C2311" s="208" t="s">
        <v>3144</v>
      </c>
      <c r="D2311" s="209" t="s">
        <v>3145</v>
      </c>
      <c r="E2311" s="209">
        <v>11</v>
      </c>
      <c r="F2311" s="210">
        <v>42300</v>
      </c>
      <c r="G2311" s="99">
        <v>4.0999999999999996</v>
      </c>
      <c r="H2311" s="212">
        <v>3.57</v>
      </c>
      <c r="I2311" s="211">
        <v>4.0999999999999996</v>
      </c>
      <c r="J2311" s="69">
        <v>517</v>
      </c>
      <c r="K2311" s="70">
        <v>62.5</v>
      </c>
      <c r="L2311" s="29" t="s">
        <v>1801</v>
      </c>
      <c r="M2311" s="29"/>
      <c r="N2311" s="34">
        <f>SUM(I2301:I2402)/M2308</f>
        <v>4.1639215686274555</v>
      </c>
      <c r="O2311" s="21"/>
      <c r="R2311">
        <v>4.0999999999999996</v>
      </c>
    </row>
    <row r="2312" spans="2:18" ht="15" customHeight="1" x14ac:dyDescent="0.35">
      <c r="B2312" s="100">
        <f t="shared" si="40"/>
        <v>2267</v>
      </c>
      <c r="C2312" s="208" t="s">
        <v>3146</v>
      </c>
      <c r="D2312" s="209" t="s">
        <v>3147</v>
      </c>
      <c r="E2312" s="209">
        <v>11</v>
      </c>
      <c r="F2312" s="210">
        <v>42300</v>
      </c>
      <c r="G2312" s="99">
        <v>4.0999999999999996</v>
      </c>
      <c r="H2312" s="212">
        <v>3.54</v>
      </c>
      <c r="I2312" s="211">
        <v>4.0999999999999996</v>
      </c>
      <c r="J2312" s="69">
        <v>450</v>
      </c>
      <c r="K2312" s="70">
        <v>65</v>
      </c>
      <c r="L2312" s="29" t="s">
        <v>1804</v>
      </c>
      <c r="M2312" s="29"/>
      <c r="N2312" s="30">
        <f>MIN(H2301:H2402)</f>
        <v>2.09</v>
      </c>
      <c r="O2312" s="21"/>
      <c r="R2312">
        <v>4.0999999999999996</v>
      </c>
    </row>
    <row r="2313" spans="2:18" ht="15" customHeight="1" x14ac:dyDescent="0.35">
      <c r="B2313" s="100">
        <f t="shared" si="40"/>
        <v>2268</v>
      </c>
      <c r="C2313" s="208" t="s">
        <v>3148</v>
      </c>
      <c r="D2313" s="209" t="s">
        <v>3149</v>
      </c>
      <c r="E2313" s="209">
        <v>11</v>
      </c>
      <c r="F2313" s="210">
        <v>42300</v>
      </c>
      <c r="G2313" s="99">
        <v>4.0999999999999996</v>
      </c>
      <c r="H2313" s="209">
        <v>3.34</v>
      </c>
      <c r="I2313" s="211">
        <v>4.0999999999999996</v>
      </c>
      <c r="J2313" s="69">
        <v>467</v>
      </c>
      <c r="K2313" s="70">
        <v>61.25</v>
      </c>
      <c r="L2313" s="29" t="s">
        <v>1807</v>
      </c>
      <c r="M2313" s="29"/>
      <c r="N2313" s="30">
        <f>SUM(H2301:H2402)/M2308</f>
        <v>3.1871568627450979</v>
      </c>
      <c r="O2313" s="21"/>
      <c r="R2313">
        <v>4.0999999999999996</v>
      </c>
    </row>
    <row r="2314" spans="2:18" ht="15" customHeight="1" x14ac:dyDescent="0.35">
      <c r="B2314" s="100">
        <f t="shared" si="40"/>
        <v>2269</v>
      </c>
      <c r="C2314" s="208" t="s">
        <v>3150</v>
      </c>
      <c r="D2314" s="209" t="s">
        <v>3151</v>
      </c>
      <c r="E2314" s="209">
        <v>11</v>
      </c>
      <c r="F2314" s="210">
        <v>42300</v>
      </c>
      <c r="G2314" s="99">
        <v>4.0999999999999996</v>
      </c>
      <c r="H2314" s="212">
        <v>3.51</v>
      </c>
      <c r="I2314" s="211">
        <v>4.0999999999999996</v>
      </c>
      <c r="J2314" s="69">
        <v>553</v>
      </c>
      <c r="K2314" s="70">
        <v>68.75</v>
      </c>
      <c r="L2314" s="29" t="s">
        <v>1810</v>
      </c>
      <c r="M2314" s="29"/>
      <c r="N2314" s="30">
        <f>MAX(H2301:H2402)</f>
        <v>3.91</v>
      </c>
      <c r="O2314" s="21"/>
      <c r="R2314">
        <v>4.0999999999999996</v>
      </c>
    </row>
    <row r="2315" spans="2:18" ht="15" customHeight="1" x14ac:dyDescent="0.35">
      <c r="B2315" s="100">
        <f t="shared" si="40"/>
        <v>2270</v>
      </c>
      <c r="C2315" s="208" t="s">
        <v>3152</v>
      </c>
      <c r="D2315" s="209" t="s">
        <v>3153</v>
      </c>
      <c r="E2315" s="209">
        <v>11</v>
      </c>
      <c r="F2315" s="210">
        <v>42300</v>
      </c>
      <c r="G2315" s="99">
        <v>4.0999999999999996</v>
      </c>
      <c r="H2315" s="209">
        <v>3.38</v>
      </c>
      <c r="I2315" s="211">
        <v>4.0999999999999996</v>
      </c>
      <c r="J2315" s="69">
        <v>427</v>
      </c>
      <c r="K2315" s="70">
        <v>57.5</v>
      </c>
      <c r="L2315" s="29" t="s">
        <v>1813</v>
      </c>
      <c r="M2315" s="29">
        <f>COUNTIF(H2301:H2402,"&lt;2.75")</f>
        <v>0</v>
      </c>
      <c r="N2315" s="30" t="e">
        <f>(M2315/M2318)*100</f>
        <v>#DIV/0!</v>
      </c>
      <c r="O2315" s="21"/>
      <c r="R2315">
        <v>4.0999999999999996</v>
      </c>
    </row>
    <row r="2316" spans="2:18" ht="15" customHeight="1" x14ac:dyDescent="0.35">
      <c r="B2316" s="100">
        <f t="shared" si="40"/>
        <v>2271</v>
      </c>
      <c r="C2316" s="208" t="s">
        <v>3154</v>
      </c>
      <c r="D2316" s="209" t="s">
        <v>3155</v>
      </c>
      <c r="E2316" s="209">
        <v>11</v>
      </c>
      <c r="F2316" s="210">
        <v>42300</v>
      </c>
      <c r="G2316" s="99">
        <v>4.0999999999999996</v>
      </c>
      <c r="H2316" s="209">
        <v>3.19</v>
      </c>
      <c r="I2316" s="211">
        <v>4.0999999999999996</v>
      </c>
      <c r="J2316" s="69">
        <v>500</v>
      </c>
      <c r="K2316" s="70">
        <v>52.5</v>
      </c>
      <c r="L2316" s="29" t="s">
        <v>1816</v>
      </c>
      <c r="M2316" s="40">
        <f>COUNTIF(H2301:H2402,"&lt;3.51")-COUNTIF(H2301:H2402,"&lt;2.75")</f>
        <v>0</v>
      </c>
      <c r="N2316" s="30" t="e">
        <f>(M2316/M2318)*100</f>
        <v>#DIV/0!</v>
      </c>
      <c r="O2316" s="21"/>
      <c r="R2316">
        <v>4.0999999999999996</v>
      </c>
    </row>
    <row r="2317" spans="2:18" ht="15" customHeight="1" x14ac:dyDescent="0.35">
      <c r="B2317" s="100">
        <f t="shared" si="40"/>
        <v>2272</v>
      </c>
      <c r="C2317" s="208" t="s">
        <v>3156</v>
      </c>
      <c r="D2317" s="209" t="s">
        <v>3157</v>
      </c>
      <c r="E2317" s="209">
        <v>9</v>
      </c>
      <c r="F2317" s="210">
        <v>42300</v>
      </c>
      <c r="G2317" s="99">
        <v>6.1</v>
      </c>
      <c r="H2317" s="209">
        <v>2.66</v>
      </c>
      <c r="I2317" s="211">
        <v>6.1</v>
      </c>
      <c r="J2317" s="69">
        <v>430</v>
      </c>
      <c r="K2317" s="70">
        <v>50.1</v>
      </c>
      <c r="L2317" s="29" t="s">
        <v>1819</v>
      </c>
      <c r="M2317" s="29">
        <f>COUNTIF(H2301:H2402,"&gt;3.50")</f>
        <v>0</v>
      </c>
      <c r="N2317" s="30" t="e">
        <f>(M2317/M2318)*100</f>
        <v>#DIV/0!</v>
      </c>
      <c r="O2317" s="21"/>
      <c r="R2317">
        <v>6.1</v>
      </c>
    </row>
    <row r="2318" spans="2:18" ht="15" customHeight="1" x14ac:dyDescent="0.35">
      <c r="B2318" s="100">
        <f t="shared" si="40"/>
        <v>2273</v>
      </c>
      <c r="C2318" s="208" t="s">
        <v>3158</v>
      </c>
      <c r="D2318" s="209" t="s">
        <v>3159</v>
      </c>
      <c r="E2318" s="209">
        <v>9</v>
      </c>
      <c r="F2318" s="210">
        <v>42300</v>
      </c>
      <c r="G2318" s="99">
        <v>6.1</v>
      </c>
      <c r="H2318" s="209">
        <v>3.06</v>
      </c>
      <c r="I2318" s="211">
        <v>6.1</v>
      </c>
      <c r="J2318" s="69">
        <v>600</v>
      </c>
      <c r="K2318" s="70">
        <v>58.75</v>
      </c>
      <c r="L2318" s="29" t="s">
        <v>1820</v>
      </c>
      <c r="M2318" s="29">
        <f>SUM(M2315:M2317)</f>
        <v>0</v>
      </c>
      <c r="N2318" s="29"/>
      <c r="O2318" s="21"/>
      <c r="R2318">
        <v>6.1</v>
      </c>
    </row>
    <row r="2319" spans="2:18" ht="15" customHeight="1" x14ac:dyDescent="0.35">
      <c r="B2319" s="100">
        <f t="shared" si="40"/>
        <v>2274</v>
      </c>
      <c r="C2319" s="208" t="s">
        <v>3160</v>
      </c>
      <c r="D2319" s="209" t="s">
        <v>3161</v>
      </c>
      <c r="E2319" s="209">
        <v>11</v>
      </c>
      <c r="F2319" s="210">
        <v>42300</v>
      </c>
      <c r="G2319" s="99">
        <v>4.0999999999999996</v>
      </c>
      <c r="H2319" s="212">
        <v>3.62</v>
      </c>
      <c r="I2319" s="211">
        <v>4.0999999999999996</v>
      </c>
      <c r="J2319" s="69">
        <v>463</v>
      </c>
      <c r="K2319" s="70">
        <v>75</v>
      </c>
      <c r="L2319" s="21"/>
      <c r="M2319" s="21"/>
      <c r="N2319" s="21"/>
      <c r="O2319" s="21"/>
      <c r="R2319">
        <v>4.0999999999999996</v>
      </c>
    </row>
    <row r="2320" spans="2:18" ht="15" customHeight="1" x14ac:dyDescent="0.35">
      <c r="B2320" s="100">
        <f t="shared" si="40"/>
        <v>2275</v>
      </c>
      <c r="C2320" s="208" t="s">
        <v>3162</v>
      </c>
      <c r="D2320" s="209" t="s">
        <v>3163</v>
      </c>
      <c r="E2320" s="209">
        <v>11</v>
      </c>
      <c r="F2320" s="210">
        <v>42300</v>
      </c>
      <c r="G2320" s="99">
        <v>4.0999999999999996</v>
      </c>
      <c r="H2320" s="209">
        <v>3.27</v>
      </c>
      <c r="I2320" s="211">
        <v>4.0999999999999996</v>
      </c>
      <c r="J2320" s="69">
        <v>497</v>
      </c>
      <c r="K2320" s="70">
        <v>60</v>
      </c>
      <c r="L2320" s="21"/>
      <c r="M2320" s="21"/>
      <c r="N2320" s="21"/>
      <c r="O2320" s="21"/>
      <c r="R2320">
        <v>4.0999999999999996</v>
      </c>
    </row>
    <row r="2321" spans="2:18" ht="15" customHeight="1" x14ac:dyDescent="0.35">
      <c r="B2321" s="100">
        <f t="shared" si="40"/>
        <v>2276</v>
      </c>
      <c r="C2321" s="208" t="s">
        <v>3164</v>
      </c>
      <c r="D2321" s="209" t="s">
        <v>3165</v>
      </c>
      <c r="E2321" s="209">
        <v>11</v>
      </c>
      <c r="F2321" s="210">
        <v>42338</v>
      </c>
      <c r="G2321" s="99">
        <v>4.0999999999999996</v>
      </c>
      <c r="H2321" s="212">
        <v>3.53</v>
      </c>
      <c r="I2321" s="211">
        <v>4.0999999999999996</v>
      </c>
      <c r="J2321" s="69">
        <v>438</v>
      </c>
      <c r="K2321" s="70">
        <v>58.75</v>
      </c>
      <c r="L2321" s="46" t="s">
        <v>2336</v>
      </c>
      <c r="M2321" s="29" t="e">
        <f>SUM(K2301:K2370)/M2318</f>
        <v>#DIV/0!</v>
      </c>
      <c r="N2321" s="59"/>
      <c r="O2321" s="21"/>
      <c r="R2321">
        <v>4.0999999999999996</v>
      </c>
    </row>
    <row r="2322" spans="2:18" ht="15" customHeight="1" x14ac:dyDescent="0.35">
      <c r="B2322" s="100">
        <f t="shared" si="40"/>
        <v>2277</v>
      </c>
      <c r="C2322" s="208" t="s">
        <v>3166</v>
      </c>
      <c r="D2322" s="209" t="s">
        <v>3167</v>
      </c>
      <c r="E2322" s="99">
        <v>10</v>
      </c>
      <c r="F2322" s="210">
        <v>42390</v>
      </c>
      <c r="G2322" s="99">
        <v>5.4</v>
      </c>
      <c r="H2322" s="209">
        <v>2.69</v>
      </c>
      <c r="I2322" s="211">
        <v>5.4</v>
      </c>
      <c r="J2322" s="69">
        <v>413</v>
      </c>
      <c r="K2322" s="70">
        <v>50.05</v>
      </c>
      <c r="L2322" s="19" t="s">
        <v>2339</v>
      </c>
      <c r="M2322" s="29">
        <f>MIN(K2298:K2373)</f>
        <v>50.05</v>
      </c>
      <c r="N2322" s="21"/>
      <c r="O2322" s="21"/>
      <c r="R2322">
        <v>5.4</v>
      </c>
    </row>
    <row r="2323" spans="2:18" ht="15" customHeight="1" x14ac:dyDescent="0.35">
      <c r="B2323" s="100">
        <f t="shared" si="40"/>
        <v>2278</v>
      </c>
      <c r="C2323" s="208" t="s">
        <v>3168</v>
      </c>
      <c r="D2323" s="209" t="s">
        <v>3169</v>
      </c>
      <c r="E2323" s="99">
        <v>10</v>
      </c>
      <c r="F2323" s="210">
        <v>42390</v>
      </c>
      <c r="G2323" s="99">
        <v>5.4</v>
      </c>
      <c r="H2323" s="209">
        <v>2.77</v>
      </c>
      <c r="I2323" s="211">
        <v>5.4</v>
      </c>
      <c r="J2323" s="69">
        <v>513</v>
      </c>
      <c r="K2323" s="70">
        <v>52.5</v>
      </c>
      <c r="L2323" s="19" t="s">
        <v>2340</v>
      </c>
      <c r="M2323" s="29">
        <f>MAX(K2298:K2373)</f>
        <v>79</v>
      </c>
      <c r="N2323" s="21"/>
      <c r="O2323" s="21"/>
      <c r="R2323">
        <v>5.4</v>
      </c>
    </row>
    <row r="2324" spans="2:18" ht="15" customHeight="1" x14ac:dyDescent="0.35">
      <c r="B2324" s="100">
        <f t="shared" si="40"/>
        <v>2279</v>
      </c>
      <c r="C2324" s="208" t="s">
        <v>3170</v>
      </c>
      <c r="D2324" s="209" t="s">
        <v>3171</v>
      </c>
      <c r="E2324" s="99">
        <v>10</v>
      </c>
      <c r="F2324" s="210">
        <v>42390</v>
      </c>
      <c r="G2324" s="99">
        <v>5.4</v>
      </c>
      <c r="H2324" s="209">
        <v>3.03</v>
      </c>
      <c r="I2324" s="211">
        <v>5.4</v>
      </c>
      <c r="J2324" s="69">
        <v>450</v>
      </c>
      <c r="K2324" s="70">
        <v>57.5</v>
      </c>
      <c r="L2324" s="71"/>
      <c r="M2324" s="71"/>
      <c r="N2324" s="71"/>
      <c r="O2324" s="21"/>
      <c r="R2324">
        <v>5.4</v>
      </c>
    </row>
    <row r="2325" spans="2:18" ht="15" customHeight="1" x14ac:dyDescent="0.35">
      <c r="B2325" s="100">
        <f t="shared" si="40"/>
        <v>2280</v>
      </c>
      <c r="C2325" s="208" t="s">
        <v>3172</v>
      </c>
      <c r="D2325" s="209" t="s">
        <v>3173</v>
      </c>
      <c r="E2325" s="99">
        <v>11</v>
      </c>
      <c r="F2325" s="210">
        <v>42390</v>
      </c>
      <c r="G2325" s="99">
        <v>4.4000000000000004</v>
      </c>
      <c r="H2325" s="212">
        <v>3.61</v>
      </c>
      <c r="I2325" s="211">
        <v>4.4000000000000004</v>
      </c>
      <c r="J2325" s="69">
        <v>520</v>
      </c>
      <c r="K2325" s="70">
        <v>62.5</v>
      </c>
      <c r="L2325" s="71"/>
      <c r="M2325" s="71"/>
      <c r="N2325" s="71"/>
      <c r="O2325" s="21"/>
      <c r="R2325">
        <v>4.4000000000000004</v>
      </c>
    </row>
    <row r="2326" spans="2:18" ht="15" customHeight="1" x14ac:dyDescent="0.35">
      <c r="B2326" s="100">
        <f t="shared" si="40"/>
        <v>2281</v>
      </c>
      <c r="C2326" s="208" t="s">
        <v>3174</v>
      </c>
      <c r="D2326" s="209" t="s">
        <v>3175</v>
      </c>
      <c r="E2326" s="99">
        <v>11</v>
      </c>
      <c r="F2326" s="210">
        <v>42390</v>
      </c>
      <c r="G2326" s="99">
        <v>4.4000000000000004</v>
      </c>
      <c r="H2326" s="209">
        <v>3.21</v>
      </c>
      <c r="I2326" s="211">
        <v>4.4000000000000004</v>
      </c>
      <c r="J2326" s="69">
        <v>550</v>
      </c>
      <c r="K2326" s="70">
        <v>60</v>
      </c>
      <c r="L2326" s="71"/>
      <c r="M2326" s="71"/>
      <c r="N2326" s="72"/>
      <c r="O2326" s="21"/>
      <c r="R2326">
        <v>4.4000000000000004</v>
      </c>
    </row>
    <row r="2327" spans="2:18" ht="15" customHeight="1" x14ac:dyDescent="0.35">
      <c r="B2327" s="100">
        <f t="shared" si="40"/>
        <v>2282</v>
      </c>
      <c r="C2327" s="208" t="s">
        <v>3176</v>
      </c>
      <c r="D2327" s="209" t="s">
        <v>3177</v>
      </c>
      <c r="E2327" s="99">
        <v>11</v>
      </c>
      <c r="F2327" s="210">
        <v>42390</v>
      </c>
      <c r="G2327" s="99">
        <v>4.4000000000000004</v>
      </c>
      <c r="H2327" s="209">
        <v>3.02</v>
      </c>
      <c r="I2327" s="211">
        <v>4.4000000000000004</v>
      </c>
      <c r="J2327" s="69">
        <v>400</v>
      </c>
      <c r="K2327" s="70">
        <v>57.5</v>
      </c>
      <c r="L2327" s="71"/>
      <c r="M2327" s="71"/>
      <c r="N2327" s="71"/>
      <c r="O2327" s="21"/>
      <c r="R2327">
        <v>4.4000000000000004</v>
      </c>
    </row>
    <row r="2328" spans="2:18" ht="15" customHeight="1" x14ac:dyDescent="0.35">
      <c r="B2328" s="100">
        <f t="shared" si="40"/>
        <v>2283</v>
      </c>
      <c r="C2328" s="208" t="s">
        <v>3178</v>
      </c>
      <c r="D2328" s="209" t="s">
        <v>3179</v>
      </c>
      <c r="E2328" s="99">
        <v>11</v>
      </c>
      <c r="F2328" s="210">
        <v>42390</v>
      </c>
      <c r="G2328" s="99">
        <v>4.4000000000000004</v>
      </c>
      <c r="H2328" s="209">
        <v>2.97</v>
      </c>
      <c r="I2328" s="211">
        <v>4.4000000000000004</v>
      </c>
      <c r="J2328" s="69">
        <v>507</v>
      </c>
      <c r="K2328" s="70">
        <v>57.5</v>
      </c>
      <c r="L2328" s="71"/>
      <c r="M2328" s="71"/>
      <c r="N2328" s="71"/>
      <c r="O2328" s="21"/>
      <c r="R2328">
        <v>4.4000000000000004</v>
      </c>
    </row>
    <row r="2329" spans="2:18" ht="15" customHeight="1" x14ac:dyDescent="0.35">
      <c r="B2329" s="100">
        <f t="shared" si="40"/>
        <v>2284</v>
      </c>
      <c r="C2329" s="208" t="s">
        <v>3180</v>
      </c>
      <c r="D2329" s="209" t="s">
        <v>3181</v>
      </c>
      <c r="E2329" s="99">
        <v>11</v>
      </c>
      <c r="F2329" s="210">
        <v>42390</v>
      </c>
      <c r="G2329" s="99">
        <v>4.4000000000000004</v>
      </c>
      <c r="H2329" s="209">
        <v>3.35</v>
      </c>
      <c r="I2329" s="211">
        <v>4.4000000000000004</v>
      </c>
      <c r="J2329" s="69">
        <v>447</v>
      </c>
      <c r="K2329" s="70">
        <v>57.5</v>
      </c>
      <c r="L2329" s="71"/>
      <c r="M2329" s="71"/>
      <c r="N2329" s="71"/>
      <c r="O2329" s="21"/>
      <c r="R2329">
        <v>4.4000000000000004</v>
      </c>
    </row>
    <row r="2330" spans="2:18" ht="15" customHeight="1" x14ac:dyDescent="0.35">
      <c r="B2330" s="100">
        <f t="shared" si="40"/>
        <v>2285</v>
      </c>
      <c r="C2330" s="208" t="s">
        <v>3182</v>
      </c>
      <c r="D2330" s="209" t="s">
        <v>3183</v>
      </c>
      <c r="E2330" s="99">
        <v>10</v>
      </c>
      <c r="F2330" s="210">
        <v>42390</v>
      </c>
      <c r="G2330" s="99">
        <v>5.4</v>
      </c>
      <c r="H2330" s="209">
        <v>2.69</v>
      </c>
      <c r="I2330" s="211">
        <v>5.4</v>
      </c>
      <c r="J2330" s="69">
        <v>450</v>
      </c>
      <c r="K2330" s="70">
        <v>58.75</v>
      </c>
      <c r="L2330" s="71"/>
      <c r="M2330" s="71"/>
      <c r="N2330" s="71"/>
      <c r="O2330" s="21"/>
      <c r="R2330">
        <v>5.4</v>
      </c>
    </row>
    <row r="2331" spans="2:18" ht="15" customHeight="1" x14ac:dyDescent="0.35">
      <c r="B2331" s="100">
        <f t="shared" si="40"/>
        <v>2286</v>
      </c>
      <c r="C2331" s="208" t="s">
        <v>3184</v>
      </c>
      <c r="D2331" s="209" t="s">
        <v>3185</v>
      </c>
      <c r="E2331" s="99">
        <v>11</v>
      </c>
      <c r="F2331" s="210">
        <v>42390</v>
      </c>
      <c r="G2331" s="99">
        <v>4.4000000000000004</v>
      </c>
      <c r="H2331" s="209">
        <v>3.11</v>
      </c>
      <c r="I2331" s="211">
        <v>4.4000000000000004</v>
      </c>
      <c r="J2331" s="69">
        <v>457</v>
      </c>
      <c r="K2331" s="70">
        <v>57.5</v>
      </c>
      <c r="L2331" s="71"/>
      <c r="M2331" s="71"/>
      <c r="N2331" s="71"/>
      <c r="O2331" s="21"/>
      <c r="R2331">
        <v>4.4000000000000004</v>
      </c>
    </row>
    <row r="2332" spans="2:18" ht="15" customHeight="1" x14ac:dyDescent="0.35">
      <c r="B2332" s="100">
        <f t="shared" si="40"/>
        <v>2287</v>
      </c>
      <c r="C2332" s="208" t="s">
        <v>3186</v>
      </c>
      <c r="D2332" s="209" t="s">
        <v>3187</v>
      </c>
      <c r="E2332" s="99">
        <v>11</v>
      </c>
      <c r="F2332" s="210">
        <v>42390</v>
      </c>
      <c r="G2332" s="99">
        <v>4.4000000000000004</v>
      </c>
      <c r="H2332" s="209">
        <v>3.28</v>
      </c>
      <c r="I2332" s="211">
        <v>4.4000000000000004</v>
      </c>
      <c r="J2332" s="69">
        <v>403</v>
      </c>
      <c r="K2332" s="70">
        <v>51.25</v>
      </c>
      <c r="L2332" s="71"/>
      <c r="M2332" s="71"/>
      <c r="N2332" s="71"/>
      <c r="O2332" s="21"/>
      <c r="R2332">
        <v>4.4000000000000004</v>
      </c>
    </row>
    <row r="2333" spans="2:18" ht="15" customHeight="1" x14ac:dyDescent="0.35">
      <c r="B2333" s="100">
        <f t="shared" si="40"/>
        <v>2288</v>
      </c>
      <c r="C2333" s="208" t="s">
        <v>3188</v>
      </c>
      <c r="D2333" s="209" t="s">
        <v>3189</v>
      </c>
      <c r="E2333" s="99">
        <v>11</v>
      </c>
      <c r="F2333" s="210">
        <v>42390</v>
      </c>
      <c r="G2333" s="99">
        <v>4.4000000000000004</v>
      </c>
      <c r="H2333" s="209">
        <v>3.38</v>
      </c>
      <c r="I2333" s="211">
        <v>4.4000000000000004</v>
      </c>
      <c r="J2333" s="69">
        <v>560</v>
      </c>
      <c r="K2333" s="70">
        <v>55</v>
      </c>
      <c r="L2333" s="71"/>
      <c r="M2333" s="71"/>
      <c r="N2333" s="71"/>
      <c r="O2333" s="21"/>
      <c r="R2333">
        <v>4.4000000000000004</v>
      </c>
    </row>
    <row r="2334" spans="2:18" ht="15" customHeight="1" x14ac:dyDescent="0.35">
      <c r="B2334" s="100">
        <f t="shared" si="40"/>
        <v>2289</v>
      </c>
      <c r="C2334" s="208" t="s">
        <v>3190</v>
      </c>
      <c r="D2334" s="209" t="s">
        <v>3191</v>
      </c>
      <c r="E2334" s="99">
        <v>11</v>
      </c>
      <c r="F2334" s="210">
        <v>42390</v>
      </c>
      <c r="G2334" s="99">
        <v>4.4000000000000004</v>
      </c>
      <c r="H2334" s="209">
        <v>3.06</v>
      </c>
      <c r="I2334" s="211">
        <v>4.4000000000000004</v>
      </c>
      <c r="J2334" s="69">
        <v>443</v>
      </c>
      <c r="K2334" s="70">
        <v>56.25</v>
      </c>
      <c r="L2334" s="71"/>
      <c r="M2334" s="71"/>
      <c r="N2334" s="71"/>
      <c r="O2334" s="21"/>
      <c r="R2334">
        <v>4.4000000000000004</v>
      </c>
    </row>
    <row r="2335" spans="2:18" ht="15" customHeight="1" x14ac:dyDescent="0.35">
      <c r="B2335" s="100">
        <f t="shared" si="40"/>
        <v>2290</v>
      </c>
      <c r="C2335" s="208" t="s">
        <v>3192</v>
      </c>
      <c r="D2335" s="209" t="s">
        <v>3193</v>
      </c>
      <c r="E2335" s="99">
        <v>11</v>
      </c>
      <c r="F2335" s="210">
        <v>42390</v>
      </c>
      <c r="G2335" s="99">
        <v>4.4000000000000004</v>
      </c>
      <c r="H2335" s="209">
        <v>3.2</v>
      </c>
      <c r="I2335" s="211">
        <v>4.4000000000000004</v>
      </c>
      <c r="J2335" s="69">
        <v>463</v>
      </c>
      <c r="K2335" s="70">
        <v>60</v>
      </c>
      <c r="L2335" s="71"/>
      <c r="M2335" s="71"/>
      <c r="N2335" s="71"/>
      <c r="O2335" s="21"/>
      <c r="R2335">
        <v>4.4000000000000004</v>
      </c>
    </row>
    <row r="2336" spans="2:18" ht="15" customHeight="1" x14ac:dyDescent="0.35">
      <c r="B2336" s="100">
        <f t="shared" si="40"/>
        <v>2291</v>
      </c>
      <c r="C2336" s="208" t="s">
        <v>3194</v>
      </c>
      <c r="D2336" s="209" t="s">
        <v>3195</v>
      </c>
      <c r="E2336" s="99">
        <v>10</v>
      </c>
      <c r="F2336" s="210">
        <v>42390</v>
      </c>
      <c r="G2336" s="99">
        <v>5.4</v>
      </c>
      <c r="H2336" s="209">
        <v>2.12</v>
      </c>
      <c r="I2336" s="211">
        <v>5.4</v>
      </c>
      <c r="J2336" s="69">
        <v>407</v>
      </c>
      <c r="K2336" s="70">
        <v>58.75</v>
      </c>
      <c r="L2336" s="71"/>
      <c r="M2336" s="71"/>
      <c r="N2336" s="71"/>
      <c r="O2336" s="21"/>
      <c r="R2336">
        <v>5.4</v>
      </c>
    </row>
    <row r="2337" spans="2:18" ht="15" customHeight="1" x14ac:dyDescent="0.35">
      <c r="B2337" s="100">
        <f t="shared" si="40"/>
        <v>2292</v>
      </c>
      <c r="C2337" s="208" t="s">
        <v>3196</v>
      </c>
      <c r="D2337" s="209" t="s">
        <v>3197</v>
      </c>
      <c r="E2337" s="99">
        <v>11</v>
      </c>
      <c r="F2337" s="210">
        <v>42390</v>
      </c>
      <c r="G2337" s="99">
        <v>4.4000000000000004</v>
      </c>
      <c r="H2337" s="212">
        <v>3.51</v>
      </c>
      <c r="I2337" s="211">
        <v>4.4000000000000004</v>
      </c>
      <c r="J2337" s="69">
        <v>433</v>
      </c>
      <c r="K2337" s="70">
        <v>52.5</v>
      </c>
      <c r="L2337" s="71"/>
      <c r="M2337" s="71"/>
      <c r="N2337" s="71"/>
      <c r="O2337" s="21"/>
      <c r="R2337">
        <v>4.4000000000000004</v>
      </c>
    </row>
    <row r="2338" spans="2:18" ht="15" customHeight="1" x14ac:dyDescent="0.35">
      <c r="B2338" s="100">
        <f t="shared" si="40"/>
        <v>2293</v>
      </c>
      <c r="C2338" s="208" t="s">
        <v>3198</v>
      </c>
      <c r="D2338" s="209" t="s">
        <v>3199</v>
      </c>
      <c r="E2338" s="99">
        <v>10</v>
      </c>
      <c r="F2338" s="210">
        <v>42390</v>
      </c>
      <c r="G2338" s="99">
        <v>5.4</v>
      </c>
      <c r="H2338" s="209">
        <v>2.66</v>
      </c>
      <c r="I2338" s="211">
        <v>5.4</v>
      </c>
      <c r="J2338" s="69">
        <v>507</v>
      </c>
      <c r="K2338" s="70">
        <v>65</v>
      </c>
      <c r="L2338" s="71"/>
      <c r="M2338" s="71"/>
      <c r="N2338" s="71"/>
      <c r="O2338" s="21"/>
      <c r="R2338">
        <v>5.4</v>
      </c>
    </row>
    <row r="2339" spans="2:18" ht="15" customHeight="1" x14ac:dyDescent="0.35">
      <c r="B2339" s="100">
        <f t="shared" si="40"/>
        <v>2294</v>
      </c>
      <c r="C2339" s="208" t="s">
        <v>3200</v>
      </c>
      <c r="D2339" s="209" t="s">
        <v>3201</v>
      </c>
      <c r="E2339" s="99">
        <v>11</v>
      </c>
      <c r="F2339" s="210">
        <v>42390</v>
      </c>
      <c r="G2339" s="99">
        <v>4.4000000000000004</v>
      </c>
      <c r="H2339" s="209">
        <v>3.02</v>
      </c>
      <c r="I2339" s="211">
        <v>4.4000000000000004</v>
      </c>
      <c r="J2339" s="69">
        <v>413</v>
      </c>
      <c r="K2339" s="70">
        <v>53.75</v>
      </c>
      <c r="L2339" s="71"/>
      <c r="M2339" s="71"/>
      <c r="N2339" s="71"/>
      <c r="O2339" s="21"/>
      <c r="R2339">
        <v>4.4000000000000004</v>
      </c>
    </row>
    <row r="2340" spans="2:18" ht="15" customHeight="1" x14ac:dyDescent="0.35">
      <c r="B2340" s="100">
        <f t="shared" si="40"/>
        <v>2295</v>
      </c>
      <c r="C2340" s="208" t="s">
        <v>3202</v>
      </c>
      <c r="D2340" s="209" t="s">
        <v>3203</v>
      </c>
      <c r="E2340" s="99">
        <v>8</v>
      </c>
      <c r="F2340" s="210">
        <v>42390</v>
      </c>
      <c r="G2340" s="99"/>
      <c r="H2340" s="209">
        <v>2.2799999999999998</v>
      </c>
      <c r="I2340" s="211"/>
      <c r="J2340" s="69">
        <v>417</v>
      </c>
      <c r="K2340" s="70">
        <v>50.1</v>
      </c>
      <c r="L2340" s="71"/>
      <c r="M2340" s="71"/>
      <c r="N2340" s="71"/>
      <c r="O2340" s="21"/>
    </row>
    <row r="2341" spans="2:18" ht="15" customHeight="1" x14ac:dyDescent="0.35">
      <c r="B2341" s="100">
        <f t="shared" ref="B2341:B2369" si="41">(B2340+1)</f>
        <v>2296</v>
      </c>
      <c r="C2341" s="208" t="s">
        <v>3204</v>
      </c>
      <c r="D2341" s="209" t="s">
        <v>3205</v>
      </c>
      <c r="E2341" s="99">
        <v>11</v>
      </c>
      <c r="F2341" s="210">
        <v>42390</v>
      </c>
      <c r="G2341" s="99">
        <v>4.4000000000000004</v>
      </c>
      <c r="H2341" s="209">
        <v>3.11</v>
      </c>
      <c r="I2341" s="211">
        <v>4.4000000000000004</v>
      </c>
      <c r="J2341" s="69">
        <v>513</v>
      </c>
      <c r="K2341" s="70">
        <v>55</v>
      </c>
      <c r="L2341" s="71"/>
      <c r="M2341" s="71"/>
      <c r="N2341" s="71"/>
      <c r="O2341" s="21"/>
      <c r="R2341">
        <v>4.4000000000000004</v>
      </c>
    </row>
    <row r="2342" spans="2:18" ht="15" customHeight="1" x14ac:dyDescent="0.35">
      <c r="B2342" s="100">
        <f t="shared" si="41"/>
        <v>2297</v>
      </c>
      <c r="C2342" s="208" t="s">
        <v>3206</v>
      </c>
      <c r="D2342" s="209" t="s">
        <v>3207</v>
      </c>
      <c r="E2342" s="99">
        <v>11</v>
      </c>
      <c r="F2342" s="210">
        <v>42390</v>
      </c>
      <c r="G2342" s="99">
        <v>4.4000000000000004</v>
      </c>
      <c r="H2342" s="209">
        <v>3.25</v>
      </c>
      <c r="I2342" s="211">
        <v>4.4000000000000004</v>
      </c>
      <c r="J2342" s="69">
        <v>460</v>
      </c>
      <c r="K2342" s="70">
        <v>56.25</v>
      </c>
      <c r="L2342" s="71"/>
      <c r="M2342" s="71"/>
      <c r="N2342" s="71"/>
      <c r="O2342" s="21"/>
      <c r="R2342">
        <v>4.4000000000000004</v>
      </c>
    </row>
    <row r="2343" spans="2:18" ht="15" customHeight="1" x14ac:dyDescent="0.35">
      <c r="B2343" s="100">
        <f t="shared" si="41"/>
        <v>2298</v>
      </c>
      <c r="C2343" s="208" t="s">
        <v>3208</v>
      </c>
      <c r="D2343" s="209" t="s">
        <v>3209</v>
      </c>
      <c r="E2343" s="99">
        <v>10</v>
      </c>
      <c r="F2343" s="210">
        <v>42390</v>
      </c>
      <c r="G2343" s="99">
        <v>5.4</v>
      </c>
      <c r="H2343" s="209">
        <v>2.74</v>
      </c>
      <c r="I2343" s="211">
        <v>5.4</v>
      </c>
      <c r="J2343" s="69">
        <v>443</v>
      </c>
      <c r="K2343" s="70">
        <v>55</v>
      </c>
      <c r="L2343" s="71"/>
      <c r="M2343" s="71"/>
      <c r="N2343" s="71"/>
      <c r="O2343" s="21"/>
      <c r="R2343">
        <v>5.4</v>
      </c>
    </row>
    <row r="2344" spans="2:18" ht="15" customHeight="1" x14ac:dyDescent="0.35">
      <c r="B2344" s="100">
        <f t="shared" si="41"/>
        <v>2299</v>
      </c>
      <c r="C2344" s="208" t="s">
        <v>3210</v>
      </c>
      <c r="D2344" s="209" t="s">
        <v>3211</v>
      </c>
      <c r="E2344" s="99">
        <v>9</v>
      </c>
      <c r="F2344" s="210">
        <v>42390</v>
      </c>
      <c r="G2344" s="99">
        <v>6.4</v>
      </c>
      <c r="H2344" s="209">
        <v>2.42</v>
      </c>
      <c r="I2344" s="211">
        <v>6.4</v>
      </c>
      <c r="J2344" s="69">
        <v>510</v>
      </c>
      <c r="K2344" s="70">
        <v>52.5</v>
      </c>
      <c r="L2344" s="71"/>
      <c r="M2344" s="71"/>
      <c r="N2344" s="71"/>
      <c r="O2344" s="21"/>
      <c r="R2344">
        <v>6.4</v>
      </c>
    </row>
    <row r="2345" spans="2:18" ht="15" customHeight="1" x14ac:dyDescent="0.35">
      <c r="B2345" s="100">
        <f t="shared" si="41"/>
        <v>2300</v>
      </c>
      <c r="C2345" s="208" t="s">
        <v>3212</v>
      </c>
      <c r="D2345" s="209" t="s">
        <v>3213</v>
      </c>
      <c r="E2345" s="99">
        <v>9</v>
      </c>
      <c r="F2345" s="210">
        <v>42390</v>
      </c>
      <c r="G2345" s="99">
        <v>6.4</v>
      </c>
      <c r="H2345" s="209">
        <v>2.42</v>
      </c>
      <c r="I2345" s="211">
        <v>6.4</v>
      </c>
      <c r="J2345" s="69">
        <v>560</v>
      </c>
      <c r="K2345" s="70">
        <v>50.05</v>
      </c>
      <c r="L2345" s="71"/>
      <c r="M2345" s="71"/>
      <c r="N2345" s="71"/>
      <c r="O2345" s="21"/>
      <c r="R2345">
        <v>6.4</v>
      </c>
    </row>
    <row r="2346" spans="2:18" ht="15" customHeight="1" x14ac:dyDescent="0.35">
      <c r="B2346" s="100">
        <f t="shared" si="41"/>
        <v>2301</v>
      </c>
      <c r="C2346" s="208" t="s">
        <v>3214</v>
      </c>
      <c r="D2346" s="209" t="s">
        <v>3215</v>
      </c>
      <c r="E2346" s="99">
        <v>11</v>
      </c>
      <c r="F2346" s="210">
        <v>42390</v>
      </c>
      <c r="G2346" s="99">
        <v>4.4000000000000004</v>
      </c>
      <c r="H2346" s="209">
        <v>3.41</v>
      </c>
      <c r="I2346" s="211">
        <v>4.4000000000000004</v>
      </c>
      <c r="J2346" s="69">
        <v>453</v>
      </c>
      <c r="K2346" s="70">
        <v>57.5</v>
      </c>
      <c r="L2346" s="71"/>
      <c r="M2346" s="71"/>
      <c r="N2346" s="71"/>
      <c r="O2346" s="21"/>
      <c r="R2346">
        <v>4.4000000000000004</v>
      </c>
    </row>
    <row r="2347" spans="2:18" ht="15" customHeight="1" x14ac:dyDescent="0.35">
      <c r="B2347" s="100">
        <f t="shared" si="41"/>
        <v>2302</v>
      </c>
      <c r="C2347" s="208" t="s">
        <v>3216</v>
      </c>
      <c r="D2347" s="209" t="s">
        <v>3217</v>
      </c>
      <c r="E2347" s="99">
        <v>9</v>
      </c>
      <c r="F2347" s="210">
        <v>42390</v>
      </c>
      <c r="G2347" s="99">
        <v>6.4</v>
      </c>
      <c r="H2347" s="209">
        <v>2.94</v>
      </c>
      <c r="I2347" s="211">
        <v>6.4</v>
      </c>
      <c r="J2347" s="69">
        <v>500</v>
      </c>
      <c r="K2347" s="70">
        <v>61.25</v>
      </c>
      <c r="L2347" s="71"/>
      <c r="M2347" s="71"/>
      <c r="N2347" s="71"/>
      <c r="O2347" s="21"/>
      <c r="R2347">
        <v>6.4</v>
      </c>
    </row>
    <row r="2348" spans="2:18" ht="15" customHeight="1" x14ac:dyDescent="0.35">
      <c r="B2348" s="100">
        <f t="shared" si="41"/>
        <v>2303</v>
      </c>
      <c r="C2348" s="208" t="s">
        <v>3218</v>
      </c>
      <c r="D2348" s="209" t="s">
        <v>3219</v>
      </c>
      <c r="E2348" s="99">
        <v>10</v>
      </c>
      <c r="F2348" s="210">
        <v>42390</v>
      </c>
      <c r="G2348" s="99">
        <v>5.4</v>
      </c>
      <c r="H2348" s="209">
        <v>2.74</v>
      </c>
      <c r="I2348" s="211">
        <v>5.4</v>
      </c>
      <c r="J2348" s="69">
        <v>407</v>
      </c>
      <c r="K2348" s="70">
        <v>57.5</v>
      </c>
      <c r="L2348" s="71"/>
      <c r="M2348" s="71"/>
      <c r="N2348" s="71"/>
      <c r="O2348" s="21"/>
      <c r="R2348">
        <v>5.4</v>
      </c>
    </row>
    <row r="2349" spans="2:18" ht="15" customHeight="1" x14ac:dyDescent="0.35">
      <c r="B2349" s="100">
        <f t="shared" si="41"/>
        <v>2304</v>
      </c>
      <c r="C2349" s="208" t="s">
        <v>3220</v>
      </c>
      <c r="D2349" s="209" t="s">
        <v>3221</v>
      </c>
      <c r="E2349" s="99">
        <v>11</v>
      </c>
      <c r="F2349" s="210">
        <v>42390</v>
      </c>
      <c r="G2349" s="99">
        <v>4.4000000000000004</v>
      </c>
      <c r="H2349" s="209">
        <v>3.08</v>
      </c>
      <c r="I2349" s="211">
        <v>4.4000000000000004</v>
      </c>
      <c r="J2349" s="69">
        <v>480</v>
      </c>
      <c r="K2349" s="70">
        <v>62.5</v>
      </c>
      <c r="L2349" s="71"/>
      <c r="M2349" s="71"/>
      <c r="N2349" s="71"/>
      <c r="O2349" s="21"/>
      <c r="R2349">
        <v>4.4000000000000004</v>
      </c>
    </row>
    <row r="2350" spans="2:18" ht="15" customHeight="1" x14ac:dyDescent="0.35">
      <c r="B2350" s="100">
        <f t="shared" si="41"/>
        <v>2305</v>
      </c>
      <c r="C2350" s="208" t="s">
        <v>3222</v>
      </c>
      <c r="D2350" s="209" t="s">
        <v>3223</v>
      </c>
      <c r="E2350" s="99">
        <v>11</v>
      </c>
      <c r="F2350" s="210">
        <v>42390</v>
      </c>
      <c r="G2350" s="99">
        <v>4.4000000000000004</v>
      </c>
      <c r="H2350" s="209">
        <v>3.26</v>
      </c>
      <c r="I2350" s="211">
        <v>4.4000000000000004</v>
      </c>
      <c r="J2350" s="69">
        <v>487</v>
      </c>
      <c r="K2350" s="70">
        <v>60</v>
      </c>
      <c r="L2350" s="71"/>
      <c r="M2350" s="71"/>
      <c r="N2350" s="71"/>
      <c r="O2350" s="21"/>
      <c r="R2350">
        <v>4.4000000000000004</v>
      </c>
    </row>
    <row r="2351" spans="2:18" ht="15" customHeight="1" x14ac:dyDescent="0.35">
      <c r="B2351" s="100">
        <f t="shared" si="41"/>
        <v>2306</v>
      </c>
      <c r="C2351" s="208" t="s">
        <v>435</v>
      </c>
      <c r="D2351" s="209" t="s">
        <v>3224</v>
      </c>
      <c r="E2351" s="99">
        <v>11</v>
      </c>
      <c r="F2351" s="210">
        <v>42390</v>
      </c>
      <c r="G2351" s="99">
        <v>4.4000000000000004</v>
      </c>
      <c r="H2351" s="212">
        <v>3.65</v>
      </c>
      <c r="I2351" s="211">
        <v>4.4000000000000004</v>
      </c>
      <c r="J2351" s="69">
        <v>447</v>
      </c>
      <c r="K2351" s="70">
        <v>62.5</v>
      </c>
      <c r="L2351" s="71"/>
      <c r="M2351" s="71"/>
      <c r="N2351" s="71"/>
      <c r="O2351" s="21"/>
      <c r="R2351">
        <v>4.4000000000000004</v>
      </c>
    </row>
    <row r="2352" spans="2:18" ht="15" customHeight="1" x14ac:dyDescent="0.35">
      <c r="B2352" s="100">
        <f t="shared" si="41"/>
        <v>2307</v>
      </c>
      <c r="C2352" s="208" t="s">
        <v>3225</v>
      </c>
      <c r="D2352" s="209" t="s">
        <v>3226</v>
      </c>
      <c r="E2352" s="99">
        <v>11</v>
      </c>
      <c r="F2352" s="210">
        <v>42390</v>
      </c>
      <c r="G2352" s="99">
        <v>4.4000000000000004</v>
      </c>
      <c r="H2352" s="209">
        <v>3.25</v>
      </c>
      <c r="I2352" s="211">
        <v>4.4000000000000004</v>
      </c>
      <c r="J2352" s="69">
        <v>435</v>
      </c>
      <c r="K2352" s="70">
        <v>51.25</v>
      </c>
      <c r="L2352" s="71"/>
      <c r="M2352" s="71"/>
      <c r="N2352" s="71"/>
      <c r="O2352" s="21"/>
      <c r="R2352">
        <v>4.4000000000000004</v>
      </c>
    </row>
    <row r="2353" spans="2:18" ht="15" customHeight="1" x14ac:dyDescent="0.35">
      <c r="B2353" s="100">
        <f t="shared" si="41"/>
        <v>2308</v>
      </c>
      <c r="C2353" s="208" t="s">
        <v>3227</v>
      </c>
      <c r="D2353" s="209" t="s">
        <v>3228</v>
      </c>
      <c r="E2353" s="99">
        <v>8</v>
      </c>
      <c r="F2353" s="210">
        <v>42390</v>
      </c>
      <c r="G2353" s="99"/>
      <c r="H2353" s="209">
        <v>2.09</v>
      </c>
      <c r="I2353" s="211"/>
      <c r="J2353" s="69">
        <v>407</v>
      </c>
      <c r="K2353" s="70">
        <v>55</v>
      </c>
      <c r="L2353" s="71"/>
      <c r="M2353" s="71"/>
      <c r="N2353" s="71"/>
      <c r="O2353" s="21"/>
    </row>
    <row r="2354" spans="2:18" ht="15" customHeight="1" x14ac:dyDescent="0.35">
      <c r="B2354" s="100">
        <f t="shared" si="41"/>
        <v>2309</v>
      </c>
      <c r="C2354" s="208" t="s">
        <v>3229</v>
      </c>
      <c r="D2354" s="209" t="s">
        <v>3230</v>
      </c>
      <c r="E2354" s="99">
        <v>9</v>
      </c>
      <c r="F2354" s="210">
        <v>42390</v>
      </c>
      <c r="G2354" s="99">
        <v>6.4</v>
      </c>
      <c r="H2354" s="209">
        <v>2.2200000000000002</v>
      </c>
      <c r="I2354" s="211">
        <v>6.4</v>
      </c>
      <c r="J2354" s="69">
        <v>430</v>
      </c>
      <c r="K2354" s="70">
        <v>50.05</v>
      </c>
      <c r="L2354" s="71"/>
      <c r="M2354" s="71"/>
      <c r="N2354" s="71"/>
      <c r="O2354" s="21"/>
      <c r="R2354">
        <v>6.4</v>
      </c>
    </row>
    <row r="2355" spans="2:18" ht="15" customHeight="1" x14ac:dyDescent="0.35">
      <c r="B2355" s="100">
        <f t="shared" si="41"/>
        <v>2310</v>
      </c>
      <c r="C2355" s="208" t="s">
        <v>3231</v>
      </c>
      <c r="D2355" s="209" t="s">
        <v>3232</v>
      </c>
      <c r="E2355" s="99">
        <v>11</v>
      </c>
      <c r="F2355" s="210">
        <v>42390</v>
      </c>
      <c r="G2355" s="99">
        <v>4.4000000000000004</v>
      </c>
      <c r="H2355" s="209">
        <v>3.4</v>
      </c>
      <c r="I2355" s="211">
        <v>4.4000000000000004</v>
      </c>
      <c r="J2355" s="69">
        <v>467</v>
      </c>
      <c r="K2355" s="70">
        <v>63.75</v>
      </c>
      <c r="L2355" s="71"/>
      <c r="M2355" s="71"/>
      <c r="N2355" s="71"/>
      <c r="O2355" s="21"/>
      <c r="R2355">
        <v>4.4000000000000004</v>
      </c>
    </row>
    <row r="2356" spans="2:18" ht="15" customHeight="1" x14ac:dyDescent="0.35">
      <c r="B2356" s="100">
        <f t="shared" si="41"/>
        <v>2311</v>
      </c>
      <c r="C2356" s="208" t="s">
        <v>3233</v>
      </c>
      <c r="D2356" s="209" t="s">
        <v>3234</v>
      </c>
      <c r="E2356" s="99">
        <v>11</v>
      </c>
      <c r="F2356" s="210">
        <v>42390</v>
      </c>
      <c r="G2356" s="99">
        <v>4.4000000000000004</v>
      </c>
      <c r="H2356" s="209">
        <v>3.21</v>
      </c>
      <c r="I2356" s="211">
        <v>4.4000000000000004</v>
      </c>
      <c r="J2356" s="69">
        <v>450</v>
      </c>
      <c r="K2356" s="70">
        <v>58.75</v>
      </c>
      <c r="L2356" s="71"/>
      <c r="M2356" s="71"/>
      <c r="N2356" s="71"/>
      <c r="O2356" s="21"/>
      <c r="R2356">
        <v>4.4000000000000004</v>
      </c>
    </row>
    <row r="2357" spans="2:18" ht="15" customHeight="1" x14ac:dyDescent="0.35">
      <c r="B2357" s="100">
        <f t="shared" si="41"/>
        <v>2312</v>
      </c>
      <c r="C2357" s="213" t="s">
        <v>3235</v>
      </c>
      <c r="D2357" s="214" t="s">
        <v>3236</v>
      </c>
      <c r="E2357" s="99">
        <v>10</v>
      </c>
      <c r="F2357" s="215">
        <v>42482</v>
      </c>
      <c r="G2357" s="99">
        <v>5.4</v>
      </c>
      <c r="H2357" s="214">
        <v>2.35</v>
      </c>
      <c r="I2357" s="216">
        <v>5.4</v>
      </c>
      <c r="J2357" s="73">
        <v>417</v>
      </c>
      <c r="K2357" s="74">
        <v>60</v>
      </c>
      <c r="L2357" s="21"/>
      <c r="M2357" s="21"/>
      <c r="N2357" s="21"/>
      <c r="O2357" s="21"/>
      <c r="R2357">
        <v>5.4</v>
      </c>
    </row>
    <row r="2358" spans="2:18" ht="15" customHeight="1" x14ac:dyDescent="0.35">
      <c r="B2358" s="100">
        <f t="shared" si="41"/>
        <v>2313</v>
      </c>
      <c r="C2358" s="213" t="s">
        <v>3237</v>
      </c>
      <c r="D2358" s="214" t="s">
        <v>3238</v>
      </c>
      <c r="E2358" s="99">
        <v>10</v>
      </c>
      <c r="F2358" s="215">
        <v>42482</v>
      </c>
      <c r="G2358" s="99">
        <v>5.4</v>
      </c>
      <c r="H2358" s="214">
        <v>3.5</v>
      </c>
      <c r="I2358" s="216">
        <v>5.4</v>
      </c>
      <c r="J2358" s="73">
        <v>430</v>
      </c>
      <c r="K2358" s="74">
        <v>63.75</v>
      </c>
      <c r="L2358" s="21"/>
      <c r="M2358" s="21"/>
      <c r="N2358" s="21"/>
      <c r="O2358" s="21"/>
      <c r="R2358">
        <v>5.4</v>
      </c>
    </row>
    <row r="2359" spans="2:18" ht="15" customHeight="1" x14ac:dyDescent="0.35">
      <c r="B2359" s="100">
        <f t="shared" si="41"/>
        <v>2314</v>
      </c>
      <c r="C2359" s="213" t="s">
        <v>3239</v>
      </c>
      <c r="D2359" s="214" t="s">
        <v>3240</v>
      </c>
      <c r="E2359" s="99">
        <v>11</v>
      </c>
      <c r="F2359" s="215">
        <v>42482</v>
      </c>
      <c r="G2359" s="99">
        <v>4.7</v>
      </c>
      <c r="H2359" s="214">
        <v>2.88</v>
      </c>
      <c r="I2359" s="216">
        <v>4.7</v>
      </c>
      <c r="J2359" s="73">
        <v>483</v>
      </c>
      <c r="K2359" s="74">
        <v>52.5</v>
      </c>
      <c r="L2359" s="21"/>
      <c r="M2359" s="21"/>
      <c r="N2359" s="21"/>
      <c r="O2359" s="21"/>
      <c r="R2359">
        <v>4.7</v>
      </c>
    </row>
    <row r="2360" spans="2:18" ht="15" customHeight="1" x14ac:dyDescent="0.35">
      <c r="B2360" s="100">
        <f t="shared" si="41"/>
        <v>2315</v>
      </c>
      <c r="C2360" s="208" t="s">
        <v>3241</v>
      </c>
      <c r="D2360" s="214" t="s">
        <v>3242</v>
      </c>
      <c r="E2360" s="99">
        <v>11</v>
      </c>
      <c r="F2360" s="215">
        <v>42482</v>
      </c>
      <c r="G2360" s="99">
        <v>4.7</v>
      </c>
      <c r="H2360" s="214">
        <v>2.99</v>
      </c>
      <c r="I2360" s="216">
        <v>4.7</v>
      </c>
      <c r="J2360" s="73">
        <v>473</v>
      </c>
      <c r="K2360" s="74">
        <v>57.5</v>
      </c>
      <c r="L2360" s="21"/>
      <c r="M2360" s="21"/>
      <c r="N2360" s="21"/>
      <c r="O2360" s="21"/>
      <c r="R2360">
        <v>4.7</v>
      </c>
    </row>
    <row r="2361" spans="2:18" ht="15" customHeight="1" x14ac:dyDescent="0.35">
      <c r="B2361" s="100">
        <f t="shared" si="41"/>
        <v>2316</v>
      </c>
      <c r="C2361" s="213" t="s">
        <v>3243</v>
      </c>
      <c r="D2361" s="214" t="s">
        <v>3244</v>
      </c>
      <c r="E2361" s="99">
        <v>11</v>
      </c>
      <c r="F2361" s="215">
        <v>42482</v>
      </c>
      <c r="G2361" s="99">
        <v>4.7</v>
      </c>
      <c r="H2361" s="214">
        <v>3.25</v>
      </c>
      <c r="I2361" s="216">
        <v>4.7</v>
      </c>
      <c r="J2361" s="73">
        <v>493</v>
      </c>
      <c r="K2361" s="74">
        <v>62.5</v>
      </c>
      <c r="L2361" s="21"/>
      <c r="M2361" s="21"/>
      <c r="N2361" s="21"/>
      <c r="O2361" s="21"/>
      <c r="R2361">
        <v>4.7</v>
      </c>
    </row>
    <row r="2362" spans="2:18" ht="15" customHeight="1" x14ac:dyDescent="0.35">
      <c r="B2362" s="100">
        <f t="shared" si="41"/>
        <v>2317</v>
      </c>
      <c r="C2362" s="213" t="s">
        <v>3245</v>
      </c>
      <c r="D2362" s="214" t="s">
        <v>3246</v>
      </c>
      <c r="E2362" s="99">
        <v>11</v>
      </c>
      <c r="F2362" s="215">
        <v>42482</v>
      </c>
      <c r="G2362" s="99">
        <v>4.7</v>
      </c>
      <c r="H2362" s="214">
        <v>3.01</v>
      </c>
      <c r="I2362" s="216">
        <v>4.7</v>
      </c>
      <c r="J2362" s="73">
        <v>450</v>
      </c>
      <c r="K2362" s="74">
        <v>55</v>
      </c>
      <c r="L2362" s="21"/>
      <c r="M2362" s="21"/>
      <c r="N2362" s="21"/>
      <c r="O2362" s="21"/>
      <c r="R2362">
        <v>4.7</v>
      </c>
    </row>
    <row r="2363" spans="2:18" ht="15" customHeight="1" x14ac:dyDescent="0.35">
      <c r="B2363" s="100">
        <f t="shared" si="41"/>
        <v>2318</v>
      </c>
      <c r="C2363" s="213" t="s">
        <v>3247</v>
      </c>
      <c r="D2363" s="214" t="s">
        <v>3248</v>
      </c>
      <c r="E2363" s="99">
        <v>11</v>
      </c>
      <c r="F2363" s="215">
        <v>42482</v>
      </c>
      <c r="G2363" s="99">
        <v>4.7</v>
      </c>
      <c r="H2363" s="214">
        <v>3.21</v>
      </c>
      <c r="I2363" s="216">
        <v>4.7</v>
      </c>
      <c r="J2363" s="73">
        <v>457</v>
      </c>
      <c r="K2363" s="74">
        <v>62.5</v>
      </c>
      <c r="L2363" s="21"/>
      <c r="M2363" s="21"/>
      <c r="N2363" s="21"/>
      <c r="O2363" s="21"/>
      <c r="R2363">
        <v>4.7</v>
      </c>
    </row>
    <row r="2364" spans="2:18" ht="15" customHeight="1" x14ac:dyDescent="0.35">
      <c r="B2364" s="100">
        <f t="shared" si="41"/>
        <v>2319</v>
      </c>
      <c r="C2364" s="213" t="s">
        <v>3249</v>
      </c>
      <c r="D2364" s="214" t="s">
        <v>3250</v>
      </c>
      <c r="E2364" s="99">
        <v>11</v>
      </c>
      <c r="F2364" s="215">
        <v>42482</v>
      </c>
      <c r="G2364" s="99">
        <v>4.7</v>
      </c>
      <c r="H2364" s="214">
        <v>3.19</v>
      </c>
      <c r="I2364" s="216">
        <v>4.7</v>
      </c>
      <c r="J2364" s="73">
        <v>510</v>
      </c>
      <c r="K2364" s="74">
        <v>58.75</v>
      </c>
      <c r="L2364" s="21"/>
      <c r="M2364" s="21"/>
      <c r="N2364" s="21"/>
      <c r="O2364" s="21"/>
      <c r="R2364">
        <v>4.7</v>
      </c>
    </row>
    <row r="2365" spans="2:18" ht="15" customHeight="1" x14ac:dyDescent="0.35">
      <c r="B2365" s="100">
        <f t="shared" si="41"/>
        <v>2320</v>
      </c>
      <c r="C2365" s="213" t="s">
        <v>3251</v>
      </c>
      <c r="D2365" s="214" t="s">
        <v>3252</v>
      </c>
      <c r="E2365" s="99">
        <v>11</v>
      </c>
      <c r="F2365" s="215">
        <v>42482</v>
      </c>
      <c r="G2365" s="99">
        <v>4.7</v>
      </c>
      <c r="H2365" s="214">
        <v>3</v>
      </c>
      <c r="I2365" s="216">
        <v>4.7</v>
      </c>
      <c r="J2365" s="73">
        <v>457</v>
      </c>
      <c r="K2365" s="74">
        <v>53.75</v>
      </c>
      <c r="L2365" s="21" t="s">
        <v>580</v>
      </c>
      <c r="M2365" s="21"/>
      <c r="N2365" s="21"/>
      <c r="O2365" s="21"/>
      <c r="R2365">
        <v>4.7</v>
      </c>
    </row>
    <row r="2366" spans="2:18" ht="15" customHeight="1" x14ac:dyDescent="0.35">
      <c r="B2366" s="100">
        <f t="shared" si="41"/>
        <v>2321</v>
      </c>
      <c r="C2366" s="213" t="s">
        <v>3253</v>
      </c>
      <c r="D2366" s="214" t="s">
        <v>3254</v>
      </c>
      <c r="E2366" s="99">
        <v>11</v>
      </c>
      <c r="F2366" s="215">
        <v>42482</v>
      </c>
      <c r="G2366" s="99">
        <v>4.7</v>
      </c>
      <c r="H2366" s="214">
        <v>2.81</v>
      </c>
      <c r="I2366" s="216">
        <v>4.7</v>
      </c>
      <c r="J2366" s="73">
        <v>483</v>
      </c>
      <c r="K2366" s="74">
        <v>63.75</v>
      </c>
      <c r="L2366" s="21"/>
      <c r="M2366" s="21"/>
      <c r="N2366" s="21"/>
      <c r="O2366" s="21"/>
      <c r="R2366">
        <v>4.7</v>
      </c>
    </row>
    <row r="2367" spans="2:18" ht="15" customHeight="1" x14ac:dyDescent="0.35">
      <c r="B2367" s="100">
        <f t="shared" si="41"/>
        <v>2322</v>
      </c>
      <c r="C2367" s="213" t="s">
        <v>3255</v>
      </c>
      <c r="D2367" s="214" t="s">
        <v>3256</v>
      </c>
      <c r="E2367" s="99">
        <v>10</v>
      </c>
      <c r="F2367" s="215">
        <v>42482</v>
      </c>
      <c r="G2367" s="99">
        <v>5.4</v>
      </c>
      <c r="H2367" s="214">
        <v>2.7</v>
      </c>
      <c r="I2367" s="216">
        <v>5.4</v>
      </c>
      <c r="J2367" s="73">
        <v>420</v>
      </c>
      <c r="K2367" s="74">
        <v>51.25</v>
      </c>
      <c r="L2367" s="21"/>
      <c r="M2367" s="21"/>
      <c r="N2367" s="21"/>
      <c r="O2367" s="21"/>
      <c r="R2367">
        <v>5.4</v>
      </c>
    </row>
    <row r="2368" spans="2:18" ht="15" customHeight="1" x14ac:dyDescent="0.35">
      <c r="B2368" s="100">
        <f t="shared" si="41"/>
        <v>2323</v>
      </c>
      <c r="C2368" s="213" t="s">
        <v>3257</v>
      </c>
      <c r="D2368" s="214" t="s">
        <v>3258</v>
      </c>
      <c r="E2368" s="99">
        <v>11</v>
      </c>
      <c r="F2368" s="215">
        <v>42482</v>
      </c>
      <c r="G2368" s="99">
        <v>4.7</v>
      </c>
      <c r="H2368" s="214">
        <v>3.12</v>
      </c>
      <c r="I2368" s="216">
        <v>4.7</v>
      </c>
      <c r="J2368" s="73">
        <v>467</v>
      </c>
      <c r="K2368" s="74">
        <v>65</v>
      </c>
      <c r="L2368" s="21"/>
      <c r="M2368" s="19" t="s">
        <v>580</v>
      </c>
      <c r="N2368" s="21"/>
      <c r="O2368" s="21"/>
      <c r="R2368">
        <v>4.7</v>
      </c>
    </row>
    <row r="2369" spans="2:18" ht="15" customHeight="1" x14ac:dyDescent="0.35">
      <c r="B2369" s="100">
        <f t="shared" si="41"/>
        <v>2324</v>
      </c>
      <c r="C2369" s="213" t="s">
        <v>3259</v>
      </c>
      <c r="D2369" s="214" t="s">
        <v>3260</v>
      </c>
      <c r="E2369" s="99">
        <v>11</v>
      </c>
      <c r="F2369" s="215">
        <v>42482</v>
      </c>
      <c r="G2369" s="99">
        <v>4.7</v>
      </c>
      <c r="H2369" s="214">
        <v>2.94</v>
      </c>
      <c r="I2369" s="216">
        <v>4.7</v>
      </c>
      <c r="J2369" s="73">
        <v>460</v>
      </c>
      <c r="K2369" s="74">
        <v>52.5</v>
      </c>
      <c r="L2369" s="21"/>
      <c r="M2369" s="21"/>
      <c r="N2369" s="21"/>
      <c r="O2369" s="21"/>
      <c r="R2369">
        <v>4.7</v>
      </c>
    </row>
    <row r="2370" spans="2:18" ht="15" customHeight="1" x14ac:dyDescent="0.35">
      <c r="B2370" s="100">
        <f>(B2369+1)</f>
        <v>2325</v>
      </c>
      <c r="C2370" s="213" t="s">
        <v>3261</v>
      </c>
      <c r="D2370" s="214" t="s">
        <v>3262</v>
      </c>
      <c r="E2370" s="99">
        <v>11</v>
      </c>
      <c r="F2370" s="215">
        <v>42482</v>
      </c>
      <c r="G2370" s="99">
        <v>4.7</v>
      </c>
      <c r="H2370" s="214">
        <v>2.62</v>
      </c>
      <c r="I2370" s="216">
        <v>4.7</v>
      </c>
      <c r="J2370" s="73">
        <v>489</v>
      </c>
      <c r="K2370" s="74">
        <v>56.25</v>
      </c>
      <c r="L2370" s="21"/>
      <c r="M2370" s="21"/>
      <c r="N2370" s="21"/>
      <c r="O2370" s="21"/>
      <c r="R2370">
        <v>4.7</v>
      </c>
    </row>
    <row r="2371" spans="2:18" ht="15" customHeight="1" x14ac:dyDescent="0.35">
      <c r="B2371" s="100">
        <f>(B2370+1)</f>
        <v>2326</v>
      </c>
      <c r="C2371" s="213" t="s">
        <v>3263</v>
      </c>
      <c r="D2371" s="209" t="s">
        <v>3264</v>
      </c>
      <c r="E2371" s="153">
        <v>12</v>
      </c>
      <c r="F2371" s="215">
        <v>42552</v>
      </c>
      <c r="G2371" s="153">
        <v>3.11</v>
      </c>
      <c r="H2371" s="214">
        <v>3.14</v>
      </c>
      <c r="I2371" s="153">
        <v>3.11</v>
      </c>
      <c r="J2371" s="73">
        <v>480</v>
      </c>
      <c r="K2371" s="74">
        <v>71.25</v>
      </c>
      <c r="L2371" s="21"/>
      <c r="M2371" s="21"/>
      <c r="N2371" s="21"/>
      <c r="O2371" s="21"/>
      <c r="R2371">
        <v>3.11</v>
      </c>
    </row>
    <row r="2372" spans="2:18" ht="15" customHeight="1" x14ac:dyDescent="0.35">
      <c r="B2372" s="100">
        <f>(B2371+1)</f>
        <v>2327</v>
      </c>
      <c r="C2372" s="213" t="s">
        <v>3265</v>
      </c>
      <c r="D2372" s="209" t="s">
        <v>3266</v>
      </c>
      <c r="E2372" s="153">
        <v>12</v>
      </c>
      <c r="F2372" s="215">
        <v>42552</v>
      </c>
      <c r="G2372" s="153">
        <v>3.11</v>
      </c>
      <c r="H2372" s="214">
        <v>3.55</v>
      </c>
      <c r="I2372" s="153">
        <v>3.11</v>
      </c>
      <c r="J2372" s="73">
        <v>470</v>
      </c>
      <c r="K2372" s="74">
        <v>56.25</v>
      </c>
      <c r="L2372" s="21"/>
      <c r="M2372" s="21"/>
      <c r="N2372" s="21"/>
      <c r="O2372" s="21"/>
      <c r="R2372">
        <v>3.11</v>
      </c>
    </row>
    <row r="2373" spans="2:18" ht="15" customHeight="1" x14ac:dyDescent="0.35">
      <c r="B2373" s="100">
        <f>(B2372+1)</f>
        <v>2328</v>
      </c>
      <c r="C2373" s="213" t="s">
        <v>3267</v>
      </c>
      <c r="D2373" s="209" t="s">
        <v>3268</v>
      </c>
      <c r="E2373" s="153">
        <v>12</v>
      </c>
      <c r="F2373" s="215">
        <v>42552</v>
      </c>
      <c r="G2373" s="153">
        <v>3.11</v>
      </c>
      <c r="H2373" s="214">
        <v>3.68</v>
      </c>
      <c r="I2373" s="153">
        <v>3.11</v>
      </c>
      <c r="J2373" s="73">
        <v>517</v>
      </c>
      <c r="K2373" s="74">
        <v>79</v>
      </c>
      <c r="L2373" s="21"/>
      <c r="M2373" s="21"/>
      <c r="N2373" s="21"/>
      <c r="O2373" s="21"/>
      <c r="R2373">
        <v>3.11</v>
      </c>
    </row>
    <row r="2374" spans="2:18" ht="15" customHeight="1" x14ac:dyDescent="0.35">
      <c r="B2374" s="100">
        <f t="shared" ref="B2374:B2437" si="42">(B2373+1)</f>
        <v>2329</v>
      </c>
      <c r="C2374" s="208" t="s">
        <v>3269</v>
      </c>
      <c r="D2374" s="209" t="s">
        <v>3270</v>
      </c>
      <c r="E2374" s="153">
        <v>12</v>
      </c>
      <c r="F2374" s="210">
        <v>42573</v>
      </c>
      <c r="G2374" s="153">
        <v>3.11</v>
      </c>
      <c r="H2374" s="209">
        <v>3.74</v>
      </c>
      <c r="I2374" s="143">
        <v>3.11</v>
      </c>
      <c r="J2374" s="69">
        <v>473</v>
      </c>
      <c r="K2374" s="70">
        <v>79</v>
      </c>
      <c r="L2374" s="21"/>
      <c r="M2374" s="21"/>
      <c r="N2374" s="21"/>
      <c r="O2374" s="21"/>
      <c r="R2374">
        <v>3.11</v>
      </c>
    </row>
    <row r="2375" spans="2:18" ht="15" customHeight="1" x14ac:dyDescent="0.35">
      <c r="B2375" s="100">
        <f t="shared" si="42"/>
        <v>2330</v>
      </c>
      <c r="C2375" s="208" t="s">
        <v>3271</v>
      </c>
      <c r="D2375" s="209" t="s">
        <v>3272</v>
      </c>
      <c r="E2375" s="153">
        <v>12</v>
      </c>
      <c r="F2375" s="210">
        <v>42573</v>
      </c>
      <c r="G2375" s="153">
        <v>3.11</v>
      </c>
      <c r="H2375" s="209">
        <v>3.55</v>
      </c>
      <c r="I2375" s="143">
        <v>3.11</v>
      </c>
      <c r="J2375" s="69">
        <v>523</v>
      </c>
      <c r="K2375" s="70">
        <v>70</v>
      </c>
      <c r="L2375" s="21"/>
      <c r="M2375" s="21"/>
      <c r="N2375" s="21"/>
      <c r="O2375" s="21"/>
      <c r="R2375">
        <v>3.11</v>
      </c>
    </row>
    <row r="2376" spans="2:18" ht="15" customHeight="1" x14ac:dyDescent="0.35">
      <c r="B2376" s="100">
        <f t="shared" si="42"/>
        <v>2331</v>
      </c>
      <c r="C2376" s="208" t="s">
        <v>3273</v>
      </c>
      <c r="D2376" s="209" t="s">
        <v>3274</v>
      </c>
      <c r="E2376" s="153">
        <v>12</v>
      </c>
      <c r="F2376" s="210">
        <v>42573</v>
      </c>
      <c r="G2376" s="153">
        <v>3.11</v>
      </c>
      <c r="H2376" s="209">
        <v>3.5</v>
      </c>
      <c r="I2376" s="143">
        <v>3.11</v>
      </c>
      <c r="J2376" s="69">
        <v>550</v>
      </c>
      <c r="K2376" s="70">
        <v>66.25</v>
      </c>
      <c r="L2376" s="21"/>
      <c r="M2376" s="21"/>
      <c r="N2376" s="21"/>
      <c r="O2376" s="21"/>
      <c r="R2376">
        <v>3.11</v>
      </c>
    </row>
    <row r="2377" spans="2:18" ht="15" customHeight="1" x14ac:dyDescent="0.35">
      <c r="B2377" s="100">
        <f t="shared" si="42"/>
        <v>2332</v>
      </c>
      <c r="C2377" s="208" t="s">
        <v>3275</v>
      </c>
      <c r="D2377" s="209" t="s">
        <v>3276</v>
      </c>
      <c r="E2377" s="153">
        <v>12</v>
      </c>
      <c r="F2377" s="210">
        <v>42573</v>
      </c>
      <c r="G2377" s="153">
        <v>3.11</v>
      </c>
      <c r="H2377" s="209">
        <v>3.56</v>
      </c>
      <c r="I2377" s="143">
        <v>3.11</v>
      </c>
      <c r="J2377" s="69">
        <v>597</v>
      </c>
      <c r="K2377" s="70">
        <v>62.5</v>
      </c>
      <c r="L2377" s="21"/>
      <c r="M2377" s="21"/>
      <c r="N2377" s="21"/>
      <c r="O2377" s="21"/>
      <c r="R2377">
        <v>3.11</v>
      </c>
    </row>
    <row r="2378" spans="2:18" ht="15" customHeight="1" x14ac:dyDescent="0.35">
      <c r="B2378" s="100">
        <f t="shared" si="42"/>
        <v>2333</v>
      </c>
      <c r="C2378" s="208" t="s">
        <v>3277</v>
      </c>
      <c r="D2378" s="209" t="s">
        <v>3278</v>
      </c>
      <c r="E2378" s="99">
        <v>11</v>
      </c>
      <c r="F2378" s="210">
        <v>42573</v>
      </c>
      <c r="G2378" s="99">
        <v>4.1100000000000003</v>
      </c>
      <c r="H2378" s="209">
        <v>2.95</v>
      </c>
      <c r="I2378" s="143">
        <v>4.1100000000000003</v>
      </c>
      <c r="J2378" s="69">
        <v>481</v>
      </c>
      <c r="K2378" s="70">
        <v>65</v>
      </c>
      <c r="L2378" s="21"/>
      <c r="M2378" s="21"/>
      <c r="N2378" s="21"/>
      <c r="O2378" s="21"/>
      <c r="R2378">
        <v>4.1100000000000003</v>
      </c>
    </row>
    <row r="2379" spans="2:18" ht="15" customHeight="1" x14ac:dyDescent="0.35">
      <c r="B2379" s="100">
        <f t="shared" si="42"/>
        <v>2334</v>
      </c>
      <c r="C2379" s="208" t="s">
        <v>3279</v>
      </c>
      <c r="D2379" s="209" t="s">
        <v>3280</v>
      </c>
      <c r="E2379" s="153">
        <v>12</v>
      </c>
      <c r="F2379" s="210">
        <v>42573</v>
      </c>
      <c r="G2379" s="153">
        <v>3.11</v>
      </c>
      <c r="H2379" s="209">
        <v>3.68</v>
      </c>
      <c r="I2379" s="143">
        <v>3.11</v>
      </c>
      <c r="J2379" s="69">
        <v>483</v>
      </c>
      <c r="K2379" s="70">
        <v>78</v>
      </c>
      <c r="L2379" s="21"/>
      <c r="M2379" s="21"/>
      <c r="N2379" s="21"/>
      <c r="O2379" s="21"/>
      <c r="R2379">
        <v>3.11</v>
      </c>
    </row>
    <row r="2380" spans="2:18" ht="15" customHeight="1" x14ac:dyDescent="0.35">
      <c r="B2380" s="100">
        <f t="shared" si="42"/>
        <v>2335</v>
      </c>
      <c r="C2380" s="208" t="s">
        <v>3281</v>
      </c>
      <c r="D2380" s="209" t="s">
        <v>3282</v>
      </c>
      <c r="E2380" s="153">
        <v>12</v>
      </c>
      <c r="F2380" s="210">
        <v>42573</v>
      </c>
      <c r="G2380" s="153">
        <v>3.11</v>
      </c>
      <c r="H2380" s="209">
        <v>3.5</v>
      </c>
      <c r="I2380" s="143">
        <v>3.11</v>
      </c>
      <c r="J2380" s="69">
        <v>460</v>
      </c>
      <c r="K2380" s="70">
        <v>76</v>
      </c>
      <c r="L2380" s="21"/>
      <c r="M2380" s="21"/>
      <c r="N2380" s="21"/>
      <c r="O2380" s="21"/>
      <c r="R2380">
        <v>3.11</v>
      </c>
    </row>
    <row r="2381" spans="2:18" ht="15" customHeight="1" x14ac:dyDescent="0.35">
      <c r="B2381" s="100">
        <f t="shared" si="42"/>
        <v>2336</v>
      </c>
      <c r="C2381" s="208" t="s">
        <v>3283</v>
      </c>
      <c r="D2381" s="209" t="s">
        <v>3284</v>
      </c>
      <c r="E2381" s="153">
        <v>12</v>
      </c>
      <c r="F2381" s="210">
        <v>42573</v>
      </c>
      <c r="G2381" s="153">
        <v>3.11</v>
      </c>
      <c r="H2381" s="209">
        <v>3.58</v>
      </c>
      <c r="I2381" s="143">
        <v>3.11</v>
      </c>
      <c r="J2381" s="69">
        <v>447</v>
      </c>
      <c r="K2381" s="70">
        <v>75</v>
      </c>
      <c r="L2381" s="21"/>
      <c r="M2381" s="21"/>
      <c r="N2381" s="21"/>
      <c r="O2381" s="21"/>
      <c r="R2381">
        <v>3.11</v>
      </c>
    </row>
    <row r="2382" spans="2:18" ht="15" customHeight="1" x14ac:dyDescent="0.35">
      <c r="B2382" s="100">
        <f t="shared" si="42"/>
        <v>2337</v>
      </c>
      <c r="C2382" s="208" t="s">
        <v>3285</v>
      </c>
      <c r="D2382" s="209" t="s">
        <v>3286</v>
      </c>
      <c r="E2382" s="153">
        <v>12</v>
      </c>
      <c r="F2382" s="210">
        <v>42573</v>
      </c>
      <c r="G2382" s="153">
        <v>3.11</v>
      </c>
      <c r="H2382" s="209">
        <v>3.83</v>
      </c>
      <c r="I2382" s="143">
        <v>3.11</v>
      </c>
      <c r="J2382" s="69">
        <v>437</v>
      </c>
      <c r="K2382" s="70">
        <v>81</v>
      </c>
      <c r="L2382" s="21"/>
      <c r="M2382" s="21"/>
      <c r="N2382" s="21"/>
      <c r="O2382" s="21"/>
      <c r="R2382">
        <v>3.11</v>
      </c>
    </row>
    <row r="2383" spans="2:18" ht="15" customHeight="1" x14ac:dyDescent="0.35">
      <c r="B2383" s="100">
        <f t="shared" si="42"/>
        <v>2338</v>
      </c>
      <c r="C2383" s="208" t="s">
        <v>3287</v>
      </c>
      <c r="D2383" s="209" t="s">
        <v>3288</v>
      </c>
      <c r="E2383" s="153">
        <v>12</v>
      </c>
      <c r="F2383" s="210">
        <v>42573</v>
      </c>
      <c r="G2383" s="153">
        <v>3.11</v>
      </c>
      <c r="H2383" s="209">
        <v>3.69</v>
      </c>
      <c r="I2383" s="143">
        <v>3.11</v>
      </c>
      <c r="J2383" s="69">
        <v>513</v>
      </c>
      <c r="K2383" s="70">
        <v>60</v>
      </c>
      <c r="L2383" s="21"/>
      <c r="M2383" s="21"/>
      <c r="N2383" s="21"/>
      <c r="O2383" s="21"/>
      <c r="R2383">
        <v>3.11</v>
      </c>
    </row>
    <row r="2384" spans="2:18" ht="15" customHeight="1" x14ac:dyDescent="0.35">
      <c r="B2384" s="100">
        <f t="shared" si="42"/>
        <v>2339</v>
      </c>
      <c r="C2384" s="208" t="s">
        <v>3289</v>
      </c>
      <c r="D2384" s="209" t="s">
        <v>3290</v>
      </c>
      <c r="E2384" s="153">
        <v>12</v>
      </c>
      <c r="F2384" s="210">
        <v>42573</v>
      </c>
      <c r="G2384" s="153">
        <v>3.11</v>
      </c>
      <c r="H2384" s="209">
        <v>3.61</v>
      </c>
      <c r="I2384" s="143">
        <v>3.11</v>
      </c>
      <c r="J2384" s="69">
        <v>567</v>
      </c>
      <c r="K2384" s="70">
        <v>65</v>
      </c>
      <c r="L2384" s="21"/>
      <c r="M2384" s="21"/>
      <c r="N2384" s="21"/>
      <c r="O2384" s="21"/>
      <c r="R2384">
        <v>3.11</v>
      </c>
    </row>
    <row r="2385" spans="2:18" ht="15" customHeight="1" x14ac:dyDescent="0.35">
      <c r="B2385" s="100">
        <f t="shared" si="42"/>
        <v>2340</v>
      </c>
      <c r="C2385" s="208" t="s">
        <v>3291</v>
      </c>
      <c r="D2385" s="209" t="s">
        <v>3292</v>
      </c>
      <c r="E2385" s="153">
        <v>12</v>
      </c>
      <c r="F2385" s="210">
        <v>42573</v>
      </c>
      <c r="G2385" s="153">
        <v>3.11</v>
      </c>
      <c r="H2385" s="209">
        <v>3.42</v>
      </c>
      <c r="I2385" s="143">
        <v>3.11</v>
      </c>
      <c r="J2385" s="69">
        <v>530</v>
      </c>
      <c r="K2385" s="70">
        <v>80</v>
      </c>
      <c r="L2385" s="21"/>
      <c r="M2385" s="21"/>
      <c r="N2385" s="21"/>
      <c r="O2385" s="21"/>
      <c r="R2385">
        <v>3.11</v>
      </c>
    </row>
    <row r="2386" spans="2:18" ht="15" customHeight="1" x14ac:dyDescent="0.35">
      <c r="B2386" s="100">
        <f t="shared" si="42"/>
        <v>2341</v>
      </c>
      <c r="C2386" s="208" t="s">
        <v>3293</v>
      </c>
      <c r="D2386" s="209" t="s">
        <v>3294</v>
      </c>
      <c r="E2386" s="153">
        <v>12</v>
      </c>
      <c r="F2386" s="210">
        <v>42573</v>
      </c>
      <c r="G2386" s="153">
        <v>3.11</v>
      </c>
      <c r="H2386" s="209">
        <v>3.52</v>
      </c>
      <c r="I2386" s="143">
        <v>3.11</v>
      </c>
      <c r="J2386" s="69">
        <v>443</v>
      </c>
      <c r="K2386" s="70">
        <v>75</v>
      </c>
      <c r="L2386" s="21"/>
      <c r="M2386" s="21"/>
      <c r="N2386" s="21"/>
      <c r="O2386" s="21"/>
      <c r="R2386">
        <v>3.11</v>
      </c>
    </row>
    <row r="2387" spans="2:18" ht="15" customHeight="1" x14ac:dyDescent="0.35">
      <c r="B2387" s="100">
        <f t="shared" si="42"/>
        <v>2342</v>
      </c>
      <c r="C2387" s="208" t="s">
        <v>3295</v>
      </c>
      <c r="D2387" s="209" t="s">
        <v>3296</v>
      </c>
      <c r="E2387" s="153">
        <v>12</v>
      </c>
      <c r="F2387" s="210">
        <v>42573</v>
      </c>
      <c r="G2387" s="153">
        <v>3.11</v>
      </c>
      <c r="H2387" s="209">
        <v>3.91</v>
      </c>
      <c r="I2387" s="143">
        <v>3.11</v>
      </c>
      <c r="J2387" s="69">
        <v>503</v>
      </c>
      <c r="K2387" s="70">
        <v>79</v>
      </c>
      <c r="L2387" s="21"/>
      <c r="M2387" s="21"/>
      <c r="N2387" s="21"/>
      <c r="O2387" s="21"/>
      <c r="R2387">
        <v>3.11</v>
      </c>
    </row>
    <row r="2388" spans="2:18" ht="15" customHeight="1" x14ac:dyDescent="0.35">
      <c r="B2388" s="100">
        <f t="shared" si="42"/>
        <v>2343</v>
      </c>
      <c r="C2388" s="208" t="s">
        <v>3297</v>
      </c>
      <c r="D2388" s="209" t="s">
        <v>3298</v>
      </c>
      <c r="E2388" s="153">
        <v>12</v>
      </c>
      <c r="F2388" s="210">
        <v>42573</v>
      </c>
      <c r="G2388" s="153">
        <v>3.11</v>
      </c>
      <c r="H2388" s="209">
        <v>3.46</v>
      </c>
      <c r="I2388" s="143">
        <v>3.11</v>
      </c>
      <c r="J2388" s="69">
        <v>457</v>
      </c>
      <c r="K2388" s="70">
        <v>58.75</v>
      </c>
      <c r="L2388" s="21"/>
      <c r="M2388" s="21"/>
      <c r="N2388" s="21"/>
      <c r="O2388" s="21"/>
      <c r="R2388">
        <v>3.11</v>
      </c>
    </row>
    <row r="2389" spans="2:18" ht="15" customHeight="1" x14ac:dyDescent="0.35">
      <c r="B2389" s="100">
        <f t="shared" si="42"/>
        <v>2344</v>
      </c>
      <c r="C2389" s="208" t="s">
        <v>3299</v>
      </c>
      <c r="D2389" s="209" t="s">
        <v>3300</v>
      </c>
      <c r="E2389" s="99">
        <v>11</v>
      </c>
      <c r="F2389" s="210">
        <v>42573</v>
      </c>
      <c r="G2389" s="99">
        <v>4.1100000000000003</v>
      </c>
      <c r="H2389" s="209">
        <v>3</v>
      </c>
      <c r="I2389" s="143">
        <v>4.1100000000000003</v>
      </c>
      <c r="J2389" s="69">
        <v>453</v>
      </c>
      <c r="K2389" s="70">
        <v>62.5</v>
      </c>
      <c r="L2389" s="21"/>
      <c r="M2389" s="21"/>
      <c r="N2389" s="21"/>
      <c r="O2389" s="21"/>
      <c r="R2389">
        <v>4.1100000000000003</v>
      </c>
    </row>
    <row r="2390" spans="2:18" ht="15" customHeight="1" x14ac:dyDescent="0.35">
      <c r="B2390" s="100">
        <f t="shared" si="42"/>
        <v>2345</v>
      </c>
      <c r="C2390" s="208" t="s">
        <v>3301</v>
      </c>
      <c r="D2390" s="209" t="s">
        <v>3302</v>
      </c>
      <c r="E2390" s="153">
        <v>12</v>
      </c>
      <c r="F2390" s="210">
        <v>42573</v>
      </c>
      <c r="G2390" s="153">
        <v>3.11</v>
      </c>
      <c r="H2390" s="209">
        <v>3.31</v>
      </c>
      <c r="I2390" s="143">
        <v>3.11</v>
      </c>
      <c r="J2390" s="69">
        <v>483</v>
      </c>
      <c r="K2390" s="70">
        <v>83</v>
      </c>
      <c r="L2390" s="21"/>
      <c r="M2390" s="21"/>
      <c r="N2390" s="21"/>
      <c r="O2390" s="21"/>
      <c r="R2390">
        <v>3.11</v>
      </c>
    </row>
    <row r="2391" spans="2:18" ht="15" customHeight="1" x14ac:dyDescent="0.35">
      <c r="B2391" s="100">
        <f t="shared" si="42"/>
        <v>2346</v>
      </c>
      <c r="C2391" s="208" t="s">
        <v>3303</v>
      </c>
      <c r="D2391" s="209" t="s">
        <v>3304</v>
      </c>
      <c r="E2391" s="153">
        <v>12</v>
      </c>
      <c r="F2391" s="210">
        <v>42573</v>
      </c>
      <c r="G2391" s="153">
        <v>3.11</v>
      </c>
      <c r="H2391" s="209">
        <v>3.53</v>
      </c>
      <c r="I2391" s="143">
        <v>3.11</v>
      </c>
      <c r="J2391" s="69">
        <v>407</v>
      </c>
      <c r="K2391" s="70">
        <v>83</v>
      </c>
      <c r="L2391" s="21"/>
      <c r="M2391" s="21"/>
      <c r="N2391" s="21"/>
      <c r="O2391" s="21"/>
      <c r="R2391">
        <v>3.11</v>
      </c>
    </row>
    <row r="2392" spans="2:18" ht="15" customHeight="1" x14ac:dyDescent="0.35">
      <c r="B2392" s="100">
        <f t="shared" si="42"/>
        <v>2347</v>
      </c>
      <c r="C2392" s="208" t="s">
        <v>3305</v>
      </c>
      <c r="D2392" s="209" t="s">
        <v>3306</v>
      </c>
      <c r="E2392" s="153">
        <v>12</v>
      </c>
      <c r="F2392" s="210">
        <v>42573</v>
      </c>
      <c r="G2392" s="153">
        <v>3.11</v>
      </c>
      <c r="H2392" s="209">
        <v>3.65</v>
      </c>
      <c r="I2392" s="143">
        <v>3.11</v>
      </c>
      <c r="J2392" s="69">
        <v>547</v>
      </c>
      <c r="K2392" s="70">
        <v>67.5</v>
      </c>
      <c r="L2392" s="21"/>
      <c r="M2392" s="21"/>
      <c r="N2392" s="21"/>
      <c r="O2392" s="21"/>
      <c r="R2392">
        <v>3.11</v>
      </c>
    </row>
    <row r="2393" spans="2:18" ht="15" customHeight="1" x14ac:dyDescent="0.35">
      <c r="B2393" s="100">
        <f t="shared" si="42"/>
        <v>2348</v>
      </c>
      <c r="C2393" s="208" t="s">
        <v>3307</v>
      </c>
      <c r="D2393" s="209" t="s">
        <v>3308</v>
      </c>
      <c r="E2393" s="153">
        <v>12</v>
      </c>
      <c r="F2393" s="210">
        <v>42573</v>
      </c>
      <c r="G2393" s="153">
        <v>3.11</v>
      </c>
      <c r="H2393" s="209">
        <v>3.46</v>
      </c>
      <c r="I2393" s="143">
        <v>3.11</v>
      </c>
      <c r="J2393" s="69">
        <v>517</v>
      </c>
      <c r="K2393" s="70">
        <v>61.25</v>
      </c>
      <c r="L2393" s="21"/>
      <c r="M2393" s="21"/>
      <c r="N2393" s="21"/>
      <c r="O2393" s="21"/>
      <c r="R2393">
        <v>3.11</v>
      </c>
    </row>
    <row r="2394" spans="2:18" ht="15" customHeight="1" x14ac:dyDescent="0.35">
      <c r="B2394" s="100">
        <f t="shared" si="42"/>
        <v>2349</v>
      </c>
      <c r="C2394" s="208" t="s">
        <v>3309</v>
      </c>
      <c r="D2394" s="209" t="s">
        <v>3310</v>
      </c>
      <c r="E2394" s="153">
        <v>12</v>
      </c>
      <c r="F2394" s="210">
        <v>42573</v>
      </c>
      <c r="G2394" s="153">
        <v>3.11</v>
      </c>
      <c r="H2394" s="209">
        <v>3.3</v>
      </c>
      <c r="I2394" s="143">
        <v>3.11</v>
      </c>
      <c r="J2394" s="69">
        <v>506</v>
      </c>
      <c r="K2394" s="70">
        <v>76</v>
      </c>
      <c r="L2394" s="21"/>
      <c r="M2394" s="21"/>
      <c r="N2394" s="21"/>
      <c r="O2394" s="21"/>
      <c r="R2394">
        <v>3.11</v>
      </c>
    </row>
    <row r="2395" spans="2:18" ht="15" customHeight="1" x14ac:dyDescent="0.35">
      <c r="B2395" s="100">
        <f t="shared" si="42"/>
        <v>2350</v>
      </c>
      <c r="C2395" s="208" t="s">
        <v>3311</v>
      </c>
      <c r="D2395" s="209" t="s">
        <v>3312</v>
      </c>
      <c r="E2395" s="99">
        <v>11</v>
      </c>
      <c r="F2395" s="210">
        <v>42573</v>
      </c>
      <c r="G2395" s="99">
        <v>4.1100000000000003</v>
      </c>
      <c r="H2395" s="209">
        <v>2.87</v>
      </c>
      <c r="I2395" s="143">
        <v>4.1100000000000003</v>
      </c>
      <c r="J2395" s="69">
        <v>400</v>
      </c>
      <c r="K2395" s="70">
        <v>51.25</v>
      </c>
      <c r="L2395" s="21"/>
      <c r="M2395" s="21"/>
      <c r="N2395" s="21"/>
      <c r="O2395" s="21"/>
      <c r="R2395">
        <v>4.1100000000000003</v>
      </c>
    </row>
    <row r="2396" spans="2:18" ht="15" customHeight="1" x14ac:dyDescent="0.35">
      <c r="B2396" s="100">
        <f t="shared" si="42"/>
        <v>2351</v>
      </c>
      <c r="C2396" s="208" t="s">
        <v>3313</v>
      </c>
      <c r="D2396" s="209" t="s">
        <v>3314</v>
      </c>
      <c r="E2396" s="153">
        <v>12</v>
      </c>
      <c r="F2396" s="210">
        <v>42573</v>
      </c>
      <c r="G2396" s="153">
        <v>3.11</v>
      </c>
      <c r="H2396" s="209">
        <v>3.12</v>
      </c>
      <c r="I2396" s="143">
        <v>3.11</v>
      </c>
      <c r="J2396" s="69">
        <v>523</v>
      </c>
      <c r="K2396" s="70">
        <v>76</v>
      </c>
      <c r="L2396" s="21"/>
      <c r="M2396" s="21"/>
      <c r="N2396" s="21"/>
      <c r="O2396" s="21"/>
      <c r="R2396">
        <v>3.11</v>
      </c>
    </row>
    <row r="2397" spans="2:18" ht="15" customHeight="1" x14ac:dyDescent="0.35">
      <c r="B2397" s="100">
        <f t="shared" si="42"/>
        <v>2352</v>
      </c>
      <c r="C2397" s="208" t="s">
        <v>3315</v>
      </c>
      <c r="D2397" s="209" t="s">
        <v>3316</v>
      </c>
      <c r="E2397" s="153">
        <v>12</v>
      </c>
      <c r="F2397" s="210">
        <v>42573</v>
      </c>
      <c r="G2397" s="153">
        <v>3.11</v>
      </c>
      <c r="H2397" s="209">
        <v>3.67</v>
      </c>
      <c r="I2397" s="143">
        <v>3.11</v>
      </c>
      <c r="J2397" s="69">
        <v>553</v>
      </c>
      <c r="K2397" s="70">
        <v>84</v>
      </c>
      <c r="L2397" s="21"/>
      <c r="M2397" s="21"/>
      <c r="N2397" s="21"/>
      <c r="O2397" s="21"/>
      <c r="R2397">
        <v>3.11</v>
      </c>
    </row>
    <row r="2398" spans="2:18" ht="15" customHeight="1" x14ac:dyDescent="0.35">
      <c r="B2398" s="100">
        <f t="shared" si="42"/>
        <v>2353</v>
      </c>
      <c r="C2398" s="208" t="s">
        <v>3317</v>
      </c>
      <c r="D2398" s="209" t="s">
        <v>3318</v>
      </c>
      <c r="E2398" s="153">
        <v>12</v>
      </c>
      <c r="F2398" s="210">
        <v>42573</v>
      </c>
      <c r="G2398" s="153">
        <v>3.11</v>
      </c>
      <c r="H2398" s="209">
        <v>3.4</v>
      </c>
      <c r="I2398" s="143">
        <v>3.11</v>
      </c>
      <c r="J2398" s="69">
        <v>520</v>
      </c>
      <c r="K2398" s="70">
        <v>57.5</v>
      </c>
      <c r="L2398" s="21"/>
      <c r="M2398" s="21"/>
      <c r="N2398" s="21"/>
      <c r="O2398" s="21"/>
      <c r="R2398">
        <v>3.11</v>
      </c>
    </row>
    <row r="2399" spans="2:18" ht="15" customHeight="1" x14ac:dyDescent="0.35">
      <c r="B2399" s="100">
        <f t="shared" si="42"/>
        <v>2354</v>
      </c>
      <c r="C2399" s="208" t="s">
        <v>3319</v>
      </c>
      <c r="D2399" s="209" t="s">
        <v>3320</v>
      </c>
      <c r="E2399" s="153">
        <v>12</v>
      </c>
      <c r="F2399" s="210">
        <v>42573</v>
      </c>
      <c r="G2399" s="153">
        <v>3.11</v>
      </c>
      <c r="H2399" s="209">
        <v>3.56</v>
      </c>
      <c r="I2399" s="143">
        <v>3.11</v>
      </c>
      <c r="J2399" s="69">
        <v>520</v>
      </c>
      <c r="K2399" s="70">
        <v>56.25</v>
      </c>
      <c r="L2399" s="21"/>
      <c r="M2399" s="21"/>
      <c r="N2399" s="21"/>
      <c r="O2399" s="21"/>
      <c r="R2399">
        <v>3.11</v>
      </c>
    </row>
    <row r="2400" spans="2:18" ht="15" customHeight="1" x14ac:dyDescent="0.35">
      <c r="B2400" s="100">
        <f t="shared" si="42"/>
        <v>2355</v>
      </c>
      <c r="C2400" s="208" t="s">
        <v>3321</v>
      </c>
      <c r="D2400" s="209" t="s">
        <v>3322</v>
      </c>
      <c r="E2400" s="153">
        <v>12</v>
      </c>
      <c r="F2400" s="210">
        <v>42573</v>
      </c>
      <c r="G2400" s="153">
        <v>3.11</v>
      </c>
      <c r="H2400" s="209">
        <v>3.51</v>
      </c>
      <c r="I2400" s="143">
        <v>3.11</v>
      </c>
      <c r="J2400" s="69">
        <v>517</v>
      </c>
      <c r="K2400" s="70">
        <v>69</v>
      </c>
      <c r="L2400" s="21"/>
      <c r="M2400" s="21"/>
      <c r="N2400" s="21"/>
      <c r="O2400" s="21"/>
      <c r="R2400">
        <v>3.11</v>
      </c>
    </row>
    <row r="2401" spans="2:18" ht="15" customHeight="1" x14ac:dyDescent="0.35">
      <c r="B2401" s="100">
        <f t="shared" si="42"/>
        <v>2356</v>
      </c>
      <c r="C2401" s="208" t="s">
        <v>3323</v>
      </c>
      <c r="D2401" s="209" t="s">
        <v>3324</v>
      </c>
      <c r="E2401" s="153">
        <v>12</v>
      </c>
      <c r="F2401" s="210">
        <v>42573</v>
      </c>
      <c r="G2401" s="153">
        <v>3.11</v>
      </c>
      <c r="H2401" s="209">
        <v>3.52</v>
      </c>
      <c r="I2401" s="143">
        <v>3.11</v>
      </c>
      <c r="J2401" s="69">
        <v>573</v>
      </c>
      <c r="K2401" s="70">
        <v>58</v>
      </c>
      <c r="L2401" s="21"/>
      <c r="M2401" s="21"/>
      <c r="N2401" s="21"/>
      <c r="O2401" s="21"/>
      <c r="R2401">
        <v>3.11</v>
      </c>
    </row>
    <row r="2402" spans="2:18" ht="15" customHeight="1" x14ac:dyDescent="0.35">
      <c r="B2402" s="100">
        <f t="shared" si="42"/>
        <v>2357</v>
      </c>
      <c r="C2402" s="208" t="s">
        <v>3325</v>
      </c>
      <c r="D2402" s="209" t="s">
        <v>3326</v>
      </c>
      <c r="E2402" s="99">
        <v>11</v>
      </c>
      <c r="F2402" s="210">
        <v>42573</v>
      </c>
      <c r="G2402" s="99">
        <v>4.1100000000000003</v>
      </c>
      <c r="H2402" s="209">
        <v>2.76</v>
      </c>
      <c r="I2402" s="143">
        <v>4.1100000000000003</v>
      </c>
      <c r="J2402" s="69">
        <v>420</v>
      </c>
      <c r="K2402" s="70">
        <v>52.5</v>
      </c>
      <c r="L2402" s="21"/>
      <c r="M2402" s="21"/>
      <c r="N2402" s="21"/>
      <c r="O2402" s="21"/>
      <c r="R2402">
        <v>4.1100000000000003</v>
      </c>
    </row>
    <row r="2403" spans="2:18" ht="15" customHeight="1" x14ac:dyDescent="0.35">
      <c r="B2403" s="100"/>
      <c r="C2403" s="208"/>
      <c r="D2403" s="209"/>
      <c r="E2403" s="99"/>
      <c r="F2403" s="210"/>
      <c r="G2403" s="99"/>
      <c r="H2403" s="209"/>
      <c r="I2403" s="143"/>
      <c r="J2403" s="69"/>
      <c r="K2403" s="70"/>
      <c r="L2403" s="21"/>
      <c r="M2403" s="21"/>
      <c r="N2403" s="21"/>
      <c r="O2403" s="21"/>
    </row>
    <row r="2404" spans="2:18" ht="15" customHeight="1" x14ac:dyDescent="0.35">
      <c r="B2404" s="100"/>
      <c r="C2404" s="217" t="s">
        <v>3327</v>
      </c>
      <c r="D2404" s="209"/>
      <c r="E2404" s="99"/>
      <c r="F2404" s="210"/>
      <c r="G2404" s="99"/>
      <c r="H2404" s="209"/>
      <c r="I2404" s="143"/>
      <c r="J2404" s="69"/>
      <c r="K2404" s="70"/>
      <c r="L2404" s="21"/>
      <c r="M2404" s="21"/>
      <c r="N2404" s="21"/>
      <c r="O2404" s="21"/>
    </row>
    <row r="2405" spans="2:18" ht="15" customHeight="1" x14ac:dyDescent="0.35">
      <c r="B2405" s="100"/>
      <c r="C2405" s="208"/>
      <c r="D2405" s="209"/>
      <c r="E2405" s="99"/>
      <c r="F2405" s="210"/>
      <c r="G2405" s="99"/>
      <c r="H2405" s="209"/>
      <c r="I2405" s="143"/>
      <c r="J2405" s="69"/>
      <c r="K2405" s="70"/>
      <c r="L2405" s="21"/>
      <c r="M2405" s="21"/>
      <c r="N2405" s="21"/>
      <c r="O2405" s="21"/>
    </row>
    <row r="2406" spans="2:18" ht="15" customHeight="1" x14ac:dyDescent="0.35">
      <c r="B2406" s="100">
        <f>(B2402+1)</f>
        <v>2358</v>
      </c>
      <c r="C2406" s="208" t="s">
        <v>3328</v>
      </c>
      <c r="D2406" s="209" t="s">
        <v>3329</v>
      </c>
      <c r="E2406" s="153">
        <v>12</v>
      </c>
      <c r="F2406" s="209" t="s">
        <v>3330</v>
      </c>
      <c r="G2406" s="99">
        <v>4.0999999999999996</v>
      </c>
      <c r="H2406" s="209">
        <v>3.11</v>
      </c>
      <c r="I2406" s="218">
        <v>4.0999999999999996</v>
      </c>
      <c r="J2406" s="69">
        <v>463</v>
      </c>
      <c r="K2406" s="69">
        <v>80</v>
      </c>
      <c r="L2406" s="57"/>
      <c r="M2406" s="29"/>
      <c r="N2406" s="21"/>
      <c r="O2406" s="21"/>
      <c r="R2406">
        <v>4.0999999999999996</v>
      </c>
    </row>
    <row r="2407" spans="2:18" ht="15" customHeight="1" x14ac:dyDescent="0.35">
      <c r="B2407" s="100">
        <f t="shared" si="42"/>
        <v>2359</v>
      </c>
      <c r="C2407" s="208" t="s">
        <v>3331</v>
      </c>
      <c r="D2407" s="209" t="s">
        <v>3332</v>
      </c>
      <c r="E2407" s="153">
        <v>12</v>
      </c>
      <c r="F2407" s="209" t="s">
        <v>3330</v>
      </c>
      <c r="G2407" s="99">
        <v>4.0999999999999996</v>
      </c>
      <c r="H2407" s="209">
        <v>3.57</v>
      </c>
      <c r="I2407" s="218">
        <v>4.0999999999999996</v>
      </c>
      <c r="J2407" s="69">
        <v>470</v>
      </c>
      <c r="K2407" s="69">
        <v>78</v>
      </c>
      <c r="L2407" s="57">
        <v>2009</v>
      </c>
      <c r="M2407" s="29">
        <f>COUNTIF(E2406:E2505,"9")</f>
        <v>3</v>
      </c>
      <c r="N2407" s="19" t="s">
        <v>580</v>
      </c>
      <c r="O2407" s="21"/>
      <c r="R2407">
        <v>4.0999999999999996</v>
      </c>
    </row>
    <row r="2408" spans="2:18" ht="15" customHeight="1" x14ac:dyDescent="0.35">
      <c r="B2408" s="100">
        <f t="shared" si="42"/>
        <v>2360</v>
      </c>
      <c r="C2408" s="208" t="s">
        <v>3333</v>
      </c>
      <c r="D2408" s="209" t="s">
        <v>3334</v>
      </c>
      <c r="E2408" s="153">
        <v>12</v>
      </c>
      <c r="F2408" s="209" t="s">
        <v>3330</v>
      </c>
      <c r="G2408" s="99">
        <v>4.0999999999999996</v>
      </c>
      <c r="H2408" s="209">
        <v>3.12</v>
      </c>
      <c r="I2408" s="218">
        <v>4.0999999999999996</v>
      </c>
      <c r="J2408" s="69">
        <v>473</v>
      </c>
      <c r="K2408" s="69">
        <v>78</v>
      </c>
      <c r="L2408" s="57">
        <v>2010</v>
      </c>
      <c r="M2408" s="29">
        <f>COUNTIF(E2406:E2505,"10")</f>
        <v>6</v>
      </c>
      <c r="N2408" s="21"/>
      <c r="O2408" s="21"/>
      <c r="R2408">
        <v>4.0999999999999996</v>
      </c>
    </row>
    <row r="2409" spans="2:18" ht="15" customHeight="1" x14ac:dyDescent="0.35">
      <c r="B2409" s="100">
        <f t="shared" si="42"/>
        <v>2361</v>
      </c>
      <c r="C2409" s="208" t="s">
        <v>3335</v>
      </c>
      <c r="D2409" s="209" t="s">
        <v>3336</v>
      </c>
      <c r="E2409" s="153">
        <v>12</v>
      </c>
      <c r="F2409" s="209" t="s">
        <v>3330</v>
      </c>
      <c r="G2409" s="99">
        <v>4.0999999999999996</v>
      </c>
      <c r="H2409" s="209">
        <v>3.32</v>
      </c>
      <c r="I2409" s="218">
        <v>4.0999999999999996</v>
      </c>
      <c r="J2409" s="69">
        <v>507</v>
      </c>
      <c r="K2409" s="69">
        <v>81</v>
      </c>
      <c r="L2409" s="57">
        <v>2011</v>
      </c>
      <c r="M2409" s="29">
        <f>COUNTIF(E2406:E2505,"11")</f>
        <v>7</v>
      </c>
      <c r="N2409" s="21"/>
      <c r="O2409" s="21"/>
      <c r="R2409">
        <v>4.0999999999999996</v>
      </c>
    </row>
    <row r="2410" spans="2:18" ht="15" customHeight="1" x14ac:dyDescent="0.35">
      <c r="B2410" s="100">
        <f t="shared" si="42"/>
        <v>2362</v>
      </c>
      <c r="C2410" s="208" t="s">
        <v>3337</v>
      </c>
      <c r="D2410" s="209" t="s">
        <v>3338</v>
      </c>
      <c r="E2410" s="153">
        <v>12</v>
      </c>
      <c r="F2410" s="209" t="s">
        <v>3330</v>
      </c>
      <c r="G2410" s="99">
        <v>4.0999999999999996</v>
      </c>
      <c r="H2410" s="209">
        <v>3.59</v>
      </c>
      <c r="I2410" s="218">
        <v>4.0999999999999996</v>
      </c>
      <c r="J2410" s="69">
        <v>483</v>
      </c>
      <c r="K2410" s="69">
        <v>58.75</v>
      </c>
      <c r="L2410" s="57">
        <v>2012</v>
      </c>
      <c r="M2410" s="29">
        <f>COUNTIF(E2406:E2505,"12")</f>
        <v>42</v>
      </c>
      <c r="N2410" s="21"/>
      <c r="O2410" s="21"/>
      <c r="R2410">
        <v>4.0999999999999996</v>
      </c>
    </row>
    <row r="2411" spans="2:18" ht="15" customHeight="1" x14ac:dyDescent="0.35">
      <c r="B2411" s="100">
        <f t="shared" si="42"/>
        <v>2363</v>
      </c>
      <c r="C2411" s="208" t="s">
        <v>3339</v>
      </c>
      <c r="D2411" s="209" t="s">
        <v>3340</v>
      </c>
      <c r="E2411" s="153">
        <v>12</v>
      </c>
      <c r="F2411" s="209" t="s">
        <v>3330</v>
      </c>
      <c r="G2411" s="99">
        <v>4.0999999999999996</v>
      </c>
      <c r="H2411" s="209">
        <v>3.2</v>
      </c>
      <c r="I2411" s="218">
        <v>4.0999999999999996</v>
      </c>
      <c r="J2411" s="69">
        <v>550</v>
      </c>
      <c r="K2411" s="69">
        <v>55</v>
      </c>
      <c r="L2411" s="57">
        <v>2013</v>
      </c>
      <c r="M2411" s="29">
        <f>COUNTIF(E2406:E2505,"13")</f>
        <v>42</v>
      </c>
      <c r="N2411" s="21"/>
      <c r="O2411" s="21"/>
      <c r="R2411">
        <v>4.0999999999999996</v>
      </c>
    </row>
    <row r="2412" spans="2:18" ht="15" customHeight="1" x14ac:dyDescent="0.35">
      <c r="B2412" s="100">
        <f t="shared" si="42"/>
        <v>2364</v>
      </c>
      <c r="C2412" s="208" t="s">
        <v>3341</v>
      </c>
      <c r="D2412" s="209" t="s">
        <v>3342</v>
      </c>
      <c r="E2412" s="153">
        <v>12</v>
      </c>
      <c r="F2412" s="209" t="s">
        <v>3330</v>
      </c>
      <c r="G2412" s="99">
        <v>4.0999999999999996</v>
      </c>
      <c r="H2412" s="209">
        <v>3.8</v>
      </c>
      <c r="I2412" s="218">
        <v>4.0999999999999996</v>
      </c>
      <c r="J2412" s="69">
        <v>597</v>
      </c>
      <c r="K2412" s="69">
        <v>79</v>
      </c>
      <c r="L2412" s="42" t="s">
        <v>2310</v>
      </c>
      <c r="M2412" s="29">
        <f>SUM(M2407:M2411)</f>
        <v>100</v>
      </c>
      <c r="N2412" s="21"/>
      <c r="O2412" s="21"/>
      <c r="R2412">
        <v>4.0999999999999996</v>
      </c>
    </row>
    <row r="2413" spans="2:18" ht="15" customHeight="1" x14ac:dyDescent="0.35">
      <c r="B2413" s="100">
        <f t="shared" si="42"/>
        <v>2365</v>
      </c>
      <c r="C2413" s="208" t="s">
        <v>3343</v>
      </c>
      <c r="D2413" s="209" t="s">
        <v>3344</v>
      </c>
      <c r="E2413" s="153">
        <v>12</v>
      </c>
      <c r="F2413" s="209" t="s">
        <v>3330</v>
      </c>
      <c r="G2413" s="99">
        <v>4.0999999999999996</v>
      </c>
      <c r="H2413" s="209">
        <v>3.17</v>
      </c>
      <c r="I2413" s="218">
        <v>4.0999999999999996</v>
      </c>
      <c r="J2413" s="69">
        <v>510</v>
      </c>
      <c r="K2413" s="18">
        <v>78</v>
      </c>
      <c r="L2413" s="29" t="s">
        <v>2528</v>
      </c>
      <c r="M2413" s="21"/>
      <c r="N2413" s="40">
        <f>COUNTIF(G2406:G2451,"&lt;=5")-COUNTIF(G2406:G2451,"&lt;4")</f>
        <v>36</v>
      </c>
      <c r="O2413" s="21"/>
      <c r="R2413">
        <v>4.0999999999999996</v>
      </c>
    </row>
    <row r="2414" spans="2:18" ht="15" customHeight="1" x14ac:dyDescent="0.35">
      <c r="B2414" s="100">
        <f t="shared" si="42"/>
        <v>2366</v>
      </c>
      <c r="C2414" s="208" t="s">
        <v>3345</v>
      </c>
      <c r="D2414" s="209" t="s">
        <v>3346</v>
      </c>
      <c r="E2414" s="153">
        <v>12</v>
      </c>
      <c r="F2414" s="209" t="s">
        <v>3330</v>
      </c>
      <c r="G2414" s="99">
        <v>4.0999999999999996</v>
      </c>
      <c r="H2414" s="209">
        <v>3.57</v>
      </c>
      <c r="I2414" s="218">
        <v>4.0999999999999996</v>
      </c>
      <c r="J2414" s="69">
        <v>490</v>
      </c>
      <c r="K2414" s="69">
        <v>71</v>
      </c>
      <c r="L2414" s="29" t="s">
        <v>1798</v>
      </c>
      <c r="M2414" s="29"/>
      <c r="N2414" s="34">
        <f>SUM(G2406:G2451)/M2412</f>
        <v>2.1819999999999995</v>
      </c>
      <c r="O2414" s="21"/>
      <c r="R2414">
        <v>4.0999999999999996</v>
      </c>
    </row>
    <row r="2415" spans="2:18" ht="15" customHeight="1" x14ac:dyDescent="0.35">
      <c r="B2415" s="100">
        <f t="shared" si="42"/>
        <v>2367</v>
      </c>
      <c r="C2415" s="208" t="s">
        <v>3347</v>
      </c>
      <c r="D2415" s="209" t="s">
        <v>3348</v>
      </c>
      <c r="E2415" s="153">
        <v>12</v>
      </c>
      <c r="F2415" s="209" t="s">
        <v>3330</v>
      </c>
      <c r="G2415" s="99">
        <v>4.0999999999999996</v>
      </c>
      <c r="H2415" s="209">
        <v>3.26</v>
      </c>
      <c r="I2415" s="218">
        <v>4.0999999999999996</v>
      </c>
      <c r="J2415" s="69">
        <v>457</v>
      </c>
      <c r="K2415" s="69">
        <v>70</v>
      </c>
      <c r="L2415" s="29" t="s">
        <v>1801</v>
      </c>
      <c r="M2415" s="29"/>
      <c r="N2415" s="34">
        <f>AVERAGE(I2406:I2451)</f>
        <v>4.7434782608695638</v>
      </c>
      <c r="O2415" s="34"/>
      <c r="P2415" s="11"/>
      <c r="Q2415" s="11"/>
      <c r="R2415">
        <v>4.0999999999999996</v>
      </c>
    </row>
    <row r="2416" spans="2:18" ht="15" customHeight="1" x14ac:dyDescent="0.35">
      <c r="B2416" s="100">
        <f t="shared" si="42"/>
        <v>2368</v>
      </c>
      <c r="C2416" s="208" t="s">
        <v>3349</v>
      </c>
      <c r="D2416" s="209" t="s">
        <v>3350</v>
      </c>
      <c r="E2416" s="153">
        <v>12</v>
      </c>
      <c r="F2416" s="209" t="s">
        <v>3330</v>
      </c>
      <c r="G2416" s="99">
        <v>4.0999999999999996</v>
      </c>
      <c r="H2416" s="209">
        <v>3.05</v>
      </c>
      <c r="I2416" s="218">
        <v>4.0999999999999996</v>
      </c>
      <c r="J2416" s="69">
        <v>417</v>
      </c>
      <c r="K2416" s="69">
        <v>66.25</v>
      </c>
      <c r="L2416" s="29" t="s">
        <v>1804</v>
      </c>
      <c r="M2416" s="29"/>
      <c r="N2416" s="30">
        <f>MIN(H2406:H2451)</f>
        <v>2.23</v>
      </c>
      <c r="O2416" s="21"/>
      <c r="R2416">
        <v>4.0999999999999996</v>
      </c>
    </row>
    <row r="2417" spans="2:18" ht="15" customHeight="1" x14ac:dyDescent="0.35">
      <c r="B2417" s="100">
        <f t="shared" si="42"/>
        <v>2369</v>
      </c>
      <c r="C2417" s="208" t="s">
        <v>3351</v>
      </c>
      <c r="D2417" s="209" t="s">
        <v>3352</v>
      </c>
      <c r="E2417" s="153">
        <v>12</v>
      </c>
      <c r="F2417" s="209" t="s">
        <v>3330</v>
      </c>
      <c r="G2417" s="99">
        <v>4.0999999999999996</v>
      </c>
      <c r="H2417" s="209">
        <v>3.56</v>
      </c>
      <c r="I2417" s="218">
        <v>4.0999999999999996</v>
      </c>
      <c r="J2417" s="69">
        <v>507</v>
      </c>
      <c r="K2417" s="69">
        <v>78</v>
      </c>
      <c r="L2417" s="29" t="s">
        <v>1807</v>
      </c>
      <c r="M2417" s="29"/>
      <c r="N2417" s="30">
        <f>AVERAGE(H2406:H2505)</f>
        <v>3.2448999999999999</v>
      </c>
      <c r="O2417" s="21"/>
      <c r="R2417">
        <v>4.0999999999999996</v>
      </c>
    </row>
    <row r="2418" spans="2:18" ht="15" customHeight="1" x14ac:dyDescent="0.35">
      <c r="B2418" s="100">
        <f t="shared" si="42"/>
        <v>2370</v>
      </c>
      <c r="C2418" s="208" t="s">
        <v>3353</v>
      </c>
      <c r="D2418" s="209" t="s">
        <v>3354</v>
      </c>
      <c r="E2418" s="153">
        <v>12</v>
      </c>
      <c r="F2418" s="209" t="s">
        <v>3330</v>
      </c>
      <c r="G2418" s="99">
        <v>4.0999999999999996</v>
      </c>
      <c r="H2418" s="209">
        <v>2.91</v>
      </c>
      <c r="I2418" s="218">
        <v>4.0999999999999996</v>
      </c>
      <c r="J2418" s="69">
        <v>510</v>
      </c>
      <c r="K2418" s="69">
        <v>52.5</v>
      </c>
      <c r="L2418" s="29" t="s">
        <v>1810</v>
      </c>
      <c r="M2418" s="29"/>
      <c r="N2418" s="30">
        <f>MAX(H2405:H2509)</f>
        <v>3.87</v>
      </c>
      <c r="O2418" s="21"/>
      <c r="R2418">
        <v>4.0999999999999996</v>
      </c>
    </row>
    <row r="2419" spans="2:18" ht="15" customHeight="1" x14ac:dyDescent="0.35">
      <c r="B2419" s="100">
        <f t="shared" si="42"/>
        <v>2371</v>
      </c>
      <c r="C2419" s="208" t="s">
        <v>3355</v>
      </c>
      <c r="D2419" s="209" t="s">
        <v>3356</v>
      </c>
      <c r="E2419" s="153">
        <v>12</v>
      </c>
      <c r="F2419" s="209" t="s">
        <v>3330</v>
      </c>
      <c r="G2419" s="99">
        <v>4.0999999999999996</v>
      </c>
      <c r="H2419" s="209">
        <v>3.04</v>
      </c>
      <c r="I2419" s="218">
        <v>4.0999999999999996</v>
      </c>
      <c r="J2419" s="69">
        <v>510</v>
      </c>
      <c r="K2419" s="69">
        <v>68</v>
      </c>
      <c r="L2419" s="29" t="s">
        <v>1813</v>
      </c>
      <c r="M2419" s="29">
        <f>COUNTIF(H2406:H2505,"&lt;2.75")</f>
        <v>0</v>
      </c>
      <c r="N2419" s="30" t="e">
        <f>(M2419/M2422)*100</f>
        <v>#DIV/0!</v>
      </c>
      <c r="O2419" s="21"/>
      <c r="R2419">
        <v>4.0999999999999996</v>
      </c>
    </row>
    <row r="2420" spans="2:18" ht="15" customHeight="1" x14ac:dyDescent="0.35">
      <c r="B2420" s="100">
        <f t="shared" si="42"/>
        <v>2372</v>
      </c>
      <c r="C2420" s="208" t="s">
        <v>3357</v>
      </c>
      <c r="D2420" s="209" t="s">
        <v>3358</v>
      </c>
      <c r="E2420" s="99">
        <v>11</v>
      </c>
      <c r="F2420" s="209" t="s">
        <v>3330</v>
      </c>
      <c r="G2420" s="99">
        <v>5.0999999999999996</v>
      </c>
      <c r="H2420" s="209">
        <v>2.89</v>
      </c>
      <c r="I2420" s="218">
        <v>5.0999999999999996</v>
      </c>
      <c r="J2420" s="69">
        <v>477</v>
      </c>
      <c r="K2420" s="69">
        <v>46</v>
      </c>
      <c r="L2420" s="29" t="s">
        <v>1816</v>
      </c>
      <c r="M2420" s="40">
        <f>COUNTIF(H2406:H2505,"&lt;3.51")-COUNTIF(H2406:H2505,"&lt;2.75")</f>
        <v>0</v>
      </c>
      <c r="N2420" s="30" t="e">
        <f>(M2420/M2422)*100</f>
        <v>#DIV/0!</v>
      </c>
      <c r="O2420" s="21"/>
      <c r="R2420">
        <v>5.0999999999999996</v>
      </c>
    </row>
    <row r="2421" spans="2:18" ht="15" customHeight="1" x14ac:dyDescent="0.35">
      <c r="B2421" s="100">
        <f t="shared" si="42"/>
        <v>2373</v>
      </c>
      <c r="C2421" s="194" t="s">
        <v>3359</v>
      </c>
      <c r="D2421" s="195" t="s">
        <v>3360</v>
      </c>
      <c r="E2421" s="153">
        <v>12</v>
      </c>
      <c r="F2421" s="195" t="s">
        <v>3361</v>
      </c>
      <c r="G2421" s="99">
        <v>4.2</v>
      </c>
      <c r="H2421" s="195">
        <v>3.27</v>
      </c>
      <c r="I2421" s="219">
        <v>4.2</v>
      </c>
      <c r="J2421" s="91" t="s">
        <v>3362</v>
      </c>
      <c r="K2421" s="58">
        <v>61.25</v>
      </c>
      <c r="L2421" s="29" t="s">
        <v>1819</v>
      </c>
      <c r="M2421" s="29">
        <f>COUNTIF(H2406:H2505,"&gt;3.50")</f>
        <v>0</v>
      </c>
      <c r="N2421" s="30" t="e">
        <f>(M2421/M2422)*100</f>
        <v>#DIV/0!</v>
      </c>
      <c r="O2421" s="21"/>
      <c r="R2421">
        <v>4.2</v>
      </c>
    </row>
    <row r="2422" spans="2:18" ht="15" customHeight="1" x14ac:dyDescent="0.35">
      <c r="B2422" s="100">
        <f t="shared" si="42"/>
        <v>2374</v>
      </c>
      <c r="C2422" s="194" t="s">
        <v>3363</v>
      </c>
      <c r="D2422" s="195" t="s">
        <v>3364</v>
      </c>
      <c r="E2422" s="153">
        <v>12</v>
      </c>
      <c r="F2422" s="195" t="s">
        <v>3365</v>
      </c>
      <c r="G2422" s="99">
        <v>4.3</v>
      </c>
      <c r="H2422" s="195">
        <v>3.21</v>
      </c>
      <c r="I2422" s="219">
        <v>4.3</v>
      </c>
      <c r="J2422" s="91" t="s">
        <v>3366</v>
      </c>
      <c r="K2422" s="58" t="s">
        <v>3367</v>
      </c>
      <c r="L2422" s="29" t="s">
        <v>1820</v>
      </c>
      <c r="M2422" s="29">
        <f>SUM(M2419:M2421)</f>
        <v>0</v>
      </c>
      <c r="N2422" s="29"/>
      <c r="O2422" s="21"/>
      <c r="R2422">
        <v>4.3</v>
      </c>
    </row>
    <row r="2423" spans="2:18" ht="15" customHeight="1" x14ac:dyDescent="0.35">
      <c r="B2423" s="100">
        <f t="shared" si="42"/>
        <v>2375</v>
      </c>
      <c r="C2423" s="194" t="s">
        <v>3368</v>
      </c>
      <c r="D2423" s="195" t="s">
        <v>3369</v>
      </c>
      <c r="E2423" s="153">
        <v>12</v>
      </c>
      <c r="F2423" s="195" t="s">
        <v>3365</v>
      </c>
      <c r="G2423" s="99">
        <v>4.3</v>
      </c>
      <c r="H2423" s="195">
        <v>3.3</v>
      </c>
      <c r="I2423" s="219">
        <v>4.3</v>
      </c>
      <c r="J2423" s="91" t="s">
        <v>3370</v>
      </c>
      <c r="K2423" s="58" t="s">
        <v>3371</v>
      </c>
      <c r="L2423" s="21"/>
      <c r="M2423" s="21"/>
      <c r="N2423" s="21"/>
      <c r="O2423" s="21"/>
      <c r="R2423">
        <v>4.3</v>
      </c>
    </row>
    <row r="2424" spans="2:18" ht="15" customHeight="1" x14ac:dyDescent="0.35">
      <c r="B2424" s="100">
        <f t="shared" si="42"/>
        <v>2376</v>
      </c>
      <c r="C2424" s="194" t="s">
        <v>3372</v>
      </c>
      <c r="D2424" s="195" t="s">
        <v>3373</v>
      </c>
      <c r="E2424" s="153">
        <v>12</v>
      </c>
      <c r="F2424" s="195" t="s">
        <v>3365</v>
      </c>
      <c r="G2424" s="99">
        <v>4.3</v>
      </c>
      <c r="H2424" s="195">
        <v>3.17</v>
      </c>
      <c r="I2424" s="219">
        <v>4.3</v>
      </c>
      <c r="J2424" s="91" t="s">
        <v>3374</v>
      </c>
      <c r="K2424" s="58" t="s">
        <v>3371</v>
      </c>
      <c r="L2424" s="21"/>
      <c r="M2424" s="21"/>
      <c r="N2424" s="21"/>
      <c r="O2424" s="21"/>
      <c r="R2424">
        <v>4.3</v>
      </c>
    </row>
    <row r="2425" spans="2:18" ht="15" customHeight="1" x14ac:dyDescent="0.35">
      <c r="B2425" s="100">
        <f t="shared" si="42"/>
        <v>2377</v>
      </c>
      <c r="C2425" s="194" t="s">
        <v>3375</v>
      </c>
      <c r="D2425" s="195" t="s">
        <v>3376</v>
      </c>
      <c r="E2425" s="153">
        <v>12</v>
      </c>
      <c r="F2425" s="195" t="s">
        <v>3365</v>
      </c>
      <c r="G2425" s="99">
        <v>4.3</v>
      </c>
      <c r="H2425" s="195">
        <v>3.54</v>
      </c>
      <c r="I2425" s="219">
        <v>4.3</v>
      </c>
      <c r="J2425" s="91" t="s">
        <v>3377</v>
      </c>
      <c r="K2425" s="58" t="s">
        <v>3378</v>
      </c>
      <c r="L2425" s="46" t="s">
        <v>2336</v>
      </c>
      <c r="M2425" s="34" t="e">
        <f>SUM(K2406:K2440)/M2422</f>
        <v>#DIV/0!</v>
      </c>
      <c r="N2425" s="59"/>
      <c r="O2425" s="21"/>
      <c r="R2425">
        <v>4.3</v>
      </c>
    </row>
    <row r="2426" spans="2:18" ht="15" customHeight="1" x14ac:dyDescent="0.35">
      <c r="B2426" s="100">
        <f t="shared" si="42"/>
        <v>2378</v>
      </c>
      <c r="C2426" s="194" t="s">
        <v>3379</v>
      </c>
      <c r="D2426" s="195" t="s">
        <v>3380</v>
      </c>
      <c r="E2426" s="153">
        <v>12</v>
      </c>
      <c r="F2426" s="195" t="s">
        <v>3365</v>
      </c>
      <c r="G2426" s="99">
        <v>4.3</v>
      </c>
      <c r="H2426" s="195">
        <v>3.2</v>
      </c>
      <c r="I2426" s="219">
        <v>4.3</v>
      </c>
      <c r="J2426" s="91" t="s">
        <v>3374</v>
      </c>
      <c r="K2426" s="58" t="s">
        <v>3068</v>
      </c>
      <c r="L2426" s="19" t="s">
        <v>2339</v>
      </c>
      <c r="M2426" s="29">
        <f>MIN(K2402:K2477)</f>
        <v>46</v>
      </c>
      <c r="N2426" s="21"/>
      <c r="O2426" s="21"/>
      <c r="R2426">
        <v>4.3</v>
      </c>
    </row>
    <row r="2427" spans="2:18" ht="15" customHeight="1" x14ac:dyDescent="0.35">
      <c r="B2427" s="100">
        <f t="shared" si="42"/>
        <v>2379</v>
      </c>
      <c r="C2427" s="194" t="s">
        <v>3381</v>
      </c>
      <c r="D2427" s="195" t="s">
        <v>3382</v>
      </c>
      <c r="E2427" s="153">
        <v>12</v>
      </c>
      <c r="F2427" s="195" t="s">
        <v>3365</v>
      </c>
      <c r="G2427" s="99">
        <v>4.3</v>
      </c>
      <c r="H2427" s="195">
        <v>3.58</v>
      </c>
      <c r="I2427" s="219">
        <v>4.3</v>
      </c>
      <c r="J2427" s="91" t="s">
        <v>3383</v>
      </c>
      <c r="K2427" s="58" t="s">
        <v>3378</v>
      </c>
      <c r="L2427" s="19" t="s">
        <v>2340</v>
      </c>
      <c r="M2427" s="29">
        <f>MAX(K2402:K2477)</f>
        <v>81</v>
      </c>
      <c r="N2427" s="21"/>
      <c r="O2427" s="21"/>
      <c r="R2427">
        <v>4.3</v>
      </c>
    </row>
    <row r="2428" spans="2:18" ht="15" customHeight="1" x14ac:dyDescent="0.35">
      <c r="B2428" s="100">
        <f t="shared" si="42"/>
        <v>2380</v>
      </c>
      <c r="C2428" s="194" t="s">
        <v>3384</v>
      </c>
      <c r="D2428" s="195" t="s">
        <v>3385</v>
      </c>
      <c r="E2428" s="153">
        <v>12</v>
      </c>
      <c r="F2428" s="195" t="s">
        <v>3365</v>
      </c>
      <c r="G2428" s="99">
        <v>4.3</v>
      </c>
      <c r="H2428" s="195">
        <v>3.03</v>
      </c>
      <c r="I2428" s="219">
        <v>4.3</v>
      </c>
      <c r="J2428" s="91" t="s">
        <v>3386</v>
      </c>
      <c r="K2428" s="58" t="s">
        <v>3387</v>
      </c>
      <c r="L2428" s="21"/>
      <c r="M2428" s="21"/>
      <c r="N2428" s="21"/>
      <c r="O2428" s="21"/>
      <c r="R2428">
        <v>4.3</v>
      </c>
    </row>
    <row r="2429" spans="2:18" ht="15" customHeight="1" x14ac:dyDescent="0.35">
      <c r="B2429" s="100">
        <f t="shared" si="42"/>
        <v>2381</v>
      </c>
      <c r="C2429" s="194" t="s">
        <v>3388</v>
      </c>
      <c r="D2429" s="195" t="s">
        <v>3389</v>
      </c>
      <c r="E2429" s="153">
        <v>12</v>
      </c>
      <c r="F2429" s="195" t="s">
        <v>3365</v>
      </c>
      <c r="G2429" s="99">
        <v>4.3</v>
      </c>
      <c r="H2429" s="195">
        <v>3.51</v>
      </c>
      <c r="I2429" s="219">
        <v>4.3</v>
      </c>
      <c r="J2429" s="91" t="s">
        <v>3377</v>
      </c>
      <c r="K2429" s="58" t="s">
        <v>3390</v>
      </c>
      <c r="L2429" s="21"/>
      <c r="M2429" s="21"/>
      <c r="N2429" s="21"/>
      <c r="O2429" s="21"/>
      <c r="R2429">
        <v>4.3</v>
      </c>
    </row>
    <row r="2430" spans="2:18" ht="15" customHeight="1" x14ac:dyDescent="0.35">
      <c r="B2430" s="100">
        <f t="shared" si="42"/>
        <v>2382</v>
      </c>
      <c r="C2430" s="194" t="s">
        <v>3391</v>
      </c>
      <c r="D2430" s="195" t="s">
        <v>3392</v>
      </c>
      <c r="E2430" s="153">
        <v>12</v>
      </c>
      <c r="F2430" s="195" t="s">
        <v>3393</v>
      </c>
      <c r="G2430" s="99">
        <v>4.4000000000000004</v>
      </c>
      <c r="H2430" s="195">
        <v>2.99</v>
      </c>
      <c r="I2430" s="219">
        <v>4.4000000000000004</v>
      </c>
      <c r="J2430" s="91" t="s">
        <v>3394</v>
      </c>
      <c r="K2430" s="58">
        <v>61.25</v>
      </c>
      <c r="L2430" s="21"/>
      <c r="M2430" s="21"/>
      <c r="N2430" s="21"/>
      <c r="O2430" s="21"/>
      <c r="R2430">
        <v>4.4000000000000004</v>
      </c>
    </row>
    <row r="2431" spans="2:18" ht="15" customHeight="1" x14ac:dyDescent="0.35">
      <c r="B2431" s="100">
        <f t="shared" si="42"/>
        <v>2383</v>
      </c>
      <c r="C2431" s="194" t="s">
        <v>3395</v>
      </c>
      <c r="D2431" s="195" t="s">
        <v>3396</v>
      </c>
      <c r="E2431" s="153">
        <v>12</v>
      </c>
      <c r="F2431" s="195" t="s">
        <v>3393</v>
      </c>
      <c r="G2431" s="99">
        <v>4.4000000000000004</v>
      </c>
      <c r="H2431" s="195">
        <v>3.41</v>
      </c>
      <c r="I2431" s="219">
        <v>4.4000000000000004</v>
      </c>
      <c r="J2431" s="91" t="s">
        <v>2785</v>
      </c>
      <c r="K2431" s="58" t="s">
        <v>3387</v>
      </c>
      <c r="L2431" s="21"/>
      <c r="M2431" s="21"/>
      <c r="N2431" s="21"/>
      <c r="O2431" s="21"/>
      <c r="R2431">
        <v>4.4000000000000004</v>
      </c>
    </row>
    <row r="2432" spans="2:18" ht="15" customHeight="1" x14ac:dyDescent="0.35">
      <c r="B2432" s="100">
        <f t="shared" si="42"/>
        <v>2384</v>
      </c>
      <c r="C2432" s="194" t="s">
        <v>69</v>
      </c>
      <c r="D2432" s="195" t="s">
        <v>3397</v>
      </c>
      <c r="E2432" s="99">
        <v>11</v>
      </c>
      <c r="F2432" s="195" t="s">
        <v>3393</v>
      </c>
      <c r="G2432" s="99">
        <v>5.4</v>
      </c>
      <c r="H2432" s="195">
        <v>2.7</v>
      </c>
      <c r="I2432" s="219">
        <v>5.4</v>
      </c>
      <c r="J2432" s="91" t="s">
        <v>3398</v>
      </c>
      <c r="K2432" s="58" t="s">
        <v>3399</v>
      </c>
      <c r="L2432" s="21"/>
      <c r="M2432" s="21"/>
      <c r="N2432" s="21"/>
      <c r="O2432" s="21"/>
      <c r="R2432">
        <v>5.4</v>
      </c>
    </row>
    <row r="2433" spans="2:18" ht="15" customHeight="1" x14ac:dyDescent="0.35">
      <c r="B2433" s="100">
        <f t="shared" si="42"/>
        <v>2385</v>
      </c>
      <c r="C2433" s="194" t="s">
        <v>3400</v>
      </c>
      <c r="D2433" s="195" t="s">
        <v>3401</v>
      </c>
      <c r="E2433" s="99">
        <v>10</v>
      </c>
      <c r="F2433" s="195" t="s">
        <v>3393</v>
      </c>
      <c r="G2433" s="99">
        <v>6.4</v>
      </c>
      <c r="H2433" s="195">
        <v>2.77</v>
      </c>
      <c r="I2433" s="219">
        <v>6.4</v>
      </c>
      <c r="J2433" s="91" t="s">
        <v>3402</v>
      </c>
      <c r="K2433" s="58">
        <v>51.3</v>
      </c>
      <c r="L2433" s="21"/>
      <c r="M2433" s="21"/>
      <c r="N2433" s="21"/>
      <c r="O2433" s="21"/>
      <c r="R2433">
        <v>6.4</v>
      </c>
    </row>
    <row r="2434" spans="2:18" ht="15" customHeight="1" x14ac:dyDescent="0.35">
      <c r="B2434" s="100">
        <f t="shared" si="42"/>
        <v>2386</v>
      </c>
      <c r="C2434" s="194" t="s">
        <v>3403</v>
      </c>
      <c r="D2434" s="195" t="s">
        <v>3404</v>
      </c>
      <c r="E2434" s="153">
        <v>12</v>
      </c>
      <c r="F2434" s="195" t="s">
        <v>3393</v>
      </c>
      <c r="G2434" s="99">
        <v>4.4000000000000004</v>
      </c>
      <c r="H2434" s="195">
        <v>3.19</v>
      </c>
      <c r="I2434" s="219">
        <v>4.4000000000000004</v>
      </c>
      <c r="J2434" s="91" t="s">
        <v>3405</v>
      </c>
      <c r="K2434" s="58">
        <v>66.25</v>
      </c>
      <c r="L2434" s="21"/>
      <c r="M2434" s="21"/>
      <c r="N2434" s="21"/>
      <c r="O2434" s="21"/>
      <c r="R2434">
        <v>4.4000000000000004</v>
      </c>
    </row>
    <row r="2435" spans="2:18" ht="15" customHeight="1" x14ac:dyDescent="0.35">
      <c r="B2435" s="100">
        <f t="shared" si="42"/>
        <v>2387</v>
      </c>
      <c r="C2435" s="194" t="s">
        <v>3406</v>
      </c>
      <c r="D2435" s="195" t="s">
        <v>3407</v>
      </c>
      <c r="E2435" s="153">
        <v>12</v>
      </c>
      <c r="F2435" s="195" t="s">
        <v>3393</v>
      </c>
      <c r="G2435" s="99">
        <v>4.4000000000000004</v>
      </c>
      <c r="H2435" s="195">
        <v>3.26</v>
      </c>
      <c r="I2435" s="219">
        <v>4.4000000000000004</v>
      </c>
      <c r="J2435" s="91" t="s">
        <v>3408</v>
      </c>
      <c r="K2435" s="58">
        <v>62.5</v>
      </c>
      <c r="L2435" s="21"/>
      <c r="M2435" s="21"/>
      <c r="N2435" s="21"/>
      <c r="O2435" s="21"/>
      <c r="R2435">
        <v>4.4000000000000004</v>
      </c>
    </row>
    <row r="2436" spans="2:18" ht="15" customHeight="1" x14ac:dyDescent="0.35">
      <c r="B2436" s="100">
        <f t="shared" si="42"/>
        <v>2388</v>
      </c>
      <c r="C2436" s="194" t="s">
        <v>3409</v>
      </c>
      <c r="D2436" s="195" t="s">
        <v>3410</v>
      </c>
      <c r="E2436" s="153">
        <v>12</v>
      </c>
      <c r="F2436" s="195" t="s">
        <v>3393</v>
      </c>
      <c r="G2436" s="99">
        <v>4.4000000000000004</v>
      </c>
      <c r="H2436" s="195">
        <v>3.3</v>
      </c>
      <c r="I2436" s="219">
        <v>4.4000000000000004</v>
      </c>
      <c r="J2436" s="91" t="s">
        <v>3377</v>
      </c>
      <c r="K2436" s="58">
        <v>66.25</v>
      </c>
      <c r="L2436" s="21"/>
      <c r="M2436" s="21"/>
      <c r="N2436" s="21"/>
      <c r="O2436" s="21"/>
      <c r="R2436">
        <v>4.4000000000000004</v>
      </c>
    </row>
    <row r="2437" spans="2:18" ht="15" customHeight="1" x14ac:dyDescent="0.35">
      <c r="B2437" s="100">
        <f t="shared" si="42"/>
        <v>2389</v>
      </c>
      <c r="C2437" s="194" t="s">
        <v>3411</v>
      </c>
      <c r="D2437" s="195" t="s">
        <v>3412</v>
      </c>
      <c r="E2437" s="153">
        <v>12</v>
      </c>
      <c r="F2437" s="195" t="s">
        <v>3393</v>
      </c>
      <c r="G2437" s="99">
        <v>4.4000000000000004</v>
      </c>
      <c r="H2437" s="195">
        <v>3.27</v>
      </c>
      <c r="I2437" s="219">
        <v>4.4000000000000004</v>
      </c>
      <c r="J2437" s="91" t="s">
        <v>3377</v>
      </c>
      <c r="K2437" s="58" t="s">
        <v>3387</v>
      </c>
      <c r="L2437" s="21"/>
      <c r="M2437" s="21"/>
      <c r="N2437" s="21"/>
      <c r="O2437" s="21"/>
      <c r="R2437">
        <v>4.4000000000000004</v>
      </c>
    </row>
    <row r="2438" spans="2:18" ht="15" customHeight="1" x14ac:dyDescent="0.35">
      <c r="B2438" s="100">
        <f>(B2437+1)</f>
        <v>2390</v>
      </c>
      <c r="C2438" s="194" t="s">
        <v>3413</v>
      </c>
      <c r="D2438" s="195" t="s">
        <v>3414</v>
      </c>
      <c r="E2438" s="153">
        <v>12</v>
      </c>
      <c r="F2438" s="195" t="s">
        <v>3393</v>
      </c>
      <c r="G2438" s="99">
        <v>4.4000000000000004</v>
      </c>
      <c r="H2438" s="195">
        <v>3.53</v>
      </c>
      <c r="I2438" s="219">
        <v>4.4000000000000004</v>
      </c>
      <c r="J2438" s="91" t="s">
        <v>3415</v>
      </c>
      <c r="K2438" s="58" t="s">
        <v>3116</v>
      </c>
      <c r="L2438" s="21"/>
      <c r="M2438" s="21"/>
      <c r="N2438" s="21"/>
      <c r="O2438" s="21"/>
      <c r="R2438">
        <v>4.4000000000000004</v>
      </c>
    </row>
    <row r="2439" spans="2:18" ht="15" customHeight="1" x14ac:dyDescent="0.35">
      <c r="B2439" s="100">
        <f>(B2438+1)</f>
        <v>2391</v>
      </c>
      <c r="C2439" s="194" t="s">
        <v>3416</v>
      </c>
      <c r="D2439" s="195" t="s">
        <v>3417</v>
      </c>
      <c r="E2439" s="153">
        <v>12</v>
      </c>
      <c r="F2439" s="195" t="s">
        <v>3393</v>
      </c>
      <c r="G2439" s="99">
        <v>4.4000000000000004</v>
      </c>
      <c r="H2439" s="195">
        <v>2.79</v>
      </c>
      <c r="I2439" s="219">
        <v>4.4000000000000004</v>
      </c>
      <c r="J2439" s="91" t="s">
        <v>3418</v>
      </c>
      <c r="K2439" s="58">
        <v>57.5</v>
      </c>
      <c r="L2439" s="21"/>
      <c r="M2439" s="21"/>
      <c r="N2439" s="21"/>
      <c r="O2439" s="21"/>
      <c r="R2439">
        <v>4.4000000000000004</v>
      </c>
    </row>
    <row r="2440" spans="2:18" ht="15" customHeight="1" x14ac:dyDescent="0.35">
      <c r="B2440" s="100">
        <f>(B2439+1)</f>
        <v>2392</v>
      </c>
      <c r="C2440" s="194" t="s">
        <v>3419</v>
      </c>
      <c r="D2440" s="195" t="s">
        <v>3420</v>
      </c>
      <c r="E2440" s="99">
        <v>10</v>
      </c>
      <c r="F2440" s="195" t="s">
        <v>3393</v>
      </c>
      <c r="G2440" s="99">
        <v>6.4</v>
      </c>
      <c r="H2440" s="195">
        <v>2.68</v>
      </c>
      <c r="I2440" s="219">
        <v>6.4</v>
      </c>
      <c r="J2440" s="91" t="s">
        <v>3421</v>
      </c>
      <c r="K2440" s="58">
        <v>57.5</v>
      </c>
      <c r="L2440" s="21"/>
      <c r="M2440" s="21"/>
      <c r="N2440" s="21"/>
      <c r="O2440" s="21"/>
      <c r="R2440">
        <v>6.4</v>
      </c>
    </row>
    <row r="2441" spans="2:18" ht="15" customHeight="1" x14ac:dyDescent="0.35">
      <c r="B2441" s="100">
        <f t="shared" ref="B2441:B2504" si="43">(B2440+1)</f>
        <v>2393</v>
      </c>
      <c r="C2441" s="208" t="s">
        <v>3422</v>
      </c>
      <c r="D2441" s="209" t="s">
        <v>3423</v>
      </c>
      <c r="E2441" s="99">
        <v>9</v>
      </c>
      <c r="F2441" s="103">
        <v>42846</v>
      </c>
      <c r="G2441" s="99">
        <v>7.7</v>
      </c>
      <c r="H2441" s="209">
        <v>2.3199999999999998</v>
      </c>
      <c r="I2441" s="219">
        <v>7.7</v>
      </c>
      <c r="J2441" s="69">
        <v>477</v>
      </c>
      <c r="K2441" s="69">
        <v>63.75</v>
      </c>
      <c r="L2441" s="21"/>
      <c r="M2441" s="21"/>
      <c r="N2441" s="21"/>
      <c r="O2441" s="21"/>
      <c r="R2441">
        <v>7.7</v>
      </c>
    </row>
    <row r="2442" spans="2:18" ht="15" customHeight="1" x14ac:dyDescent="0.35">
      <c r="B2442" s="100">
        <f t="shared" si="43"/>
        <v>2394</v>
      </c>
      <c r="C2442" s="208" t="s">
        <v>3424</v>
      </c>
      <c r="D2442" s="209" t="s">
        <v>3425</v>
      </c>
      <c r="E2442" s="99">
        <v>12</v>
      </c>
      <c r="F2442" s="103">
        <v>42846</v>
      </c>
      <c r="G2442" s="99">
        <v>4.7</v>
      </c>
      <c r="H2442" s="209">
        <v>3.08</v>
      </c>
      <c r="I2442" s="219">
        <v>4.7</v>
      </c>
      <c r="J2442" s="69">
        <v>550</v>
      </c>
      <c r="K2442" s="69">
        <v>81</v>
      </c>
      <c r="L2442" s="21"/>
      <c r="M2442" s="21"/>
      <c r="N2442" s="21"/>
      <c r="O2442" s="21"/>
      <c r="R2442">
        <v>4.7</v>
      </c>
    </row>
    <row r="2443" spans="2:18" ht="15" customHeight="1" x14ac:dyDescent="0.35">
      <c r="B2443" s="100">
        <f t="shared" si="43"/>
        <v>2395</v>
      </c>
      <c r="C2443" s="208" t="s">
        <v>3426</v>
      </c>
      <c r="D2443" s="209" t="s">
        <v>3427</v>
      </c>
      <c r="E2443" s="99">
        <v>12</v>
      </c>
      <c r="F2443" s="103">
        <v>42846</v>
      </c>
      <c r="G2443" s="99">
        <v>4.7</v>
      </c>
      <c r="H2443" s="209">
        <v>3.34</v>
      </c>
      <c r="I2443" s="219">
        <v>4.7</v>
      </c>
      <c r="J2443" s="69">
        <v>493</v>
      </c>
      <c r="K2443" s="69">
        <v>69</v>
      </c>
      <c r="L2443" s="21"/>
      <c r="M2443" s="21"/>
      <c r="N2443" s="21"/>
      <c r="O2443" s="21"/>
      <c r="R2443">
        <v>4.7</v>
      </c>
    </row>
    <row r="2444" spans="2:18" ht="15" customHeight="1" x14ac:dyDescent="0.35">
      <c r="B2444" s="100">
        <f t="shared" si="43"/>
        <v>2396</v>
      </c>
      <c r="C2444" s="208" t="s">
        <v>3428</v>
      </c>
      <c r="D2444" s="209" t="s">
        <v>3429</v>
      </c>
      <c r="E2444" s="99">
        <v>12</v>
      </c>
      <c r="F2444" s="103">
        <v>42846</v>
      </c>
      <c r="G2444" s="99">
        <v>4.7</v>
      </c>
      <c r="H2444" s="209">
        <v>2.99</v>
      </c>
      <c r="I2444" s="219">
        <v>4.7</v>
      </c>
      <c r="J2444" s="69">
        <v>417</v>
      </c>
      <c r="K2444" s="69">
        <v>67.5</v>
      </c>
      <c r="L2444" s="21"/>
      <c r="M2444" s="21"/>
      <c r="N2444" s="21"/>
      <c r="O2444" s="21"/>
      <c r="R2444">
        <v>4.7</v>
      </c>
    </row>
    <row r="2445" spans="2:18" ht="15" customHeight="1" x14ac:dyDescent="0.35">
      <c r="B2445" s="100">
        <f t="shared" si="43"/>
        <v>2397</v>
      </c>
      <c r="C2445" s="208" t="s">
        <v>3430</v>
      </c>
      <c r="D2445" s="209" t="s">
        <v>3431</v>
      </c>
      <c r="E2445" s="99">
        <v>10</v>
      </c>
      <c r="F2445" s="103">
        <v>42846</v>
      </c>
      <c r="G2445" s="99">
        <v>6.7</v>
      </c>
      <c r="H2445" s="209">
        <v>2.23</v>
      </c>
      <c r="I2445" s="219">
        <v>6.7</v>
      </c>
      <c r="J2445" s="69">
        <v>483</v>
      </c>
      <c r="K2445" s="69">
        <v>51.25</v>
      </c>
      <c r="L2445" s="21"/>
      <c r="M2445" s="21"/>
      <c r="N2445" s="21"/>
      <c r="O2445" s="21"/>
      <c r="R2445">
        <v>6.7</v>
      </c>
    </row>
    <row r="2446" spans="2:18" ht="15" customHeight="1" x14ac:dyDescent="0.35">
      <c r="B2446" s="100">
        <f t="shared" si="43"/>
        <v>2398</v>
      </c>
      <c r="C2446" s="208" t="s">
        <v>3432</v>
      </c>
      <c r="D2446" s="209" t="s">
        <v>3433</v>
      </c>
      <c r="E2446" s="99">
        <v>9</v>
      </c>
      <c r="F2446" s="103">
        <v>42846</v>
      </c>
      <c r="G2446" s="99">
        <v>7.7</v>
      </c>
      <c r="H2446" s="209">
        <v>3.03</v>
      </c>
      <c r="I2446" s="219">
        <v>7.7</v>
      </c>
      <c r="J2446" s="69">
        <v>503</v>
      </c>
      <c r="K2446" s="69">
        <v>51</v>
      </c>
      <c r="L2446" s="21"/>
      <c r="M2446" s="21"/>
      <c r="N2446" s="21"/>
      <c r="O2446" s="21"/>
      <c r="R2446">
        <v>7.7</v>
      </c>
    </row>
    <row r="2447" spans="2:18" ht="15" customHeight="1" x14ac:dyDescent="0.35">
      <c r="B2447" s="100">
        <f t="shared" si="43"/>
        <v>2399</v>
      </c>
      <c r="C2447" s="208" t="s">
        <v>3434</v>
      </c>
      <c r="D2447" s="209" t="s">
        <v>3435</v>
      </c>
      <c r="E2447" s="99">
        <v>11</v>
      </c>
      <c r="F2447" s="103">
        <v>42846</v>
      </c>
      <c r="G2447" s="99">
        <v>5.7</v>
      </c>
      <c r="H2447" s="209">
        <v>2.64</v>
      </c>
      <c r="I2447" s="219">
        <v>5.7</v>
      </c>
      <c r="J2447" s="69">
        <v>533</v>
      </c>
      <c r="K2447" s="69">
        <v>55</v>
      </c>
      <c r="L2447" s="21"/>
      <c r="M2447" s="21"/>
      <c r="N2447" s="21"/>
      <c r="O2447" s="21"/>
      <c r="R2447">
        <v>5.7</v>
      </c>
    </row>
    <row r="2448" spans="2:18" ht="15" customHeight="1" x14ac:dyDescent="0.35">
      <c r="B2448" s="100">
        <f t="shared" si="43"/>
        <v>2400</v>
      </c>
      <c r="C2448" s="208" t="s">
        <v>3436</v>
      </c>
      <c r="D2448" s="209" t="s">
        <v>3437</v>
      </c>
      <c r="E2448" s="99">
        <v>10</v>
      </c>
      <c r="F2448" s="103">
        <v>42846</v>
      </c>
      <c r="G2448" s="99">
        <v>6.7</v>
      </c>
      <c r="H2448" s="209">
        <v>3.01</v>
      </c>
      <c r="I2448" s="219">
        <v>6.7</v>
      </c>
      <c r="J2448" s="69">
        <v>530</v>
      </c>
      <c r="K2448" s="69">
        <v>63.75</v>
      </c>
      <c r="L2448" s="21"/>
      <c r="M2448" s="21"/>
      <c r="N2448" s="21"/>
      <c r="O2448" s="21"/>
      <c r="R2448">
        <v>6.7</v>
      </c>
    </row>
    <row r="2449" spans="2:18" ht="15" customHeight="1" x14ac:dyDescent="0.35">
      <c r="B2449" s="100">
        <f t="shared" si="43"/>
        <v>2401</v>
      </c>
      <c r="C2449" s="208" t="s">
        <v>3438</v>
      </c>
      <c r="D2449" s="209" t="s">
        <v>3439</v>
      </c>
      <c r="E2449" s="99">
        <v>12</v>
      </c>
      <c r="F2449" s="103">
        <v>42846</v>
      </c>
      <c r="G2449" s="99">
        <v>4.7</v>
      </c>
      <c r="H2449" s="209">
        <v>2.89</v>
      </c>
      <c r="I2449" s="219">
        <v>4.7</v>
      </c>
      <c r="J2449" s="69">
        <v>537</v>
      </c>
      <c r="K2449" s="69">
        <v>60</v>
      </c>
      <c r="L2449" s="21"/>
      <c r="M2449" s="21"/>
      <c r="N2449" s="21"/>
      <c r="O2449" s="21"/>
      <c r="R2449">
        <v>4.7</v>
      </c>
    </row>
    <row r="2450" spans="2:18" ht="15" customHeight="1" x14ac:dyDescent="0.35">
      <c r="B2450" s="100">
        <f t="shared" si="43"/>
        <v>2402</v>
      </c>
      <c r="C2450" s="208" t="s">
        <v>3440</v>
      </c>
      <c r="D2450" s="209" t="s">
        <v>3441</v>
      </c>
      <c r="E2450" s="99">
        <v>12</v>
      </c>
      <c r="F2450" s="103">
        <v>42846</v>
      </c>
      <c r="G2450" s="99">
        <v>4.7</v>
      </c>
      <c r="H2450" s="209">
        <v>2.82</v>
      </c>
      <c r="I2450" s="219">
        <v>4.7</v>
      </c>
      <c r="J2450" s="69">
        <v>510</v>
      </c>
      <c r="K2450" s="69">
        <v>55</v>
      </c>
      <c r="L2450" s="21"/>
      <c r="M2450" s="21"/>
      <c r="N2450" s="21"/>
      <c r="O2450" s="21"/>
      <c r="R2450">
        <v>4.7</v>
      </c>
    </row>
    <row r="2451" spans="2:18" ht="15" customHeight="1" x14ac:dyDescent="0.35">
      <c r="B2451" s="100">
        <f t="shared" si="43"/>
        <v>2403</v>
      </c>
      <c r="C2451" s="208" t="s">
        <v>3442</v>
      </c>
      <c r="D2451" s="209" t="s">
        <v>3443</v>
      </c>
      <c r="E2451" s="99">
        <v>11</v>
      </c>
      <c r="F2451" s="103">
        <v>42846</v>
      </c>
      <c r="G2451" s="99">
        <v>5.7</v>
      </c>
      <c r="H2451" s="209">
        <v>2.69</v>
      </c>
      <c r="I2451" s="219">
        <v>5.7</v>
      </c>
      <c r="J2451" s="69">
        <v>553</v>
      </c>
      <c r="K2451" s="69">
        <v>65</v>
      </c>
      <c r="L2451" s="21"/>
      <c r="M2451" s="21"/>
      <c r="N2451" s="21"/>
      <c r="O2451" s="21"/>
      <c r="R2451">
        <v>5.7</v>
      </c>
    </row>
    <row r="2452" spans="2:18" ht="15" customHeight="1" x14ac:dyDescent="0.35">
      <c r="B2452" s="100">
        <f t="shared" si="43"/>
        <v>2404</v>
      </c>
      <c r="C2452" s="220" t="s">
        <v>3444</v>
      </c>
      <c r="D2452" s="221" t="s">
        <v>3445</v>
      </c>
      <c r="E2452" s="99">
        <v>13</v>
      </c>
      <c r="F2452" s="221" t="s">
        <v>3446</v>
      </c>
      <c r="G2452" s="99">
        <v>3.1</v>
      </c>
      <c r="H2452" s="221">
        <v>3.76</v>
      </c>
      <c r="I2452" s="221">
        <v>3.1</v>
      </c>
      <c r="J2452" s="94" t="s">
        <v>3447</v>
      </c>
      <c r="K2452" s="75" t="s">
        <v>3065</v>
      </c>
      <c r="L2452" s="21"/>
      <c r="M2452" s="21"/>
      <c r="N2452" s="21"/>
      <c r="O2452" s="21"/>
      <c r="R2452">
        <v>3.1</v>
      </c>
    </row>
    <row r="2453" spans="2:18" ht="15" customHeight="1" x14ac:dyDescent="0.35">
      <c r="B2453" s="100">
        <f t="shared" si="43"/>
        <v>2405</v>
      </c>
      <c r="C2453" s="220" t="s">
        <v>3448</v>
      </c>
      <c r="D2453" s="221" t="s">
        <v>3449</v>
      </c>
      <c r="E2453" s="99">
        <v>12</v>
      </c>
      <c r="F2453" s="221" t="s">
        <v>3446</v>
      </c>
      <c r="G2453" s="99"/>
      <c r="H2453" s="221">
        <v>3.03</v>
      </c>
      <c r="I2453" s="221"/>
      <c r="J2453" s="94" t="s">
        <v>2785</v>
      </c>
      <c r="K2453" s="75" t="s">
        <v>3399</v>
      </c>
      <c r="L2453" s="21"/>
      <c r="M2453" s="21"/>
      <c r="N2453" s="21"/>
      <c r="O2453" s="21"/>
    </row>
    <row r="2454" spans="2:18" ht="15" customHeight="1" x14ac:dyDescent="0.35">
      <c r="B2454" s="100">
        <f t="shared" si="43"/>
        <v>2406</v>
      </c>
      <c r="C2454" s="220" t="s">
        <v>3450</v>
      </c>
      <c r="D2454" s="221" t="s">
        <v>3451</v>
      </c>
      <c r="E2454" s="99">
        <v>10</v>
      </c>
      <c r="F2454" s="221" t="s">
        <v>3446</v>
      </c>
      <c r="G2454" s="99"/>
      <c r="H2454" s="221">
        <v>2.7</v>
      </c>
      <c r="I2454" s="221"/>
      <c r="J2454" s="94" t="s">
        <v>3452</v>
      </c>
      <c r="K2454" s="75" t="s">
        <v>3065</v>
      </c>
      <c r="L2454" s="21"/>
      <c r="M2454" s="21"/>
      <c r="N2454" s="21"/>
      <c r="O2454" s="21"/>
    </row>
    <row r="2455" spans="2:18" ht="15" customHeight="1" x14ac:dyDescent="0.35">
      <c r="B2455" s="100">
        <f t="shared" si="43"/>
        <v>2407</v>
      </c>
      <c r="C2455" s="220" t="s">
        <v>3453</v>
      </c>
      <c r="D2455" s="221" t="s">
        <v>3454</v>
      </c>
      <c r="E2455" s="99">
        <v>12</v>
      </c>
      <c r="F2455" s="221" t="s">
        <v>3446</v>
      </c>
      <c r="G2455" s="99"/>
      <c r="H2455" s="221">
        <v>3.25</v>
      </c>
      <c r="I2455" s="221"/>
      <c r="J2455" s="94" t="s">
        <v>3455</v>
      </c>
      <c r="K2455" s="75" t="s">
        <v>3456</v>
      </c>
      <c r="L2455" s="21"/>
      <c r="M2455" s="21"/>
      <c r="N2455" s="21"/>
      <c r="O2455" s="21"/>
    </row>
    <row r="2456" spans="2:18" ht="15" customHeight="1" x14ac:dyDescent="0.35">
      <c r="B2456" s="100">
        <f t="shared" si="43"/>
        <v>2408</v>
      </c>
      <c r="C2456" s="220" t="s">
        <v>3457</v>
      </c>
      <c r="D2456" s="221" t="s">
        <v>3458</v>
      </c>
      <c r="E2456" s="99">
        <v>13</v>
      </c>
      <c r="F2456" s="221" t="s">
        <v>3446</v>
      </c>
      <c r="G2456" s="99"/>
      <c r="H2456" s="221">
        <v>3.72</v>
      </c>
      <c r="I2456" s="221"/>
      <c r="J2456" s="94" t="s">
        <v>3459</v>
      </c>
      <c r="K2456" s="75" t="s">
        <v>3460</v>
      </c>
      <c r="L2456" s="21"/>
      <c r="M2456" s="21"/>
      <c r="N2456" s="21"/>
      <c r="O2456" s="21"/>
    </row>
    <row r="2457" spans="2:18" ht="15" customHeight="1" x14ac:dyDescent="0.35">
      <c r="B2457" s="100">
        <f t="shared" si="43"/>
        <v>2409</v>
      </c>
      <c r="C2457" s="220" t="s">
        <v>3461</v>
      </c>
      <c r="D2457" s="221" t="s">
        <v>3462</v>
      </c>
      <c r="E2457" s="99">
        <v>12</v>
      </c>
      <c r="F2457" s="221" t="s">
        <v>3446</v>
      </c>
      <c r="G2457" s="99"/>
      <c r="H2457" s="221">
        <v>3.18</v>
      </c>
      <c r="I2457" s="221"/>
      <c r="J2457" s="94" t="s">
        <v>3398</v>
      </c>
      <c r="K2457" s="75" t="s">
        <v>3463</v>
      </c>
      <c r="L2457" s="21"/>
      <c r="M2457" s="21"/>
      <c r="N2457" s="21"/>
      <c r="O2457" s="21"/>
    </row>
    <row r="2458" spans="2:18" ht="15" customHeight="1" x14ac:dyDescent="0.35">
      <c r="B2458" s="100">
        <f t="shared" si="43"/>
        <v>2410</v>
      </c>
      <c r="C2458" s="220" t="s">
        <v>3464</v>
      </c>
      <c r="D2458" s="221" t="s">
        <v>3465</v>
      </c>
      <c r="E2458" s="99">
        <v>13</v>
      </c>
      <c r="F2458" s="221" t="s">
        <v>3446</v>
      </c>
      <c r="G2458" s="99"/>
      <c r="H2458" s="221">
        <v>3.58</v>
      </c>
      <c r="I2458" s="221"/>
      <c r="J2458" s="94" t="s">
        <v>3386</v>
      </c>
      <c r="K2458" s="75" t="s">
        <v>3466</v>
      </c>
      <c r="L2458" s="21"/>
      <c r="M2458" s="21"/>
      <c r="N2458" s="21"/>
      <c r="O2458" s="21"/>
    </row>
    <row r="2459" spans="2:18" ht="15" customHeight="1" x14ac:dyDescent="0.35">
      <c r="B2459" s="100">
        <f t="shared" si="43"/>
        <v>2411</v>
      </c>
      <c r="C2459" s="220" t="s">
        <v>3467</v>
      </c>
      <c r="D2459" s="221" t="s">
        <v>3468</v>
      </c>
      <c r="E2459" s="99">
        <v>13</v>
      </c>
      <c r="F2459" s="221" t="s">
        <v>3446</v>
      </c>
      <c r="G2459" s="99"/>
      <c r="H2459" s="221">
        <v>3.63</v>
      </c>
      <c r="I2459" s="221"/>
      <c r="J2459" s="94" t="s">
        <v>3469</v>
      </c>
      <c r="K2459" s="75" t="s">
        <v>3068</v>
      </c>
      <c r="L2459" s="21"/>
      <c r="M2459" s="21"/>
      <c r="N2459" s="21"/>
      <c r="O2459" s="21"/>
    </row>
    <row r="2460" spans="2:18" ht="15" customHeight="1" x14ac:dyDescent="0.35">
      <c r="B2460" s="100">
        <f t="shared" si="43"/>
        <v>2412</v>
      </c>
      <c r="C2460" s="220" t="s">
        <v>3470</v>
      </c>
      <c r="D2460" s="221" t="s">
        <v>3471</v>
      </c>
      <c r="E2460" s="99">
        <v>12</v>
      </c>
      <c r="F2460" s="221" t="s">
        <v>3446</v>
      </c>
      <c r="G2460" s="99"/>
      <c r="H2460" s="221">
        <v>2.95</v>
      </c>
      <c r="I2460" s="221"/>
      <c r="J2460" s="94" t="s">
        <v>3386</v>
      </c>
      <c r="K2460" s="75" t="s">
        <v>3472</v>
      </c>
      <c r="L2460" s="21"/>
      <c r="M2460" s="21"/>
      <c r="N2460" s="21"/>
      <c r="O2460" s="21"/>
    </row>
    <row r="2461" spans="2:18" ht="15" customHeight="1" x14ac:dyDescent="0.35">
      <c r="B2461" s="100">
        <f t="shared" si="43"/>
        <v>2413</v>
      </c>
      <c r="C2461" s="220" t="s">
        <v>3473</v>
      </c>
      <c r="D2461" s="221" t="s">
        <v>3474</v>
      </c>
      <c r="E2461" s="99">
        <v>13</v>
      </c>
      <c r="F2461" s="221" t="s">
        <v>3446</v>
      </c>
      <c r="G2461" s="99"/>
      <c r="H2461" s="221">
        <v>3.45</v>
      </c>
      <c r="I2461" s="221"/>
      <c r="J2461" s="94" t="s">
        <v>3475</v>
      </c>
      <c r="K2461" s="75" t="s">
        <v>3371</v>
      </c>
      <c r="L2461" s="21"/>
      <c r="M2461" s="21"/>
      <c r="N2461" s="21"/>
      <c r="O2461" s="21"/>
    </row>
    <row r="2462" spans="2:18" ht="15" customHeight="1" x14ac:dyDescent="0.35">
      <c r="B2462" s="100">
        <f t="shared" si="43"/>
        <v>2414</v>
      </c>
      <c r="C2462" s="220" t="s">
        <v>3476</v>
      </c>
      <c r="D2462" s="221" t="s">
        <v>3477</v>
      </c>
      <c r="E2462" s="99">
        <v>13</v>
      </c>
      <c r="F2462" s="221" t="s">
        <v>3446</v>
      </c>
      <c r="G2462" s="99"/>
      <c r="H2462" s="221">
        <v>3.83</v>
      </c>
      <c r="I2462" s="221"/>
      <c r="J2462" s="94" t="s">
        <v>3374</v>
      </c>
      <c r="K2462" s="75" t="s">
        <v>3460</v>
      </c>
      <c r="L2462" s="21"/>
      <c r="M2462" s="21"/>
      <c r="N2462" s="21"/>
      <c r="O2462" s="21"/>
    </row>
    <row r="2463" spans="2:18" ht="15" customHeight="1" x14ac:dyDescent="0.35">
      <c r="B2463" s="100">
        <f t="shared" si="43"/>
        <v>2415</v>
      </c>
      <c r="C2463" s="220" t="s">
        <v>3478</v>
      </c>
      <c r="D2463" s="221" t="s">
        <v>3479</v>
      </c>
      <c r="E2463" s="99">
        <v>13</v>
      </c>
      <c r="F2463" s="221" t="s">
        <v>3446</v>
      </c>
      <c r="G2463" s="99"/>
      <c r="H2463" s="221">
        <v>3.32</v>
      </c>
      <c r="I2463" s="221"/>
      <c r="J2463" s="94" t="s">
        <v>3480</v>
      </c>
      <c r="K2463" s="75" t="s">
        <v>3065</v>
      </c>
      <c r="L2463" s="21"/>
      <c r="M2463" s="21"/>
      <c r="N2463" s="21"/>
      <c r="O2463" s="21"/>
    </row>
    <row r="2464" spans="2:18" ht="15" customHeight="1" x14ac:dyDescent="0.35">
      <c r="B2464" s="100">
        <f t="shared" si="43"/>
        <v>2416</v>
      </c>
      <c r="C2464" s="220" t="s">
        <v>3481</v>
      </c>
      <c r="D2464" s="221" t="s">
        <v>3482</v>
      </c>
      <c r="E2464" s="99">
        <v>13</v>
      </c>
      <c r="F2464" s="221" t="s">
        <v>3446</v>
      </c>
      <c r="G2464" s="99"/>
      <c r="H2464" s="221">
        <v>3.36</v>
      </c>
      <c r="I2464" s="221"/>
      <c r="J2464" s="94" t="s">
        <v>3483</v>
      </c>
      <c r="K2464" s="75" t="s">
        <v>3065</v>
      </c>
      <c r="L2464" s="21"/>
      <c r="M2464" s="21"/>
      <c r="N2464" s="21"/>
      <c r="O2464" s="21"/>
    </row>
    <row r="2465" spans="2:15" ht="15" customHeight="1" x14ac:dyDescent="0.35">
      <c r="B2465" s="100">
        <f t="shared" si="43"/>
        <v>2417</v>
      </c>
      <c r="C2465" s="220" t="s">
        <v>3484</v>
      </c>
      <c r="D2465" s="221" t="s">
        <v>3485</v>
      </c>
      <c r="E2465" s="99">
        <v>13</v>
      </c>
      <c r="F2465" s="221" t="s">
        <v>3446</v>
      </c>
      <c r="G2465" s="99"/>
      <c r="H2465" s="221">
        <v>3.73</v>
      </c>
      <c r="I2465" s="221"/>
      <c r="J2465" s="94" t="s">
        <v>3386</v>
      </c>
      <c r="K2465" s="75" t="s">
        <v>3486</v>
      </c>
      <c r="L2465" s="21"/>
      <c r="M2465" s="21"/>
      <c r="N2465" s="21"/>
      <c r="O2465" s="21"/>
    </row>
    <row r="2466" spans="2:15" ht="15" customHeight="1" x14ac:dyDescent="0.35">
      <c r="B2466" s="100">
        <f t="shared" si="43"/>
        <v>2418</v>
      </c>
      <c r="C2466" s="220" t="s">
        <v>3487</v>
      </c>
      <c r="D2466" s="221" t="s">
        <v>3488</v>
      </c>
      <c r="E2466" s="99">
        <v>13</v>
      </c>
      <c r="F2466" s="221" t="s">
        <v>3446</v>
      </c>
      <c r="G2466" s="99"/>
      <c r="H2466" s="221">
        <v>3.4</v>
      </c>
      <c r="I2466" s="221"/>
      <c r="J2466" s="94" t="s">
        <v>3489</v>
      </c>
      <c r="K2466" s="75" t="s">
        <v>3466</v>
      </c>
      <c r="L2466" s="21"/>
      <c r="M2466" s="21"/>
      <c r="N2466" s="21"/>
      <c r="O2466" s="21"/>
    </row>
    <row r="2467" spans="2:15" ht="15" customHeight="1" x14ac:dyDescent="0.35">
      <c r="B2467" s="100">
        <f t="shared" si="43"/>
        <v>2419</v>
      </c>
      <c r="C2467" s="220" t="s">
        <v>3490</v>
      </c>
      <c r="D2467" s="221" t="s">
        <v>3491</v>
      </c>
      <c r="E2467" s="99">
        <v>13</v>
      </c>
      <c r="F2467" s="221" t="s">
        <v>3446</v>
      </c>
      <c r="G2467" s="99"/>
      <c r="H2467" s="221">
        <v>3.78</v>
      </c>
      <c r="I2467" s="221"/>
      <c r="J2467" s="94" t="s">
        <v>3366</v>
      </c>
      <c r="K2467" s="75" t="s">
        <v>3492</v>
      </c>
      <c r="L2467" s="21"/>
      <c r="M2467" s="21"/>
      <c r="N2467" s="21"/>
      <c r="O2467" s="21"/>
    </row>
    <row r="2468" spans="2:15" ht="15" customHeight="1" x14ac:dyDescent="0.35">
      <c r="B2468" s="100">
        <f t="shared" si="43"/>
        <v>2420</v>
      </c>
      <c r="C2468" s="220" t="s">
        <v>3493</v>
      </c>
      <c r="D2468" s="221" t="s">
        <v>3494</v>
      </c>
      <c r="E2468" s="99">
        <v>13</v>
      </c>
      <c r="F2468" s="221" t="s">
        <v>3446</v>
      </c>
      <c r="G2468" s="99"/>
      <c r="H2468" s="221">
        <v>3</v>
      </c>
      <c r="I2468" s="221"/>
      <c r="J2468" s="94" t="s">
        <v>3495</v>
      </c>
      <c r="K2468" s="75" t="s">
        <v>3065</v>
      </c>
      <c r="L2468" s="21"/>
      <c r="M2468" s="21"/>
      <c r="N2468" s="21"/>
      <c r="O2468" s="21"/>
    </row>
    <row r="2469" spans="2:15" ht="15" customHeight="1" x14ac:dyDescent="0.35">
      <c r="B2469" s="100">
        <f t="shared" si="43"/>
        <v>2421</v>
      </c>
      <c r="C2469" s="220" t="s">
        <v>3496</v>
      </c>
      <c r="D2469" s="221" t="s">
        <v>3497</v>
      </c>
      <c r="E2469" s="99">
        <v>13</v>
      </c>
      <c r="F2469" s="221" t="s">
        <v>3446</v>
      </c>
      <c r="G2469" s="99"/>
      <c r="H2469" s="221">
        <v>3.56</v>
      </c>
      <c r="I2469" s="221"/>
      <c r="J2469" s="94" t="s">
        <v>3498</v>
      </c>
      <c r="K2469" s="75" t="s">
        <v>3472</v>
      </c>
      <c r="L2469" s="21"/>
      <c r="M2469" s="21"/>
      <c r="N2469" s="21"/>
      <c r="O2469" s="21"/>
    </row>
    <row r="2470" spans="2:15" ht="15" customHeight="1" x14ac:dyDescent="0.35">
      <c r="B2470" s="100">
        <f t="shared" si="43"/>
        <v>2422</v>
      </c>
      <c r="C2470" s="220" t="s">
        <v>3499</v>
      </c>
      <c r="D2470" s="221" t="s">
        <v>3500</v>
      </c>
      <c r="E2470" s="99">
        <v>11</v>
      </c>
      <c r="F2470" s="221" t="s">
        <v>3446</v>
      </c>
      <c r="G2470" s="99"/>
      <c r="H2470" s="221">
        <v>3.21</v>
      </c>
      <c r="I2470" s="221"/>
      <c r="J2470" s="94" t="s">
        <v>3377</v>
      </c>
      <c r="K2470" s="75" t="s">
        <v>3390</v>
      </c>
      <c r="L2470" s="21"/>
      <c r="M2470" s="21"/>
      <c r="N2470" s="21"/>
      <c r="O2470" s="21"/>
    </row>
    <row r="2471" spans="2:15" ht="15" customHeight="1" x14ac:dyDescent="0.35">
      <c r="B2471" s="100">
        <f t="shared" si="43"/>
        <v>2423</v>
      </c>
      <c r="C2471" s="220" t="s">
        <v>3501</v>
      </c>
      <c r="D2471" s="221" t="s">
        <v>3502</v>
      </c>
      <c r="E2471" s="99">
        <v>13</v>
      </c>
      <c r="F2471" s="221" t="s">
        <v>3446</v>
      </c>
      <c r="G2471" s="99"/>
      <c r="H2471" s="221">
        <v>3.42</v>
      </c>
      <c r="I2471" s="221"/>
      <c r="J2471" s="94" t="s">
        <v>3469</v>
      </c>
      <c r="K2471" s="75" t="s">
        <v>3503</v>
      </c>
      <c r="L2471" s="21"/>
      <c r="M2471" s="21"/>
      <c r="N2471" s="21"/>
      <c r="O2471" s="21"/>
    </row>
    <row r="2472" spans="2:15" ht="15" customHeight="1" x14ac:dyDescent="0.35">
      <c r="B2472" s="100">
        <f t="shared" si="43"/>
        <v>2424</v>
      </c>
      <c r="C2472" s="220" t="s">
        <v>3504</v>
      </c>
      <c r="D2472" s="221" t="s">
        <v>3505</v>
      </c>
      <c r="E2472" s="99">
        <v>13</v>
      </c>
      <c r="F2472" s="221" t="s">
        <v>3446</v>
      </c>
      <c r="G2472" s="99"/>
      <c r="H2472" s="221">
        <v>3.25</v>
      </c>
      <c r="I2472" s="221"/>
      <c r="J2472" s="94" t="s">
        <v>3398</v>
      </c>
      <c r="K2472" s="75" t="s">
        <v>3065</v>
      </c>
      <c r="L2472" s="21"/>
      <c r="M2472" s="21"/>
      <c r="N2472" s="21"/>
      <c r="O2472" s="21"/>
    </row>
    <row r="2473" spans="2:15" ht="15" customHeight="1" x14ac:dyDescent="0.35">
      <c r="B2473" s="100">
        <f t="shared" si="43"/>
        <v>2425</v>
      </c>
      <c r="C2473" s="220" t="s">
        <v>3506</v>
      </c>
      <c r="D2473" s="221" t="s">
        <v>3507</v>
      </c>
      <c r="E2473" s="99">
        <v>13</v>
      </c>
      <c r="F2473" s="221" t="s">
        <v>3446</v>
      </c>
      <c r="G2473" s="99"/>
      <c r="H2473" s="221">
        <v>3.59</v>
      </c>
      <c r="I2473" s="221"/>
      <c r="J2473" s="94" t="s">
        <v>3508</v>
      </c>
      <c r="K2473" s="75" t="s">
        <v>3472</v>
      </c>
      <c r="L2473" s="21"/>
      <c r="M2473" s="21"/>
      <c r="N2473" s="21"/>
      <c r="O2473" s="21"/>
    </row>
    <row r="2474" spans="2:15" ht="15" customHeight="1" x14ac:dyDescent="0.35">
      <c r="B2474" s="100">
        <f t="shared" si="43"/>
        <v>2426</v>
      </c>
      <c r="C2474" s="220" t="s">
        <v>3509</v>
      </c>
      <c r="D2474" s="221" t="s">
        <v>3510</v>
      </c>
      <c r="E2474" s="99">
        <v>13</v>
      </c>
      <c r="F2474" s="221" t="s">
        <v>3446</v>
      </c>
      <c r="G2474" s="99"/>
      <c r="H2474" s="221">
        <v>3.34</v>
      </c>
      <c r="I2474" s="221"/>
      <c r="J2474" s="94" t="s">
        <v>3402</v>
      </c>
      <c r="K2474" s="75" t="s">
        <v>3492</v>
      </c>
      <c r="L2474" s="21"/>
      <c r="M2474" s="21"/>
      <c r="N2474" s="21"/>
      <c r="O2474" s="21"/>
    </row>
    <row r="2475" spans="2:15" ht="15" customHeight="1" x14ac:dyDescent="0.35">
      <c r="B2475" s="100">
        <f t="shared" si="43"/>
        <v>2427</v>
      </c>
      <c r="C2475" s="220" t="s">
        <v>3511</v>
      </c>
      <c r="D2475" s="221" t="s">
        <v>3512</v>
      </c>
      <c r="E2475" s="99">
        <v>13</v>
      </c>
      <c r="F2475" s="221" t="s">
        <v>3446</v>
      </c>
      <c r="G2475" s="99"/>
      <c r="H2475" s="221">
        <v>3.53</v>
      </c>
      <c r="I2475" s="221"/>
      <c r="J2475" s="94" t="s">
        <v>3513</v>
      </c>
      <c r="K2475" s="75" t="s">
        <v>3068</v>
      </c>
      <c r="L2475" s="21"/>
      <c r="M2475" s="21"/>
      <c r="N2475" s="21"/>
      <c r="O2475" s="21"/>
    </row>
    <row r="2476" spans="2:15" ht="15" customHeight="1" x14ac:dyDescent="0.35">
      <c r="B2476" s="100">
        <f t="shared" si="43"/>
        <v>2428</v>
      </c>
      <c r="C2476" s="220" t="s">
        <v>3514</v>
      </c>
      <c r="D2476" s="221" t="s">
        <v>3515</v>
      </c>
      <c r="E2476" s="99">
        <v>13</v>
      </c>
      <c r="F2476" s="221" t="s">
        <v>3446</v>
      </c>
      <c r="G2476" s="99"/>
      <c r="H2476" s="221">
        <v>3.23</v>
      </c>
      <c r="I2476" s="221"/>
      <c r="J2476" s="94" t="s">
        <v>3516</v>
      </c>
      <c r="K2476" s="75" t="s">
        <v>3399</v>
      </c>
      <c r="L2476" s="21"/>
      <c r="M2476" s="21"/>
      <c r="N2476" s="21"/>
      <c r="O2476" s="21"/>
    </row>
    <row r="2477" spans="2:15" ht="15" customHeight="1" x14ac:dyDescent="0.35">
      <c r="B2477" s="100">
        <f t="shared" si="43"/>
        <v>2429</v>
      </c>
      <c r="C2477" s="220" t="s">
        <v>3517</v>
      </c>
      <c r="D2477" s="221" t="s">
        <v>3518</v>
      </c>
      <c r="E2477" s="99">
        <v>13</v>
      </c>
      <c r="F2477" s="221" t="s">
        <v>3446</v>
      </c>
      <c r="G2477" s="99"/>
      <c r="H2477" s="221">
        <v>3.52</v>
      </c>
      <c r="I2477" s="221"/>
      <c r="J2477" s="94" t="s">
        <v>3519</v>
      </c>
      <c r="K2477" s="75" t="s">
        <v>3399</v>
      </c>
      <c r="L2477" s="21"/>
      <c r="M2477" s="21"/>
      <c r="N2477" s="21"/>
      <c r="O2477" s="21"/>
    </row>
    <row r="2478" spans="2:15" ht="15" customHeight="1" x14ac:dyDescent="0.35">
      <c r="B2478" s="100">
        <f t="shared" si="43"/>
        <v>2430</v>
      </c>
      <c r="C2478" s="220" t="s">
        <v>3520</v>
      </c>
      <c r="D2478" s="221" t="s">
        <v>3521</v>
      </c>
      <c r="E2478" s="99">
        <v>13</v>
      </c>
      <c r="F2478" s="221" t="s">
        <v>3446</v>
      </c>
      <c r="G2478" s="99"/>
      <c r="H2478" s="221">
        <v>3.16</v>
      </c>
      <c r="I2478" s="221"/>
      <c r="J2478" s="94" t="s">
        <v>3522</v>
      </c>
      <c r="K2478" s="75" t="s">
        <v>3068</v>
      </c>
      <c r="L2478" s="21"/>
      <c r="M2478" s="21"/>
      <c r="N2478" s="21"/>
      <c r="O2478" s="21"/>
    </row>
    <row r="2479" spans="2:15" ht="15" customHeight="1" x14ac:dyDescent="0.35">
      <c r="B2479" s="100">
        <f t="shared" si="43"/>
        <v>2431</v>
      </c>
      <c r="C2479" s="220" t="s">
        <v>3523</v>
      </c>
      <c r="D2479" s="221" t="s">
        <v>3524</v>
      </c>
      <c r="E2479" s="99">
        <v>13</v>
      </c>
      <c r="F2479" s="221" t="s">
        <v>3446</v>
      </c>
      <c r="G2479" s="99"/>
      <c r="H2479" s="221">
        <v>3.58</v>
      </c>
      <c r="I2479" s="221"/>
      <c r="J2479" s="94" t="s">
        <v>3480</v>
      </c>
      <c r="K2479" s="75" t="s">
        <v>3460</v>
      </c>
      <c r="L2479" s="21"/>
      <c r="M2479" s="21"/>
      <c r="N2479" s="21"/>
      <c r="O2479" s="21"/>
    </row>
    <row r="2480" spans="2:15" ht="15" customHeight="1" x14ac:dyDescent="0.35">
      <c r="B2480" s="100">
        <f t="shared" si="43"/>
        <v>2432</v>
      </c>
      <c r="C2480" s="220" t="s">
        <v>3525</v>
      </c>
      <c r="D2480" s="221" t="s">
        <v>3526</v>
      </c>
      <c r="E2480" s="99">
        <v>13</v>
      </c>
      <c r="F2480" s="221" t="s">
        <v>3446</v>
      </c>
      <c r="G2480" s="99"/>
      <c r="H2480" s="221">
        <v>3.6</v>
      </c>
      <c r="I2480" s="221"/>
      <c r="J2480" s="94" t="s">
        <v>3386</v>
      </c>
      <c r="K2480" s="75" t="s">
        <v>3460</v>
      </c>
      <c r="L2480" s="21"/>
      <c r="M2480" s="21"/>
      <c r="N2480" s="21"/>
      <c r="O2480" s="21"/>
    </row>
    <row r="2481" spans="2:15" ht="15" customHeight="1" x14ac:dyDescent="0.35">
      <c r="B2481" s="100">
        <f t="shared" si="43"/>
        <v>2433</v>
      </c>
      <c r="C2481" s="220" t="s">
        <v>3527</v>
      </c>
      <c r="D2481" s="221" t="s">
        <v>3528</v>
      </c>
      <c r="E2481" s="99">
        <v>13</v>
      </c>
      <c r="F2481" s="221" t="s">
        <v>3446</v>
      </c>
      <c r="G2481" s="99"/>
      <c r="H2481" s="221">
        <v>3.19</v>
      </c>
      <c r="I2481" s="221"/>
      <c r="J2481" s="94" t="s">
        <v>3377</v>
      </c>
      <c r="K2481" s="75" t="s">
        <v>3460</v>
      </c>
      <c r="L2481" s="21"/>
      <c r="M2481" s="21"/>
      <c r="N2481" s="21"/>
      <c r="O2481" s="21"/>
    </row>
    <row r="2482" spans="2:15" ht="15" customHeight="1" x14ac:dyDescent="0.35">
      <c r="B2482" s="100">
        <f t="shared" si="43"/>
        <v>2434</v>
      </c>
      <c r="C2482" s="220" t="s">
        <v>3529</v>
      </c>
      <c r="D2482" s="221" t="s">
        <v>3530</v>
      </c>
      <c r="E2482" s="99">
        <v>13</v>
      </c>
      <c r="F2482" s="221" t="s">
        <v>3446</v>
      </c>
      <c r="G2482" s="99"/>
      <c r="H2482" s="221">
        <v>3.62</v>
      </c>
      <c r="I2482" s="221"/>
      <c r="J2482" s="94" t="s">
        <v>3452</v>
      </c>
      <c r="K2482" s="75" t="s">
        <v>3531</v>
      </c>
      <c r="L2482" s="21"/>
      <c r="M2482" s="21"/>
      <c r="N2482" s="21"/>
      <c r="O2482" s="21"/>
    </row>
    <row r="2483" spans="2:15" ht="15" customHeight="1" x14ac:dyDescent="0.35">
      <c r="B2483" s="100">
        <f t="shared" si="43"/>
        <v>2435</v>
      </c>
      <c r="C2483" s="220" t="s">
        <v>3532</v>
      </c>
      <c r="D2483" s="221" t="s">
        <v>3533</v>
      </c>
      <c r="E2483" s="99">
        <v>13</v>
      </c>
      <c r="F2483" s="221" t="s">
        <v>3446</v>
      </c>
      <c r="G2483" s="99"/>
      <c r="H2483" s="221">
        <v>3.44</v>
      </c>
      <c r="I2483" s="221"/>
      <c r="J2483" s="94" t="s">
        <v>3534</v>
      </c>
      <c r="K2483" s="75" t="s">
        <v>3065</v>
      </c>
      <c r="L2483" s="21"/>
      <c r="M2483" s="21"/>
      <c r="N2483" s="21"/>
      <c r="O2483" s="21"/>
    </row>
    <row r="2484" spans="2:15" ht="15" customHeight="1" x14ac:dyDescent="0.35">
      <c r="B2484" s="100">
        <f t="shared" si="43"/>
        <v>2436</v>
      </c>
      <c r="C2484" s="220" t="s">
        <v>3535</v>
      </c>
      <c r="D2484" s="221" t="s">
        <v>3536</v>
      </c>
      <c r="E2484" s="99">
        <v>13</v>
      </c>
      <c r="F2484" s="221" t="s">
        <v>3446</v>
      </c>
      <c r="G2484" s="99"/>
      <c r="H2484" s="221">
        <v>3.3</v>
      </c>
      <c r="I2484" s="221"/>
      <c r="J2484" s="94" t="s">
        <v>3537</v>
      </c>
      <c r="K2484" s="75">
        <v>77.5</v>
      </c>
      <c r="L2484" s="21"/>
      <c r="M2484" s="21"/>
      <c r="N2484" s="21"/>
      <c r="O2484" s="21"/>
    </row>
    <row r="2485" spans="2:15" ht="15" customHeight="1" x14ac:dyDescent="0.35">
      <c r="B2485" s="100">
        <f t="shared" si="43"/>
        <v>2437</v>
      </c>
      <c r="C2485" s="220" t="s">
        <v>3538</v>
      </c>
      <c r="D2485" s="221" t="s">
        <v>3539</v>
      </c>
      <c r="E2485" s="99">
        <v>13</v>
      </c>
      <c r="F2485" s="221" t="s">
        <v>3446</v>
      </c>
      <c r="G2485" s="99"/>
      <c r="H2485" s="221">
        <v>3.22</v>
      </c>
      <c r="I2485" s="221"/>
      <c r="J2485" s="94" t="s">
        <v>3495</v>
      </c>
      <c r="K2485" s="75" t="s">
        <v>3472</v>
      </c>
      <c r="L2485" s="21"/>
      <c r="M2485" s="21"/>
      <c r="N2485" s="21"/>
      <c r="O2485" s="21"/>
    </row>
    <row r="2486" spans="2:15" ht="15" customHeight="1" x14ac:dyDescent="0.35">
      <c r="B2486" s="100">
        <f t="shared" si="43"/>
        <v>2438</v>
      </c>
      <c r="C2486" s="220" t="s">
        <v>3540</v>
      </c>
      <c r="D2486" s="221" t="s">
        <v>3541</v>
      </c>
      <c r="E2486" s="99">
        <v>13</v>
      </c>
      <c r="F2486" s="221" t="s">
        <v>3446</v>
      </c>
      <c r="G2486" s="99"/>
      <c r="H2486" s="221">
        <v>3.43</v>
      </c>
      <c r="I2486" s="221"/>
      <c r="J2486" s="94" t="s">
        <v>3386</v>
      </c>
      <c r="K2486" s="75" t="s">
        <v>3466</v>
      </c>
      <c r="L2486" s="21"/>
      <c r="M2486" s="21"/>
      <c r="N2486" s="21"/>
      <c r="O2486" s="21"/>
    </row>
    <row r="2487" spans="2:15" ht="15" customHeight="1" x14ac:dyDescent="0.35">
      <c r="B2487" s="100">
        <f t="shared" si="43"/>
        <v>2439</v>
      </c>
      <c r="C2487" s="220" t="s">
        <v>3542</v>
      </c>
      <c r="D2487" s="221" t="s">
        <v>3543</v>
      </c>
      <c r="E2487" s="99">
        <v>13</v>
      </c>
      <c r="F2487" s="221" t="s">
        <v>3446</v>
      </c>
      <c r="G2487" s="99"/>
      <c r="H2487" s="221">
        <v>3.87</v>
      </c>
      <c r="I2487" s="221"/>
      <c r="J2487" s="94" t="s">
        <v>3452</v>
      </c>
      <c r="K2487" s="75" t="s">
        <v>3073</v>
      </c>
      <c r="L2487" s="21"/>
      <c r="M2487" s="21"/>
      <c r="N2487" s="21"/>
      <c r="O2487" s="21"/>
    </row>
    <row r="2488" spans="2:15" ht="15" customHeight="1" x14ac:dyDescent="0.35">
      <c r="B2488" s="100">
        <f t="shared" si="43"/>
        <v>2440</v>
      </c>
      <c r="C2488" s="220" t="s">
        <v>3544</v>
      </c>
      <c r="D2488" s="221" t="s">
        <v>3545</v>
      </c>
      <c r="E2488" s="99">
        <v>13</v>
      </c>
      <c r="F2488" s="221" t="s">
        <v>3446</v>
      </c>
      <c r="G2488" s="99"/>
      <c r="H2488" s="221">
        <v>3.51</v>
      </c>
      <c r="I2488" s="221"/>
      <c r="J2488" s="94" t="s">
        <v>3421</v>
      </c>
      <c r="K2488" s="75" t="s">
        <v>3460</v>
      </c>
      <c r="L2488" s="21"/>
      <c r="M2488" s="21"/>
      <c r="N2488" s="21"/>
      <c r="O2488" s="21"/>
    </row>
    <row r="2489" spans="2:15" ht="15" customHeight="1" x14ac:dyDescent="0.35">
      <c r="B2489" s="100">
        <f t="shared" si="43"/>
        <v>2441</v>
      </c>
      <c r="C2489" s="220" t="s">
        <v>3546</v>
      </c>
      <c r="D2489" s="221" t="s">
        <v>3547</v>
      </c>
      <c r="E2489" s="99">
        <v>13</v>
      </c>
      <c r="F2489" s="221" t="s">
        <v>3446</v>
      </c>
      <c r="G2489" s="99"/>
      <c r="H2489" s="221">
        <v>3.05</v>
      </c>
      <c r="I2489" s="221"/>
      <c r="J2489" s="94" t="s">
        <v>3516</v>
      </c>
      <c r="K2489" s="75" t="s">
        <v>3399</v>
      </c>
      <c r="L2489" s="21"/>
      <c r="M2489" s="21"/>
      <c r="N2489" s="21"/>
      <c r="O2489" s="21"/>
    </row>
    <row r="2490" spans="2:15" ht="15" customHeight="1" x14ac:dyDescent="0.35">
      <c r="B2490" s="100">
        <f t="shared" si="43"/>
        <v>2442</v>
      </c>
      <c r="C2490" s="220" t="s">
        <v>3548</v>
      </c>
      <c r="D2490" s="221" t="s">
        <v>3549</v>
      </c>
      <c r="E2490" s="99">
        <v>13</v>
      </c>
      <c r="F2490" s="221" t="s">
        <v>3446</v>
      </c>
      <c r="G2490" s="99"/>
      <c r="H2490" s="221">
        <v>3.45</v>
      </c>
      <c r="I2490" s="221"/>
      <c r="J2490" s="94" t="s">
        <v>3550</v>
      </c>
      <c r="K2490" s="75" t="s">
        <v>3492</v>
      </c>
      <c r="L2490" s="21"/>
      <c r="M2490" s="21"/>
      <c r="N2490" s="21"/>
      <c r="O2490" s="21"/>
    </row>
    <row r="2491" spans="2:15" ht="15" customHeight="1" x14ac:dyDescent="0.35">
      <c r="B2491" s="100">
        <f t="shared" si="43"/>
        <v>2443</v>
      </c>
      <c r="C2491" s="220" t="s">
        <v>3551</v>
      </c>
      <c r="D2491" s="221" t="s">
        <v>3552</v>
      </c>
      <c r="E2491" s="99">
        <v>13</v>
      </c>
      <c r="F2491" s="221" t="s">
        <v>3446</v>
      </c>
      <c r="G2491" s="99"/>
      <c r="H2491" s="221">
        <v>3.47</v>
      </c>
      <c r="I2491" s="221"/>
      <c r="J2491" s="94" t="s">
        <v>3418</v>
      </c>
      <c r="K2491" s="75" t="s">
        <v>3065</v>
      </c>
      <c r="L2491" s="21"/>
      <c r="M2491" s="21"/>
      <c r="N2491" s="21"/>
      <c r="O2491" s="21"/>
    </row>
    <row r="2492" spans="2:15" ht="15" customHeight="1" x14ac:dyDescent="0.35">
      <c r="B2492" s="100">
        <f t="shared" si="43"/>
        <v>2444</v>
      </c>
      <c r="C2492" s="220" t="s">
        <v>3553</v>
      </c>
      <c r="D2492" s="221" t="s">
        <v>3554</v>
      </c>
      <c r="E2492" s="99">
        <v>13</v>
      </c>
      <c r="F2492" s="221" t="s">
        <v>3446</v>
      </c>
      <c r="G2492" s="99"/>
      <c r="H2492" s="221">
        <v>3.44</v>
      </c>
      <c r="I2492" s="221"/>
      <c r="J2492" s="94" t="s">
        <v>3555</v>
      </c>
      <c r="K2492" s="75" t="s">
        <v>3065</v>
      </c>
      <c r="L2492" s="21"/>
      <c r="M2492" s="21"/>
      <c r="N2492" s="21"/>
      <c r="O2492" s="21"/>
    </row>
    <row r="2493" spans="2:15" ht="15" customHeight="1" x14ac:dyDescent="0.35">
      <c r="B2493" s="100">
        <f t="shared" si="43"/>
        <v>2445</v>
      </c>
      <c r="C2493" s="220" t="s">
        <v>3556</v>
      </c>
      <c r="D2493" s="221" t="s">
        <v>3557</v>
      </c>
      <c r="E2493" s="99">
        <v>13</v>
      </c>
      <c r="F2493" s="221" t="s">
        <v>3446</v>
      </c>
      <c r="G2493" s="99"/>
      <c r="H2493" s="221">
        <v>3.09</v>
      </c>
      <c r="I2493" s="221"/>
      <c r="J2493" s="94" t="s">
        <v>3386</v>
      </c>
      <c r="K2493" s="75">
        <v>77.5</v>
      </c>
      <c r="L2493" s="21"/>
      <c r="M2493" s="21"/>
      <c r="N2493" s="21"/>
      <c r="O2493" s="21"/>
    </row>
    <row r="2494" spans="2:15" ht="15" customHeight="1" x14ac:dyDescent="0.35">
      <c r="B2494" s="100">
        <f t="shared" si="43"/>
        <v>2446</v>
      </c>
      <c r="C2494" s="220" t="s">
        <v>3558</v>
      </c>
      <c r="D2494" s="221" t="s">
        <v>3559</v>
      </c>
      <c r="E2494" s="99">
        <v>12</v>
      </c>
      <c r="F2494" s="221" t="s">
        <v>3446</v>
      </c>
      <c r="G2494" s="99"/>
      <c r="H2494" s="221">
        <v>2.93</v>
      </c>
      <c r="I2494" s="221"/>
      <c r="J2494" s="94" t="s">
        <v>3377</v>
      </c>
      <c r="K2494" s="75" t="s">
        <v>3531</v>
      </c>
      <c r="L2494" s="21"/>
      <c r="M2494" s="21"/>
      <c r="N2494" s="21"/>
      <c r="O2494" s="21"/>
    </row>
    <row r="2495" spans="2:15" ht="15" customHeight="1" x14ac:dyDescent="0.35">
      <c r="B2495" s="100">
        <f t="shared" si="43"/>
        <v>2447</v>
      </c>
      <c r="C2495" s="220" t="s">
        <v>3560</v>
      </c>
      <c r="D2495" s="221" t="s">
        <v>3561</v>
      </c>
      <c r="E2495" s="99">
        <v>13</v>
      </c>
      <c r="F2495" s="221" t="s">
        <v>3446</v>
      </c>
      <c r="G2495" s="99"/>
      <c r="H2495" s="221">
        <v>3.62</v>
      </c>
      <c r="I2495" s="221"/>
      <c r="J2495" s="94" t="s">
        <v>3550</v>
      </c>
      <c r="K2495" s="75" t="s">
        <v>3562</v>
      </c>
      <c r="L2495" s="21"/>
      <c r="M2495" s="21"/>
      <c r="N2495" s="21"/>
      <c r="O2495" s="21"/>
    </row>
    <row r="2496" spans="2:15" ht="15" customHeight="1" x14ac:dyDescent="0.35">
      <c r="B2496" s="100">
        <f t="shared" si="43"/>
        <v>2448</v>
      </c>
      <c r="C2496" s="220" t="s">
        <v>3563</v>
      </c>
      <c r="D2496" s="221" t="s">
        <v>3564</v>
      </c>
      <c r="E2496" s="99">
        <v>13</v>
      </c>
      <c r="F2496" s="221" t="s">
        <v>3446</v>
      </c>
      <c r="G2496" s="99"/>
      <c r="H2496" s="221">
        <v>3.62</v>
      </c>
      <c r="I2496" s="221"/>
      <c r="J2496" s="94" t="s">
        <v>3522</v>
      </c>
      <c r="K2496" s="75" t="s">
        <v>3472</v>
      </c>
      <c r="L2496" s="21"/>
      <c r="M2496" s="21"/>
      <c r="N2496" s="21"/>
      <c r="O2496" s="21"/>
    </row>
    <row r="2497" spans="2:18" ht="15" customHeight="1" x14ac:dyDescent="0.35">
      <c r="B2497" s="100">
        <f t="shared" si="43"/>
        <v>2449</v>
      </c>
      <c r="C2497" s="220" t="s">
        <v>3565</v>
      </c>
      <c r="D2497" s="221" t="s">
        <v>3566</v>
      </c>
      <c r="E2497" s="99">
        <v>10</v>
      </c>
      <c r="F2497" s="221" t="s">
        <v>3446</v>
      </c>
      <c r="G2497" s="99"/>
      <c r="H2497" s="221">
        <v>2.89</v>
      </c>
      <c r="I2497" s="221"/>
      <c r="J2497" s="94" t="s">
        <v>3421</v>
      </c>
      <c r="K2497" s="75" t="s">
        <v>3116</v>
      </c>
      <c r="L2497" s="21"/>
      <c r="M2497" s="21"/>
      <c r="N2497" s="21"/>
      <c r="O2497" s="21"/>
    </row>
    <row r="2498" spans="2:18" ht="15" customHeight="1" x14ac:dyDescent="0.35">
      <c r="B2498" s="100">
        <f t="shared" si="43"/>
        <v>2450</v>
      </c>
      <c r="C2498" s="220" t="s">
        <v>3567</v>
      </c>
      <c r="D2498" s="221" t="s">
        <v>3568</v>
      </c>
      <c r="E2498" s="99">
        <v>13</v>
      </c>
      <c r="F2498" s="221" t="s">
        <v>3446</v>
      </c>
      <c r="G2498" s="99"/>
      <c r="H2498" s="221">
        <v>3.44</v>
      </c>
      <c r="I2498" s="221"/>
      <c r="J2498" s="94" t="s">
        <v>3386</v>
      </c>
      <c r="K2498" s="75" t="s">
        <v>3569</v>
      </c>
      <c r="L2498" s="21"/>
      <c r="M2498" s="21"/>
      <c r="N2498" s="21"/>
      <c r="O2498" s="21"/>
    </row>
    <row r="2499" spans="2:18" ht="15" customHeight="1" x14ac:dyDescent="0.35">
      <c r="B2499" s="100">
        <f t="shared" si="43"/>
        <v>2451</v>
      </c>
      <c r="C2499" s="220" t="s">
        <v>3570</v>
      </c>
      <c r="D2499" s="221" t="s">
        <v>3571</v>
      </c>
      <c r="E2499" s="99">
        <v>13</v>
      </c>
      <c r="F2499" s="221" t="s">
        <v>3446</v>
      </c>
      <c r="G2499" s="99"/>
      <c r="H2499" s="221">
        <v>3.66</v>
      </c>
      <c r="I2499" s="221"/>
      <c r="J2499" s="94" t="s">
        <v>3421</v>
      </c>
      <c r="K2499" s="75" t="s">
        <v>3073</v>
      </c>
      <c r="L2499" s="21"/>
      <c r="M2499" s="21"/>
      <c r="N2499" s="21"/>
      <c r="O2499" s="21"/>
    </row>
    <row r="2500" spans="2:18" ht="15" customHeight="1" x14ac:dyDescent="0.35">
      <c r="B2500" s="100">
        <f t="shared" si="43"/>
        <v>2452</v>
      </c>
      <c r="C2500" s="220" t="s">
        <v>3572</v>
      </c>
      <c r="D2500" s="221" t="s">
        <v>3573</v>
      </c>
      <c r="E2500" s="99">
        <v>13</v>
      </c>
      <c r="F2500" s="221" t="s">
        <v>3446</v>
      </c>
      <c r="G2500" s="99"/>
      <c r="H2500" s="221">
        <v>3.16</v>
      </c>
      <c r="I2500" s="221"/>
      <c r="J2500" s="94" t="s">
        <v>3469</v>
      </c>
      <c r="K2500" s="75" t="s">
        <v>3503</v>
      </c>
      <c r="L2500" s="21"/>
      <c r="M2500" s="21"/>
      <c r="N2500" s="21"/>
      <c r="O2500" s="21"/>
    </row>
    <row r="2501" spans="2:18" ht="15" customHeight="1" x14ac:dyDescent="0.35">
      <c r="B2501" s="100">
        <f t="shared" si="43"/>
        <v>2453</v>
      </c>
      <c r="C2501" s="220" t="s">
        <v>3574</v>
      </c>
      <c r="D2501" s="221" t="s">
        <v>3575</v>
      </c>
      <c r="E2501" s="99">
        <v>11</v>
      </c>
      <c r="F2501" s="221" t="s">
        <v>3446</v>
      </c>
      <c r="G2501" s="99"/>
      <c r="H2501" s="221">
        <v>3.01</v>
      </c>
      <c r="I2501" s="221"/>
      <c r="J2501" s="94" t="s">
        <v>3576</v>
      </c>
      <c r="K2501" s="75" t="s">
        <v>3116</v>
      </c>
      <c r="L2501" s="21"/>
      <c r="M2501" s="21"/>
      <c r="N2501" s="21"/>
      <c r="O2501" s="21"/>
    </row>
    <row r="2502" spans="2:18" ht="15" customHeight="1" x14ac:dyDescent="0.35">
      <c r="B2502" s="100">
        <f t="shared" si="43"/>
        <v>2454</v>
      </c>
      <c r="C2502" s="220" t="s">
        <v>3577</v>
      </c>
      <c r="D2502" s="221" t="s">
        <v>3578</v>
      </c>
      <c r="E2502" s="99">
        <v>11</v>
      </c>
      <c r="F2502" s="221" t="s">
        <v>3446</v>
      </c>
      <c r="G2502" s="99"/>
      <c r="H2502" s="221">
        <v>2.85</v>
      </c>
      <c r="I2502" s="221"/>
      <c r="J2502" s="94" t="s">
        <v>3522</v>
      </c>
      <c r="K2502" s="75" t="s">
        <v>3579</v>
      </c>
      <c r="L2502" s="21"/>
      <c r="M2502" s="21"/>
      <c r="N2502" s="21"/>
      <c r="O2502" s="21"/>
    </row>
    <row r="2503" spans="2:18" ht="15" customHeight="1" x14ac:dyDescent="0.35">
      <c r="B2503" s="100">
        <f t="shared" si="43"/>
        <v>2455</v>
      </c>
      <c r="C2503" s="220" t="s">
        <v>3580</v>
      </c>
      <c r="D2503" s="221" t="s">
        <v>3581</v>
      </c>
      <c r="E2503" s="99">
        <v>12</v>
      </c>
      <c r="F2503" s="221" t="s">
        <v>3446</v>
      </c>
      <c r="G2503" s="99"/>
      <c r="H2503" s="221">
        <v>2.78</v>
      </c>
      <c r="I2503" s="221"/>
      <c r="J2503" s="94" t="s">
        <v>3513</v>
      </c>
      <c r="K2503" s="75" t="s">
        <v>3065</v>
      </c>
      <c r="L2503" s="21"/>
      <c r="M2503" s="21"/>
      <c r="N2503" s="21"/>
      <c r="O2503" s="21"/>
    </row>
    <row r="2504" spans="2:18" ht="15" customHeight="1" x14ac:dyDescent="0.35">
      <c r="B2504" s="100">
        <f t="shared" si="43"/>
        <v>2456</v>
      </c>
      <c r="C2504" s="220" t="s">
        <v>3582</v>
      </c>
      <c r="D2504" s="221" t="s">
        <v>3583</v>
      </c>
      <c r="E2504" s="99">
        <v>13</v>
      </c>
      <c r="F2504" s="221" t="s">
        <v>3446</v>
      </c>
      <c r="G2504" s="99"/>
      <c r="H2504" s="221">
        <v>3.51</v>
      </c>
      <c r="I2504" s="221"/>
      <c r="J2504" s="94" t="s">
        <v>3513</v>
      </c>
      <c r="K2504" s="75" t="s">
        <v>3569</v>
      </c>
      <c r="L2504" s="21"/>
      <c r="M2504" s="21"/>
      <c r="N2504" s="21"/>
      <c r="O2504" s="21"/>
    </row>
    <row r="2505" spans="2:18" ht="15" customHeight="1" x14ac:dyDescent="0.35">
      <c r="B2505" s="100">
        <f t="shared" ref="B2505" si="44">(B2504+1)</f>
        <v>2457</v>
      </c>
      <c r="C2505" s="208" t="s">
        <v>3584</v>
      </c>
      <c r="D2505" s="209" t="s">
        <v>3585</v>
      </c>
      <c r="E2505" s="99">
        <v>9</v>
      </c>
      <c r="F2505" s="103">
        <v>42947</v>
      </c>
      <c r="G2505" s="99"/>
      <c r="H2505" s="209">
        <v>2.38</v>
      </c>
      <c r="I2505" s="99"/>
      <c r="J2505" s="69">
        <v>557</v>
      </c>
      <c r="K2505" s="69">
        <v>51</v>
      </c>
      <c r="L2505" s="21"/>
      <c r="M2505" s="21"/>
      <c r="N2505" s="21"/>
      <c r="O2505" s="21"/>
    </row>
    <row r="2506" spans="2:18" ht="15" customHeight="1" x14ac:dyDescent="0.35">
      <c r="B2506" s="100"/>
      <c r="C2506" s="208"/>
      <c r="D2506" s="209"/>
      <c r="E2506" s="99"/>
      <c r="F2506" s="103"/>
      <c r="G2506" s="99"/>
      <c r="H2506" s="209"/>
      <c r="I2506" s="99"/>
      <c r="J2506" s="69"/>
      <c r="K2506" s="69"/>
      <c r="L2506" s="21"/>
      <c r="M2506" s="21"/>
      <c r="N2506" s="21"/>
      <c r="O2506" s="21"/>
    </row>
    <row r="2507" spans="2:18" ht="15" customHeight="1" x14ac:dyDescent="0.35">
      <c r="B2507" s="100"/>
      <c r="C2507" s="208"/>
      <c r="D2507" s="209"/>
      <c r="E2507" s="99"/>
      <c r="F2507" s="103"/>
      <c r="G2507" s="99"/>
      <c r="H2507" s="209"/>
      <c r="I2507" s="99"/>
      <c r="J2507" s="69"/>
      <c r="K2507" s="69"/>
      <c r="L2507" s="21"/>
      <c r="M2507" s="21"/>
      <c r="N2507" s="21"/>
      <c r="O2507" s="21"/>
    </row>
    <row r="2508" spans="2:18" ht="15" customHeight="1" x14ac:dyDescent="0.35">
      <c r="B2508" s="100"/>
      <c r="C2508" s="217" t="s">
        <v>3586</v>
      </c>
      <c r="D2508" s="209"/>
      <c r="E2508" s="99"/>
      <c r="F2508" s="103"/>
      <c r="G2508" s="99"/>
      <c r="H2508" s="209"/>
      <c r="I2508" s="99"/>
      <c r="J2508" s="69"/>
      <c r="K2508" s="69"/>
      <c r="L2508" s="21"/>
      <c r="M2508" s="21"/>
      <c r="N2508" s="21"/>
      <c r="O2508" s="21"/>
    </row>
    <row r="2509" spans="2:18" ht="15" customHeight="1" x14ac:dyDescent="0.35">
      <c r="B2509" s="100">
        <f>(B2505+1)</f>
        <v>2458</v>
      </c>
      <c r="C2509" s="213" t="s">
        <v>3587</v>
      </c>
      <c r="D2509" s="214" t="s">
        <v>3588</v>
      </c>
      <c r="E2509" s="99">
        <v>13</v>
      </c>
      <c r="F2509" s="215">
        <v>43038</v>
      </c>
      <c r="G2509" s="99">
        <v>4.2</v>
      </c>
      <c r="H2509" s="222">
        <v>3.47</v>
      </c>
      <c r="I2509" s="223">
        <v>4.2</v>
      </c>
      <c r="J2509" s="73">
        <v>543</v>
      </c>
      <c r="K2509" s="73">
        <v>52</v>
      </c>
      <c r="L2509" s="57">
        <v>2009</v>
      </c>
      <c r="M2509" s="29">
        <f>COUNTIF(E2509:E2605,"9")</f>
        <v>0</v>
      </c>
      <c r="N2509" s="19" t="s">
        <v>580</v>
      </c>
      <c r="O2509" s="21"/>
      <c r="R2509">
        <v>4.2</v>
      </c>
    </row>
    <row r="2510" spans="2:18" ht="15" customHeight="1" x14ac:dyDescent="0.35">
      <c r="B2510" s="100">
        <f t="shared" ref="B2510:B2573" si="45">(B2509+1)</f>
        <v>2459</v>
      </c>
      <c r="C2510" s="213" t="s">
        <v>3589</v>
      </c>
      <c r="D2510" s="214" t="s">
        <v>3590</v>
      </c>
      <c r="E2510" s="99">
        <v>13</v>
      </c>
      <c r="F2510" s="215">
        <v>43038</v>
      </c>
      <c r="G2510" s="99">
        <v>4.2</v>
      </c>
      <c r="H2510" s="222">
        <v>3.23</v>
      </c>
      <c r="I2510" s="223">
        <v>4.2</v>
      </c>
      <c r="J2510" s="73">
        <v>427</v>
      </c>
      <c r="K2510" s="73">
        <v>59</v>
      </c>
      <c r="L2510" s="57">
        <v>2010</v>
      </c>
      <c r="M2510" s="29">
        <f>COUNTIF(E2509:E2580,"10")</f>
        <v>1</v>
      </c>
      <c r="N2510" s="21"/>
      <c r="O2510" s="21"/>
      <c r="R2510">
        <v>4.2</v>
      </c>
    </row>
    <row r="2511" spans="2:18" ht="15" customHeight="1" x14ac:dyDescent="0.35">
      <c r="B2511" s="100">
        <f t="shared" si="45"/>
        <v>2460</v>
      </c>
      <c r="C2511" s="213" t="s">
        <v>3591</v>
      </c>
      <c r="D2511" s="214" t="s">
        <v>3592</v>
      </c>
      <c r="E2511" s="99">
        <v>13</v>
      </c>
      <c r="F2511" s="215">
        <v>43038</v>
      </c>
      <c r="G2511" s="99">
        <v>4.2</v>
      </c>
      <c r="H2511" s="222">
        <v>3.42</v>
      </c>
      <c r="I2511" s="223">
        <v>4.2</v>
      </c>
      <c r="J2511" s="73">
        <v>553</v>
      </c>
      <c r="K2511" s="73">
        <v>61</v>
      </c>
      <c r="L2511" s="57">
        <v>2011</v>
      </c>
      <c r="M2511" s="29">
        <f>COUNTIF(E2509:E2605,"11")</f>
        <v>4</v>
      </c>
      <c r="N2511" s="21"/>
      <c r="O2511" s="21"/>
      <c r="R2511">
        <v>4.2</v>
      </c>
    </row>
    <row r="2512" spans="2:18" ht="15" customHeight="1" x14ac:dyDescent="0.35">
      <c r="B2512" s="100">
        <f t="shared" si="45"/>
        <v>2461</v>
      </c>
      <c r="C2512" s="213" t="s">
        <v>3593</v>
      </c>
      <c r="D2512" s="214" t="s">
        <v>3594</v>
      </c>
      <c r="E2512" s="99">
        <v>13</v>
      </c>
      <c r="F2512" s="215">
        <v>43038</v>
      </c>
      <c r="G2512" s="99">
        <v>4.2</v>
      </c>
      <c r="H2512" s="222">
        <v>3.01</v>
      </c>
      <c r="I2512" s="223">
        <v>4.2</v>
      </c>
      <c r="J2512" s="73">
        <v>500</v>
      </c>
      <c r="K2512" s="73">
        <v>58</v>
      </c>
      <c r="L2512" s="57">
        <v>2012</v>
      </c>
      <c r="M2512" s="29">
        <f>COUNTIF(E2509:E2580,"12")</f>
        <v>7</v>
      </c>
      <c r="N2512" s="21"/>
      <c r="O2512" s="21"/>
      <c r="R2512">
        <v>4.2</v>
      </c>
    </row>
    <row r="2513" spans="2:18" ht="15" customHeight="1" x14ac:dyDescent="0.35">
      <c r="B2513" s="100">
        <f t="shared" si="45"/>
        <v>2462</v>
      </c>
      <c r="C2513" s="213" t="s">
        <v>3595</v>
      </c>
      <c r="D2513" s="214" t="s">
        <v>3596</v>
      </c>
      <c r="E2513" s="99">
        <v>13</v>
      </c>
      <c r="F2513" s="215">
        <v>43038</v>
      </c>
      <c r="G2513" s="99">
        <v>4.2</v>
      </c>
      <c r="H2513" s="222">
        <v>3.3</v>
      </c>
      <c r="I2513" s="223">
        <v>4.2</v>
      </c>
      <c r="J2513" s="73">
        <v>437</v>
      </c>
      <c r="K2513" s="73">
        <v>80</v>
      </c>
      <c r="L2513" s="57">
        <v>2013</v>
      </c>
      <c r="M2513" s="29">
        <f>COUNTIF(E2508:E2605,"13")</f>
        <v>25</v>
      </c>
      <c r="N2513" s="21"/>
      <c r="O2513" s="21"/>
      <c r="R2513">
        <v>4.2</v>
      </c>
    </row>
    <row r="2514" spans="2:18" ht="15" customHeight="1" x14ac:dyDescent="0.35">
      <c r="B2514" s="100">
        <f t="shared" si="45"/>
        <v>2463</v>
      </c>
      <c r="C2514" s="213" t="s">
        <v>3597</v>
      </c>
      <c r="D2514" s="214" t="s">
        <v>3598</v>
      </c>
      <c r="E2514" s="99">
        <v>13</v>
      </c>
      <c r="F2514" s="215">
        <v>43038</v>
      </c>
      <c r="G2514" s="99">
        <v>4.2</v>
      </c>
      <c r="H2514" s="222">
        <v>3.29</v>
      </c>
      <c r="I2514" s="223">
        <v>4.2</v>
      </c>
      <c r="J2514" s="73">
        <v>480</v>
      </c>
      <c r="K2514" s="73">
        <v>54</v>
      </c>
      <c r="L2514" s="42">
        <v>2014</v>
      </c>
      <c r="M2514" s="29">
        <f>COUNTIF(E2509:E2580,"14")</f>
        <v>40</v>
      </c>
      <c r="N2514" s="21"/>
      <c r="O2514" s="21"/>
      <c r="R2514">
        <v>4.2</v>
      </c>
    </row>
    <row r="2515" spans="2:18" ht="15" customHeight="1" x14ac:dyDescent="0.35">
      <c r="B2515" s="100">
        <f t="shared" si="45"/>
        <v>2464</v>
      </c>
      <c r="C2515" s="213" t="s">
        <v>3599</v>
      </c>
      <c r="D2515" s="214" t="s">
        <v>3600</v>
      </c>
      <c r="E2515" s="99">
        <v>10</v>
      </c>
      <c r="F2515" s="215">
        <v>43038</v>
      </c>
      <c r="G2515" s="99">
        <v>7.2</v>
      </c>
      <c r="H2515" s="222">
        <v>2.58</v>
      </c>
      <c r="I2515" s="223">
        <v>7.2</v>
      </c>
      <c r="J2515" s="73">
        <v>500</v>
      </c>
      <c r="K2515" s="73">
        <v>63.75</v>
      </c>
      <c r="L2515" s="19" t="s">
        <v>1820</v>
      </c>
      <c r="M2515" s="29">
        <f>SUM(M2509:M2514)</f>
        <v>77</v>
      </c>
      <c r="N2515" s="21"/>
      <c r="O2515" s="21"/>
      <c r="R2515">
        <v>7.2</v>
      </c>
    </row>
    <row r="2516" spans="2:18" ht="15" customHeight="1" x14ac:dyDescent="0.35">
      <c r="B2516" s="100">
        <f t="shared" si="45"/>
        <v>2465</v>
      </c>
      <c r="C2516" s="213" t="s">
        <v>3601</v>
      </c>
      <c r="D2516" s="214" t="s">
        <v>3602</v>
      </c>
      <c r="E2516" s="99">
        <v>13</v>
      </c>
      <c r="F2516" s="215">
        <v>43038</v>
      </c>
      <c r="G2516" s="99">
        <v>4.2</v>
      </c>
      <c r="H2516" s="222">
        <v>3.23</v>
      </c>
      <c r="I2516" s="223">
        <v>4.2</v>
      </c>
      <c r="J2516" s="73">
        <v>517</v>
      </c>
      <c r="K2516" s="73">
        <v>56</v>
      </c>
      <c r="L2516" s="21"/>
      <c r="M2516" s="21"/>
      <c r="N2516" s="21"/>
      <c r="O2516" s="21"/>
      <c r="R2516">
        <v>4.2</v>
      </c>
    </row>
    <row r="2517" spans="2:18" ht="15" customHeight="1" x14ac:dyDescent="0.35">
      <c r="B2517" s="100">
        <f t="shared" si="45"/>
        <v>2466</v>
      </c>
      <c r="C2517" s="213" t="s">
        <v>3603</v>
      </c>
      <c r="D2517" s="214" t="s">
        <v>3604</v>
      </c>
      <c r="E2517" s="99">
        <v>13</v>
      </c>
      <c r="F2517" s="215">
        <v>43038</v>
      </c>
      <c r="G2517" s="99">
        <v>4.2</v>
      </c>
      <c r="H2517" s="222">
        <v>3.25</v>
      </c>
      <c r="I2517" s="223">
        <v>4.2</v>
      </c>
      <c r="J2517" s="73">
        <v>517</v>
      </c>
      <c r="K2517" s="73">
        <v>48</v>
      </c>
      <c r="L2517" s="21"/>
      <c r="M2517" s="21"/>
      <c r="N2517" s="21"/>
      <c r="O2517" s="21"/>
      <c r="R2517">
        <v>4.2</v>
      </c>
    </row>
    <row r="2518" spans="2:18" ht="15" customHeight="1" x14ac:dyDescent="0.35">
      <c r="B2518" s="100">
        <f t="shared" si="45"/>
        <v>2467</v>
      </c>
      <c r="C2518" s="208" t="s">
        <v>3605</v>
      </c>
      <c r="D2518" s="209" t="s">
        <v>3606</v>
      </c>
      <c r="E2518" s="209">
        <v>12</v>
      </c>
      <c r="F2518" s="210">
        <v>43124</v>
      </c>
      <c r="G2518" s="99">
        <v>5.4</v>
      </c>
      <c r="H2518" s="224">
        <v>2.96</v>
      </c>
      <c r="I2518" s="99">
        <v>5.4</v>
      </c>
      <c r="J2518" s="69">
        <v>520</v>
      </c>
      <c r="K2518" s="69">
        <v>53.75</v>
      </c>
      <c r="L2518" s="29" t="s">
        <v>2528</v>
      </c>
      <c r="M2518" s="21"/>
      <c r="N2518" s="40">
        <f>COUNTIF(G2508:G2541,"&lt;=5")-COUNTIF(G2508:G2541,"&lt;4")</f>
        <v>20</v>
      </c>
      <c r="O2518" s="21"/>
      <c r="R2518">
        <v>5.4</v>
      </c>
    </row>
    <row r="2519" spans="2:18" ht="15" customHeight="1" x14ac:dyDescent="0.35">
      <c r="B2519" s="100">
        <f t="shared" si="45"/>
        <v>2468</v>
      </c>
      <c r="C2519" s="208" t="s">
        <v>3607</v>
      </c>
      <c r="D2519" s="209" t="s">
        <v>3608</v>
      </c>
      <c r="E2519" s="209">
        <v>12</v>
      </c>
      <c r="F2519" s="210">
        <v>43124</v>
      </c>
      <c r="G2519" s="99">
        <v>5.4</v>
      </c>
      <c r="H2519" s="224">
        <v>2.37</v>
      </c>
      <c r="I2519" s="99">
        <v>5.4</v>
      </c>
      <c r="J2519" s="69">
        <v>517</v>
      </c>
      <c r="K2519" s="69">
        <v>52.5</v>
      </c>
      <c r="L2519" s="29" t="s">
        <v>1798</v>
      </c>
      <c r="M2519" s="29"/>
      <c r="N2519" s="34">
        <f>SUM(G2509:G2580)/M2515</f>
        <v>4.0779220779220768</v>
      </c>
      <c r="O2519" s="21"/>
      <c r="R2519">
        <v>5.4</v>
      </c>
    </row>
    <row r="2520" spans="2:18" ht="15" customHeight="1" x14ac:dyDescent="0.35">
      <c r="B2520" s="100">
        <f t="shared" si="45"/>
        <v>2469</v>
      </c>
      <c r="C2520" s="208" t="s">
        <v>3609</v>
      </c>
      <c r="D2520" s="209" t="s">
        <v>3610</v>
      </c>
      <c r="E2520" s="99">
        <v>13</v>
      </c>
      <c r="F2520" s="210">
        <v>43124</v>
      </c>
      <c r="G2520" s="99">
        <v>4.4000000000000004</v>
      </c>
      <c r="H2520" s="224">
        <v>3.11</v>
      </c>
      <c r="I2520" s="99">
        <v>4.4000000000000004</v>
      </c>
      <c r="J2520" s="69">
        <v>517</v>
      </c>
      <c r="K2520" s="69">
        <v>58</v>
      </c>
      <c r="L2520" s="29" t="s">
        <v>1801</v>
      </c>
      <c r="M2520" s="29"/>
      <c r="N2520" s="34">
        <f>AVERAGE(I2509:I2580)</f>
        <v>4.3611111111111107</v>
      </c>
      <c r="O2520" s="21"/>
      <c r="R2520">
        <v>4.4000000000000004</v>
      </c>
    </row>
    <row r="2521" spans="2:18" ht="15" customHeight="1" x14ac:dyDescent="0.35">
      <c r="B2521" s="100">
        <f t="shared" si="45"/>
        <v>2470</v>
      </c>
      <c r="C2521" s="208" t="s">
        <v>3611</v>
      </c>
      <c r="D2521" s="209" t="s">
        <v>3612</v>
      </c>
      <c r="E2521" s="99">
        <v>13</v>
      </c>
      <c r="F2521" s="210">
        <v>43124</v>
      </c>
      <c r="G2521" s="99">
        <v>4.4000000000000004</v>
      </c>
      <c r="H2521" s="224">
        <v>3.52</v>
      </c>
      <c r="I2521" s="99">
        <v>4.4000000000000004</v>
      </c>
      <c r="J2521" s="69">
        <v>470</v>
      </c>
      <c r="K2521" s="69">
        <v>63</v>
      </c>
      <c r="L2521" s="29" t="s">
        <v>1804</v>
      </c>
      <c r="M2521" s="29"/>
      <c r="N2521" s="30">
        <f>MIN(H2509:H2580)</f>
        <v>2.37</v>
      </c>
      <c r="O2521" s="21"/>
      <c r="R2521">
        <v>4.4000000000000004</v>
      </c>
    </row>
    <row r="2522" spans="2:18" ht="15" customHeight="1" x14ac:dyDescent="0.35">
      <c r="B2522" s="100">
        <f t="shared" si="45"/>
        <v>2471</v>
      </c>
      <c r="C2522" s="208" t="s">
        <v>3613</v>
      </c>
      <c r="D2522" s="209" t="s">
        <v>3614</v>
      </c>
      <c r="E2522" s="99">
        <v>13</v>
      </c>
      <c r="F2522" s="210">
        <v>43124</v>
      </c>
      <c r="G2522" s="99">
        <v>4.4000000000000004</v>
      </c>
      <c r="H2522" s="224">
        <v>3.22</v>
      </c>
      <c r="I2522" s="99">
        <v>4.4000000000000004</v>
      </c>
      <c r="J2522" s="69">
        <v>477</v>
      </c>
      <c r="K2522" s="69">
        <v>55</v>
      </c>
      <c r="L2522" s="29" t="s">
        <v>1807</v>
      </c>
      <c r="M2522" s="29"/>
      <c r="N2522" s="30">
        <f>SUM(H2509:H2580)/M2515</f>
        <v>3.0527272727272732</v>
      </c>
      <c r="O2522" s="21"/>
      <c r="R2522">
        <v>4.4000000000000004</v>
      </c>
    </row>
    <row r="2523" spans="2:18" ht="15" customHeight="1" x14ac:dyDescent="0.35">
      <c r="B2523" s="100">
        <f t="shared" si="45"/>
        <v>2472</v>
      </c>
      <c r="C2523" s="208" t="s">
        <v>3615</v>
      </c>
      <c r="D2523" s="209" t="s">
        <v>3616</v>
      </c>
      <c r="E2523" s="209">
        <v>12</v>
      </c>
      <c r="F2523" s="210">
        <v>43124</v>
      </c>
      <c r="G2523" s="99">
        <v>5.4</v>
      </c>
      <c r="H2523" s="224">
        <v>2.81</v>
      </c>
      <c r="I2523" s="99">
        <v>5.4</v>
      </c>
      <c r="J2523" s="69">
        <v>460</v>
      </c>
      <c r="K2523" s="69">
        <v>66.25</v>
      </c>
      <c r="L2523" s="29" t="s">
        <v>1810</v>
      </c>
      <c r="M2523" s="29"/>
      <c r="N2523" s="30">
        <f>MAX(H2509:H2580)</f>
        <v>3.89</v>
      </c>
      <c r="O2523" s="21"/>
      <c r="R2523">
        <v>5.4</v>
      </c>
    </row>
    <row r="2524" spans="2:18" ht="15" customHeight="1" x14ac:dyDescent="0.35">
      <c r="B2524" s="100">
        <f t="shared" si="45"/>
        <v>2473</v>
      </c>
      <c r="C2524" s="208" t="s">
        <v>3617</v>
      </c>
      <c r="D2524" s="209" t="s">
        <v>3618</v>
      </c>
      <c r="E2524" s="99">
        <v>13</v>
      </c>
      <c r="F2524" s="210">
        <v>43124</v>
      </c>
      <c r="G2524" s="99">
        <v>4.4000000000000004</v>
      </c>
      <c r="H2524" s="224">
        <v>3.09</v>
      </c>
      <c r="I2524" s="99">
        <v>4.4000000000000004</v>
      </c>
      <c r="J2524" s="69">
        <v>593</v>
      </c>
      <c r="K2524" s="69">
        <v>72.5</v>
      </c>
      <c r="L2524" s="29" t="s">
        <v>1813</v>
      </c>
      <c r="M2524" s="29">
        <f>COUNTIF(H2509:H2580,"&lt;2.75")</f>
        <v>0</v>
      </c>
      <c r="N2524" s="30" t="e">
        <f>(M2524/M2527)*100</f>
        <v>#DIV/0!</v>
      </c>
      <c r="O2524" s="21"/>
      <c r="R2524">
        <v>4.4000000000000004</v>
      </c>
    </row>
    <row r="2525" spans="2:18" ht="15" customHeight="1" x14ac:dyDescent="0.35">
      <c r="B2525" s="100">
        <f t="shared" si="45"/>
        <v>2474</v>
      </c>
      <c r="C2525" s="208" t="s">
        <v>3619</v>
      </c>
      <c r="D2525" s="209" t="s">
        <v>3620</v>
      </c>
      <c r="E2525" s="99">
        <v>13</v>
      </c>
      <c r="F2525" s="210">
        <v>43124</v>
      </c>
      <c r="G2525" s="99">
        <v>4.4000000000000004</v>
      </c>
      <c r="H2525" s="224">
        <v>3.13</v>
      </c>
      <c r="I2525" s="99">
        <v>4.4000000000000004</v>
      </c>
      <c r="J2525" s="69">
        <v>557</v>
      </c>
      <c r="K2525" s="69">
        <v>71.25</v>
      </c>
      <c r="L2525" s="29" t="s">
        <v>1816</v>
      </c>
      <c r="M2525" s="40">
        <f>COUNTIF(H2509:H2580,"&lt;3.50")-COUNTIF(H2509:H2580,"&lt;2.75")</f>
        <v>0</v>
      </c>
      <c r="N2525" s="30" t="e">
        <f>(M2525/M2527)*100</f>
        <v>#DIV/0!</v>
      </c>
      <c r="O2525" s="21"/>
      <c r="R2525">
        <v>4.4000000000000004</v>
      </c>
    </row>
    <row r="2526" spans="2:18" ht="15" customHeight="1" x14ac:dyDescent="0.35">
      <c r="B2526" s="100">
        <f t="shared" si="45"/>
        <v>2475</v>
      </c>
      <c r="C2526" s="208" t="s">
        <v>3621</v>
      </c>
      <c r="D2526" s="209" t="s">
        <v>3622</v>
      </c>
      <c r="E2526" s="209">
        <v>12</v>
      </c>
      <c r="F2526" s="210">
        <v>43124</v>
      </c>
      <c r="G2526" s="99">
        <v>5.4</v>
      </c>
      <c r="H2526" s="224">
        <v>3.01</v>
      </c>
      <c r="I2526" s="99">
        <v>5.4</v>
      </c>
      <c r="J2526" s="69">
        <v>547</v>
      </c>
      <c r="K2526" s="69">
        <v>53</v>
      </c>
      <c r="L2526" s="29" t="s">
        <v>1819</v>
      </c>
      <c r="M2526" s="29">
        <f>COUNTIF(H2509:H2580,"&gt;3.50")</f>
        <v>0</v>
      </c>
      <c r="N2526" s="30" t="e">
        <f>(M2526/M2527)*100</f>
        <v>#DIV/0!</v>
      </c>
      <c r="O2526" s="21"/>
      <c r="R2526">
        <v>5.4</v>
      </c>
    </row>
    <row r="2527" spans="2:18" ht="15" customHeight="1" x14ac:dyDescent="0.35">
      <c r="B2527" s="100">
        <f t="shared" si="45"/>
        <v>2476</v>
      </c>
      <c r="C2527" s="208" t="s">
        <v>3623</v>
      </c>
      <c r="D2527" s="209" t="s">
        <v>3624</v>
      </c>
      <c r="E2527" s="99">
        <v>13</v>
      </c>
      <c r="F2527" s="210">
        <v>43124</v>
      </c>
      <c r="G2527" s="99">
        <v>4.4000000000000004</v>
      </c>
      <c r="H2527" s="224">
        <v>2.88</v>
      </c>
      <c r="I2527" s="99">
        <v>4.4000000000000004</v>
      </c>
      <c r="J2527" s="69">
        <v>523</v>
      </c>
      <c r="K2527" s="69">
        <v>68.7</v>
      </c>
      <c r="L2527" s="29" t="s">
        <v>1820</v>
      </c>
      <c r="M2527" s="29">
        <f>SUM(M2524:M2526)</f>
        <v>0</v>
      </c>
      <c r="N2527" s="29"/>
      <c r="O2527" s="21"/>
      <c r="R2527">
        <v>4.4000000000000004</v>
      </c>
    </row>
    <row r="2528" spans="2:18" ht="15" customHeight="1" x14ac:dyDescent="0.35">
      <c r="B2528" s="100">
        <f t="shared" si="45"/>
        <v>2477</v>
      </c>
      <c r="C2528" s="208" t="s">
        <v>3625</v>
      </c>
      <c r="D2528" s="209" t="s">
        <v>3626</v>
      </c>
      <c r="E2528" s="99">
        <v>13</v>
      </c>
      <c r="F2528" s="210">
        <v>43124</v>
      </c>
      <c r="G2528" s="99">
        <v>4.4000000000000004</v>
      </c>
      <c r="H2528" s="224">
        <v>3</v>
      </c>
      <c r="I2528" s="99">
        <v>4.4000000000000004</v>
      </c>
      <c r="J2528" s="69">
        <v>547</v>
      </c>
      <c r="K2528" s="69">
        <v>57.5</v>
      </c>
      <c r="L2528" s="21"/>
      <c r="M2528" s="21"/>
      <c r="N2528" s="21"/>
      <c r="O2528" s="21"/>
      <c r="R2528">
        <v>4.4000000000000004</v>
      </c>
    </row>
    <row r="2529" spans="2:18" ht="15" customHeight="1" x14ac:dyDescent="0.35">
      <c r="B2529" s="100">
        <f t="shared" si="45"/>
        <v>2478</v>
      </c>
      <c r="C2529" s="208" t="s">
        <v>3627</v>
      </c>
      <c r="D2529" s="209" t="s">
        <v>3628</v>
      </c>
      <c r="E2529" s="99">
        <v>13</v>
      </c>
      <c r="F2529" s="210">
        <v>43124</v>
      </c>
      <c r="G2529" s="99">
        <v>4.4000000000000004</v>
      </c>
      <c r="H2529" s="224">
        <v>2.72</v>
      </c>
      <c r="I2529" s="99">
        <v>4.4000000000000004</v>
      </c>
      <c r="J2529" s="69">
        <v>563</v>
      </c>
      <c r="K2529" s="69">
        <v>62.5</v>
      </c>
      <c r="L2529" s="21"/>
      <c r="M2529" s="21"/>
      <c r="N2529" s="21"/>
      <c r="O2529" s="21"/>
      <c r="R2529">
        <v>4.4000000000000004</v>
      </c>
    </row>
    <row r="2530" spans="2:18" ht="15" customHeight="1" x14ac:dyDescent="0.35">
      <c r="B2530" s="100">
        <f t="shared" si="45"/>
        <v>2479</v>
      </c>
      <c r="C2530" s="208" t="s">
        <v>3629</v>
      </c>
      <c r="D2530" s="209" t="s">
        <v>3630</v>
      </c>
      <c r="E2530" s="99">
        <v>13</v>
      </c>
      <c r="F2530" s="210">
        <v>43124</v>
      </c>
      <c r="G2530" s="99">
        <v>4.4000000000000004</v>
      </c>
      <c r="H2530" s="224">
        <v>3.03</v>
      </c>
      <c r="I2530" s="99">
        <v>4.4000000000000004</v>
      </c>
      <c r="J2530" s="69">
        <v>550</v>
      </c>
      <c r="K2530" s="69">
        <v>73.75</v>
      </c>
      <c r="L2530" s="46" t="s">
        <v>2336</v>
      </c>
      <c r="M2530" s="34" t="e">
        <f>SUM(K2508:K2533)/M2527</f>
        <v>#DIV/0!</v>
      </c>
      <c r="N2530" s="59"/>
      <c r="O2530" s="21"/>
      <c r="R2530">
        <v>4.4000000000000004</v>
      </c>
    </row>
    <row r="2531" spans="2:18" ht="15" customHeight="1" x14ac:dyDescent="0.35">
      <c r="B2531" s="100">
        <f t="shared" si="45"/>
        <v>2480</v>
      </c>
      <c r="C2531" s="208" t="s">
        <v>3631</v>
      </c>
      <c r="D2531" s="209" t="s">
        <v>3632</v>
      </c>
      <c r="E2531" s="99">
        <v>13</v>
      </c>
      <c r="F2531" s="210">
        <v>43124</v>
      </c>
      <c r="G2531" s="99">
        <v>4.4000000000000004</v>
      </c>
      <c r="H2531" s="224">
        <v>2.54</v>
      </c>
      <c r="I2531" s="99">
        <v>4.4000000000000004</v>
      </c>
      <c r="J2531" s="69">
        <v>543</v>
      </c>
      <c r="K2531" s="69">
        <v>72.5</v>
      </c>
      <c r="L2531" s="19" t="s">
        <v>2339</v>
      </c>
      <c r="M2531" s="29">
        <f>MIN(K2504:K2580)</f>
        <v>48</v>
      </c>
      <c r="N2531" s="21"/>
      <c r="O2531" s="21"/>
      <c r="R2531">
        <v>4.4000000000000004</v>
      </c>
    </row>
    <row r="2532" spans="2:18" ht="15" customHeight="1" x14ac:dyDescent="0.35">
      <c r="B2532" s="100">
        <f t="shared" si="45"/>
        <v>2481</v>
      </c>
      <c r="C2532" s="208" t="s">
        <v>3633</v>
      </c>
      <c r="D2532" s="209" t="s">
        <v>3634</v>
      </c>
      <c r="E2532" s="99">
        <v>13</v>
      </c>
      <c r="F2532" s="210">
        <v>43124</v>
      </c>
      <c r="G2532" s="99">
        <v>4.4000000000000004</v>
      </c>
      <c r="H2532" s="224">
        <v>2.54</v>
      </c>
      <c r="I2532" s="99">
        <v>4.4000000000000004</v>
      </c>
      <c r="J2532" s="69">
        <v>543</v>
      </c>
      <c r="K2532" s="69">
        <v>61.25</v>
      </c>
      <c r="L2532" s="19" t="s">
        <v>2340</v>
      </c>
      <c r="M2532" s="29">
        <f>MAX(K2504:K2580)</f>
        <v>80</v>
      </c>
      <c r="N2532" s="21"/>
      <c r="O2532" s="21"/>
      <c r="R2532">
        <v>4.4000000000000004</v>
      </c>
    </row>
    <row r="2533" spans="2:18" ht="15" customHeight="1" x14ac:dyDescent="0.35">
      <c r="B2533" s="100">
        <f t="shared" si="45"/>
        <v>2482</v>
      </c>
      <c r="C2533" s="208" t="s">
        <v>3635</v>
      </c>
      <c r="D2533" s="209" t="s">
        <v>3636</v>
      </c>
      <c r="E2533" s="99">
        <v>13</v>
      </c>
      <c r="F2533" s="210">
        <v>43124</v>
      </c>
      <c r="G2533" s="99">
        <v>4.4000000000000004</v>
      </c>
      <c r="H2533" s="224">
        <v>3.09</v>
      </c>
      <c r="I2533" s="99">
        <v>4.4000000000000004</v>
      </c>
      <c r="J2533" s="69">
        <v>507</v>
      </c>
      <c r="K2533" s="69">
        <v>63.7</v>
      </c>
      <c r="L2533" s="21"/>
      <c r="M2533" s="21"/>
      <c r="N2533" s="21"/>
      <c r="O2533" s="21"/>
      <c r="R2533">
        <v>4.4000000000000004</v>
      </c>
    </row>
    <row r="2534" spans="2:18" ht="15" customHeight="1" x14ac:dyDescent="0.35">
      <c r="B2534" s="100">
        <f t="shared" si="45"/>
        <v>2483</v>
      </c>
      <c r="C2534" s="225" t="s">
        <v>3637</v>
      </c>
      <c r="D2534" s="226" t="s">
        <v>3638</v>
      </c>
      <c r="E2534" s="99">
        <v>14</v>
      </c>
      <c r="F2534" s="226" t="s">
        <v>3639</v>
      </c>
      <c r="G2534" s="99">
        <v>3.4</v>
      </c>
      <c r="H2534" s="226">
        <v>3.62</v>
      </c>
      <c r="I2534" s="226">
        <v>3.4</v>
      </c>
      <c r="J2534" s="95" t="s">
        <v>3459</v>
      </c>
      <c r="K2534" s="76">
        <v>71.3</v>
      </c>
      <c r="L2534" s="21"/>
      <c r="M2534" s="21"/>
      <c r="N2534" s="21"/>
      <c r="O2534" s="21"/>
      <c r="R2534">
        <v>3.4</v>
      </c>
    </row>
    <row r="2535" spans="2:18" ht="15" customHeight="1" x14ac:dyDescent="0.35">
      <c r="B2535" s="100">
        <f t="shared" si="45"/>
        <v>2484</v>
      </c>
      <c r="C2535" s="227" t="s">
        <v>3640</v>
      </c>
      <c r="D2535" s="228" t="s">
        <v>3641</v>
      </c>
      <c r="E2535" s="99">
        <v>14</v>
      </c>
      <c r="F2535" s="229">
        <v>43304</v>
      </c>
      <c r="G2535" s="99">
        <v>3.9</v>
      </c>
      <c r="H2535" s="228">
        <v>3.59</v>
      </c>
      <c r="I2535" s="99">
        <v>3.9</v>
      </c>
      <c r="J2535" s="78">
        <v>410</v>
      </c>
      <c r="K2535" s="78">
        <v>78.8</v>
      </c>
      <c r="L2535" s="21"/>
      <c r="M2535" s="21"/>
      <c r="N2535" s="21"/>
      <c r="O2535" s="21"/>
      <c r="R2535">
        <v>3.9</v>
      </c>
    </row>
    <row r="2536" spans="2:18" ht="15" customHeight="1" x14ac:dyDescent="0.35">
      <c r="B2536" s="100">
        <f t="shared" si="45"/>
        <v>2485</v>
      </c>
      <c r="C2536" s="227" t="s">
        <v>3642</v>
      </c>
      <c r="D2536" s="228" t="s">
        <v>3643</v>
      </c>
      <c r="E2536" s="99">
        <v>12</v>
      </c>
      <c r="F2536" s="229">
        <v>43304</v>
      </c>
      <c r="G2536" s="99">
        <v>5.9</v>
      </c>
      <c r="H2536" s="228">
        <v>2.62</v>
      </c>
      <c r="I2536" s="99">
        <v>5.9</v>
      </c>
      <c r="J2536" s="78">
        <v>517</v>
      </c>
      <c r="K2536" s="78">
        <v>51</v>
      </c>
      <c r="L2536" s="21"/>
      <c r="M2536" s="21"/>
      <c r="N2536" s="21"/>
      <c r="O2536" s="21"/>
      <c r="R2536">
        <v>5.9</v>
      </c>
    </row>
    <row r="2537" spans="2:18" ht="15" customHeight="1" x14ac:dyDescent="0.35">
      <c r="B2537" s="100">
        <f t="shared" si="45"/>
        <v>2486</v>
      </c>
      <c r="C2537" s="227" t="s">
        <v>3644</v>
      </c>
      <c r="D2537" s="228" t="s">
        <v>3645</v>
      </c>
      <c r="E2537" s="99">
        <v>14</v>
      </c>
      <c r="F2537" s="229">
        <v>43304</v>
      </c>
      <c r="G2537" s="99">
        <v>3.9</v>
      </c>
      <c r="H2537" s="228">
        <v>3.54</v>
      </c>
      <c r="I2537" s="99">
        <v>3.9</v>
      </c>
      <c r="J2537" s="78">
        <v>453</v>
      </c>
      <c r="K2537" s="78">
        <v>72.5</v>
      </c>
      <c r="L2537" s="21"/>
      <c r="M2537" s="21"/>
      <c r="N2537" s="21"/>
      <c r="O2537" s="21"/>
      <c r="R2537">
        <v>3.9</v>
      </c>
    </row>
    <row r="2538" spans="2:18" ht="15" customHeight="1" x14ac:dyDescent="0.35">
      <c r="B2538" s="100">
        <f t="shared" si="45"/>
        <v>2487</v>
      </c>
      <c r="C2538" s="227" t="s">
        <v>3646</v>
      </c>
      <c r="D2538" s="228" t="s">
        <v>3647</v>
      </c>
      <c r="E2538" s="99">
        <v>14</v>
      </c>
      <c r="F2538" s="229">
        <v>43304</v>
      </c>
      <c r="G2538" s="99">
        <v>3.9</v>
      </c>
      <c r="H2538" s="228">
        <v>3.58</v>
      </c>
      <c r="I2538" s="99">
        <v>3.9</v>
      </c>
      <c r="J2538" s="78">
        <v>513</v>
      </c>
      <c r="K2538" s="78">
        <v>73.8</v>
      </c>
      <c r="L2538" s="21"/>
      <c r="M2538" s="21"/>
      <c r="N2538" s="21"/>
      <c r="O2538" s="21"/>
      <c r="R2538">
        <v>3.9</v>
      </c>
    </row>
    <row r="2539" spans="2:18" ht="15" customHeight="1" x14ac:dyDescent="0.35">
      <c r="B2539" s="100">
        <f t="shared" si="45"/>
        <v>2488</v>
      </c>
      <c r="C2539" s="227" t="s">
        <v>3648</v>
      </c>
      <c r="D2539" s="228" t="s">
        <v>3649</v>
      </c>
      <c r="E2539" s="99">
        <v>14</v>
      </c>
      <c r="F2539" s="229">
        <v>43304</v>
      </c>
      <c r="G2539" s="99">
        <v>3.9</v>
      </c>
      <c r="H2539" s="228">
        <v>3.68</v>
      </c>
      <c r="I2539" s="99">
        <v>3.9</v>
      </c>
      <c r="J2539" s="78">
        <v>453</v>
      </c>
      <c r="K2539" s="78">
        <v>70</v>
      </c>
      <c r="L2539" s="21"/>
      <c r="M2539" s="21"/>
      <c r="N2539" s="21"/>
      <c r="O2539" s="21"/>
      <c r="R2539">
        <v>3.9</v>
      </c>
    </row>
    <row r="2540" spans="2:18" ht="15" customHeight="1" x14ac:dyDescent="0.35">
      <c r="B2540" s="100">
        <f t="shared" si="45"/>
        <v>2489</v>
      </c>
      <c r="C2540" s="227" t="s">
        <v>3650</v>
      </c>
      <c r="D2540" s="228" t="s">
        <v>3651</v>
      </c>
      <c r="E2540" s="99">
        <v>14</v>
      </c>
      <c r="F2540" s="229">
        <v>43304</v>
      </c>
      <c r="G2540" s="99">
        <v>3.9</v>
      </c>
      <c r="H2540" s="228">
        <v>3.06</v>
      </c>
      <c r="I2540" s="99">
        <v>3.9</v>
      </c>
      <c r="J2540" s="78">
        <v>477</v>
      </c>
      <c r="K2540" s="78">
        <v>66.3</v>
      </c>
      <c r="L2540" s="21"/>
      <c r="M2540" s="21"/>
      <c r="N2540" s="21"/>
      <c r="O2540" s="21"/>
      <c r="R2540">
        <v>3.9</v>
      </c>
    </row>
    <row r="2541" spans="2:18" ht="15" customHeight="1" x14ac:dyDescent="0.35">
      <c r="B2541" s="100">
        <f t="shared" si="45"/>
        <v>2490</v>
      </c>
      <c r="C2541" s="227" t="s">
        <v>3652</v>
      </c>
      <c r="D2541" s="228" t="s">
        <v>3653</v>
      </c>
      <c r="E2541" s="99">
        <v>14</v>
      </c>
      <c r="F2541" s="229">
        <v>43304</v>
      </c>
      <c r="G2541" s="99">
        <v>3.9</v>
      </c>
      <c r="H2541" s="228">
        <v>3.73</v>
      </c>
      <c r="I2541" s="99">
        <v>3.9</v>
      </c>
      <c r="J2541" s="78">
        <v>487</v>
      </c>
      <c r="K2541" s="78">
        <v>72.5</v>
      </c>
      <c r="L2541" s="21"/>
      <c r="M2541" s="21"/>
      <c r="N2541" s="21"/>
      <c r="O2541" s="21"/>
      <c r="R2541">
        <v>3.9</v>
      </c>
    </row>
    <row r="2542" spans="2:18" ht="15" customHeight="1" x14ac:dyDescent="0.35">
      <c r="B2542" s="100">
        <f t="shared" si="45"/>
        <v>2491</v>
      </c>
      <c r="C2542" s="227" t="s">
        <v>3654</v>
      </c>
      <c r="D2542" s="228" t="s">
        <v>3655</v>
      </c>
      <c r="E2542" s="99">
        <v>14</v>
      </c>
      <c r="F2542" s="229">
        <v>43304</v>
      </c>
      <c r="G2542" s="99">
        <v>3.9</v>
      </c>
      <c r="H2542" s="228">
        <v>3.86</v>
      </c>
      <c r="I2542" s="99">
        <v>3.9</v>
      </c>
      <c r="J2542" s="78">
        <v>520</v>
      </c>
      <c r="K2542" s="78">
        <v>62.5</v>
      </c>
      <c r="L2542" s="79" t="s">
        <v>580</v>
      </c>
      <c r="M2542" s="21"/>
      <c r="N2542" s="21"/>
      <c r="O2542" s="21"/>
      <c r="R2542">
        <v>3.9</v>
      </c>
    </row>
    <row r="2543" spans="2:18" ht="15" customHeight="1" x14ac:dyDescent="0.35">
      <c r="B2543" s="100">
        <f t="shared" si="45"/>
        <v>2492</v>
      </c>
      <c r="C2543" s="227" t="s">
        <v>3656</v>
      </c>
      <c r="D2543" s="228" t="s">
        <v>3657</v>
      </c>
      <c r="E2543" s="99">
        <v>14</v>
      </c>
      <c r="F2543" s="229">
        <v>43304</v>
      </c>
      <c r="G2543" s="99">
        <v>3.9</v>
      </c>
      <c r="H2543" s="228">
        <v>3.55</v>
      </c>
      <c r="I2543" s="99">
        <v>3.9</v>
      </c>
      <c r="J2543" s="78">
        <v>470</v>
      </c>
      <c r="K2543" s="78">
        <v>78.8</v>
      </c>
      <c r="L2543" s="21"/>
      <c r="M2543" s="21"/>
      <c r="N2543" s="21"/>
      <c r="O2543" s="21"/>
      <c r="R2543">
        <v>3.9</v>
      </c>
    </row>
    <row r="2544" spans="2:18" ht="15" customHeight="1" x14ac:dyDescent="0.35">
      <c r="B2544" s="100">
        <f t="shared" si="45"/>
        <v>2493</v>
      </c>
      <c r="C2544" s="227" t="s">
        <v>3658</v>
      </c>
      <c r="D2544" s="228" t="s">
        <v>3659</v>
      </c>
      <c r="E2544" s="99">
        <v>14</v>
      </c>
      <c r="F2544" s="229">
        <v>43304</v>
      </c>
      <c r="G2544" s="99">
        <v>3.9</v>
      </c>
      <c r="H2544" s="228">
        <v>3.58</v>
      </c>
      <c r="I2544" s="99">
        <v>3.9</v>
      </c>
      <c r="J2544" s="78">
        <v>463</v>
      </c>
      <c r="K2544" s="78">
        <v>73.8</v>
      </c>
      <c r="L2544" s="21"/>
      <c r="M2544" s="21"/>
      <c r="N2544" s="21"/>
      <c r="O2544" s="21"/>
      <c r="R2544">
        <v>3.9</v>
      </c>
    </row>
    <row r="2545" spans="2:18" ht="15" customHeight="1" x14ac:dyDescent="0.35">
      <c r="B2545" s="100">
        <f t="shared" si="45"/>
        <v>2494</v>
      </c>
      <c r="C2545" s="227" t="s">
        <v>3660</v>
      </c>
      <c r="D2545" s="228" t="s">
        <v>3661</v>
      </c>
      <c r="E2545" s="99">
        <v>14</v>
      </c>
      <c r="F2545" s="229">
        <v>43304</v>
      </c>
      <c r="G2545" s="99">
        <v>3.9</v>
      </c>
      <c r="H2545" s="228">
        <v>3.1</v>
      </c>
      <c r="I2545" s="99">
        <v>3.9</v>
      </c>
      <c r="J2545" s="78">
        <v>483</v>
      </c>
      <c r="K2545" s="78">
        <v>74</v>
      </c>
      <c r="L2545" s="21"/>
      <c r="M2545" s="21"/>
      <c r="N2545" s="21"/>
      <c r="O2545" s="21"/>
      <c r="R2545">
        <v>3.9</v>
      </c>
    </row>
    <row r="2546" spans="2:18" ht="15" customHeight="1" x14ac:dyDescent="0.35">
      <c r="B2546" s="100">
        <f t="shared" si="45"/>
        <v>2495</v>
      </c>
      <c r="C2546" s="227" t="s">
        <v>3662</v>
      </c>
      <c r="D2546" s="228" t="s">
        <v>3663</v>
      </c>
      <c r="E2546" s="99">
        <v>14</v>
      </c>
      <c r="F2546" s="229">
        <v>43304</v>
      </c>
      <c r="G2546" s="99">
        <v>3.9</v>
      </c>
      <c r="H2546" s="228">
        <v>3.59</v>
      </c>
      <c r="I2546" s="99">
        <v>3.9</v>
      </c>
      <c r="J2546" s="78">
        <v>543</v>
      </c>
      <c r="K2546" s="78">
        <v>78.8</v>
      </c>
      <c r="L2546" s="21"/>
      <c r="M2546" s="21"/>
      <c r="N2546" s="21"/>
      <c r="O2546" s="21"/>
      <c r="R2546">
        <v>3.9</v>
      </c>
    </row>
    <row r="2547" spans="2:18" ht="15" customHeight="1" x14ac:dyDescent="0.35">
      <c r="B2547" s="100">
        <f t="shared" si="45"/>
        <v>2496</v>
      </c>
      <c r="C2547" s="227" t="s">
        <v>3664</v>
      </c>
      <c r="D2547" s="228" t="s">
        <v>3665</v>
      </c>
      <c r="E2547" s="99">
        <v>14</v>
      </c>
      <c r="F2547" s="229">
        <v>43304</v>
      </c>
      <c r="G2547" s="99">
        <v>3.9</v>
      </c>
      <c r="H2547" s="228">
        <v>3.02</v>
      </c>
      <c r="I2547" s="99">
        <v>3.9</v>
      </c>
      <c r="J2547" s="78">
        <v>467</v>
      </c>
      <c r="K2547" s="78">
        <v>74</v>
      </c>
      <c r="L2547" s="21"/>
      <c r="M2547" s="21"/>
      <c r="N2547" s="21"/>
      <c r="O2547" s="21"/>
      <c r="R2547">
        <v>3.9</v>
      </c>
    </row>
    <row r="2548" spans="2:18" ht="15" customHeight="1" x14ac:dyDescent="0.35">
      <c r="B2548" s="100">
        <f t="shared" si="45"/>
        <v>2497</v>
      </c>
      <c r="C2548" s="227" t="s">
        <v>3666</v>
      </c>
      <c r="D2548" s="228" t="s">
        <v>3667</v>
      </c>
      <c r="E2548" s="99">
        <v>14</v>
      </c>
      <c r="F2548" s="229">
        <v>43304</v>
      </c>
      <c r="G2548" s="99">
        <v>3.9</v>
      </c>
      <c r="H2548" s="228">
        <v>3.06</v>
      </c>
      <c r="I2548" s="99">
        <v>3.9</v>
      </c>
      <c r="J2548" s="78">
        <v>490</v>
      </c>
      <c r="K2548" s="78">
        <v>66.3</v>
      </c>
      <c r="L2548" s="21"/>
      <c r="M2548" s="21"/>
      <c r="N2548" s="21"/>
      <c r="O2548" s="21"/>
      <c r="R2548">
        <v>3.9</v>
      </c>
    </row>
    <row r="2549" spans="2:18" ht="15" customHeight="1" x14ac:dyDescent="0.35">
      <c r="B2549" s="100">
        <f t="shared" si="45"/>
        <v>2498</v>
      </c>
      <c r="C2549" s="227" t="s">
        <v>3668</v>
      </c>
      <c r="D2549" s="228" t="s">
        <v>3669</v>
      </c>
      <c r="E2549" s="99">
        <v>14</v>
      </c>
      <c r="F2549" s="229">
        <v>43304</v>
      </c>
      <c r="G2549" s="99">
        <v>3.9</v>
      </c>
      <c r="H2549" s="228">
        <v>3.32</v>
      </c>
      <c r="I2549" s="99">
        <v>3.9</v>
      </c>
      <c r="J2549" s="78">
        <v>560</v>
      </c>
      <c r="K2549" s="78">
        <v>78.8</v>
      </c>
      <c r="L2549" s="21"/>
      <c r="M2549" s="21"/>
      <c r="N2549" s="21"/>
      <c r="O2549" s="21"/>
      <c r="R2549">
        <v>3.9</v>
      </c>
    </row>
    <row r="2550" spans="2:18" ht="15" customHeight="1" x14ac:dyDescent="0.35">
      <c r="B2550" s="100">
        <f t="shared" si="45"/>
        <v>2499</v>
      </c>
      <c r="C2550" s="227" t="s">
        <v>3670</v>
      </c>
      <c r="D2550" s="228" t="s">
        <v>3671</v>
      </c>
      <c r="E2550" s="99">
        <v>14</v>
      </c>
      <c r="F2550" s="229">
        <v>43304</v>
      </c>
      <c r="G2550" s="99">
        <v>3.9</v>
      </c>
      <c r="H2550" s="228">
        <v>3.45</v>
      </c>
      <c r="I2550" s="99">
        <v>3.9</v>
      </c>
      <c r="J2550" s="78">
        <v>463</v>
      </c>
      <c r="K2550" s="78">
        <v>67.5</v>
      </c>
      <c r="L2550" s="21"/>
      <c r="M2550" s="21"/>
      <c r="N2550" s="21"/>
      <c r="O2550" s="21"/>
      <c r="R2550">
        <v>3.9</v>
      </c>
    </row>
    <row r="2551" spans="2:18" ht="15" customHeight="1" x14ac:dyDescent="0.35">
      <c r="B2551" s="100">
        <f t="shared" si="45"/>
        <v>2500</v>
      </c>
      <c r="C2551" s="227" t="s">
        <v>3672</v>
      </c>
      <c r="D2551" s="228" t="s">
        <v>3673</v>
      </c>
      <c r="E2551" s="99">
        <v>14</v>
      </c>
      <c r="F2551" s="229">
        <v>43304</v>
      </c>
      <c r="G2551" s="99">
        <v>3.9</v>
      </c>
      <c r="H2551" s="228">
        <v>3.53</v>
      </c>
      <c r="I2551" s="99">
        <v>3.9</v>
      </c>
      <c r="J2551" s="78">
        <v>497</v>
      </c>
      <c r="K2551" s="78">
        <v>72.5</v>
      </c>
      <c r="L2551" s="21"/>
      <c r="M2551" s="21"/>
      <c r="N2551" s="21"/>
      <c r="O2551" s="21"/>
      <c r="R2551">
        <v>3.9</v>
      </c>
    </row>
    <row r="2552" spans="2:18" ht="15" customHeight="1" x14ac:dyDescent="0.35">
      <c r="B2552" s="100">
        <f t="shared" si="45"/>
        <v>2501</v>
      </c>
      <c r="C2552" s="227" t="s">
        <v>3674</v>
      </c>
      <c r="D2552" s="228" t="s">
        <v>3675</v>
      </c>
      <c r="E2552" s="99">
        <v>14</v>
      </c>
      <c r="F2552" s="229">
        <v>43304</v>
      </c>
      <c r="G2552" s="99">
        <v>3.9</v>
      </c>
      <c r="H2552" s="228">
        <v>3.26</v>
      </c>
      <c r="I2552" s="99">
        <v>3.9</v>
      </c>
      <c r="J2552" s="78">
        <v>470</v>
      </c>
      <c r="K2552" s="78">
        <v>68.8</v>
      </c>
      <c r="L2552" s="21"/>
      <c r="M2552" s="21"/>
      <c r="N2552" s="21"/>
      <c r="O2552" s="21"/>
      <c r="R2552">
        <v>3.9</v>
      </c>
    </row>
    <row r="2553" spans="2:18" ht="15" customHeight="1" x14ac:dyDescent="0.35">
      <c r="B2553" s="100">
        <f t="shared" si="45"/>
        <v>2502</v>
      </c>
      <c r="C2553" s="227" t="s">
        <v>3676</v>
      </c>
      <c r="D2553" s="228" t="s">
        <v>3677</v>
      </c>
      <c r="E2553" s="99">
        <v>14</v>
      </c>
      <c r="F2553" s="229">
        <v>43304</v>
      </c>
      <c r="G2553" s="99">
        <v>3.9</v>
      </c>
      <c r="H2553" s="228">
        <v>3.47</v>
      </c>
      <c r="I2553" s="99">
        <v>3.9</v>
      </c>
      <c r="J2553" s="78">
        <v>417</v>
      </c>
      <c r="K2553" s="78">
        <v>80</v>
      </c>
      <c r="L2553" s="21"/>
      <c r="M2553" s="21"/>
      <c r="N2553" s="21"/>
      <c r="O2553" s="21"/>
      <c r="R2553">
        <v>3.9</v>
      </c>
    </row>
    <row r="2554" spans="2:18" ht="15" customHeight="1" x14ac:dyDescent="0.35">
      <c r="B2554" s="100">
        <f t="shared" si="45"/>
        <v>2503</v>
      </c>
      <c r="C2554" s="227" t="s">
        <v>3678</v>
      </c>
      <c r="D2554" s="228" t="s">
        <v>3679</v>
      </c>
      <c r="E2554" s="99">
        <v>14</v>
      </c>
      <c r="F2554" s="229">
        <v>43304</v>
      </c>
      <c r="G2554" s="99">
        <v>3.9</v>
      </c>
      <c r="H2554" s="228">
        <v>3.81</v>
      </c>
      <c r="I2554" s="99">
        <v>3.9</v>
      </c>
      <c r="J2554" s="78">
        <v>503</v>
      </c>
      <c r="K2554" s="78">
        <v>66.3</v>
      </c>
      <c r="L2554" s="21"/>
      <c r="M2554" s="21"/>
      <c r="N2554" s="21"/>
      <c r="O2554" s="21"/>
      <c r="R2554">
        <v>3.9</v>
      </c>
    </row>
    <row r="2555" spans="2:18" ht="15" customHeight="1" x14ac:dyDescent="0.35">
      <c r="B2555" s="100">
        <f t="shared" si="45"/>
        <v>2504</v>
      </c>
      <c r="C2555" s="227" t="s">
        <v>3680</v>
      </c>
      <c r="D2555" s="228" t="s">
        <v>3681</v>
      </c>
      <c r="E2555" s="99">
        <v>14</v>
      </c>
      <c r="F2555" s="229">
        <v>43304</v>
      </c>
      <c r="G2555" s="99">
        <v>3.9</v>
      </c>
      <c r="H2555" s="228">
        <v>3.54</v>
      </c>
      <c r="I2555" s="99">
        <v>3.9</v>
      </c>
      <c r="J2555" s="78">
        <v>517</v>
      </c>
      <c r="K2555" s="78">
        <v>75</v>
      </c>
      <c r="L2555" s="21"/>
      <c r="M2555" s="21"/>
      <c r="N2555" s="21"/>
      <c r="O2555" s="21"/>
      <c r="R2555">
        <v>3.9</v>
      </c>
    </row>
    <row r="2556" spans="2:18" ht="15" customHeight="1" x14ac:dyDescent="0.35">
      <c r="B2556" s="100">
        <f t="shared" si="45"/>
        <v>2505</v>
      </c>
      <c r="C2556" s="227" t="s">
        <v>3682</v>
      </c>
      <c r="D2556" s="228" t="s">
        <v>3683</v>
      </c>
      <c r="E2556" s="99">
        <v>11</v>
      </c>
      <c r="F2556" s="229">
        <v>43304</v>
      </c>
      <c r="G2556" s="99">
        <v>6.9</v>
      </c>
      <c r="H2556" s="228">
        <v>3.22</v>
      </c>
      <c r="I2556" s="99">
        <v>6.9</v>
      </c>
      <c r="J2556" s="78">
        <v>470</v>
      </c>
      <c r="K2556" s="78">
        <v>68.8</v>
      </c>
      <c r="L2556" s="21"/>
      <c r="M2556" s="21"/>
      <c r="N2556" s="21"/>
      <c r="O2556" s="21"/>
      <c r="R2556">
        <v>6.9</v>
      </c>
    </row>
    <row r="2557" spans="2:18" ht="15" customHeight="1" x14ac:dyDescent="0.35">
      <c r="B2557" s="100">
        <f t="shared" si="45"/>
        <v>2506</v>
      </c>
      <c r="C2557" s="227" t="s">
        <v>3684</v>
      </c>
      <c r="D2557" s="228" t="s">
        <v>3685</v>
      </c>
      <c r="E2557" s="99">
        <v>14</v>
      </c>
      <c r="F2557" s="229">
        <v>43304</v>
      </c>
      <c r="G2557" s="99">
        <v>3.9</v>
      </c>
      <c r="H2557" s="228">
        <v>3.51</v>
      </c>
      <c r="I2557" s="99">
        <v>3.9</v>
      </c>
      <c r="J2557" s="78">
        <v>470</v>
      </c>
      <c r="K2557" s="78">
        <v>70</v>
      </c>
      <c r="L2557" s="21"/>
      <c r="M2557" s="21"/>
      <c r="N2557" s="21"/>
      <c r="O2557" s="21"/>
      <c r="R2557">
        <v>3.9</v>
      </c>
    </row>
    <row r="2558" spans="2:18" ht="15" customHeight="1" x14ac:dyDescent="0.35">
      <c r="B2558" s="100">
        <f t="shared" si="45"/>
        <v>2507</v>
      </c>
      <c r="C2558" s="227" t="s">
        <v>3686</v>
      </c>
      <c r="D2558" s="228" t="s">
        <v>3687</v>
      </c>
      <c r="E2558" s="99">
        <v>14</v>
      </c>
      <c r="F2558" s="229">
        <v>43304</v>
      </c>
      <c r="G2558" s="99">
        <v>3.9</v>
      </c>
      <c r="H2558" s="228">
        <v>3.29</v>
      </c>
      <c r="I2558" s="99">
        <v>3.9</v>
      </c>
      <c r="J2558" s="78">
        <v>433</v>
      </c>
      <c r="K2558" s="78">
        <v>67.5</v>
      </c>
      <c r="L2558" s="21"/>
      <c r="M2558" s="21"/>
      <c r="N2558" s="21"/>
      <c r="O2558" s="21"/>
      <c r="R2558">
        <v>3.9</v>
      </c>
    </row>
    <row r="2559" spans="2:18" ht="15" customHeight="1" x14ac:dyDescent="0.35">
      <c r="B2559" s="100">
        <f t="shared" si="45"/>
        <v>2508</v>
      </c>
      <c r="C2559" s="227" t="s">
        <v>3688</v>
      </c>
      <c r="D2559" s="228" t="s">
        <v>3689</v>
      </c>
      <c r="E2559" s="99">
        <v>14</v>
      </c>
      <c r="F2559" s="229">
        <v>43304</v>
      </c>
      <c r="G2559" s="99">
        <v>3.9</v>
      </c>
      <c r="H2559" s="228">
        <v>3.52</v>
      </c>
      <c r="I2559" s="99">
        <v>3.9</v>
      </c>
      <c r="J2559" s="78">
        <v>547</v>
      </c>
      <c r="K2559" s="78">
        <v>76.3</v>
      </c>
      <c r="L2559" s="21"/>
      <c r="M2559" s="21"/>
      <c r="N2559" s="21"/>
      <c r="O2559" s="21"/>
      <c r="R2559">
        <v>3.9</v>
      </c>
    </row>
    <row r="2560" spans="2:18" ht="15" customHeight="1" x14ac:dyDescent="0.35">
      <c r="B2560" s="100">
        <f t="shared" si="45"/>
        <v>2509</v>
      </c>
      <c r="C2560" s="227" t="s">
        <v>3690</v>
      </c>
      <c r="D2560" s="228" t="s">
        <v>3691</v>
      </c>
      <c r="E2560" s="99">
        <v>14</v>
      </c>
      <c r="F2560" s="229">
        <v>43304</v>
      </c>
      <c r="G2560" s="99">
        <v>3.9</v>
      </c>
      <c r="H2560" s="228">
        <v>3.52</v>
      </c>
      <c r="I2560" s="99">
        <v>3.9</v>
      </c>
      <c r="J2560" s="78">
        <v>487</v>
      </c>
      <c r="K2560" s="78">
        <v>75</v>
      </c>
      <c r="L2560" s="21"/>
      <c r="M2560" s="21"/>
      <c r="N2560" s="21"/>
      <c r="O2560" s="21"/>
      <c r="R2560">
        <v>3.9</v>
      </c>
    </row>
    <row r="2561" spans="2:18" ht="15" customHeight="1" x14ac:dyDescent="0.35">
      <c r="B2561" s="100">
        <f t="shared" si="45"/>
        <v>2510</v>
      </c>
      <c r="C2561" s="227" t="s">
        <v>3692</v>
      </c>
      <c r="D2561" s="228" t="s">
        <v>3693</v>
      </c>
      <c r="E2561" s="99">
        <v>14</v>
      </c>
      <c r="F2561" s="229">
        <v>43304</v>
      </c>
      <c r="G2561" s="99">
        <v>3.9</v>
      </c>
      <c r="H2561" s="228">
        <v>3.75</v>
      </c>
      <c r="I2561" s="99">
        <v>3.9</v>
      </c>
      <c r="J2561" s="78">
        <v>480</v>
      </c>
      <c r="K2561" s="78">
        <v>73.8</v>
      </c>
      <c r="L2561" s="21"/>
      <c r="M2561" s="21"/>
      <c r="N2561" s="21"/>
      <c r="O2561" s="21"/>
      <c r="R2561">
        <v>3.9</v>
      </c>
    </row>
    <row r="2562" spans="2:18" ht="15" customHeight="1" x14ac:dyDescent="0.35">
      <c r="B2562" s="100">
        <f t="shared" si="45"/>
        <v>2511</v>
      </c>
      <c r="C2562" s="227" t="s">
        <v>3694</v>
      </c>
      <c r="D2562" s="228" t="s">
        <v>3695</v>
      </c>
      <c r="E2562" s="99">
        <v>14</v>
      </c>
      <c r="F2562" s="229">
        <v>43304</v>
      </c>
      <c r="G2562" s="99">
        <v>3.9</v>
      </c>
      <c r="H2562" s="228">
        <v>3.51</v>
      </c>
      <c r="I2562" s="99">
        <v>3.9</v>
      </c>
      <c r="J2562" s="78">
        <v>477</v>
      </c>
      <c r="K2562" s="78">
        <v>73.8</v>
      </c>
      <c r="L2562" s="21"/>
      <c r="M2562" s="21"/>
      <c r="N2562" s="21"/>
      <c r="O2562" s="21"/>
      <c r="R2562">
        <v>3.9</v>
      </c>
    </row>
    <row r="2563" spans="2:18" ht="15" customHeight="1" x14ac:dyDescent="0.35">
      <c r="B2563" s="100">
        <f t="shared" si="45"/>
        <v>2512</v>
      </c>
      <c r="C2563" s="227" t="s">
        <v>3696</v>
      </c>
      <c r="D2563" s="228" t="s">
        <v>3697</v>
      </c>
      <c r="E2563" s="99">
        <v>14</v>
      </c>
      <c r="F2563" s="229">
        <v>43304</v>
      </c>
      <c r="G2563" s="99">
        <v>3.9</v>
      </c>
      <c r="H2563" s="228">
        <v>3.53</v>
      </c>
      <c r="I2563" s="99">
        <v>3.9</v>
      </c>
      <c r="J2563" s="78">
        <v>483</v>
      </c>
      <c r="K2563" s="78">
        <v>72.5</v>
      </c>
      <c r="L2563" s="21"/>
      <c r="M2563" s="21"/>
      <c r="N2563" s="21"/>
      <c r="O2563" s="21"/>
      <c r="R2563">
        <v>3.9</v>
      </c>
    </row>
    <row r="2564" spans="2:18" ht="15" customHeight="1" x14ac:dyDescent="0.35">
      <c r="B2564" s="100">
        <f t="shared" si="45"/>
        <v>2513</v>
      </c>
      <c r="C2564" s="227" t="s">
        <v>3698</v>
      </c>
      <c r="D2564" s="228" t="s">
        <v>3699</v>
      </c>
      <c r="E2564" s="99">
        <v>12</v>
      </c>
      <c r="F2564" s="229">
        <v>43304</v>
      </c>
      <c r="G2564" s="99">
        <v>5.9</v>
      </c>
      <c r="H2564" s="228">
        <v>2.4900000000000002</v>
      </c>
      <c r="I2564" s="99">
        <v>5.9</v>
      </c>
      <c r="J2564" s="78" t="s">
        <v>3700</v>
      </c>
      <c r="K2564" s="78">
        <v>67.5</v>
      </c>
      <c r="L2564" s="21"/>
      <c r="M2564" s="21"/>
      <c r="N2564" s="21"/>
      <c r="O2564" s="21"/>
      <c r="R2564">
        <v>5.9</v>
      </c>
    </row>
    <row r="2565" spans="2:18" ht="15" customHeight="1" x14ac:dyDescent="0.35">
      <c r="B2565" s="100">
        <f t="shared" si="45"/>
        <v>2514</v>
      </c>
      <c r="C2565" s="227" t="s">
        <v>3701</v>
      </c>
      <c r="D2565" s="228" t="s">
        <v>3702</v>
      </c>
      <c r="E2565" s="99">
        <v>14</v>
      </c>
      <c r="F2565" s="229">
        <v>43304</v>
      </c>
      <c r="G2565" s="99">
        <v>3.9</v>
      </c>
      <c r="H2565" s="228">
        <v>3.5</v>
      </c>
      <c r="I2565" s="99">
        <v>3.9</v>
      </c>
      <c r="J2565" s="78">
        <v>500</v>
      </c>
      <c r="K2565" s="78">
        <v>71</v>
      </c>
      <c r="L2565" s="21"/>
      <c r="M2565" s="21"/>
      <c r="N2565" s="21"/>
      <c r="O2565" s="21"/>
      <c r="R2565">
        <v>3.9</v>
      </c>
    </row>
    <row r="2566" spans="2:18" ht="15" customHeight="1" x14ac:dyDescent="0.35">
      <c r="B2566" s="100">
        <f t="shared" si="45"/>
        <v>2515</v>
      </c>
      <c r="C2566" s="227" t="s">
        <v>3703</v>
      </c>
      <c r="D2566" s="228" t="s">
        <v>3704</v>
      </c>
      <c r="E2566" s="99">
        <v>14</v>
      </c>
      <c r="F2566" s="229">
        <v>43304</v>
      </c>
      <c r="G2566" s="99">
        <v>3.9</v>
      </c>
      <c r="H2566" s="228">
        <v>3.89</v>
      </c>
      <c r="I2566" s="99">
        <v>3.9</v>
      </c>
      <c r="J2566" s="78">
        <v>440</v>
      </c>
      <c r="K2566" s="78">
        <v>73.8</v>
      </c>
      <c r="L2566" s="21"/>
      <c r="M2566" s="21"/>
      <c r="N2566" s="21"/>
      <c r="O2566" s="21"/>
      <c r="R2566">
        <v>3.9</v>
      </c>
    </row>
    <row r="2567" spans="2:18" ht="15" customHeight="1" x14ac:dyDescent="0.35">
      <c r="B2567" s="100">
        <f t="shared" si="45"/>
        <v>2516</v>
      </c>
      <c r="C2567" s="227" t="s">
        <v>3705</v>
      </c>
      <c r="D2567" s="228" t="s">
        <v>3706</v>
      </c>
      <c r="E2567" s="99">
        <v>12</v>
      </c>
      <c r="F2567" s="229">
        <v>43304</v>
      </c>
      <c r="G2567" s="99">
        <v>5.9</v>
      </c>
      <c r="H2567" s="228">
        <v>3.03</v>
      </c>
      <c r="I2567" s="99">
        <v>5.9</v>
      </c>
      <c r="J2567" s="78">
        <v>503</v>
      </c>
      <c r="K2567" s="78">
        <v>56.3</v>
      </c>
      <c r="L2567" s="21"/>
      <c r="M2567" s="21"/>
      <c r="N2567" s="21"/>
      <c r="O2567" s="21"/>
      <c r="R2567">
        <v>5.9</v>
      </c>
    </row>
    <row r="2568" spans="2:18" ht="15" customHeight="1" x14ac:dyDescent="0.35">
      <c r="B2568" s="100">
        <f t="shared" si="45"/>
        <v>2517</v>
      </c>
      <c r="C2568" s="227" t="s">
        <v>3707</v>
      </c>
      <c r="D2568" s="228" t="s">
        <v>3708</v>
      </c>
      <c r="E2568" s="99">
        <v>11</v>
      </c>
      <c r="F2568" s="229">
        <v>43304</v>
      </c>
      <c r="G2568" s="99">
        <v>6.9</v>
      </c>
      <c r="H2568" s="228">
        <v>2.57</v>
      </c>
      <c r="I2568" s="99">
        <v>6.9</v>
      </c>
      <c r="J2568" s="78">
        <v>500</v>
      </c>
      <c r="K2568" s="78">
        <v>60</v>
      </c>
      <c r="L2568" s="21"/>
      <c r="M2568" s="21"/>
      <c r="N2568" s="21"/>
      <c r="O2568" s="21"/>
      <c r="R2568">
        <v>6.9</v>
      </c>
    </row>
    <row r="2569" spans="2:18" ht="15" customHeight="1" x14ac:dyDescent="0.35">
      <c r="B2569" s="100">
        <f t="shared" si="45"/>
        <v>2518</v>
      </c>
      <c r="C2569" s="227" t="s">
        <v>3709</v>
      </c>
      <c r="D2569" s="228" t="s">
        <v>3710</v>
      </c>
      <c r="E2569" s="99">
        <v>14</v>
      </c>
      <c r="F2569" s="229">
        <v>43304</v>
      </c>
      <c r="G2569" s="99">
        <v>3.9</v>
      </c>
      <c r="H2569" s="228">
        <v>3.74</v>
      </c>
      <c r="I2569" s="99">
        <v>3.9</v>
      </c>
      <c r="J2569" s="78">
        <v>443</v>
      </c>
      <c r="K2569" s="78">
        <v>78.8</v>
      </c>
      <c r="L2569" s="21"/>
      <c r="M2569" s="21"/>
      <c r="N2569" s="21"/>
      <c r="O2569" s="21"/>
      <c r="R2569">
        <v>3.9</v>
      </c>
    </row>
    <row r="2570" spans="2:18" ht="15" customHeight="1" x14ac:dyDescent="0.35">
      <c r="B2570" s="100">
        <f t="shared" si="45"/>
        <v>2519</v>
      </c>
      <c r="C2570" s="227" t="s">
        <v>3711</v>
      </c>
      <c r="D2570" s="228" t="s">
        <v>3712</v>
      </c>
      <c r="E2570" s="99">
        <v>14</v>
      </c>
      <c r="F2570" s="229">
        <v>43304</v>
      </c>
      <c r="G2570" s="99">
        <v>3.9</v>
      </c>
      <c r="H2570" s="228">
        <v>3.71</v>
      </c>
      <c r="I2570" s="99">
        <v>3.9</v>
      </c>
      <c r="J2570" s="78">
        <v>447</v>
      </c>
      <c r="K2570" s="78">
        <v>75</v>
      </c>
      <c r="L2570" s="21"/>
      <c r="M2570" s="21"/>
      <c r="N2570" s="21"/>
      <c r="O2570" s="21"/>
      <c r="R2570">
        <v>3.9</v>
      </c>
    </row>
    <row r="2571" spans="2:18" ht="15" customHeight="1" x14ac:dyDescent="0.35">
      <c r="B2571" s="100">
        <f t="shared" si="45"/>
        <v>2520</v>
      </c>
      <c r="C2571" s="227" t="s">
        <v>3713</v>
      </c>
      <c r="D2571" s="228" t="s">
        <v>3714</v>
      </c>
      <c r="E2571" s="99">
        <v>14</v>
      </c>
      <c r="F2571" s="229">
        <v>43304</v>
      </c>
      <c r="G2571" s="99">
        <v>3.9</v>
      </c>
      <c r="H2571" s="228">
        <v>3.65</v>
      </c>
      <c r="I2571" s="99">
        <v>3.9</v>
      </c>
      <c r="J2571" s="78">
        <v>527</v>
      </c>
      <c r="K2571" s="78">
        <v>65</v>
      </c>
      <c r="L2571" s="21"/>
      <c r="M2571" s="21"/>
      <c r="N2571" s="21"/>
      <c r="O2571" s="21"/>
      <c r="R2571">
        <v>3.9</v>
      </c>
    </row>
    <row r="2572" spans="2:18" ht="15" customHeight="1" x14ac:dyDescent="0.35">
      <c r="B2572" s="100">
        <f t="shared" si="45"/>
        <v>2521</v>
      </c>
      <c r="C2572" s="227" t="s">
        <v>3715</v>
      </c>
      <c r="D2572" s="228" t="s">
        <v>3716</v>
      </c>
      <c r="E2572" s="99">
        <v>14</v>
      </c>
      <c r="F2572" s="229">
        <v>43304</v>
      </c>
      <c r="G2572" s="99">
        <v>3.9</v>
      </c>
      <c r="H2572" s="228">
        <v>3.75</v>
      </c>
      <c r="I2572" s="99">
        <v>3.9</v>
      </c>
      <c r="J2572" s="78">
        <v>400</v>
      </c>
      <c r="K2572" s="78">
        <v>72.5</v>
      </c>
      <c r="L2572" s="21"/>
      <c r="M2572" s="21"/>
      <c r="N2572" s="21"/>
      <c r="O2572" s="21"/>
      <c r="R2572">
        <v>3.9</v>
      </c>
    </row>
    <row r="2573" spans="2:18" ht="15" customHeight="1" x14ac:dyDescent="0.35">
      <c r="B2573" s="100">
        <f t="shared" si="45"/>
        <v>2522</v>
      </c>
      <c r="C2573" s="225" t="s">
        <v>3717</v>
      </c>
      <c r="D2573" s="226" t="s">
        <v>3718</v>
      </c>
      <c r="E2573" s="99">
        <v>14</v>
      </c>
      <c r="F2573" s="226" t="s">
        <v>3719</v>
      </c>
      <c r="G2573" s="99">
        <v>3.9</v>
      </c>
      <c r="H2573" s="226">
        <v>3.61</v>
      </c>
      <c r="I2573" s="226">
        <v>3.9</v>
      </c>
      <c r="J2573" s="95" t="s">
        <v>3720</v>
      </c>
      <c r="K2573" s="76">
        <v>68.8</v>
      </c>
      <c r="L2573" s="21"/>
      <c r="M2573" s="21"/>
      <c r="N2573" s="21"/>
      <c r="O2573" s="21"/>
      <c r="R2573">
        <v>3.9</v>
      </c>
    </row>
    <row r="2574" spans="2:18" ht="15" customHeight="1" x14ac:dyDescent="0.35">
      <c r="B2574" s="100">
        <f t="shared" ref="B2574:B2637" si="46">(B2573+1)</f>
        <v>2523</v>
      </c>
      <c r="C2574" s="225" t="s">
        <v>3721</v>
      </c>
      <c r="D2574" s="226" t="s">
        <v>3722</v>
      </c>
      <c r="E2574" s="99">
        <v>14</v>
      </c>
      <c r="F2574" s="226" t="s">
        <v>3719</v>
      </c>
      <c r="G2574" s="99">
        <v>3.9</v>
      </c>
      <c r="H2574" s="226">
        <v>3.28</v>
      </c>
      <c r="I2574" s="226">
        <v>3.9</v>
      </c>
      <c r="J2574" s="95" t="s">
        <v>3489</v>
      </c>
      <c r="K2574" s="76">
        <v>68.8</v>
      </c>
      <c r="L2574" s="21"/>
      <c r="M2574" s="21"/>
      <c r="N2574" s="21"/>
      <c r="O2574" s="21"/>
      <c r="R2574">
        <v>3.9</v>
      </c>
    </row>
    <row r="2575" spans="2:18" ht="15" customHeight="1" x14ac:dyDescent="0.35">
      <c r="B2575" s="100">
        <f t="shared" si="46"/>
        <v>2524</v>
      </c>
      <c r="C2575" s="225" t="s">
        <v>3723</v>
      </c>
      <c r="D2575" s="226" t="s">
        <v>3724</v>
      </c>
      <c r="E2575" s="99">
        <v>14</v>
      </c>
      <c r="F2575" s="226" t="s">
        <v>3719</v>
      </c>
      <c r="G2575" s="99">
        <v>3.9</v>
      </c>
      <c r="H2575" s="226">
        <v>3.09</v>
      </c>
      <c r="I2575" s="226">
        <v>3.9</v>
      </c>
      <c r="J2575" s="95" t="s">
        <v>3725</v>
      </c>
      <c r="K2575" s="76" t="s">
        <v>3116</v>
      </c>
      <c r="L2575" s="21"/>
      <c r="M2575" s="21"/>
      <c r="N2575" s="21"/>
      <c r="O2575" s="21"/>
      <c r="R2575">
        <v>3.9</v>
      </c>
    </row>
    <row r="2576" spans="2:18" ht="15" customHeight="1" x14ac:dyDescent="0.35">
      <c r="B2576" s="100">
        <f t="shared" si="46"/>
        <v>2525</v>
      </c>
      <c r="C2576" s="225" t="s">
        <v>3726</v>
      </c>
      <c r="D2576" s="226" t="s">
        <v>3727</v>
      </c>
      <c r="E2576" s="99">
        <v>14</v>
      </c>
      <c r="F2576" s="226" t="s">
        <v>3719</v>
      </c>
      <c r="G2576" s="99">
        <v>3.9</v>
      </c>
      <c r="H2576" s="226">
        <v>3.57</v>
      </c>
      <c r="I2576" s="226">
        <v>3.9</v>
      </c>
      <c r="J2576" s="95" t="s">
        <v>3728</v>
      </c>
      <c r="K2576" s="76" t="s">
        <v>3371</v>
      </c>
      <c r="L2576" s="21"/>
      <c r="M2576" s="21"/>
      <c r="N2576" s="21"/>
      <c r="O2576" s="21"/>
      <c r="R2576">
        <v>3.9</v>
      </c>
    </row>
    <row r="2577" spans="2:18" ht="15" customHeight="1" x14ac:dyDescent="0.35">
      <c r="B2577" s="100">
        <f t="shared" si="46"/>
        <v>2526</v>
      </c>
      <c r="C2577" s="225" t="s">
        <v>3729</v>
      </c>
      <c r="D2577" s="226" t="s">
        <v>3730</v>
      </c>
      <c r="E2577" s="99">
        <v>14</v>
      </c>
      <c r="F2577" s="226" t="s">
        <v>3719</v>
      </c>
      <c r="G2577" s="99">
        <v>3.9</v>
      </c>
      <c r="H2577" s="226">
        <v>3.47</v>
      </c>
      <c r="I2577" s="226">
        <v>3.9</v>
      </c>
      <c r="J2577" s="95" t="s">
        <v>3480</v>
      </c>
      <c r="K2577" s="76">
        <v>52.5</v>
      </c>
      <c r="L2577" s="21"/>
      <c r="M2577" s="21"/>
      <c r="N2577" s="21"/>
      <c r="O2577" s="21"/>
      <c r="R2577">
        <v>3.9</v>
      </c>
    </row>
    <row r="2578" spans="2:18" ht="15" customHeight="1" x14ac:dyDescent="0.35">
      <c r="B2578" s="100">
        <f t="shared" si="46"/>
        <v>2527</v>
      </c>
      <c r="C2578" s="225" t="s">
        <v>3731</v>
      </c>
      <c r="D2578" s="226" t="s">
        <v>3732</v>
      </c>
      <c r="E2578" s="99">
        <v>13</v>
      </c>
      <c r="F2578" s="226" t="s">
        <v>3719</v>
      </c>
      <c r="G2578" s="99">
        <v>4.9000000000000004</v>
      </c>
      <c r="H2578" s="226">
        <v>2.93</v>
      </c>
      <c r="I2578" s="226">
        <v>4.9000000000000004</v>
      </c>
      <c r="J2578" s="95" t="s">
        <v>3576</v>
      </c>
      <c r="K2578" s="76" t="s">
        <v>3503</v>
      </c>
      <c r="L2578" s="21"/>
      <c r="M2578" s="21"/>
      <c r="N2578" s="21"/>
      <c r="O2578" s="21"/>
      <c r="R2578">
        <v>4.9000000000000004</v>
      </c>
    </row>
    <row r="2579" spans="2:18" ht="15" customHeight="1" x14ac:dyDescent="0.35">
      <c r="B2579" s="100">
        <f t="shared" si="46"/>
        <v>2528</v>
      </c>
      <c r="C2579" s="225" t="s">
        <v>3733</v>
      </c>
      <c r="D2579" s="226" t="s">
        <v>3734</v>
      </c>
      <c r="E2579" s="99">
        <v>11</v>
      </c>
      <c r="F2579" s="226" t="s">
        <v>3719</v>
      </c>
      <c r="G2579" s="99">
        <v>6.9</v>
      </c>
      <c r="H2579" s="226">
        <v>2.57</v>
      </c>
      <c r="I2579" s="226">
        <v>6.9</v>
      </c>
      <c r="J2579" s="95" t="s">
        <v>3735</v>
      </c>
      <c r="K2579" s="76" t="s">
        <v>3065</v>
      </c>
      <c r="L2579" s="21"/>
      <c r="M2579" s="21"/>
      <c r="N2579" s="21"/>
      <c r="O2579" s="21"/>
      <c r="R2579">
        <v>6.9</v>
      </c>
    </row>
    <row r="2580" spans="2:18" ht="15" customHeight="1" x14ac:dyDescent="0.35">
      <c r="B2580" s="100">
        <f t="shared" si="46"/>
        <v>2529</v>
      </c>
      <c r="C2580" s="225" t="s">
        <v>3736</v>
      </c>
      <c r="D2580" s="226" t="s">
        <v>3737</v>
      </c>
      <c r="E2580" s="99">
        <v>14</v>
      </c>
      <c r="F2580" s="226" t="s">
        <v>3719</v>
      </c>
      <c r="G2580" s="99">
        <v>3.9</v>
      </c>
      <c r="H2580" s="226">
        <v>3</v>
      </c>
      <c r="I2580" s="226">
        <v>3.9</v>
      </c>
      <c r="J2580" s="95" t="s">
        <v>3489</v>
      </c>
      <c r="K2580" s="76">
        <v>71.3</v>
      </c>
      <c r="L2580" s="21"/>
      <c r="M2580" s="21"/>
      <c r="N2580" s="21"/>
      <c r="O2580" s="21"/>
      <c r="R2580">
        <v>3.9</v>
      </c>
    </row>
    <row r="2581" spans="2:18" ht="15" customHeight="1" x14ac:dyDescent="0.35">
      <c r="B2581" s="100"/>
      <c r="C2581" s="227"/>
      <c r="D2581" s="228"/>
      <c r="E2581" s="99"/>
      <c r="F2581" s="229"/>
      <c r="G2581" s="99"/>
      <c r="H2581" s="228"/>
      <c r="I2581" s="99"/>
      <c r="J2581" s="78"/>
      <c r="K2581" s="78"/>
      <c r="L2581" s="21"/>
      <c r="M2581" s="21"/>
      <c r="N2581" s="21"/>
      <c r="O2581" s="21"/>
    </row>
    <row r="2582" spans="2:18" ht="15" customHeight="1" x14ac:dyDescent="0.35">
      <c r="B2582" s="100"/>
      <c r="C2582" s="230" t="s">
        <v>3738</v>
      </c>
      <c r="D2582" s="228"/>
      <c r="E2582" s="99"/>
      <c r="F2582" s="229"/>
      <c r="G2582" s="99"/>
      <c r="H2582" s="228"/>
      <c r="I2582" s="99"/>
      <c r="J2582" s="78"/>
      <c r="K2582" s="78"/>
      <c r="L2582" s="21"/>
      <c r="M2582" s="21"/>
      <c r="N2582" s="21"/>
      <c r="O2582" s="21"/>
    </row>
    <row r="2583" spans="2:18" ht="15" customHeight="1" x14ac:dyDescent="0.35">
      <c r="B2583" s="100">
        <f>(B2580+1)</f>
        <v>2530</v>
      </c>
      <c r="C2583" s="227" t="s">
        <v>3739</v>
      </c>
      <c r="D2583" s="228" t="s">
        <v>3740</v>
      </c>
      <c r="E2583" s="99">
        <v>13</v>
      </c>
      <c r="F2583" s="231">
        <v>43342</v>
      </c>
      <c r="G2583" s="99">
        <v>5</v>
      </c>
      <c r="H2583" s="228">
        <v>2.4700000000000002</v>
      </c>
      <c r="I2583" s="99">
        <v>5</v>
      </c>
      <c r="J2583" s="78">
        <v>443</v>
      </c>
      <c r="K2583" s="78">
        <v>73.75</v>
      </c>
      <c r="L2583" s="21"/>
      <c r="M2583" s="21"/>
      <c r="N2583" s="21"/>
      <c r="O2583" s="21"/>
      <c r="R2583">
        <v>5</v>
      </c>
    </row>
    <row r="2584" spans="2:18" ht="15" customHeight="1" x14ac:dyDescent="0.35">
      <c r="B2584" s="100">
        <f t="shared" si="46"/>
        <v>2531</v>
      </c>
      <c r="C2584" s="227" t="s">
        <v>3741</v>
      </c>
      <c r="D2584" s="228" t="s">
        <v>3742</v>
      </c>
      <c r="E2584" s="99">
        <v>14</v>
      </c>
      <c r="F2584" s="229">
        <v>43399</v>
      </c>
      <c r="G2584" s="99">
        <v>4.0999999999999996</v>
      </c>
      <c r="H2584" s="228">
        <v>3.18</v>
      </c>
      <c r="I2584" s="99">
        <v>4.0999999999999996</v>
      </c>
      <c r="J2584" s="78">
        <v>503</v>
      </c>
      <c r="K2584" s="78">
        <v>75</v>
      </c>
      <c r="L2584" s="57">
        <v>2009</v>
      </c>
      <c r="M2584" s="29"/>
      <c r="N2584" s="21"/>
      <c r="O2584" s="21"/>
      <c r="R2584">
        <v>4.0999999999999996</v>
      </c>
    </row>
    <row r="2585" spans="2:18" ht="15" customHeight="1" x14ac:dyDescent="0.35">
      <c r="B2585" s="100">
        <f t="shared" si="46"/>
        <v>2532</v>
      </c>
      <c r="C2585" s="227" t="s">
        <v>3743</v>
      </c>
      <c r="D2585" s="228" t="s">
        <v>3744</v>
      </c>
      <c r="E2585" s="99">
        <v>13</v>
      </c>
      <c r="F2585" s="229">
        <v>43399</v>
      </c>
      <c r="G2585" s="99">
        <v>5.0999999999999996</v>
      </c>
      <c r="H2585" s="228">
        <v>2.9</v>
      </c>
      <c r="I2585" s="99">
        <v>5.0999999999999996</v>
      </c>
      <c r="J2585" s="78">
        <v>403</v>
      </c>
      <c r="K2585" s="78">
        <v>60</v>
      </c>
      <c r="L2585" s="57">
        <v>2010</v>
      </c>
      <c r="M2585" s="29"/>
      <c r="N2585" s="21"/>
      <c r="O2585" s="21"/>
      <c r="R2585">
        <v>5.0999999999999996</v>
      </c>
    </row>
    <row r="2586" spans="2:18" ht="15" customHeight="1" x14ac:dyDescent="0.35">
      <c r="B2586" s="100">
        <f t="shared" si="46"/>
        <v>2533</v>
      </c>
      <c r="C2586" s="227" t="s">
        <v>3745</v>
      </c>
      <c r="D2586" s="228" t="s">
        <v>3746</v>
      </c>
      <c r="E2586" s="99">
        <v>14</v>
      </c>
      <c r="F2586" s="229">
        <v>43399</v>
      </c>
      <c r="G2586" s="99">
        <v>4.0999999999999996</v>
      </c>
      <c r="H2586" s="228">
        <v>3.65</v>
      </c>
      <c r="I2586" s="99">
        <v>4.0999999999999996</v>
      </c>
      <c r="J2586" s="78">
        <v>457</v>
      </c>
      <c r="K2586" s="78">
        <v>75</v>
      </c>
      <c r="L2586" s="57">
        <v>2011</v>
      </c>
      <c r="M2586" s="29">
        <f>COUNTIF(E2583:E2609,"11")</f>
        <v>1</v>
      </c>
      <c r="N2586" s="21"/>
      <c r="O2586" s="21"/>
      <c r="R2586">
        <v>4.0999999999999996</v>
      </c>
    </row>
    <row r="2587" spans="2:18" ht="15" customHeight="1" x14ac:dyDescent="0.35">
      <c r="B2587" s="100">
        <f t="shared" si="46"/>
        <v>2534</v>
      </c>
      <c r="C2587" s="227" t="s">
        <v>3747</v>
      </c>
      <c r="D2587" s="228" t="s">
        <v>3748</v>
      </c>
      <c r="E2587" s="99">
        <v>14</v>
      </c>
      <c r="F2587" s="229">
        <v>43399</v>
      </c>
      <c r="G2587" s="99">
        <v>4.0999999999999996</v>
      </c>
      <c r="H2587" s="228">
        <v>3.28</v>
      </c>
      <c r="I2587" s="99">
        <v>4.0999999999999996</v>
      </c>
      <c r="J2587" s="78">
        <v>433</v>
      </c>
      <c r="K2587" s="78">
        <v>73.8</v>
      </c>
      <c r="L2587" s="57">
        <v>2012</v>
      </c>
      <c r="M2587" s="29">
        <f>COUNTIF(E2584:E2610,"12")</f>
        <v>0</v>
      </c>
      <c r="N2587" s="21"/>
      <c r="O2587" s="21"/>
      <c r="R2587">
        <v>4.0999999999999996</v>
      </c>
    </row>
    <row r="2588" spans="2:18" ht="15" customHeight="1" x14ac:dyDescent="0.35">
      <c r="B2588" s="100">
        <f t="shared" si="46"/>
        <v>2535</v>
      </c>
      <c r="C2588" s="227" t="s">
        <v>3749</v>
      </c>
      <c r="D2588" s="228" t="s">
        <v>3750</v>
      </c>
      <c r="E2588" s="99">
        <v>14</v>
      </c>
      <c r="F2588" s="229">
        <v>43399</v>
      </c>
      <c r="G2588" s="99">
        <v>4.0999999999999996</v>
      </c>
      <c r="H2588" s="228">
        <v>3.4</v>
      </c>
      <c r="I2588" s="99">
        <v>4.0999999999999996</v>
      </c>
      <c r="J2588" s="78">
        <v>447</v>
      </c>
      <c r="K2588" s="78">
        <v>78.8</v>
      </c>
      <c r="L2588" s="57">
        <v>2013</v>
      </c>
      <c r="M2588" s="29">
        <f>COUNTIF(E2583:E2611,"13")</f>
        <v>5</v>
      </c>
      <c r="N2588" s="21"/>
      <c r="O2588" s="21"/>
      <c r="R2588">
        <v>4.0999999999999996</v>
      </c>
    </row>
    <row r="2589" spans="2:18" ht="15" customHeight="1" x14ac:dyDescent="0.35">
      <c r="B2589" s="100">
        <f t="shared" si="46"/>
        <v>2536</v>
      </c>
      <c r="C2589" s="227" t="s">
        <v>3751</v>
      </c>
      <c r="D2589" s="228" t="s">
        <v>3752</v>
      </c>
      <c r="E2589" s="99">
        <v>14</v>
      </c>
      <c r="F2589" s="229">
        <v>43399</v>
      </c>
      <c r="G2589" s="99">
        <v>4.0999999999999996</v>
      </c>
      <c r="H2589" s="228">
        <v>3.53</v>
      </c>
      <c r="I2589" s="99">
        <v>4.0999999999999996</v>
      </c>
      <c r="J2589" s="78">
        <v>457</v>
      </c>
      <c r="K2589" s="78">
        <v>73.8</v>
      </c>
      <c r="L2589" s="42">
        <v>2014</v>
      </c>
      <c r="M2589" s="29">
        <f>COUNTIF(E2583:E2612,"14")</f>
        <v>21</v>
      </c>
      <c r="N2589" s="21"/>
      <c r="O2589" s="21"/>
      <c r="R2589">
        <v>4.0999999999999996</v>
      </c>
    </row>
    <row r="2590" spans="2:18" ht="15" customHeight="1" x14ac:dyDescent="0.35">
      <c r="B2590" s="100">
        <f t="shared" si="46"/>
        <v>2537</v>
      </c>
      <c r="C2590" s="227" t="s">
        <v>3753</v>
      </c>
      <c r="D2590" s="228" t="s">
        <v>3754</v>
      </c>
      <c r="E2590" s="99">
        <v>11</v>
      </c>
      <c r="F2590" s="229">
        <v>43399</v>
      </c>
      <c r="G2590" s="99">
        <v>7.1</v>
      </c>
      <c r="H2590" s="228">
        <v>2.0499999999999998</v>
      </c>
      <c r="I2590" s="99">
        <v>7.1</v>
      </c>
      <c r="J2590" s="78">
        <v>410</v>
      </c>
      <c r="K2590" s="78">
        <v>53.8</v>
      </c>
      <c r="L2590" s="19" t="s">
        <v>1820</v>
      </c>
      <c r="M2590" s="29">
        <f>SUM(M2586:M2589)</f>
        <v>27</v>
      </c>
      <c r="N2590" s="21"/>
      <c r="O2590" s="21"/>
      <c r="R2590">
        <v>7.1</v>
      </c>
    </row>
    <row r="2591" spans="2:18" ht="15" customHeight="1" x14ac:dyDescent="0.35">
      <c r="B2591" s="100">
        <f t="shared" si="46"/>
        <v>2538</v>
      </c>
      <c r="C2591" s="227" t="s">
        <v>3755</v>
      </c>
      <c r="D2591" s="228" t="s">
        <v>3756</v>
      </c>
      <c r="E2591" s="99">
        <v>13</v>
      </c>
      <c r="F2591" s="229">
        <v>43399</v>
      </c>
      <c r="G2591" s="99">
        <v>5.0999999999999996</v>
      </c>
      <c r="H2591" s="228">
        <v>2.76</v>
      </c>
      <c r="I2591" s="99">
        <v>5.0999999999999996</v>
      </c>
      <c r="J2591" s="78">
        <v>457</v>
      </c>
      <c r="K2591" s="78">
        <v>63.75</v>
      </c>
      <c r="L2591" s="21"/>
      <c r="M2591" s="21"/>
      <c r="N2591" s="21"/>
      <c r="O2591" s="21"/>
      <c r="R2591">
        <v>5.0999999999999996</v>
      </c>
    </row>
    <row r="2592" spans="2:18" ht="15" customHeight="1" x14ac:dyDescent="0.35">
      <c r="B2592" s="100">
        <f t="shared" si="46"/>
        <v>2539</v>
      </c>
      <c r="C2592" s="227" t="s">
        <v>3757</v>
      </c>
      <c r="D2592" s="228" t="s">
        <v>3758</v>
      </c>
      <c r="E2592" s="99">
        <v>14</v>
      </c>
      <c r="F2592" s="229">
        <v>43399</v>
      </c>
      <c r="G2592" s="99">
        <v>4.0999999999999996</v>
      </c>
      <c r="H2592" s="228">
        <v>3.36</v>
      </c>
      <c r="I2592" s="99">
        <v>4.0999999999999996</v>
      </c>
      <c r="J2592" s="78">
        <v>477</v>
      </c>
      <c r="K2592" s="78">
        <v>77.5</v>
      </c>
      <c r="L2592" s="21"/>
      <c r="M2592" s="21"/>
      <c r="N2592" s="21"/>
      <c r="O2592" s="21"/>
      <c r="R2592">
        <v>4.0999999999999996</v>
      </c>
    </row>
    <row r="2593" spans="2:18" ht="15" customHeight="1" x14ac:dyDescent="0.35">
      <c r="B2593" s="100">
        <f t="shared" si="46"/>
        <v>2540</v>
      </c>
      <c r="C2593" s="227" t="s">
        <v>3759</v>
      </c>
      <c r="D2593" s="228" t="s">
        <v>3760</v>
      </c>
      <c r="E2593" s="99">
        <v>14</v>
      </c>
      <c r="F2593" s="229">
        <v>43399</v>
      </c>
      <c r="G2593" s="99">
        <v>4.0999999999999996</v>
      </c>
      <c r="H2593" s="228">
        <v>2.96</v>
      </c>
      <c r="I2593" s="99">
        <v>4.0999999999999996</v>
      </c>
      <c r="J2593" s="78">
        <v>427</v>
      </c>
      <c r="K2593" s="78">
        <v>69</v>
      </c>
      <c r="L2593" s="29" t="s">
        <v>2528</v>
      </c>
      <c r="M2593" s="21"/>
      <c r="N2593" s="21"/>
      <c r="O2593" s="21"/>
      <c r="R2593">
        <v>4.0999999999999996</v>
      </c>
    </row>
    <row r="2594" spans="2:18" ht="15" customHeight="1" x14ac:dyDescent="0.35">
      <c r="B2594" s="100">
        <f t="shared" si="46"/>
        <v>2541</v>
      </c>
      <c r="C2594" s="227" t="s">
        <v>3761</v>
      </c>
      <c r="D2594" s="228" t="s">
        <v>3762</v>
      </c>
      <c r="E2594" s="99">
        <v>14</v>
      </c>
      <c r="F2594" s="229">
        <v>43399</v>
      </c>
      <c r="G2594" s="99">
        <v>4.0999999999999996</v>
      </c>
      <c r="H2594" s="228">
        <v>2.94</v>
      </c>
      <c r="I2594" s="99">
        <v>4.0999999999999996</v>
      </c>
      <c r="J2594" s="78">
        <v>470</v>
      </c>
      <c r="K2594" s="78">
        <v>70</v>
      </c>
      <c r="L2594" s="29" t="s">
        <v>1798</v>
      </c>
      <c r="M2594" s="80">
        <f>SUM(G2583:G2609)/M2590</f>
        <v>4.5259259259259279</v>
      </c>
      <c r="N2594" s="21"/>
      <c r="O2594" s="21"/>
      <c r="R2594">
        <v>4.0999999999999996</v>
      </c>
    </row>
    <row r="2595" spans="2:18" ht="15" customHeight="1" x14ac:dyDescent="0.35">
      <c r="B2595" s="100">
        <f t="shared" si="46"/>
        <v>2542</v>
      </c>
      <c r="C2595" s="227" t="s">
        <v>3763</v>
      </c>
      <c r="D2595" s="228" t="s">
        <v>3764</v>
      </c>
      <c r="E2595" s="99">
        <v>14</v>
      </c>
      <c r="F2595" s="229">
        <v>43399</v>
      </c>
      <c r="G2595" s="99">
        <v>4.0999999999999996</v>
      </c>
      <c r="H2595" s="228">
        <v>3.23</v>
      </c>
      <c r="I2595" s="99">
        <v>4.0999999999999996</v>
      </c>
      <c r="J2595" s="78">
        <v>403</v>
      </c>
      <c r="K2595" s="78">
        <v>71.3</v>
      </c>
      <c r="L2595" s="29" t="s">
        <v>1801</v>
      </c>
      <c r="M2595" s="21"/>
      <c r="N2595" s="21"/>
      <c r="O2595" s="21"/>
      <c r="R2595">
        <v>4.0999999999999996</v>
      </c>
    </row>
    <row r="2596" spans="2:18" ht="15" customHeight="1" x14ac:dyDescent="0.35">
      <c r="B2596" s="100">
        <f t="shared" si="46"/>
        <v>2543</v>
      </c>
      <c r="C2596" s="227" t="s">
        <v>3765</v>
      </c>
      <c r="D2596" s="228" t="s">
        <v>3766</v>
      </c>
      <c r="E2596" s="99">
        <v>14</v>
      </c>
      <c r="F2596" s="229">
        <v>43399</v>
      </c>
      <c r="G2596" s="99">
        <v>4.0999999999999996</v>
      </c>
      <c r="H2596" s="228">
        <v>3.57</v>
      </c>
      <c r="I2596" s="99">
        <v>4.0999999999999996</v>
      </c>
      <c r="J2596" s="78">
        <v>443</v>
      </c>
      <c r="K2596" s="78">
        <v>80</v>
      </c>
      <c r="L2596" s="29" t="s">
        <v>1804</v>
      </c>
      <c r="M2596" s="21"/>
      <c r="N2596" s="21"/>
      <c r="O2596" s="21"/>
      <c r="R2596">
        <v>4.0999999999999996</v>
      </c>
    </row>
    <row r="2597" spans="2:18" ht="15" customHeight="1" x14ac:dyDescent="0.35">
      <c r="B2597" s="100">
        <f t="shared" si="46"/>
        <v>2544</v>
      </c>
      <c r="C2597" s="182" t="s">
        <v>3767</v>
      </c>
      <c r="D2597" s="143" t="s">
        <v>3768</v>
      </c>
      <c r="E2597" s="99">
        <v>13</v>
      </c>
      <c r="F2597" s="143" t="s">
        <v>3769</v>
      </c>
      <c r="G2597" s="99">
        <v>5.3</v>
      </c>
      <c r="H2597" s="143">
        <v>2.95</v>
      </c>
      <c r="I2597" s="182">
        <v>5.3</v>
      </c>
      <c r="J2597" s="92" t="s">
        <v>3770</v>
      </c>
      <c r="K2597" s="39">
        <v>66.25</v>
      </c>
      <c r="L2597" s="29" t="s">
        <v>1807</v>
      </c>
      <c r="M2597" s="21">
        <f>AVERAGE(H2583:H2671)</f>
        <v>3.324302325581395</v>
      </c>
      <c r="N2597" s="21"/>
      <c r="O2597" s="21"/>
      <c r="R2597">
        <v>5.3</v>
      </c>
    </row>
    <row r="2598" spans="2:18" ht="15" customHeight="1" x14ac:dyDescent="0.35">
      <c r="B2598" s="100">
        <f t="shared" si="46"/>
        <v>2545</v>
      </c>
      <c r="C2598" s="182" t="s">
        <v>3771</v>
      </c>
      <c r="D2598" s="143" t="s">
        <v>3772</v>
      </c>
      <c r="E2598" s="99">
        <v>14</v>
      </c>
      <c r="F2598" s="143" t="s">
        <v>3769</v>
      </c>
      <c r="G2598" s="99">
        <v>4.3</v>
      </c>
      <c r="H2598" s="143">
        <v>3.48</v>
      </c>
      <c r="I2598" s="182">
        <v>4.3</v>
      </c>
      <c r="J2598" s="92" t="s">
        <v>3516</v>
      </c>
      <c r="K2598" s="39" t="s">
        <v>3371</v>
      </c>
      <c r="L2598" s="29" t="s">
        <v>1810</v>
      </c>
      <c r="M2598" s="21"/>
      <c r="N2598" s="21"/>
      <c r="O2598" s="21"/>
      <c r="R2598">
        <v>4.3</v>
      </c>
    </row>
    <row r="2599" spans="2:18" ht="15" customHeight="1" x14ac:dyDescent="0.35">
      <c r="B2599" s="100">
        <f t="shared" si="46"/>
        <v>2546</v>
      </c>
      <c r="C2599" s="182" t="s">
        <v>3773</v>
      </c>
      <c r="D2599" s="143" t="s">
        <v>3774</v>
      </c>
      <c r="E2599" s="99">
        <v>14</v>
      </c>
      <c r="F2599" s="143" t="s">
        <v>3769</v>
      </c>
      <c r="G2599" s="99">
        <v>4.3</v>
      </c>
      <c r="H2599" s="143">
        <v>3.49</v>
      </c>
      <c r="I2599" s="182">
        <v>4.3</v>
      </c>
      <c r="J2599" s="92" t="s">
        <v>3398</v>
      </c>
      <c r="K2599" s="39">
        <v>73.8</v>
      </c>
      <c r="L2599" s="29" t="s">
        <v>1813</v>
      </c>
      <c r="M2599" s="21"/>
      <c r="N2599" s="21"/>
      <c r="O2599" s="21"/>
      <c r="R2599">
        <v>4.3</v>
      </c>
    </row>
    <row r="2600" spans="2:18" ht="15" customHeight="1" x14ac:dyDescent="0.35">
      <c r="B2600" s="100">
        <f t="shared" si="46"/>
        <v>2547</v>
      </c>
      <c r="C2600" s="208" t="s">
        <v>3775</v>
      </c>
      <c r="D2600" s="209" t="s">
        <v>3776</v>
      </c>
      <c r="E2600" s="99">
        <v>14</v>
      </c>
      <c r="F2600" s="232">
        <v>43490</v>
      </c>
      <c r="G2600" s="99">
        <v>4.4000000000000004</v>
      </c>
      <c r="H2600" s="209">
        <v>3.1</v>
      </c>
      <c r="I2600" s="99">
        <v>4.4000000000000004</v>
      </c>
      <c r="J2600" s="69">
        <v>467</v>
      </c>
      <c r="K2600" s="81">
        <v>73.8</v>
      </c>
      <c r="L2600" s="29" t="s">
        <v>1816</v>
      </c>
      <c r="M2600" s="21"/>
      <c r="N2600" s="21"/>
      <c r="O2600" s="21"/>
      <c r="R2600">
        <v>4.4000000000000004</v>
      </c>
    </row>
    <row r="2601" spans="2:18" ht="15" customHeight="1" x14ac:dyDescent="0.35">
      <c r="B2601" s="100">
        <f t="shared" si="46"/>
        <v>2548</v>
      </c>
      <c r="C2601" s="208" t="s">
        <v>3777</v>
      </c>
      <c r="D2601" s="209" t="s">
        <v>3778</v>
      </c>
      <c r="E2601" s="99">
        <v>14</v>
      </c>
      <c r="F2601" s="232">
        <v>43490</v>
      </c>
      <c r="G2601" s="99">
        <v>4.4000000000000004</v>
      </c>
      <c r="H2601" s="209">
        <v>3.51</v>
      </c>
      <c r="I2601" s="99">
        <v>4.4000000000000004</v>
      </c>
      <c r="J2601" s="69">
        <v>477</v>
      </c>
      <c r="K2601" s="81">
        <v>78.8</v>
      </c>
      <c r="L2601" s="29" t="s">
        <v>1819</v>
      </c>
      <c r="M2601" s="21"/>
      <c r="N2601" s="21"/>
      <c r="O2601" s="21"/>
      <c r="R2601">
        <v>4.4000000000000004</v>
      </c>
    </row>
    <row r="2602" spans="2:18" ht="15" customHeight="1" x14ac:dyDescent="0.35">
      <c r="B2602" s="100">
        <f t="shared" si="46"/>
        <v>2549</v>
      </c>
      <c r="C2602" s="208" t="s">
        <v>3779</v>
      </c>
      <c r="D2602" s="209" t="s">
        <v>3780</v>
      </c>
      <c r="E2602" s="99">
        <v>14</v>
      </c>
      <c r="F2602" s="232">
        <v>43490</v>
      </c>
      <c r="G2602" s="99">
        <v>4.4000000000000004</v>
      </c>
      <c r="H2602" s="209">
        <v>3.4</v>
      </c>
      <c r="I2602" s="99">
        <v>4.4000000000000004</v>
      </c>
      <c r="J2602" s="69">
        <v>543</v>
      </c>
      <c r="K2602" s="81">
        <v>77.5</v>
      </c>
      <c r="L2602" s="29" t="s">
        <v>1820</v>
      </c>
      <c r="M2602" s="21"/>
      <c r="N2602" s="21"/>
      <c r="O2602" s="21"/>
      <c r="R2602">
        <v>4.4000000000000004</v>
      </c>
    </row>
    <row r="2603" spans="2:18" ht="15" customHeight="1" x14ac:dyDescent="0.35">
      <c r="B2603" s="100">
        <f t="shared" si="46"/>
        <v>2550</v>
      </c>
      <c r="C2603" s="208" t="s">
        <v>3781</v>
      </c>
      <c r="D2603" s="209" t="s">
        <v>3782</v>
      </c>
      <c r="E2603" s="99">
        <v>14</v>
      </c>
      <c r="F2603" s="232">
        <v>43490</v>
      </c>
      <c r="G2603" s="99">
        <v>4.4000000000000004</v>
      </c>
      <c r="H2603" s="209">
        <v>3.27</v>
      </c>
      <c r="I2603" s="99">
        <v>4.4000000000000004</v>
      </c>
      <c r="J2603" s="69">
        <v>460</v>
      </c>
      <c r="K2603" s="81">
        <v>67</v>
      </c>
      <c r="L2603" s="21"/>
      <c r="M2603" s="21"/>
      <c r="N2603" s="21"/>
      <c r="O2603" s="21"/>
      <c r="R2603">
        <v>4.4000000000000004</v>
      </c>
    </row>
    <row r="2604" spans="2:18" ht="15" customHeight="1" x14ac:dyDescent="0.35">
      <c r="B2604" s="100">
        <f t="shared" si="46"/>
        <v>2551</v>
      </c>
      <c r="C2604" s="208" t="s">
        <v>3783</v>
      </c>
      <c r="D2604" s="209" t="s">
        <v>3784</v>
      </c>
      <c r="E2604" s="99">
        <v>14</v>
      </c>
      <c r="F2604" s="232">
        <v>43490</v>
      </c>
      <c r="G2604" s="99">
        <v>4.4000000000000004</v>
      </c>
      <c r="H2604" s="209">
        <v>3.24</v>
      </c>
      <c r="I2604" s="99">
        <v>4.4000000000000004</v>
      </c>
      <c r="J2604" s="69">
        <v>450</v>
      </c>
      <c r="K2604" s="81">
        <v>72.5</v>
      </c>
      <c r="L2604" s="21"/>
      <c r="M2604" s="21"/>
      <c r="N2604" s="21"/>
      <c r="O2604" s="21"/>
      <c r="R2604">
        <v>4.4000000000000004</v>
      </c>
    </row>
    <row r="2605" spans="2:18" ht="15" customHeight="1" x14ac:dyDescent="0.35">
      <c r="B2605" s="100">
        <f t="shared" si="46"/>
        <v>2552</v>
      </c>
      <c r="C2605" s="208" t="s">
        <v>3785</v>
      </c>
      <c r="D2605" s="209" t="s">
        <v>3786</v>
      </c>
      <c r="E2605" s="99">
        <v>14</v>
      </c>
      <c r="F2605" s="232">
        <v>43490</v>
      </c>
      <c r="G2605" s="99">
        <v>4.4000000000000004</v>
      </c>
      <c r="H2605" s="209">
        <v>3.1</v>
      </c>
      <c r="I2605" s="99">
        <v>4.4000000000000004</v>
      </c>
      <c r="J2605" s="69">
        <v>493</v>
      </c>
      <c r="K2605" s="81">
        <v>65</v>
      </c>
      <c r="L2605" s="46" t="s">
        <v>2336</v>
      </c>
      <c r="M2605" s="21"/>
      <c r="N2605" s="21"/>
      <c r="O2605" s="21"/>
      <c r="R2605">
        <v>4.4000000000000004</v>
      </c>
    </row>
    <row r="2606" spans="2:18" ht="15" customHeight="1" x14ac:dyDescent="0.35">
      <c r="B2606" s="100">
        <f t="shared" si="46"/>
        <v>2553</v>
      </c>
      <c r="C2606" s="208" t="s">
        <v>3787</v>
      </c>
      <c r="D2606" s="209" t="s">
        <v>3788</v>
      </c>
      <c r="E2606" s="99">
        <v>14</v>
      </c>
      <c r="F2606" s="232">
        <v>43490</v>
      </c>
      <c r="G2606" s="99">
        <v>4.4000000000000004</v>
      </c>
      <c r="H2606" s="209">
        <v>3.47</v>
      </c>
      <c r="I2606" s="99">
        <v>4.4000000000000004</v>
      </c>
      <c r="J2606" s="69">
        <v>511</v>
      </c>
      <c r="K2606" s="81">
        <v>67.5</v>
      </c>
      <c r="L2606" s="19" t="s">
        <v>2339</v>
      </c>
      <c r="M2606" s="21"/>
      <c r="N2606" s="21"/>
      <c r="O2606" s="21"/>
      <c r="R2606">
        <v>4.4000000000000004</v>
      </c>
    </row>
    <row r="2607" spans="2:18" ht="15" customHeight="1" x14ac:dyDescent="0.35">
      <c r="B2607" s="100">
        <f t="shared" si="46"/>
        <v>2554</v>
      </c>
      <c r="C2607" s="208" t="s">
        <v>3789</v>
      </c>
      <c r="D2607" s="209" t="s">
        <v>3790</v>
      </c>
      <c r="E2607" s="99">
        <v>14</v>
      </c>
      <c r="F2607" s="232">
        <v>43490</v>
      </c>
      <c r="G2607" s="99">
        <v>4.4000000000000004</v>
      </c>
      <c r="H2607" s="209">
        <v>2.4700000000000002</v>
      </c>
      <c r="I2607" s="99">
        <v>4.4000000000000004</v>
      </c>
      <c r="J2607" s="69">
        <v>400</v>
      </c>
      <c r="K2607" s="81">
        <v>65</v>
      </c>
      <c r="L2607" s="19" t="s">
        <v>2340</v>
      </c>
      <c r="M2607" s="21"/>
      <c r="N2607" s="21"/>
      <c r="O2607" s="21"/>
      <c r="R2607">
        <v>4.4000000000000004</v>
      </c>
    </row>
    <row r="2608" spans="2:18" ht="15" customHeight="1" x14ac:dyDescent="0.35">
      <c r="B2608" s="100">
        <f t="shared" si="46"/>
        <v>2555</v>
      </c>
      <c r="C2608" s="208" t="s">
        <v>3791</v>
      </c>
      <c r="D2608" s="209" t="s">
        <v>3792</v>
      </c>
      <c r="E2608" s="99">
        <v>13</v>
      </c>
      <c r="F2608" s="232">
        <v>43490</v>
      </c>
      <c r="G2608" s="99">
        <v>5.4</v>
      </c>
      <c r="H2608" s="209">
        <v>2.86</v>
      </c>
      <c r="I2608" s="99">
        <v>5.4</v>
      </c>
      <c r="J2608" s="69">
        <v>497</v>
      </c>
      <c r="K2608" s="81">
        <v>77.5</v>
      </c>
      <c r="L2608" s="21"/>
      <c r="M2608" s="21"/>
      <c r="N2608" s="21"/>
      <c r="O2608" s="21"/>
      <c r="R2608">
        <v>5.4</v>
      </c>
    </row>
    <row r="2609" spans="1:18" s="4" customFormat="1" ht="15" customHeight="1" x14ac:dyDescent="0.35">
      <c r="A2609"/>
      <c r="B2609" s="100">
        <v>2556</v>
      </c>
      <c r="C2609" s="233" t="s">
        <v>3793</v>
      </c>
      <c r="D2609" s="234" t="s">
        <v>3794</v>
      </c>
      <c r="E2609" s="99">
        <v>14</v>
      </c>
      <c r="F2609" s="235">
        <v>43496</v>
      </c>
      <c r="G2609" s="99">
        <v>4.4000000000000004</v>
      </c>
      <c r="H2609" s="234">
        <v>2.95</v>
      </c>
      <c r="I2609" s="105">
        <v>4.4000000000000004</v>
      </c>
      <c r="J2609" s="82">
        <v>477</v>
      </c>
      <c r="K2609" s="83">
        <v>60</v>
      </c>
      <c r="L2609" s="24"/>
      <c r="M2609" s="24"/>
      <c r="N2609" s="24"/>
      <c r="O2609" s="24"/>
      <c r="R2609" s="4">
        <v>4.4000000000000004</v>
      </c>
    </row>
    <row r="2610" spans="1:18" ht="15" customHeight="1" x14ac:dyDescent="0.35">
      <c r="B2610" s="100"/>
      <c r="C2610" s="208"/>
      <c r="D2610" s="209"/>
      <c r="E2610" s="99"/>
      <c r="F2610" s="236"/>
      <c r="G2610" s="99"/>
      <c r="H2610" s="209"/>
      <c r="I2610" s="99"/>
      <c r="J2610" s="69"/>
      <c r="K2610" s="81"/>
      <c r="L2610" s="21"/>
      <c r="M2610" s="21"/>
      <c r="N2610" s="21"/>
      <c r="O2610" s="21"/>
    </row>
    <row r="2611" spans="1:18" ht="15" customHeight="1" x14ac:dyDescent="0.35">
      <c r="B2611" s="100"/>
      <c r="C2611" s="208"/>
      <c r="D2611" s="209"/>
      <c r="E2611" s="99"/>
      <c r="F2611" s="236"/>
      <c r="G2611" s="99"/>
      <c r="H2611" s="209"/>
      <c r="I2611" s="99"/>
      <c r="J2611" s="69"/>
      <c r="K2611" s="81"/>
      <c r="L2611" s="21"/>
      <c r="M2611" s="21"/>
      <c r="N2611" s="21"/>
      <c r="O2611" s="21"/>
    </row>
    <row r="2612" spans="1:18" ht="15" customHeight="1" x14ac:dyDescent="0.35">
      <c r="B2612" s="100"/>
      <c r="C2612" s="217" t="s">
        <v>3795</v>
      </c>
      <c r="D2612" s="209"/>
      <c r="E2612" s="99"/>
      <c r="F2612" s="236"/>
      <c r="G2612" s="99"/>
      <c r="H2612" s="209"/>
      <c r="I2612" s="99"/>
      <c r="J2612" s="69"/>
      <c r="K2612" s="81"/>
      <c r="L2612" s="21"/>
      <c r="M2612" s="21"/>
      <c r="N2612" s="21"/>
      <c r="O2612" s="21"/>
    </row>
    <row r="2613" spans="1:18" ht="15" customHeight="1" x14ac:dyDescent="0.35">
      <c r="B2613" s="100">
        <f>(B2609+1)</f>
        <v>2557</v>
      </c>
      <c r="C2613" s="237" t="s">
        <v>3796</v>
      </c>
      <c r="D2613" s="209" t="s">
        <v>3797</v>
      </c>
      <c r="E2613" s="99">
        <v>13</v>
      </c>
      <c r="F2613" s="215">
        <v>43580</v>
      </c>
      <c r="G2613" s="99">
        <v>5.7</v>
      </c>
      <c r="H2613" s="209">
        <v>3.03</v>
      </c>
      <c r="I2613" s="99">
        <v>5.7</v>
      </c>
      <c r="J2613" s="69">
        <v>540</v>
      </c>
      <c r="K2613" s="69">
        <v>67.5</v>
      </c>
      <c r="L2613" s="21"/>
      <c r="M2613" s="21"/>
      <c r="N2613" s="21"/>
      <c r="O2613" s="21"/>
      <c r="R2613">
        <v>5.7</v>
      </c>
    </row>
    <row r="2614" spans="1:18" ht="15" customHeight="1" x14ac:dyDescent="0.35">
      <c r="B2614" s="100">
        <f t="shared" si="46"/>
        <v>2558</v>
      </c>
      <c r="C2614" s="237" t="s">
        <v>3798</v>
      </c>
      <c r="D2614" s="209" t="s">
        <v>3799</v>
      </c>
      <c r="E2614" s="99">
        <v>15</v>
      </c>
      <c r="F2614" s="215">
        <v>43580</v>
      </c>
      <c r="G2614" s="99">
        <v>3.7</v>
      </c>
      <c r="H2614" s="209">
        <v>3.96</v>
      </c>
      <c r="I2614" s="99">
        <v>3.7</v>
      </c>
      <c r="J2614" s="69">
        <v>615</v>
      </c>
      <c r="K2614" s="69">
        <v>82.5</v>
      </c>
      <c r="L2614" s="69">
        <v>2011</v>
      </c>
      <c r="M2614" s="29">
        <f>COUNTIF(E2613:E2671,"11")</f>
        <v>1</v>
      </c>
      <c r="N2614" s="21"/>
      <c r="O2614" s="21"/>
      <c r="R2614">
        <v>3.7</v>
      </c>
    </row>
    <row r="2615" spans="1:18" ht="15" customHeight="1" x14ac:dyDescent="0.35">
      <c r="B2615" s="100">
        <f t="shared" si="46"/>
        <v>2559</v>
      </c>
      <c r="C2615" s="237" t="s">
        <v>3800</v>
      </c>
      <c r="D2615" s="209" t="s">
        <v>3801</v>
      </c>
      <c r="E2615" s="99">
        <v>14</v>
      </c>
      <c r="F2615" s="215">
        <v>43580</v>
      </c>
      <c r="G2615" s="99">
        <v>4.7</v>
      </c>
      <c r="H2615" s="209">
        <v>3.2</v>
      </c>
      <c r="I2615" s="99">
        <v>4.7</v>
      </c>
      <c r="J2615" s="69">
        <v>470</v>
      </c>
      <c r="K2615" s="69">
        <v>70</v>
      </c>
      <c r="L2615" s="69">
        <v>2013</v>
      </c>
      <c r="M2615" s="29">
        <f>COUNTIF(E2613:E2671,"13")</f>
        <v>2</v>
      </c>
      <c r="N2615" s="21"/>
      <c r="O2615" s="21"/>
      <c r="R2615">
        <v>4.7</v>
      </c>
    </row>
    <row r="2616" spans="1:18" ht="15" customHeight="1" x14ac:dyDescent="0.35">
      <c r="B2616" s="100">
        <f t="shared" si="46"/>
        <v>2560</v>
      </c>
      <c r="C2616" s="208" t="s">
        <v>3802</v>
      </c>
      <c r="D2616" s="209" t="s">
        <v>3803</v>
      </c>
      <c r="E2616" s="99">
        <v>14</v>
      </c>
      <c r="F2616" s="103">
        <v>43642</v>
      </c>
      <c r="G2616" s="99">
        <v>4.9000000000000004</v>
      </c>
      <c r="H2616" s="209">
        <v>2.84</v>
      </c>
      <c r="I2616" s="99">
        <v>4.9000000000000004</v>
      </c>
      <c r="J2616" s="69">
        <v>580</v>
      </c>
      <c r="K2616" s="69">
        <v>67.5</v>
      </c>
      <c r="L2616" s="69">
        <v>2014</v>
      </c>
      <c r="M2616" s="29">
        <f>COUNTIF(E2613:E2671,"14")</f>
        <v>7</v>
      </c>
      <c r="N2616" s="21"/>
      <c r="O2616" s="21">
        <f>SUM(G2614+SUM(G2618:G2619)+SUM(G2621:G2626)+G2628+SUM(G2630:G2635)+SUM(G2637:G2666)+G2668+SUM(G2670:G2671))</f>
        <v>190.90000000000006</v>
      </c>
      <c r="R2616">
        <v>4.9000000000000004</v>
      </c>
    </row>
    <row r="2617" spans="1:18" ht="15" customHeight="1" x14ac:dyDescent="0.35">
      <c r="B2617" s="100">
        <f t="shared" si="46"/>
        <v>2561</v>
      </c>
      <c r="C2617" s="237" t="s">
        <v>3804</v>
      </c>
      <c r="D2617" s="209" t="s">
        <v>3805</v>
      </c>
      <c r="E2617" s="99">
        <v>14</v>
      </c>
      <c r="F2617" s="215">
        <v>43677</v>
      </c>
      <c r="G2617" s="99">
        <v>4.9000000000000004</v>
      </c>
      <c r="H2617" s="209">
        <v>3.3</v>
      </c>
      <c r="I2617" s="99">
        <v>4.9000000000000004</v>
      </c>
      <c r="J2617" s="69">
        <v>510</v>
      </c>
      <c r="K2617" s="69">
        <v>72.5</v>
      </c>
      <c r="L2617" s="69">
        <v>2015</v>
      </c>
      <c r="M2617" s="29">
        <f>COUNTIF(E2613:E2671,"15")</f>
        <v>49</v>
      </c>
      <c r="N2617" s="21"/>
      <c r="O2617" s="21"/>
      <c r="R2617">
        <v>4.9000000000000004</v>
      </c>
    </row>
    <row r="2618" spans="1:18" ht="15" customHeight="1" x14ac:dyDescent="0.35">
      <c r="B2618" s="100">
        <f t="shared" si="46"/>
        <v>2562</v>
      </c>
      <c r="C2618" s="237" t="s">
        <v>3806</v>
      </c>
      <c r="D2618" s="209" t="s">
        <v>3807</v>
      </c>
      <c r="E2618" s="99">
        <v>15</v>
      </c>
      <c r="F2618" s="215">
        <v>43677</v>
      </c>
      <c r="G2618" s="99">
        <v>3.9</v>
      </c>
      <c r="H2618" s="209">
        <v>3.43</v>
      </c>
      <c r="I2618" s="99">
        <v>3.9</v>
      </c>
      <c r="J2618" s="69">
        <v>400</v>
      </c>
      <c r="K2618" s="69">
        <v>78.75</v>
      </c>
      <c r="L2618" s="21"/>
      <c r="M2618" s="21">
        <f>SUM(M2614:M2617)</f>
        <v>59</v>
      </c>
      <c r="N2618" s="21"/>
      <c r="O2618" s="21"/>
      <c r="R2618">
        <v>3.9</v>
      </c>
    </row>
    <row r="2619" spans="1:18" ht="15" customHeight="1" x14ac:dyDescent="0.35">
      <c r="B2619" s="100">
        <f t="shared" si="46"/>
        <v>2563</v>
      </c>
      <c r="C2619" s="237" t="s">
        <v>3808</v>
      </c>
      <c r="D2619" s="209" t="s">
        <v>3809</v>
      </c>
      <c r="E2619" s="99">
        <v>15</v>
      </c>
      <c r="F2619" s="215">
        <v>43677</v>
      </c>
      <c r="G2619" s="99">
        <v>3.9</v>
      </c>
      <c r="H2619" s="209">
        <v>3.31</v>
      </c>
      <c r="I2619" s="99">
        <v>3.9</v>
      </c>
      <c r="J2619" s="69">
        <v>423</v>
      </c>
      <c r="K2619" s="69">
        <v>67.5</v>
      </c>
      <c r="L2619" s="21"/>
      <c r="M2619" s="21"/>
      <c r="N2619" s="21"/>
      <c r="O2619" s="21"/>
      <c r="R2619">
        <v>3.9</v>
      </c>
    </row>
    <row r="2620" spans="1:18" ht="15" customHeight="1" x14ac:dyDescent="0.35">
      <c r="B2620" s="100">
        <f t="shared" si="46"/>
        <v>2564</v>
      </c>
      <c r="C2620" s="237" t="s">
        <v>3810</v>
      </c>
      <c r="D2620" s="209" t="s">
        <v>3811</v>
      </c>
      <c r="E2620" s="99">
        <v>14</v>
      </c>
      <c r="F2620" s="215">
        <v>43677</v>
      </c>
      <c r="G2620" s="99">
        <v>4.9000000000000004</v>
      </c>
      <c r="H2620" s="209">
        <v>2.85</v>
      </c>
      <c r="I2620" s="99">
        <v>4.9000000000000004</v>
      </c>
      <c r="J2620" s="69">
        <v>513</v>
      </c>
      <c r="K2620" s="69">
        <v>62.5</v>
      </c>
      <c r="L2620" s="29" t="s">
        <v>1798</v>
      </c>
      <c r="M2620" s="80">
        <f>SUM(G2613:G2671)/M2618</f>
        <v>4.1271186440678003</v>
      </c>
      <c r="N2620" s="21"/>
      <c r="O2620" s="21"/>
      <c r="R2620">
        <v>4.9000000000000004</v>
      </c>
    </row>
    <row r="2621" spans="1:18" ht="15" customHeight="1" x14ac:dyDescent="0.35">
      <c r="B2621" s="100">
        <f t="shared" si="46"/>
        <v>2565</v>
      </c>
      <c r="C2621" s="237" t="s">
        <v>3812</v>
      </c>
      <c r="D2621" s="209" t="s">
        <v>3813</v>
      </c>
      <c r="E2621" s="99">
        <v>15</v>
      </c>
      <c r="F2621" s="215">
        <v>43677</v>
      </c>
      <c r="G2621" s="99">
        <v>3.9</v>
      </c>
      <c r="H2621" s="209">
        <v>3.32</v>
      </c>
      <c r="I2621" s="99">
        <v>3.9</v>
      </c>
      <c r="J2621" s="69">
        <v>477</v>
      </c>
      <c r="K2621" s="69">
        <v>77.5</v>
      </c>
      <c r="L2621" s="21"/>
      <c r="M2621" s="21"/>
      <c r="N2621" s="21"/>
      <c r="O2621" s="21"/>
      <c r="R2621">
        <v>3.9</v>
      </c>
    </row>
    <row r="2622" spans="1:18" ht="15" customHeight="1" x14ac:dyDescent="0.35">
      <c r="B2622" s="100">
        <f t="shared" si="46"/>
        <v>2566</v>
      </c>
      <c r="C2622" s="208" t="s">
        <v>3814</v>
      </c>
      <c r="D2622" s="209" t="s">
        <v>3815</v>
      </c>
      <c r="E2622" s="99">
        <v>15</v>
      </c>
      <c r="F2622" s="210">
        <v>43670</v>
      </c>
      <c r="G2622" s="99">
        <v>3.9</v>
      </c>
      <c r="H2622" s="209">
        <v>3.29</v>
      </c>
      <c r="I2622" s="99">
        <v>3.9</v>
      </c>
      <c r="J2622" s="68">
        <v>493</v>
      </c>
      <c r="K2622" s="69">
        <v>80</v>
      </c>
      <c r="L2622" s="21"/>
      <c r="M2622" s="21"/>
      <c r="N2622" s="21"/>
      <c r="O2622" s="21"/>
      <c r="R2622">
        <v>3.9</v>
      </c>
    </row>
    <row r="2623" spans="1:18" ht="15" customHeight="1" x14ac:dyDescent="0.35">
      <c r="B2623" s="100">
        <f t="shared" si="46"/>
        <v>2567</v>
      </c>
      <c r="C2623" s="208" t="s">
        <v>3816</v>
      </c>
      <c r="D2623" s="209" t="s">
        <v>3817</v>
      </c>
      <c r="E2623" s="99">
        <v>15</v>
      </c>
      <c r="F2623" s="210">
        <v>43670</v>
      </c>
      <c r="G2623" s="99">
        <v>3.9</v>
      </c>
      <c r="H2623" s="209">
        <v>3.66</v>
      </c>
      <c r="I2623" s="99">
        <v>3.9</v>
      </c>
      <c r="J2623" s="68">
        <v>470</v>
      </c>
      <c r="K2623" s="69">
        <v>80</v>
      </c>
      <c r="L2623" s="21"/>
      <c r="M2623" s="21"/>
      <c r="N2623" s="21"/>
      <c r="O2623" s="21"/>
      <c r="R2623">
        <v>3.9</v>
      </c>
    </row>
    <row r="2624" spans="1:18" ht="15" customHeight="1" x14ac:dyDescent="0.35">
      <c r="B2624" s="100">
        <f t="shared" si="46"/>
        <v>2568</v>
      </c>
      <c r="C2624" s="208" t="s">
        <v>3818</v>
      </c>
      <c r="D2624" s="209" t="s">
        <v>3819</v>
      </c>
      <c r="E2624" s="99">
        <v>15</v>
      </c>
      <c r="F2624" s="210">
        <v>43670</v>
      </c>
      <c r="G2624" s="99">
        <v>3.9</v>
      </c>
      <c r="H2624" s="209">
        <v>3.19</v>
      </c>
      <c r="I2624" s="99">
        <v>3.9</v>
      </c>
      <c r="J2624" s="68">
        <v>503</v>
      </c>
      <c r="K2624" s="69">
        <v>71.25</v>
      </c>
      <c r="L2624" s="21"/>
      <c r="M2624" s="21"/>
      <c r="N2624" s="21"/>
      <c r="O2624" s="21"/>
      <c r="R2624">
        <v>3.9</v>
      </c>
    </row>
    <row r="2625" spans="2:18" ht="15" customHeight="1" x14ac:dyDescent="0.35">
      <c r="B2625" s="100">
        <f t="shared" si="46"/>
        <v>2569</v>
      </c>
      <c r="C2625" s="208" t="s">
        <v>3820</v>
      </c>
      <c r="D2625" s="209" t="s">
        <v>3821</v>
      </c>
      <c r="E2625" s="99">
        <v>15</v>
      </c>
      <c r="F2625" s="210">
        <v>43670</v>
      </c>
      <c r="G2625" s="99">
        <v>3.9</v>
      </c>
      <c r="H2625" s="209">
        <v>3.11</v>
      </c>
      <c r="I2625" s="99">
        <v>3.9</v>
      </c>
      <c r="J2625" s="68">
        <v>440</v>
      </c>
      <c r="K2625" s="69">
        <v>71.25</v>
      </c>
      <c r="L2625" s="21"/>
      <c r="M2625" s="21"/>
      <c r="N2625" s="21"/>
      <c r="O2625" s="21"/>
      <c r="R2625">
        <v>3.9</v>
      </c>
    </row>
    <row r="2626" spans="2:18" ht="15" customHeight="1" x14ac:dyDescent="0.35">
      <c r="B2626" s="100">
        <f t="shared" si="46"/>
        <v>2570</v>
      </c>
      <c r="C2626" s="208" t="s">
        <v>3822</v>
      </c>
      <c r="D2626" s="209" t="s">
        <v>3823</v>
      </c>
      <c r="E2626" s="99">
        <v>15</v>
      </c>
      <c r="F2626" s="210">
        <v>43670</v>
      </c>
      <c r="G2626" s="99">
        <v>3.9</v>
      </c>
      <c r="H2626" s="209">
        <v>3.45</v>
      </c>
      <c r="I2626" s="99">
        <v>3.9</v>
      </c>
      <c r="J2626" s="68">
        <v>463</v>
      </c>
      <c r="K2626" s="69">
        <v>80</v>
      </c>
      <c r="L2626" s="21"/>
      <c r="M2626" s="21"/>
      <c r="N2626" s="21"/>
      <c r="O2626" s="21"/>
      <c r="R2626">
        <v>3.9</v>
      </c>
    </row>
    <row r="2627" spans="2:18" ht="15" customHeight="1" x14ac:dyDescent="0.35">
      <c r="B2627" s="100">
        <f t="shared" si="46"/>
        <v>2571</v>
      </c>
      <c r="C2627" s="208" t="s">
        <v>3824</v>
      </c>
      <c r="D2627" s="209" t="s">
        <v>3825</v>
      </c>
      <c r="E2627" s="99">
        <v>14</v>
      </c>
      <c r="F2627" s="210">
        <v>43670</v>
      </c>
      <c r="G2627" s="99">
        <v>4.9000000000000004</v>
      </c>
      <c r="H2627" s="209">
        <v>3.26</v>
      </c>
      <c r="I2627" s="99">
        <v>4.9000000000000004</v>
      </c>
      <c r="J2627" s="68">
        <v>473</v>
      </c>
      <c r="K2627" s="69">
        <v>73.8</v>
      </c>
      <c r="L2627" s="21"/>
      <c r="M2627" s="21"/>
      <c r="N2627" s="21"/>
      <c r="O2627" s="21"/>
      <c r="R2627">
        <v>4.9000000000000004</v>
      </c>
    </row>
    <row r="2628" spans="2:18" ht="15" customHeight="1" x14ac:dyDescent="0.35">
      <c r="B2628" s="100">
        <f t="shared" si="46"/>
        <v>2572</v>
      </c>
      <c r="C2628" s="208" t="s">
        <v>3826</v>
      </c>
      <c r="D2628" s="209" t="s">
        <v>3827</v>
      </c>
      <c r="E2628" s="99">
        <v>15</v>
      </c>
      <c r="F2628" s="210">
        <v>43670</v>
      </c>
      <c r="G2628" s="99">
        <v>3.9</v>
      </c>
      <c r="H2628" s="209">
        <v>3.54</v>
      </c>
      <c r="I2628" s="99">
        <v>3.9</v>
      </c>
      <c r="J2628" s="68">
        <v>530</v>
      </c>
      <c r="K2628" s="69">
        <v>77.5</v>
      </c>
      <c r="L2628" s="21"/>
      <c r="M2628" s="21"/>
      <c r="N2628" s="21"/>
      <c r="O2628" s="21"/>
      <c r="R2628">
        <v>3.9</v>
      </c>
    </row>
    <row r="2629" spans="2:18" ht="15" customHeight="1" x14ac:dyDescent="0.35">
      <c r="B2629" s="100">
        <f t="shared" si="46"/>
        <v>2573</v>
      </c>
      <c r="C2629" s="208" t="s">
        <v>3828</v>
      </c>
      <c r="D2629" s="209" t="s">
        <v>3829</v>
      </c>
      <c r="E2629" s="209">
        <v>13</v>
      </c>
      <c r="F2629" s="210">
        <v>43670</v>
      </c>
      <c r="G2629" s="99">
        <v>5.9</v>
      </c>
      <c r="H2629" s="209">
        <v>3.06</v>
      </c>
      <c r="I2629" s="99">
        <v>5.9</v>
      </c>
      <c r="J2629" s="68">
        <v>427</v>
      </c>
      <c r="K2629" s="69">
        <v>66.3</v>
      </c>
      <c r="L2629" s="21"/>
      <c r="M2629" s="21"/>
      <c r="N2629" s="21"/>
      <c r="O2629" s="21"/>
      <c r="R2629">
        <v>5.9</v>
      </c>
    </row>
    <row r="2630" spans="2:18" ht="15" customHeight="1" x14ac:dyDescent="0.35">
      <c r="B2630" s="100">
        <f t="shared" si="46"/>
        <v>2574</v>
      </c>
      <c r="C2630" s="208" t="s">
        <v>3830</v>
      </c>
      <c r="D2630" s="209" t="s">
        <v>3831</v>
      </c>
      <c r="E2630" s="99">
        <v>15</v>
      </c>
      <c r="F2630" s="210">
        <v>43670</v>
      </c>
      <c r="G2630" s="99">
        <v>3.9</v>
      </c>
      <c r="H2630" s="209">
        <v>3.58</v>
      </c>
      <c r="I2630" s="99">
        <v>3.9</v>
      </c>
      <c r="J2630" s="68">
        <v>500</v>
      </c>
      <c r="K2630" s="69">
        <v>77.5</v>
      </c>
      <c r="L2630" s="21"/>
      <c r="M2630" s="21"/>
      <c r="N2630" s="21"/>
      <c r="O2630" s="21"/>
      <c r="R2630">
        <v>3.9</v>
      </c>
    </row>
    <row r="2631" spans="2:18" ht="15" customHeight="1" x14ac:dyDescent="0.35">
      <c r="B2631" s="100">
        <f t="shared" si="46"/>
        <v>2575</v>
      </c>
      <c r="C2631" s="208" t="s">
        <v>3832</v>
      </c>
      <c r="D2631" s="209" t="s">
        <v>3833</v>
      </c>
      <c r="E2631" s="99">
        <v>15</v>
      </c>
      <c r="F2631" s="210">
        <v>43670</v>
      </c>
      <c r="G2631" s="99">
        <v>3.9</v>
      </c>
      <c r="H2631" s="209">
        <v>3.43</v>
      </c>
      <c r="I2631" s="99">
        <v>3.9</v>
      </c>
      <c r="J2631" s="68">
        <v>483</v>
      </c>
      <c r="K2631" s="69">
        <v>80</v>
      </c>
      <c r="L2631" s="21"/>
      <c r="M2631" s="21"/>
      <c r="N2631" s="21"/>
      <c r="O2631" s="21"/>
      <c r="R2631">
        <v>3.9</v>
      </c>
    </row>
    <row r="2632" spans="2:18" ht="15" customHeight="1" x14ac:dyDescent="0.35">
      <c r="B2632" s="100">
        <f t="shared" si="46"/>
        <v>2576</v>
      </c>
      <c r="C2632" s="208" t="s">
        <v>3834</v>
      </c>
      <c r="D2632" s="209" t="s">
        <v>3835</v>
      </c>
      <c r="E2632" s="99">
        <v>15</v>
      </c>
      <c r="F2632" s="210">
        <v>43670</v>
      </c>
      <c r="G2632" s="99">
        <v>3.9</v>
      </c>
      <c r="H2632" s="209">
        <v>3.42</v>
      </c>
      <c r="I2632" s="99">
        <v>3.9</v>
      </c>
      <c r="J2632" s="68">
        <v>490</v>
      </c>
      <c r="K2632" s="69">
        <v>73.75</v>
      </c>
      <c r="L2632" s="21"/>
      <c r="M2632" s="21"/>
      <c r="N2632" s="21"/>
      <c r="O2632" s="21"/>
      <c r="R2632">
        <v>3.9</v>
      </c>
    </row>
    <row r="2633" spans="2:18" ht="15" customHeight="1" x14ac:dyDescent="0.35">
      <c r="B2633" s="100">
        <f t="shared" si="46"/>
        <v>2577</v>
      </c>
      <c r="C2633" s="208" t="s">
        <v>3836</v>
      </c>
      <c r="D2633" s="209" t="s">
        <v>3837</v>
      </c>
      <c r="E2633" s="99">
        <v>15</v>
      </c>
      <c r="F2633" s="210">
        <v>43670</v>
      </c>
      <c r="G2633" s="99">
        <v>3.9</v>
      </c>
      <c r="H2633" s="209">
        <v>3.9</v>
      </c>
      <c r="I2633" s="99">
        <v>3.9</v>
      </c>
      <c r="J2633" s="68">
        <v>527</v>
      </c>
      <c r="K2633" s="69">
        <v>75</v>
      </c>
      <c r="L2633" s="21"/>
      <c r="M2633" s="21"/>
      <c r="N2633" s="21"/>
      <c r="O2633" s="21"/>
      <c r="R2633">
        <v>3.9</v>
      </c>
    </row>
    <row r="2634" spans="2:18" ht="15" customHeight="1" x14ac:dyDescent="0.35">
      <c r="B2634" s="100">
        <f t="shared" si="46"/>
        <v>2578</v>
      </c>
      <c r="C2634" s="208" t="s">
        <v>3838</v>
      </c>
      <c r="D2634" s="209" t="s">
        <v>3839</v>
      </c>
      <c r="E2634" s="99">
        <v>15</v>
      </c>
      <c r="F2634" s="210">
        <v>43670</v>
      </c>
      <c r="G2634" s="99">
        <v>3.9</v>
      </c>
      <c r="H2634" s="209">
        <v>3.85</v>
      </c>
      <c r="I2634" s="99">
        <v>3.9</v>
      </c>
      <c r="J2634" s="68">
        <v>473</v>
      </c>
      <c r="K2634" s="69">
        <v>82.5</v>
      </c>
      <c r="L2634" s="21"/>
      <c r="M2634" s="21"/>
      <c r="N2634" s="21"/>
      <c r="O2634" s="21"/>
      <c r="R2634">
        <v>3.9</v>
      </c>
    </row>
    <row r="2635" spans="2:18" ht="15" customHeight="1" x14ac:dyDescent="0.35">
      <c r="B2635" s="100">
        <f t="shared" si="46"/>
        <v>2579</v>
      </c>
      <c r="C2635" s="208" t="s">
        <v>3840</v>
      </c>
      <c r="D2635" s="209" t="s">
        <v>3841</v>
      </c>
      <c r="E2635" s="99">
        <v>15</v>
      </c>
      <c r="F2635" s="210">
        <v>43670</v>
      </c>
      <c r="G2635" s="99">
        <v>3.9</v>
      </c>
      <c r="H2635" s="209">
        <v>3.32</v>
      </c>
      <c r="I2635" s="99">
        <v>3.9</v>
      </c>
      <c r="J2635" s="68">
        <v>447</v>
      </c>
      <c r="K2635" s="69">
        <v>78.75</v>
      </c>
      <c r="L2635" s="21"/>
      <c r="M2635" s="21"/>
      <c r="N2635" s="21"/>
      <c r="O2635" s="21"/>
      <c r="R2635">
        <v>3.9</v>
      </c>
    </row>
    <row r="2636" spans="2:18" ht="15" customHeight="1" x14ac:dyDescent="0.35">
      <c r="B2636" s="100">
        <f t="shared" si="46"/>
        <v>2580</v>
      </c>
      <c r="C2636" s="208" t="s">
        <v>3842</v>
      </c>
      <c r="D2636" s="209" t="s">
        <v>3843</v>
      </c>
      <c r="E2636" s="209">
        <v>14</v>
      </c>
      <c r="F2636" s="210">
        <v>43670</v>
      </c>
      <c r="G2636" s="99">
        <v>4.9000000000000004</v>
      </c>
      <c r="H2636" s="209">
        <v>3.32</v>
      </c>
      <c r="I2636" s="99">
        <v>4.9000000000000004</v>
      </c>
      <c r="J2636" s="68">
        <v>530</v>
      </c>
      <c r="K2636" s="69">
        <v>71.3</v>
      </c>
      <c r="L2636" s="21"/>
      <c r="M2636" s="21"/>
      <c r="N2636" s="21"/>
      <c r="O2636" s="21"/>
      <c r="R2636">
        <v>4.9000000000000004</v>
      </c>
    </row>
    <row r="2637" spans="2:18" ht="15" customHeight="1" x14ac:dyDescent="0.35">
      <c r="B2637" s="100">
        <f t="shared" si="46"/>
        <v>2581</v>
      </c>
      <c r="C2637" s="208" t="s">
        <v>3844</v>
      </c>
      <c r="D2637" s="209" t="s">
        <v>3845</v>
      </c>
      <c r="E2637" s="99">
        <v>15</v>
      </c>
      <c r="F2637" s="210">
        <v>43670</v>
      </c>
      <c r="G2637" s="99">
        <v>3.9</v>
      </c>
      <c r="H2637" s="209">
        <v>3.57</v>
      </c>
      <c r="I2637" s="99">
        <v>3.9</v>
      </c>
      <c r="J2637" s="68">
        <v>423</v>
      </c>
      <c r="K2637" s="69">
        <v>80</v>
      </c>
      <c r="L2637" s="21"/>
      <c r="M2637" s="21"/>
      <c r="N2637" s="21"/>
      <c r="O2637" s="21"/>
      <c r="R2637">
        <v>3.9</v>
      </c>
    </row>
    <row r="2638" spans="2:18" ht="15" customHeight="1" x14ac:dyDescent="0.35">
      <c r="B2638" s="100">
        <f t="shared" ref="B2638:B2671" si="47">(B2637+1)</f>
        <v>2582</v>
      </c>
      <c r="C2638" s="208" t="s">
        <v>3846</v>
      </c>
      <c r="D2638" s="209" t="s">
        <v>3847</v>
      </c>
      <c r="E2638" s="99">
        <v>15</v>
      </c>
      <c r="F2638" s="210">
        <v>43670</v>
      </c>
      <c r="G2638" s="99">
        <v>3.9</v>
      </c>
      <c r="H2638" s="209">
        <v>3.43</v>
      </c>
      <c r="I2638" s="99">
        <v>3.9</v>
      </c>
      <c r="J2638" s="68">
        <v>417</v>
      </c>
      <c r="K2638" s="69">
        <v>80</v>
      </c>
      <c r="L2638" s="21"/>
      <c r="M2638" s="21"/>
      <c r="N2638" s="21"/>
      <c r="O2638" s="21"/>
      <c r="R2638">
        <v>3.9</v>
      </c>
    </row>
    <row r="2639" spans="2:18" ht="15" customHeight="1" x14ac:dyDescent="0.35">
      <c r="B2639" s="100">
        <f t="shared" si="47"/>
        <v>2583</v>
      </c>
      <c r="C2639" s="208" t="s">
        <v>3848</v>
      </c>
      <c r="D2639" s="209" t="s">
        <v>3849</v>
      </c>
      <c r="E2639" s="99">
        <v>15</v>
      </c>
      <c r="F2639" s="210">
        <v>43670</v>
      </c>
      <c r="G2639" s="99">
        <v>3.9</v>
      </c>
      <c r="H2639" s="209">
        <v>3.61</v>
      </c>
      <c r="I2639" s="99">
        <v>3.9</v>
      </c>
      <c r="J2639" s="68">
        <v>530</v>
      </c>
      <c r="K2639" s="69">
        <v>77.5</v>
      </c>
      <c r="L2639" s="21"/>
      <c r="M2639" s="21"/>
      <c r="N2639" s="21"/>
      <c r="O2639" s="21"/>
      <c r="R2639">
        <v>3.9</v>
      </c>
    </row>
    <row r="2640" spans="2:18" ht="15" customHeight="1" x14ac:dyDescent="0.35">
      <c r="B2640" s="100">
        <f t="shared" si="47"/>
        <v>2584</v>
      </c>
      <c r="C2640" s="208" t="s">
        <v>3850</v>
      </c>
      <c r="D2640" s="209" t="s">
        <v>3851</v>
      </c>
      <c r="E2640" s="99">
        <v>15</v>
      </c>
      <c r="F2640" s="210">
        <v>43670</v>
      </c>
      <c r="G2640" s="99">
        <v>3.9</v>
      </c>
      <c r="H2640" s="209">
        <v>3.58</v>
      </c>
      <c r="I2640" s="99">
        <v>3.9</v>
      </c>
      <c r="J2640" s="68">
        <v>480</v>
      </c>
      <c r="K2640" s="69">
        <v>73.75</v>
      </c>
      <c r="L2640" s="21"/>
      <c r="M2640" s="21"/>
      <c r="N2640" s="21"/>
      <c r="O2640" s="21"/>
      <c r="R2640">
        <v>3.9</v>
      </c>
    </row>
    <row r="2641" spans="2:18" ht="15" customHeight="1" x14ac:dyDescent="0.35">
      <c r="B2641" s="100">
        <f t="shared" si="47"/>
        <v>2585</v>
      </c>
      <c r="C2641" s="208" t="s">
        <v>3852</v>
      </c>
      <c r="D2641" s="209" t="s">
        <v>3853</v>
      </c>
      <c r="E2641" s="99">
        <v>15</v>
      </c>
      <c r="F2641" s="210">
        <v>43670</v>
      </c>
      <c r="G2641" s="99">
        <v>3.9</v>
      </c>
      <c r="H2641" s="209">
        <v>3.36</v>
      </c>
      <c r="I2641" s="99">
        <v>3.9</v>
      </c>
      <c r="J2641" s="68">
        <v>420</v>
      </c>
      <c r="K2641" s="69">
        <v>82.5</v>
      </c>
      <c r="L2641" s="21"/>
      <c r="M2641" s="21"/>
      <c r="N2641" s="21"/>
      <c r="O2641" s="21"/>
      <c r="R2641">
        <v>3.9</v>
      </c>
    </row>
    <row r="2642" spans="2:18" ht="15" customHeight="1" x14ac:dyDescent="0.35">
      <c r="B2642" s="100">
        <f t="shared" si="47"/>
        <v>2586</v>
      </c>
      <c r="C2642" s="208" t="s">
        <v>3854</v>
      </c>
      <c r="D2642" s="209" t="s">
        <v>3855</v>
      </c>
      <c r="E2642" s="99">
        <v>15</v>
      </c>
      <c r="F2642" s="210">
        <v>43670</v>
      </c>
      <c r="G2642" s="99">
        <v>3.9</v>
      </c>
      <c r="H2642" s="209">
        <v>3.59</v>
      </c>
      <c r="I2642" s="99">
        <v>3.9</v>
      </c>
      <c r="J2642" s="68">
        <v>450</v>
      </c>
      <c r="K2642" s="69">
        <v>75</v>
      </c>
      <c r="L2642" s="21"/>
      <c r="M2642" s="21"/>
      <c r="N2642" s="21"/>
      <c r="O2642" s="21"/>
      <c r="R2642">
        <v>3.9</v>
      </c>
    </row>
    <row r="2643" spans="2:18" ht="15" customHeight="1" x14ac:dyDescent="0.35">
      <c r="B2643" s="100">
        <f t="shared" si="47"/>
        <v>2587</v>
      </c>
      <c r="C2643" s="208" t="s">
        <v>3856</v>
      </c>
      <c r="D2643" s="209" t="s">
        <v>3857</v>
      </c>
      <c r="E2643" s="99">
        <v>15</v>
      </c>
      <c r="F2643" s="210">
        <v>43670</v>
      </c>
      <c r="G2643" s="99">
        <v>3.9</v>
      </c>
      <c r="H2643" s="209">
        <v>3.6</v>
      </c>
      <c r="I2643" s="99">
        <v>3.9</v>
      </c>
      <c r="J2643" s="68">
        <v>517</v>
      </c>
      <c r="K2643" s="69">
        <v>67.5</v>
      </c>
      <c r="L2643" s="21"/>
      <c r="M2643" s="21"/>
      <c r="N2643" s="21"/>
      <c r="O2643" s="21"/>
      <c r="R2643">
        <v>3.9</v>
      </c>
    </row>
    <row r="2644" spans="2:18" ht="15" customHeight="1" x14ac:dyDescent="0.35">
      <c r="B2644" s="100">
        <f t="shared" si="47"/>
        <v>2588</v>
      </c>
      <c r="C2644" s="208" t="s">
        <v>3858</v>
      </c>
      <c r="D2644" s="209" t="s">
        <v>3859</v>
      </c>
      <c r="E2644" s="99">
        <v>15</v>
      </c>
      <c r="F2644" s="210">
        <v>43670</v>
      </c>
      <c r="G2644" s="99">
        <v>3.9</v>
      </c>
      <c r="H2644" s="209">
        <v>3.46</v>
      </c>
      <c r="I2644" s="99">
        <v>3.9</v>
      </c>
      <c r="J2644" s="68">
        <v>437</v>
      </c>
      <c r="K2644" s="69">
        <v>77.5</v>
      </c>
      <c r="L2644" s="21"/>
      <c r="M2644" s="21"/>
      <c r="N2644" s="21"/>
      <c r="O2644" s="21"/>
      <c r="R2644">
        <v>3.9</v>
      </c>
    </row>
    <row r="2645" spans="2:18" ht="15" customHeight="1" x14ac:dyDescent="0.35">
      <c r="B2645" s="100">
        <f t="shared" si="47"/>
        <v>2589</v>
      </c>
      <c r="C2645" s="208" t="s">
        <v>3860</v>
      </c>
      <c r="D2645" s="209" t="s">
        <v>3861</v>
      </c>
      <c r="E2645" s="99">
        <v>15</v>
      </c>
      <c r="F2645" s="210">
        <v>43670</v>
      </c>
      <c r="G2645" s="99">
        <v>3.9</v>
      </c>
      <c r="H2645" s="209">
        <v>3.49</v>
      </c>
      <c r="I2645" s="99">
        <v>3.9</v>
      </c>
      <c r="J2645" s="68">
        <v>447</v>
      </c>
      <c r="K2645" s="69">
        <v>75</v>
      </c>
      <c r="L2645" s="21"/>
      <c r="M2645" s="21"/>
      <c r="N2645" s="21"/>
      <c r="O2645" s="21"/>
      <c r="R2645">
        <v>3.9</v>
      </c>
    </row>
    <row r="2646" spans="2:18" ht="15" customHeight="1" x14ac:dyDescent="0.35">
      <c r="B2646" s="100">
        <f t="shared" si="47"/>
        <v>2590</v>
      </c>
      <c r="C2646" s="208" t="s">
        <v>3862</v>
      </c>
      <c r="D2646" s="209" t="s">
        <v>3863</v>
      </c>
      <c r="E2646" s="99">
        <v>15</v>
      </c>
      <c r="F2646" s="210">
        <v>43670</v>
      </c>
      <c r="G2646" s="99">
        <v>3.9</v>
      </c>
      <c r="H2646" s="209">
        <v>3.52</v>
      </c>
      <c r="I2646" s="99">
        <v>3.9</v>
      </c>
      <c r="J2646" s="68">
        <v>410</v>
      </c>
      <c r="K2646" s="69">
        <v>72.5</v>
      </c>
      <c r="L2646" s="21"/>
      <c r="M2646" s="21"/>
      <c r="N2646" s="21"/>
      <c r="O2646" s="21"/>
      <c r="R2646">
        <v>3.9</v>
      </c>
    </row>
    <row r="2647" spans="2:18" ht="15" customHeight="1" x14ac:dyDescent="0.35">
      <c r="B2647" s="100">
        <f t="shared" si="47"/>
        <v>2591</v>
      </c>
      <c r="C2647" s="208" t="s">
        <v>3864</v>
      </c>
      <c r="D2647" s="209" t="s">
        <v>3865</v>
      </c>
      <c r="E2647" s="99">
        <v>15</v>
      </c>
      <c r="F2647" s="210">
        <v>43670</v>
      </c>
      <c r="G2647" s="99">
        <v>3.9</v>
      </c>
      <c r="H2647" s="209">
        <v>3.02</v>
      </c>
      <c r="I2647" s="99">
        <v>3.9</v>
      </c>
      <c r="J2647" s="68">
        <v>450</v>
      </c>
      <c r="K2647" s="69">
        <v>71.25</v>
      </c>
      <c r="L2647" s="21"/>
      <c r="M2647" s="21"/>
      <c r="N2647" s="21"/>
      <c r="O2647" s="21"/>
      <c r="R2647">
        <v>3.9</v>
      </c>
    </row>
    <row r="2648" spans="2:18" ht="15" customHeight="1" x14ac:dyDescent="0.35">
      <c r="B2648" s="100">
        <f t="shared" si="47"/>
        <v>2592</v>
      </c>
      <c r="C2648" s="208" t="s">
        <v>3866</v>
      </c>
      <c r="D2648" s="209" t="s">
        <v>3867</v>
      </c>
      <c r="E2648" s="99">
        <v>15</v>
      </c>
      <c r="F2648" s="210">
        <v>43670</v>
      </c>
      <c r="G2648" s="99">
        <v>3.9</v>
      </c>
      <c r="H2648" s="209">
        <v>3.52</v>
      </c>
      <c r="I2648" s="99">
        <v>3.9</v>
      </c>
      <c r="J2648" s="68">
        <v>420</v>
      </c>
      <c r="K2648" s="69">
        <v>73.5</v>
      </c>
      <c r="L2648" s="21"/>
      <c r="M2648" s="21"/>
      <c r="N2648" s="21"/>
      <c r="O2648" s="21"/>
      <c r="R2648">
        <v>3.9</v>
      </c>
    </row>
    <row r="2649" spans="2:18" ht="15" customHeight="1" x14ac:dyDescent="0.35">
      <c r="B2649" s="100">
        <f t="shared" si="47"/>
        <v>2593</v>
      </c>
      <c r="C2649" s="208" t="s">
        <v>3868</v>
      </c>
      <c r="D2649" s="209" t="s">
        <v>3869</v>
      </c>
      <c r="E2649" s="99">
        <v>15</v>
      </c>
      <c r="F2649" s="210">
        <v>43670</v>
      </c>
      <c r="G2649" s="99">
        <v>3.9</v>
      </c>
      <c r="H2649" s="209">
        <v>3.22</v>
      </c>
      <c r="I2649" s="99">
        <v>3.9</v>
      </c>
      <c r="J2649" s="68">
        <v>450</v>
      </c>
      <c r="K2649" s="69">
        <v>76.25</v>
      </c>
      <c r="L2649" s="21"/>
      <c r="M2649" s="21"/>
      <c r="N2649" s="21"/>
      <c r="O2649" s="21"/>
      <c r="R2649">
        <v>3.9</v>
      </c>
    </row>
    <row r="2650" spans="2:18" ht="15" customHeight="1" x14ac:dyDescent="0.35">
      <c r="B2650" s="100">
        <f t="shared" si="47"/>
        <v>2594</v>
      </c>
      <c r="C2650" s="208" t="s">
        <v>3870</v>
      </c>
      <c r="D2650" s="209" t="s">
        <v>3871</v>
      </c>
      <c r="E2650" s="99">
        <v>15</v>
      </c>
      <c r="F2650" s="210">
        <v>43670</v>
      </c>
      <c r="G2650" s="99">
        <v>3.9</v>
      </c>
      <c r="H2650" s="209">
        <v>3.79</v>
      </c>
      <c r="I2650" s="99">
        <v>3.9</v>
      </c>
      <c r="J2650" s="68">
        <v>447</v>
      </c>
      <c r="K2650" s="69">
        <v>85</v>
      </c>
      <c r="L2650" s="21"/>
      <c r="M2650" s="21"/>
      <c r="N2650" s="21"/>
      <c r="O2650" s="21"/>
      <c r="R2650">
        <v>3.9</v>
      </c>
    </row>
    <row r="2651" spans="2:18" ht="15" customHeight="1" x14ac:dyDescent="0.35">
      <c r="B2651" s="100">
        <f t="shared" si="47"/>
        <v>2595</v>
      </c>
      <c r="C2651" s="208" t="s">
        <v>3872</v>
      </c>
      <c r="D2651" s="209" t="s">
        <v>3873</v>
      </c>
      <c r="E2651" s="99">
        <v>15</v>
      </c>
      <c r="F2651" s="210">
        <v>43670</v>
      </c>
      <c r="G2651" s="99">
        <v>3.9</v>
      </c>
      <c r="H2651" s="209">
        <v>3.52</v>
      </c>
      <c r="I2651" s="99">
        <v>3.9</v>
      </c>
      <c r="J2651" s="68" t="s">
        <v>3874</v>
      </c>
      <c r="K2651" s="69">
        <v>72.5</v>
      </c>
      <c r="L2651" s="21"/>
      <c r="M2651" s="21"/>
      <c r="N2651" s="21"/>
      <c r="O2651" s="21"/>
      <c r="R2651">
        <v>3.9</v>
      </c>
    </row>
    <row r="2652" spans="2:18" ht="15" customHeight="1" x14ac:dyDescent="0.35">
      <c r="B2652" s="100">
        <f t="shared" si="47"/>
        <v>2596</v>
      </c>
      <c r="C2652" s="208" t="s">
        <v>3875</v>
      </c>
      <c r="D2652" s="209" t="s">
        <v>3876</v>
      </c>
      <c r="E2652" s="99">
        <v>15</v>
      </c>
      <c r="F2652" s="210">
        <v>43670</v>
      </c>
      <c r="G2652" s="99">
        <v>3.9</v>
      </c>
      <c r="H2652" s="209">
        <v>3.53</v>
      </c>
      <c r="I2652" s="99">
        <v>3.9</v>
      </c>
      <c r="J2652" s="68">
        <v>487</v>
      </c>
      <c r="K2652" s="69">
        <v>80</v>
      </c>
      <c r="L2652" s="21"/>
      <c r="M2652" s="21"/>
      <c r="N2652" s="21"/>
      <c r="O2652" s="21"/>
      <c r="R2652">
        <v>3.9</v>
      </c>
    </row>
    <row r="2653" spans="2:18" ht="15" customHeight="1" x14ac:dyDescent="0.35">
      <c r="B2653" s="100">
        <f t="shared" si="47"/>
        <v>2597</v>
      </c>
      <c r="C2653" s="208" t="s">
        <v>3877</v>
      </c>
      <c r="D2653" s="209" t="s">
        <v>3878</v>
      </c>
      <c r="E2653" s="99">
        <v>15</v>
      </c>
      <c r="F2653" s="210">
        <v>43670</v>
      </c>
      <c r="G2653" s="99">
        <v>3.9</v>
      </c>
      <c r="H2653" s="209">
        <v>3.51</v>
      </c>
      <c r="I2653" s="99">
        <v>3.9</v>
      </c>
      <c r="J2653" s="68">
        <v>483</v>
      </c>
      <c r="K2653" s="69">
        <v>80</v>
      </c>
      <c r="L2653" s="21"/>
      <c r="M2653" s="21"/>
      <c r="N2653" s="21"/>
      <c r="O2653" s="21"/>
      <c r="R2653">
        <v>3.9</v>
      </c>
    </row>
    <row r="2654" spans="2:18" ht="15" customHeight="1" x14ac:dyDescent="0.35">
      <c r="B2654" s="100">
        <f t="shared" si="47"/>
        <v>2598</v>
      </c>
      <c r="C2654" s="208" t="s">
        <v>3879</v>
      </c>
      <c r="D2654" s="209" t="s">
        <v>3880</v>
      </c>
      <c r="E2654" s="99">
        <v>15</v>
      </c>
      <c r="F2654" s="210">
        <v>43670</v>
      </c>
      <c r="G2654" s="99">
        <v>3.9</v>
      </c>
      <c r="H2654" s="209">
        <v>3.44</v>
      </c>
      <c r="I2654" s="99">
        <v>3.9</v>
      </c>
      <c r="J2654" s="68">
        <v>497</v>
      </c>
      <c r="K2654" s="69">
        <v>66.25</v>
      </c>
      <c r="L2654" s="21"/>
      <c r="M2654" s="21"/>
      <c r="N2654" s="21"/>
      <c r="O2654" s="21"/>
      <c r="R2654">
        <v>3.9</v>
      </c>
    </row>
    <row r="2655" spans="2:18" ht="15" customHeight="1" x14ac:dyDescent="0.35">
      <c r="B2655" s="100">
        <f t="shared" si="47"/>
        <v>2599</v>
      </c>
      <c r="C2655" s="208" t="s">
        <v>3881</v>
      </c>
      <c r="D2655" s="209" t="s">
        <v>3882</v>
      </c>
      <c r="E2655" s="99">
        <v>15</v>
      </c>
      <c r="F2655" s="210">
        <v>43670</v>
      </c>
      <c r="G2655" s="99">
        <v>3.9</v>
      </c>
      <c r="H2655" s="209">
        <v>3.63</v>
      </c>
      <c r="I2655" s="99">
        <v>3.9</v>
      </c>
      <c r="J2655" s="68">
        <v>507</v>
      </c>
      <c r="K2655" s="69">
        <v>76.25</v>
      </c>
      <c r="L2655" s="21"/>
      <c r="M2655" s="21"/>
      <c r="N2655" s="21"/>
      <c r="O2655" s="21"/>
      <c r="R2655">
        <v>3.9</v>
      </c>
    </row>
    <row r="2656" spans="2:18" ht="15" customHeight="1" x14ac:dyDescent="0.35">
      <c r="B2656" s="100">
        <f t="shared" si="47"/>
        <v>2600</v>
      </c>
      <c r="C2656" s="208" t="s">
        <v>3883</v>
      </c>
      <c r="D2656" s="209" t="s">
        <v>3884</v>
      </c>
      <c r="E2656" s="99">
        <v>15</v>
      </c>
      <c r="F2656" s="210">
        <v>43670</v>
      </c>
      <c r="G2656" s="99">
        <v>3.9</v>
      </c>
      <c r="H2656" s="209">
        <v>3.22</v>
      </c>
      <c r="I2656" s="99">
        <v>3.9</v>
      </c>
      <c r="J2656" s="68">
        <v>510</v>
      </c>
      <c r="K2656" s="69">
        <v>76.25</v>
      </c>
      <c r="L2656" s="21"/>
      <c r="M2656" s="21"/>
      <c r="N2656" s="21"/>
      <c r="O2656" s="21"/>
      <c r="R2656">
        <v>3.9</v>
      </c>
    </row>
    <row r="2657" spans="2:18" ht="15" customHeight="1" x14ac:dyDescent="0.35">
      <c r="B2657" s="100">
        <f t="shared" si="47"/>
        <v>2601</v>
      </c>
      <c r="C2657" s="208" t="s">
        <v>3885</v>
      </c>
      <c r="D2657" s="209" t="s">
        <v>3886</v>
      </c>
      <c r="E2657" s="99">
        <v>15</v>
      </c>
      <c r="F2657" s="210">
        <v>43670</v>
      </c>
      <c r="G2657" s="99">
        <v>3.9</v>
      </c>
      <c r="H2657" s="209">
        <v>3.22</v>
      </c>
      <c r="I2657" s="99">
        <v>3.9</v>
      </c>
      <c r="J2657" s="68">
        <v>453</v>
      </c>
      <c r="K2657" s="69">
        <v>73.75</v>
      </c>
      <c r="L2657" s="21"/>
      <c r="M2657" s="21"/>
      <c r="N2657" s="21"/>
      <c r="O2657" s="21"/>
      <c r="R2657">
        <v>3.9</v>
      </c>
    </row>
    <row r="2658" spans="2:18" ht="15" customHeight="1" x14ac:dyDescent="0.35">
      <c r="B2658" s="100">
        <f t="shared" si="47"/>
        <v>2602</v>
      </c>
      <c r="C2658" s="208" t="s">
        <v>3887</v>
      </c>
      <c r="D2658" s="209" t="s">
        <v>3888</v>
      </c>
      <c r="E2658" s="99">
        <v>15</v>
      </c>
      <c r="F2658" s="210">
        <v>43670</v>
      </c>
      <c r="G2658" s="99">
        <v>3.9</v>
      </c>
      <c r="H2658" s="209">
        <v>3.53</v>
      </c>
      <c r="I2658" s="99">
        <v>3.9</v>
      </c>
      <c r="J2658" s="68">
        <v>507</v>
      </c>
      <c r="K2658" s="69">
        <v>82.5</v>
      </c>
      <c r="L2658" s="21"/>
      <c r="M2658" s="21"/>
      <c r="N2658" s="21"/>
      <c r="O2658" s="21"/>
      <c r="R2658">
        <v>3.9</v>
      </c>
    </row>
    <row r="2659" spans="2:18" ht="15" customHeight="1" x14ac:dyDescent="0.35">
      <c r="B2659" s="100">
        <f t="shared" si="47"/>
        <v>2603</v>
      </c>
      <c r="C2659" s="208" t="s">
        <v>3889</v>
      </c>
      <c r="D2659" s="209" t="s">
        <v>3890</v>
      </c>
      <c r="E2659" s="99">
        <v>15</v>
      </c>
      <c r="F2659" s="210">
        <v>43670</v>
      </c>
      <c r="G2659" s="99">
        <v>3.9</v>
      </c>
      <c r="H2659" s="209">
        <v>3.63</v>
      </c>
      <c r="I2659" s="99">
        <v>3.9</v>
      </c>
      <c r="J2659" s="68">
        <v>580</v>
      </c>
      <c r="K2659" s="69">
        <v>81.25</v>
      </c>
      <c r="L2659" s="21"/>
      <c r="M2659" s="21"/>
      <c r="N2659" s="21"/>
      <c r="O2659" s="21"/>
      <c r="R2659">
        <v>3.9</v>
      </c>
    </row>
    <row r="2660" spans="2:18" ht="15" customHeight="1" x14ac:dyDescent="0.35">
      <c r="B2660" s="100">
        <f t="shared" si="47"/>
        <v>2604</v>
      </c>
      <c r="C2660" s="208" t="s">
        <v>3891</v>
      </c>
      <c r="D2660" s="209" t="s">
        <v>3892</v>
      </c>
      <c r="E2660" s="99">
        <v>15</v>
      </c>
      <c r="F2660" s="210">
        <v>43670</v>
      </c>
      <c r="G2660" s="99">
        <v>3.9</v>
      </c>
      <c r="H2660" s="209">
        <v>3.53</v>
      </c>
      <c r="I2660" s="99">
        <v>3.9</v>
      </c>
      <c r="J2660" s="68">
        <v>547</v>
      </c>
      <c r="K2660" s="69">
        <v>67.5</v>
      </c>
      <c r="L2660" s="21"/>
      <c r="M2660" s="21"/>
      <c r="N2660" s="21"/>
      <c r="O2660" s="21"/>
      <c r="R2660">
        <v>3.9</v>
      </c>
    </row>
    <row r="2661" spans="2:18" ht="15" customHeight="1" x14ac:dyDescent="0.35">
      <c r="B2661" s="100">
        <f t="shared" si="47"/>
        <v>2605</v>
      </c>
      <c r="C2661" s="208" t="s">
        <v>3893</v>
      </c>
      <c r="D2661" s="209" t="s">
        <v>3894</v>
      </c>
      <c r="E2661" s="99">
        <v>15</v>
      </c>
      <c r="F2661" s="210">
        <v>43670</v>
      </c>
      <c r="G2661" s="99">
        <v>3.9</v>
      </c>
      <c r="H2661" s="209">
        <v>3.74</v>
      </c>
      <c r="I2661" s="99">
        <v>3.9</v>
      </c>
      <c r="J2661" s="68">
        <v>510</v>
      </c>
      <c r="K2661" s="69">
        <v>80</v>
      </c>
      <c r="L2661" s="21"/>
      <c r="M2661" s="21"/>
      <c r="N2661" s="21"/>
      <c r="O2661" s="21"/>
      <c r="R2661">
        <v>3.9</v>
      </c>
    </row>
    <row r="2662" spans="2:18" ht="15" customHeight="1" x14ac:dyDescent="0.35">
      <c r="B2662" s="100">
        <f t="shared" si="47"/>
        <v>2606</v>
      </c>
      <c r="C2662" s="208" t="s">
        <v>3895</v>
      </c>
      <c r="D2662" s="209" t="s">
        <v>3896</v>
      </c>
      <c r="E2662" s="99">
        <v>15</v>
      </c>
      <c r="F2662" s="210">
        <v>43670</v>
      </c>
      <c r="G2662" s="99">
        <v>3.9</v>
      </c>
      <c r="H2662" s="209">
        <v>3.8</v>
      </c>
      <c r="I2662" s="99">
        <v>3.9</v>
      </c>
      <c r="J2662" s="68">
        <v>453</v>
      </c>
      <c r="K2662" s="69">
        <v>82.5</v>
      </c>
      <c r="L2662" s="21"/>
      <c r="M2662" s="21"/>
      <c r="N2662" s="21"/>
      <c r="O2662" s="21"/>
      <c r="R2662">
        <v>3.9</v>
      </c>
    </row>
    <row r="2663" spans="2:18" ht="15" customHeight="1" x14ac:dyDescent="0.35">
      <c r="B2663" s="100">
        <f t="shared" si="47"/>
        <v>2607</v>
      </c>
      <c r="C2663" s="208" t="s">
        <v>3897</v>
      </c>
      <c r="D2663" s="209" t="s">
        <v>3898</v>
      </c>
      <c r="E2663" s="99">
        <v>15</v>
      </c>
      <c r="F2663" s="210">
        <v>43670</v>
      </c>
      <c r="G2663" s="99">
        <v>3.9</v>
      </c>
      <c r="H2663" s="209">
        <v>3.61</v>
      </c>
      <c r="I2663" s="99">
        <v>3.9</v>
      </c>
      <c r="J2663" s="68">
        <v>553</v>
      </c>
      <c r="K2663" s="69">
        <v>72.5</v>
      </c>
      <c r="L2663" s="21"/>
      <c r="M2663" s="21"/>
      <c r="N2663" s="21"/>
      <c r="O2663" s="21"/>
      <c r="R2663">
        <v>3.9</v>
      </c>
    </row>
    <row r="2664" spans="2:18" ht="15" customHeight="1" x14ac:dyDescent="0.35">
      <c r="B2664" s="100">
        <f t="shared" si="47"/>
        <v>2608</v>
      </c>
      <c r="C2664" s="208" t="s">
        <v>3899</v>
      </c>
      <c r="D2664" s="209" t="s">
        <v>3900</v>
      </c>
      <c r="E2664" s="99">
        <v>15</v>
      </c>
      <c r="F2664" s="210">
        <v>43670</v>
      </c>
      <c r="G2664" s="99">
        <v>3.9</v>
      </c>
      <c r="H2664" s="209">
        <v>3.39</v>
      </c>
      <c r="I2664" s="99">
        <v>3.9</v>
      </c>
      <c r="J2664" s="68">
        <v>583</v>
      </c>
      <c r="K2664" s="69">
        <v>75</v>
      </c>
      <c r="L2664" s="21"/>
      <c r="M2664" s="21"/>
      <c r="N2664" s="21"/>
      <c r="O2664" s="21"/>
      <c r="R2664">
        <v>3.9</v>
      </c>
    </row>
    <row r="2665" spans="2:18" ht="15" customHeight="1" x14ac:dyDescent="0.35">
      <c r="B2665" s="100">
        <f t="shared" si="47"/>
        <v>2609</v>
      </c>
      <c r="C2665" s="208" t="s">
        <v>3901</v>
      </c>
      <c r="D2665" s="209" t="s">
        <v>3902</v>
      </c>
      <c r="E2665" s="99">
        <v>15</v>
      </c>
      <c r="F2665" s="210">
        <v>43670</v>
      </c>
      <c r="G2665" s="99">
        <v>3.9</v>
      </c>
      <c r="H2665" s="209">
        <v>3.73</v>
      </c>
      <c r="I2665" s="99">
        <v>3.9</v>
      </c>
      <c r="J2665" s="68">
        <v>420</v>
      </c>
      <c r="K2665" s="69">
        <v>83.75</v>
      </c>
      <c r="L2665" s="21"/>
      <c r="M2665" s="21"/>
      <c r="N2665" s="21"/>
      <c r="O2665" s="21"/>
      <c r="R2665">
        <v>3.9</v>
      </c>
    </row>
    <row r="2666" spans="2:18" ht="15" customHeight="1" x14ac:dyDescent="0.35">
      <c r="B2666" s="100">
        <f t="shared" si="47"/>
        <v>2610</v>
      </c>
      <c r="C2666" s="208" t="s">
        <v>3903</v>
      </c>
      <c r="D2666" s="209" t="s">
        <v>3904</v>
      </c>
      <c r="E2666" s="99">
        <v>15</v>
      </c>
      <c r="F2666" s="210">
        <v>43670</v>
      </c>
      <c r="G2666" s="99">
        <v>3.9</v>
      </c>
      <c r="H2666" s="209">
        <v>3.31</v>
      </c>
      <c r="I2666" s="99">
        <v>3.9</v>
      </c>
      <c r="J2666" s="68">
        <v>490</v>
      </c>
      <c r="K2666" s="69">
        <v>80</v>
      </c>
      <c r="L2666" s="21"/>
      <c r="M2666" s="21"/>
      <c r="N2666" s="21"/>
      <c r="O2666" s="21"/>
      <c r="R2666">
        <v>3.9</v>
      </c>
    </row>
    <row r="2667" spans="2:18" ht="15" customHeight="1" x14ac:dyDescent="0.35">
      <c r="B2667" s="100">
        <f t="shared" si="47"/>
        <v>2611</v>
      </c>
      <c r="C2667" s="208" t="s">
        <v>3905</v>
      </c>
      <c r="D2667" s="209" t="s">
        <v>3906</v>
      </c>
      <c r="E2667" s="99">
        <v>14</v>
      </c>
      <c r="F2667" s="210">
        <v>43670</v>
      </c>
      <c r="G2667" s="99">
        <v>3.9</v>
      </c>
      <c r="H2667" s="209">
        <v>3.02</v>
      </c>
      <c r="I2667" s="99">
        <v>3.9</v>
      </c>
      <c r="J2667" s="68">
        <v>483</v>
      </c>
      <c r="K2667" s="69">
        <v>70</v>
      </c>
      <c r="L2667" s="21"/>
      <c r="M2667" s="21"/>
      <c r="N2667" s="21"/>
      <c r="O2667" s="21"/>
      <c r="R2667">
        <v>3.9</v>
      </c>
    </row>
    <row r="2668" spans="2:18" ht="15" customHeight="1" x14ac:dyDescent="0.35">
      <c r="B2668" s="100">
        <f t="shared" si="47"/>
        <v>2612</v>
      </c>
      <c r="C2668" s="208" t="s">
        <v>3907</v>
      </c>
      <c r="D2668" s="209" t="s">
        <v>3908</v>
      </c>
      <c r="E2668" s="99">
        <v>15</v>
      </c>
      <c r="F2668" s="210">
        <v>43670</v>
      </c>
      <c r="G2668" s="99">
        <v>3.9</v>
      </c>
      <c r="H2668" s="209">
        <v>3.62</v>
      </c>
      <c r="I2668" s="99">
        <v>3.9</v>
      </c>
      <c r="J2668" s="68">
        <v>420</v>
      </c>
      <c r="K2668" s="69">
        <v>76.25</v>
      </c>
      <c r="L2668" s="21"/>
      <c r="M2668" s="21"/>
      <c r="N2668" s="21"/>
      <c r="O2668" s="21"/>
      <c r="R2668">
        <v>3.9</v>
      </c>
    </row>
    <row r="2669" spans="2:18" ht="15" customHeight="1" x14ac:dyDescent="0.35">
      <c r="B2669" s="100">
        <f t="shared" si="47"/>
        <v>2613</v>
      </c>
      <c r="C2669" s="208" t="s">
        <v>3909</v>
      </c>
      <c r="D2669" s="209" t="s">
        <v>3910</v>
      </c>
      <c r="E2669" s="209">
        <v>11</v>
      </c>
      <c r="F2669" s="210">
        <v>43670</v>
      </c>
      <c r="G2669" s="99">
        <v>7.9</v>
      </c>
      <c r="H2669" s="209">
        <v>2.1800000000000002</v>
      </c>
      <c r="I2669" s="99">
        <v>7.9</v>
      </c>
      <c r="J2669" s="68">
        <v>460</v>
      </c>
      <c r="K2669" s="69">
        <v>53.8</v>
      </c>
      <c r="L2669" s="21"/>
      <c r="M2669" s="21"/>
      <c r="N2669" s="21"/>
      <c r="O2669" s="21"/>
      <c r="R2669">
        <v>7.9</v>
      </c>
    </row>
    <row r="2670" spans="2:18" ht="15" customHeight="1" x14ac:dyDescent="0.35">
      <c r="B2670" s="100">
        <f t="shared" si="47"/>
        <v>2614</v>
      </c>
      <c r="C2670" s="208" t="s">
        <v>3911</v>
      </c>
      <c r="D2670" s="209" t="s">
        <v>3912</v>
      </c>
      <c r="E2670" s="99">
        <v>15</v>
      </c>
      <c r="F2670" s="210">
        <v>43670</v>
      </c>
      <c r="G2670" s="99">
        <v>3.9</v>
      </c>
      <c r="H2670" s="209">
        <v>3.4</v>
      </c>
      <c r="I2670" s="99">
        <v>3.9</v>
      </c>
      <c r="J2670" s="68">
        <v>450</v>
      </c>
      <c r="K2670" s="69">
        <v>78.75</v>
      </c>
      <c r="L2670" s="21"/>
      <c r="M2670" s="21"/>
      <c r="N2670" s="21"/>
      <c r="O2670" s="21"/>
      <c r="R2670">
        <v>3.9</v>
      </c>
    </row>
    <row r="2671" spans="2:18" ht="15" customHeight="1" x14ac:dyDescent="0.35">
      <c r="B2671" s="100">
        <f t="shared" si="47"/>
        <v>2615</v>
      </c>
      <c r="C2671" s="208" t="s">
        <v>3913</v>
      </c>
      <c r="D2671" s="209" t="s">
        <v>3914</v>
      </c>
      <c r="E2671" s="99">
        <v>15</v>
      </c>
      <c r="F2671" s="210">
        <v>43670</v>
      </c>
      <c r="G2671" s="99">
        <v>3.9</v>
      </c>
      <c r="H2671" s="209">
        <v>3.38</v>
      </c>
      <c r="I2671" s="99">
        <v>3.9</v>
      </c>
      <c r="J2671" s="68">
        <v>517</v>
      </c>
      <c r="K2671" s="69">
        <v>77.5</v>
      </c>
      <c r="L2671" s="21"/>
      <c r="M2671" s="21"/>
      <c r="N2671" s="21"/>
      <c r="O2671" s="21"/>
      <c r="R2671">
        <v>3.9</v>
      </c>
    </row>
    <row r="2672" spans="2:18" ht="15" customHeight="1" x14ac:dyDescent="0.35">
      <c r="B2672" s="100"/>
      <c r="C2672" s="101"/>
      <c r="D2672" s="99"/>
      <c r="E2672" s="99"/>
      <c r="F2672" s="99"/>
      <c r="G2672" s="99"/>
      <c r="H2672" s="99"/>
      <c r="I2672" s="99"/>
      <c r="J2672" s="20"/>
      <c r="K2672" s="21"/>
      <c r="L2672" s="21"/>
      <c r="M2672" s="21"/>
      <c r="N2672" s="21"/>
      <c r="O2672" s="21"/>
    </row>
    <row r="2673" spans="2:22" ht="15" customHeight="1" thickBot="1" x14ac:dyDescent="0.4">
      <c r="B2673" s="100"/>
      <c r="C2673" s="146" t="s">
        <v>3915</v>
      </c>
      <c r="D2673" s="99"/>
      <c r="E2673" s="99"/>
      <c r="F2673" s="99"/>
      <c r="G2673" s="99"/>
      <c r="H2673" s="99"/>
      <c r="I2673" s="99"/>
      <c r="J2673" s="20"/>
      <c r="K2673" s="21"/>
      <c r="L2673" s="21"/>
      <c r="M2673" s="21"/>
      <c r="N2673" s="21"/>
      <c r="O2673" s="21"/>
    </row>
    <row r="2674" spans="2:22" ht="15" customHeight="1" thickBot="1" x14ac:dyDescent="0.4">
      <c r="B2674" s="100">
        <v>2616</v>
      </c>
      <c r="C2674" s="254" t="s">
        <v>4602</v>
      </c>
      <c r="D2674" s="254" t="s">
        <v>3916</v>
      </c>
      <c r="E2674" s="2" t="str">
        <f>LEFT(D2674,2)</f>
        <v>15</v>
      </c>
      <c r="F2674" s="255">
        <v>43735</v>
      </c>
      <c r="G2674" s="256" t="s">
        <v>4603</v>
      </c>
      <c r="H2674" s="257" t="s">
        <v>4604</v>
      </c>
      <c r="I2674" s="99" t="s">
        <v>4603</v>
      </c>
      <c r="J2674" s="77">
        <v>427</v>
      </c>
      <c r="K2674" s="78">
        <v>80</v>
      </c>
      <c r="L2674" s="21">
        <v>2012</v>
      </c>
      <c r="M2674" s="29">
        <f>COUNTIF(E2673:E2696,"12")</f>
        <v>1</v>
      </c>
      <c r="N2674" s="21"/>
      <c r="O2674" s="21"/>
      <c r="Q2674">
        <f t="shared" ref="Q2674:Q2700" si="48">IF(E2674=18,V2674,0)</f>
        <v>0</v>
      </c>
      <c r="R2674">
        <v>4</v>
      </c>
      <c r="S2674" t="s">
        <v>5045</v>
      </c>
      <c r="V2674">
        <f>R2674+(T2674/12)</f>
        <v>4</v>
      </c>
    </row>
    <row r="2675" spans="2:22" ht="15" customHeight="1" thickBot="1" x14ac:dyDescent="0.4">
      <c r="B2675" s="100">
        <f t="shared" ref="B2675:B2700" si="49">(B2674+1)</f>
        <v>2617</v>
      </c>
      <c r="C2675" s="254" t="s">
        <v>4605</v>
      </c>
      <c r="D2675" s="254" t="s">
        <v>3917</v>
      </c>
      <c r="E2675" s="2" t="str">
        <f t="shared" ref="E2675:E2733" si="50">LEFT(D2675,2)</f>
        <v>15</v>
      </c>
      <c r="F2675" s="255">
        <v>43735</v>
      </c>
      <c r="G2675" s="256" t="s">
        <v>4606</v>
      </c>
      <c r="H2675" s="257" t="s">
        <v>4607</v>
      </c>
      <c r="I2675" s="99" t="s">
        <v>4606</v>
      </c>
      <c r="J2675" s="77">
        <v>423</v>
      </c>
      <c r="K2675" s="78">
        <v>77.5</v>
      </c>
      <c r="L2675" s="69">
        <v>2011</v>
      </c>
      <c r="M2675" s="29">
        <f>COUNTIF(E2674:E2697,"11")</f>
        <v>0</v>
      </c>
      <c r="N2675" s="21"/>
      <c r="O2675" s="21"/>
      <c r="Q2675">
        <f t="shared" si="48"/>
        <v>0</v>
      </c>
      <c r="R2675">
        <v>4</v>
      </c>
      <c r="S2675" t="s">
        <v>5046</v>
      </c>
      <c r="V2675">
        <f t="shared" ref="V2675:V2738" si="51">R2675+(T2675/12)</f>
        <v>4</v>
      </c>
    </row>
    <row r="2676" spans="2:22" ht="15" customHeight="1" thickBot="1" x14ac:dyDescent="0.4">
      <c r="B2676" s="100">
        <f t="shared" si="49"/>
        <v>2618</v>
      </c>
      <c r="C2676" s="258" t="s">
        <v>4608</v>
      </c>
      <c r="D2676" s="258" t="s">
        <v>3918</v>
      </c>
      <c r="E2676" s="2" t="str">
        <f t="shared" si="50"/>
        <v>15</v>
      </c>
      <c r="F2676" s="255">
        <v>43735</v>
      </c>
      <c r="G2676" s="256" t="s">
        <v>4606</v>
      </c>
      <c r="H2676" s="257" t="s">
        <v>4609</v>
      </c>
      <c r="I2676" s="99" t="s">
        <v>4606</v>
      </c>
      <c r="J2676" s="77">
        <v>550</v>
      </c>
      <c r="K2676" s="78">
        <v>72.5</v>
      </c>
      <c r="L2676" s="69">
        <v>2013</v>
      </c>
      <c r="M2676" s="29">
        <f>COUNTIF(E2674:E2697,"13")</f>
        <v>1</v>
      </c>
      <c r="N2676" s="21"/>
      <c r="O2676" s="21"/>
      <c r="Q2676">
        <f t="shared" si="48"/>
        <v>0</v>
      </c>
      <c r="R2676">
        <v>4</v>
      </c>
      <c r="S2676" t="s">
        <v>5046</v>
      </c>
      <c r="V2676">
        <f t="shared" si="51"/>
        <v>4</v>
      </c>
    </row>
    <row r="2677" spans="2:22" ht="15" customHeight="1" thickBot="1" x14ac:dyDescent="0.4">
      <c r="B2677" s="100">
        <f t="shared" si="49"/>
        <v>2619</v>
      </c>
      <c r="C2677" s="258" t="s">
        <v>4610</v>
      </c>
      <c r="D2677" s="258" t="s">
        <v>3919</v>
      </c>
      <c r="E2677" s="2" t="str">
        <f t="shared" si="50"/>
        <v>15</v>
      </c>
      <c r="F2677" s="255">
        <v>43735</v>
      </c>
      <c r="G2677" s="256" t="s">
        <v>4611</v>
      </c>
      <c r="H2677" s="257" t="s">
        <v>4612</v>
      </c>
      <c r="I2677" s="99" t="s">
        <v>4611</v>
      </c>
      <c r="J2677" s="77">
        <v>453</v>
      </c>
      <c r="K2677" s="78">
        <v>77.5</v>
      </c>
      <c r="L2677" s="69">
        <v>2014</v>
      </c>
      <c r="M2677" s="29">
        <f>COUNTIF(E2674:E2697,"14")</f>
        <v>2</v>
      </c>
      <c r="N2677" s="21"/>
      <c r="O2677" s="21"/>
      <c r="Q2677">
        <f t="shared" si="48"/>
        <v>0</v>
      </c>
      <c r="R2677">
        <v>4</v>
      </c>
      <c r="S2677" t="s">
        <v>5045</v>
      </c>
      <c r="T2677">
        <v>2</v>
      </c>
      <c r="U2677" t="s">
        <v>5047</v>
      </c>
      <c r="V2677">
        <f t="shared" si="51"/>
        <v>4.166666666666667</v>
      </c>
    </row>
    <row r="2678" spans="2:22" ht="15" customHeight="1" thickBot="1" x14ac:dyDescent="0.4">
      <c r="B2678" s="100">
        <f t="shared" si="49"/>
        <v>2620</v>
      </c>
      <c r="C2678" s="258" t="s">
        <v>4613</v>
      </c>
      <c r="D2678" s="258" t="s">
        <v>3920</v>
      </c>
      <c r="E2678" s="2" t="str">
        <f t="shared" si="50"/>
        <v>15</v>
      </c>
      <c r="F2678" s="259">
        <v>43763</v>
      </c>
      <c r="G2678" s="256" t="s">
        <v>4611</v>
      </c>
      <c r="H2678" s="257" t="s">
        <v>4614</v>
      </c>
      <c r="I2678" s="99" t="s">
        <v>4611</v>
      </c>
      <c r="J2678" s="77">
        <v>483</v>
      </c>
      <c r="K2678" s="78">
        <v>73.75</v>
      </c>
      <c r="L2678" s="69">
        <v>2015</v>
      </c>
      <c r="M2678" s="29">
        <f>COUNTIF(E2674:E2697,"15")</f>
        <v>20</v>
      </c>
      <c r="N2678" s="21"/>
      <c r="O2678" s="21"/>
      <c r="Q2678">
        <f t="shared" si="48"/>
        <v>0</v>
      </c>
      <c r="R2678">
        <v>4</v>
      </c>
      <c r="S2678" t="s">
        <v>5045</v>
      </c>
      <c r="T2678">
        <v>2</v>
      </c>
      <c r="U2678" t="s">
        <v>5047</v>
      </c>
      <c r="V2678">
        <f t="shared" si="51"/>
        <v>4.166666666666667</v>
      </c>
    </row>
    <row r="2679" spans="2:22" ht="15" customHeight="1" thickBot="1" x14ac:dyDescent="0.4">
      <c r="B2679" s="100">
        <f t="shared" si="49"/>
        <v>2621</v>
      </c>
      <c r="C2679" s="258" t="s">
        <v>4615</v>
      </c>
      <c r="D2679" s="258" t="s">
        <v>3921</v>
      </c>
      <c r="E2679" s="2" t="str">
        <f t="shared" si="50"/>
        <v>15</v>
      </c>
      <c r="F2679" s="260">
        <v>43763</v>
      </c>
      <c r="G2679" s="261" t="s">
        <v>4616</v>
      </c>
      <c r="H2679" s="257" t="s">
        <v>4617</v>
      </c>
      <c r="I2679" s="99" t="s">
        <v>4616</v>
      </c>
      <c r="J2679" s="77">
        <v>467</v>
      </c>
      <c r="K2679" s="78">
        <v>75</v>
      </c>
      <c r="L2679" s="21"/>
      <c r="M2679" s="21">
        <f>SUM(M2674:M2678)</f>
        <v>24</v>
      </c>
      <c r="N2679" s="21"/>
      <c r="O2679" s="21"/>
      <c r="Q2679">
        <f t="shared" si="48"/>
        <v>0</v>
      </c>
      <c r="R2679">
        <v>4</v>
      </c>
      <c r="S2679" t="s">
        <v>5046</v>
      </c>
      <c r="T2679">
        <v>2</v>
      </c>
      <c r="U2679" t="s">
        <v>5048</v>
      </c>
      <c r="V2679">
        <f t="shared" si="51"/>
        <v>4.166666666666667</v>
      </c>
    </row>
    <row r="2680" spans="2:22" ht="15" customHeight="1" thickBot="1" x14ac:dyDescent="0.4">
      <c r="B2680" s="100">
        <f t="shared" si="49"/>
        <v>2622</v>
      </c>
      <c r="C2680" s="254" t="s">
        <v>4618</v>
      </c>
      <c r="D2680" s="254" t="s">
        <v>3922</v>
      </c>
      <c r="E2680" s="2" t="str">
        <f t="shared" si="50"/>
        <v>15</v>
      </c>
      <c r="F2680" s="260">
        <v>43763</v>
      </c>
      <c r="G2680" s="261" t="s">
        <v>4611</v>
      </c>
      <c r="H2680" s="257" t="s">
        <v>4214</v>
      </c>
      <c r="I2680" s="99" t="s">
        <v>4611</v>
      </c>
      <c r="J2680" s="77">
        <v>433</v>
      </c>
      <c r="K2680" s="78">
        <v>73.75</v>
      </c>
      <c r="L2680" s="21"/>
      <c r="M2680" s="21"/>
      <c r="N2680" s="21"/>
      <c r="O2680" s="21"/>
      <c r="Q2680">
        <f t="shared" si="48"/>
        <v>0</v>
      </c>
      <c r="R2680">
        <v>4</v>
      </c>
      <c r="S2680" t="s">
        <v>5045</v>
      </c>
      <c r="T2680">
        <v>2</v>
      </c>
      <c r="U2680" t="s">
        <v>5047</v>
      </c>
      <c r="V2680">
        <f t="shared" si="51"/>
        <v>4.166666666666667</v>
      </c>
    </row>
    <row r="2681" spans="2:22" ht="15" customHeight="1" thickBot="1" x14ac:dyDescent="0.4">
      <c r="B2681" s="100">
        <f t="shared" si="49"/>
        <v>2623</v>
      </c>
      <c r="C2681" s="254" t="s">
        <v>4619</v>
      </c>
      <c r="D2681" s="254" t="s">
        <v>3923</v>
      </c>
      <c r="E2681" s="2" t="str">
        <f t="shared" si="50"/>
        <v>15</v>
      </c>
      <c r="F2681" s="260">
        <v>43763</v>
      </c>
      <c r="G2681" s="261" t="s">
        <v>4616</v>
      </c>
      <c r="H2681" s="257" t="s">
        <v>4620</v>
      </c>
      <c r="I2681" s="99" t="s">
        <v>4616</v>
      </c>
      <c r="J2681" s="77">
        <v>423</v>
      </c>
      <c r="K2681" s="78">
        <v>73.75</v>
      </c>
      <c r="L2681" s="29" t="s">
        <v>1798</v>
      </c>
      <c r="M2681" s="34" t="e">
        <f>AVERAGE(G2674:G2697)</f>
        <v>#DIV/0!</v>
      </c>
      <c r="N2681" s="21"/>
      <c r="O2681" s="21" t="e">
        <f>SUM(G2674:G2684)+SUM(G2686:G2687)+SUM(G2690:G2691)+SUM(G2693:G2695)+G2697</f>
        <v>#VALUE!</v>
      </c>
      <c r="Q2681">
        <f t="shared" si="48"/>
        <v>0</v>
      </c>
      <c r="R2681">
        <v>4</v>
      </c>
      <c r="S2681" t="s">
        <v>5046</v>
      </c>
      <c r="T2681">
        <v>2</v>
      </c>
      <c r="U2681" t="s">
        <v>5048</v>
      </c>
      <c r="V2681">
        <f t="shared" si="51"/>
        <v>4.166666666666667</v>
      </c>
    </row>
    <row r="2682" spans="2:22" ht="15" customHeight="1" thickBot="1" x14ac:dyDescent="0.4">
      <c r="B2682" s="100">
        <f t="shared" si="49"/>
        <v>2624</v>
      </c>
      <c r="C2682" s="254" t="s">
        <v>4621</v>
      </c>
      <c r="D2682" s="254" t="s">
        <v>3924</v>
      </c>
      <c r="E2682" s="2" t="str">
        <f t="shared" si="50"/>
        <v>15</v>
      </c>
      <c r="F2682" s="260">
        <v>43763</v>
      </c>
      <c r="G2682" s="261" t="s">
        <v>4622</v>
      </c>
      <c r="H2682" s="257" t="s">
        <v>4211</v>
      </c>
      <c r="I2682" s="99" t="s">
        <v>4622</v>
      </c>
      <c r="J2682" s="77">
        <v>433</v>
      </c>
      <c r="K2682" s="78">
        <v>80</v>
      </c>
      <c r="L2682" s="21" t="s">
        <v>3925</v>
      </c>
      <c r="M2682" s="30" t="e">
        <f>AVERAGE(H2674:H2697)</f>
        <v>#DIV/0!</v>
      </c>
      <c r="N2682" s="21"/>
      <c r="O2682" s="21"/>
      <c r="Q2682">
        <f t="shared" si="48"/>
        <v>0</v>
      </c>
      <c r="R2682">
        <v>4</v>
      </c>
      <c r="S2682" t="s">
        <v>5046</v>
      </c>
      <c r="T2682">
        <v>3</v>
      </c>
      <c r="U2682" t="s">
        <v>5048</v>
      </c>
      <c r="V2682">
        <f t="shared" si="51"/>
        <v>4.25</v>
      </c>
    </row>
    <row r="2683" spans="2:22" ht="15" customHeight="1" thickBot="1" x14ac:dyDescent="0.4">
      <c r="B2683" s="100">
        <f t="shared" si="49"/>
        <v>2625</v>
      </c>
      <c r="C2683" s="254" t="s">
        <v>4623</v>
      </c>
      <c r="D2683" s="254" t="s">
        <v>3926</v>
      </c>
      <c r="E2683" s="2" t="str">
        <f t="shared" si="50"/>
        <v>15</v>
      </c>
      <c r="F2683" s="260">
        <v>43763</v>
      </c>
      <c r="G2683" s="261" t="s">
        <v>4616</v>
      </c>
      <c r="H2683" s="257" t="s">
        <v>4624</v>
      </c>
      <c r="I2683" s="99" t="s">
        <v>4616</v>
      </c>
      <c r="J2683" s="77">
        <v>517</v>
      </c>
      <c r="K2683" s="78">
        <v>81.25</v>
      </c>
      <c r="L2683" s="21"/>
      <c r="M2683" s="21"/>
      <c r="N2683" s="21"/>
      <c r="O2683" s="21"/>
      <c r="Q2683">
        <f t="shared" si="48"/>
        <v>0</v>
      </c>
      <c r="R2683">
        <v>4</v>
      </c>
      <c r="S2683" t="s">
        <v>5046</v>
      </c>
      <c r="T2683">
        <v>2</v>
      </c>
      <c r="U2683" t="s">
        <v>5048</v>
      </c>
      <c r="V2683">
        <f t="shared" si="51"/>
        <v>4.166666666666667</v>
      </c>
    </row>
    <row r="2684" spans="2:22" ht="15" customHeight="1" thickBot="1" x14ac:dyDescent="0.4">
      <c r="B2684" s="100">
        <f t="shared" si="49"/>
        <v>2626</v>
      </c>
      <c r="C2684" s="254" t="s">
        <v>4625</v>
      </c>
      <c r="D2684" s="254" t="s">
        <v>3927</v>
      </c>
      <c r="E2684" s="2" t="str">
        <f t="shared" si="50"/>
        <v>15</v>
      </c>
      <c r="F2684" s="260">
        <v>43763</v>
      </c>
      <c r="G2684" s="261" t="s">
        <v>4626</v>
      </c>
      <c r="H2684" s="257" t="s">
        <v>4627</v>
      </c>
      <c r="I2684" s="99" t="s">
        <v>4626</v>
      </c>
      <c r="J2684" s="77">
        <v>532</v>
      </c>
      <c r="K2684" s="78">
        <v>71.25</v>
      </c>
      <c r="L2684" s="21"/>
      <c r="M2684" s="21"/>
      <c r="N2684" s="21"/>
      <c r="O2684" s="21"/>
      <c r="Q2684">
        <f t="shared" si="48"/>
        <v>0</v>
      </c>
      <c r="R2684">
        <v>4</v>
      </c>
      <c r="S2684" t="s">
        <v>5049</v>
      </c>
      <c r="T2684">
        <v>2</v>
      </c>
      <c r="U2684" t="s">
        <v>5050</v>
      </c>
      <c r="V2684">
        <f t="shared" si="51"/>
        <v>4.166666666666667</v>
      </c>
    </row>
    <row r="2685" spans="2:22" ht="15" customHeight="1" thickBot="1" x14ac:dyDescent="0.4">
      <c r="B2685" s="100">
        <f t="shared" si="49"/>
        <v>2627</v>
      </c>
      <c r="C2685" s="254" t="s">
        <v>4628</v>
      </c>
      <c r="D2685" s="254" t="s">
        <v>3928</v>
      </c>
      <c r="E2685" s="2" t="str">
        <f t="shared" si="50"/>
        <v>15</v>
      </c>
      <c r="F2685" s="260">
        <v>43763</v>
      </c>
      <c r="G2685" s="261" t="s">
        <v>4616</v>
      </c>
      <c r="H2685" s="257" t="s">
        <v>4629</v>
      </c>
      <c r="I2685" s="99" t="s">
        <v>4616</v>
      </c>
      <c r="J2685" s="77">
        <v>500</v>
      </c>
      <c r="K2685" s="78">
        <v>72.5</v>
      </c>
      <c r="L2685" s="21"/>
      <c r="M2685" s="21"/>
      <c r="N2685" s="21"/>
      <c r="O2685" s="21"/>
      <c r="Q2685">
        <f t="shared" si="48"/>
        <v>0</v>
      </c>
      <c r="R2685">
        <v>4</v>
      </c>
      <c r="S2685" t="s">
        <v>5046</v>
      </c>
      <c r="T2685">
        <v>2</v>
      </c>
      <c r="U2685" t="s">
        <v>5048</v>
      </c>
      <c r="V2685">
        <f t="shared" si="51"/>
        <v>4.166666666666667</v>
      </c>
    </row>
    <row r="2686" spans="2:22" ht="15" customHeight="1" thickBot="1" x14ac:dyDescent="0.4">
      <c r="B2686" s="100">
        <f t="shared" si="49"/>
        <v>2628</v>
      </c>
      <c r="C2686" s="254" t="s">
        <v>4630</v>
      </c>
      <c r="D2686" s="254" t="s">
        <v>3929</v>
      </c>
      <c r="E2686" s="2" t="str">
        <f t="shared" si="50"/>
        <v>14</v>
      </c>
      <c r="F2686" s="260">
        <v>43763</v>
      </c>
      <c r="G2686" s="261" t="s">
        <v>4631</v>
      </c>
      <c r="H2686" s="257" t="s">
        <v>4632</v>
      </c>
      <c r="I2686" s="99" t="s">
        <v>4631</v>
      </c>
      <c r="J2686" s="77">
        <v>501</v>
      </c>
      <c r="K2686" s="78">
        <v>63.75</v>
      </c>
      <c r="L2686" s="19" t="s">
        <v>3930</v>
      </c>
      <c r="M2686" s="34" t="e">
        <f>(M2681+M2715)/2</f>
        <v>#DIV/0!</v>
      </c>
      <c r="N2686" s="21"/>
      <c r="O2686" s="21"/>
      <c r="Q2686">
        <f t="shared" si="48"/>
        <v>0</v>
      </c>
      <c r="R2686">
        <v>5</v>
      </c>
      <c r="S2686" t="s">
        <v>5046</v>
      </c>
      <c r="T2686">
        <v>2</v>
      </c>
      <c r="U2686" t="s">
        <v>5048</v>
      </c>
      <c r="V2686">
        <f t="shared" si="51"/>
        <v>5.166666666666667</v>
      </c>
    </row>
    <row r="2687" spans="2:22" ht="15" customHeight="1" thickBot="1" x14ac:dyDescent="0.4">
      <c r="B2687" s="100">
        <f t="shared" si="49"/>
        <v>2629</v>
      </c>
      <c r="C2687" s="254" t="s">
        <v>4633</v>
      </c>
      <c r="D2687" s="254" t="s">
        <v>3931</v>
      </c>
      <c r="E2687" s="2" t="str">
        <f t="shared" si="50"/>
        <v>15</v>
      </c>
      <c r="F2687" s="262">
        <v>43796</v>
      </c>
      <c r="G2687" s="256" t="s">
        <v>4634</v>
      </c>
      <c r="H2687" s="257" t="s">
        <v>4635</v>
      </c>
      <c r="I2687" s="99" t="s">
        <v>4634</v>
      </c>
      <c r="J2687" s="77">
        <v>480</v>
      </c>
      <c r="K2687" s="78">
        <v>73.75</v>
      </c>
      <c r="L2687" s="21"/>
      <c r="M2687" s="21"/>
      <c r="N2687" s="21"/>
      <c r="O2687" s="21"/>
      <c r="Q2687">
        <f t="shared" si="48"/>
        <v>0</v>
      </c>
      <c r="R2687">
        <v>4</v>
      </c>
      <c r="S2687" t="s">
        <v>5045</v>
      </c>
      <c r="T2687">
        <v>3</v>
      </c>
      <c r="U2687" t="s">
        <v>5047</v>
      </c>
      <c r="V2687">
        <f t="shared" si="51"/>
        <v>4.25</v>
      </c>
    </row>
    <row r="2688" spans="2:22" ht="15" customHeight="1" thickBot="1" x14ac:dyDescent="0.4">
      <c r="B2688" s="100">
        <f t="shared" si="49"/>
        <v>2630</v>
      </c>
      <c r="C2688" s="254" t="s">
        <v>4636</v>
      </c>
      <c r="D2688" s="254" t="s">
        <v>3932</v>
      </c>
      <c r="E2688" s="2" t="str">
        <f t="shared" si="50"/>
        <v>15</v>
      </c>
      <c r="F2688" s="262">
        <v>43796</v>
      </c>
      <c r="G2688" s="256" t="s">
        <v>4637</v>
      </c>
      <c r="H2688" s="257" t="s">
        <v>4638</v>
      </c>
      <c r="I2688" s="99" t="s">
        <v>4637</v>
      </c>
      <c r="J2688" s="77">
        <v>403</v>
      </c>
      <c r="K2688" s="78">
        <v>81.25</v>
      </c>
      <c r="L2688" s="21"/>
      <c r="M2688" s="21"/>
      <c r="N2688" s="21"/>
      <c r="O2688" s="21"/>
      <c r="Q2688">
        <f t="shared" si="48"/>
        <v>0</v>
      </c>
      <c r="R2688">
        <v>4</v>
      </c>
      <c r="S2688" t="s">
        <v>5049</v>
      </c>
      <c r="T2688">
        <v>3</v>
      </c>
      <c r="U2688" t="s">
        <v>5050</v>
      </c>
      <c r="V2688">
        <f t="shared" si="51"/>
        <v>4.25</v>
      </c>
    </row>
    <row r="2689" spans="2:22" ht="15" customHeight="1" thickBot="1" x14ac:dyDescent="0.4">
      <c r="B2689" s="100">
        <f t="shared" si="49"/>
        <v>2631</v>
      </c>
      <c r="C2689" s="258" t="s">
        <v>4639</v>
      </c>
      <c r="D2689" s="258" t="s">
        <v>3933</v>
      </c>
      <c r="E2689" s="2" t="str">
        <f t="shared" si="50"/>
        <v>15</v>
      </c>
      <c r="F2689" s="262">
        <v>43796</v>
      </c>
      <c r="G2689" s="258" t="s">
        <v>4622</v>
      </c>
      <c r="H2689" s="257" t="s">
        <v>4198</v>
      </c>
      <c r="I2689" s="99" t="s">
        <v>4622</v>
      </c>
      <c r="J2689" s="77">
        <v>433</v>
      </c>
      <c r="K2689" s="78">
        <v>75</v>
      </c>
      <c r="L2689" s="21"/>
      <c r="M2689" s="21"/>
      <c r="N2689" s="21"/>
      <c r="O2689" s="21"/>
      <c r="Q2689">
        <f t="shared" si="48"/>
        <v>0</v>
      </c>
      <c r="R2689">
        <v>4</v>
      </c>
      <c r="S2689" t="s">
        <v>5046</v>
      </c>
      <c r="T2689">
        <v>3</v>
      </c>
      <c r="U2689" t="s">
        <v>5048</v>
      </c>
      <c r="V2689">
        <f t="shared" si="51"/>
        <v>4.25</v>
      </c>
    </row>
    <row r="2690" spans="2:22" ht="15" customHeight="1" thickBot="1" x14ac:dyDescent="0.4">
      <c r="B2690" s="100">
        <f t="shared" si="49"/>
        <v>2632</v>
      </c>
      <c r="C2690" s="254" t="s">
        <v>4640</v>
      </c>
      <c r="D2690" s="254" t="s">
        <v>3934</v>
      </c>
      <c r="E2690" s="2" t="str">
        <f t="shared" si="50"/>
        <v>13</v>
      </c>
      <c r="F2690" s="262">
        <v>43854</v>
      </c>
      <c r="G2690" s="258" t="s">
        <v>4641</v>
      </c>
      <c r="H2690" s="257" t="s">
        <v>4642</v>
      </c>
      <c r="I2690" s="99" t="s">
        <v>4641</v>
      </c>
      <c r="J2690" s="77">
        <v>437</v>
      </c>
      <c r="K2690" s="78">
        <v>71</v>
      </c>
      <c r="L2690" s="21"/>
      <c r="M2690" s="21"/>
      <c r="N2690" s="21"/>
      <c r="O2690" s="21"/>
      <c r="Q2690">
        <f t="shared" si="48"/>
        <v>0</v>
      </c>
      <c r="R2690">
        <v>6</v>
      </c>
      <c r="S2690" t="s">
        <v>5045</v>
      </c>
      <c r="T2690">
        <v>4</v>
      </c>
      <c r="U2690" t="s">
        <v>5047</v>
      </c>
      <c r="V2690">
        <f t="shared" si="51"/>
        <v>6.333333333333333</v>
      </c>
    </row>
    <row r="2691" spans="2:22" ht="15" customHeight="1" thickBot="1" x14ac:dyDescent="0.4">
      <c r="B2691" s="100">
        <f t="shared" si="49"/>
        <v>2633</v>
      </c>
      <c r="C2691" s="258" t="s">
        <v>4643</v>
      </c>
      <c r="D2691" s="258" t="s">
        <v>3935</v>
      </c>
      <c r="E2691" s="2" t="str">
        <f t="shared" si="50"/>
        <v>12</v>
      </c>
      <c r="F2691" s="262">
        <v>43854</v>
      </c>
      <c r="G2691" s="258" t="s">
        <v>4644</v>
      </c>
      <c r="H2691" s="257" t="s">
        <v>4645</v>
      </c>
      <c r="I2691" s="99" t="s">
        <v>4644</v>
      </c>
      <c r="J2691" s="77">
        <v>407</v>
      </c>
      <c r="K2691" s="78">
        <v>65</v>
      </c>
      <c r="L2691" s="21"/>
      <c r="M2691" s="21"/>
      <c r="N2691" s="21"/>
      <c r="O2691" s="21"/>
      <c r="Q2691">
        <f t="shared" si="48"/>
        <v>0</v>
      </c>
      <c r="R2691">
        <v>7</v>
      </c>
      <c r="S2691" t="s">
        <v>5046</v>
      </c>
      <c r="T2691">
        <v>4</v>
      </c>
      <c r="U2691" t="s">
        <v>5048</v>
      </c>
      <c r="V2691">
        <f t="shared" si="51"/>
        <v>7.333333333333333</v>
      </c>
    </row>
    <row r="2692" spans="2:22" ht="15" customHeight="1" thickBot="1" x14ac:dyDescent="0.4">
      <c r="B2692" s="100">
        <f t="shared" si="49"/>
        <v>2634</v>
      </c>
      <c r="C2692" s="254" t="s">
        <v>4646</v>
      </c>
      <c r="D2692" s="254" t="s">
        <v>3936</v>
      </c>
      <c r="E2692" s="2" t="str">
        <f t="shared" si="50"/>
        <v>15</v>
      </c>
      <c r="F2692" s="262">
        <v>43854</v>
      </c>
      <c r="G2692" s="258" t="s">
        <v>4647</v>
      </c>
      <c r="H2692" s="257" t="s">
        <v>4648</v>
      </c>
      <c r="I2692" s="99" t="s">
        <v>4647</v>
      </c>
      <c r="J2692" s="77">
        <v>490</v>
      </c>
      <c r="K2692" s="78">
        <v>77.5</v>
      </c>
      <c r="L2692" s="21"/>
      <c r="M2692" s="21"/>
      <c r="N2692" s="21"/>
      <c r="O2692" s="21"/>
      <c r="Q2692">
        <f t="shared" si="48"/>
        <v>0</v>
      </c>
      <c r="R2692">
        <v>4</v>
      </c>
      <c r="S2692" t="s">
        <v>5046</v>
      </c>
      <c r="T2692">
        <v>6</v>
      </c>
      <c r="U2692" t="s">
        <v>5048</v>
      </c>
      <c r="V2692">
        <f t="shared" si="51"/>
        <v>4.5</v>
      </c>
    </row>
    <row r="2693" spans="2:22" ht="15" customHeight="1" thickBot="1" x14ac:dyDescent="0.4">
      <c r="B2693" s="100">
        <f t="shared" si="49"/>
        <v>2635</v>
      </c>
      <c r="C2693" s="258" t="s">
        <v>4649</v>
      </c>
      <c r="D2693" s="258" t="s">
        <v>3937</v>
      </c>
      <c r="E2693" s="2" t="str">
        <f t="shared" si="50"/>
        <v>15</v>
      </c>
      <c r="F2693" s="262">
        <v>43854</v>
      </c>
      <c r="G2693" s="258" t="s">
        <v>4647</v>
      </c>
      <c r="H2693" s="257" t="s">
        <v>4398</v>
      </c>
      <c r="I2693" s="99" t="s">
        <v>4647</v>
      </c>
      <c r="J2693" s="77">
        <v>480</v>
      </c>
      <c r="K2693" s="78">
        <v>76.25</v>
      </c>
      <c r="L2693" s="21"/>
      <c r="M2693" s="21"/>
      <c r="N2693" s="21"/>
      <c r="O2693" s="21"/>
      <c r="Q2693">
        <f t="shared" si="48"/>
        <v>0</v>
      </c>
      <c r="R2693">
        <v>4</v>
      </c>
      <c r="S2693" t="s">
        <v>5046</v>
      </c>
      <c r="T2693">
        <v>6</v>
      </c>
      <c r="U2693" t="s">
        <v>5048</v>
      </c>
      <c r="V2693">
        <f t="shared" si="51"/>
        <v>4.5</v>
      </c>
    </row>
    <row r="2694" spans="2:22" ht="15" customHeight="1" thickBot="1" x14ac:dyDescent="0.4">
      <c r="B2694" s="100">
        <f t="shared" si="49"/>
        <v>2636</v>
      </c>
      <c r="C2694" s="254" t="s">
        <v>4650</v>
      </c>
      <c r="D2694" s="254" t="s">
        <v>3938</v>
      </c>
      <c r="E2694" s="2" t="str">
        <f t="shared" si="50"/>
        <v>15</v>
      </c>
      <c r="F2694" s="262">
        <v>43854</v>
      </c>
      <c r="G2694" s="258" t="s">
        <v>4651</v>
      </c>
      <c r="H2694" s="257" t="s">
        <v>4652</v>
      </c>
      <c r="I2694" s="99" t="s">
        <v>4651</v>
      </c>
      <c r="J2694" s="77">
        <v>560</v>
      </c>
      <c r="K2694" s="78">
        <v>56.25</v>
      </c>
      <c r="L2694" s="21"/>
      <c r="M2694" s="21"/>
      <c r="N2694" s="21"/>
      <c r="O2694" s="21"/>
      <c r="Q2694">
        <f t="shared" si="48"/>
        <v>0</v>
      </c>
      <c r="R2694">
        <v>4</v>
      </c>
      <c r="S2694" t="s">
        <v>5045</v>
      </c>
      <c r="T2694">
        <v>7</v>
      </c>
      <c r="U2694" t="s">
        <v>5047</v>
      </c>
      <c r="V2694">
        <f t="shared" si="51"/>
        <v>4.583333333333333</v>
      </c>
    </row>
    <row r="2695" spans="2:22" ht="15" customHeight="1" thickBot="1" x14ac:dyDescent="0.4">
      <c r="B2695" s="100">
        <f t="shared" si="49"/>
        <v>2637</v>
      </c>
      <c r="C2695" s="258" t="s">
        <v>4653</v>
      </c>
      <c r="D2695" s="258" t="s">
        <v>3939</v>
      </c>
      <c r="E2695" s="2" t="str">
        <f t="shared" si="50"/>
        <v>14</v>
      </c>
      <c r="F2695" s="262">
        <v>43854</v>
      </c>
      <c r="G2695" s="258" t="s">
        <v>4654</v>
      </c>
      <c r="H2695" s="257" t="s">
        <v>4655</v>
      </c>
      <c r="I2695" s="99" t="s">
        <v>4654</v>
      </c>
      <c r="J2695" s="77">
        <v>510</v>
      </c>
      <c r="K2695" s="78">
        <v>71.3</v>
      </c>
      <c r="L2695" s="21"/>
      <c r="M2695" s="21"/>
      <c r="N2695" s="21"/>
      <c r="O2695" s="21"/>
      <c r="Q2695">
        <f t="shared" si="48"/>
        <v>0</v>
      </c>
      <c r="R2695">
        <v>5</v>
      </c>
      <c r="S2695" t="s">
        <v>5045</v>
      </c>
      <c r="T2695">
        <v>6</v>
      </c>
      <c r="U2695" t="s">
        <v>5047</v>
      </c>
      <c r="V2695">
        <f t="shared" si="51"/>
        <v>5.5</v>
      </c>
    </row>
    <row r="2696" spans="2:22" ht="15" customHeight="1" thickBot="1" x14ac:dyDescent="0.4">
      <c r="B2696" s="100">
        <f t="shared" si="49"/>
        <v>2638</v>
      </c>
      <c r="C2696" s="258" t="s">
        <v>4656</v>
      </c>
      <c r="D2696" s="258" t="s">
        <v>3940</v>
      </c>
      <c r="E2696" s="2" t="str">
        <f t="shared" si="50"/>
        <v>15</v>
      </c>
      <c r="F2696" s="262">
        <v>43854</v>
      </c>
      <c r="G2696" s="258" t="s">
        <v>4657</v>
      </c>
      <c r="H2696" s="257" t="s">
        <v>4648</v>
      </c>
      <c r="I2696" s="99" t="s">
        <v>4657</v>
      </c>
      <c r="J2696" s="77">
        <v>463</v>
      </c>
      <c r="K2696" s="78">
        <v>78.75</v>
      </c>
      <c r="L2696" s="21"/>
      <c r="M2696" s="21"/>
      <c r="N2696" s="21"/>
      <c r="O2696" s="21"/>
      <c r="Q2696">
        <f t="shared" si="48"/>
        <v>0</v>
      </c>
      <c r="R2696">
        <v>4</v>
      </c>
      <c r="S2696" t="s">
        <v>5049</v>
      </c>
      <c r="T2696">
        <v>5</v>
      </c>
      <c r="U2696" t="s">
        <v>5050</v>
      </c>
      <c r="V2696">
        <f t="shared" si="51"/>
        <v>4.416666666666667</v>
      </c>
    </row>
    <row r="2697" spans="2:22" ht="15" customHeight="1" thickBot="1" x14ac:dyDescent="0.4">
      <c r="B2697" s="100">
        <f t="shared" si="49"/>
        <v>2639</v>
      </c>
      <c r="C2697" s="263" t="s">
        <v>4658</v>
      </c>
      <c r="D2697" s="263" t="s">
        <v>3941</v>
      </c>
      <c r="E2697" s="2" t="str">
        <f t="shared" si="50"/>
        <v>15</v>
      </c>
      <c r="F2697" s="262">
        <v>43854</v>
      </c>
      <c r="G2697" s="258" t="s">
        <v>4657</v>
      </c>
      <c r="H2697" s="257" t="s">
        <v>4659</v>
      </c>
      <c r="I2697" s="99" t="s">
        <v>4657</v>
      </c>
      <c r="J2697" s="77">
        <v>450</v>
      </c>
      <c r="K2697" s="78">
        <v>71.25</v>
      </c>
      <c r="L2697" s="21"/>
      <c r="M2697" s="21"/>
      <c r="N2697" s="21"/>
      <c r="O2697" s="21"/>
      <c r="Q2697">
        <f t="shared" si="48"/>
        <v>0</v>
      </c>
      <c r="R2697">
        <v>4</v>
      </c>
      <c r="S2697" t="s">
        <v>5049</v>
      </c>
      <c r="T2697">
        <v>5</v>
      </c>
      <c r="U2697" t="s">
        <v>5050</v>
      </c>
      <c r="V2697">
        <f t="shared" si="51"/>
        <v>4.416666666666667</v>
      </c>
    </row>
    <row r="2698" spans="2:22" ht="15" customHeight="1" thickBot="1" x14ac:dyDescent="0.4">
      <c r="B2698" s="100">
        <f t="shared" si="49"/>
        <v>2640</v>
      </c>
      <c r="C2698" s="254" t="s">
        <v>4660</v>
      </c>
      <c r="D2698" s="254" t="s">
        <v>3942</v>
      </c>
      <c r="E2698" s="2" t="str">
        <f t="shared" si="50"/>
        <v>15</v>
      </c>
      <c r="F2698" s="262">
        <v>43854</v>
      </c>
      <c r="G2698" s="258" t="s">
        <v>4657</v>
      </c>
      <c r="H2698" s="257" t="s">
        <v>4661</v>
      </c>
      <c r="I2698" s="99" t="s">
        <v>4657</v>
      </c>
      <c r="J2698" s="77">
        <v>507</v>
      </c>
      <c r="K2698" s="78">
        <v>80</v>
      </c>
      <c r="L2698" s="21"/>
      <c r="M2698" s="21"/>
      <c r="N2698" s="21"/>
      <c r="O2698" s="21"/>
      <c r="Q2698">
        <f t="shared" si="48"/>
        <v>0</v>
      </c>
      <c r="R2698">
        <v>4</v>
      </c>
      <c r="S2698" t="s">
        <v>5049</v>
      </c>
      <c r="T2698">
        <v>5</v>
      </c>
      <c r="U2698" t="s">
        <v>5050</v>
      </c>
      <c r="V2698">
        <f t="shared" si="51"/>
        <v>4.416666666666667</v>
      </c>
    </row>
    <row r="2699" spans="2:22" ht="15" customHeight="1" thickBot="1" x14ac:dyDescent="0.4">
      <c r="B2699" s="100">
        <f t="shared" si="49"/>
        <v>2641</v>
      </c>
      <c r="C2699" s="254" t="s">
        <v>4662</v>
      </c>
      <c r="D2699" s="254" t="s">
        <v>3943</v>
      </c>
      <c r="E2699" s="2" t="str">
        <f t="shared" si="50"/>
        <v>14</v>
      </c>
      <c r="F2699" s="262">
        <v>43854</v>
      </c>
      <c r="G2699" s="258" t="s">
        <v>4663</v>
      </c>
      <c r="H2699" s="257" t="s">
        <v>4664</v>
      </c>
      <c r="I2699" s="99" t="s">
        <v>4663</v>
      </c>
      <c r="J2699" s="77">
        <v>418</v>
      </c>
      <c r="K2699" s="78">
        <v>63.8</v>
      </c>
      <c r="L2699" s="21"/>
      <c r="M2699" s="21"/>
      <c r="N2699" s="21"/>
      <c r="O2699" s="21"/>
      <c r="Q2699">
        <f t="shared" si="48"/>
        <v>0</v>
      </c>
      <c r="R2699">
        <v>5</v>
      </c>
      <c r="S2699" t="s">
        <v>5049</v>
      </c>
      <c r="T2699">
        <v>5</v>
      </c>
      <c r="U2699" t="s">
        <v>5050</v>
      </c>
      <c r="V2699">
        <f t="shared" si="51"/>
        <v>5.416666666666667</v>
      </c>
    </row>
    <row r="2700" spans="2:22" ht="15" customHeight="1" thickBot="1" x14ac:dyDescent="0.4">
      <c r="B2700" s="100">
        <f t="shared" si="49"/>
        <v>2642</v>
      </c>
      <c r="C2700" s="258" t="s">
        <v>4665</v>
      </c>
      <c r="D2700" s="258" t="s">
        <v>3944</v>
      </c>
      <c r="E2700" s="2" t="str">
        <f t="shared" si="50"/>
        <v>15</v>
      </c>
      <c r="F2700" s="262">
        <v>43854</v>
      </c>
      <c r="G2700" s="258" t="s">
        <v>4666</v>
      </c>
      <c r="H2700" s="257" t="s">
        <v>4645</v>
      </c>
      <c r="I2700" s="99" t="s">
        <v>4666</v>
      </c>
      <c r="J2700" s="77">
        <v>500</v>
      </c>
      <c r="K2700" s="78">
        <v>66.25</v>
      </c>
      <c r="L2700" s="21"/>
      <c r="M2700" s="21"/>
      <c r="N2700" s="21"/>
      <c r="O2700" s="21"/>
      <c r="Q2700">
        <f t="shared" si="48"/>
        <v>0</v>
      </c>
      <c r="R2700">
        <v>4</v>
      </c>
      <c r="S2700" t="s">
        <v>5045</v>
      </c>
      <c r="T2700">
        <v>5</v>
      </c>
      <c r="U2700" t="s">
        <v>5047</v>
      </c>
      <c r="V2700">
        <f t="shared" si="51"/>
        <v>4.416666666666667</v>
      </c>
    </row>
    <row r="2701" spans="2:22" ht="15" customHeight="1" thickBot="1" x14ac:dyDescent="0.4">
      <c r="B2701" s="100"/>
      <c r="C2701" s="146" t="s">
        <v>3945</v>
      </c>
      <c r="E2701" s="2" t="str">
        <f t="shared" si="50"/>
        <v/>
      </c>
      <c r="I2701" s="99"/>
      <c r="J2701" s="20"/>
      <c r="K2701" s="21"/>
      <c r="L2701" s="21"/>
      <c r="M2701" s="21"/>
      <c r="N2701" s="21"/>
      <c r="O2701" s="21"/>
    </row>
    <row r="2702" spans="2:22" ht="15" customHeight="1" thickBot="1" x14ac:dyDescent="0.4">
      <c r="B2702" s="100">
        <v>2643</v>
      </c>
      <c r="C2702" s="258" t="s">
        <v>4667</v>
      </c>
      <c r="D2702" s="258" t="s">
        <v>3946</v>
      </c>
      <c r="E2702" s="2" t="str">
        <f t="shared" si="50"/>
        <v>15</v>
      </c>
      <c r="F2702" s="264" t="s">
        <v>4668</v>
      </c>
      <c r="G2702" s="256" t="s">
        <v>4669</v>
      </c>
      <c r="H2702" s="257" t="s">
        <v>4670</v>
      </c>
      <c r="I2702" s="99" t="s">
        <v>4669</v>
      </c>
      <c r="J2702" s="20"/>
      <c r="K2702" s="21"/>
      <c r="L2702" s="21"/>
      <c r="M2702" s="21"/>
      <c r="N2702" s="21"/>
      <c r="O2702" s="21"/>
      <c r="Q2702">
        <f t="shared" ref="Q2702:Q2728" si="52">IF(E2702=18,V2702,0)</f>
        <v>0</v>
      </c>
      <c r="R2702">
        <v>4</v>
      </c>
      <c r="S2702" t="s">
        <v>5045</v>
      </c>
      <c r="T2702">
        <v>6</v>
      </c>
      <c r="U2702" t="s">
        <v>5047</v>
      </c>
      <c r="V2702">
        <f t="shared" si="51"/>
        <v>4.5</v>
      </c>
    </row>
    <row r="2703" spans="2:22" s="3" customFormat="1" ht="15" customHeight="1" thickBot="1" x14ac:dyDescent="0.4">
      <c r="B2703" s="100">
        <f t="shared" ref="B2703:B2762" si="53">(B2702+1)</f>
        <v>2644</v>
      </c>
      <c r="C2703" s="258" t="s">
        <v>4671</v>
      </c>
      <c r="D2703" s="258" t="s">
        <v>3947</v>
      </c>
      <c r="E2703" s="2" t="str">
        <f t="shared" si="50"/>
        <v>15</v>
      </c>
      <c r="F2703" s="264" t="s">
        <v>4668</v>
      </c>
      <c r="G2703" s="256" t="s">
        <v>4672</v>
      </c>
      <c r="H2703" s="257" t="s">
        <v>4673</v>
      </c>
      <c r="I2703" s="101" t="s">
        <v>4672</v>
      </c>
      <c r="J2703" s="68">
        <v>457</v>
      </c>
      <c r="K2703" s="68">
        <v>75</v>
      </c>
      <c r="L2703" s="19"/>
      <c r="M2703" s="19"/>
      <c r="N2703" s="19"/>
      <c r="O2703" s="19"/>
      <c r="Q2703">
        <f t="shared" si="52"/>
        <v>0</v>
      </c>
      <c r="R2703" s="3">
        <v>4</v>
      </c>
      <c r="S2703" s="3" t="s">
        <v>5049</v>
      </c>
      <c r="T2703" s="3">
        <v>6</v>
      </c>
      <c r="U2703" s="3" t="s">
        <v>5050</v>
      </c>
      <c r="V2703">
        <f t="shared" si="51"/>
        <v>4.5</v>
      </c>
    </row>
    <row r="2704" spans="2:22" s="3" customFormat="1" ht="15" customHeight="1" thickBot="1" x14ac:dyDescent="0.4">
      <c r="B2704" s="100">
        <f t="shared" si="53"/>
        <v>2645</v>
      </c>
      <c r="C2704" s="258" t="s">
        <v>4674</v>
      </c>
      <c r="D2704" s="258" t="s">
        <v>3948</v>
      </c>
      <c r="E2704" s="2" t="str">
        <f t="shared" si="50"/>
        <v>15</v>
      </c>
      <c r="F2704" s="264" t="s">
        <v>4668</v>
      </c>
      <c r="G2704" s="256" t="s">
        <v>4669</v>
      </c>
      <c r="H2704" s="257" t="s">
        <v>4652</v>
      </c>
      <c r="I2704" s="101" t="s">
        <v>4669</v>
      </c>
      <c r="J2704" s="68">
        <v>440</v>
      </c>
      <c r="K2704" s="68">
        <v>71.25</v>
      </c>
      <c r="L2704" s="19"/>
      <c r="M2704" s="19"/>
      <c r="N2704" s="19"/>
      <c r="O2704" s="19"/>
      <c r="Q2704">
        <f t="shared" si="52"/>
        <v>0</v>
      </c>
      <c r="R2704" s="3">
        <v>4</v>
      </c>
      <c r="S2704" s="3" t="s">
        <v>5045</v>
      </c>
      <c r="T2704" s="3">
        <v>6</v>
      </c>
      <c r="U2704" s="3" t="s">
        <v>5047</v>
      </c>
      <c r="V2704">
        <f t="shared" si="51"/>
        <v>4.5</v>
      </c>
    </row>
    <row r="2705" spans="2:22" s="3" customFormat="1" ht="15" customHeight="1" thickBot="1" x14ac:dyDescent="0.4">
      <c r="B2705" s="100">
        <f t="shared" si="53"/>
        <v>2646</v>
      </c>
      <c r="C2705" s="254" t="s">
        <v>4675</v>
      </c>
      <c r="D2705" s="254" t="s">
        <v>3949</v>
      </c>
      <c r="E2705" s="2" t="str">
        <f t="shared" si="50"/>
        <v>15</v>
      </c>
      <c r="F2705" s="264" t="s">
        <v>4668</v>
      </c>
      <c r="G2705" s="256" t="s">
        <v>4676</v>
      </c>
      <c r="H2705" s="257" t="s">
        <v>4677</v>
      </c>
      <c r="I2705" s="101" t="s">
        <v>4676</v>
      </c>
      <c r="J2705" s="68">
        <v>510</v>
      </c>
      <c r="K2705" s="68">
        <v>71.25</v>
      </c>
      <c r="L2705" s="19"/>
      <c r="M2705" s="19"/>
      <c r="N2705" s="19"/>
      <c r="O2705" s="19"/>
      <c r="Q2705">
        <f t="shared" si="52"/>
        <v>0</v>
      </c>
      <c r="R2705" s="3">
        <v>4</v>
      </c>
      <c r="S2705" s="3" t="s">
        <v>5046</v>
      </c>
      <c r="T2705" s="3">
        <v>7</v>
      </c>
      <c r="U2705" s="3" t="s">
        <v>5048</v>
      </c>
      <c r="V2705">
        <f t="shared" si="51"/>
        <v>4.583333333333333</v>
      </c>
    </row>
    <row r="2706" spans="2:22" s="3" customFormat="1" ht="15" customHeight="1" thickBot="1" x14ac:dyDescent="0.4">
      <c r="B2706" s="100">
        <f t="shared" si="53"/>
        <v>2647</v>
      </c>
      <c r="C2706" s="258" t="s">
        <v>4678</v>
      </c>
      <c r="D2706" s="258" t="s">
        <v>3950</v>
      </c>
      <c r="E2706" s="2" t="str">
        <f t="shared" si="50"/>
        <v>15</v>
      </c>
      <c r="F2706" s="265">
        <v>43938</v>
      </c>
      <c r="G2706" s="256" t="s">
        <v>4669</v>
      </c>
      <c r="H2706" s="257" t="s">
        <v>4679</v>
      </c>
      <c r="I2706" s="101" t="s">
        <v>4669</v>
      </c>
      <c r="J2706" s="68">
        <v>443</v>
      </c>
      <c r="K2706" s="68">
        <v>75</v>
      </c>
      <c r="L2706" s="19"/>
      <c r="M2706" s="19"/>
      <c r="N2706" s="19"/>
      <c r="O2706" s="19"/>
      <c r="Q2706">
        <f t="shared" si="52"/>
        <v>0</v>
      </c>
      <c r="R2706" s="3">
        <v>4</v>
      </c>
      <c r="S2706" s="3" t="s">
        <v>5045</v>
      </c>
      <c r="T2706" s="3">
        <v>6</v>
      </c>
      <c r="U2706" s="3" t="s">
        <v>5047</v>
      </c>
      <c r="V2706">
        <f t="shared" si="51"/>
        <v>4.5</v>
      </c>
    </row>
    <row r="2707" spans="2:22" s="3" customFormat="1" ht="15" customHeight="1" thickBot="1" x14ac:dyDescent="0.4">
      <c r="B2707" s="100">
        <f t="shared" si="53"/>
        <v>2648</v>
      </c>
      <c r="C2707" s="258" t="s">
        <v>4680</v>
      </c>
      <c r="D2707" s="258" t="s">
        <v>3951</v>
      </c>
      <c r="E2707" s="2" t="str">
        <f t="shared" si="50"/>
        <v>15</v>
      </c>
      <c r="F2707" s="265">
        <v>43938</v>
      </c>
      <c r="G2707" s="256" t="s">
        <v>4681</v>
      </c>
      <c r="H2707" s="257" t="s">
        <v>4682</v>
      </c>
      <c r="I2707" s="101" t="s">
        <v>4681</v>
      </c>
      <c r="J2707" s="68">
        <v>460</v>
      </c>
      <c r="K2707" s="68">
        <v>75</v>
      </c>
      <c r="L2707" s="21">
        <v>2012</v>
      </c>
      <c r="M2707" s="29">
        <f>COUNTIF(E2700:E2757,"12")</f>
        <v>3</v>
      </c>
      <c r="N2707" s="19"/>
      <c r="O2707" s="19"/>
      <c r="Q2707">
        <f t="shared" si="52"/>
        <v>0</v>
      </c>
      <c r="R2707" s="3">
        <v>4</v>
      </c>
      <c r="S2707" s="3" t="s">
        <v>5046</v>
      </c>
      <c r="T2707" s="3">
        <v>8</v>
      </c>
      <c r="U2707" s="3" t="s">
        <v>5048</v>
      </c>
      <c r="V2707">
        <f t="shared" si="51"/>
        <v>4.666666666666667</v>
      </c>
    </row>
    <row r="2708" spans="2:22" s="3" customFormat="1" ht="15" customHeight="1" thickBot="1" x14ac:dyDescent="0.4">
      <c r="B2708" s="100">
        <f t="shared" si="53"/>
        <v>2649</v>
      </c>
      <c r="C2708" s="254" t="s">
        <v>4683</v>
      </c>
      <c r="D2708" s="254" t="s">
        <v>3952</v>
      </c>
      <c r="E2708" s="2" t="str">
        <f t="shared" si="50"/>
        <v>13</v>
      </c>
      <c r="F2708" s="255">
        <v>43979</v>
      </c>
      <c r="G2708" s="256" t="s">
        <v>4684</v>
      </c>
      <c r="H2708" s="257">
        <v>2.27</v>
      </c>
      <c r="I2708" s="101" t="s">
        <v>4684</v>
      </c>
      <c r="J2708" s="68">
        <v>540</v>
      </c>
      <c r="K2708" s="68">
        <v>68.75</v>
      </c>
      <c r="L2708" s="69">
        <v>2013</v>
      </c>
      <c r="M2708" s="29">
        <f>COUNTIF(E2702:E2759,"13")</f>
        <v>4</v>
      </c>
      <c r="N2708" s="19"/>
      <c r="O2708" s="19"/>
      <c r="Q2708">
        <f t="shared" si="52"/>
        <v>0</v>
      </c>
      <c r="R2708" s="3">
        <v>7</v>
      </c>
      <c r="S2708" s="3" t="s">
        <v>5046</v>
      </c>
      <c r="V2708">
        <f t="shared" si="51"/>
        <v>7</v>
      </c>
    </row>
    <row r="2709" spans="2:22" s="3" customFormat="1" ht="15" customHeight="1" thickBot="1" x14ac:dyDescent="0.4">
      <c r="B2709" s="100">
        <f t="shared" si="53"/>
        <v>2650</v>
      </c>
      <c r="C2709" s="256" t="s">
        <v>4685</v>
      </c>
      <c r="D2709" s="256" t="s">
        <v>3953</v>
      </c>
      <c r="E2709" s="2" t="str">
        <f t="shared" si="50"/>
        <v>15</v>
      </c>
      <c r="F2709" s="255">
        <v>43980</v>
      </c>
      <c r="G2709" s="256" t="s">
        <v>4686</v>
      </c>
      <c r="H2709" s="266">
        <v>3.08</v>
      </c>
      <c r="I2709" s="101" t="s">
        <v>4686</v>
      </c>
      <c r="J2709" s="68">
        <v>543</v>
      </c>
      <c r="K2709" s="68">
        <v>53</v>
      </c>
      <c r="L2709" s="69">
        <v>2014</v>
      </c>
      <c r="M2709" s="29">
        <f>COUNTIF(E2700:E2760,"14")</f>
        <v>0</v>
      </c>
      <c r="N2709" s="19"/>
      <c r="O2709" s="19"/>
      <c r="Q2709">
        <f t="shared" si="52"/>
        <v>0</v>
      </c>
      <c r="R2709" s="3">
        <v>4</v>
      </c>
      <c r="S2709" s="3" t="s">
        <v>5046</v>
      </c>
      <c r="T2709" s="3">
        <v>9</v>
      </c>
      <c r="U2709" s="3" t="s">
        <v>5048</v>
      </c>
      <c r="V2709">
        <f t="shared" si="51"/>
        <v>4.75</v>
      </c>
    </row>
    <row r="2710" spans="2:22" s="3" customFormat="1" ht="15" customHeight="1" thickBot="1" x14ac:dyDescent="0.4">
      <c r="B2710" s="100">
        <f t="shared" si="53"/>
        <v>2651</v>
      </c>
      <c r="C2710" s="256" t="s">
        <v>4687</v>
      </c>
      <c r="D2710" s="256" t="s">
        <v>3954</v>
      </c>
      <c r="E2710" s="2" t="str">
        <f t="shared" si="50"/>
        <v>16</v>
      </c>
      <c r="F2710" s="267">
        <v>44029</v>
      </c>
      <c r="G2710" s="261" t="s">
        <v>4688</v>
      </c>
      <c r="H2710" s="268">
        <v>3.47</v>
      </c>
      <c r="I2710" s="101" t="s">
        <v>4688</v>
      </c>
      <c r="J2710" s="68">
        <v>433</v>
      </c>
      <c r="K2710" s="68">
        <v>78.75</v>
      </c>
      <c r="L2710" s="69">
        <v>2015</v>
      </c>
      <c r="M2710" s="29">
        <f>COUNTIF(E2700:E2757,"15")</f>
        <v>15</v>
      </c>
      <c r="N2710" s="19"/>
      <c r="O2710" s="84" t="e">
        <f>SUM(G2700:G2705)+G2707+G2709+G2710+SUM(G2725:G2726)+G2729+SUM(G2739:G2740)</f>
        <v>#VALUE!</v>
      </c>
      <c r="Q2710">
        <f t="shared" si="52"/>
        <v>0</v>
      </c>
      <c r="R2710" s="3">
        <v>3</v>
      </c>
      <c r="S2710" s="3" t="s">
        <v>5046</v>
      </c>
      <c r="T2710" s="3">
        <v>11</v>
      </c>
      <c r="U2710" s="3" t="s">
        <v>5048</v>
      </c>
      <c r="V2710">
        <f t="shared" si="51"/>
        <v>3.9166666666666665</v>
      </c>
    </row>
    <row r="2711" spans="2:22" s="3" customFormat="1" ht="15" customHeight="1" thickBot="1" x14ac:dyDescent="0.4">
      <c r="B2711" s="100">
        <f t="shared" si="53"/>
        <v>2652</v>
      </c>
      <c r="C2711" s="256" t="s">
        <v>4689</v>
      </c>
      <c r="D2711" s="256" t="s">
        <v>3955</v>
      </c>
      <c r="E2711" s="2" t="str">
        <f t="shared" si="50"/>
        <v>16</v>
      </c>
      <c r="F2711" s="267">
        <v>44036</v>
      </c>
      <c r="G2711" s="261" t="s">
        <v>4606</v>
      </c>
      <c r="H2711" s="268">
        <v>3.61</v>
      </c>
      <c r="I2711" s="101" t="s">
        <v>4606</v>
      </c>
      <c r="J2711" s="68">
        <v>279</v>
      </c>
      <c r="K2711" s="68">
        <v>80</v>
      </c>
      <c r="L2711" s="69">
        <v>2016</v>
      </c>
      <c r="M2711" s="29">
        <f>COUNTIF(E2700:E2757,"16")</f>
        <v>35</v>
      </c>
      <c r="N2711" s="19"/>
      <c r="O2711" s="19"/>
      <c r="Q2711">
        <f t="shared" si="52"/>
        <v>0</v>
      </c>
      <c r="R2711" s="3">
        <v>4</v>
      </c>
      <c r="S2711" s="3" t="s">
        <v>5046</v>
      </c>
      <c r="V2711">
        <f t="shared" si="51"/>
        <v>4</v>
      </c>
    </row>
    <row r="2712" spans="2:22" s="3" customFormat="1" ht="15" customHeight="1" thickBot="1" x14ac:dyDescent="0.4">
      <c r="B2712" s="100">
        <f t="shared" si="53"/>
        <v>2653</v>
      </c>
      <c r="C2712" s="256" t="s">
        <v>4690</v>
      </c>
      <c r="D2712" s="256" t="s">
        <v>3956</v>
      </c>
      <c r="E2712" s="2" t="str">
        <f t="shared" si="50"/>
        <v>15</v>
      </c>
      <c r="F2712" s="267">
        <v>44036</v>
      </c>
      <c r="G2712" s="261" t="s">
        <v>4691</v>
      </c>
      <c r="H2712" s="268">
        <v>3.04</v>
      </c>
      <c r="I2712" s="101" t="s">
        <v>4691</v>
      </c>
      <c r="J2712" s="68">
        <v>417</v>
      </c>
      <c r="K2712" s="68">
        <v>60</v>
      </c>
      <c r="L2712" s="21"/>
      <c r="M2712" s="21" t="s">
        <v>580</v>
      </c>
      <c r="N2712" s="19"/>
      <c r="O2712" s="19"/>
      <c r="Q2712">
        <f t="shared" si="52"/>
        <v>0</v>
      </c>
      <c r="R2712" s="3">
        <v>4</v>
      </c>
      <c r="S2712" s="3" t="s">
        <v>5046</v>
      </c>
      <c r="T2712" s="3">
        <v>10</v>
      </c>
      <c r="U2712" s="3" t="s">
        <v>5048</v>
      </c>
      <c r="V2712">
        <f t="shared" si="51"/>
        <v>4.833333333333333</v>
      </c>
    </row>
    <row r="2713" spans="2:22" s="3" customFormat="1" ht="15" customHeight="1" thickBot="1" x14ac:dyDescent="0.4">
      <c r="B2713" s="100">
        <f t="shared" si="53"/>
        <v>2654</v>
      </c>
      <c r="C2713" s="256" t="s">
        <v>4692</v>
      </c>
      <c r="D2713" s="256" t="s">
        <v>3957</v>
      </c>
      <c r="E2713" s="2" t="str">
        <f t="shared" si="50"/>
        <v>16</v>
      </c>
      <c r="F2713" s="267">
        <v>44036</v>
      </c>
      <c r="G2713" s="261" t="s">
        <v>4606</v>
      </c>
      <c r="H2713" s="268">
        <v>3.31</v>
      </c>
      <c r="I2713" s="101" t="s">
        <v>4606</v>
      </c>
      <c r="J2713" s="68">
        <v>537</v>
      </c>
      <c r="K2713" s="68">
        <v>77.5</v>
      </c>
      <c r="L2713" s="19"/>
      <c r="M2713" s="80"/>
      <c r="N2713" s="19"/>
      <c r="O2713" s="19"/>
      <c r="Q2713">
        <f t="shared" si="52"/>
        <v>0</v>
      </c>
      <c r="R2713" s="3">
        <v>4</v>
      </c>
      <c r="S2713" s="3" t="s">
        <v>5046</v>
      </c>
      <c r="V2713">
        <f t="shared" si="51"/>
        <v>4</v>
      </c>
    </row>
    <row r="2714" spans="2:22" s="3" customFormat="1" ht="15" customHeight="1" thickBot="1" x14ac:dyDescent="0.4">
      <c r="B2714" s="100">
        <f t="shared" si="53"/>
        <v>2655</v>
      </c>
      <c r="C2714" s="256" t="s">
        <v>4693</v>
      </c>
      <c r="D2714" s="256" t="s">
        <v>3958</v>
      </c>
      <c r="E2714" s="2" t="str">
        <f t="shared" si="50"/>
        <v>15</v>
      </c>
      <c r="F2714" s="267">
        <v>44036</v>
      </c>
      <c r="G2714" s="261" t="s">
        <v>4694</v>
      </c>
      <c r="H2714" s="268">
        <v>3.01</v>
      </c>
      <c r="I2714" s="101" t="s">
        <v>4694</v>
      </c>
      <c r="J2714" s="68">
        <v>410</v>
      </c>
      <c r="K2714" s="68">
        <v>80</v>
      </c>
      <c r="L2714" s="19"/>
      <c r="M2714" s="19"/>
      <c r="N2714" s="19"/>
      <c r="O2714" s="19"/>
      <c r="Q2714">
        <f t="shared" si="52"/>
        <v>0</v>
      </c>
      <c r="R2714" s="3">
        <v>4</v>
      </c>
      <c r="S2714" s="3" t="s">
        <v>5046</v>
      </c>
      <c r="T2714" s="3">
        <v>11</v>
      </c>
      <c r="U2714" s="3" t="s">
        <v>5048</v>
      </c>
      <c r="V2714">
        <f t="shared" si="51"/>
        <v>4.916666666666667</v>
      </c>
    </row>
    <row r="2715" spans="2:22" s="3" customFormat="1" ht="15" customHeight="1" thickBot="1" x14ac:dyDescent="0.4">
      <c r="B2715" s="100">
        <f t="shared" si="53"/>
        <v>2656</v>
      </c>
      <c r="C2715" s="256" t="s">
        <v>4695</v>
      </c>
      <c r="D2715" s="256" t="s">
        <v>3959</v>
      </c>
      <c r="E2715" s="2" t="str">
        <f t="shared" si="50"/>
        <v>16</v>
      </c>
      <c r="F2715" s="267">
        <v>44036</v>
      </c>
      <c r="G2715" s="261" t="s">
        <v>4688</v>
      </c>
      <c r="H2715" s="268">
        <v>3.51</v>
      </c>
      <c r="I2715" s="101" t="s">
        <v>4688</v>
      </c>
      <c r="J2715" s="68">
        <v>586</v>
      </c>
      <c r="K2715" s="68">
        <v>75</v>
      </c>
      <c r="L2715" s="29" t="s">
        <v>1798</v>
      </c>
      <c r="M2715" s="34">
        <f>AVERAGE(G2700:G2757)</f>
        <v>3.99</v>
      </c>
      <c r="N2715" s="19"/>
      <c r="O2715" s="19"/>
      <c r="Q2715">
        <f t="shared" si="52"/>
        <v>0</v>
      </c>
      <c r="R2715" s="3">
        <v>3</v>
      </c>
      <c r="S2715" s="3" t="s">
        <v>5046</v>
      </c>
      <c r="T2715" s="3">
        <v>11</v>
      </c>
      <c r="U2715" s="3" t="s">
        <v>5048</v>
      </c>
      <c r="V2715">
        <f t="shared" si="51"/>
        <v>3.9166666666666665</v>
      </c>
    </row>
    <row r="2716" spans="2:22" s="3" customFormat="1" ht="15" customHeight="1" thickBot="1" x14ac:dyDescent="0.4">
      <c r="B2716" s="100">
        <f t="shared" si="53"/>
        <v>2657</v>
      </c>
      <c r="C2716" s="256" t="s">
        <v>4696</v>
      </c>
      <c r="D2716" s="256" t="s">
        <v>3961</v>
      </c>
      <c r="E2716" s="2" t="str">
        <f t="shared" si="50"/>
        <v>16</v>
      </c>
      <c r="F2716" s="267">
        <v>44036</v>
      </c>
      <c r="G2716" s="261" t="s">
        <v>4688</v>
      </c>
      <c r="H2716" s="268">
        <v>3.39</v>
      </c>
      <c r="I2716" s="101" t="s">
        <v>4688</v>
      </c>
      <c r="J2716" s="68">
        <v>430</v>
      </c>
      <c r="K2716" s="68">
        <v>75</v>
      </c>
      <c r="L2716" s="19" t="s">
        <v>3960</v>
      </c>
      <c r="M2716" s="84">
        <f>AVERAGE(H2700:H2757)</f>
        <v>3.2363636363636372</v>
      </c>
      <c r="N2716" s="19"/>
      <c r="O2716" s="19"/>
      <c r="Q2716">
        <f t="shared" si="52"/>
        <v>0</v>
      </c>
      <c r="R2716" s="3">
        <v>3</v>
      </c>
      <c r="S2716" s="3" t="s">
        <v>5046</v>
      </c>
      <c r="T2716" s="3">
        <v>11</v>
      </c>
      <c r="U2716" s="3" t="s">
        <v>5048</v>
      </c>
      <c r="V2716">
        <f t="shared" si="51"/>
        <v>3.9166666666666665</v>
      </c>
    </row>
    <row r="2717" spans="2:22" s="3" customFormat="1" ht="15" customHeight="1" thickBot="1" x14ac:dyDescent="0.4">
      <c r="B2717" s="100">
        <f t="shared" si="53"/>
        <v>2658</v>
      </c>
      <c r="C2717" s="256" t="s">
        <v>4697</v>
      </c>
      <c r="D2717" s="256" t="s">
        <v>3962</v>
      </c>
      <c r="E2717" s="2" t="str">
        <f t="shared" si="50"/>
        <v>16</v>
      </c>
      <c r="F2717" s="267">
        <v>44036</v>
      </c>
      <c r="G2717" s="261" t="s">
        <v>4698</v>
      </c>
      <c r="H2717" s="268">
        <v>3.62</v>
      </c>
      <c r="I2717" s="101" t="s">
        <v>4698</v>
      </c>
      <c r="J2717" s="68">
        <v>400</v>
      </c>
      <c r="K2717" s="68">
        <v>75</v>
      </c>
      <c r="L2717" s="19"/>
      <c r="M2717" s="19"/>
      <c r="N2717" s="19"/>
      <c r="O2717" s="19"/>
      <c r="Q2717">
        <f t="shared" si="52"/>
        <v>0</v>
      </c>
      <c r="R2717" s="3">
        <v>3</v>
      </c>
      <c r="S2717" s="3" t="s">
        <v>5049</v>
      </c>
      <c r="T2717" s="3">
        <v>11</v>
      </c>
      <c r="U2717" s="3" t="s">
        <v>5050</v>
      </c>
      <c r="V2717">
        <f t="shared" si="51"/>
        <v>3.9166666666666665</v>
      </c>
    </row>
    <row r="2718" spans="2:22" s="3" customFormat="1" ht="15" customHeight="1" thickBot="1" x14ac:dyDescent="0.4">
      <c r="B2718" s="100">
        <f t="shared" si="53"/>
        <v>2659</v>
      </c>
      <c r="C2718" s="258" t="s">
        <v>4699</v>
      </c>
      <c r="D2718" s="258" t="s">
        <v>3963</v>
      </c>
      <c r="E2718" s="2" t="str">
        <f t="shared" si="50"/>
        <v>16</v>
      </c>
      <c r="F2718" s="267">
        <v>44036</v>
      </c>
      <c r="G2718" s="261" t="s">
        <v>4606</v>
      </c>
      <c r="H2718" s="268">
        <v>3.67</v>
      </c>
      <c r="I2718" s="101" t="s">
        <v>4606</v>
      </c>
      <c r="J2718" s="68">
        <v>417</v>
      </c>
      <c r="K2718" s="68">
        <v>85</v>
      </c>
      <c r="L2718" s="19"/>
      <c r="M2718" s="19"/>
      <c r="N2718" s="19"/>
      <c r="O2718" s="19"/>
      <c r="Q2718">
        <f t="shared" si="52"/>
        <v>0</v>
      </c>
      <c r="R2718" s="3">
        <v>4</v>
      </c>
      <c r="S2718" s="3" t="s">
        <v>5046</v>
      </c>
      <c r="V2718">
        <f t="shared" si="51"/>
        <v>4</v>
      </c>
    </row>
    <row r="2719" spans="2:22" s="3" customFormat="1" ht="15" customHeight="1" thickBot="1" x14ac:dyDescent="0.4">
      <c r="B2719" s="100">
        <f t="shared" si="53"/>
        <v>2660</v>
      </c>
      <c r="C2719" s="258" t="s">
        <v>4700</v>
      </c>
      <c r="D2719" s="258" t="s">
        <v>3964</v>
      </c>
      <c r="E2719" s="2" t="str">
        <f t="shared" si="50"/>
        <v>16</v>
      </c>
      <c r="F2719" s="267">
        <v>44036</v>
      </c>
      <c r="G2719" s="269" t="s">
        <v>4701</v>
      </c>
      <c r="H2719" s="268">
        <v>3.61</v>
      </c>
      <c r="I2719" s="101" t="s">
        <v>4701</v>
      </c>
      <c r="J2719" s="68">
        <v>205</v>
      </c>
      <c r="K2719" s="68">
        <v>81</v>
      </c>
      <c r="L2719" s="19"/>
      <c r="M2719" s="19"/>
      <c r="N2719" s="19"/>
      <c r="O2719" s="19"/>
      <c r="Q2719">
        <f t="shared" si="52"/>
        <v>0</v>
      </c>
      <c r="R2719" s="3">
        <v>3</v>
      </c>
      <c r="S2719" s="3" t="s">
        <v>5045</v>
      </c>
      <c r="T2719" s="3">
        <v>11</v>
      </c>
      <c r="U2719" s="3" t="s">
        <v>5047</v>
      </c>
      <c r="V2719">
        <f t="shared" si="51"/>
        <v>3.9166666666666665</v>
      </c>
    </row>
    <row r="2720" spans="2:22" s="3" customFormat="1" ht="15" customHeight="1" thickBot="1" x14ac:dyDescent="0.4">
      <c r="B2720" s="100">
        <f t="shared" si="53"/>
        <v>2661</v>
      </c>
      <c r="C2720" s="258" t="s">
        <v>4702</v>
      </c>
      <c r="D2720" s="258" t="s">
        <v>3965</v>
      </c>
      <c r="E2720" s="2" t="str">
        <f t="shared" si="50"/>
        <v>16</v>
      </c>
      <c r="F2720" s="267">
        <v>44036</v>
      </c>
      <c r="G2720" s="261" t="s">
        <v>4688</v>
      </c>
      <c r="H2720" s="268">
        <v>3.75</v>
      </c>
      <c r="I2720" s="101" t="s">
        <v>4688</v>
      </c>
      <c r="J2720" s="68">
        <v>417</v>
      </c>
      <c r="K2720" s="68">
        <v>85</v>
      </c>
      <c r="L2720" s="19"/>
      <c r="M2720" s="19"/>
      <c r="N2720" s="19"/>
      <c r="O2720" s="19"/>
      <c r="Q2720">
        <f t="shared" si="52"/>
        <v>0</v>
      </c>
      <c r="R2720" s="3">
        <v>3</v>
      </c>
      <c r="S2720" s="3" t="s">
        <v>5046</v>
      </c>
      <c r="T2720" s="3">
        <v>11</v>
      </c>
      <c r="U2720" s="3" t="s">
        <v>5048</v>
      </c>
      <c r="V2720">
        <f t="shared" si="51"/>
        <v>3.9166666666666665</v>
      </c>
    </row>
    <row r="2721" spans="2:22" s="3" customFormat="1" ht="15" customHeight="1" thickBot="1" x14ac:dyDescent="0.4">
      <c r="B2721" s="100">
        <f t="shared" si="53"/>
        <v>2662</v>
      </c>
      <c r="C2721" s="258" t="s">
        <v>4703</v>
      </c>
      <c r="D2721" s="258" t="s">
        <v>3966</v>
      </c>
      <c r="E2721" s="2" t="str">
        <f t="shared" si="50"/>
        <v>16</v>
      </c>
      <c r="F2721" s="267">
        <v>44036</v>
      </c>
      <c r="G2721" s="261" t="s">
        <v>4688</v>
      </c>
      <c r="H2721" s="268">
        <v>3.45</v>
      </c>
      <c r="I2721" s="101" t="s">
        <v>4688</v>
      </c>
      <c r="J2721" s="68">
        <v>457</v>
      </c>
      <c r="K2721" s="68">
        <v>70</v>
      </c>
      <c r="L2721" s="19"/>
      <c r="M2721" s="19"/>
      <c r="N2721" s="19"/>
      <c r="O2721" s="19"/>
      <c r="Q2721">
        <f t="shared" si="52"/>
        <v>0</v>
      </c>
      <c r="R2721" s="3">
        <v>3</v>
      </c>
      <c r="S2721" s="3" t="s">
        <v>5046</v>
      </c>
      <c r="T2721" s="3">
        <v>11</v>
      </c>
      <c r="U2721" s="3" t="s">
        <v>5048</v>
      </c>
      <c r="V2721">
        <f t="shared" si="51"/>
        <v>3.9166666666666665</v>
      </c>
    </row>
    <row r="2722" spans="2:22" s="3" customFormat="1" ht="15" customHeight="1" thickBot="1" x14ac:dyDescent="0.4">
      <c r="B2722" s="100">
        <f t="shared" si="53"/>
        <v>2663</v>
      </c>
      <c r="C2722" s="258" t="s">
        <v>4704</v>
      </c>
      <c r="D2722" s="258" t="s">
        <v>3967</v>
      </c>
      <c r="E2722" s="2" t="str">
        <f t="shared" si="50"/>
        <v>16</v>
      </c>
      <c r="F2722" s="267">
        <v>44036</v>
      </c>
      <c r="G2722" s="261" t="s">
        <v>4705</v>
      </c>
      <c r="H2722" s="268">
        <v>3.17</v>
      </c>
      <c r="I2722" s="101" t="s">
        <v>4705</v>
      </c>
      <c r="J2722" s="68">
        <v>526</v>
      </c>
      <c r="K2722" s="19"/>
      <c r="L2722" s="19"/>
      <c r="M2722" s="19"/>
      <c r="N2722" s="19"/>
      <c r="O2722" s="19"/>
      <c r="Q2722">
        <f t="shared" si="52"/>
        <v>0</v>
      </c>
      <c r="R2722" s="3">
        <v>4</v>
      </c>
      <c r="S2722" s="3" t="s">
        <v>5049</v>
      </c>
      <c r="T2722" s="3">
        <v>0</v>
      </c>
      <c r="U2722" s="3" t="s">
        <v>5050</v>
      </c>
      <c r="V2722">
        <f t="shared" si="51"/>
        <v>4</v>
      </c>
    </row>
    <row r="2723" spans="2:22" s="3" customFormat="1" ht="15" customHeight="1" thickBot="1" x14ac:dyDescent="0.4">
      <c r="B2723" s="100">
        <f t="shared" si="53"/>
        <v>2664</v>
      </c>
      <c r="C2723" s="258" t="s">
        <v>4706</v>
      </c>
      <c r="D2723" s="258" t="s">
        <v>3968</v>
      </c>
      <c r="E2723" s="2" t="str">
        <f t="shared" si="50"/>
        <v>16</v>
      </c>
      <c r="F2723" s="267">
        <v>44036</v>
      </c>
      <c r="G2723" s="270">
        <v>3.99</v>
      </c>
      <c r="H2723" s="268" t="s">
        <v>4707</v>
      </c>
      <c r="I2723" s="101">
        <v>3.99</v>
      </c>
      <c r="J2723" s="68">
        <v>467</v>
      </c>
      <c r="K2723" s="68">
        <v>87</v>
      </c>
      <c r="L2723" s="19"/>
      <c r="M2723" s="19"/>
      <c r="N2723" s="19"/>
      <c r="O2723" s="19"/>
      <c r="Q2723">
        <f t="shared" si="52"/>
        <v>0</v>
      </c>
      <c r="R2723" s="3">
        <v>3.99</v>
      </c>
      <c r="V2723">
        <f t="shared" si="51"/>
        <v>3.99</v>
      </c>
    </row>
    <row r="2724" spans="2:22" s="3" customFormat="1" ht="15" customHeight="1" thickBot="1" x14ac:dyDescent="0.4">
      <c r="B2724" s="100">
        <f t="shared" si="53"/>
        <v>2665</v>
      </c>
      <c r="C2724" s="258" t="s">
        <v>4708</v>
      </c>
      <c r="D2724" s="258" t="s">
        <v>3969</v>
      </c>
      <c r="E2724" s="2" t="str">
        <f t="shared" si="50"/>
        <v>16</v>
      </c>
      <c r="F2724" s="267">
        <v>44036</v>
      </c>
      <c r="G2724" s="261" t="s">
        <v>4606</v>
      </c>
      <c r="H2724" s="268">
        <v>3.54</v>
      </c>
      <c r="I2724" s="101" t="s">
        <v>4606</v>
      </c>
      <c r="J2724" s="68">
        <v>470</v>
      </c>
      <c r="K2724" s="68">
        <v>75</v>
      </c>
      <c r="L2724" s="19"/>
      <c r="M2724" s="19"/>
      <c r="N2724" s="19"/>
      <c r="O2724" s="19"/>
      <c r="Q2724">
        <f t="shared" si="52"/>
        <v>0</v>
      </c>
      <c r="R2724" s="3">
        <v>4</v>
      </c>
      <c r="S2724" s="3" t="s">
        <v>5046</v>
      </c>
      <c r="V2724">
        <f t="shared" si="51"/>
        <v>4</v>
      </c>
    </row>
    <row r="2725" spans="2:22" s="3" customFormat="1" ht="15" customHeight="1" thickBot="1" x14ac:dyDescent="0.4">
      <c r="B2725" s="100">
        <f t="shared" si="53"/>
        <v>2666</v>
      </c>
      <c r="C2725" s="258" t="s">
        <v>4709</v>
      </c>
      <c r="D2725" s="258" t="s">
        <v>3970</v>
      </c>
      <c r="E2725" s="2" t="str">
        <f t="shared" si="50"/>
        <v>16</v>
      </c>
      <c r="F2725" s="267">
        <v>44036</v>
      </c>
      <c r="G2725" s="261" t="s">
        <v>4688</v>
      </c>
      <c r="H2725" s="268">
        <v>2.82</v>
      </c>
      <c r="I2725" s="101" t="s">
        <v>4688</v>
      </c>
      <c r="J2725" s="68">
        <v>228</v>
      </c>
      <c r="K2725" s="68">
        <v>87</v>
      </c>
      <c r="L2725" s="19"/>
      <c r="M2725" s="19"/>
      <c r="N2725" s="19"/>
      <c r="O2725" s="19"/>
      <c r="Q2725">
        <f t="shared" si="52"/>
        <v>0</v>
      </c>
      <c r="R2725" s="3">
        <v>3</v>
      </c>
      <c r="S2725" s="3" t="s">
        <v>5046</v>
      </c>
      <c r="T2725" s="3">
        <v>11</v>
      </c>
      <c r="U2725" s="3" t="s">
        <v>5048</v>
      </c>
      <c r="V2725">
        <f t="shared" si="51"/>
        <v>3.9166666666666665</v>
      </c>
    </row>
    <row r="2726" spans="2:22" s="3" customFormat="1" ht="15" customHeight="1" thickBot="1" x14ac:dyDescent="0.4">
      <c r="B2726" s="100">
        <f t="shared" si="53"/>
        <v>2667</v>
      </c>
      <c r="C2726" s="258" t="s">
        <v>4710</v>
      </c>
      <c r="D2726" s="258" t="s">
        <v>3971</v>
      </c>
      <c r="E2726" s="2" t="str">
        <f t="shared" si="50"/>
        <v>16</v>
      </c>
      <c r="F2726" s="267">
        <v>44036</v>
      </c>
      <c r="G2726" s="261" t="s">
        <v>4711</v>
      </c>
      <c r="H2726" s="268">
        <v>3.24</v>
      </c>
      <c r="I2726" s="101" t="s">
        <v>4711</v>
      </c>
      <c r="J2726" s="68">
        <v>430</v>
      </c>
      <c r="K2726" s="68">
        <v>90</v>
      </c>
      <c r="L2726" s="19"/>
      <c r="M2726" s="19"/>
      <c r="N2726" s="19"/>
      <c r="O2726" s="19"/>
      <c r="Q2726">
        <f t="shared" si="52"/>
        <v>0</v>
      </c>
      <c r="R2726" s="3">
        <v>3</v>
      </c>
      <c r="S2726" s="3" t="s">
        <v>5045</v>
      </c>
      <c r="T2726" s="3">
        <v>10</v>
      </c>
      <c r="U2726" s="3" t="s">
        <v>5047</v>
      </c>
      <c r="V2726">
        <f t="shared" si="51"/>
        <v>3.8333333333333335</v>
      </c>
    </row>
    <row r="2727" spans="2:22" s="3" customFormat="1" ht="15" customHeight="1" thickBot="1" x14ac:dyDescent="0.4">
      <c r="B2727" s="100">
        <f t="shared" si="53"/>
        <v>2668</v>
      </c>
      <c r="C2727" s="258" t="s">
        <v>4712</v>
      </c>
      <c r="D2727" s="258" t="s">
        <v>3972</v>
      </c>
      <c r="E2727" s="2" t="str">
        <f t="shared" si="50"/>
        <v>16</v>
      </c>
      <c r="F2727" s="267">
        <v>44036</v>
      </c>
      <c r="G2727" s="261" t="s">
        <v>4701</v>
      </c>
      <c r="H2727" s="268">
        <v>3.33</v>
      </c>
      <c r="I2727" s="101" t="s">
        <v>4701</v>
      </c>
      <c r="J2727" s="68">
        <v>440</v>
      </c>
      <c r="K2727" s="68">
        <v>70</v>
      </c>
      <c r="L2727" s="19"/>
      <c r="M2727" s="19"/>
      <c r="N2727" s="19"/>
      <c r="O2727" s="19"/>
      <c r="Q2727">
        <f t="shared" si="52"/>
        <v>0</v>
      </c>
      <c r="R2727" s="3">
        <v>3</v>
      </c>
      <c r="S2727" s="3" t="s">
        <v>5045</v>
      </c>
      <c r="T2727" s="3">
        <v>11</v>
      </c>
      <c r="U2727" s="3" t="s">
        <v>5047</v>
      </c>
      <c r="V2727">
        <f t="shared" si="51"/>
        <v>3.9166666666666665</v>
      </c>
    </row>
    <row r="2728" spans="2:22" s="3" customFormat="1" ht="15" customHeight="1" thickBot="1" x14ac:dyDescent="0.4">
      <c r="B2728" s="100">
        <f t="shared" si="53"/>
        <v>2669</v>
      </c>
      <c r="C2728" s="258" t="s">
        <v>4713</v>
      </c>
      <c r="D2728" s="258" t="s">
        <v>3973</v>
      </c>
      <c r="E2728" s="2" t="str">
        <f t="shared" si="50"/>
        <v>16</v>
      </c>
      <c r="F2728" s="267">
        <v>44036</v>
      </c>
      <c r="G2728" s="261" t="s">
        <v>4688</v>
      </c>
      <c r="H2728" s="268">
        <v>3.22</v>
      </c>
      <c r="I2728" s="101" t="s">
        <v>4688</v>
      </c>
      <c r="J2728" s="68">
        <v>456</v>
      </c>
      <c r="K2728" s="68">
        <v>82</v>
      </c>
      <c r="L2728" s="19"/>
      <c r="M2728" s="19"/>
      <c r="N2728" s="19"/>
      <c r="O2728" s="19"/>
      <c r="Q2728">
        <f t="shared" si="52"/>
        <v>0</v>
      </c>
      <c r="R2728" s="3">
        <v>3</v>
      </c>
      <c r="S2728" s="3" t="s">
        <v>5046</v>
      </c>
      <c r="T2728" s="3">
        <v>11</v>
      </c>
      <c r="U2728" s="3" t="s">
        <v>5048</v>
      </c>
      <c r="V2728">
        <f t="shared" si="51"/>
        <v>3.9166666666666665</v>
      </c>
    </row>
    <row r="2729" spans="2:22" s="3" customFormat="1" ht="15" customHeight="1" thickBot="1" x14ac:dyDescent="0.4">
      <c r="B2729" s="100">
        <f t="shared" si="53"/>
        <v>2670</v>
      </c>
      <c r="C2729" s="258" t="s">
        <v>4714</v>
      </c>
      <c r="D2729" s="258" t="s">
        <v>3974</v>
      </c>
      <c r="E2729" s="2" t="str">
        <f t="shared" si="50"/>
        <v>15</v>
      </c>
      <c r="F2729" s="267">
        <v>44036</v>
      </c>
      <c r="G2729" s="261" t="s">
        <v>4691</v>
      </c>
      <c r="H2729" s="268">
        <v>3.11</v>
      </c>
      <c r="I2729" s="101" t="s">
        <v>4691</v>
      </c>
      <c r="J2729" s="68">
        <v>477</v>
      </c>
      <c r="K2729" s="68">
        <v>70</v>
      </c>
      <c r="L2729" s="19"/>
      <c r="M2729" s="19"/>
      <c r="N2729" s="19"/>
      <c r="O2729" s="19"/>
      <c r="R2729" s="3">
        <v>4</v>
      </c>
      <c r="S2729" s="3" t="s">
        <v>5046</v>
      </c>
      <c r="T2729" s="3">
        <v>10</v>
      </c>
      <c r="U2729" s="3" t="s">
        <v>5048</v>
      </c>
      <c r="V2729">
        <f t="shared" si="51"/>
        <v>4.833333333333333</v>
      </c>
    </row>
    <row r="2730" spans="2:22" s="3" customFormat="1" ht="15" customHeight="1" thickBot="1" x14ac:dyDescent="0.4">
      <c r="B2730" s="100">
        <f t="shared" si="53"/>
        <v>2671</v>
      </c>
      <c r="C2730" s="258" t="s">
        <v>4715</v>
      </c>
      <c r="D2730" s="258" t="s">
        <v>3975</v>
      </c>
      <c r="E2730" s="2" t="str">
        <f t="shared" si="50"/>
        <v>15</v>
      </c>
      <c r="F2730" s="267">
        <v>44036</v>
      </c>
      <c r="G2730" s="261" t="s">
        <v>4694</v>
      </c>
      <c r="H2730" s="268">
        <v>2.91</v>
      </c>
      <c r="I2730" s="101" t="s">
        <v>4694</v>
      </c>
      <c r="J2730" s="68">
        <v>501</v>
      </c>
      <c r="K2730" s="68">
        <v>73.75</v>
      </c>
      <c r="L2730" s="19"/>
      <c r="M2730" s="19"/>
      <c r="N2730" s="19"/>
      <c r="O2730" s="19"/>
      <c r="R2730" s="3">
        <v>4</v>
      </c>
      <c r="S2730" s="3" t="s">
        <v>5046</v>
      </c>
      <c r="T2730" s="3">
        <v>11</v>
      </c>
      <c r="U2730" s="3" t="s">
        <v>5048</v>
      </c>
      <c r="V2730">
        <f t="shared" si="51"/>
        <v>4.916666666666667</v>
      </c>
    </row>
    <row r="2731" spans="2:22" s="3" customFormat="1" ht="15" customHeight="1" thickBot="1" x14ac:dyDescent="0.4">
      <c r="B2731" s="100">
        <f t="shared" si="53"/>
        <v>2672</v>
      </c>
      <c r="C2731" s="258" t="s">
        <v>4716</v>
      </c>
      <c r="D2731" s="258" t="s">
        <v>3976</v>
      </c>
      <c r="E2731" s="2" t="str">
        <f t="shared" si="50"/>
        <v>16</v>
      </c>
      <c r="F2731" s="267">
        <v>44036</v>
      </c>
      <c r="G2731" s="261" t="s">
        <v>4688</v>
      </c>
      <c r="H2731" s="268">
        <v>3.25</v>
      </c>
      <c r="I2731" s="101" t="s">
        <v>4688</v>
      </c>
      <c r="J2731" s="68">
        <v>457</v>
      </c>
      <c r="K2731" s="68">
        <v>77.5</v>
      </c>
      <c r="L2731" s="19"/>
      <c r="M2731" s="19"/>
      <c r="N2731" s="19"/>
      <c r="O2731" s="19"/>
      <c r="R2731" s="3">
        <v>3</v>
      </c>
      <c r="S2731" s="3" t="s">
        <v>5046</v>
      </c>
      <c r="T2731" s="3">
        <v>11</v>
      </c>
      <c r="U2731" s="3" t="s">
        <v>5048</v>
      </c>
      <c r="V2731">
        <f t="shared" si="51"/>
        <v>3.9166666666666665</v>
      </c>
    </row>
    <row r="2732" spans="2:22" s="3" customFormat="1" ht="15" customHeight="1" thickBot="1" x14ac:dyDescent="0.4">
      <c r="B2732" s="100">
        <f t="shared" si="53"/>
        <v>2673</v>
      </c>
      <c r="C2732" s="258" t="s">
        <v>4717</v>
      </c>
      <c r="D2732" s="258" t="s">
        <v>3977</v>
      </c>
      <c r="E2732" s="2" t="str">
        <f t="shared" si="50"/>
        <v>16</v>
      </c>
      <c r="F2732" s="267">
        <v>44036</v>
      </c>
      <c r="G2732" s="261" t="s">
        <v>4606</v>
      </c>
      <c r="H2732" s="268">
        <v>3.27</v>
      </c>
      <c r="I2732" s="101" t="s">
        <v>4606</v>
      </c>
      <c r="J2732" s="68">
        <v>467</v>
      </c>
      <c r="K2732" s="68">
        <v>75</v>
      </c>
      <c r="L2732" s="19"/>
      <c r="M2732" s="19"/>
      <c r="N2732" s="19"/>
      <c r="O2732" s="19"/>
      <c r="R2732" s="3">
        <v>4</v>
      </c>
      <c r="S2732" s="3" t="s">
        <v>5046</v>
      </c>
      <c r="V2732">
        <f t="shared" si="51"/>
        <v>4</v>
      </c>
    </row>
    <row r="2733" spans="2:22" s="3" customFormat="1" ht="15" customHeight="1" thickBot="1" x14ac:dyDescent="0.4">
      <c r="B2733" s="100">
        <f t="shared" si="53"/>
        <v>2674</v>
      </c>
      <c r="C2733" s="256" t="s">
        <v>4718</v>
      </c>
      <c r="D2733" s="256" t="s">
        <v>3978</v>
      </c>
      <c r="E2733" s="2" t="str">
        <f t="shared" si="50"/>
        <v>15</v>
      </c>
      <c r="F2733" s="267">
        <v>44036</v>
      </c>
      <c r="G2733" s="261" t="s">
        <v>4719</v>
      </c>
      <c r="H2733" s="268" t="s">
        <v>4198</v>
      </c>
      <c r="I2733" s="101" t="s">
        <v>4719</v>
      </c>
      <c r="J2733" s="68">
        <v>445</v>
      </c>
      <c r="K2733" s="68">
        <v>65</v>
      </c>
      <c r="L2733" s="19"/>
      <c r="M2733" s="19"/>
      <c r="N2733" s="19"/>
      <c r="O2733" s="19"/>
      <c r="R2733" s="3">
        <v>4</v>
      </c>
      <c r="S2733" s="3" t="s">
        <v>5049</v>
      </c>
      <c r="T2733" s="3">
        <v>11</v>
      </c>
      <c r="U2733" s="3" t="s">
        <v>5050</v>
      </c>
      <c r="V2733">
        <f t="shared" si="51"/>
        <v>4.916666666666667</v>
      </c>
    </row>
    <row r="2734" spans="2:22" s="3" customFormat="1" ht="15" customHeight="1" thickBot="1" x14ac:dyDescent="0.4">
      <c r="B2734" s="100">
        <f t="shared" si="53"/>
        <v>2675</v>
      </c>
      <c r="C2734" s="256" t="s">
        <v>4720</v>
      </c>
      <c r="D2734" s="256" t="s">
        <v>3979</v>
      </c>
      <c r="E2734" s="2" t="str">
        <f t="shared" ref="E2734:E2793" si="54">LEFT(D2734,2)</f>
        <v>16</v>
      </c>
      <c r="F2734" s="267">
        <v>44036</v>
      </c>
      <c r="G2734" s="261" t="s">
        <v>4721</v>
      </c>
      <c r="H2734" s="268">
        <v>3.34</v>
      </c>
      <c r="I2734" s="101" t="s">
        <v>4721</v>
      </c>
      <c r="J2734" s="68">
        <v>503</v>
      </c>
      <c r="K2734" s="68">
        <v>77.5</v>
      </c>
      <c r="L2734" s="19"/>
      <c r="M2734" s="19"/>
      <c r="N2734" s="19"/>
      <c r="O2734" s="19"/>
      <c r="R2734" s="3">
        <v>3</v>
      </c>
      <c r="S2734" s="3" t="s">
        <v>5049</v>
      </c>
      <c r="T2734" s="3">
        <v>11</v>
      </c>
      <c r="U2734" s="3" t="s">
        <v>5048</v>
      </c>
      <c r="V2734">
        <f t="shared" si="51"/>
        <v>3.9166666666666665</v>
      </c>
    </row>
    <row r="2735" spans="2:22" s="3" customFormat="1" ht="15" customHeight="1" thickBot="1" x14ac:dyDescent="0.4">
      <c r="B2735" s="100">
        <f t="shared" si="53"/>
        <v>2676</v>
      </c>
      <c r="C2735" s="256" t="s">
        <v>4722</v>
      </c>
      <c r="D2735" s="256" t="s">
        <v>3980</v>
      </c>
      <c r="E2735" s="2" t="str">
        <f t="shared" si="54"/>
        <v>16</v>
      </c>
      <c r="F2735" s="267">
        <v>44036</v>
      </c>
      <c r="G2735" s="261" t="s">
        <v>4606</v>
      </c>
      <c r="H2735" s="268" t="s">
        <v>4707</v>
      </c>
      <c r="I2735" s="101" t="s">
        <v>4606</v>
      </c>
      <c r="J2735" s="68">
        <v>457</v>
      </c>
      <c r="K2735" s="68">
        <v>80</v>
      </c>
      <c r="L2735" s="19"/>
      <c r="M2735" s="19"/>
      <c r="N2735" s="19"/>
      <c r="O2735" s="19"/>
      <c r="R2735" s="3">
        <v>4</v>
      </c>
      <c r="S2735" s="3" t="s">
        <v>5046</v>
      </c>
      <c r="V2735">
        <f t="shared" si="51"/>
        <v>4</v>
      </c>
    </row>
    <row r="2736" spans="2:22" s="3" customFormat="1" ht="15" customHeight="1" thickBot="1" x14ac:dyDescent="0.4">
      <c r="B2736" s="100">
        <f t="shared" si="53"/>
        <v>2677</v>
      </c>
      <c r="C2736" s="256" t="s">
        <v>4723</v>
      </c>
      <c r="D2736" s="256" t="s">
        <v>3981</v>
      </c>
      <c r="E2736" s="2" t="str">
        <f t="shared" si="54"/>
        <v>16</v>
      </c>
      <c r="F2736" s="267">
        <v>44036</v>
      </c>
      <c r="G2736" s="261" t="s">
        <v>4698</v>
      </c>
      <c r="H2736" s="268" t="s">
        <v>4198</v>
      </c>
      <c r="I2736" s="101" t="s">
        <v>4698</v>
      </c>
      <c r="J2736" s="68">
        <v>455</v>
      </c>
      <c r="K2736" s="68">
        <v>90</v>
      </c>
      <c r="L2736" s="19"/>
      <c r="M2736" s="19"/>
      <c r="N2736" s="19"/>
      <c r="O2736" s="19"/>
      <c r="R2736" s="3">
        <v>3</v>
      </c>
      <c r="S2736" s="3" t="s">
        <v>5049</v>
      </c>
      <c r="T2736" s="3">
        <v>11</v>
      </c>
      <c r="U2736" s="3" t="s">
        <v>5050</v>
      </c>
      <c r="V2736">
        <f t="shared" si="51"/>
        <v>3.9166666666666665</v>
      </c>
    </row>
    <row r="2737" spans="2:22" s="3" customFormat="1" ht="15" customHeight="1" thickBot="1" x14ac:dyDescent="0.4">
      <c r="B2737" s="100">
        <f t="shared" si="53"/>
        <v>2678</v>
      </c>
      <c r="C2737" s="254" t="s">
        <v>4724</v>
      </c>
      <c r="D2737" s="254" t="s">
        <v>3982</v>
      </c>
      <c r="E2737" s="2" t="str">
        <f t="shared" si="54"/>
        <v>12</v>
      </c>
      <c r="F2737" s="267">
        <v>44036</v>
      </c>
      <c r="G2737" s="261" t="s">
        <v>4725</v>
      </c>
      <c r="H2737" s="268" t="s">
        <v>4726</v>
      </c>
      <c r="I2737" s="101" t="s">
        <v>4725</v>
      </c>
      <c r="J2737" s="68">
        <v>440</v>
      </c>
      <c r="K2737" s="68">
        <v>85</v>
      </c>
      <c r="L2737" s="19"/>
      <c r="M2737" s="19"/>
      <c r="N2737" s="19"/>
      <c r="O2737" s="19"/>
      <c r="R2737" s="3">
        <v>7</v>
      </c>
      <c r="S2737" s="3" t="s">
        <v>5046</v>
      </c>
      <c r="T2737" s="3">
        <v>10</v>
      </c>
      <c r="U2737" s="3" t="s">
        <v>5048</v>
      </c>
      <c r="V2737">
        <f t="shared" si="51"/>
        <v>7.833333333333333</v>
      </c>
    </row>
    <row r="2738" spans="2:22" s="3" customFormat="1" ht="15" customHeight="1" thickBot="1" x14ac:dyDescent="0.4">
      <c r="B2738" s="100">
        <f t="shared" si="53"/>
        <v>2679</v>
      </c>
      <c r="C2738" s="254" t="s">
        <v>4727</v>
      </c>
      <c r="D2738" s="254" t="s">
        <v>3983</v>
      </c>
      <c r="E2738" s="2" t="str">
        <f t="shared" si="54"/>
        <v>12</v>
      </c>
      <c r="F2738" s="267">
        <v>44036</v>
      </c>
      <c r="G2738" s="261" t="s">
        <v>4728</v>
      </c>
      <c r="H2738" s="268">
        <v>2.57</v>
      </c>
      <c r="I2738" s="101" t="s">
        <v>4728</v>
      </c>
      <c r="J2738" s="68">
        <v>417</v>
      </c>
      <c r="K2738" s="68">
        <v>53</v>
      </c>
      <c r="L2738" s="19"/>
      <c r="M2738" s="19"/>
      <c r="N2738" s="19"/>
      <c r="O2738" s="19"/>
      <c r="R2738" s="3" t="s">
        <v>4728</v>
      </c>
      <c r="V2738" t="e">
        <f t="shared" si="51"/>
        <v>#VALUE!</v>
      </c>
    </row>
    <row r="2739" spans="2:22" s="3" customFormat="1" ht="15" customHeight="1" thickBot="1" x14ac:dyDescent="0.4">
      <c r="B2739" s="100">
        <f t="shared" si="53"/>
        <v>2680</v>
      </c>
      <c r="C2739" s="258" t="s">
        <v>4729</v>
      </c>
      <c r="D2739" s="258" t="s">
        <v>3984</v>
      </c>
      <c r="E2739" s="2" t="str">
        <f t="shared" si="54"/>
        <v>13</v>
      </c>
      <c r="F2739" s="267">
        <v>44036</v>
      </c>
      <c r="G2739" s="261" t="s">
        <v>4730</v>
      </c>
      <c r="H2739" s="268" t="s">
        <v>4731</v>
      </c>
      <c r="I2739" s="101" t="s">
        <v>4730</v>
      </c>
      <c r="J2739" s="68">
        <v>400</v>
      </c>
      <c r="K2739" s="68">
        <v>60</v>
      </c>
      <c r="L2739" s="19"/>
      <c r="M2739" s="19"/>
      <c r="N2739" s="19"/>
      <c r="O2739" s="19"/>
      <c r="R2739" s="3">
        <v>6</v>
      </c>
      <c r="S2739" s="3" t="s">
        <v>5046</v>
      </c>
      <c r="T2739" s="3">
        <v>10</v>
      </c>
      <c r="U2739" s="3" t="s">
        <v>5048</v>
      </c>
      <c r="V2739">
        <f t="shared" ref="V2739:V2802" si="55">R2739+(T2739/12)</f>
        <v>6.833333333333333</v>
      </c>
    </row>
    <row r="2740" spans="2:22" s="3" customFormat="1" ht="15" customHeight="1" thickBot="1" x14ac:dyDescent="0.4">
      <c r="B2740" s="100">
        <f t="shared" si="53"/>
        <v>2681</v>
      </c>
      <c r="C2740" s="256" t="s">
        <v>4732</v>
      </c>
      <c r="D2740" s="256" t="s">
        <v>3985</v>
      </c>
      <c r="E2740" s="2" t="str">
        <f t="shared" si="54"/>
        <v>13</v>
      </c>
      <c r="F2740" s="267">
        <v>44036</v>
      </c>
      <c r="G2740" s="261" t="s">
        <v>4733</v>
      </c>
      <c r="H2740" s="266">
        <v>3.23</v>
      </c>
      <c r="I2740" s="101" t="s">
        <v>4733</v>
      </c>
      <c r="J2740" s="68">
        <v>503</v>
      </c>
      <c r="K2740" s="68">
        <v>68.75</v>
      </c>
      <c r="L2740" s="19"/>
      <c r="M2740" s="19"/>
      <c r="N2740" s="19"/>
      <c r="O2740" s="19"/>
      <c r="R2740" s="3">
        <v>6</v>
      </c>
      <c r="S2740" s="3" t="s">
        <v>5046</v>
      </c>
      <c r="T2740" s="3">
        <v>11</v>
      </c>
      <c r="U2740" s="3" t="s">
        <v>5048</v>
      </c>
      <c r="V2740">
        <f t="shared" si="55"/>
        <v>6.916666666666667</v>
      </c>
    </row>
    <row r="2741" spans="2:22" s="3" customFormat="1" ht="15" customHeight="1" thickBot="1" x14ac:dyDescent="0.4">
      <c r="B2741" s="100">
        <f>(B2740+1)</f>
        <v>2682</v>
      </c>
      <c r="C2741" s="254" t="s">
        <v>4734</v>
      </c>
      <c r="D2741" s="254" t="s">
        <v>3986</v>
      </c>
      <c r="E2741" s="2" t="str">
        <f t="shared" si="54"/>
        <v>12</v>
      </c>
      <c r="F2741" s="258" t="s">
        <v>4735</v>
      </c>
      <c r="G2741" s="258" t="s">
        <v>4736</v>
      </c>
      <c r="H2741" s="257">
        <v>2.46</v>
      </c>
      <c r="I2741" s="101" t="s">
        <v>4736</v>
      </c>
      <c r="J2741" s="68">
        <v>507</v>
      </c>
      <c r="K2741" s="68">
        <v>72.5</v>
      </c>
      <c r="L2741" s="19"/>
      <c r="M2741" s="19"/>
      <c r="N2741" s="19"/>
      <c r="O2741" s="19"/>
      <c r="R2741" s="3">
        <v>8</v>
      </c>
      <c r="S2741" s="3" t="s">
        <v>5045</v>
      </c>
      <c r="T2741" s="3">
        <v>0</v>
      </c>
      <c r="U2741" s="3" t="s">
        <v>5047</v>
      </c>
      <c r="V2741">
        <f t="shared" si="55"/>
        <v>8</v>
      </c>
    </row>
    <row r="2742" spans="2:22" s="3" customFormat="1" ht="15" customHeight="1" thickBot="1" x14ac:dyDescent="0.4">
      <c r="B2742" s="100">
        <f t="shared" si="53"/>
        <v>2683</v>
      </c>
      <c r="C2742" s="258" t="s">
        <v>4737</v>
      </c>
      <c r="D2742" s="258" t="s">
        <v>3987</v>
      </c>
      <c r="E2742" s="2" t="str">
        <f t="shared" si="54"/>
        <v>13</v>
      </c>
      <c r="F2742" s="258" t="s">
        <v>4735</v>
      </c>
      <c r="G2742" s="258" t="s">
        <v>4738</v>
      </c>
      <c r="H2742" s="257">
        <v>3.43</v>
      </c>
      <c r="I2742" s="101" t="s">
        <v>4738</v>
      </c>
      <c r="J2742" s="68">
        <v>507</v>
      </c>
      <c r="K2742" s="68">
        <v>56</v>
      </c>
      <c r="L2742" s="19"/>
      <c r="M2742" s="19"/>
      <c r="N2742" s="19"/>
      <c r="O2742" s="19"/>
      <c r="R2742" s="3">
        <v>7</v>
      </c>
      <c r="S2742" s="3" t="s">
        <v>5049</v>
      </c>
      <c r="V2742">
        <f t="shared" si="55"/>
        <v>7</v>
      </c>
    </row>
    <row r="2743" spans="2:22" s="3" customFormat="1" ht="15" customHeight="1" thickBot="1" x14ac:dyDescent="0.4">
      <c r="B2743" s="100">
        <f t="shared" si="53"/>
        <v>2684</v>
      </c>
      <c r="C2743" s="254" t="s">
        <v>4739</v>
      </c>
      <c r="D2743" s="254" t="s">
        <v>3988</v>
      </c>
      <c r="E2743" s="2" t="str">
        <f t="shared" si="54"/>
        <v>15</v>
      </c>
      <c r="F2743" s="258" t="s">
        <v>4735</v>
      </c>
      <c r="G2743" s="256" t="s">
        <v>4740</v>
      </c>
      <c r="H2743" s="257">
        <v>2.64</v>
      </c>
      <c r="I2743" s="101" t="s">
        <v>4740</v>
      </c>
      <c r="J2743" s="68">
        <v>530</v>
      </c>
      <c r="K2743" s="68">
        <v>68</v>
      </c>
      <c r="L2743" s="19"/>
      <c r="M2743" s="19"/>
      <c r="N2743" s="19"/>
      <c r="O2743" s="19"/>
      <c r="R2743" s="3">
        <v>5</v>
      </c>
      <c r="S2743" s="3" t="s">
        <v>5049</v>
      </c>
      <c r="V2743">
        <f t="shared" si="55"/>
        <v>5</v>
      </c>
    </row>
    <row r="2744" spans="2:22" s="3" customFormat="1" ht="15" customHeight="1" thickBot="1" x14ac:dyDescent="0.4">
      <c r="B2744" s="100">
        <f t="shared" si="53"/>
        <v>2685</v>
      </c>
      <c r="C2744" s="258" t="s">
        <v>4741</v>
      </c>
      <c r="D2744" s="258" t="s">
        <v>3989</v>
      </c>
      <c r="E2744" s="2" t="str">
        <f t="shared" si="54"/>
        <v>15</v>
      </c>
      <c r="F2744" s="258" t="s">
        <v>4735</v>
      </c>
      <c r="G2744" s="258" t="s">
        <v>4740</v>
      </c>
      <c r="H2744" s="268">
        <v>2.65</v>
      </c>
      <c r="I2744" s="101" t="s">
        <v>4740</v>
      </c>
      <c r="J2744" s="68">
        <v>407</v>
      </c>
      <c r="K2744" s="68">
        <v>72.5</v>
      </c>
      <c r="L2744" s="19"/>
      <c r="M2744" s="19"/>
      <c r="N2744" s="19"/>
      <c r="O2744" s="19"/>
      <c r="R2744" s="3">
        <v>5</v>
      </c>
      <c r="S2744" s="3" t="s">
        <v>5049</v>
      </c>
      <c r="V2744">
        <f t="shared" si="55"/>
        <v>5</v>
      </c>
    </row>
    <row r="2745" spans="2:22" s="3" customFormat="1" ht="15" customHeight="1" thickBot="1" x14ac:dyDescent="0.4">
      <c r="B2745" s="100">
        <f t="shared" si="53"/>
        <v>2686</v>
      </c>
      <c r="C2745" s="258" t="s">
        <v>4742</v>
      </c>
      <c r="D2745" s="258" t="s">
        <v>3990</v>
      </c>
      <c r="E2745" s="2" t="str">
        <f t="shared" si="54"/>
        <v>16</v>
      </c>
      <c r="F2745" s="258" t="s">
        <v>4735</v>
      </c>
      <c r="G2745" s="258" t="s">
        <v>4743</v>
      </c>
      <c r="H2745" s="257">
        <v>3.17</v>
      </c>
      <c r="I2745" s="101" t="s">
        <v>4743</v>
      </c>
      <c r="J2745" s="68">
        <v>430</v>
      </c>
      <c r="K2745" s="68">
        <v>71.25</v>
      </c>
      <c r="L2745" s="19"/>
      <c r="M2745" s="19"/>
      <c r="N2745" s="19"/>
      <c r="O2745" s="19"/>
      <c r="R2745" s="3">
        <v>4</v>
      </c>
      <c r="S2745" s="3" t="s">
        <v>5046</v>
      </c>
      <c r="T2745" s="3">
        <v>0</v>
      </c>
      <c r="U2745" s="3" t="s">
        <v>5048</v>
      </c>
      <c r="V2745">
        <f t="shared" si="55"/>
        <v>4</v>
      </c>
    </row>
    <row r="2746" spans="2:22" s="3" customFormat="1" ht="15" customHeight="1" thickBot="1" x14ac:dyDescent="0.4">
      <c r="B2746" s="100">
        <f t="shared" si="53"/>
        <v>2687</v>
      </c>
      <c r="C2746" s="258" t="s">
        <v>4744</v>
      </c>
      <c r="D2746" s="258" t="s">
        <v>3991</v>
      </c>
      <c r="E2746" s="2" t="str">
        <f t="shared" si="54"/>
        <v>16</v>
      </c>
      <c r="F2746" s="258" t="s">
        <v>4735</v>
      </c>
      <c r="G2746" s="258" t="s">
        <v>4603</v>
      </c>
      <c r="H2746" s="257">
        <v>3.29</v>
      </c>
      <c r="I2746" s="101" t="s">
        <v>4603</v>
      </c>
      <c r="J2746" s="68">
        <v>470</v>
      </c>
      <c r="K2746" s="68">
        <v>80</v>
      </c>
      <c r="L2746" s="19"/>
      <c r="M2746" s="19"/>
      <c r="N2746" s="19"/>
      <c r="O2746" s="19"/>
      <c r="R2746" s="3">
        <v>4</v>
      </c>
      <c r="S2746" s="3" t="s">
        <v>5045</v>
      </c>
      <c r="V2746">
        <f t="shared" si="55"/>
        <v>4</v>
      </c>
    </row>
    <row r="2747" spans="2:22" s="3" customFormat="1" ht="15" customHeight="1" thickBot="1" x14ac:dyDescent="0.4">
      <c r="B2747" s="100">
        <f t="shared" si="53"/>
        <v>2688</v>
      </c>
      <c r="C2747" s="258" t="s">
        <v>4745</v>
      </c>
      <c r="D2747" s="258" t="s">
        <v>3992</v>
      </c>
      <c r="E2747" s="2" t="str">
        <f t="shared" si="54"/>
        <v>16</v>
      </c>
      <c r="F2747" s="258" t="s">
        <v>4735</v>
      </c>
      <c r="G2747" s="258" t="s">
        <v>4705</v>
      </c>
      <c r="H2747" s="257">
        <v>3.47</v>
      </c>
      <c r="I2747" s="101" t="s">
        <v>4705</v>
      </c>
      <c r="J2747" s="68">
        <v>546</v>
      </c>
      <c r="K2747" s="68">
        <v>65</v>
      </c>
      <c r="L2747" s="19"/>
      <c r="M2747" s="19"/>
      <c r="N2747" s="19"/>
      <c r="O2747" s="19"/>
      <c r="R2747" s="3">
        <v>4</v>
      </c>
      <c r="S2747" s="3" t="s">
        <v>5049</v>
      </c>
      <c r="T2747" s="3">
        <v>0</v>
      </c>
      <c r="U2747" s="3" t="s">
        <v>5050</v>
      </c>
      <c r="V2747">
        <f t="shared" si="55"/>
        <v>4</v>
      </c>
    </row>
    <row r="2748" spans="2:22" s="3" customFormat="1" ht="15" customHeight="1" thickBot="1" x14ac:dyDescent="0.4">
      <c r="B2748" s="100">
        <f t="shared" si="53"/>
        <v>2689</v>
      </c>
      <c r="C2748" s="254" t="s">
        <v>4746</v>
      </c>
      <c r="D2748" s="254" t="s">
        <v>3993</v>
      </c>
      <c r="E2748" s="2" t="str">
        <f t="shared" si="54"/>
        <v>16</v>
      </c>
      <c r="F2748" s="258" t="s">
        <v>4735</v>
      </c>
      <c r="G2748" s="258" t="s">
        <v>4606</v>
      </c>
      <c r="H2748" s="257">
        <v>3.62</v>
      </c>
      <c r="I2748" s="101" t="s">
        <v>4606</v>
      </c>
      <c r="J2748" s="68">
        <v>417</v>
      </c>
      <c r="K2748" s="68">
        <v>70</v>
      </c>
      <c r="L2748" s="19"/>
      <c r="M2748" s="19"/>
      <c r="N2748" s="19"/>
      <c r="O2748" s="19"/>
      <c r="R2748" s="3">
        <v>4</v>
      </c>
      <c r="S2748" s="3" t="s">
        <v>5046</v>
      </c>
      <c r="V2748">
        <f t="shared" si="55"/>
        <v>4</v>
      </c>
    </row>
    <row r="2749" spans="2:22" s="3" customFormat="1" ht="15" customHeight="1" thickBot="1" x14ac:dyDescent="0.4">
      <c r="B2749" s="100">
        <f t="shared" si="53"/>
        <v>2690</v>
      </c>
      <c r="C2749" s="254" t="s">
        <v>4747</v>
      </c>
      <c r="D2749" s="254" t="s">
        <v>3994</v>
      </c>
      <c r="E2749" s="2" t="str">
        <f t="shared" si="54"/>
        <v>16</v>
      </c>
      <c r="F2749" s="258" t="s">
        <v>4735</v>
      </c>
      <c r="G2749" s="258" t="s">
        <v>4748</v>
      </c>
      <c r="H2749" s="257">
        <v>3.08</v>
      </c>
      <c r="I2749" s="101" t="s">
        <v>4748</v>
      </c>
      <c r="J2749" s="68">
        <v>443</v>
      </c>
      <c r="K2749" s="68">
        <v>85</v>
      </c>
      <c r="L2749" s="19"/>
      <c r="M2749" s="19"/>
      <c r="N2749" s="19"/>
      <c r="O2749" s="19"/>
      <c r="R2749" s="3">
        <v>4</v>
      </c>
      <c r="S2749" s="3" t="s">
        <v>5049</v>
      </c>
      <c r="V2749">
        <f t="shared" si="55"/>
        <v>4</v>
      </c>
    </row>
    <row r="2750" spans="2:22" s="3" customFormat="1" ht="15" customHeight="1" thickBot="1" x14ac:dyDescent="0.4">
      <c r="B2750" s="100">
        <f t="shared" si="53"/>
        <v>2691</v>
      </c>
      <c r="C2750" s="258" t="s">
        <v>4749</v>
      </c>
      <c r="D2750" s="258" t="s">
        <v>3995</v>
      </c>
      <c r="E2750" s="2" t="str">
        <f t="shared" si="54"/>
        <v>16</v>
      </c>
      <c r="F2750" s="258" t="s">
        <v>4735</v>
      </c>
      <c r="G2750" s="258" t="s">
        <v>4748</v>
      </c>
      <c r="H2750" s="257">
        <v>3.65</v>
      </c>
      <c r="I2750" s="101" t="s">
        <v>4748</v>
      </c>
      <c r="J2750" s="68">
        <v>440</v>
      </c>
      <c r="K2750" s="68">
        <v>65</v>
      </c>
      <c r="L2750" s="19"/>
      <c r="M2750" s="19"/>
      <c r="N2750" s="19"/>
      <c r="O2750" s="19"/>
      <c r="R2750" s="3">
        <v>4</v>
      </c>
      <c r="S2750" s="3" t="s">
        <v>5049</v>
      </c>
      <c r="V2750">
        <f t="shared" si="55"/>
        <v>4</v>
      </c>
    </row>
    <row r="2751" spans="2:22" s="3" customFormat="1" ht="15" customHeight="1" thickBot="1" x14ac:dyDescent="0.4">
      <c r="B2751" s="100">
        <f t="shared" si="53"/>
        <v>2692</v>
      </c>
      <c r="C2751" s="258" t="s">
        <v>4750</v>
      </c>
      <c r="D2751" s="258" t="s">
        <v>3996</v>
      </c>
      <c r="E2751" s="2" t="str">
        <f t="shared" si="54"/>
        <v>16</v>
      </c>
      <c r="F2751" s="258" t="s">
        <v>4735</v>
      </c>
      <c r="G2751" s="258" t="s">
        <v>4606</v>
      </c>
      <c r="H2751" s="257">
        <v>3.74</v>
      </c>
      <c r="I2751" s="101" t="s">
        <v>4606</v>
      </c>
      <c r="J2751" s="68">
        <v>457</v>
      </c>
      <c r="K2751" s="68">
        <v>78</v>
      </c>
      <c r="L2751" s="19"/>
      <c r="M2751" s="19"/>
      <c r="N2751" s="19"/>
      <c r="O2751" s="19"/>
      <c r="R2751" s="3">
        <v>4</v>
      </c>
      <c r="S2751" s="3" t="s">
        <v>5046</v>
      </c>
      <c r="V2751">
        <f t="shared" si="55"/>
        <v>4</v>
      </c>
    </row>
    <row r="2752" spans="2:22" s="3" customFormat="1" ht="15" customHeight="1" thickBot="1" x14ac:dyDescent="0.4">
      <c r="B2752" s="100">
        <f t="shared" si="53"/>
        <v>2693</v>
      </c>
      <c r="C2752" s="258" t="s">
        <v>4751</v>
      </c>
      <c r="D2752" s="258" t="s">
        <v>3997</v>
      </c>
      <c r="E2752" s="2" t="str">
        <f t="shared" si="54"/>
        <v>16</v>
      </c>
      <c r="F2752" s="258" t="s">
        <v>4735</v>
      </c>
      <c r="G2752" s="258" t="s">
        <v>4748</v>
      </c>
      <c r="H2752" s="257">
        <v>3.26</v>
      </c>
      <c r="I2752" s="101" t="s">
        <v>4748</v>
      </c>
      <c r="J2752" s="68">
        <v>500</v>
      </c>
      <c r="K2752" s="68">
        <v>85</v>
      </c>
      <c r="L2752" s="19"/>
      <c r="M2752" s="19"/>
      <c r="N2752" s="19"/>
      <c r="O2752" s="19"/>
      <c r="R2752" s="3">
        <v>4</v>
      </c>
      <c r="S2752" s="3" t="s">
        <v>5049</v>
      </c>
      <c r="V2752">
        <f t="shared" si="55"/>
        <v>4</v>
      </c>
    </row>
    <row r="2753" spans="2:22" s="3" customFormat="1" ht="15" customHeight="1" thickBot="1" x14ac:dyDescent="0.4">
      <c r="B2753" s="100">
        <f t="shared" si="53"/>
        <v>2694</v>
      </c>
      <c r="C2753" s="258" t="s">
        <v>4752</v>
      </c>
      <c r="D2753" s="258" t="s">
        <v>3998</v>
      </c>
      <c r="E2753" s="2" t="str">
        <f t="shared" si="54"/>
        <v>16</v>
      </c>
      <c r="F2753" s="258" t="s">
        <v>4735</v>
      </c>
      <c r="G2753" s="258" t="s">
        <v>4606</v>
      </c>
      <c r="H2753" s="257">
        <v>3.22</v>
      </c>
      <c r="I2753" s="101" t="s">
        <v>4606</v>
      </c>
      <c r="J2753" s="68">
        <v>410</v>
      </c>
      <c r="K2753" s="68">
        <v>82</v>
      </c>
      <c r="L2753" s="19"/>
      <c r="M2753" s="19"/>
      <c r="N2753" s="19"/>
      <c r="O2753" s="19"/>
      <c r="R2753" s="3">
        <v>4</v>
      </c>
      <c r="S2753" s="3" t="s">
        <v>5046</v>
      </c>
      <c r="V2753">
        <f t="shared" si="55"/>
        <v>4</v>
      </c>
    </row>
    <row r="2754" spans="2:22" s="3" customFormat="1" ht="15" customHeight="1" thickBot="1" x14ac:dyDescent="0.4">
      <c r="B2754" s="100">
        <f t="shared" si="53"/>
        <v>2695</v>
      </c>
      <c r="C2754" s="258" t="s">
        <v>4753</v>
      </c>
      <c r="D2754" s="258" t="s">
        <v>3999</v>
      </c>
      <c r="E2754" s="2" t="str">
        <f t="shared" si="54"/>
        <v>16</v>
      </c>
      <c r="F2754" s="258" t="s">
        <v>4735</v>
      </c>
      <c r="G2754" s="258" t="s">
        <v>4606</v>
      </c>
      <c r="H2754" s="257">
        <v>3.22</v>
      </c>
      <c r="I2754" s="101" t="s">
        <v>4606</v>
      </c>
      <c r="J2754" s="68">
        <v>440</v>
      </c>
      <c r="K2754" s="68">
        <v>85</v>
      </c>
      <c r="L2754" s="19"/>
      <c r="M2754" s="19"/>
      <c r="N2754" s="19"/>
      <c r="O2754" s="19"/>
      <c r="R2754" s="3">
        <v>4</v>
      </c>
      <c r="S2754" s="3" t="s">
        <v>5046</v>
      </c>
      <c r="V2754">
        <f t="shared" si="55"/>
        <v>4</v>
      </c>
    </row>
    <row r="2755" spans="2:22" s="3" customFormat="1" ht="15" customHeight="1" thickBot="1" x14ac:dyDescent="0.4">
      <c r="B2755" s="100">
        <f t="shared" si="53"/>
        <v>2696</v>
      </c>
      <c r="C2755" s="258" t="s">
        <v>4754</v>
      </c>
      <c r="D2755" s="258" t="s">
        <v>4000</v>
      </c>
      <c r="E2755" s="2" t="str">
        <f t="shared" si="54"/>
        <v>16</v>
      </c>
      <c r="F2755" s="258" t="s">
        <v>4735</v>
      </c>
      <c r="G2755" s="258" t="s">
        <v>4755</v>
      </c>
      <c r="H2755" s="257">
        <v>3.37</v>
      </c>
      <c r="I2755" s="101" t="s">
        <v>4755</v>
      </c>
      <c r="J2755" s="68">
        <v>452</v>
      </c>
      <c r="K2755" s="68">
        <v>80</v>
      </c>
      <c r="L2755" s="19"/>
      <c r="M2755" s="19"/>
      <c r="N2755" s="19"/>
      <c r="O2755" s="19"/>
      <c r="R2755" s="3">
        <v>4</v>
      </c>
      <c r="S2755" s="3" t="s">
        <v>5049</v>
      </c>
      <c r="T2755" s="3">
        <v>1</v>
      </c>
      <c r="U2755" s="3" t="s">
        <v>5050</v>
      </c>
      <c r="V2755">
        <f t="shared" si="55"/>
        <v>4.083333333333333</v>
      </c>
    </row>
    <row r="2756" spans="2:22" s="3" customFormat="1" ht="15" customHeight="1" thickBot="1" x14ac:dyDescent="0.4">
      <c r="B2756" s="100">
        <f t="shared" si="53"/>
        <v>2697</v>
      </c>
      <c r="C2756" s="258" t="s">
        <v>4756</v>
      </c>
      <c r="D2756" s="258" t="s">
        <v>4001</v>
      </c>
      <c r="E2756" s="2" t="str">
        <f t="shared" si="54"/>
        <v>16</v>
      </c>
      <c r="F2756" s="258" t="s">
        <v>4735</v>
      </c>
      <c r="G2756" s="258" t="s">
        <v>4694</v>
      </c>
      <c r="H2756" s="257">
        <v>3.15</v>
      </c>
      <c r="I2756" s="101" t="s">
        <v>4694</v>
      </c>
      <c r="J2756" s="68">
        <v>500</v>
      </c>
      <c r="K2756" s="68">
        <v>85</v>
      </c>
      <c r="L2756" s="19"/>
      <c r="M2756" s="19"/>
      <c r="N2756" s="19"/>
      <c r="O2756" s="19"/>
      <c r="R2756" s="3">
        <v>4</v>
      </c>
      <c r="S2756" s="3" t="s">
        <v>5046</v>
      </c>
      <c r="T2756" s="3">
        <v>11</v>
      </c>
      <c r="U2756" s="3" t="s">
        <v>5048</v>
      </c>
      <c r="V2756">
        <f t="shared" si="55"/>
        <v>4.916666666666667</v>
      </c>
    </row>
    <row r="2757" spans="2:22" s="3" customFormat="1" ht="15" customHeight="1" thickBot="1" x14ac:dyDescent="0.4">
      <c r="B2757" s="100">
        <f t="shared" si="53"/>
        <v>2698</v>
      </c>
      <c r="C2757" s="258" t="s">
        <v>4757</v>
      </c>
      <c r="D2757" s="258" t="s">
        <v>4002</v>
      </c>
      <c r="E2757" s="2" t="str">
        <f t="shared" si="54"/>
        <v>16</v>
      </c>
      <c r="F2757" s="258" t="s">
        <v>4735</v>
      </c>
      <c r="G2757" s="258" t="s">
        <v>4606</v>
      </c>
      <c r="H2757" s="257">
        <v>3.19</v>
      </c>
      <c r="I2757" s="101" t="s">
        <v>4606</v>
      </c>
      <c r="J2757" s="68">
        <v>458</v>
      </c>
      <c r="K2757" s="68">
        <v>80</v>
      </c>
      <c r="L2757" s="19"/>
      <c r="M2757" s="19"/>
      <c r="N2757" s="19"/>
      <c r="O2757" s="19"/>
      <c r="R2757" s="3">
        <v>4</v>
      </c>
      <c r="S2757" s="3" t="s">
        <v>5046</v>
      </c>
      <c r="V2757">
        <f t="shared" si="55"/>
        <v>4</v>
      </c>
    </row>
    <row r="2758" spans="2:22" s="3" customFormat="1" ht="15" customHeight="1" thickBot="1" x14ac:dyDescent="0.4">
      <c r="B2758" s="100">
        <f t="shared" si="53"/>
        <v>2699</v>
      </c>
      <c r="C2758" s="258" t="s">
        <v>4758</v>
      </c>
      <c r="D2758" s="258" t="s">
        <v>4003</v>
      </c>
      <c r="E2758" s="2" t="str">
        <f t="shared" si="54"/>
        <v>16</v>
      </c>
      <c r="F2758" s="258" t="s">
        <v>4735</v>
      </c>
      <c r="G2758" s="258" t="s">
        <v>4606</v>
      </c>
      <c r="H2758" s="257">
        <v>3.55</v>
      </c>
      <c r="I2758" s="101" t="s">
        <v>4606</v>
      </c>
      <c r="J2758" s="68">
        <v>430</v>
      </c>
      <c r="K2758" s="68">
        <v>65</v>
      </c>
      <c r="L2758" s="19"/>
      <c r="M2758" s="19"/>
      <c r="N2758" s="19"/>
      <c r="O2758" s="19"/>
      <c r="R2758" s="3">
        <v>4</v>
      </c>
      <c r="S2758" s="3" t="s">
        <v>5046</v>
      </c>
      <c r="V2758">
        <f t="shared" si="55"/>
        <v>4</v>
      </c>
    </row>
    <row r="2759" spans="2:22" s="3" customFormat="1" ht="15" customHeight="1" thickBot="1" x14ac:dyDescent="0.4">
      <c r="B2759" s="100">
        <f t="shared" si="53"/>
        <v>2700</v>
      </c>
      <c r="C2759" s="258" t="s">
        <v>4759</v>
      </c>
      <c r="D2759" s="258" t="s">
        <v>4004</v>
      </c>
      <c r="E2759" s="2" t="str">
        <f t="shared" si="54"/>
        <v>16</v>
      </c>
      <c r="F2759" s="258" t="s">
        <v>4735</v>
      </c>
      <c r="G2759" s="271" t="s">
        <v>4606</v>
      </c>
      <c r="H2759" s="257">
        <v>3.37</v>
      </c>
      <c r="I2759" s="101" t="s">
        <v>4606</v>
      </c>
      <c r="J2759" s="68">
        <v>440</v>
      </c>
      <c r="K2759" s="68">
        <v>72</v>
      </c>
      <c r="L2759" s="19"/>
      <c r="M2759" s="19"/>
      <c r="N2759" s="19"/>
      <c r="O2759" s="19"/>
      <c r="R2759" s="3">
        <v>4</v>
      </c>
      <c r="S2759" s="3" t="s">
        <v>5046</v>
      </c>
      <c r="V2759">
        <f t="shared" si="55"/>
        <v>4</v>
      </c>
    </row>
    <row r="2760" spans="2:22" s="3" customFormat="1" ht="15" customHeight="1" thickBot="1" x14ac:dyDescent="0.4">
      <c r="B2760" s="100">
        <f t="shared" si="53"/>
        <v>2701</v>
      </c>
      <c r="C2760" s="258" t="s">
        <v>4760</v>
      </c>
      <c r="D2760" s="258" t="s">
        <v>4005</v>
      </c>
      <c r="E2760" s="2" t="str">
        <f t="shared" si="54"/>
        <v>16</v>
      </c>
      <c r="F2760" s="258" t="s">
        <v>4735</v>
      </c>
      <c r="G2760" s="258" t="s">
        <v>4743</v>
      </c>
      <c r="H2760" s="257">
        <v>3.51</v>
      </c>
      <c r="I2760" s="101" t="s">
        <v>4743</v>
      </c>
      <c r="J2760" s="68">
        <v>417</v>
      </c>
      <c r="K2760" s="68">
        <v>75</v>
      </c>
      <c r="L2760" s="19"/>
      <c r="M2760" s="19"/>
      <c r="N2760" s="19"/>
      <c r="O2760" s="19"/>
      <c r="R2760" s="3">
        <v>4</v>
      </c>
      <c r="S2760" s="3" t="s">
        <v>5046</v>
      </c>
      <c r="T2760" s="3">
        <v>0</v>
      </c>
      <c r="U2760" s="3" t="s">
        <v>5048</v>
      </c>
      <c r="V2760">
        <f t="shared" si="55"/>
        <v>4</v>
      </c>
    </row>
    <row r="2761" spans="2:22" s="3" customFormat="1" ht="15" customHeight="1" thickBot="1" x14ac:dyDescent="0.4">
      <c r="B2761" s="100">
        <f t="shared" si="53"/>
        <v>2702</v>
      </c>
      <c r="C2761" s="258" t="s">
        <v>4761</v>
      </c>
      <c r="D2761" s="258" t="s">
        <v>4006</v>
      </c>
      <c r="E2761" s="2" t="str">
        <f t="shared" si="54"/>
        <v>16</v>
      </c>
      <c r="F2761" s="258" t="s">
        <v>4735</v>
      </c>
      <c r="G2761" s="258" t="s">
        <v>4755</v>
      </c>
      <c r="H2761" s="257">
        <v>2.97</v>
      </c>
      <c r="I2761" s="101" t="s">
        <v>4755</v>
      </c>
      <c r="J2761" s="68">
        <v>413</v>
      </c>
      <c r="K2761" s="68">
        <v>75</v>
      </c>
      <c r="L2761" s="19"/>
      <c r="M2761" s="19"/>
      <c r="N2761" s="19"/>
      <c r="O2761" s="19"/>
      <c r="R2761" s="3">
        <v>4</v>
      </c>
      <c r="S2761" s="3" t="s">
        <v>5049</v>
      </c>
      <c r="T2761" s="3">
        <v>1</v>
      </c>
      <c r="U2761" s="3" t="s">
        <v>5050</v>
      </c>
      <c r="V2761">
        <f t="shared" si="55"/>
        <v>4.083333333333333</v>
      </c>
    </row>
    <row r="2762" spans="2:22" s="3" customFormat="1" ht="15" customHeight="1" thickBot="1" x14ac:dyDescent="0.4">
      <c r="B2762" s="100">
        <f t="shared" si="53"/>
        <v>2703</v>
      </c>
      <c r="C2762" s="258" t="s">
        <v>4762</v>
      </c>
      <c r="D2762" s="258" t="s">
        <v>4007</v>
      </c>
      <c r="E2762" s="2" t="str">
        <f t="shared" si="54"/>
        <v>16</v>
      </c>
      <c r="F2762" s="258" t="s">
        <v>4735</v>
      </c>
      <c r="G2762" s="258" t="s">
        <v>4688</v>
      </c>
      <c r="H2762" s="257">
        <v>3.35</v>
      </c>
      <c r="I2762" s="101" t="s">
        <v>4688</v>
      </c>
      <c r="J2762" s="68">
        <v>443</v>
      </c>
      <c r="K2762" s="68">
        <v>71</v>
      </c>
      <c r="L2762" s="19"/>
      <c r="M2762" s="19"/>
      <c r="N2762" s="19"/>
      <c r="O2762" s="19"/>
      <c r="R2762" s="3">
        <v>3</v>
      </c>
      <c r="S2762" s="3" t="s">
        <v>5046</v>
      </c>
      <c r="T2762" s="3">
        <v>11</v>
      </c>
      <c r="U2762" s="3" t="s">
        <v>5048</v>
      </c>
      <c r="V2762">
        <f t="shared" si="55"/>
        <v>3.9166666666666665</v>
      </c>
    </row>
    <row r="2763" spans="2:22" s="3" customFormat="1" ht="15" customHeight="1" thickBot="1" x14ac:dyDescent="0.4">
      <c r="B2763" s="100"/>
      <c r="C2763" s="289" t="s">
        <v>4008</v>
      </c>
      <c r="D2763"/>
      <c r="E2763" s="2" t="str">
        <f t="shared" si="54"/>
        <v/>
      </c>
      <c r="F2763"/>
      <c r="G2763"/>
      <c r="H2763" s="2"/>
      <c r="I2763" s="99"/>
      <c r="J2763" s="68">
        <v>490</v>
      </c>
      <c r="K2763" s="68">
        <v>81</v>
      </c>
      <c r="L2763" s="19"/>
      <c r="M2763" s="19"/>
      <c r="N2763" s="19"/>
      <c r="O2763" s="19"/>
      <c r="V2763">
        <f t="shared" si="55"/>
        <v>0</v>
      </c>
    </row>
    <row r="2764" spans="2:22" ht="15" customHeight="1" thickBot="1" x14ac:dyDescent="0.4">
      <c r="B2764" s="100">
        <v>2704</v>
      </c>
      <c r="C2764" s="256" t="s">
        <v>4763</v>
      </c>
      <c r="D2764" s="256" t="s">
        <v>4009</v>
      </c>
      <c r="E2764" s="2" t="str">
        <f t="shared" si="54"/>
        <v>13</v>
      </c>
      <c r="F2764" s="256" t="s">
        <v>4764</v>
      </c>
      <c r="G2764" s="256" t="s">
        <v>4765</v>
      </c>
      <c r="H2764" s="266" t="s">
        <v>4766</v>
      </c>
      <c r="I2764" s="99" t="s">
        <v>4765</v>
      </c>
      <c r="J2764" s="20"/>
      <c r="K2764" s="21"/>
      <c r="L2764" s="21"/>
      <c r="M2764" s="21"/>
      <c r="N2764" s="21"/>
      <c r="O2764" s="21"/>
      <c r="R2764">
        <v>7</v>
      </c>
      <c r="S2764" t="s">
        <v>5045</v>
      </c>
      <c r="T2764">
        <v>2</v>
      </c>
      <c r="U2764" t="s">
        <v>5047</v>
      </c>
      <c r="V2764">
        <f t="shared" si="55"/>
        <v>7.166666666666667</v>
      </c>
    </row>
    <row r="2765" spans="2:22" ht="15" customHeight="1" thickBot="1" x14ac:dyDescent="0.4">
      <c r="B2765" s="100">
        <f t="shared" ref="B2765:B2827" si="56">(B2764+1)</f>
        <v>2705</v>
      </c>
      <c r="C2765" s="258" t="s">
        <v>4767</v>
      </c>
      <c r="D2765" s="258" t="s">
        <v>4010</v>
      </c>
      <c r="E2765" s="2" t="str">
        <f t="shared" si="54"/>
        <v>16</v>
      </c>
      <c r="F2765" s="256" t="s">
        <v>4764</v>
      </c>
      <c r="G2765" s="256" t="s">
        <v>4743</v>
      </c>
      <c r="H2765" s="268">
        <v>3.58</v>
      </c>
      <c r="I2765" s="99" t="s">
        <v>4743</v>
      </c>
      <c r="J2765" s="20"/>
      <c r="K2765" s="21"/>
      <c r="L2765" s="21"/>
      <c r="M2765" s="21"/>
      <c r="N2765" s="21"/>
      <c r="O2765" s="21"/>
      <c r="R2765">
        <v>4</v>
      </c>
      <c r="S2765" t="s">
        <v>5046</v>
      </c>
      <c r="T2765">
        <v>0</v>
      </c>
      <c r="U2765" t="s">
        <v>5048</v>
      </c>
      <c r="V2765">
        <f t="shared" si="55"/>
        <v>4</v>
      </c>
    </row>
    <row r="2766" spans="2:22" ht="15" customHeight="1" thickBot="1" x14ac:dyDescent="0.4">
      <c r="B2766" s="100">
        <f t="shared" si="56"/>
        <v>2706</v>
      </c>
      <c r="C2766" s="256" t="s">
        <v>4768</v>
      </c>
      <c r="D2766" s="256" t="s">
        <v>4011</v>
      </c>
      <c r="E2766" s="2" t="str">
        <f t="shared" si="54"/>
        <v>16</v>
      </c>
      <c r="F2766" s="256" t="s">
        <v>4764</v>
      </c>
      <c r="G2766" s="256" t="s">
        <v>4769</v>
      </c>
      <c r="H2766" s="266">
        <v>3.66</v>
      </c>
      <c r="I2766" s="99" t="s">
        <v>4769</v>
      </c>
      <c r="J2766" s="20"/>
      <c r="K2766" s="21"/>
      <c r="L2766" s="21"/>
      <c r="M2766" s="21"/>
      <c r="N2766" s="21"/>
      <c r="O2766" s="21"/>
      <c r="R2766">
        <v>4</v>
      </c>
      <c r="S2766" t="s">
        <v>5046</v>
      </c>
      <c r="T2766">
        <v>1</v>
      </c>
      <c r="U2766" t="s">
        <v>5048</v>
      </c>
      <c r="V2766">
        <f t="shared" si="55"/>
        <v>4.083333333333333</v>
      </c>
    </row>
    <row r="2767" spans="2:22" ht="15" customHeight="1" thickBot="1" x14ac:dyDescent="0.4">
      <c r="B2767" s="100">
        <f t="shared" si="56"/>
        <v>2707</v>
      </c>
      <c r="C2767" s="256" t="s">
        <v>4770</v>
      </c>
      <c r="D2767" s="256" t="s">
        <v>4012</v>
      </c>
      <c r="E2767" s="2" t="str">
        <f t="shared" si="54"/>
        <v>16</v>
      </c>
      <c r="F2767" s="256" t="s">
        <v>4764</v>
      </c>
      <c r="G2767" s="256" t="s">
        <v>4616</v>
      </c>
      <c r="H2767" s="266">
        <v>3.55</v>
      </c>
      <c r="I2767" s="101" t="s">
        <v>4616</v>
      </c>
      <c r="J2767" s="20"/>
      <c r="K2767" s="21"/>
      <c r="L2767" s="21"/>
      <c r="M2767" s="21"/>
      <c r="N2767" s="21"/>
      <c r="O2767" s="21"/>
      <c r="R2767">
        <v>4</v>
      </c>
      <c r="S2767" t="s">
        <v>5046</v>
      </c>
      <c r="T2767">
        <v>2</v>
      </c>
      <c r="U2767" t="s">
        <v>5048</v>
      </c>
      <c r="V2767">
        <f t="shared" si="55"/>
        <v>4.166666666666667</v>
      </c>
    </row>
    <row r="2768" spans="2:22" s="3" customFormat="1" ht="15" customHeight="1" thickBot="1" x14ac:dyDescent="0.4">
      <c r="B2768" s="100">
        <f t="shared" si="56"/>
        <v>2708</v>
      </c>
      <c r="C2768" s="254" t="s">
        <v>4771</v>
      </c>
      <c r="D2768" s="254" t="s">
        <v>4013</v>
      </c>
      <c r="E2768" s="2" t="str">
        <f t="shared" si="54"/>
        <v>15</v>
      </c>
      <c r="F2768" s="256" t="s">
        <v>4764</v>
      </c>
      <c r="G2768" s="256" t="s">
        <v>4631</v>
      </c>
      <c r="H2768" s="268" t="s">
        <v>4677</v>
      </c>
      <c r="I2768" s="101" t="s">
        <v>4631</v>
      </c>
      <c r="J2768" s="68">
        <v>487</v>
      </c>
      <c r="K2768" s="68">
        <v>75</v>
      </c>
      <c r="L2768" s="19"/>
      <c r="M2768" s="19"/>
      <c r="N2768" s="19"/>
      <c r="O2768" s="19"/>
      <c r="R2768" s="3">
        <v>5</v>
      </c>
      <c r="S2768" s="3" t="s">
        <v>5046</v>
      </c>
      <c r="T2768" s="3">
        <v>2</v>
      </c>
      <c r="U2768" s="3" t="s">
        <v>5048</v>
      </c>
      <c r="V2768">
        <f t="shared" si="55"/>
        <v>5.166666666666667</v>
      </c>
    </row>
    <row r="2769" spans="2:22" s="3" customFormat="1" ht="15" customHeight="1" thickBot="1" x14ac:dyDescent="0.4">
      <c r="B2769" s="100">
        <f t="shared" si="56"/>
        <v>2709</v>
      </c>
      <c r="C2769" s="256" t="s">
        <v>4772</v>
      </c>
      <c r="D2769" s="256" t="s">
        <v>4014</v>
      </c>
      <c r="E2769" s="2" t="str">
        <f t="shared" si="54"/>
        <v>16</v>
      </c>
      <c r="F2769" s="256" t="s">
        <v>4764</v>
      </c>
      <c r="G2769" s="256" t="s">
        <v>4626</v>
      </c>
      <c r="H2769" s="266">
        <v>3.29</v>
      </c>
      <c r="I2769" s="101" t="s">
        <v>4626</v>
      </c>
      <c r="J2769" s="68">
        <v>498</v>
      </c>
      <c r="K2769" s="68">
        <v>90</v>
      </c>
      <c r="L2769" s="69">
        <v>2013</v>
      </c>
      <c r="M2769" s="29">
        <f>COUNTIF(E2762:E2784,"13")</f>
        <v>3</v>
      </c>
      <c r="N2769" s="19"/>
      <c r="O2769" s="19"/>
      <c r="R2769" s="3">
        <v>4</v>
      </c>
      <c r="S2769" s="3" t="s">
        <v>5049</v>
      </c>
      <c r="T2769" s="3">
        <v>2</v>
      </c>
      <c r="U2769" s="3" t="s">
        <v>5050</v>
      </c>
      <c r="V2769">
        <f t="shared" si="55"/>
        <v>4.166666666666667</v>
      </c>
    </row>
    <row r="2770" spans="2:22" s="3" customFormat="1" ht="15" customHeight="1" thickBot="1" x14ac:dyDescent="0.4">
      <c r="B2770" s="100">
        <f t="shared" si="56"/>
        <v>2710</v>
      </c>
      <c r="C2770" s="258" t="s">
        <v>4773</v>
      </c>
      <c r="D2770" s="258" t="s">
        <v>4015</v>
      </c>
      <c r="E2770" s="2" t="str">
        <f t="shared" si="54"/>
        <v>16</v>
      </c>
      <c r="F2770" s="256" t="s">
        <v>4764</v>
      </c>
      <c r="G2770" s="256" t="s">
        <v>4769</v>
      </c>
      <c r="H2770" s="268" t="s">
        <v>4774</v>
      </c>
      <c r="I2770" s="101" t="s">
        <v>4769</v>
      </c>
      <c r="J2770" s="68">
        <v>506</v>
      </c>
      <c r="K2770" s="68">
        <v>72</v>
      </c>
      <c r="L2770" s="69">
        <v>2014</v>
      </c>
      <c r="M2770" s="29">
        <f>COUNTIF(E2762:E2784,"14")</f>
        <v>0</v>
      </c>
      <c r="N2770" s="19"/>
      <c r="O2770" s="19"/>
      <c r="R2770" s="3">
        <v>4</v>
      </c>
      <c r="S2770" s="3" t="s">
        <v>5046</v>
      </c>
      <c r="T2770" s="3">
        <v>1</v>
      </c>
      <c r="U2770" s="3" t="s">
        <v>5048</v>
      </c>
      <c r="V2770">
        <f t="shared" si="55"/>
        <v>4.083333333333333</v>
      </c>
    </row>
    <row r="2771" spans="2:22" s="3" customFormat="1" ht="15" customHeight="1" thickBot="1" x14ac:dyDescent="0.4">
      <c r="B2771" s="100">
        <f t="shared" si="56"/>
        <v>2711</v>
      </c>
      <c r="C2771" s="258" t="s">
        <v>4775</v>
      </c>
      <c r="D2771" s="258" t="s">
        <v>4016</v>
      </c>
      <c r="E2771" s="2" t="str">
        <f t="shared" si="54"/>
        <v>16</v>
      </c>
      <c r="F2771" s="256" t="s">
        <v>4764</v>
      </c>
      <c r="G2771" s="256" t="s">
        <v>4769</v>
      </c>
      <c r="H2771" s="268" t="s">
        <v>4776</v>
      </c>
      <c r="I2771" s="101" t="s">
        <v>4769</v>
      </c>
      <c r="J2771" s="68">
        <v>469</v>
      </c>
      <c r="K2771" s="68">
        <v>75</v>
      </c>
      <c r="L2771" s="69">
        <v>2015</v>
      </c>
      <c r="M2771" s="29">
        <f>COUNTIF(E2762:E2784,"15")</f>
        <v>3</v>
      </c>
      <c r="N2771" s="19"/>
      <c r="O2771" s="19"/>
      <c r="R2771" s="3">
        <v>4</v>
      </c>
      <c r="S2771" s="3" t="s">
        <v>5046</v>
      </c>
      <c r="T2771" s="3">
        <v>1</v>
      </c>
      <c r="U2771" s="3" t="s">
        <v>5048</v>
      </c>
      <c r="V2771">
        <f t="shared" si="55"/>
        <v>4.083333333333333</v>
      </c>
    </row>
    <row r="2772" spans="2:22" s="3" customFormat="1" ht="15" customHeight="1" thickBot="1" x14ac:dyDescent="0.4">
      <c r="B2772" s="100">
        <f t="shared" si="56"/>
        <v>2712</v>
      </c>
      <c r="C2772" s="258" t="s">
        <v>4777</v>
      </c>
      <c r="D2772" s="258" t="s">
        <v>4019</v>
      </c>
      <c r="E2772" s="2" t="str">
        <f t="shared" si="54"/>
        <v>13</v>
      </c>
      <c r="F2772" s="256" t="s">
        <v>4764</v>
      </c>
      <c r="G2772" s="256" t="s">
        <v>4684</v>
      </c>
      <c r="H2772" s="268">
        <v>2.09</v>
      </c>
      <c r="I2772" s="101" t="s">
        <v>4684</v>
      </c>
      <c r="J2772" s="68">
        <v>493</v>
      </c>
      <c r="K2772" s="68">
        <v>70</v>
      </c>
      <c r="L2772" s="69">
        <v>2016</v>
      </c>
      <c r="M2772" s="29">
        <f>COUNTIF(E2762:E2784,"16")</f>
        <v>15</v>
      </c>
      <c r="N2772" s="19">
        <f>SUM(G2763:G2765)</f>
        <v>0</v>
      </c>
      <c r="O2772" s="19"/>
      <c r="R2772" s="3">
        <v>7</v>
      </c>
      <c r="S2772" s="3" t="s">
        <v>5046</v>
      </c>
      <c r="V2772">
        <f t="shared" si="55"/>
        <v>7</v>
      </c>
    </row>
    <row r="2773" spans="2:22" s="3" customFormat="1" ht="15" customHeight="1" thickBot="1" x14ac:dyDescent="0.4">
      <c r="B2773" s="100">
        <f t="shared" si="56"/>
        <v>2713</v>
      </c>
      <c r="C2773" s="256" t="s">
        <v>4778</v>
      </c>
      <c r="D2773" s="256" t="s">
        <v>4021</v>
      </c>
      <c r="E2773" s="2" t="str">
        <f t="shared" si="54"/>
        <v>16</v>
      </c>
      <c r="F2773" s="256" t="s">
        <v>4764</v>
      </c>
      <c r="G2773" s="256" t="s">
        <v>4616</v>
      </c>
      <c r="H2773" s="266">
        <v>3.48</v>
      </c>
      <c r="I2773" s="101" t="s">
        <v>4616</v>
      </c>
      <c r="J2773" s="68">
        <v>433</v>
      </c>
      <c r="K2773" s="68">
        <v>75</v>
      </c>
      <c r="L2773" s="19"/>
      <c r="M2773" s="29">
        <f>SUM(M2769:M2772)</f>
        <v>21</v>
      </c>
      <c r="N2773" s="19"/>
      <c r="O2773" s="19"/>
      <c r="R2773" s="3">
        <v>4</v>
      </c>
      <c r="S2773" s="3" t="s">
        <v>5046</v>
      </c>
      <c r="T2773" s="3">
        <v>2</v>
      </c>
      <c r="U2773" s="3" t="s">
        <v>5048</v>
      </c>
      <c r="V2773">
        <f t="shared" si="55"/>
        <v>4.166666666666667</v>
      </c>
    </row>
    <row r="2774" spans="2:22" s="3" customFormat="1" ht="15" customHeight="1" thickBot="1" x14ac:dyDescent="0.4">
      <c r="B2774" s="100">
        <f t="shared" si="56"/>
        <v>2714</v>
      </c>
      <c r="C2774" s="256" t="s">
        <v>4779</v>
      </c>
      <c r="D2774" s="272" t="s">
        <v>4022</v>
      </c>
      <c r="E2774" s="2" t="str">
        <f t="shared" si="54"/>
        <v>16</v>
      </c>
      <c r="F2774" s="256" t="s">
        <v>4764</v>
      </c>
      <c r="G2774" s="256" t="s">
        <v>4626</v>
      </c>
      <c r="H2774" s="266">
        <v>3.19</v>
      </c>
      <c r="I2774" s="101" t="s">
        <v>4626</v>
      </c>
      <c r="J2774" s="68">
        <v>490</v>
      </c>
      <c r="K2774" s="68">
        <v>90</v>
      </c>
      <c r="L2774" s="19"/>
      <c r="M2774" s="19"/>
      <c r="N2774" s="19"/>
      <c r="O2774" s="19"/>
      <c r="R2774" s="3">
        <v>4</v>
      </c>
      <c r="S2774" s="3" t="s">
        <v>5049</v>
      </c>
      <c r="T2774" s="3">
        <v>2</v>
      </c>
      <c r="U2774" s="3" t="s">
        <v>5050</v>
      </c>
      <c r="V2774">
        <f t="shared" si="55"/>
        <v>4.166666666666667</v>
      </c>
    </row>
    <row r="2775" spans="2:22" s="3" customFormat="1" ht="15" customHeight="1" thickBot="1" x14ac:dyDescent="0.4">
      <c r="B2775" s="100">
        <f t="shared" si="56"/>
        <v>2715</v>
      </c>
      <c r="C2775" s="256" t="s">
        <v>4780</v>
      </c>
      <c r="D2775" s="256" t="s">
        <v>4023</v>
      </c>
      <c r="E2775" s="2" t="str">
        <f t="shared" si="54"/>
        <v>13</v>
      </c>
      <c r="F2775" s="256" t="s">
        <v>4764</v>
      </c>
      <c r="G2775" s="256" t="s">
        <v>4765</v>
      </c>
      <c r="H2775" s="266">
        <v>3.23</v>
      </c>
      <c r="I2775" s="101" t="s">
        <v>4765</v>
      </c>
      <c r="J2775" s="68" t="s">
        <v>4017</v>
      </c>
      <c r="K2775" s="68">
        <v>82</v>
      </c>
      <c r="L2775" s="29" t="s">
        <v>4018</v>
      </c>
      <c r="M2775" s="34" t="e">
        <f>AVERAGE(G2762:G2784)</f>
        <v>#DIV/0!</v>
      </c>
      <c r="N2775" s="19"/>
      <c r="O2775" s="19"/>
      <c r="R2775" s="3">
        <v>7</v>
      </c>
      <c r="S2775" s="3" t="s">
        <v>5045</v>
      </c>
      <c r="T2775" s="3">
        <v>2</v>
      </c>
      <c r="U2775" s="3" t="s">
        <v>5047</v>
      </c>
      <c r="V2775">
        <f t="shared" si="55"/>
        <v>7.166666666666667</v>
      </c>
    </row>
    <row r="2776" spans="2:22" s="3" customFormat="1" ht="15" customHeight="1" thickBot="1" x14ac:dyDescent="0.4">
      <c r="B2776" s="100">
        <f t="shared" si="56"/>
        <v>2716</v>
      </c>
      <c r="C2776" s="254" t="s">
        <v>4781</v>
      </c>
      <c r="D2776" s="254" t="s">
        <v>4024</v>
      </c>
      <c r="E2776" s="2" t="str">
        <f t="shared" si="54"/>
        <v>15</v>
      </c>
      <c r="F2776" s="254" t="s">
        <v>4782</v>
      </c>
      <c r="G2776" s="254" t="s">
        <v>4783</v>
      </c>
      <c r="H2776" s="257">
        <v>2.82</v>
      </c>
      <c r="I2776" s="101" t="s">
        <v>4783</v>
      </c>
      <c r="J2776" s="68">
        <v>497</v>
      </c>
      <c r="K2776" s="68">
        <v>53</v>
      </c>
      <c r="L2776" s="29" t="s">
        <v>4020</v>
      </c>
      <c r="M2776" s="30">
        <f>AVERAGE(H2762:H2784)</f>
        <v>3.2878571428571433</v>
      </c>
      <c r="N2776" s="19"/>
      <c r="O2776" s="19" t="e">
        <f>SUM(G2766+G2774+G2777+G2784)</f>
        <v>#VALUE!</v>
      </c>
      <c r="R2776" s="3">
        <v>5</v>
      </c>
      <c r="S2776" s="3" t="s">
        <v>5045</v>
      </c>
      <c r="T2776" s="3">
        <v>3</v>
      </c>
      <c r="U2776" s="3" t="s">
        <v>5047</v>
      </c>
      <c r="V2776">
        <f t="shared" si="55"/>
        <v>5.25</v>
      </c>
    </row>
    <row r="2777" spans="2:22" s="3" customFormat="1" ht="15" customHeight="1" thickBot="1" x14ac:dyDescent="0.4">
      <c r="B2777" s="100">
        <f t="shared" si="56"/>
        <v>2717</v>
      </c>
      <c r="C2777" s="254" t="s">
        <v>4784</v>
      </c>
      <c r="D2777" s="254" t="s">
        <v>4025</v>
      </c>
      <c r="E2777" s="2" t="str">
        <f t="shared" si="54"/>
        <v>16</v>
      </c>
      <c r="F2777" s="254" t="s">
        <v>4782</v>
      </c>
      <c r="G2777" s="254" t="s">
        <v>4622</v>
      </c>
      <c r="H2777" s="268" t="s">
        <v>4785</v>
      </c>
      <c r="I2777" s="101" t="s">
        <v>4622</v>
      </c>
      <c r="J2777" s="68">
        <v>457</v>
      </c>
      <c r="K2777" s="68">
        <v>80</v>
      </c>
      <c r="L2777" s="19"/>
      <c r="M2777" s="19"/>
      <c r="N2777" s="19"/>
      <c r="O2777" s="19"/>
      <c r="R2777" s="3">
        <v>4</v>
      </c>
      <c r="S2777" s="3" t="s">
        <v>5046</v>
      </c>
      <c r="T2777" s="3">
        <v>3</v>
      </c>
      <c r="U2777" s="3" t="s">
        <v>5048</v>
      </c>
      <c r="V2777">
        <f t="shared" si="55"/>
        <v>4.25</v>
      </c>
    </row>
    <row r="2778" spans="2:22" s="3" customFormat="1" ht="15" customHeight="1" thickBot="1" x14ac:dyDescent="0.4">
      <c r="B2778" s="100">
        <f t="shared" si="56"/>
        <v>2718</v>
      </c>
      <c r="C2778" s="254" t="s">
        <v>4786</v>
      </c>
      <c r="D2778" s="254" t="s">
        <v>4027</v>
      </c>
      <c r="E2778" s="2" t="str">
        <f t="shared" si="54"/>
        <v>16</v>
      </c>
      <c r="F2778" s="254" t="s">
        <v>4782</v>
      </c>
      <c r="G2778" s="256" t="s">
        <v>4787</v>
      </c>
      <c r="H2778" s="257">
        <v>3.63</v>
      </c>
      <c r="I2778" s="101" t="s">
        <v>4787</v>
      </c>
      <c r="J2778" s="68">
        <v>513</v>
      </c>
      <c r="K2778" s="68">
        <v>70</v>
      </c>
      <c r="L2778" s="19"/>
      <c r="M2778" s="19"/>
      <c r="N2778" s="19"/>
      <c r="O2778" s="19"/>
      <c r="R2778" s="3">
        <v>4</v>
      </c>
      <c r="S2778" s="3" t="s">
        <v>5046</v>
      </c>
      <c r="T2778" s="3">
        <v>4</v>
      </c>
      <c r="U2778" s="3" t="s">
        <v>5048</v>
      </c>
      <c r="V2778">
        <f t="shared" si="55"/>
        <v>4.333333333333333</v>
      </c>
    </row>
    <row r="2779" spans="2:22" s="3" customFormat="1" ht="15" customHeight="1" thickBot="1" x14ac:dyDescent="0.4">
      <c r="B2779" s="100">
        <f t="shared" si="56"/>
        <v>2719</v>
      </c>
      <c r="C2779" s="254" t="s">
        <v>4788</v>
      </c>
      <c r="D2779" s="254" t="s">
        <v>4028</v>
      </c>
      <c r="E2779" s="2" t="str">
        <f t="shared" si="54"/>
        <v>16</v>
      </c>
      <c r="F2779" s="254" t="s">
        <v>4782</v>
      </c>
      <c r="G2779" s="256" t="s">
        <v>4787</v>
      </c>
      <c r="H2779" s="268" t="s">
        <v>4789</v>
      </c>
      <c r="I2779" s="99" t="s">
        <v>4787</v>
      </c>
      <c r="J2779" s="68">
        <v>517</v>
      </c>
      <c r="K2779" s="68">
        <v>61.3</v>
      </c>
      <c r="L2779" s="19"/>
      <c r="M2779" s="85" t="e">
        <f>(M2775+M2800)/2</f>
        <v>#DIV/0!</v>
      </c>
      <c r="N2779" s="19"/>
      <c r="O2779" s="19"/>
      <c r="R2779" s="3">
        <v>4</v>
      </c>
      <c r="S2779" s="3" t="s">
        <v>5046</v>
      </c>
      <c r="T2779" s="3">
        <v>4</v>
      </c>
      <c r="U2779" s="3" t="s">
        <v>5048</v>
      </c>
      <c r="V2779">
        <f t="shared" si="55"/>
        <v>4.333333333333333</v>
      </c>
    </row>
    <row r="2780" spans="2:22" ht="15" customHeight="1" thickBot="1" x14ac:dyDescent="0.4">
      <c r="B2780" s="100">
        <f t="shared" si="56"/>
        <v>2720</v>
      </c>
      <c r="C2780" s="254" t="s">
        <v>4790</v>
      </c>
      <c r="D2780" s="254" t="s">
        <v>4029</v>
      </c>
      <c r="E2780" s="2" t="str">
        <f t="shared" si="54"/>
        <v>15</v>
      </c>
      <c r="F2780" s="254" t="s">
        <v>4782</v>
      </c>
      <c r="G2780" s="254" t="s">
        <v>4791</v>
      </c>
      <c r="H2780" s="257">
        <v>3.09</v>
      </c>
      <c r="I2780" s="99" t="s">
        <v>4791</v>
      </c>
      <c r="J2780" s="19">
        <v>527</v>
      </c>
      <c r="K2780" s="19">
        <v>71.25</v>
      </c>
      <c r="L2780" s="21"/>
      <c r="M2780" s="21"/>
      <c r="N2780" s="21"/>
      <c r="O2780" s="21"/>
      <c r="R2780">
        <v>5</v>
      </c>
      <c r="S2780" t="s">
        <v>5046</v>
      </c>
      <c r="T2780">
        <v>6</v>
      </c>
      <c r="U2780" t="s">
        <v>5048</v>
      </c>
      <c r="V2780">
        <f t="shared" si="55"/>
        <v>5.5</v>
      </c>
    </row>
    <row r="2781" spans="2:22" ht="15" customHeight="1" thickBot="1" x14ac:dyDescent="0.4">
      <c r="B2781" s="100"/>
      <c r="C2781" s="290" t="s">
        <v>4037</v>
      </c>
      <c r="E2781" s="2" t="str">
        <f t="shared" si="54"/>
        <v/>
      </c>
      <c r="I2781" s="99"/>
      <c r="J2781" s="19" t="s">
        <v>4026</v>
      </c>
      <c r="K2781" s="19">
        <v>70</v>
      </c>
      <c r="L2781" s="21"/>
      <c r="M2781" s="21"/>
      <c r="N2781" s="21"/>
      <c r="O2781" s="21"/>
      <c r="V2781">
        <f t="shared" si="55"/>
        <v>0</v>
      </c>
    </row>
    <row r="2782" spans="2:22" ht="15" customHeight="1" thickBot="1" x14ac:dyDescent="0.4">
      <c r="B2782" s="100">
        <f>(B2780+1)</f>
        <v>2721</v>
      </c>
      <c r="C2782" s="254" t="s">
        <v>4792</v>
      </c>
      <c r="D2782" s="254" t="s">
        <v>4031</v>
      </c>
      <c r="E2782" s="2" t="str">
        <f t="shared" si="54"/>
        <v>16</v>
      </c>
      <c r="F2782" s="256" t="s">
        <v>4793</v>
      </c>
      <c r="G2782" s="256" t="s">
        <v>4676</v>
      </c>
      <c r="H2782" s="266">
        <v>3.38</v>
      </c>
      <c r="I2782" s="99" t="s">
        <v>4676</v>
      </c>
      <c r="J2782" s="19">
        <v>490</v>
      </c>
      <c r="K2782" s="19">
        <v>65</v>
      </c>
      <c r="L2782" s="21"/>
      <c r="M2782" s="21"/>
      <c r="N2782" s="21"/>
      <c r="O2782" s="21"/>
      <c r="R2782">
        <v>4</v>
      </c>
      <c r="S2782" t="s">
        <v>5046</v>
      </c>
      <c r="T2782">
        <v>7</v>
      </c>
      <c r="U2782" t="s">
        <v>5048</v>
      </c>
      <c r="V2782">
        <f t="shared" si="55"/>
        <v>4.583333333333333</v>
      </c>
    </row>
    <row r="2783" spans="2:22" ht="15" customHeight="1" thickBot="1" x14ac:dyDescent="0.4">
      <c r="B2783" s="100">
        <f t="shared" si="56"/>
        <v>2722</v>
      </c>
      <c r="C2783" s="254" t="s">
        <v>4794</v>
      </c>
      <c r="D2783" s="254" t="s">
        <v>4032</v>
      </c>
      <c r="E2783" s="2" t="str">
        <f t="shared" si="54"/>
        <v>16</v>
      </c>
      <c r="F2783" s="256" t="s">
        <v>4793</v>
      </c>
      <c r="G2783" s="256" t="s">
        <v>4676</v>
      </c>
      <c r="H2783" s="266" t="s">
        <v>4785</v>
      </c>
      <c r="I2783" s="99" t="s">
        <v>4676</v>
      </c>
      <c r="J2783" s="19">
        <v>507</v>
      </c>
      <c r="K2783" s="19">
        <v>83</v>
      </c>
      <c r="L2783" s="21"/>
      <c r="M2783" s="21"/>
      <c r="N2783" s="21"/>
      <c r="O2783" s="21"/>
      <c r="R2783">
        <v>4</v>
      </c>
      <c r="S2783" t="s">
        <v>5046</v>
      </c>
      <c r="T2783">
        <v>7</v>
      </c>
      <c r="U2783" t="s">
        <v>5048</v>
      </c>
      <c r="V2783">
        <f t="shared" si="55"/>
        <v>4.583333333333333</v>
      </c>
    </row>
    <row r="2784" spans="2:22" ht="15" customHeight="1" thickBot="1" x14ac:dyDescent="0.4">
      <c r="B2784" s="100">
        <f t="shared" si="56"/>
        <v>2723</v>
      </c>
      <c r="C2784" s="254" t="s">
        <v>4795</v>
      </c>
      <c r="D2784" s="254" t="s">
        <v>4033</v>
      </c>
      <c r="E2784" s="2" t="str">
        <f t="shared" si="54"/>
        <v>16</v>
      </c>
      <c r="F2784" s="256" t="s">
        <v>4793</v>
      </c>
      <c r="G2784" s="256" t="s">
        <v>4647</v>
      </c>
      <c r="H2784" s="268">
        <v>3.69</v>
      </c>
      <c r="I2784" s="238" t="s">
        <v>4647</v>
      </c>
      <c r="J2784" s="19">
        <v>520</v>
      </c>
      <c r="K2784" s="19">
        <v>81.25</v>
      </c>
      <c r="L2784" s="21"/>
      <c r="M2784" s="21"/>
      <c r="N2784" s="21"/>
      <c r="O2784" s="21"/>
      <c r="R2784">
        <v>4</v>
      </c>
      <c r="S2784" t="s">
        <v>5046</v>
      </c>
      <c r="T2784">
        <v>6</v>
      </c>
      <c r="U2784" t="s">
        <v>5048</v>
      </c>
      <c r="V2784">
        <f t="shared" si="55"/>
        <v>4.5</v>
      </c>
    </row>
    <row r="2785" spans="2:22" ht="15" customHeight="1" thickBot="1" x14ac:dyDescent="0.4">
      <c r="B2785" s="100">
        <f t="shared" si="56"/>
        <v>2724</v>
      </c>
      <c r="C2785" s="254" t="s">
        <v>4796</v>
      </c>
      <c r="D2785" s="254" t="s">
        <v>4034</v>
      </c>
      <c r="E2785" s="2" t="str">
        <f t="shared" si="54"/>
        <v>16</v>
      </c>
      <c r="F2785" s="256" t="s">
        <v>4793</v>
      </c>
      <c r="G2785" s="256" t="s">
        <v>4676</v>
      </c>
      <c r="H2785" s="268">
        <v>3.14</v>
      </c>
      <c r="I2785" s="99" t="s">
        <v>4676</v>
      </c>
      <c r="J2785" s="19">
        <v>417</v>
      </c>
      <c r="K2785" s="19">
        <v>70</v>
      </c>
      <c r="L2785" s="21"/>
      <c r="M2785" s="21"/>
      <c r="N2785" s="21"/>
      <c r="O2785" s="21"/>
      <c r="R2785">
        <v>4</v>
      </c>
      <c r="S2785" t="s">
        <v>5046</v>
      </c>
      <c r="T2785">
        <v>7</v>
      </c>
      <c r="U2785" t="s">
        <v>5048</v>
      </c>
      <c r="V2785">
        <f t="shared" si="55"/>
        <v>4.583333333333333</v>
      </c>
    </row>
    <row r="2786" spans="2:22" ht="15" customHeight="1" thickBot="1" x14ac:dyDescent="0.4">
      <c r="B2786" s="100">
        <f t="shared" si="56"/>
        <v>2725</v>
      </c>
      <c r="C2786" s="256" t="s">
        <v>4797</v>
      </c>
      <c r="D2786" s="256" t="s">
        <v>4035</v>
      </c>
      <c r="E2786" s="2" t="str">
        <f t="shared" si="54"/>
        <v>16</v>
      </c>
      <c r="F2786" s="256" t="s">
        <v>4793</v>
      </c>
      <c r="G2786" s="256" t="s">
        <v>4676</v>
      </c>
      <c r="H2786" s="266" t="s">
        <v>4635</v>
      </c>
      <c r="I2786" s="99" t="s">
        <v>4676</v>
      </c>
      <c r="J2786" s="19">
        <v>400</v>
      </c>
      <c r="K2786" s="19">
        <v>75</v>
      </c>
      <c r="L2786" s="21"/>
      <c r="M2786" s="21"/>
      <c r="N2786" s="21"/>
      <c r="O2786" s="21"/>
      <c r="R2786">
        <v>4</v>
      </c>
      <c r="S2786" t="s">
        <v>5046</v>
      </c>
      <c r="T2786">
        <v>7</v>
      </c>
      <c r="U2786" t="s">
        <v>5048</v>
      </c>
      <c r="V2786">
        <f t="shared" si="55"/>
        <v>4.583333333333333</v>
      </c>
    </row>
    <row r="2787" spans="2:22" ht="15" customHeight="1" thickBot="1" x14ac:dyDescent="0.4">
      <c r="B2787" s="100">
        <f t="shared" si="56"/>
        <v>2726</v>
      </c>
      <c r="C2787" s="258" t="s">
        <v>4798</v>
      </c>
      <c r="D2787" s="258" t="s">
        <v>4036</v>
      </c>
      <c r="E2787" s="2" t="str">
        <f t="shared" si="54"/>
        <v>15</v>
      </c>
      <c r="F2787" s="256" t="s">
        <v>4793</v>
      </c>
      <c r="G2787" s="256" t="s">
        <v>4799</v>
      </c>
      <c r="H2787" s="268">
        <v>2.77</v>
      </c>
      <c r="I2787" s="99" t="s">
        <v>4799</v>
      </c>
      <c r="J2787" s="19">
        <v>470</v>
      </c>
      <c r="K2787" s="19">
        <v>70</v>
      </c>
      <c r="L2787" s="21"/>
      <c r="M2787" s="21"/>
      <c r="N2787" s="21"/>
      <c r="O2787" s="21"/>
      <c r="R2787">
        <v>5</v>
      </c>
      <c r="S2787" t="s">
        <v>5046</v>
      </c>
      <c r="T2787">
        <v>8</v>
      </c>
      <c r="U2787" t="s">
        <v>5048</v>
      </c>
      <c r="V2787">
        <f t="shared" si="55"/>
        <v>5.666666666666667</v>
      </c>
    </row>
    <row r="2788" spans="2:22" ht="15" customHeight="1" thickBot="1" x14ac:dyDescent="0.4">
      <c r="B2788" s="100">
        <f t="shared" si="56"/>
        <v>2727</v>
      </c>
      <c r="C2788" s="258" t="s">
        <v>4800</v>
      </c>
      <c r="D2788" s="258" t="s">
        <v>4030</v>
      </c>
      <c r="E2788" s="2" t="str">
        <f t="shared" si="54"/>
        <v>16</v>
      </c>
      <c r="F2788" s="273">
        <v>44287</v>
      </c>
      <c r="G2788" s="256" t="s">
        <v>4681</v>
      </c>
      <c r="H2788" s="268">
        <v>2.74</v>
      </c>
      <c r="I2788" s="99" t="s">
        <v>4681</v>
      </c>
      <c r="J2788" s="19">
        <v>453</v>
      </c>
      <c r="K2788" s="19">
        <v>80</v>
      </c>
      <c r="L2788" s="21"/>
      <c r="M2788" s="21"/>
      <c r="N2788" s="21"/>
      <c r="O2788" s="21"/>
      <c r="R2788">
        <v>4</v>
      </c>
      <c r="S2788" t="s">
        <v>5046</v>
      </c>
      <c r="T2788">
        <v>8</v>
      </c>
      <c r="U2788" t="s">
        <v>5048</v>
      </c>
      <c r="V2788">
        <f t="shared" si="55"/>
        <v>4.666666666666667</v>
      </c>
    </row>
    <row r="2789" spans="2:22" ht="15" customHeight="1" thickBot="1" x14ac:dyDescent="0.4">
      <c r="B2789" s="100">
        <f>(B2788+1)</f>
        <v>2728</v>
      </c>
      <c r="C2789" s="258" t="s">
        <v>4038</v>
      </c>
      <c r="D2789" s="258" t="s">
        <v>4039</v>
      </c>
      <c r="E2789" s="2" t="str">
        <f t="shared" si="54"/>
        <v>16</v>
      </c>
      <c r="F2789" s="258" t="s">
        <v>4801</v>
      </c>
      <c r="G2789" s="258" t="s">
        <v>4691</v>
      </c>
      <c r="H2789" s="268">
        <v>3.43</v>
      </c>
      <c r="I2789" s="99" t="s">
        <v>4691</v>
      </c>
      <c r="J2789" s="19">
        <v>480</v>
      </c>
      <c r="K2789" s="19">
        <v>70</v>
      </c>
      <c r="L2789" s="21"/>
      <c r="M2789" s="21"/>
      <c r="N2789" s="21"/>
      <c r="O2789" s="21"/>
      <c r="R2789">
        <v>4</v>
      </c>
      <c r="S2789" t="s">
        <v>5046</v>
      </c>
      <c r="T2789">
        <v>10</v>
      </c>
      <c r="U2789" t="s">
        <v>5048</v>
      </c>
      <c r="V2789">
        <f t="shared" si="55"/>
        <v>4.833333333333333</v>
      </c>
    </row>
    <row r="2790" spans="2:22" ht="15" customHeight="1" thickBot="1" x14ac:dyDescent="0.4">
      <c r="B2790" s="100">
        <f t="shared" si="56"/>
        <v>2729</v>
      </c>
      <c r="C2790" s="258" t="s">
        <v>4040</v>
      </c>
      <c r="D2790" s="258" t="s">
        <v>4041</v>
      </c>
      <c r="E2790" s="2" t="str">
        <f t="shared" si="54"/>
        <v>16</v>
      </c>
      <c r="F2790" s="258" t="s">
        <v>4801</v>
      </c>
      <c r="G2790" s="258" t="s">
        <v>4686</v>
      </c>
      <c r="H2790" s="268">
        <v>3.09</v>
      </c>
      <c r="I2790" s="99" t="s">
        <v>4686</v>
      </c>
      <c r="J2790" s="19">
        <v>445</v>
      </c>
      <c r="K2790" s="19">
        <v>72.5</v>
      </c>
      <c r="L2790" s="21"/>
      <c r="M2790" s="21"/>
      <c r="N2790" s="21"/>
      <c r="O2790" s="21"/>
      <c r="R2790">
        <v>4</v>
      </c>
      <c r="S2790" t="s">
        <v>5046</v>
      </c>
      <c r="T2790">
        <v>9</v>
      </c>
      <c r="U2790" t="s">
        <v>5048</v>
      </c>
      <c r="V2790">
        <f t="shared" si="55"/>
        <v>4.75</v>
      </c>
    </row>
    <row r="2791" spans="2:22" ht="15" customHeight="1" thickBot="1" x14ac:dyDescent="0.4">
      <c r="B2791" s="100">
        <f t="shared" si="56"/>
        <v>2730</v>
      </c>
      <c r="C2791" s="254" t="s">
        <v>4042</v>
      </c>
      <c r="D2791" s="254" t="s">
        <v>4043</v>
      </c>
      <c r="E2791" s="2" t="str">
        <f t="shared" si="54"/>
        <v>16</v>
      </c>
      <c r="F2791" s="258" t="s">
        <v>4801</v>
      </c>
      <c r="G2791" s="258" t="s">
        <v>4691</v>
      </c>
      <c r="H2791" s="268">
        <v>2.92</v>
      </c>
      <c r="I2791" s="99" t="s">
        <v>4691</v>
      </c>
      <c r="J2791" s="19">
        <v>480</v>
      </c>
      <c r="K2791" s="19">
        <v>71</v>
      </c>
      <c r="L2791" s="21"/>
      <c r="M2791" s="21"/>
      <c r="N2791" s="21"/>
      <c r="O2791" s="21"/>
      <c r="R2791">
        <v>4</v>
      </c>
      <c r="S2791" t="s">
        <v>5046</v>
      </c>
      <c r="T2791">
        <v>10</v>
      </c>
      <c r="U2791" t="s">
        <v>5048</v>
      </c>
      <c r="V2791">
        <f t="shared" si="55"/>
        <v>4.833333333333333</v>
      </c>
    </row>
    <row r="2792" spans="2:22" ht="15" customHeight="1" thickBot="1" x14ac:dyDescent="0.4">
      <c r="B2792" s="100">
        <f t="shared" si="56"/>
        <v>2731</v>
      </c>
      <c r="C2792" s="254" t="s">
        <v>4044</v>
      </c>
      <c r="D2792" s="254" t="s">
        <v>4045</v>
      </c>
      <c r="E2792" s="2" t="str">
        <f t="shared" si="54"/>
        <v>16</v>
      </c>
      <c r="F2792" s="258" t="s">
        <v>4801</v>
      </c>
      <c r="G2792" s="258" t="s">
        <v>4802</v>
      </c>
      <c r="H2792" s="268">
        <v>3.18</v>
      </c>
      <c r="I2792" s="99" t="s">
        <v>4802</v>
      </c>
      <c r="J2792" s="19"/>
      <c r="K2792" s="19"/>
      <c r="L2792" s="21"/>
      <c r="M2792" s="21"/>
      <c r="N2792" s="21"/>
      <c r="O2792" s="21"/>
      <c r="R2792">
        <v>5</v>
      </c>
      <c r="S2792" t="s">
        <v>5046</v>
      </c>
      <c r="V2792">
        <f t="shared" si="55"/>
        <v>5</v>
      </c>
    </row>
    <row r="2793" spans="2:22" ht="15" customHeight="1" thickBot="1" x14ac:dyDescent="0.4">
      <c r="B2793" s="100">
        <f t="shared" si="56"/>
        <v>2732</v>
      </c>
      <c r="C2793" s="254" t="s">
        <v>4046</v>
      </c>
      <c r="D2793" s="254" t="s">
        <v>4047</v>
      </c>
      <c r="E2793" s="2" t="str">
        <f t="shared" si="54"/>
        <v>17</v>
      </c>
      <c r="F2793" s="258" t="s">
        <v>4801</v>
      </c>
      <c r="G2793" s="254" t="s">
        <v>4803</v>
      </c>
      <c r="H2793" s="268">
        <v>3.73</v>
      </c>
      <c r="I2793" s="99" t="s">
        <v>4803</v>
      </c>
      <c r="J2793" s="19"/>
      <c r="K2793" s="19"/>
      <c r="L2793" s="21"/>
      <c r="M2793" s="21"/>
      <c r="N2793" s="21"/>
      <c r="O2793" s="21"/>
      <c r="R2793">
        <v>3</v>
      </c>
      <c r="S2793" t="s">
        <v>5046</v>
      </c>
      <c r="T2793">
        <v>9</v>
      </c>
      <c r="U2793" t="s">
        <v>5048</v>
      </c>
      <c r="V2793">
        <f t="shared" si="55"/>
        <v>3.75</v>
      </c>
    </row>
    <row r="2794" spans="2:22" ht="15" customHeight="1" thickBot="1" x14ac:dyDescent="0.4">
      <c r="B2794" s="100">
        <f t="shared" si="56"/>
        <v>2733</v>
      </c>
      <c r="C2794" s="258" t="s">
        <v>4048</v>
      </c>
      <c r="D2794" s="258" t="s">
        <v>4049</v>
      </c>
      <c r="E2794" s="2" t="str">
        <f t="shared" ref="E2794:E2854" si="57">LEFT(D2794,2)</f>
        <v>16</v>
      </c>
      <c r="F2794" s="258" t="s">
        <v>4801</v>
      </c>
      <c r="G2794" s="254" t="s">
        <v>4686</v>
      </c>
      <c r="H2794" s="268">
        <v>3.07</v>
      </c>
      <c r="I2794" s="99" t="s">
        <v>4686</v>
      </c>
      <c r="J2794" s="21">
        <v>400</v>
      </c>
      <c r="K2794" s="21">
        <v>75</v>
      </c>
      <c r="L2794" s="69"/>
      <c r="M2794" s="29"/>
      <c r="N2794" s="21"/>
      <c r="O2794" s="21"/>
      <c r="R2794">
        <v>4</v>
      </c>
      <c r="S2794" t="s">
        <v>5046</v>
      </c>
      <c r="T2794">
        <v>9</v>
      </c>
      <c r="U2794" t="s">
        <v>5048</v>
      </c>
      <c r="V2794">
        <f t="shared" si="55"/>
        <v>4.75</v>
      </c>
    </row>
    <row r="2795" spans="2:22" ht="15" customHeight="1" thickBot="1" x14ac:dyDescent="0.4">
      <c r="B2795" s="100">
        <f t="shared" si="56"/>
        <v>2734</v>
      </c>
      <c r="C2795" s="254" t="s">
        <v>4050</v>
      </c>
      <c r="D2795" s="254" t="s">
        <v>4051</v>
      </c>
      <c r="E2795" s="2" t="str">
        <f t="shared" si="57"/>
        <v>17</v>
      </c>
      <c r="F2795" s="255" t="s">
        <v>4804</v>
      </c>
      <c r="G2795" s="258" t="s">
        <v>4805</v>
      </c>
      <c r="H2795" s="268">
        <v>3.35</v>
      </c>
      <c r="I2795" s="99" t="s">
        <v>4805</v>
      </c>
      <c r="J2795" s="21">
        <v>470</v>
      </c>
      <c r="K2795" s="21">
        <v>70</v>
      </c>
      <c r="L2795" s="69">
        <v>2014</v>
      </c>
      <c r="M2795" s="29">
        <f>COUNTIF(E2787:E2846,"14")</f>
        <v>2</v>
      </c>
      <c r="N2795" s="21"/>
      <c r="O2795" s="21"/>
      <c r="R2795">
        <v>3</v>
      </c>
      <c r="S2795" t="s">
        <v>5046</v>
      </c>
      <c r="T2795">
        <v>10</v>
      </c>
      <c r="U2795" t="s">
        <v>5048</v>
      </c>
      <c r="V2795">
        <f t="shared" si="55"/>
        <v>3.8333333333333335</v>
      </c>
    </row>
    <row r="2796" spans="2:22" ht="15" customHeight="1" thickBot="1" x14ac:dyDescent="0.4">
      <c r="B2796" s="100">
        <f t="shared" si="56"/>
        <v>2735</v>
      </c>
      <c r="C2796" s="258" t="s">
        <v>4052</v>
      </c>
      <c r="D2796" s="258" t="s">
        <v>4053</v>
      </c>
      <c r="E2796" s="2" t="str">
        <f t="shared" si="57"/>
        <v>17</v>
      </c>
      <c r="F2796" s="255" t="s">
        <v>4804</v>
      </c>
      <c r="G2796" s="258" t="s">
        <v>4803</v>
      </c>
      <c r="H2796" s="268" t="s">
        <v>4806</v>
      </c>
      <c r="I2796" s="99" t="s">
        <v>4803</v>
      </c>
      <c r="J2796" s="21">
        <v>453</v>
      </c>
      <c r="K2796" s="21">
        <v>80</v>
      </c>
      <c r="L2796" s="69">
        <v>2015</v>
      </c>
      <c r="M2796" s="29">
        <f>COUNTIF(E2787:E2846,"15")</f>
        <v>2</v>
      </c>
      <c r="N2796" s="21"/>
      <c r="O2796" s="21"/>
      <c r="R2796">
        <v>3</v>
      </c>
      <c r="S2796" t="s">
        <v>5046</v>
      </c>
      <c r="T2796">
        <v>9</v>
      </c>
      <c r="U2796" t="s">
        <v>5048</v>
      </c>
      <c r="V2796">
        <f t="shared" si="55"/>
        <v>3.75</v>
      </c>
    </row>
    <row r="2797" spans="2:22" ht="15" customHeight="1" thickBot="1" x14ac:dyDescent="0.4">
      <c r="B2797" s="100">
        <f t="shared" si="56"/>
        <v>2736</v>
      </c>
      <c r="C2797" s="258" t="s">
        <v>4054</v>
      </c>
      <c r="D2797" s="258" t="s">
        <v>4055</v>
      </c>
      <c r="E2797" s="2" t="str">
        <f t="shared" si="57"/>
        <v>17</v>
      </c>
      <c r="F2797" s="255" t="s">
        <v>4804</v>
      </c>
      <c r="G2797" s="258" t="s">
        <v>4606</v>
      </c>
      <c r="H2797" s="268" t="s">
        <v>4609</v>
      </c>
      <c r="I2797" s="99" t="s">
        <v>4606</v>
      </c>
      <c r="J2797" s="21">
        <v>480</v>
      </c>
      <c r="K2797" s="21">
        <v>70</v>
      </c>
      <c r="L2797" s="69">
        <v>2016</v>
      </c>
      <c r="M2797" s="29">
        <f>COUNTIF(E2787:E2846,"16")</f>
        <v>9</v>
      </c>
      <c r="N2797" s="21"/>
      <c r="O2797" s="21"/>
      <c r="R2797">
        <v>4</v>
      </c>
      <c r="S2797" t="s">
        <v>5046</v>
      </c>
      <c r="V2797">
        <f t="shared" si="55"/>
        <v>4</v>
      </c>
    </row>
    <row r="2798" spans="2:22" ht="15" customHeight="1" thickBot="1" x14ac:dyDescent="0.4">
      <c r="B2798" s="100">
        <f t="shared" si="56"/>
        <v>2737</v>
      </c>
      <c r="C2798" s="258" t="s">
        <v>4057</v>
      </c>
      <c r="D2798" s="258" t="s">
        <v>4058</v>
      </c>
      <c r="E2798" s="2" t="str">
        <f t="shared" si="57"/>
        <v>17</v>
      </c>
      <c r="F2798" s="255" t="s">
        <v>4804</v>
      </c>
      <c r="G2798" s="258" t="s">
        <v>4688</v>
      </c>
      <c r="H2798" s="268">
        <v>3.73</v>
      </c>
      <c r="I2798" s="99" t="s">
        <v>4688</v>
      </c>
      <c r="J2798" s="21">
        <v>445</v>
      </c>
      <c r="K2798" s="21">
        <v>72.5</v>
      </c>
      <c r="L2798" s="69">
        <v>2017</v>
      </c>
      <c r="M2798" s="29">
        <f>COUNTIF(E2787:E2846,"17")</f>
        <v>47</v>
      </c>
      <c r="N2798" s="21"/>
      <c r="O2798" s="21"/>
      <c r="R2798">
        <v>3</v>
      </c>
      <c r="S2798" t="s">
        <v>5046</v>
      </c>
      <c r="T2798">
        <v>11</v>
      </c>
      <c r="U2798" t="s">
        <v>5048</v>
      </c>
      <c r="V2798">
        <f t="shared" si="55"/>
        <v>3.9166666666666665</v>
      </c>
    </row>
    <row r="2799" spans="2:22" ht="15" customHeight="1" thickBot="1" x14ac:dyDescent="0.4">
      <c r="B2799" s="100">
        <f t="shared" si="56"/>
        <v>2738</v>
      </c>
      <c r="C2799" s="258" t="s">
        <v>4059</v>
      </c>
      <c r="D2799" s="258" t="s">
        <v>4060</v>
      </c>
      <c r="E2799" s="2" t="str">
        <f t="shared" si="57"/>
        <v>17</v>
      </c>
      <c r="F2799" s="255" t="s">
        <v>4804</v>
      </c>
      <c r="G2799" s="258" t="s">
        <v>4807</v>
      </c>
      <c r="H2799" s="268" t="s">
        <v>4808</v>
      </c>
      <c r="I2799" s="99" t="s">
        <v>4807</v>
      </c>
      <c r="J2799" s="21">
        <v>480</v>
      </c>
      <c r="K2799" s="21">
        <v>71</v>
      </c>
      <c r="L2799" s="21"/>
      <c r="M2799" s="29">
        <f>SUM(M2795:M2798)</f>
        <v>60</v>
      </c>
      <c r="N2799" s="21"/>
      <c r="O2799" s="21"/>
      <c r="R2799">
        <v>3</v>
      </c>
      <c r="S2799" t="s">
        <v>5046</v>
      </c>
      <c r="T2799" t="s">
        <v>5051</v>
      </c>
      <c r="V2799" t="e">
        <f t="shared" si="55"/>
        <v>#VALUE!</v>
      </c>
    </row>
    <row r="2800" spans="2:22" ht="15" customHeight="1" thickBot="1" x14ac:dyDescent="0.4">
      <c r="B2800" s="100">
        <f t="shared" si="56"/>
        <v>2739</v>
      </c>
      <c r="C2800" s="258" t="s">
        <v>4061</v>
      </c>
      <c r="D2800" s="258" t="s">
        <v>4062</v>
      </c>
      <c r="E2800" s="2" t="str">
        <f t="shared" si="57"/>
        <v>17</v>
      </c>
      <c r="F2800" s="255" t="s">
        <v>4804</v>
      </c>
      <c r="G2800" s="256" t="s">
        <v>4805</v>
      </c>
      <c r="H2800" s="268" t="s">
        <v>4809</v>
      </c>
      <c r="I2800" s="99" t="s">
        <v>4805</v>
      </c>
      <c r="J2800" s="21">
        <v>417</v>
      </c>
      <c r="K2800" s="21">
        <v>70</v>
      </c>
      <c r="L2800" s="29" t="s">
        <v>4018</v>
      </c>
      <c r="M2800" s="80" t="e">
        <f>AVERAGE(G2787:G2846)</f>
        <v>#DIV/0!</v>
      </c>
      <c r="N2800" s="21"/>
      <c r="O2800" s="21"/>
      <c r="R2800">
        <v>3</v>
      </c>
      <c r="S2800" t="s">
        <v>5046</v>
      </c>
      <c r="T2800">
        <v>10</v>
      </c>
      <c r="U2800" t="s">
        <v>5048</v>
      </c>
      <c r="V2800">
        <f t="shared" si="55"/>
        <v>3.8333333333333335</v>
      </c>
    </row>
    <row r="2801" spans="2:22" ht="15" customHeight="1" thickBot="1" x14ac:dyDescent="0.4">
      <c r="B2801" s="100">
        <f t="shared" si="56"/>
        <v>2740</v>
      </c>
      <c r="C2801" s="254" t="s">
        <v>4063</v>
      </c>
      <c r="D2801" s="254" t="s">
        <v>4064</v>
      </c>
      <c r="E2801" s="2" t="str">
        <f t="shared" si="57"/>
        <v>14</v>
      </c>
      <c r="F2801" s="255" t="s">
        <v>4804</v>
      </c>
      <c r="G2801" s="256" t="s">
        <v>4733</v>
      </c>
      <c r="H2801" s="268" t="s">
        <v>4810</v>
      </c>
      <c r="I2801" s="99" t="s">
        <v>4733</v>
      </c>
      <c r="J2801" s="21">
        <v>443</v>
      </c>
      <c r="K2801" s="21">
        <v>75</v>
      </c>
      <c r="L2801" s="29" t="s">
        <v>4020</v>
      </c>
      <c r="M2801" s="86">
        <f>AVERAGE(H2787:H2846)</f>
        <v>3.3390476190476184</v>
      </c>
      <c r="N2801" s="21"/>
      <c r="O2801" s="86" t="e">
        <f>SUM(G2790+G2837)</f>
        <v>#VALUE!</v>
      </c>
      <c r="R2801">
        <v>6</v>
      </c>
      <c r="S2801" t="s">
        <v>5046</v>
      </c>
      <c r="T2801">
        <v>11</v>
      </c>
      <c r="U2801" t="s">
        <v>5048</v>
      </c>
      <c r="V2801">
        <f t="shared" si="55"/>
        <v>6.916666666666667</v>
      </c>
    </row>
    <row r="2802" spans="2:22" ht="15" customHeight="1" thickBot="1" x14ac:dyDescent="0.4">
      <c r="B2802" s="100">
        <f t="shared" si="56"/>
        <v>2741</v>
      </c>
      <c r="C2802" s="258" t="s">
        <v>4065</v>
      </c>
      <c r="D2802" s="258" t="s">
        <v>4066</v>
      </c>
      <c r="E2802" s="2" t="str">
        <f t="shared" si="57"/>
        <v>17</v>
      </c>
      <c r="F2802" s="255" t="s">
        <v>4804</v>
      </c>
      <c r="G2802" s="256" t="s">
        <v>4688</v>
      </c>
      <c r="H2802" s="268" t="s">
        <v>4811</v>
      </c>
      <c r="I2802" s="99" t="s">
        <v>4688</v>
      </c>
      <c r="J2802" s="21">
        <v>507</v>
      </c>
      <c r="K2802" s="21">
        <v>78</v>
      </c>
      <c r="L2802" s="21"/>
      <c r="M2802" s="21"/>
      <c r="N2802" s="21"/>
      <c r="O2802" s="21"/>
      <c r="R2802">
        <v>3</v>
      </c>
      <c r="S2802" t="s">
        <v>5046</v>
      </c>
      <c r="T2802">
        <v>11</v>
      </c>
      <c r="U2802" t="s">
        <v>5048</v>
      </c>
      <c r="V2802">
        <f t="shared" si="55"/>
        <v>3.9166666666666665</v>
      </c>
    </row>
    <row r="2803" spans="2:22" ht="15" customHeight="1" thickBot="1" x14ac:dyDescent="0.4">
      <c r="B2803" s="100">
        <f t="shared" si="56"/>
        <v>2742</v>
      </c>
      <c r="C2803" s="258" t="s">
        <v>4067</v>
      </c>
      <c r="D2803" s="258" t="s">
        <v>4068</v>
      </c>
      <c r="E2803" s="2" t="str">
        <f t="shared" si="57"/>
        <v>17</v>
      </c>
      <c r="F2803" s="255" t="s">
        <v>4804</v>
      </c>
      <c r="G2803" s="256" t="s">
        <v>4688</v>
      </c>
      <c r="H2803" s="268" t="s">
        <v>4812</v>
      </c>
      <c r="I2803" s="99" t="s">
        <v>4688</v>
      </c>
      <c r="J2803" s="21">
        <v>419</v>
      </c>
      <c r="K2803" s="21">
        <v>70</v>
      </c>
      <c r="L2803" s="21"/>
      <c r="M2803" s="21"/>
      <c r="N2803" s="21"/>
      <c r="O2803" s="21"/>
      <c r="R2803">
        <v>3</v>
      </c>
      <c r="S2803" t="s">
        <v>5046</v>
      </c>
      <c r="T2803">
        <v>11</v>
      </c>
      <c r="U2803" t="s">
        <v>5048</v>
      </c>
      <c r="V2803">
        <f t="shared" ref="V2803:V2866" si="58">R2803+(T2803/12)</f>
        <v>3.9166666666666665</v>
      </c>
    </row>
    <row r="2804" spans="2:22" ht="15" customHeight="1" thickBot="1" x14ac:dyDescent="0.4">
      <c r="B2804" s="100">
        <f t="shared" si="56"/>
        <v>2743</v>
      </c>
      <c r="C2804" s="258" t="s">
        <v>4069</v>
      </c>
      <c r="D2804" s="258" t="s">
        <v>4070</v>
      </c>
      <c r="E2804" s="2" t="str">
        <f t="shared" si="57"/>
        <v>17</v>
      </c>
      <c r="F2804" s="255" t="s">
        <v>4804</v>
      </c>
      <c r="G2804" s="256" t="s">
        <v>4606</v>
      </c>
      <c r="H2804" s="268" t="s">
        <v>4813</v>
      </c>
      <c r="I2804" s="99" t="s">
        <v>4606</v>
      </c>
      <c r="J2804" s="21">
        <v>430</v>
      </c>
      <c r="K2804" s="21">
        <v>71</v>
      </c>
      <c r="L2804" s="21"/>
      <c r="M2804" s="21"/>
      <c r="N2804" s="21"/>
      <c r="O2804" s="21"/>
      <c r="R2804">
        <v>4</v>
      </c>
      <c r="S2804" t="s">
        <v>5046</v>
      </c>
      <c r="V2804">
        <f t="shared" si="58"/>
        <v>4</v>
      </c>
    </row>
    <row r="2805" spans="2:22" ht="15" customHeight="1" thickBot="1" x14ac:dyDescent="0.4">
      <c r="B2805" s="100">
        <f t="shared" si="56"/>
        <v>2744</v>
      </c>
      <c r="C2805" s="258" t="s">
        <v>4071</v>
      </c>
      <c r="D2805" s="258" t="s">
        <v>4072</v>
      </c>
      <c r="E2805" s="2" t="str">
        <f t="shared" si="57"/>
        <v>17</v>
      </c>
      <c r="F2805" s="255" t="s">
        <v>4804</v>
      </c>
      <c r="G2805" s="256" t="s">
        <v>4805</v>
      </c>
      <c r="H2805" s="268" t="s">
        <v>4789</v>
      </c>
      <c r="I2805" s="99" t="s">
        <v>4805</v>
      </c>
      <c r="J2805" s="21">
        <v>490</v>
      </c>
      <c r="K2805" s="21">
        <v>73.75</v>
      </c>
      <c r="L2805" s="21"/>
      <c r="M2805" s="21"/>
      <c r="N2805" s="21"/>
      <c r="O2805" s="21"/>
      <c r="R2805">
        <v>3</v>
      </c>
      <c r="S2805" t="s">
        <v>5046</v>
      </c>
      <c r="T2805">
        <v>10</v>
      </c>
      <c r="U2805" t="s">
        <v>5048</v>
      </c>
      <c r="V2805">
        <f t="shared" si="58"/>
        <v>3.8333333333333335</v>
      </c>
    </row>
    <row r="2806" spans="2:22" ht="15" customHeight="1" thickBot="1" x14ac:dyDescent="0.4">
      <c r="B2806" s="100">
        <f t="shared" si="56"/>
        <v>2745</v>
      </c>
      <c r="C2806" s="258" t="s">
        <v>4073</v>
      </c>
      <c r="D2806" s="258" t="s">
        <v>4074</v>
      </c>
      <c r="E2806" s="2" t="str">
        <f t="shared" si="57"/>
        <v>17</v>
      </c>
      <c r="F2806" s="255" t="s">
        <v>4804</v>
      </c>
      <c r="G2806" s="256" t="s">
        <v>4814</v>
      </c>
      <c r="H2806" s="268" t="s">
        <v>4815</v>
      </c>
      <c r="I2806" s="99" t="s">
        <v>4814</v>
      </c>
      <c r="J2806" s="21">
        <v>513</v>
      </c>
      <c r="K2806" s="21">
        <v>65</v>
      </c>
      <c r="L2806" s="21"/>
      <c r="M2806" s="21"/>
      <c r="N2806" s="21"/>
      <c r="O2806" s="21"/>
      <c r="R2806">
        <v>3</v>
      </c>
      <c r="S2806" t="s">
        <v>5049</v>
      </c>
      <c r="T2806">
        <v>10</v>
      </c>
      <c r="U2806" t="s">
        <v>5050</v>
      </c>
      <c r="V2806">
        <f t="shared" si="58"/>
        <v>3.8333333333333335</v>
      </c>
    </row>
    <row r="2807" spans="2:22" ht="15" customHeight="1" thickBot="1" x14ac:dyDescent="0.4">
      <c r="B2807" s="100">
        <f t="shared" si="56"/>
        <v>2746</v>
      </c>
      <c r="C2807" s="258" t="s">
        <v>4075</v>
      </c>
      <c r="D2807" s="258" t="s">
        <v>4076</v>
      </c>
      <c r="E2807" s="2" t="str">
        <f t="shared" si="57"/>
        <v>16</v>
      </c>
      <c r="F2807" s="255" t="s">
        <v>4804</v>
      </c>
      <c r="G2807" s="256" t="s">
        <v>4694</v>
      </c>
      <c r="H2807" s="268" t="s">
        <v>4609</v>
      </c>
      <c r="I2807" s="99" t="s">
        <v>4694</v>
      </c>
      <c r="J2807" s="21">
        <v>500</v>
      </c>
      <c r="K2807" s="21">
        <v>60</v>
      </c>
      <c r="L2807" s="21"/>
      <c r="M2807" s="21"/>
      <c r="N2807" s="21"/>
      <c r="O2807" s="21"/>
      <c r="R2807">
        <v>4</v>
      </c>
      <c r="S2807" t="s">
        <v>5046</v>
      </c>
      <c r="T2807">
        <v>11</v>
      </c>
      <c r="U2807" t="s">
        <v>5048</v>
      </c>
      <c r="V2807">
        <f t="shared" si="58"/>
        <v>4.916666666666667</v>
      </c>
    </row>
    <row r="2808" spans="2:22" ht="15" customHeight="1" thickBot="1" x14ac:dyDescent="0.4">
      <c r="B2808" s="100">
        <f t="shared" si="56"/>
        <v>2747</v>
      </c>
      <c r="C2808" s="258" t="s">
        <v>4077</v>
      </c>
      <c r="D2808" s="258" t="s">
        <v>4078</v>
      </c>
      <c r="E2808" s="2" t="str">
        <f t="shared" si="57"/>
        <v>14</v>
      </c>
      <c r="F2808" s="255" t="s">
        <v>4804</v>
      </c>
      <c r="G2808" s="256" t="s">
        <v>4733</v>
      </c>
      <c r="H2808" s="268" t="s">
        <v>4620</v>
      </c>
      <c r="I2808" s="99" t="s">
        <v>4733</v>
      </c>
      <c r="J2808" s="21">
        <v>503</v>
      </c>
      <c r="K2808" s="21">
        <v>78.75</v>
      </c>
      <c r="L2808" s="21"/>
      <c r="M2808" s="21"/>
      <c r="N2808" s="21"/>
      <c r="O2808" s="21"/>
      <c r="R2808">
        <v>6</v>
      </c>
      <c r="S2808" t="s">
        <v>5046</v>
      </c>
      <c r="T2808">
        <v>11</v>
      </c>
      <c r="U2808" t="s">
        <v>5048</v>
      </c>
      <c r="V2808">
        <f t="shared" si="58"/>
        <v>6.916666666666667</v>
      </c>
    </row>
    <row r="2809" spans="2:22" ht="15" customHeight="1" thickBot="1" x14ac:dyDescent="0.4">
      <c r="B2809" s="100">
        <f t="shared" si="56"/>
        <v>2748</v>
      </c>
      <c r="C2809" s="258" t="s">
        <v>4079</v>
      </c>
      <c r="D2809" s="258" t="s">
        <v>4080</v>
      </c>
      <c r="E2809" s="2" t="str">
        <f t="shared" si="57"/>
        <v>17</v>
      </c>
      <c r="F2809" s="255" t="s">
        <v>4804</v>
      </c>
      <c r="G2809" s="256" t="s">
        <v>4606</v>
      </c>
      <c r="H2809" s="268" t="s">
        <v>4816</v>
      </c>
      <c r="I2809" s="99" t="s">
        <v>4606</v>
      </c>
      <c r="J2809" s="21" t="s">
        <v>4056</v>
      </c>
      <c r="K2809" s="21">
        <v>60</v>
      </c>
      <c r="L2809" s="21"/>
      <c r="M2809" s="21"/>
      <c r="N2809" s="21"/>
      <c r="O2809" s="21"/>
      <c r="R2809">
        <v>4</v>
      </c>
      <c r="S2809" t="s">
        <v>5046</v>
      </c>
      <c r="V2809">
        <f t="shared" si="58"/>
        <v>4</v>
      </c>
    </row>
    <row r="2810" spans="2:22" ht="15" customHeight="1" thickBot="1" x14ac:dyDescent="0.4">
      <c r="B2810" s="100">
        <f t="shared" si="56"/>
        <v>2749</v>
      </c>
      <c r="C2810" s="254" t="s">
        <v>4081</v>
      </c>
      <c r="D2810" s="254" t="s">
        <v>4082</v>
      </c>
      <c r="E2810" s="2" t="str">
        <f t="shared" si="57"/>
        <v>17</v>
      </c>
      <c r="F2810" s="255" t="s">
        <v>4804</v>
      </c>
      <c r="G2810" s="256" t="s">
        <v>4688</v>
      </c>
      <c r="H2810" s="268" t="s">
        <v>4817</v>
      </c>
      <c r="I2810" s="99" t="s">
        <v>4688</v>
      </c>
      <c r="J2810" s="21">
        <v>467</v>
      </c>
      <c r="K2810" s="21">
        <v>75</v>
      </c>
      <c r="L2810" s="21"/>
      <c r="M2810" s="21"/>
      <c r="N2810" s="21"/>
      <c r="O2810" s="21"/>
      <c r="R2810">
        <v>3</v>
      </c>
      <c r="S2810" t="s">
        <v>5046</v>
      </c>
      <c r="T2810">
        <v>11</v>
      </c>
      <c r="U2810" t="s">
        <v>5048</v>
      </c>
      <c r="V2810">
        <f t="shared" si="58"/>
        <v>3.9166666666666665</v>
      </c>
    </row>
    <row r="2811" spans="2:22" ht="15" customHeight="1" thickBot="1" x14ac:dyDescent="0.4">
      <c r="B2811" s="100">
        <f t="shared" si="56"/>
        <v>2750</v>
      </c>
      <c r="C2811" s="254" t="s">
        <v>4083</v>
      </c>
      <c r="D2811" s="254" t="s">
        <v>4084</v>
      </c>
      <c r="E2811" s="2" t="str">
        <f t="shared" si="57"/>
        <v>17</v>
      </c>
      <c r="F2811" s="255" t="s">
        <v>4804</v>
      </c>
      <c r="G2811" s="256" t="s">
        <v>4688</v>
      </c>
      <c r="H2811" s="268" t="s">
        <v>4679</v>
      </c>
      <c r="I2811" s="99" t="s">
        <v>4688</v>
      </c>
      <c r="J2811" s="21">
        <v>427</v>
      </c>
      <c r="K2811" s="21">
        <v>82.5</v>
      </c>
      <c r="L2811" s="21"/>
      <c r="M2811" s="21"/>
      <c r="N2811" s="21"/>
      <c r="O2811" s="21"/>
      <c r="R2811">
        <v>3</v>
      </c>
      <c r="S2811" t="s">
        <v>5046</v>
      </c>
      <c r="T2811">
        <v>11</v>
      </c>
      <c r="U2811" t="s">
        <v>5048</v>
      </c>
      <c r="V2811">
        <f t="shared" si="58"/>
        <v>3.9166666666666665</v>
      </c>
    </row>
    <row r="2812" spans="2:22" ht="15" customHeight="1" thickBot="1" x14ac:dyDescent="0.4">
      <c r="B2812" s="100">
        <f t="shared" si="56"/>
        <v>2751</v>
      </c>
      <c r="C2812" s="258" t="s">
        <v>4085</v>
      </c>
      <c r="D2812" s="258" t="s">
        <v>4086</v>
      </c>
      <c r="E2812" s="2" t="str">
        <f t="shared" si="57"/>
        <v>17</v>
      </c>
      <c r="F2812" s="255" t="s">
        <v>4804</v>
      </c>
      <c r="G2812" s="258" t="s">
        <v>4688</v>
      </c>
      <c r="H2812" s="268" t="s">
        <v>4818</v>
      </c>
      <c r="I2812" s="99" t="s">
        <v>4688</v>
      </c>
      <c r="J2812" s="21">
        <v>490</v>
      </c>
      <c r="K2812" s="21">
        <v>76.25</v>
      </c>
      <c r="L2812" s="21"/>
      <c r="M2812" s="21"/>
      <c r="N2812" s="21"/>
      <c r="O2812" s="21"/>
      <c r="R2812">
        <v>3</v>
      </c>
      <c r="S2812" t="s">
        <v>5046</v>
      </c>
      <c r="T2812">
        <v>11</v>
      </c>
      <c r="U2812" t="s">
        <v>5048</v>
      </c>
      <c r="V2812">
        <f t="shared" si="58"/>
        <v>3.9166666666666665</v>
      </c>
    </row>
    <row r="2813" spans="2:22" ht="15" customHeight="1" thickBot="1" x14ac:dyDescent="0.4">
      <c r="B2813" s="100">
        <f t="shared" si="56"/>
        <v>2752</v>
      </c>
      <c r="C2813" s="254" t="s">
        <v>4087</v>
      </c>
      <c r="D2813" s="254" t="s">
        <v>4088</v>
      </c>
      <c r="E2813" s="2" t="str">
        <f t="shared" si="57"/>
        <v>17</v>
      </c>
      <c r="F2813" s="255" t="s">
        <v>4804</v>
      </c>
      <c r="G2813" s="256" t="s">
        <v>4688</v>
      </c>
      <c r="H2813" s="268" t="s">
        <v>4819</v>
      </c>
      <c r="I2813" s="99" t="s">
        <v>4688</v>
      </c>
      <c r="J2813" s="21">
        <v>427</v>
      </c>
      <c r="K2813" s="21">
        <v>68</v>
      </c>
      <c r="L2813" s="21"/>
      <c r="M2813" s="21"/>
      <c r="N2813" s="21"/>
      <c r="O2813" s="21"/>
      <c r="R2813">
        <v>3</v>
      </c>
      <c r="S2813" t="s">
        <v>5046</v>
      </c>
      <c r="T2813">
        <v>11</v>
      </c>
      <c r="U2813" t="s">
        <v>5048</v>
      </c>
      <c r="V2813">
        <f t="shared" si="58"/>
        <v>3.9166666666666665</v>
      </c>
    </row>
    <row r="2814" spans="2:22" ht="15" customHeight="1" thickBot="1" x14ac:dyDescent="0.4">
      <c r="B2814" s="100">
        <f t="shared" si="56"/>
        <v>2753</v>
      </c>
      <c r="C2814" s="254" t="s">
        <v>4089</v>
      </c>
      <c r="D2814" s="254" t="s">
        <v>4090</v>
      </c>
      <c r="E2814" s="2" t="str">
        <f t="shared" si="57"/>
        <v>17</v>
      </c>
      <c r="F2814" s="255" t="s">
        <v>4804</v>
      </c>
      <c r="G2814" s="256" t="s">
        <v>4688</v>
      </c>
      <c r="H2814" s="268" t="s">
        <v>4819</v>
      </c>
      <c r="I2814" s="99" t="s">
        <v>4688</v>
      </c>
      <c r="J2814" s="21">
        <v>467</v>
      </c>
      <c r="K2814" s="21">
        <v>80</v>
      </c>
      <c r="L2814" s="21"/>
      <c r="M2814" s="21"/>
      <c r="N2814" s="21"/>
      <c r="O2814" s="21"/>
      <c r="R2814">
        <v>3</v>
      </c>
      <c r="S2814" t="s">
        <v>5046</v>
      </c>
      <c r="T2814">
        <v>11</v>
      </c>
      <c r="U2814" t="s">
        <v>5048</v>
      </c>
      <c r="V2814">
        <f t="shared" si="58"/>
        <v>3.9166666666666665</v>
      </c>
    </row>
    <row r="2815" spans="2:22" ht="15" customHeight="1" thickBot="1" x14ac:dyDescent="0.4">
      <c r="B2815" s="100">
        <f t="shared" si="56"/>
        <v>2754</v>
      </c>
      <c r="C2815" s="258" t="s">
        <v>4091</v>
      </c>
      <c r="D2815" s="258" t="s">
        <v>4092</v>
      </c>
      <c r="E2815" s="2" t="str">
        <f t="shared" si="57"/>
        <v>17</v>
      </c>
      <c r="F2815" s="255" t="s">
        <v>4804</v>
      </c>
      <c r="G2815" s="256" t="s">
        <v>4748</v>
      </c>
      <c r="H2815" s="268" t="s">
        <v>4635</v>
      </c>
      <c r="I2815" s="99" t="s">
        <v>4748</v>
      </c>
      <c r="J2815" s="21">
        <v>445</v>
      </c>
      <c r="K2815" s="21">
        <v>82.5</v>
      </c>
      <c r="L2815" s="21"/>
      <c r="M2815" s="21"/>
      <c r="N2815" s="21"/>
      <c r="O2815" s="21"/>
      <c r="R2815">
        <v>4</v>
      </c>
      <c r="S2815" t="s">
        <v>5049</v>
      </c>
      <c r="V2815">
        <f t="shared" si="58"/>
        <v>4</v>
      </c>
    </row>
    <row r="2816" spans="2:22" ht="15" customHeight="1" thickBot="1" x14ac:dyDescent="0.4">
      <c r="B2816" s="100">
        <f t="shared" si="56"/>
        <v>2755</v>
      </c>
      <c r="C2816" s="254" t="s">
        <v>4094</v>
      </c>
      <c r="D2816" s="254" t="s">
        <v>4095</v>
      </c>
      <c r="E2816" s="2" t="str">
        <f t="shared" si="57"/>
        <v>17</v>
      </c>
      <c r="F2816" s="255" t="s">
        <v>4804</v>
      </c>
      <c r="G2816" s="256" t="s">
        <v>4688</v>
      </c>
      <c r="H2816" s="268" t="s">
        <v>4820</v>
      </c>
      <c r="I2816" s="99" t="s">
        <v>4688</v>
      </c>
      <c r="J2816" s="21">
        <v>493</v>
      </c>
      <c r="K2816" s="21">
        <v>60</v>
      </c>
      <c r="L2816" s="21"/>
      <c r="M2816" s="21"/>
      <c r="N2816" s="21"/>
      <c r="O2816" s="21"/>
      <c r="R2816">
        <v>3</v>
      </c>
      <c r="S2816" t="s">
        <v>5046</v>
      </c>
      <c r="T2816">
        <v>11</v>
      </c>
      <c r="U2816" t="s">
        <v>5048</v>
      </c>
      <c r="V2816">
        <f t="shared" si="58"/>
        <v>3.9166666666666665</v>
      </c>
    </row>
    <row r="2817" spans="2:22" ht="15" customHeight="1" thickBot="1" x14ac:dyDescent="0.4">
      <c r="B2817" s="100">
        <f t="shared" si="56"/>
        <v>2756</v>
      </c>
      <c r="C2817" s="258" t="s">
        <v>4096</v>
      </c>
      <c r="D2817" s="258" t="s">
        <v>4097</v>
      </c>
      <c r="E2817" s="2" t="str">
        <f t="shared" si="57"/>
        <v>17</v>
      </c>
      <c r="F2817" s="255" t="s">
        <v>4804</v>
      </c>
      <c r="G2817" s="256" t="s">
        <v>4805</v>
      </c>
      <c r="H2817" s="268" t="s">
        <v>4409</v>
      </c>
      <c r="I2817" s="99" t="s">
        <v>4805</v>
      </c>
      <c r="J2817" s="21">
        <v>493</v>
      </c>
      <c r="K2817" s="21">
        <v>80</v>
      </c>
      <c r="L2817" s="21"/>
      <c r="M2817" s="21"/>
      <c r="N2817" s="21"/>
      <c r="O2817" s="21"/>
      <c r="R2817">
        <v>3</v>
      </c>
      <c r="S2817" t="s">
        <v>5046</v>
      </c>
      <c r="T2817">
        <v>10</v>
      </c>
      <c r="U2817" t="s">
        <v>5048</v>
      </c>
      <c r="V2817">
        <f t="shared" si="58"/>
        <v>3.8333333333333335</v>
      </c>
    </row>
    <row r="2818" spans="2:22" ht="15" customHeight="1" thickBot="1" x14ac:dyDescent="0.4">
      <c r="B2818" s="100">
        <f t="shared" si="56"/>
        <v>2757</v>
      </c>
      <c r="C2818" s="254" t="s">
        <v>4098</v>
      </c>
      <c r="D2818" s="254" t="s">
        <v>4099</v>
      </c>
      <c r="E2818" s="2" t="str">
        <f t="shared" si="57"/>
        <v>17</v>
      </c>
      <c r="F2818" s="255" t="s">
        <v>4804</v>
      </c>
      <c r="G2818" s="256" t="s">
        <v>4698</v>
      </c>
      <c r="H2818" s="268" t="s">
        <v>4821</v>
      </c>
      <c r="I2818" s="99" t="s">
        <v>4698</v>
      </c>
      <c r="J2818" s="21">
        <v>470</v>
      </c>
      <c r="K2818" s="21">
        <v>71.25</v>
      </c>
      <c r="L2818" s="21"/>
      <c r="M2818" s="21"/>
      <c r="N2818" s="21"/>
      <c r="O2818" s="21"/>
      <c r="R2818">
        <v>3</v>
      </c>
      <c r="S2818" t="s">
        <v>5049</v>
      </c>
      <c r="T2818">
        <v>11</v>
      </c>
      <c r="U2818" t="s">
        <v>5050</v>
      </c>
      <c r="V2818">
        <f t="shared" si="58"/>
        <v>3.9166666666666665</v>
      </c>
    </row>
    <row r="2819" spans="2:22" ht="15" customHeight="1" thickBot="1" x14ac:dyDescent="0.4">
      <c r="B2819" s="100">
        <f t="shared" si="56"/>
        <v>2758</v>
      </c>
      <c r="C2819" s="254" t="s">
        <v>4100</v>
      </c>
      <c r="D2819" s="254" t="s">
        <v>4101</v>
      </c>
      <c r="E2819" s="2" t="str">
        <f t="shared" si="57"/>
        <v>17</v>
      </c>
      <c r="F2819" s="255" t="s">
        <v>4804</v>
      </c>
      <c r="G2819" s="256" t="s">
        <v>4606</v>
      </c>
      <c r="H2819" s="268" t="s">
        <v>4214</v>
      </c>
      <c r="I2819" s="99" t="s">
        <v>4606</v>
      </c>
      <c r="J2819" s="21">
        <v>443</v>
      </c>
      <c r="K2819" s="21">
        <v>70</v>
      </c>
      <c r="L2819" s="21"/>
      <c r="M2819" s="19" t="s">
        <v>580</v>
      </c>
      <c r="N2819" s="21"/>
      <c r="O2819" s="21"/>
      <c r="R2819">
        <v>4</v>
      </c>
      <c r="S2819" t="s">
        <v>5046</v>
      </c>
      <c r="V2819">
        <f t="shared" si="58"/>
        <v>4</v>
      </c>
    </row>
    <row r="2820" spans="2:22" ht="15" customHeight="1" thickBot="1" x14ac:dyDescent="0.4">
      <c r="B2820" s="100">
        <f t="shared" si="56"/>
        <v>2759</v>
      </c>
      <c r="C2820" s="258" t="s">
        <v>4102</v>
      </c>
      <c r="D2820" s="258" t="s">
        <v>4103</v>
      </c>
      <c r="E2820" s="2" t="str">
        <f t="shared" si="57"/>
        <v>17</v>
      </c>
      <c r="F2820" s="255" t="s">
        <v>4804</v>
      </c>
      <c r="G2820" s="256" t="s">
        <v>4805</v>
      </c>
      <c r="H2820" s="268" t="s">
        <v>4409</v>
      </c>
      <c r="I2820" s="99" t="s">
        <v>4805</v>
      </c>
      <c r="J2820" s="21">
        <v>520</v>
      </c>
      <c r="K2820" s="21">
        <v>60</v>
      </c>
      <c r="L2820" s="21"/>
      <c r="M2820" s="21"/>
      <c r="N2820" s="21"/>
      <c r="O2820" s="21"/>
      <c r="R2820">
        <v>3</v>
      </c>
      <c r="S2820" t="s">
        <v>5046</v>
      </c>
      <c r="T2820">
        <v>10</v>
      </c>
      <c r="U2820" t="s">
        <v>5048</v>
      </c>
      <c r="V2820">
        <f t="shared" si="58"/>
        <v>3.8333333333333335</v>
      </c>
    </row>
    <row r="2821" spans="2:22" ht="15" customHeight="1" thickBot="1" x14ac:dyDescent="0.4">
      <c r="B2821" s="100">
        <f t="shared" si="56"/>
        <v>2760</v>
      </c>
      <c r="C2821" s="254" t="s">
        <v>4104</v>
      </c>
      <c r="D2821" s="254" t="s">
        <v>4105</v>
      </c>
      <c r="E2821" s="2" t="str">
        <f t="shared" si="57"/>
        <v>17</v>
      </c>
      <c r="F2821" s="255" t="s">
        <v>4804</v>
      </c>
      <c r="G2821" s="256" t="s">
        <v>4606</v>
      </c>
      <c r="H2821" s="268" t="s">
        <v>4820</v>
      </c>
      <c r="I2821" s="99" t="s">
        <v>4606</v>
      </c>
      <c r="J2821" s="21">
        <v>443</v>
      </c>
      <c r="K2821" s="21">
        <v>63.75</v>
      </c>
      <c r="L2821" s="21"/>
      <c r="M2821" s="21"/>
      <c r="N2821" s="21"/>
      <c r="O2821" s="21"/>
      <c r="R2821">
        <v>4</v>
      </c>
      <c r="S2821" t="s">
        <v>5046</v>
      </c>
      <c r="V2821">
        <f t="shared" si="58"/>
        <v>4</v>
      </c>
    </row>
    <row r="2822" spans="2:22" ht="15" customHeight="1" thickBot="1" x14ac:dyDescent="0.4">
      <c r="B2822" s="100">
        <f t="shared" si="56"/>
        <v>2761</v>
      </c>
      <c r="C2822" s="254" t="s">
        <v>4106</v>
      </c>
      <c r="D2822" s="254" t="s">
        <v>4107</v>
      </c>
      <c r="E2822" s="2" t="str">
        <f t="shared" si="57"/>
        <v>17</v>
      </c>
      <c r="F2822" s="255" t="s">
        <v>4804</v>
      </c>
      <c r="G2822" s="256" t="s">
        <v>4688</v>
      </c>
      <c r="H2822" s="268" t="s">
        <v>4393</v>
      </c>
      <c r="I2822" s="99" t="s">
        <v>4688</v>
      </c>
      <c r="J2822" s="21">
        <v>517</v>
      </c>
      <c r="K2822" s="21">
        <v>66.25</v>
      </c>
      <c r="L2822" s="21"/>
      <c r="M2822" s="21"/>
      <c r="N2822" s="21"/>
      <c r="O2822" s="21"/>
      <c r="R2822">
        <v>3</v>
      </c>
      <c r="S2822" t="s">
        <v>5046</v>
      </c>
      <c r="T2822">
        <v>11</v>
      </c>
      <c r="U2822" t="s">
        <v>5048</v>
      </c>
      <c r="V2822">
        <f t="shared" si="58"/>
        <v>3.9166666666666665</v>
      </c>
    </row>
    <row r="2823" spans="2:22" ht="15" customHeight="1" thickBot="1" x14ac:dyDescent="0.4">
      <c r="B2823" s="100">
        <f t="shared" si="56"/>
        <v>2762</v>
      </c>
      <c r="C2823" s="254" t="s">
        <v>4108</v>
      </c>
      <c r="D2823" s="254" t="s">
        <v>4109</v>
      </c>
      <c r="E2823" s="2" t="str">
        <f t="shared" si="57"/>
        <v>17</v>
      </c>
      <c r="F2823" s="255" t="s">
        <v>4804</v>
      </c>
      <c r="G2823" s="256" t="s">
        <v>4606</v>
      </c>
      <c r="H2823" s="268">
        <v>3.41</v>
      </c>
      <c r="I2823" s="99" t="s">
        <v>4606</v>
      </c>
      <c r="J2823" s="21">
        <v>460</v>
      </c>
      <c r="K2823" s="21">
        <v>70</v>
      </c>
      <c r="L2823" s="21"/>
      <c r="M2823" s="21"/>
      <c r="N2823" s="21"/>
      <c r="O2823" s="21"/>
      <c r="R2823">
        <v>4</v>
      </c>
      <c r="S2823" t="s">
        <v>5046</v>
      </c>
      <c r="V2823">
        <f t="shared" si="58"/>
        <v>4</v>
      </c>
    </row>
    <row r="2824" spans="2:22" ht="15" customHeight="1" thickBot="1" x14ac:dyDescent="0.4">
      <c r="B2824" s="100">
        <f t="shared" si="56"/>
        <v>2763</v>
      </c>
      <c r="C2824" s="254" t="s">
        <v>4110</v>
      </c>
      <c r="D2824" s="254" t="s">
        <v>4111</v>
      </c>
      <c r="E2824" s="2" t="str">
        <f t="shared" si="57"/>
        <v>17</v>
      </c>
      <c r="F2824" s="255" t="s">
        <v>4804</v>
      </c>
      <c r="G2824" s="256" t="s">
        <v>4606</v>
      </c>
      <c r="H2824" s="268">
        <v>3.38</v>
      </c>
      <c r="I2824" s="99" t="s">
        <v>4606</v>
      </c>
      <c r="J2824" s="21">
        <v>417</v>
      </c>
      <c r="K2824" s="21">
        <v>76</v>
      </c>
      <c r="L2824" s="21"/>
      <c r="M2824" s="21"/>
      <c r="N2824" s="21"/>
      <c r="O2824" s="21"/>
      <c r="R2824">
        <v>4</v>
      </c>
      <c r="S2824" t="s">
        <v>5046</v>
      </c>
      <c r="V2824">
        <f t="shared" si="58"/>
        <v>4</v>
      </c>
    </row>
    <row r="2825" spans="2:22" ht="15" customHeight="1" thickBot="1" x14ac:dyDescent="0.4">
      <c r="B2825" s="100">
        <f t="shared" si="56"/>
        <v>2764</v>
      </c>
      <c r="C2825" s="254" t="s">
        <v>4112</v>
      </c>
      <c r="D2825" s="254" t="s">
        <v>4113</v>
      </c>
      <c r="E2825" s="2" t="str">
        <f t="shared" si="57"/>
        <v>17</v>
      </c>
      <c r="F2825" s="255" t="s">
        <v>4804</v>
      </c>
      <c r="G2825" s="256" t="s">
        <v>4606</v>
      </c>
      <c r="H2825" s="268">
        <v>3.69</v>
      </c>
      <c r="I2825" s="99" t="s">
        <v>4606</v>
      </c>
      <c r="J2825" s="21">
        <v>480</v>
      </c>
      <c r="K2825" s="21">
        <v>71.25</v>
      </c>
      <c r="L2825" s="21"/>
      <c r="M2825" s="21"/>
      <c r="N2825" s="21"/>
      <c r="O2825" s="21"/>
      <c r="R2825">
        <v>4</v>
      </c>
      <c r="S2825" t="s">
        <v>5046</v>
      </c>
      <c r="V2825">
        <f t="shared" si="58"/>
        <v>4</v>
      </c>
    </row>
    <row r="2826" spans="2:22" ht="15" customHeight="1" thickBot="1" x14ac:dyDescent="0.4">
      <c r="B2826" s="100">
        <f t="shared" si="56"/>
        <v>2765</v>
      </c>
      <c r="C2826" s="254" t="s">
        <v>4114</v>
      </c>
      <c r="D2826" s="254" t="s">
        <v>4115</v>
      </c>
      <c r="E2826" s="2" t="str">
        <f t="shared" si="57"/>
        <v>17</v>
      </c>
      <c r="F2826" s="255" t="s">
        <v>4804</v>
      </c>
      <c r="G2826" s="256" t="s">
        <v>4606</v>
      </c>
      <c r="H2826" s="268">
        <v>3.32</v>
      </c>
      <c r="I2826" s="99" t="s">
        <v>4606</v>
      </c>
      <c r="J2826" s="21">
        <v>490</v>
      </c>
      <c r="K2826" s="21">
        <v>77.5</v>
      </c>
      <c r="L2826" s="21"/>
      <c r="M2826" s="21"/>
      <c r="N2826" s="21"/>
      <c r="O2826" s="21"/>
      <c r="R2826">
        <v>4</v>
      </c>
      <c r="S2826" t="s">
        <v>5046</v>
      </c>
      <c r="V2826">
        <f t="shared" si="58"/>
        <v>4</v>
      </c>
    </row>
    <row r="2827" spans="2:22" ht="15" customHeight="1" thickBot="1" x14ac:dyDescent="0.4">
      <c r="B2827" s="100">
        <f t="shared" si="56"/>
        <v>2766</v>
      </c>
      <c r="C2827" s="254" t="s">
        <v>4116</v>
      </c>
      <c r="D2827" s="254" t="s">
        <v>4117</v>
      </c>
      <c r="E2827" s="2" t="str">
        <f t="shared" si="57"/>
        <v>17</v>
      </c>
      <c r="F2827" s="255" t="s">
        <v>4804</v>
      </c>
      <c r="G2827" s="256" t="s">
        <v>4688</v>
      </c>
      <c r="H2827" s="268">
        <v>3.65</v>
      </c>
      <c r="I2827" s="99" t="s">
        <v>4688</v>
      </c>
      <c r="J2827" s="21" t="s">
        <v>4093</v>
      </c>
      <c r="K2827" s="21">
        <v>66.88</v>
      </c>
      <c r="L2827" s="21"/>
      <c r="M2827" s="21"/>
      <c r="N2827" s="21"/>
      <c r="O2827" s="21"/>
      <c r="R2827">
        <v>3</v>
      </c>
      <c r="S2827" t="s">
        <v>5046</v>
      </c>
      <c r="T2827">
        <v>11</v>
      </c>
      <c r="U2827" t="s">
        <v>5048</v>
      </c>
      <c r="V2827">
        <f t="shared" si="58"/>
        <v>3.9166666666666665</v>
      </c>
    </row>
    <row r="2828" spans="2:22" ht="15" customHeight="1" thickBot="1" x14ac:dyDescent="0.4">
      <c r="B2828" s="100">
        <f t="shared" ref="B2828:B2853" si="59">(B2827+1)</f>
        <v>2767</v>
      </c>
      <c r="C2828" s="254" t="s">
        <v>4118</v>
      </c>
      <c r="D2828" s="254" t="s">
        <v>4119</v>
      </c>
      <c r="E2828" s="2" t="str">
        <f t="shared" si="57"/>
        <v>17</v>
      </c>
      <c r="F2828" s="255" t="s">
        <v>4804</v>
      </c>
      <c r="G2828" s="256" t="s">
        <v>4606</v>
      </c>
      <c r="H2828" s="268" t="s">
        <v>4659</v>
      </c>
      <c r="I2828" s="99" t="s">
        <v>4606</v>
      </c>
      <c r="J2828" s="21">
        <v>517</v>
      </c>
      <c r="K2828" s="21">
        <v>65</v>
      </c>
      <c r="L2828" s="21"/>
      <c r="M2828" s="21"/>
      <c r="N2828" s="21"/>
      <c r="O2828" s="21"/>
      <c r="R2828">
        <v>4</v>
      </c>
      <c r="S2828" t="s">
        <v>5046</v>
      </c>
      <c r="V2828">
        <f t="shared" si="58"/>
        <v>4</v>
      </c>
    </row>
    <row r="2829" spans="2:22" ht="15" customHeight="1" thickBot="1" x14ac:dyDescent="0.4">
      <c r="B2829" s="100">
        <f t="shared" si="59"/>
        <v>2768</v>
      </c>
      <c r="C2829" s="254" t="s">
        <v>4120</v>
      </c>
      <c r="D2829" s="254" t="s">
        <v>4121</v>
      </c>
      <c r="E2829" s="2" t="str">
        <f t="shared" si="57"/>
        <v>17</v>
      </c>
      <c r="F2829" s="255" t="s">
        <v>4804</v>
      </c>
      <c r="G2829" s="256" t="s">
        <v>4688</v>
      </c>
      <c r="H2829" s="268">
        <v>3.23</v>
      </c>
      <c r="I2829" s="99" t="s">
        <v>4688</v>
      </c>
      <c r="J2829" s="19">
        <v>453</v>
      </c>
      <c r="K2829" s="19">
        <v>78.75</v>
      </c>
      <c r="L2829" s="21"/>
      <c r="M2829" s="21"/>
      <c r="N2829" s="21"/>
      <c r="O2829" s="19"/>
      <c r="P2829" s="3"/>
      <c r="Q2829" s="3"/>
      <c r="R2829" s="3">
        <v>3</v>
      </c>
      <c r="S2829" t="s">
        <v>5046</v>
      </c>
      <c r="T2829">
        <v>11</v>
      </c>
      <c r="U2829" t="s">
        <v>5048</v>
      </c>
      <c r="V2829">
        <f t="shared" si="58"/>
        <v>3.9166666666666665</v>
      </c>
    </row>
    <row r="2830" spans="2:22" ht="15" customHeight="1" thickBot="1" x14ac:dyDescent="0.4">
      <c r="B2830" s="100">
        <f t="shared" si="59"/>
        <v>2769</v>
      </c>
      <c r="C2830" s="254" t="s">
        <v>4122</v>
      </c>
      <c r="D2830" s="254" t="s">
        <v>4123</v>
      </c>
      <c r="E2830" s="2" t="str">
        <f t="shared" si="57"/>
        <v>17</v>
      </c>
      <c r="F2830" s="255" t="s">
        <v>4804</v>
      </c>
      <c r="G2830" s="256" t="s">
        <v>4606</v>
      </c>
      <c r="H2830" s="268">
        <v>3.62</v>
      </c>
      <c r="I2830" s="99" t="s">
        <v>4606</v>
      </c>
      <c r="J2830" s="19">
        <v>430</v>
      </c>
      <c r="K2830" s="19">
        <v>68.13</v>
      </c>
      <c r="L2830" s="21"/>
      <c r="M2830" s="21"/>
      <c r="N2830" s="21"/>
      <c r="O2830" s="19"/>
      <c r="P2830" s="3"/>
      <c r="Q2830" s="3"/>
      <c r="R2830" s="3">
        <v>4</v>
      </c>
      <c r="S2830" t="s">
        <v>5046</v>
      </c>
      <c r="V2830">
        <f t="shared" si="58"/>
        <v>4</v>
      </c>
    </row>
    <row r="2831" spans="2:22" ht="15" customHeight="1" thickBot="1" x14ac:dyDescent="0.4">
      <c r="B2831" s="100">
        <f t="shared" si="59"/>
        <v>2770</v>
      </c>
      <c r="C2831" s="254" t="s">
        <v>4124</v>
      </c>
      <c r="D2831" s="254" t="s">
        <v>4125</v>
      </c>
      <c r="E2831" s="2" t="str">
        <f t="shared" si="57"/>
        <v>17</v>
      </c>
      <c r="F2831" s="255" t="s">
        <v>4804</v>
      </c>
      <c r="G2831" s="256" t="s">
        <v>4688</v>
      </c>
      <c r="H2831" s="268" t="s">
        <v>4624</v>
      </c>
      <c r="I2831" s="99" t="s">
        <v>4688</v>
      </c>
      <c r="J2831" s="19">
        <v>517</v>
      </c>
      <c r="K2831" s="19">
        <v>65</v>
      </c>
      <c r="L2831" s="21"/>
      <c r="M2831" s="21"/>
      <c r="N2831" s="21"/>
      <c r="O2831" s="19"/>
      <c r="P2831" s="3"/>
      <c r="Q2831" s="3"/>
      <c r="R2831" s="3">
        <v>3</v>
      </c>
      <c r="S2831" t="s">
        <v>5046</v>
      </c>
      <c r="T2831">
        <v>11</v>
      </c>
      <c r="U2831" t="s">
        <v>5048</v>
      </c>
      <c r="V2831">
        <f t="shared" si="58"/>
        <v>3.9166666666666665</v>
      </c>
    </row>
    <row r="2832" spans="2:22" ht="15" customHeight="1" thickBot="1" x14ac:dyDescent="0.4">
      <c r="B2832" s="100">
        <f t="shared" si="59"/>
        <v>2771</v>
      </c>
      <c r="C2832" s="254" t="s">
        <v>4126</v>
      </c>
      <c r="D2832" s="254" t="s">
        <v>4127</v>
      </c>
      <c r="E2832" s="2" t="str">
        <f t="shared" si="57"/>
        <v>17</v>
      </c>
      <c r="F2832" s="255" t="s">
        <v>4804</v>
      </c>
      <c r="G2832" s="256" t="s">
        <v>4606</v>
      </c>
      <c r="H2832" s="268" t="s">
        <v>4822</v>
      </c>
      <c r="I2832" s="99" t="s">
        <v>4606</v>
      </c>
      <c r="J2832" s="19">
        <v>517</v>
      </c>
      <c r="K2832" s="19">
        <v>73.75</v>
      </c>
      <c r="L2832" s="21"/>
      <c r="M2832" s="21"/>
      <c r="N2832" s="21"/>
      <c r="O2832" s="19"/>
      <c r="P2832" s="3"/>
      <c r="Q2832" s="3"/>
      <c r="R2832" s="3">
        <v>4</v>
      </c>
      <c r="S2832" t="s">
        <v>5046</v>
      </c>
      <c r="V2832">
        <f t="shared" si="58"/>
        <v>4</v>
      </c>
    </row>
    <row r="2833" spans="2:22" ht="15" customHeight="1" thickBot="1" x14ac:dyDescent="0.4">
      <c r="B2833" s="100">
        <f t="shared" si="59"/>
        <v>2772</v>
      </c>
      <c r="C2833" s="254" t="s">
        <v>4128</v>
      </c>
      <c r="D2833" s="254" t="s">
        <v>4129</v>
      </c>
      <c r="E2833" s="2" t="str">
        <f t="shared" si="57"/>
        <v>17</v>
      </c>
      <c r="F2833" s="255" t="s">
        <v>4804</v>
      </c>
      <c r="G2833" s="256" t="s">
        <v>4805</v>
      </c>
      <c r="H2833" s="268" t="s">
        <v>4821</v>
      </c>
      <c r="I2833" s="99" t="s">
        <v>4805</v>
      </c>
      <c r="J2833" s="19">
        <v>430</v>
      </c>
      <c r="K2833" s="19">
        <v>78.13</v>
      </c>
      <c r="L2833" s="21"/>
      <c r="M2833" s="21"/>
      <c r="N2833" s="21"/>
      <c r="O2833" s="19"/>
      <c r="P2833" s="3"/>
      <c r="Q2833" s="3"/>
      <c r="R2833" s="3">
        <v>3</v>
      </c>
      <c r="S2833" t="s">
        <v>5046</v>
      </c>
      <c r="T2833">
        <v>10</v>
      </c>
      <c r="U2833" t="s">
        <v>5048</v>
      </c>
      <c r="V2833">
        <f t="shared" si="58"/>
        <v>3.8333333333333335</v>
      </c>
    </row>
    <row r="2834" spans="2:22" ht="15" customHeight="1" thickBot="1" x14ac:dyDescent="0.4">
      <c r="B2834" s="100">
        <f t="shared" si="59"/>
        <v>2773</v>
      </c>
      <c r="C2834" s="254" t="s">
        <v>4130</v>
      </c>
      <c r="D2834" s="254" t="s">
        <v>4131</v>
      </c>
      <c r="E2834" s="2" t="str">
        <f t="shared" si="57"/>
        <v>17</v>
      </c>
      <c r="F2834" s="255" t="s">
        <v>4823</v>
      </c>
      <c r="G2834" s="256" t="s">
        <v>4698</v>
      </c>
      <c r="H2834" s="268" t="s">
        <v>4822</v>
      </c>
      <c r="I2834" s="99" t="s">
        <v>4698</v>
      </c>
      <c r="J2834" s="19">
        <v>443</v>
      </c>
      <c r="K2834" s="19">
        <v>73.13</v>
      </c>
      <c r="L2834" s="21"/>
      <c r="M2834" s="21"/>
      <c r="N2834" s="21"/>
      <c r="O2834" s="19"/>
      <c r="P2834" s="3"/>
      <c r="Q2834" s="3"/>
      <c r="R2834" s="3">
        <v>3</v>
      </c>
      <c r="S2834" t="s">
        <v>5049</v>
      </c>
      <c r="T2834">
        <v>11</v>
      </c>
      <c r="U2834" t="s">
        <v>5050</v>
      </c>
      <c r="V2834">
        <f t="shared" si="58"/>
        <v>3.9166666666666665</v>
      </c>
    </row>
    <row r="2835" spans="2:22" ht="15" customHeight="1" thickBot="1" x14ac:dyDescent="0.4">
      <c r="B2835" s="100">
        <f t="shared" si="59"/>
        <v>2774</v>
      </c>
      <c r="C2835" s="254" t="s">
        <v>4132</v>
      </c>
      <c r="D2835" s="254" t="s">
        <v>4133</v>
      </c>
      <c r="E2835" s="2" t="str">
        <f t="shared" si="57"/>
        <v>15</v>
      </c>
      <c r="F2835" s="255" t="s">
        <v>4823</v>
      </c>
      <c r="G2835" s="256" t="s">
        <v>4824</v>
      </c>
      <c r="H2835" s="268" t="s">
        <v>4825</v>
      </c>
      <c r="I2835" s="99" t="s">
        <v>4824</v>
      </c>
      <c r="J2835" s="19">
        <v>425</v>
      </c>
      <c r="K2835" s="19">
        <v>71.25</v>
      </c>
      <c r="L2835" s="21"/>
      <c r="M2835" s="21"/>
      <c r="N2835" s="21"/>
      <c r="O2835" s="19"/>
      <c r="P2835" s="3"/>
      <c r="Q2835" s="3"/>
      <c r="R2835" s="3">
        <v>5</v>
      </c>
      <c r="S2835" t="s">
        <v>5046</v>
      </c>
      <c r="T2835">
        <v>10</v>
      </c>
      <c r="U2835" t="s">
        <v>5048</v>
      </c>
      <c r="V2835">
        <f t="shared" si="58"/>
        <v>5.833333333333333</v>
      </c>
    </row>
    <row r="2836" spans="2:22" ht="15" customHeight="1" thickBot="1" x14ac:dyDescent="0.4">
      <c r="B2836" s="100">
        <f t="shared" si="59"/>
        <v>2775</v>
      </c>
      <c r="C2836" s="254" t="s">
        <v>4826</v>
      </c>
      <c r="D2836" s="254" t="s">
        <v>4134</v>
      </c>
      <c r="E2836" s="2" t="str">
        <f t="shared" si="57"/>
        <v>17</v>
      </c>
      <c r="F2836" s="255" t="s">
        <v>4823</v>
      </c>
      <c r="G2836" s="256" t="s">
        <v>4688</v>
      </c>
      <c r="H2836" s="268" t="s">
        <v>4827</v>
      </c>
      <c r="I2836" s="99" t="s">
        <v>4688</v>
      </c>
      <c r="J2836" s="19">
        <v>480</v>
      </c>
      <c r="K2836" s="19">
        <v>63.75</v>
      </c>
      <c r="L2836" s="21"/>
      <c r="M2836" s="21"/>
      <c r="N2836" s="21"/>
      <c r="O2836" s="19"/>
      <c r="P2836" s="3"/>
      <c r="Q2836" s="3"/>
      <c r="R2836" s="3">
        <v>3</v>
      </c>
      <c r="S2836" t="s">
        <v>5046</v>
      </c>
      <c r="T2836">
        <v>11</v>
      </c>
      <c r="U2836" t="s">
        <v>5048</v>
      </c>
      <c r="V2836">
        <f t="shared" si="58"/>
        <v>3.9166666666666665</v>
      </c>
    </row>
    <row r="2837" spans="2:22" ht="15" customHeight="1" thickBot="1" x14ac:dyDescent="0.4">
      <c r="B2837" s="100">
        <f t="shared" si="59"/>
        <v>2776</v>
      </c>
      <c r="C2837" s="254" t="s">
        <v>4135</v>
      </c>
      <c r="D2837" s="254" t="s">
        <v>4136</v>
      </c>
      <c r="E2837" s="2" t="str">
        <f t="shared" si="57"/>
        <v>17</v>
      </c>
      <c r="F2837" s="255" t="s">
        <v>4823</v>
      </c>
      <c r="G2837" s="256" t="s">
        <v>4688</v>
      </c>
      <c r="H2837" s="268" t="s">
        <v>4679</v>
      </c>
      <c r="I2837" s="99" t="s">
        <v>4688</v>
      </c>
      <c r="J2837" s="19">
        <v>461</v>
      </c>
      <c r="K2837" s="19">
        <v>78.63</v>
      </c>
      <c r="L2837" s="21"/>
      <c r="M2837" s="21"/>
      <c r="N2837" s="21"/>
      <c r="O2837" s="19"/>
      <c r="P2837" s="3"/>
      <c r="Q2837" s="3"/>
      <c r="R2837" s="3">
        <v>3</v>
      </c>
      <c r="S2837" t="s">
        <v>5046</v>
      </c>
      <c r="T2837">
        <v>11</v>
      </c>
      <c r="U2837" t="s">
        <v>5048</v>
      </c>
      <c r="V2837">
        <f t="shared" si="58"/>
        <v>3.9166666666666665</v>
      </c>
    </row>
    <row r="2838" spans="2:22" ht="15" customHeight="1" thickBot="1" x14ac:dyDescent="0.4">
      <c r="B2838" s="100">
        <f t="shared" si="59"/>
        <v>2777</v>
      </c>
      <c r="C2838" s="254" t="s">
        <v>4137</v>
      </c>
      <c r="D2838" s="254" t="s">
        <v>4138</v>
      </c>
      <c r="E2838" s="2" t="str">
        <f t="shared" si="57"/>
        <v>17</v>
      </c>
      <c r="F2838" s="255" t="s">
        <v>4823</v>
      </c>
      <c r="G2838" s="256" t="s">
        <v>4688</v>
      </c>
      <c r="H2838" s="268" t="s">
        <v>4828</v>
      </c>
      <c r="I2838" s="99" t="s">
        <v>4688</v>
      </c>
      <c r="J2838" s="19">
        <v>430</v>
      </c>
      <c r="K2838" s="19">
        <v>68.75</v>
      </c>
      <c r="L2838" s="21"/>
      <c r="M2838" s="21"/>
      <c r="N2838" s="21"/>
      <c r="O2838" s="19"/>
      <c r="P2838" s="3"/>
      <c r="Q2838" s="3"/>
      <c r="R2838" s="3">
        <v>3</v>
      </c>
      <c r="S2838" t="s">
        <v>5046</v>
      </c>
      <c r="T2838">
        <v>11</v>
      </c>
      <c r="U2838" t="s">
        <v>5048</v>
      </c>
      <c r="V2838">
        <f t="shared" si="58"/>
        <v>3.9166666666666665</v>
      </c>
    </row>
    <row r="2839" spans="2:22" ht="15" customHeight="1" thickBot="1" x14ac:dyDescent="0.4">
      <c r="B2839" s="100">
        <f t="shared" si="59"/>
        <v>2778</v>
      </c>
      <c r="C2839" s="254" t="s">
        <v>4139</v>
      </c>
      <c r="D2839" s="254" t="s">
        <v>4140</v>
      </c>
      <c r="E2839" s="2" t="str">
        <f t="shared" si="57"/>
        <v>17</v>
      </c>
      <c r="F2839" s="255" t="s">
        <v>4823</v>
      </c>
      <c r="G2839" s="256" t="s">
        <v>4743</v>
      </c>
      <c r="H2839" s="268" t="s">
        <v>4648</v>
      </c>
      <c r="I2839" s="99" t="s">
        <v>4743</v>
      </c>
      <c r="J2839" s="19">
        <v>468</v>
      </c>
      <c r="K2839" s="19">
        <v>76.25</v>
      </c>
      <c r="L2839" s="21"/>
      <c r="M2839" s="21"/>
      <c r="N2839" s="21"/>
      <c r="O2839" s="19"/>
      <c r="P2839" s="3"/>
      <c r="Q2839" s="3"/>
      <c r="R2839" s="3">
        <v>4</v>
      </c>
      <c r="S2839" t="s">
        <v>5046</v>
      </c>
      <c r="T2839">
        <v>0</v>
      </c>
      <c r="U2839" t="s">
        <v>5048</v>
      </c>
      <c r="V2839">
        <f t="shared" si="58"/>
        <v>4</v>
      </c>
    </row>
    <row r="2840" spans="2:22" ht="15" customHeight="1" thickBot="1" x14ac:dyDescent="0.4">
      <c r="B2840" s="100">
        <f t="shared" si="59"/>
        <v>2779</v>
      </c>
      <c r="C2840" s="254" t="s">
        <v>4141</v>
      </c>
      <c r="D2840" s="254" t="s">
        <v>4142</v>
      </c>
      <c r="E2840" s="2" t="str">
        <f t="shared" si="57"/>
        <v>17</v>
      </c>
      <c r="F2840" s="255" t="s">
        <v>4823</v>
      </c>
      <c r="G2840" s="256" t="s">
        <v>4606</v>
      </c>
      <c r="H2840" s="257">
        <v>3.68</v>
      </c>
      <c r="I2840" s="99" t="s">
        <v>4606</v>
      </c>
      <c r="J2840" s="19">
        <v>470</v>
      </c>
      <c r="K2840" s="19">
        <v>72.5</v>
      </c>
      <c r="L2840" s="21"/>
      <c r="M2840" s="21"/>
      <c r="N2840" s="21"/>
      <c r="O2840" s="19"/>
      <c r="P2840" s="3"/>
      <c r="Q2840" s="3"/>
      <c r="R2840" s="3">
        <v>4</v>
      </c>
      <c r="S2840" t="s">
        <v>5046</v>
      </c>
      <c r="V2840">
        <f t="shared" si="58"/>
        <v>4</v>
      </c>
    </row>
    <row r="2841" spans="2:22" ht="15" customHeight="1" thickBot="1" x14ac:dyDescent="0.4">
      <c r="B2841" s="100">
        <f t="shared" si="59"/>
        <v>2780</v>
      </c>
      <c r="C2841" s="254" t="s">
        <v>4143</v>
      </c>
      <c r="D2841" s="254" t="s">
        <v>4144</v>
      </c>
      <c r="E2841" s="2" t="str">
        <f t="shared" si="57"/>
        <v>16</v>
      </c>
      <c r="F2841" s="255" t="s">
        <v>4823</v>
      </c>
      <c r="G2841" s="256" t="s">
        <v>4719</v>
      </c>
      <c r="H2841" s="268" t="s">
        <v>4829</v>
      </c>
      <c r="I2841" s="99" t="s">
        <v>4719</v>
      </c>
      <c r="J2841" s="19">
        <v>420</v>
      </c>
      <c r="K2841" s="19">
        <v>70.63</v>
      </c>
      <c r="L2841" s="21"/>
      <c r="M2841" s="21"/>
      <c r="N2841" s="21"/>
      <c r="O2841" s="19"/>
      <c r="P2841" s="3"/>
      <c r="Q2841" s="3"/>
      <c r="R2841" s="3">
        <v>4</v>
      </c>
      <c r="S2841" t="s">
        <v>5049</v>
      </c>
      <c r="T2841">
        <v>11</v>
      </c>
      <c r="U2841" t="s">
        <v>5050</v>
      </c>
      <c r="V2841">
        <f t="shared" si="58"/>
        <v>4.916666666666667</v>
      </c>
    </row>
    <row r="2842" spans="2:22" ht="15" customHeight="1" thickBot="1" x14ac:dyDescent="0.4">
      <c r="B2842" s="100">
        <f t="shared" si="59"/>
        <v>2781</v>
      </c>
      <c r="C2842" s="254" t="s">
        <v>4145</v>
      </c>
      <c r="D2842" s="254" t="s">
        <v>4146</v>
      </c>
      <c r="E2842" s="2" t="str">
        <f t="shared" si="57"/>
        <v>17</v>
      </c>
      <c r="F2842" s="255" t="s">
        <v>4823</v>
      </c>
      <c r="G2842" s="256" t="s">
        <v>4606</v>
      </c>
      <c r="H2842" s="257">
        <v>3.55</v>
      </c>
      <c r="I2842" s="99" t="s">
        <v>4606</v>
      </c>
      <c r="J2842" s="19">
        <v>552</v>
      </c>
      <c r="K2842" s="19">
        <v>70.63</v>
      </c>
      <c r="L2842" s="21"/>
      <c r="M2842" s="21"/>
      <c r="N2842" s="21"/>
      <c r="O2842" s="19"/>
      <c r="P2842" s="3"/>
      <c r="Q2842" s="3"/>
      <c r="R2842" s="3">
        <v>4</v>
      </c>
      <c r="S2842" t="s">
        <v>5046</v>
      </c>
      <c r="V2842">
        <f t="shared" si="58"/>
        <v>4</v>
      </c>
    </row>
    <row r="2843" spans="2:22" ht="15" customHeight="1" thickBot="1" x14ac:dyDescent="0.4">
      <c r="B2843" s="100">
        <f t="shared" si="59"/>
        <v>2782</v>
      </c>
      <c r="C2843" s="254" t="s">
        <v>4147</v>
      </c>
      <c r="D2843" s="254" t="s">
        <v>4148</v>
      </c>
      <c r="E2843" s="2" t="str">
        <f t="shared" si="57"/>
        <v>16</v>
      </c>
      <c r="F2843" s="255" t="s">
        <v>4823</v>
      </c>
      <c r="G2843" s="256" t="s">
        <v>4830</v>
      </c>
      <c r="H2843" s="268" t="s">
        <v>4198</v>
      </c>
      <c r="I2843" s="99" t="s">
        <v>4830</v>
      </c>
      <c r="J2843" s="19">
        <v>517</v>
      </c>
      <c r="K2843" s="19">
        <v>76.25</v>
      </c>
      <c r="L2843" s="21"/>
      <c r="M2843" s="21"/>
      <c r="N2843" s="21"/>
      <c r="O2843" s="19"/>
      <c r="P2843" s="3"/>
      <c r="Q2843" s="3"/>
      <c r="R2843" s="3">
        <v>5</v>
      </c>
      <c r="S2843" t="s">
        <v>5046</v>
      </c>
      <c r="T2843">
        <v>0</v>
      </c>
      <c r="U2843" t="s">
        <v>5048</v>
      </c>
      <c r="V2843">
        <f t="shared" si="58"/>
        <v>5</v>
      </c>
    </row>
    <row r="2844" spans="2:22" ht="15" customHeight="1" thickBot="1" x14ac:dyDescent="0.4">
      <c r="B2844" s="100">
        <f t="shared" si="59"/>
        <v>2783</v>
      </c>
      <c r="C2844" s="254" t="s">
        <v>4149</v>
      </c>
      <c r="D2844" s="254" t="s">
        <v>4150</v>
      </c>
      <c r="E2844" s="2" t="str">
        <f t="shared" si="57"/>
        <v>17</v>
      </c>
      <c r="F2844" s="255" t="s">
        <v>4823</v>
      </c>
      <c r="G2844" s="256" t="s">
        <v>4688</v>
      </c>
      <c r="H2844" s="266" t="s">
        <v>4808</v>
      </c>
      <c r="I2844" s="99" t="s">
        <v>4688</v>
      </c>
      <c r="J2844" s="19">
        <v>440</v>
      </c>
      <c r="K2844" s="19">
        <v>75</v>
      </c>
      <c r="L2844" s="21"/>
      <c r="M2844" s="21"/>
      <c r="N2844" s="21"/>
      <c r="O2844" s="19"/>
      <c r="P2844" s="3"/>
      <c r="Q2844" s="3"/>
      <c r="R2844" s="3">
        <v>3</v>
      </c>
      <c r="S2844" t="s">
        <v>5046</v>
      </c>
      <c r="T2844">
        <v>11</v>
      </c>
      <c r="U2844" t="s">
        <v>5048</v>
      </c>
      <c r="V2844">
        <f t="shared" si="58"/>
        <v>3.9166666666666665</v>
      </c>
    </row>
    <row r="2845" spans="2:22" ht="15" customHeight="1" thickBot="1" x14ac:dyDescent="0.4">
      <c r="B2845" s="100">
        <f t="shared" si="59"/>
        <v>2784</v>
      </c>
      <c r="C2845" s="254" t="s">
        <v>4151</v>
      </c>
      <c r="D2845" s="254" t="s">
        <v>4152</v>
      </c>
      <c r="E2845" s="2" t="str">
        <f t="shared" si="57"/>
        <v>17</v>
      </c>
      <c r="F2845" s="255" t="s">
        <v>4823</v>
      </c>
      <c r="G2845" s="256" t="s">
        <v>4606</v>
      </c>
      <c r="H2845" s="257">
        <v>3.22</v>
      </c>
      <c r="I2845" s="99" t="s">
        <v>4606</v>
      </c>
      <c r="J2845" s="19">
        <v>423</v>
      </c>
      <c r="K2845" s="19">
        <v>65</v>
      </c>
      <c r="L2845" s="21"/>
      <c r="M2845" s="21"/>
      <c r="N2845" s="21"/>
      <c r="O2845" s="19"/>
      <c r="P2845" s="3"/>
      <c r="Q2845" s="3"/>
      <c r="R2845" s="3">
        <v>4</v>
      </c>
      <c r="S2845" t="s">
        <v>5046</v>
      </c>
      <c r="V2845">
        <f t="shared" si="58"/>
        <v>4</v>
      </c>
    </row>
    <row r="2846" spans="2:22" ht="15" customHeight="1" thickBot="1" x14ac:dyDescent="0.4">
      <c r="B2846" s="100">
        <f t="shared" si="59"/>
        <v>2785</v>
      </c>
      <c r="C2846" s="254" t="s">
        <v>4831</v>
      </c>
      <c r="D2846" s="254" t="s">
        <v>4832</v>
      </c>
      <c r="E2846" s="2" t="str">
        <f t="shared" si="57"/>
        <v>17</v>
      </c>
      <c r="F2846" s="274" t="s">
        <v>4833</v>
      </c>
      <c r="G2846" s="254" t="s">
        <v>4606</v>
      </c>
      <c r="H2846" s="268">
        <v>3.36</v>
      </c>
      <c r="I2846" s="99" t="s">
        <v>4606</v>
      </c>
      <c r="J2846" s="21">
        <v>490</v>
      </c>
      <c r="K2846" s="21">
        <v>78.13</v>
      </c>
      <c r="L2846" s="21"/>
      <c r="M2846" s="21"/>
      <c r="N2846" s="21"/>
      <c r="O2846" s="21"/>
      <c r="R2846">
        <v>4</v>
      </c>
      <c r="S2846" t="s">
        <v>5046</v>
      </c>
      <c r="V2846">
        <f t="shared" si="58"/>
        <v>4</v>
      </c>
    </row>
    <row r="2847" spans="2:22" ht="15" customHeight="1" thickBot="1" x14ac:dyDescent="0.4">
      <c r="B2847" s="100">
        <f t="shared" si="59"/>
        <v>2786</v>
      </c>
      <c r="C2847" s="254" t="s">
        <v>4834</v>
      </c>
      <c r="D2847" s="254" t="s">
        <v>4835</v>
      </c>
      <c r="E2847" s="2" t="str">
        <f t="shared" si="57"/>
        <v>17</v>
      </c>
      <c r="F2847" s="274" t="s">
        <v>4833</v>
      </c>
      <c r="G2847" s="254" t="s">
        <v>4606</v>
      </c>
      <c r="H2847" s="268" t="s">
        <v>4402</v>
      </c>
      <c r="I2847" s="99" t="s">
        <v>4606</v>
      </c>
      <c r="J2847" s="21">
        <v>520</v>
      </c>
      <c r="K2847" s="21">
        <v>68</v>
      </c>
      <c r="L2847" s="21"/>
      <c r="M2847" s="21"/>
      <c r="N2847" s="21"/>
      <c r="O2847" s="21"/>
      <c r="R2847">
        <v>4</v>
      </c>
      <c r="S2847" t="s">
        <v>5046</v>
      </c>
      <c r="V2847">
        <f t="shared" si="58"/>
        <v>4</v>
      </c>
    </row>
    <row r="2848" spans="2:22" ht="15" customHeight="1" thickBot="1" x14ac:dyDescent="0.4">
      <c r="B2848" s="100">
        <f t="shared" si="59"/>
        <v>2787</v>
      </c>
      <c r="C2848" s="254" t="s">
        <v>4836</v>
      </c>
      <c r="D2848" s="254" t="s">
        <v>4837</v>
      </c>
      <c r="E2848" s="2" t="str">
        <f t="shared" si="57"/>
        <v>17</v>
      </c>
      <c r="F2848" s="274" t="s">
        <v>4833</v>
      </c>
      <c r="G2848" s="254" t="s">
        <v>4769</v>
      </c>
      <c r="H2848" s="257">
        <v>3.26</v>
      </c>
      <c r="I2848" s="99" t="s">
        <v>4769</v>
      </c>
      <c r="J2848" s="21">
        <v>440</v>
      </c>
      <c r="K2848" s="21">
        <v>66.25</v>
      </c>
      <c r="L2848" s="21"/>
      <c r="M2848" s="21"/>
      <c r="N2848" s="21"/>
      <c r="O2848" s="21"/>
      <c r="R2848">
        <v>4</v>
      </c>
      <c r="S2848" t="s">
        <v>5046</v>
      </c>
      <c r="T2848">
        <v>1</v>
      </c>
      <c r="U2848" t="s">
        <v>5048</v>
      </c>
      <c r="V2848">
        <f t="shared" si="58"/>
        <v>4.083333333333333</v>
      </c>
    </row>
    <row r="2849" spans="1:22" ht="15" customHeight="1" thickBot="1" x14ac:dyDescent="0.4">
      <c r="B2849" s="100">
        <f t="shared" si="59"/>
        <v>2788</v>
      </c>
      <c r="C2849" s="254" t="s">
        <v>4838</v>
      </c>
      <c r="D2849" s="254" t="s">
        <v>4839</v>
      </c>
      <c r="E2849" s="2" t="str">
        <f t="shared" si="57"/>
        <v>17</v>
      </c>
      <c r="F2849" s="274" t="s">
        <v>4833</v>
      </c>
      <c r="G2849" s="254" t="s">
        <v>4748</v>
      </c>
      <c r="H2849" s="257">
        <v>3.51</v>
      </c>
      <c r="I2849" s="99" t="s">
        <v>4748</v>
      </c>
      <c r="J2849" s="21">
        <v>453</v>
      </c>
      <c r="K2849" s="21">
        <v>70</v>
      </c>
      <c r="L2849" s="21"/>
      <c r="M2849" s="21"/>
      <c r="N2849" s="21"/>
      <c r="O2849" s="21"/>
      <c r="R2849">
        <v>4</v>
      </c>
      <c r="S2849" t="s">
        <v>5049</v>
      </c>
      <c r="V2849">
        <f t="shared" si="58"/>
        <v>4</v>
      </c>
    </row>
    <row r="2850" spans="1:22" ht="15" customHeight="1" thickBot="1" x14ac:dyDescent="0.4">
      <c r="B2850" s="100">
        <f t="shared" si="59"/>
        <v>2789</v>
      </c>
      <c r="C2850" s="258" t="s">
        <v>4840</v>
      </c>
      <c r="D2850" s="258" t="s">
        <v>4841</v>
      </c>
      <c r="E2850" s="2" t="str">
        <f t="shared" si="57"/>
        <v>17</v>
      </c>
      <c r="F2850" s="274" t="s">
        <v>4833</v>
      </c>
      <c r="G2850" s="258" t="s">
        <v>4606</v>
      </c>
      <c r="H2850" s="257">
        <v>3.56</v>
      </c>
      <c r="I2850" s="99" t="s">
        <v>4606</v>
      </c>
      <c r="J2850" s="21">
        <v>440</v>
      </c>
      <c r="K2850" s="21">
        <v>81.25</v>
      </c>
      <c r="L2850" s="21"/>
      <c r="M2850" s="21"/>
      <c r="N2850" s="21"/>
      <c r="O2850" s="21"/>
      <c r="R2850">
        <v>4</v>
      </c>
      <c r="S2850" t="s">
        <v>5046</v>
      </c>
      <c r="V2850">
        <f t="shared" si="58"/>
        <v>4</v>
      </c>
    </row>
    <row r="2851" spans="1:22" ht="15" customHeight="1" thickBot="1" x14ac:dyDescent="0.4">
      <c r="B2851" s="100"/>
      <c r="C2851" s="290" t="s">
        <v>4153</v>
      </c>
      <c r="E2851" s="2" t="str">
        <f t="shared" si="57"/>
        <v/>
      </c>
      <c r="I2851" s="99"/>
      <c r="J2851" s="21">
        <v>470</v>
      </c>
      <c r="K2851" s="21">
        <v>77.5</v>
      </c>
      <c r="L2851" s="21"/>
      <c r="M2851" s="21"/>
      <c r="N2851" s="21"/>
      <c r="O2851" s="21"/>
      <c r="V2851">
        <f t="shared" si="58"/>
        <v>0</v>
      </c>
    </row>
    <row r="2852" spans="1:22" ht="15" customHeight="1" thickBot="1" x14ac:dyDescent="0.4">
      <c r="B2852" s="100">
        <f>(B2850+1)</f>
        <v>2790</v>
      </c>
      <c r="C2852" s="254" t="s">
        <v>4154</v>
      </c>
      <c r="D2852" s="254" t="s">
        <v>4155</v>
      </c>
      <c r="E2852" s="2" t="str">
        <f t="shared" si="57"/>
        <v>17</v>
      </c>
      <c r="F2852" s="275">
        <v>44463</v>
      </c>
      <c r="G2852" s="256" t="s">
        <v>4626</v>
      </c>
      <c r="H2852" s="257">
        <v>3.21</v>
      </c>
      <c r="I2852" s="99" t="s">
        <v>4626</v>
      </c>
      <c r="J2852" s="21">
        <v>490</v>
      </c>
      <c r="K2852" s="21">
        <v>76.25</v>
      </c>
      <c r="L2852" s="21"/>
      <c r="M2852" s="21"/>
      <c r="N2852" s="21"/>
      <c r="O2852" s="21"/>
      <c r="R2852">
        <v>4</v>
      </c>
      <c r="S2852" t="s">
        <v>5049</v>
      </c>
      <c r="T2852">
        <v>2</v>
      </c>
      <c r="U2852" t="s">
        <v>5050</v>
      </c>
      <c r="V2852">
        <f t="shared" si="58"/>
        <v>4.166666666666667</v>
      </c>
    </row>
    <row r="2853" spans="1:22" ht="15" customHeight="1" thickBot="1" x14ac:dyDescent="0.4">
      <c r="B2853" s="100">
        <f t="shared" si="59"/>
        <v>2791</v>
      </c>
      <c r="C2853" s="254" t="s">
        <v>4157</v>
      </c>
      <c r="D2853" s="254" t="s">
        <v>4158</v>
      </c>
      <c r="E2853" s="2" t="str">
        <f t="shared" si="57"/>
        <v>17</v>
      </c>
      <c r="F2853" s="255" t="s">
        <v>4842</v>
      </c>
      <c r="G2853" s="256" t="s">
        <v>4616</v>
      </c>
      <c r="H2853" s="268" t="s">
        <v>4843</v>
      </c>
      <c r="I2853" s="99" t="s">
        <v>4616</v>
      </c>
      <c r="J2853" s="21">
        <v>212</v>
      </c>
      <c r="K2853" s="21">
        <v>70</v>
      </c>
      <c r="L2853" s="21"/>
      <c r="M2853" s="21"/>
      <c r="N2853" s="21"/>
      <c r="O2853" s="21"/>
      <c r="R2853">
        <v>4</v>
      </c>
      <c r="S2853" t="s">
        <v>5046</v>
      </c>
      <c r="T2853">
        <v>2</v>
      </c>
      <c r="U2853" t="s">
        <v>5048</v>
      </c>
      <c r="V2853">
        <f t="shared" si="58"/>
        <v>4.166666666666667</v>
      </c>
    </row>
    <row r="2854" spans="1:22" ht="15" customHeight="1" thickBot="1" x14ac:dyDescent="0.4">
      <c r="B2854" s="100">
        <v>2792</v>
      </c>
      <c r="C2854" s="258" t="s">
        <v>4161</v>
      </c>
      <c r="D2854" s="258" t="s">
        <v>4162</v>
      </c>
      <c r="E2854" s="2" t="str">
        <f t="shared" si="57"/>
        <v>17</v>
      </c>
      <c r="F2854" s="255" t="s">
        <v>4842</v>
      </c>
      <c r="G2854" s="256" t="s">
        <v>4606</v>
      </c>
      <c r="H2854" s="268" t="s">
        <v>4828</v>
      </c>
      <c r="I2854" s="99" t="s">
        <v>4606</v>
      </c>
      <c r="J2854" s="21">
        <v>490</v>
      </c>
      <c r="K2854" s="21">
        <v>65</v>
      </c>
      <c r="L2854" s="21"/>
      <c r="M2854" s="21"/>
      <c r="N2854" s="21"/>
      <c r="O2854" s="21"/>
      <c r="R2854">
        <v>4</v>
      </c>
      <c r="S2854" t="s">
        <v>5046</v>
      </c>
      <c r="V2854">
        <f t="shared" si="58"/>
        <v>4</v>
      </c>
    </row>
    <row r="2855" spans="1:22" ht="15" customHeight="1" thickBot="1" x14ac:dyDescent="0.4">
      <c r="B2855" s="100">
        <f t="shared" ref="B2855:B2877" si="60">(B2854+1)</f>
        <v>2793</v>
      </c>
      <c r="C2855" s="254" t="s">
        <v>4165</v>
      </c>
      <c r="D2855" s="254" t="s">
        <v>4166</v>
      </c>
      <c r="E2855" s="2" t="str">
        <f t="shared" ref="E2855:E2912" si="61">LEFT(D2855,2)</f>
        <v>17</v>
      </c>
      <c r="F2855" s="255" t="s">
        <v>4842</v>
      </c>
      <c r="G2855" s="256" t="s">
        <v>4769</v>
      </c>
      <c r="H2855" s="268" t="s">
        <v>4825</v>
      </c>
      <c r="I2855" s="99" t="s">
        <v>4769</v>
      </c>
      <c r="J2855" s="21">
        <v>170</v>
      </c>
      <c r="K2855" s="21">
        <v>71</v>
      </c>
      <c r="L2855" s="21"/>
      <c r="M2855" s="21"/>
      <c r="N2855" s="21"/>
      <c r="O2855" s="21"/>
      <c r="R2855">
        <v>4</v>
      </c>
      <c r="S2855" t="s">
        <v>5046</v>
      </c>
      <c r="T2855">
        <v>1</v>
      </c>
      <c r="U2855" t="s">
        <v>5048</v>
      </c>
      <c r="V2855">
        <f t="shared" si="58"/>
        <v>4.083333333333333</v>
      </c>
    </row>
    <row r="2856" spans="1:22" ht="15" customHeight="1" thickBot="1" x14ac:dyDescent="0.4">
      <c r="B2856" s="100">
        <f t="shared" si="60"/>
        <v>2794</v>
      </c>
      <c r="C2856" s="254" t="s">
        <v>4167</v>
      </c>
      <c r="D2856" s="254" t="s">
        <v>4168</v>
      </c>
      <c r="E2856" s="2" t="str">
        <f t="shared" si="61"/>
        <v>17</v>
      </c>
      <c r="F2856" s="255" t="s">
        <v>4842</v>
      </c>
      <c r="G2856" s="256" t="s">
        <v>4616</v>
      </c>
      <c r="H2856" s="268" t="s">
        <v>4844</v>
      </c>
      <c r="I2856" s="99" t="s">
        <v>4616</v>
      </c>
      <c r="J2856" s="21">
        <v>460</v>
      </c>
      <c r="K2856" s="21">
        <v>75</v>
      </c>
      <c r="L2856" s="21"/>
      <c r="M2856" s="21"/>
      <c r="N2856" s="21"/>
      <c r="O2856" s="21"/>
      <c r="R2856">
        <v>4</v>
      </c>
      <c r="S2856" t="s">
        <v>5046</v>
      </c>
      <c r="T2856">
        <v>2</v>
      </c>
      <c r="U2856" t="s">
        <v>5048</v>
      </c>
      <c r="V2856">
        <f t="shared" si="58"/>
        <v>4.166666666666667</v>
      </c>
    </row>
    <row r="2857" spans="1:22" ht="15" customHeight="1" thickBot="1" x14ac:dyDescent="0.4">
      <c r="B2857" s="100">
        <f t="shared" si="60"/>
        <v>2795</v>
      </c>
      <c r="C2857" s="254" t="s">
        <v>4170</v>
      </c>
      <c r="D2857" s="254" t="s">
        <v>4171</v>
      </c>
      <c r="E2857" s="2" t="str">
        <f t="shared" si="61"/>
        <v>15</v>
      </c>
      <c r="F2857" s="255" t="s">
        <v>4842</v>
      </c>
      <c r="G2857" s="256" t="s">
        <v>4845</v>
      </c>
      <c r="H2857" s="268" t="s">
        <v>4846</v>
      </c>
      <c r="I2857" s="99" t="s">
        <v>4845</v>
      </c>
      <c r="J2857" s="21">
        <v>457</v>
      </c>
      <c r="K2857" s="21">
        <v>61.75</v>
      </c>
      <c r="L2857" s="21"/>
      <c r="M2857" s="21"/>
      <c r="N2857" s="21"/>
      <c r="O2857" s="21"/>
      <c r="R2857">
        <v>6</v>
      </c>
      <c r="S2857" t="s">
        <v>5046</v>
      </c>
      <c r="T2857">
        <v>4</v>
      </c>
      <c r="U2857" t="s">
        <v>5048</v>
      </c>
      <c r="V2857">
        <f t="shared" si="58"/>
        <v>6.333333333333333</v>
      </c>
    </row>
    <row r="2858" spans="1:22" ht="15" customHeight="1" thickBot="1" x14ac:dyDescent="0.4">
      <c r="B2858" s="100">
        <f t="shared" si="60"/>
        <v>2796</v>
      </c>
      <c r="C2858" s="258" t="s">
        <v>4174</v>
      </c>
      <c r="D2858" s="258" t="s">
        <v>4175</v>
      </c>
      <c r="E2858" s="2" t="str">
        <f t="shared" si="61"/>
        <v>17</v>
      </c>
      <c r="F2858" s="255" t="s">
        <v>4842</v>
      </c>
      <c r="G2858" s="256" t="s">
        <v>4622</v>
      </c>
      <c r="H2858" s="268" t="s">
        <v>4847</v>
      </c>
      <c r="I2858" s="99" t="s">
        <v>4622</v>
      </c>
      <c r="J2858" s="20"/>
      <c r="K2858" s="21"/>
      <c r="L2858" s="21"/>
      <c r="M2858" s="21"/>
      <c r="N2858" s="21"/>
      <c r="O2858" s="21"/>
      <c r="R2858">
        <v>4</v>
      </c>
      <c r="S2858" t="s">
        <v>5046</v>
      </c>
      <c r="T2858">
        <v>3</v>
      </c>
      <c r="U2858" t="s">
        <v>5048</v>
      </c>
      <c r="V2858">
        <f t="shared" si="58"/>
        <v>4.25</v>
      </c>
    </row>
    <row r="2859" spans="1:22" ht="15" customHeight="1" thickBot="1" x14ac:dyDescent="0.4">
      <c r="B2859" s="100">
        <f t="shared" si="60"/>
        <v>2797</v>
      </c>
      <c r="C2859" s="258" t="s">
        <v>4176</v>
      </c>
      <c r="D2859" s="258" t="s">
        <v>4177</v>
      </c>
      <c r="E2859" s="2" t="str">
        <f t="shared" si="61"/>
        <v>15</v>
      </c>
      <c r="F2859" s="255" t="s">
        <v>4842</v>
      </c>
      <c r="G2859" s="256" t="s">
        <v>4848</v>
      </c>
      <c r="H2859" s="268" t="s">
        <v>4844</v>
      </c>
      <c r="I2859" s="99" t="s">
        <v>4848</v>
      </c>
      <c r="J2859" s="20"/>
      <c r="K2859" s="21"/>
      <c r="L2859" s="21"/>
      <c r="M2859" s="21"/>
      <c r="N2859" s="21"/>
      <c r="O2859" s="21"/>
      <c r="R2859">
        <v>6</v>
      </c>
      <c r="S2859" t="s">
        <v>5046</v>
      </c>
      <c r="T2859">
        <v>2</v>
      </c>
      <c r="U2859" t="s">
        <v>5048</v>
      </c>
      <c r="V2859">
        <f t="shared" si="58"/>
        <v>6.166666666666667</v>
      </c>
    </row>
    <row r="2860" spans="1:22" ht="15" customHeight="1" thickBot="1" x14ac:dyDescent="0.4">
      <c r="A2860" s="412"/>
      <c r="B2860" s="100">
        <f t="shared" si="60"/>
        <v>2798</v>
      </c>
      <c r="C2860" s="254" t="s">
        <v>4178</v>
      </c>
      <c r="D2860" s="254" t="s">
        <v>4179</v>
      </c>
      <c r="E2860" s="2" t="str">
        <f t="shared" si="61"/>
        <v>17</v>
      </c>
      <c r="F2860" s="255">
        <v>44525</v>
      </c>
      <c r="G2860" s="256" t="s">
        <v>4622</v>
      </c>
      <c r="H2860" s="268" t="s">
        <v>4776</v>
      </c>
      <c r="I2860" s="239" t="s">
        <v>4622</v>
      </c>
      <c r="J2860" s="87">
        <v>503</v>
      </c>
      <c r="K2860" s="31">
        <v>70</v>
      </c>
      <c r="L2860" s="19" t="s">
        <v>4156</v>
      </c>
      <c r="M2860" s="21">
        <f>MIN(H2849:H2866)</f>
        <v>2.92</v>
      </c>
      <c r="N2860" s="21"/>
      <c r="O2860" s="21"/>
      <c r="R2860">
        <v>4</v>
      </c>
      <c r="S2860" t="s">
        <v>5046</v>
      </c>
      <c r="T2860">
        <v>3</v>
      </c>
      <c r="U2860" t="s">
        <v>5048</v>
      </c>
      <c r="V2860">
        <f t="shared" si="58"/>
        <v>4.25</v>
      </c>
    </row>
    <row r="2861" spans="1:22" ht="15" customHeight="1" thickBot="1" x14ac:dyDescent="0.4">
      <c r="A2861" s="412"/>
      <c r="B2861" s="100">
        <f t="shared" si="60"/>
        <v>2799</v>
      </c>
      <c r="C2861" s="256" t="s">
        <v>4181</v>
      </c>
      <c r="D2861" s="256" t="s">
        <v>4182</v>
      </c>
      <c r="E2861" s="2" t="str">
        <f t="shared" si="61"/>
        <v>17</v>
      </c>
      <c r="F2861" s="255">
        <v>44525</v>
      </c>
      <c r="G2861" s="256" t="s">
        <v>4787</v>
      </c>
      <c r="H2861" s="2">
        <v>3.34</v>
      </c>
      <c r="I2861" s="239" t="s">
        <v>4787</v>
      </c>
      <c r="J2861" s="88">
        <v>567</v>
      </c>
      <c r="K2861" s="88" t="s">
        <v>4159</v>
      </c>
      <c r="L2861" s="19" t="s">
        <v>4160</v>
      </c>
      <c r="M2861" s="21">
        <f>MAX(H2849:H2866)</f>
        <v>3.56</v>
      </c>
      <c r="N2861" s="21"/>
      <c r="O2861" s="21"/>
      <c r="R2861">
        <v>4</v>
      </c>
      <c r="S2861" t="s">
        <v>5046</v>
      </c>
      <c r="T2861">
        <v>4</v>
      </c>
      <c r="U2861" t="s">
        <v>5048</v>
      </c>
      <c r="V2861">
        <f t="shared" si="58"/>
        <v>4.333333333333333</v>
      </c>
    </row>
    <row r="2862" spans="1:22" ht="15" customHeight="1" thickBot="1" x14ac:dyDescent="0.4">
      <c r="A2862" s="412"/>
      <c r="B2862" s="100">
        <f t="shared" si="60"/>
        <v>2800</v>
      </c>
      <c r="C2862" s="258" t="s">
        <v>4184</v>
      </c>
      <c r="D2862" s="258" t="s">
        <v>4185</v>
      </c>
      <c r="E2862" s="2" t="str">
        <f t="shared" si="61"/>
        <v>17</v>
      </c>
      <c r="F2862" s="276" t="s">
        <v>4849</v>
      </c>
      <c r="G2862" s="258" t="s">
        <v>4850</v>
      </c>
      <c r="H2862" s="257">
        <v>3.11</v>
      </c>
      <c r="I2862" s="239" t="s">
        <v>4850</v>
      </c>
      <c r="J2862" s="88">
        <v>433</v>
      </c>
      <c r="K2862" s="88" t="s">
        <v>4163</v>
      </c>
      <c r="L2862" s="19" t="s">
        <v>4164</v>
      </c>
      <c r="M2862" s="86">
        <f>AVERAGE(H2849:H2866)</f>
        <v>3.27</v>
      </c>
      <c r="N2862" s="21"/>
      <c r="O2862" s="21"/>
      <c r="R2862">
        <v>4</v>
      </c>
      <c r="S2862" t="s">
        <v>5049</v>
      </c>
      <c r="T2862">
        <v>4</v>
      </c>
      <c r="U2862" t="s">
        <v>5050</v>
      </c>
      <c r="V2862">
        <f t="shared" si="58"/>
        <v>4.333333333333333</v>
      </c>
    </row>
    <row r="2863" spans="1:22" ht="15" customHeight="1" thickBot="1" x14ac:dyDescent="0.4">
      <c r="A2863" s="412"/>
      <c r="B2863" s="100">
        <f t="shared" si="60"/>
        <v>2801</v>
      </c>
      <c r="C2863" s="258" t="s">
        <v>4187</v>
      </c>
      <c r="D2863" s="258" t="s">
        <v>4188</v>
      </c>
      <c r="E2863" s="2" t="str">
        <f t="shared" si="61"/>
        <v>16</v>
      </c>
      <c r="F2863" s="276" t="s">
        <v>4849</v>
      </c>
      <c r="G2863" s="258" t="s">
        <v>4851</v>
      </c>
      <c r="H2863" s="257">
        <v>2.92</v>
      </c>
      <c r="I2863" s="239" t="s">
        <v>4851</v>
      </c>
      <c r="J2863" s="88">
        <v>567</v>
      </c>
      <c r="K2863" s="88">
        <v>75</v>
      </c>
      <c r="L2863" s="21"/>
      <c r="M2863" s="21"/>
      <c r="N2863" s="21"/>
      <c r="O2863" s="21"/>
      <c r="R2863">
        <v>5</v>
      </c>
      <c r="S2863" t="s">
        <v>5049</v>
      </c>
      <c r="T2863">
        <v>4</v>
      </c>
      <c r="U2863" t="s">
        <v>5050</v>
      </c>
      <c r="V2863">
        <f t="shared" si="58"/>
        <v>5.333333333333333</v>
      </c>
    </row>
    <row r="2864" spans="1:22" ht="15" customHeight="1" thickBot="1" x14ac:dyDescent="0.4">
      <c r="A2864" s="412"/>
      <c r="B2864" s="100">
        <f t="shared" si="60"/>
        <v>2802</v>
      </c>
      <c r="C2864" s="258" t="s">
        <v>4189</v>
      </c>
      <c r="D2864" s="258" t="s">
        <v>4190</v>
      </c>
      <c r="E2864" s="2" t="str">
        <f t="shared" si="61"/>
        <v>15</v>
      </c>
      <c r="F2864" s="276" t="s">
        <v>4849</v>
      </c>
      <c r="G2864" s="258" t="s">
        <v>4852</v>
      </c>
      <c r="H2864" s="268" t="s">
        <v>4853</v>
      </c>
      <c r="I2864" s="239" t="s">
        <v>4852</v>
      </c>
      <c r="J2864" s="88">
        <v>453</v>
      </c>
      <c r="K2864" s="88" t="s">
        <v>4169</v>
      </c>
      <c r="L2864" s="29" t="s">
        <v>4018</v>
      </c>
      <c r="M2864" s="80" t="e">
        <f>AVERAGE(G2849:G2861)</f>
        <v>#DIV/0!</v>
      </c>
      <c r="N2864" s="21"/>
      <c r="O2864" s="21"/>
      <c r="R2864">
        <v>6</v>
      </c>
      <c r="S2864" t="s">
        <v>5046</v>
      </c>
      <c r="T2864">
        <v>5</v>
      </c>
      <c r="U2864" t="s">
        <v>5048</v>
      </c>
      <c r="V2864">
        <f t="shared" si="58"/>
        <v>6.416666666666667</v>
      </c>
    </row>
    <row r="2865" spans="1:22" ht="15" customHeight="1" thickBot="1" x14ac:dyDescent="0.4">
      <c r="A2865" s="412"/>
      <c r="B2865" s="100">
        <f t="shared" si="60"/>
        <v>2803</v>
      </c>
      <c r="C2865" s="254" t="s">
        <v>4191</v>
      </c>
      <c r="D2865" s="254" t="s">
        <v>4192</v>
      </c>
      <c r="E2865" s="2" t="str">
        <f t="shared" si="61"/>
        <v>15</v>
      </c>
      <c r="F2865" s="276" t="s">
        <v>4849</v>
      </c>
      <c r="G2865" s="258" t="s">
        <v>4852</v>
      </c>
      <c r="H2865" s="268" t="s">
        <v>4854</v>
      </c>
      <c r="I2865" s="239" t="s">
        <v>4852</v>
      </c>
      <c r="J2865" s="88" t="s">
        <v>4172</v>
      </c>
      <c r="K2865" s="88" t="s">
        <v>4173</v>
      </c>
      <c r="L2865" s="29" t="s">
        <v>4020</v>
      </c>
      <c r="M2865" s="86">
        <f>AVERAGE(H2849:H2861)</f>
        <v>3.4050000000000002</v>
      </c>
      <c r="N2865" s="21"/>
      <c r="O2865" s="21"/>
      <c r="R2865">
        <v>6</v>
      </c>
      <c r="S2865" t="s">
        <v>5046</v>
      </c>
      <c r="T2865">
        <v>5</v>
      </c>
      <c r="U2865" t="s">
        <v>5048</v>
      </c>
      <c r="V2865">
        <f t="shared" si="58"/>
        <v>6.416666666666667</v>
      </c>
    </row>
    <row r="2866" spans="1:22" ht="15" customHeight="1" thickBot="1" x14ac:dyDescent="0.4">
      <c r="A2866" s="412"/>
      <c r="B2866" s="100">
        <f t="shared" si="60"/>
        <v>2804</v>
      </c>
      <c r="C2866" s="258" t="s">
        <v>4193</v>
      </c>
      <c r="D2866" s="258" t="s">
        <v>4194</v>
      </c>
      <c r="E2866" s="2" t="str">
        <f t="shared" si="61"/>
        <v>17</v>
      </c>
      <c r="F2866" s="276" t="s">
        <v>4849</v>
      </c>
      <c r="G2866" s="258" t="s">
        <v>4855</v>
      </c>
      <c r="H2866" s="257">
        <v>3.24</v>
      </c>
      <c r="I2866" s="99" t="s">
        <v>4855</v>
      </c>
      <c r="J2866" s="88">
        <v>577</v>
      </c>
      <c r="K2866" s="88" t="s">
        <v>4163</v>
      </c>
      <c r="L2866" s="19" t="s">
        <v>580</v>
      </c>
      <c r="M2866" s="21"/>
      <c r="N2866" s="21"/>
      <c r="O2866" s="21"/>
      <c r="R2866">
        <v>4</v>
      </c>
      <c r="S2866" t="s">
        <v>5046</v>
      </c>
      <c r="T2866">
        <v>5</v>
      </c>
      <c r="U2866" t="s">
        <v>5048</v>
      </c>
      <c r="V2866">
        <f t="shared" si="58"/>
        <v>4.416666666666667</v>
      </c>
    </row>
    <row r="2867" spans="1:22" ht="15" customHeight="1" thickBot="1" x14ac:dyDescent="0.4">
      <c r="A2867" s="412"/>
      <c r="B2867" s="100">
        <f t="shared" si="60"/>
        <v>2805</v>
      </c>
      <c r="C2867" s="254" t="s">
        <v>4196</v>
      </c>
      <c r="D2867" s="254" t="s">
        <v>4197</v>
      </c>
      <c r="E2867" s="2" t="str">
        <f t="shared" si="61"/>
        <v>16</v>
      </c>
      <c r="F2867" s="276" t="s">
        <v>4856</v>
      </c>
      <c r="G2867" s="258" t="s">
        <v>4631</v>
      </c>
      <c r="H2867" s="268" t="s">
        <v>4198</v>
      </c>
      <c r="I2867" s="99" t="s">
        <v>4631</v>
      </c>
      <c r="J2867" s="88">
        <v>567</v>
      </c>
      <c r="K2867" s="88" t="s">
        <v>4159</v>
      </c>
      <c r="L2867" s="69">
        <v>2015</v>
      </c>
      <c r="M2867" s="29">
        <f>COUNTIF(E2849:E2866,"15")</f>
        <v>4</v>
      </c>
      <c r="N2867" s="21"/>
      <c r="O2867" s="21"/>
      <c r="R2867">
        <v>5</v>
      </c>
      <c r="S2867" t="s">
        <v>5046</v>
      </c>
      <c r="T2867">
        <v>2</v>
      </c>
      <c r="U2867" t="s">
        <v>5048</v>
      </c>
      <c r="V2867">
        <f t="shared" ref="V2867:V2932" si="62">R2867+(T2867/12)</f>
        <v>5.166666666666667</v>
      </c>
    </row>
    <row r="2868" spans="1:22" ht="15" customHeight="1" thickBot="1" x14ac:dyDescent="0.4">
      <c r="A2868" s="412"/>
      <c r="B2868" s="100">
        <f t="shared" si="60"/>
        <v>2806</v>
      </c>
      <c r="C2868" s="258" t="s">
        <v>4199</v>
      </c>
      <c r="D2868" s="258" t="s">
        <v>4200</v>
      </c>
      <c r="E2868" s="2" t="str">
        <f t="shared" si="61"/>
        <v>15</v>
      </c>
      <c r="F2868" s="276" t="s">
        <v>4856</v>
      </c>
      <c r="G2868" s="258" t="s">
        <v>4845</v>
      </c>
      <c r="H2868" s="268" t="s">
        <v>4201</v>
      </c>
      <c r="I2868" s="99" t="s">
        <v>4845</v>
      </c>
      <c r="J2868" s="68">
        <v>553</v>
      </c>
      <c r="K2868" s="88" t="s">
        <v>4180</v>
      </c>
      <c r="L2868" s="69">
        <v>2016</v>
      </c>
      <c r="M2868" s="29">
        <f>COUNTIF(E2849:E2866,"16")</f>
        <v>1</v>
      </c>
      <c r="N2868" s="21"/>
      <c r="O2868" s="21"/>
      <c r="R2868">
        <v>6</v>
      </c>
      <c r="S2868" t="s">
        <v>5046</v>
      </c>
      <c r="T2868">
        <v>4</v>
      </c>
      <c r="U2868" t="s">
        <v>5048</v>
      </c>
      <c r="V2868">
        <f t="shared" si="62"/>
        <v>6.333333333333333</v>
      </c>
    </row>
    <row r="2869" spans="1:22" ht="15" customHeight="1" thickBot="1" x14ac:dyDescent="0.4">
      <c r="A2869" s="412"/>
      <c r="B2869" s="100">
        <f t="shared" si="60"/>
        <v>2807</v>
      </c>
      <c r="C2869" s="258" t="s">
        <v>4203</v>
      </c>
      <c r="D2869" s="258" t="s">
        <v>4204</v>
      </c>
      <c r="E2869" s="2" t="str">
        <f t="shared" si="61"/>
        <v>16</v>
      </c>
      <c r="F2869" s="276" t="s">
        <v>4856</v>
      </c>
      <c r="G2869" s="258" t="s">
        <v>4857</v>
      </c>
      <c r="H2869" s="268">
        <v>2.27</v>
      </c>
      <c r="I2869" s="99" t="s">
        <v>4857</v>
      </c>
      <c r="J2869" s="68">
        <v>470</v>
      </c>
      <c r="K2869" s="88" t="s">
        <v>4183</v>
      </c>
      <c r="L2869" s="69">
        <v>2017</v>
      </c>
      <c r="M2869" s="29">
        <f>COUNTIF(E2849:E2866,"17")</f>
        <v>12</v>
      </c>
      <c r="N2869" s="21"/>
      <c r="O2869" s="21"/>
      <c r="R2869">
        <v>5</v>
      </c>
      <c r="S2869" t="s">
        <v>5046</v>
      </c>
      <c r="T2869">
        <v>5</v>
      </c>
      <c r="U2869" t="s">
        <v>5048</v>
      </c>
      <c r="V2869">
        <f t="shared" si="62"/>
        <v>5.416666666666667</v>
      </c>
    </row>
    <row r="2870" spans="1:22" ht="15" customHeight="1" thickBot="1" x14ac:dyDescent="0.4">
      <c r="A2870" s="412"/>
      <c r="B2870" s="100">
        <f t="shared" si="60"/>
        <v>2808</v>
      </c>
      <c r="C2870" s="254" t="s">
        <v>4205</v>
      </c>
      <c r="D2870" s="254" t="s">
        <v>4206</v>
      </c>
      <c r="E2870" s="2" t="str">
        <f t="shared" si="61"/>
        <v>17</v>
      </c>
      <c r="F2870" s="276" t="s">
        <v>4856</v>
      </c>
      <c r="G2870" s="258" t="s">
        <v>4855</v>
      </c>
      <c r="H2870" s="268">
        <v>3.63</v>
      </c>
      <c r="I2870" s="99" t="s">
        <v>4855</v>
      </c>
      <c r="J2870" s="68">
        <v>453</v>
      </c>
      <c r="K2870" s="68" t="s">
        <v>4186</v>
      </c>
      <c r="L2870" s="21"/>
      <c r="M2870" s="29">
        <f>SUM(M2867:M2869)</f>
        <v>17</v>
      </c>
      <c r="N2870" s="21"/>
      <c r="O2870" s="21"/>
      <c r="R2870">
        <v>4</v>
      </c>
      <c r="S2870" t="s">
        <v>5046</v>
      </c>
      <c r="T2870">
        <v>5</v>
      </c>
      <c r="U2870" t="s">
        <v>5048</v>
      </c>
      <c r="V2870">
        <f t="shared" si="62"/>
        <v>4.416666666666667</v>
      </c>
    </row>
    <row r="2871" spans="1:22" ht="15" customHeight="1" thickBot="1" x14ac:dyDescent="0.4">
      <c r="A2871" s="412"/>
      <c r="B2871" s="100">
        <f t="shared" si="60"/>
        <v>2809</v>
      </c>
      <c r="C2871" s="258" t="s">
        <v>4207</v>
      </c>
      <c r="D2871" s="258" t="s">
        <v>4208</v>
      </c>
      <c r="E2871" s="2" t="str">
        <f t="shared" si="61"/>
        <v>17</v>
      </c>
      <c r="F2871" s="276" t="s">
        <v>4856</v>
      </c>
      <c r="G2871" s="258" t="s">
        <v>4647</v>
      </c>
      <c r="H2871" s="268">
        <v>3.08</v>
      </c>
      <c r="I2871" s="99" t="s">
        <v>4647</v>
      </c>
      <c r="J2871" s="68">
        <v>440</v>
      </c>
      <c r="K2871" s="68">
        <v>75</v>
      </c>
      <c r="L2871" s="21"/>
      <c r="M2871" s="21"/>
      <c r="N2871" s="21"/>
      <c r="O2871" s="21"/>
      <c r="R2871">
        <v>4</v>
      </c>
      <c r="S2871" t="s">
        <v>5046</v>
      </c>
      <c r="T2871">
        <v>6</v>
      </c>
      <c r="U2871" t="s">
        <v>5048</v>
      </c>
      <c r="V2871">
        <f t="shared" si="62"/>
        <v>4.5</v>
      </c>
    </row>
    <row r="2872" spans="1:22" ht="15" customHeight="1" thickBot="1" x14ac:dyDescent="0.4">
      <c r="A2872" s="412"/>
      <c r="B2872" s="100">
        <f t="shared" si="60"/>
        <v>2810</v>
      </c>
      <c r="C2872" s="258" t="s">
        <v>4209</v>
      </c>
      <c r="D2872" s="258" t="s">
        <v>4210</v>
      </c>
      <c r="E2872" s="2" t="str">
        <f t="shared" si="61"/>
        <v>17</v>
      </c>
      <c r="F2872" s="276" t="s">
        <v>4856</v>
      </c>
      <c r="G2872" s="258" t="s">
        <v>4858</v>
      </c>
      <c r="H2872" s="268" t="s">
        <v>4211</v>
      </c>
      <c r="I2872" s="99" t="s">
        <v>4858</v>
      </c>
      <c r="J2872" s="68">
        <v>433</v>
      </c>
      <c r="K2872" s="68" t="s">
        <v>4173</v>
      </c>
      <c r="L2872" s="21"/>
      <c r="M2872" s="21"/>
      <c r="N2872" s="21"/>
      <c r="O2872" s="21"/>
      <c r="R2872">
        <v>4</v>
      </c>
      <c r="S2872" t="s">
        <v>5049</v>
      </c>
      <c r="T2872">
        <v>7</v>
      </c>
      <c r="U2872" t="s">
        <v>5050</v>
      </c>
      <c r="V2872">
        <f>R2872+(T2872/12)</f>
        <v>4.583333333333333</v>
      </c>
    </row>
    <row r="2873" spans="1:22" ht="15" customHeight="1" thickBot="1" x14ac:dyDescent="0.4">
      <c r="A2873" s="412"/>
      <c r="B2873" s="100">
        <f t="shared" si="60"/>
        <v>2811</v>
      </c>
      <c r="C2873" s="254" t="s">
        <v>4212</v>
      </c>
      <c r="D2873" s="254" t="s">
        <v>4213</v>
      </c>
      <c r="E2873" s="2" t="str">
        <f t="shared" si="61"/>
        <v>16</v>
      </c>
      <c r="F2873" s="276" t="s">
        <v>4856</v>
      </c>
      <c r="G2873" s="256" t="s">
        <v>4791</v>
      </c>
      <c r="H2873" s="257">
        <v>3.42</v>
      </c>
      <c r="I2873" s="131" t="s">
        <v>4791</v>
      </c>
      <c r="J2873" s="68">
        <v>485</v>
      </c>
      <c r="K2873" s="68" t="s">
        <v>4169</v>
      </c>
      <c r="L2873" s="21"/>
      <c r="M2873" s="21"/>
      <c r="N2873" s="21"/>
      <c r="O2873" s="21"/>
      <c r="R2873">
        <v>5</v>
      </c>
      <c r="S2873" t="s">
        <v>5046</v>
      </c>
      <c r="T2873">
        <v>6</v>
      </c>
      <c r="U2873" t="s">
        <v>5048</v>
      </c>
      <c r="V2873">
        <f t="shared" si="62"/>
        <v>5.5</v>
      </c>
    </row>
    <row r="2874" spans="1:22" ht="15" customHeight="1" x14ac:dyDescent="0.35">
      <c r="A2874" s="412"/>
      <c r="B2874" s="100"/>
      <c r="C2874" s="348"/>
      <c r="D2874" s="349"/>
      <c r="E2874" s="2"/>
      <c r="F2874" s="347"/>
      <c r="G2874" s="281"/>
      <c r="H2874" s="257"/>
      <c r="I2874" s="131"/>
      <c r="J2874" s="68"/>
      <c r="K2874" s="68"/>
      <c r="L2874" s="21"/>
      <c r="M2874" s="21"/>
      <c r="N2874" s="21"/>
      <c r="O2874" s="21"/>
    </row>
    <row r="2875" spans="1:22" ht="15" customHeight="1" thickBot="1" x14ac:dyDescent="0.4">
      <c r="A2875" s="412"/>
      <c r="B2875" s="100"/>
      <c r="C2875" s="291" t="s">
        <v>4215</v>
      </c>
      <c r="E2875" s="2" t="str">
        <f t="shared" si="61"/>
        <v/>
      </c>
      <c r="I2875" s="131"/>
      <c r="J2875" s="68">
        <v>500</v>
      </c>
      <c r="K2875" s="68" t="s">
        <v>4195</v>
      </c>
      <c r="L2875" s="21"/>
      <c r="M2875" s="21"/>
      <c r="N2875" s="21"/>
      <c r="O2875" s="21"/>
      <c r="V2875">
        <f t="shared" si="62"/>
        <v>0</v>
      </c>
    </row>
    <row r="2876" spans="1:22" ht="15" customHeight="1" thickBot="1" x14ac:dyDescent="0.4">
      <c r="A2876" s="297"/>
      <c r="B2876" s="100">
        <f>(B2873+1)</f>
        <v>2812</v>
      </c>
      <c r="C2876" s="258" t="s">
        <v>4216</v>
      </c>
      <c r="D2876" s="258" t="s">
        <v>4217</v>
      </c>
      <c r="E2876" s="2" t="str">
        <f t="shared" si="61"/>
        <v>17</v>
      </c>
      <c r="F2876" s="255" t="s">
        <v>4859</v>
      </c>
      <c r="G2876" s="256" t="s">
        <v>4860</v>
      </c>
      <c r="H2876" s="268">
        <v>3.54</v>
      </c>
      <c r="I2876" s="131" t="s">
        <v>4860</v>
      </c>
      <c r="J2876" s="68">
        <v>420</v>
      </c>
      <c r="K2876" s="68">
        <v>71</v>
      </c>
      <c r="L2876" s="21"/>
      <c r="M2876" s="21"/>
      <c r="N2876" s="21"/>
      <c r="O2876" s="21"/>
      <c r="R2876">
        <v>4</v>
      </c>
      <c r="S2876" t="s">
        <v>5049</v>
      </c>
      <c r="T2876">
        <v>7</v>
      </c>
      <c r="U2876" t="s">
        <v>5048</v>
      </c>
      <c r="V2876">
        <f t="shared" si="62"/>
        <v>4.583333333333333</v>
      </c>
    </row>
    <row r="2877" spans="1:22" ht="15" customHeight="1" thickBot="1" x14ac:dyDescent="0.4">
      <c r="B2877" s="100">
        <f t="shared" si="60"/>
        <v>2813</v>
      </c>
      <c r="C2877" s="258" t="s">
        <v>4219</v>
      </c>
      <c r="D2877" s="258" t="s">
        <v>4220</v>
      </c>
      <c r="E2877" s="2" t="str">
        <f t="shared" si="61"/>
        <v>17</v>
      </c>
      <c r="F2877" s="255" t="s">
        <v>4859</v>
      </c>
      <c r="G2877" s="256" t="s">
        <v>4858</v>
      </c>
      <c r="H2877" s="268">
        <v>3.15</v>
      </c>
      <c r="I2877" s="131" t="s">
        <v>4858</v>
      </c>
      <c r="J2877" s="68">
        <v>500</v>
      </c>
      <c r="K2877" s="68" t="s">
        <v>4202</v>
      </c>
      <c r="L2877" s="21"/>
      <c r="M2877" s="21"/>
      <c r="N2877" s="21"/>
      <c r="O2877" s="21"/>
      <c r="R2877">
        <v>4</v>
      </c>
      <c r="S2877" t="s">
        <v>5049</v>
      </c>
      <c r="T2877">
        <v>7</v>
      </c>
      <c r="U2877" t="s">
        <v>5050</v>
      </c>
      <c r="V2877">
        <f t="shared" si="62"/>
        <v>4.583333333333333</v>
      </c>
    </row>
    <row r="2878" spans="1:22" ht="15" customHeight="1" thickBot="1" x14ac:dyDescent="0.4">
      <c r="B2878" s="100">
        <v>2814</v>
      </c>
      <c r="C2878" s="258" t="s">
        <v>4221</v>
      </c>
      <c r="D2878" s="258" t="s">
        <v>4222</v>
      </c>
      <c r="E2878" s="2" t="str">
        <f t="shared" si="61"/>
        <v>17</v>
      </c>
      <c r="F2878" s="255" t="s">
        <v>4859</v>
      </c>
      <c r="G2878" s="256" t="s">
        <v>4861</v>
      </c>
      <c r="H2878" s="268">
        <v>3.14</v>
      </c>
      <c r="I2878" s="131" t="s">
        <v>4861</v>
      </c>
      <c r="J2878" s="68">
        <v>507</v>
      </c>
      <c r="K2878" s="68" t="s">
        <v>4163</v>
      </c>
      <c r="L2878" s="21"/>
      <c r="M2878" s="21"/>
      <c r="N2878" s="21"/>
      <c r="O2878" s="21"/>
      <c r="R2878">
        <v>4</v>
      </c>
      <c r="S2878" t="s">
        <v>5049</v>
      </c>
      <c r="T2878">
        <v>8</v>
      </c>
      <c r="U2878" t="s">
        <v>5050</v>
      </c>
      <c r="V2878">
        <f t="shared" si="62"/>
        <v>4.666666666666667</v>
      </c>
    </row>
    <row r="2879" spans="1:22" ht="15" customHeight="1" thickBot="1" x14ac:dyDescent="0.4">
      <c r="B2879" s="100">
        <v>2815</v>
      </c>
      <c r="C2879" s="254" t="s">
        <v>4224</v>
      </c>
      <c r="D2879" s="254" t="s">
        <v>4225</v>
      </c>
      <c r="E2879" s="2" t="str">
        <f t="shared" si="61"/>
        <v>17</v>
      </c>
      <c r="F2879" s="255" t="s">
        <v>4859</v>
      </c>
      <c r="G2879" s="256" t="s">
        <v>4681</v>
      </c>
      <c r="H2879" s="268">
        <v>3.41</v>
      </c>
      <c r="I2879" s="131" t="s">
        <v>4681</v>
      </c>
      <c r="J2879" s="68">
        <v>577</v>
      </c>
      <c r="K2879" s="68" t="s">
        <v>4173</v>
      </c>
      <c r="L2879" s="21"/>
      <c r="M2879" s="21"/>
      <c r="N2879" s="21"/>
      <c r="O2879" s="21"/>
      <c r="R2879">
        <v>4</v>
      </c>
      <c r="S2879" t="s">
        <v>5046</v>
      </c>
      <c r="T2879">
        <v>8</v>
      </c>
      <c r="U2879" t="s">
        <v>5048</v>
      </c>
      <c r="V2879">
        <f t="shared" si="62"/>
        <v>4.666666666666667</v>
      </c>
    </row>
    <row r="2880" spans="1:22" ht="15" customHeight="1" thickBot="1" x14ac:dyDescent="0.4">
      <c r="B2880" s="100">
        <v>2816</v>
      </c>
      <c r="C2880" s="258" t="s">
        <v>4227</v>
      </c>
      <c r="D2880" s="258" t="s">
        <v>4228</v>
      </c>
      <c r="E2880" s="2" t="str">
        <f t="shared" si="61"/>
        <v>17</v>
      </c>
      <c r="F2880" s="255">
        <v>44673</v>
      </c>
      <c r="G2880" s="256" t="s">
        <v>4681</v>
      </c>
      <c r="H2880" s="257">
        <v>3.52</v>
      </c>
      <c r="I2880" s="131" t="s">
        <v>4681</v>
      </c>
      <c r="J2880" s="68">
        <v>457</v>
      </c>
      <c r="K2880" s="68" t="s">
        <v>4169</v>
      </c>
      <c r="L2880" s="21"/>
      <c r="M2880" s="21"/>
      <c r="N2880" s="21"/>
      <c r="O2880" s="21"/>
      <c r="R2880">
        <v>4</v>
      </c>
      <c r="S2880" t="s">
        <v>5046</v>
      </c>
      <c r="T2880">
        <v>8</v>
      </c>
      <c r="U2880" t="s">
        <v>5048</v>
      </c>
      <c r="V2880">
        <f t="shared" si="62"/>
        <v>4.666666666666667</v>
      </c>
    </row>
    <row r="2881" spans="2:22" ht="15" customHeight="1" thickBot="1" x14ac:dyDescent="0.4">
      <c r="B2881" s="100">
        <v>2817</v>
      </c>
      <c r="C2881" s="254" t="s">
        <v>4231</v>
      </c>
      <c r="D2881" s="254" t="s">
        <v>4232</v>
      </c>
      <c r="E2881" s="2" t="str">
        <f t="shared" si="61"/>
        <v>18</v>
      </c>
      <c r="F2881" s="277" t="s">
        <v>4862</v>
      </c>
      <c r="G2881" s="254" t="s">
        <v>4805</v>
      </c>
      <c r="H2881" s="257">
        <v>3.61</v>
      </c>
      <c r="I2881" s="99" t="s">
        <v>4805</v>
      </c>
      <c r="J2881" s="68">
        <v>493</v>
      </c>
      <c r="K2881" s="68" t="s">
        <v>4159</v>
      </c>
      <c r="L2881" s="21"/>
      <c r="M2881" s="21"/>
      <c r="N2881" s="21"/>
      <c r="O2881" s="21"/>
      <c r="R2881">
        <v>3</v>
      </c>
      <c r="S2881" t="s">
        <v>5046</v>
      </c>
      <c r="T2881">
        <v>10</v>
      </c>
      <c r="U2881" t="s">
        <v>5048</v>
      </c>
      <c r="V2881">
        <f t="shared" si="62"/>
        <v>3.8333333333333335</v>
      </c>
    </row>
    <row r="2882" spans="2:22" ht="15" customHeight="1" thickBot="1" x14ac:dyDescent="0.4">
      <c r="B2882" s="100">
        <v>2818</v>
      </c>
      <c r="C2882" s="254" t="s">
        <v>4233</v>
      </c>
      <c r="D2882" s="254" t="s">
        <v>4234</v>
      </c>
      <c r="E2882" s="2" t="str">
        <f t="shared" si="61"/>
        <v>17</v>
      </c>
      <c r="F2882" s="277" t="s">
        <v>4862</v>
      </c>
      <c r="G2882" s="254" t="s">
        <v>4851</v>
      </c>
      <c r="H2882" s="268" t="s">
        <v>4863</v>
      </c>
      <c r="I2882" s="99" t="s">
        <v>4851</v>
      </c>
      <c r="J2882" s="68">
        <v>420</v>
      </c>
      <c r="K2882" s="68">
        <v>75</v>
      </c>
      <c r="L2882" s="21"/>
      <c r="M2882" s="21"/>
      <c r="N2882" s="21"/>
      <c r="O2882" s="21"/>
      <c r="P2882" s="6" t="s">
        <v>580</v>
      </c>
      <c r="R2882">
        <v>5</v>
      </c>
      <c r="S2882" t="s">
        <v>5049</v>
      </c>
      <c r="T2882">
        <v>4</v>
      </c>
      <c r="U2882" t="s">
        <v>5050</v>
      </c>
      <c r="V2882">
        <f t="shared" si="62"/>
        <v>5.333333333333333</v>
      </c>
    </row>
    <row r="2883" spans="2:22" ht="15" customHeight="1" thickBot="1" x14ac:dyDescent="0.4">
      <c r="B2883" s="100">
        <v>2819</v>
      </c>
      <c r="C2883" s="256" t="s">
        <v>4229</v>
      </c>
      <c r="D2883" s="256" t="s">
        <v>4230</v>
      </c>
      <c r="E2883" s="2" t="str">
        <f t="shared" si="61"/>
        <v>16</v>
      </c>
      <c r="F2883" s="255" t="s">
        <v>4864</v>
      </c>
      <c r="G2883" s="256" t="s">
        <v>4865</v>
      </c>
      <c r="H2883" s="266">
        <v>3.18</v>
      </c>
      <c r="I2883" s="131" t="s">
        <v>4865</v>
      </c>
      <c r="J2883" s="20"/>
      <c r="K2883" s="21"/>
      <c r="L2883" s="21"/>
      <c r="M2883" s="21"/>
      <c r="N2883" s="21"/>
      <c r="O2883" s="21"/>
      <c r="R2883">
        <v>5</v>
      </c>
      <c r="S2883" t="s">
        <v>5046</v>
      </c>
      <c r="T2883">
        <v>11</v>
      </c>
      <c r="U2883" t="s">
        <v>5048</v>
      </c>
      <c r="V2883">
        <f t="shared" si="62"/>
        <v>5.916666666666667</v>
      </c>
    </row>
    <row r="2884" spans="2:22" ht="15" customHeight="1" thickBot="1" x14ac:dyDescent="0.4">
      <c r="B2884" s="100">
        <v>2820</v>
      </c>
      <c r="C2884" s="254" t="s">
        <v>4235</v>
      </c>
      <c r="D2884" s="254" t="s">
        <v>4236</v>
      </c>
      <c r="E2884" s="2" t="str">
        <f t="shared" si="61"/>
        <v>18</v>
      </c>
      <c r="F2884" s="255" t="s">
        <v>4864</v>
      </c>
      <c r="G2884" s="256" t="s">
        <v>4805</v>
      </c>
      <c r="H2884" s="268">
        <v>3.42</v>
      </c>
      <c r="I2884" s="131" t="s">
        <v>4805</v>
      </c>
      <c r="J2884" s="20"/>
      <c r="K2884" s="21"/>
      <c r="L2884" s="21"/>
      <c r="M2884" s="21"/>
      <c r="N2884" s="21"/>
      <c r="O2884" s="21"/>
      <c r="R2884">
        <v>3</v>
      </c>
      <c r="S2884" t="s">
        <v>5046</v>
      </c>
      <c r="T2884">
        <v>10</v>
      </c>
      <c r="U2884" t="s">
        <v>5048</v>
      </c>
      <c r="V2884">
        <f>R2884+(T2884/12)</f>
        <v>3.8333333333333335</v>
      </c>
    </row>
    <row r="2885" spans="2:22" ht="15" customHeight="1" thickBot="1" x14ac:dyDescent="0.4">
      <c r="B2885" s="100">
        <v>2821</v>
      </c>
      <c r="C2885" s="254" t="s">
        <v>4237</v>
      </c>
      <c r="D2885" s="254" t="s">
        <v>4238</v>
      </c>
      <c r="E2885" s="2" t="str">
        <f t="shared" si="61"/>
        <v>16</v>
      </c>
      <c r="F2885" s="255" t="s">
        <v>4864</v>
      </c>
      <c r="G2885" s="256" t="s">
        <v>4866</v>
      </c>
      <c r="H2885" s="268">
        <v>3.33</v>
      </c>
      <c r="I2885" s="131" t="s">
        <v>4866</v>
      </c>
      <c r="J2885" s="21">
        <v>502</v>
      </c>
      <c r="K2885" s="21" t="s">
        <v>4218</v>
      </c>
      <c r="L2885" s="21"/>
      <c r="M2885" s="21"/>
      <c r="N2885" s="21"/>
      <c r="O2885" s="21"/>
      <c r="R2885">
        <v>6</v>
      </c>
      <c r="S2885" t="s">
        <v>5049</v>
      </c>
      <c r="T2885">
        <v>0</v>
      </c>
      <c r="U2885" t="s">
        <v>5050</v>
      </c>
      <c r="V2885">
        <f t="shared" si="62"/>
        <v>6</v>
      </c>
    </row>
    <row r="2886" spans="2:22" ht="15" customHeight="1" thickBot="1" x14ac:dyDescent="0.4">
      <c r="B2886" s="100">
        <v>2822</v>
      </c>
      <c r="C2886" s="254" t="s">
        <v>4239</v>
      </c>
      <c r="D2886" s="254" t="s">
        <v>4240</v>
      </c>
      <c r="E2886" s="2" t="str">
        <f t="shared" si="61"/>
        <v>15</v>
      </c>
      <c r="F2886" s="276" t="s">
        <v>4867</v>
      </c>
      <c r="G2886" s="258" t="s">
        <v>4733</v>
      </c>
      <c r="H2886" s="257">
        <v>3.12</v>
      </c>
      <c r="I2886" s="131" t="s">
        <v>4733</v>
      </c>
      <c r="J2886" s="21">
        <v>492</v>
      </c>
      <c r="K2886" s="21">
        <v>70</v>
      </c>
      <c r="L2886" s="21"/>
      <c r="M2886" s="21"/>
      <c r="N2886" s="21"/>
      <c r="O2886" s="21"/>
      <c r="R2886">
        <v>6</v>
      </c>
      <c r="S2886" t="s">
        <v>5046</v>
      </c>
      <c r="T2886">
        <v>11</v>
      </c>
      <c r="U2886" t="s">
        <v>5048</v>
      </c>
      <c r="V2886">
        <f t="shared" si="62"/>
        <v>6.916666666666667</v>
      </c>
    </row>
    <row r="2887" spans="2:22" ht="15" customHeight="1" thickBot="1" x14ac:dyDescent="0.4">
      <c r="B2887" s="100">
        <v>2823</v>
      </c>
      <c r="C2887" s="258" t="s">
        <v>4241</v>
      </c>
      <c r="D2887" s="258" t="s">
        <v>4242</v>
      </c>
      <c r="E2887" s="2" t="str">
        <f t="shared" si="61"/>
        <v>17</v>
      </c>
      <c r="F2887" s="276" t="s">
        <v>4867</v>
      </c>
      <c r="G2887" s="258" t="s">
        <v>4830</v>
      </c>
      <c r="H2887" s="257">
        <v>3.19</v>
      </c>
      <c r="I2887" s="131" t="s">
        <v>4830</v>
      </c>
      <c r="J2887" s="21">
        <v>565</v>
      </c>
      <c r="K2887" s="21" t="s">
        <v>4223</v>
      </c>
      <c r="L2887" s="312">
        <v>2015</v>
      </c>
      <c r="M2887" s="29">
        <f>COUNTIF(E2869:E2891,"15")</f>
        <v>1</v>
      </c>
      <c r="N2887" s="21"/>
      <c r="O2887" s="21"/>
      <c r="R2887">
        <v>5</v>
      </c>
      <c r="S2887" t="s">
        <v>5046</v>
      </c>
      <c r="T2887">
        <v>0</v>
      </c>
      <c r="U2887" t="s">
        <v>5048</v>
      </c>
      <c r="V2887">
        <f t="shared" si="62"/>
        <v>5</v>
      </c>
    </row>
    <row r="2888" spans="2:22" ht="15" customHeight="1" thickBot="1" x14ac:dyDescent="0.4">
      <c r="B2888" s="100">
        <v>2824</v>
      </c>
      <c r="C2888" s="258" t="s">
        <v>4244</v>
      </c>
      <c r="D2888" s="258" t="s">
        <v>4245</v>
      </c>
      <c r="E2888" s="2" t="str">
        <f t="shared" si="61"/>
        <v>18</v>
      </c>
      <c r="F2888" s="276" t="s">
        <v>4867</v>
      </c>
      <c r="G2888" s="258" t="s">
        <v>4688</v>
      </c>
      <c r="H2888" s="268" t="s">
        <v>4868</v>
      </c>
      <c r="I2888" s="131" t="s">
        <v>4688</v>
      </c>
      <c r="J2888" s="21">
        <v>450</v>
      </c>
      <c r="K2888" s="21" t="s">
        <v>4226</v>
      </c>
      <c r="L2888" s="312">
        <v>2016</v>
      </c>
      <c r="M2888" s="29">
        <f>COUNTIF(E2869:E2891,"16")</f>
        <v>4</v>
      </c>
      <c r="N2888" s="21"/>
      <c r="O2888" s="21"/>
      <c r="R2888">
        <v>3</v>
      </c>
      <c r="S2888" t="s">
        <v>5046</v>
      </c>
      <c r="T2888">
        <v>11</v>
      </c>
      <c r="U2888" t="s">
        <v>5048</v>
      </c>
      <c r="V2888">
        <f t="shared" si="62"/>
        <v>3.9166666666666665</v>
      </c>
    </row>
    <row r="2889" spans="2:22" ht="15" customHeight="1" thickBot="1" x14ac:dyDescent="0.4">
      <c r="B2889" s="100">
        <v>2825</v>
      </c>
      <c r="C2889" s="258" t="s">
        <v>4248</v>
      </c>
      <c r="D2889" s="258" t="s">
        <v>4249</v>
      </c>
      <c r="E2889" s="2" t="str">
        <f t="shared" si="61"/>
        <v>18</v>
      </c>
      <c r="F2889" s="276" t="s">
        <v>4867</v>
      </c>
      <c r="G2889" s="258" t="s">
        <v>4688</v>
      </c>
      <c r="H2889" s="257">
        <v>3.61</v>
      </c>
      <c r="I2889" s="131" t="s">
        <v>4688</v>
      </c>
      <c r="J2889" s="21">
        <v>564</v>
      </c>
      <c r="K2889" s="21">
        <v>65</v>
      </c>
      <c r="L2889" s="312">
        <v>2017</v>
      </c>
      <c r="M2889" s="29">
        <f>COUNTIF(E2869:E2891,"17")</f>
        <v>10</v>
      </c>
      <c r="N2889" s="21"/>
      <c r="O2889" s="21"/>
      <c r="R2889">
        <v>3</v>
      </c>
      <c r="S2889" t="s">
        <v>5046</v>
      </c>
      <c r="T2889">
        <v>11</v>
      </c>
      <c r="U2889" t="s">
        <v>5048</v>
      </c>
      <c r="V2889">
        <f t="shared" si="62"/>
        <v>3.9166666666666665</v>
      </c>
    </row>
    <row r="2890" spans="2:22" ht="15" customHeight="1" thickBot="1" x14ac:dyDescent="0.4">
      <c r="B2890" s="100">
        <v>2826</v>
      </c>
      <c r="C2890" s="278" t="s">
        <v>4251</v>
      </c>
      <c r="D2890" s="258" t="s">
        <v>4252</v>
      </c>
      <c r="E2890" s="2" t="str">
        <f t="shared" si="61"/>
        <v>18</v>
      </c>
      <c r="F2890" s="276" t="s">
        <v>4867</v>
      </c>
      <c r="G2890" s="258" t="s">
        <v>4705</v>
      </c>
      <c r="H2890" s="257">
        <v>3.67</v>
      </c>
      <c r="I2890" s="131" t="s">
        <v>4705</v>
      </c>
      <c r="J2890" s="21">
        <v>460</v>
      </c>
      <c r="K2890" s="21">
        <v>80</v>
      </c>
      <c r="L2890" s="312">
        <v>2018</v>
      </c>
      <c r="M2890" s="29">
        <f>COUNTIF(E2876:E2921,"18")</f>
        <v>35</v>
      </c>
      <c r="N2890" s="21"/>
      <c r="O2890" s="21"/>
      <c r="R2890">
        <v>4</v>
      </c>
      <c r="S2890" t="s">
        <v>5049</v>
      </c>
      <c r="T2890">
        <v>0</v>
      </c>
      <c r="U2890" t="s">
        <v>5050</v>
      </c>
      <c r="V2890">
        <f t="shared" si="62"/>
        <v>4</v>
      </c>
    </row>
    <row r="2891" spans="2:22" ht="15" customHeight="1" thickBot="1" x14ac:dyDescent="0.4">
      <c r="B2891" s="100">
        <v>2827</v>
      </c>
      <c r="C2891" s="258" t="s">
        <v>4255</v>
      </c>
      <c r="D2891" s="258" t="s">
        <v>4256</v>
      </c>
      <c r="E2891" s="2" t="str">
        <f t="shared" si="61"/>
        <v>18</v>
      </c>
      <c r="F2891" s="276" t="s">
        <v>4867</v>
      </c>
      <c r="G2891" s="258" t="s">
        <v>4606</v>
      </c>
      <c r="H2891" s="268" t="s">
        <v>4409</v>
      </c>
      <c r="I2891" s="131" t="s">
        <v>4606</v>
      </c>
      <c r="J2891" s="21">
        <v>457</v>
      </c>
      <c r="K2891" s="21">
        <v>50</v>
      </c>
      <c r="L2891" s="21"/>
      <c r="M2891" s="29">
        <f>SUM(M2887:M2890)</f>
        <v>50</v>
      </c>
      <c r="N2891" s="21"/>
      <c r="O2891" s="21"/>
      <c r="R2891">
        <v>4</v>
      </c>
      <c r="S2891" t="s">
        <v>5046</v>
      </c>
      <c r="V2891">
        <f t="shared" si="62"/>
        <v>4</v>
      </c>
    </row>
    <row r="2892" spans="2:22" ht="15" customHeight="1" thickBot="1" x14ac:dyDescent="0.4">
      <c r="B2892" s="100">
        <v>2828</v>
      </c>
      <c r="C2892" s="271" t="s">
        <v>4258</v>
      </c>
      <c r="D2892" s="258" t="s">
        <v>4259</v>
      </c>
      <c r="E2892" s="2" t="str">
        <f t="shared" si="61"/>
        <v>18</v>
      </c>
      <c r="F2892" s="276" t="s">
        <v>4867</v>
      </c>
      <c r="G2892" s="258" t="s">
        <v>4688</v>
      </c>
      <c r="H2892" s="257">
        <v>3.57</v>
      </c>
      <c r="I2892" s="131" t="s">
        <v>4688</v>
      </c>
      <c r="J2892" s="21">
        <v>576</v>
      </c>
      <c r="K2892" s="21" t="s">
        <v>4169</v>
      </c>
      <c r="L2892" s="21"/>
      <c r="M2892" s="21"/>
      <c r="N2892" s="21"/>
      <c r="O2892" s="21"/>
      <c r="R2892">
        <v>3</v>
      </c>
      <c r="S2892" t="s">
        <v>5046</v>
      </c>
      <c r="T2892">
        <v>11</v>
      </c>
      <c r="U2892" t="s">
        <v>5048</v>
      </c>
      <c r="V2892">
        <f t="shared" si="62"/>
        <v>3.9166666666666665</v>
      </c>
    </row>
    <row r="2893" spans="2:22" ht="15" customHeight="1" thickBot="1" x14ac:dyDescent="0.4">
      <c r="B2893" s="100">
        <v>2829</v>
      </c>
      <c r="C2893" s="258" t="s">
        <v>4261</v>
      </c>
      <c r="D2893" s="258" t="s">
        <v>4262</v>
      </c>
      <c r="E2893" s="2" t="str">
        <f t="shared" si="61"/>
        <v>18</v>
      </c>
      <c r="F2893" s="276" t="s">
        <v>4867</v>
      </c>
      <c r="G2893" s="258" t="s">
        <v>4688</v>
      </c>
      <c r="H2893" s="257">
        <v>3.74</v>
      </c>
      <c r="I2893" s="131" t="s">
        <v>4688</v>
      </c>
      <c r="J2893" s="21">
        <v>527</v>
      </c>
      <c r="K2893" s="21">
        <v>57</v>
      </c>
      <c r="L2893" s="19" t="s">
        <v>4156</v>
      </c>
      <c r="M2893" s="21">
        <f>MIN(H2869:H2891)</f>
        <v>2.27</v>
      </c>
      <c r="N2893" s="21"/>
      <c r="O2893" s="21"/>
      <c r="R2893">
        <v>3</v>
      </c>
      <c r="S2893" t="s">
        <v>5046</v>
      </c>
      <c r="T2893">
        <v>11</v>
      </c>
      <c r="U2893" t="s">
        <v>5048</v>
      </c>
      <c r="V2893">
        <f t="shared" si="62"/>
        <v>3.9166666666666665</v>
      </c>
    </row>
    <row r="2894" spans="2:22" ht="15" customHeight="1" thickBot="1" x14ac:dyDescent="0.4">
      <c r="B2894" s="100">
        <v>2830</v>
      </c>
      <c r="C2894" s="258" t="s">
        <v>4265</v>
      </c>
      <c r="D2894" s="258" t="s">
        <v>4266</v>
      </c>
      <c r="E2894" s="2" t="str">
        <f t="shared" si="61"/>
        <v>18</v>
      </c>
      <c r="F2894" s="276" t="s">
        <v>4867</v>
      </c>
      <c r="G2894" s="258" t="s">
        <v>4805</v>
      </c>
      <c r="H2894" s="257">
        <v>3.12</v>
      </c>
      <c r="I2894" s="131" t="s">
        <v>4805</v>
      </c>
      <c r="J2894" s="21">
        <v>453</v>
      </c>
      <c r="K2894" s="21">
        <v>70</v>
      </c>
      <c r="L2894" s="19" t="s">
        <v>4160</v>
      </c>
      <c r="M2894" s="21">
        <f>MAX(H2869:H2891)</f>
        <v>3.67</v>
      </c>
      <c r="N2894" s="21"/>
      <c r="O2894" s="21"/>
      <c r="R2894">
        <v>3</v>
      </c>
      <c r="S2894" t="s">
        <v>5046</v>
      </c>
      <c r="T2894">
        <v>10</v>
      </c>
      <c r="U2894" t="s">
        <v>5048</v>
      </c>
      <c r="V2894">
        <f t="shared" si="62"/>
        <v>3.8333333333333335</v>
      </c>
    </row>
    <row r="2895" spans="2:22" ht="15" customHeight="1" thickBot="1" x14ac:dyDescent="0.4">
      <c r="B2895" s="100">
        <v>2831</v>
      </c>
      <c r="C2895" s="254" t="s">
        <v>4869</v>
      </c>
      <c r="D2895" s="254" t="s">
        <v>4267</v>
      </c>
      <c r="E2895" s="2" t="str">
        <f t="shared" si="61"/>
        <v>18</v>
      </c>
      <c r="F2895" s="276" t="s">
        <v>4867</v>
      </c>
      <c r="G2895" s="258" t="s">
        <v>4688</v>
      </c>
      <c r="H2895" s="257">
        <v>3.53</v>
      </c>
      <c r="I2895" s="131" t="s">
        <v>4688</v>
      </c>
      <c r="J2895" s="21">
        <v>510</v>
      </c>
      <c r="K2895" s="21" t="s">
        <v>4173</v>
      </c>
      <c r="L2895" s="19" t="s">
        <v>4164</v>
      </c>
      <c r="M2895" s="86">
        <f>AVERAGE(H2869:H2891)</f>
        <v>3.3111764705882352</v>
      </c>
      <c r="N2895" s="21"/>
      <c r="O2895" s="21"/>
      <c r="R2895">
        <v>3</v>
      </c>
      <c r="S2895" t="s">
        <v>5046</v>
      </c>
      <c r="T2895">
        <v>11</v>
      </c>
      <c r="U2895" t="s">
        <v>5048</v>
      </c>
      <c r="V2895">
        <f t="shared" si="62"/>
        <v>3.9166666666666665</v>
      </c>
    </row>
    <row r="2896" spans="2:22" ht="15" customHeight="1" thickBot="1" x14ac:dyDescent="0.4">
      <c r="B2896" s="100">
        <v>2832</v>
      </c>
      <c r="C2896" s="258" t="s">
        <v>4270</v>
      </c>
      <c r="D2896" s="258" t="s">
        <v>4271</v>
      </c>
      <c r="E2896" s="2" t="str">
        <f t="shared" si="61"/>
        <v>18</v>
      </c>
      <c r="F2896" s="276" t="s">
        <v>4867</v>
      </c>
      <c r="G2896" s="258" t="s">
        <v>4688</v>
      </c>
      <c r="H2896" s="257">
        <v>3.71</v>
      </c>
      <c r="I2896" s="131" t="s">
        <v>4688</v>
      </c>
      <c r="J2896" s="19" t="s">
        <v>4243</v>
      </c>
      <c r="K2896" s="21"/>
      <c r="L2896" s="21"/>
      <c r="M2896" s="21"/>
      <c r="N2896" s="21"/>
      <c r="O2896" s="21"/>
      <c r="R2896">
        <v>3</v>
      </c>
      <c r="S2896" t="s">
        <v>5046</v>
      </c>
      <c r="T2896">
        <v>11</v>
      </c>
      <c r="U2896" t="s">
        <v>5048</v>
      </c>
      <c r="V2896">
        <f t="shared" si="62"/>
        <v>3.9166666666666665</v>
      </c>
    </row>
    <row r="2897" spans="2:22" ht="15" customHeight="1" thickBot="1" x14ac:dyDescent="0.4">
      <c r="B2897" s="100">
        <v>2833</v>
      </c>
      <c r="C2897" s="258" t="s">
        <v>4273</v>
      </c>
      <c r="D2897" s="258" t="s">
        <v>4274</v>
      </c>
      <c r="E2897" s="2" t="str">
        <f t="shared" si="61"/>
        <v>18</v>
      </c>
      <c r="F2897" s="276" t="s">
        <v>4867</v>
      </c>
      <c r="G2897" s="258" t="s">
        <v>4688</v>
      </c>
      <c r="H2897" s="268" t="s">
        <v>4870</v>
      </c>
      <c r="I2897" s="131" t="s">
        <v>4688</v>
      </c>
      <c r="J2897" s="21">
        <v>520</v>
      </c>
      <c r="K2897" s="21" t="s">
        <v>4246</v>
      </c>
      <c r="L2897" s="21"/>
      <c r="M2897" s="18" t="s">
        <v>4247</v>
      </c>
      <c r="N2897" s="18">
        <v>9</v>
      </c>
      <c r="O2897" s="21"/>
      <c r="R2897">
        <v>3</v>
      </c>
      <c r="S2897" t="s">
        <v>5046</v>
      </c>
      <c r="T2897">
        <v>11</v>
      </c>
      <c r="U2897" t="s">
        <v>5048</v>
      </c>
      <c r="V2897">
        <f t="shared" si="62"/>
        <v>3.9166666666666665</v>
      </c>
    </row>
    <row r="2898" spans="2:22" ht="15" customHeight="1" thickBot="1" x14ac:dyDescent="0.4">
      <c r="B2898" s="100">
        <v>2834</v>
      </c>
      <c r="C2898" s="258" t="s">
        <v>4276</v>
      </c>
      <c r="D2898" s="258" t="s">
        <v>4277</v>
      </c>
      <c r="E2898" s="2" t="str">
        <f t="shared" si="61"/>
        <v>18</v>
      </c>
      <c r="F2898" s="276" t="s">
        <v>4867</v>
      </c>
      <c r="G2898" s="258" t="s">
        <v>4606</v>
      </c>
      <c r="H2898" s="257">
        <v>3.14</v>
      </c>
      <c r="I2898" s="131" t="s">
        <v>4606</v>
      </c>
      <c r="J2898" s="21">
        <v>450</v>
      </c>
      <c r="K2898" s="21">
        <v>49</v>
      </c>
      <c r="L2898" s="21"/>
      <c r="M2898" s="18" t="s">
        <v>4250</v>
      </c>
      <c r="N2898" s="18">
        <v>12</v>
      </c>
      <c r="O2898" s="21"/>
      <c r="R2898">
        <v>4</v>
      </c>
      <c r="S2898" t="s">
        <v>5046</v>
      </c>
      <c r="V2898">
        <f t="shared" si="62"/>
        <v>4</v>
      </c>
    </row>
    <row r="2899" spans="2:22" ht="15" customHeight="1" thickBot="1" x14ac:dyDescent="0.4">
      <c r="B2899" s="100">
        <v>2835</v>
      </c>
      <c r="C2899" s="258" t="s">
        <v>4279</v>
      </c>
      <c r="D2899" s="258" t="s">
        <v>4280</v>
      </c>
      <c r="E2899" s="2" t="str">
        <f t="shared" si="61"/>
        <v>18</v>
      </c>
      <c r="F2899" s="276" t="s">
        <v>4867</v>
      </c>
      <c r="G2899" s="258" t="s">
        <v>4688</v>
      </c>
      <c r="H2899" s="257">
        <v>3.52</v>
      </c>
      <c r="I2899" s="131" t="s">
        <v>4688</v>
      </c>
      <c r="J2899" s="21" t="s">
        <v>4253</v>
      </c>
      <c r="K2899" s="21" t="s">
        <v>4246</v>
      </c>
      <c r="L2899" s="21"/>
      <c r="M2899" s="18" t="s">
        <v>4254</v>
      </c>
      <c r="N2899" s="18">
        <v>8</v>
      </c>
      <c r="O2899" s="21"/>
      <c r="R2899">
        <v>3</v>
      </c>
      <c r="S2899" t="s">
        <v>5046</v>
      </c>
      <c r="T2899">
        <v>11</v>
      </c>
      <c r="U2899" t="s">
        <v>5048</v>
      </c>
      <c r="V2899">
        <f t="shared" si="62"/>
        <v>3.9166666666666665</v>
      </c>
    </row>
    <row r="2900" spans="2:22" ht="15" customHeight="1" thickBot="1" x14ac:dyDescent="0.4">
      <c r="B2900" s="100">
        <v>2836</v>
      </c>
      <c r="C2900" s="258" t="s">
        <v>4281</v>
      </c>
      <c r="D2900" s="258" t="s">
        <v>4282</v>
      </c>
      <c r="E2900" s="2" t="str">
        <f t="shared" si="61"/>
        <v>18</v>
      </c>
      <c r="F2900" s="276" t="s">
        <v>4867</v>
      </c>
      <c r="G2900" s="258" t="s">
        <v>4688</v>
      </c>
      <c r="H2900" s="257">
        <v>3.57</v>
      </c>
      <c r="I2900" s="131" t="s">
        <v>4688</v>
      </c>
      <c r="J2900" s="21">
        <v>493</v>
      </c>
      <c r="K2900" s="21">
        <v>63</v>
      </c>
      <c r="L2900" s="21"/>
      <c r="M2900" s="18" t="s">
        <v>4257</v>
      </c>
      <c r="N2900" s="18">
        <v>4</v>
      </c>
      <c r="O2900" s="21"/>
      <c r="R2900">
        <v>3</v>
      </c>
      <c r="S2900" t="s">
        <v>5046</v>
      </c>
      <c r="T2900">
        <v>11</v>
      </c>
      <c r="U2900" t="s">
        <v>5048</v>
      </c>
      <c r="V2900">
        <f t="shared" si="62"/>
        <v>3.9166666666666665</v>
      </c>
    </row>
    <row r="2901" spans="2:22" ht="15" customHeight="1" thickBot="1" x14ac:dyDescent="0.4">
      <c r="B2901" s="100">
        <v>2837</v>
      </c>
      <c r="C2901" s="258" t="s">
        <v>4871</v>
      </c>
      <c r="D2901" s="258" t="s">
        <v>4872</v>
      </c>
      <c r="E2901" s="2" t="str">
        <f t="shared" si="61"/>
        <v>18</v>
      </c>
      <c r="F2901" s="276" t="s">
        <v>4873</v>
      </c>
      <c r="G2901" s="258" t="s">
        <v>4688</v>
      </c>
      <c r="H2901" s="268">
        <v>3.55</v>
      </c>
      <c r="I2901" s="131" t="s">
        <v>4688</v>
      </c>
      <c r="J2901" s="21" t="s">
        <v>4260</v>
      </c>
      <c r="K2901" s="21">
        <v>54</v>
      </c>
      <c r="L2901" s="21"/>
      <c r="M2901" s="18" t="s">
        <v>4257</v>
      </c>
      <c r="N2901" s="18">
        <v>2</v>
      </c>
      <c r="O2901" s="21"/>
      <c r="R2901">
        <v>3</v>
      </c>
      <c r="S2901" t="s">
        <v>5046</v>
      </c>
      <c r="T2901">
        <v>11</v>
      </c>
      <c r="U2901" t="s">
        <v>5048</v>
      </c>
      <c r="V2901">
        <f t="shared" si="62"/>
        <v>3.9166666666666665</v>
      </c>
    </row>
    <row r="2902" spans="2:22" ht="15" customHeight="1" thickBot="1" x14ac:dyDescent="0.4">
      <c r="B2902" s="100">
        <v>2838</v>
      </c>
      <c r="C2902" s="258" t="s">
        <v>4874</v>
      </c>
      <c r="D2902" s="258" t="s">
        <v>4875</v>
      </c>
      <c r="E2902" s="2" t="str">
        <f t="shared" si="61"/>
        <v>18</v>
      </c>
      <c r="F2902" s="276" t="s">
        <v>4873</v>
      </c>
      <c r="G2902" s="258" t="s">
        <v>4688</v>
      </c>
      <c r="H2902" s="268">
        <v>3.69</v>
      </c>
      <c r="I2902" s="131" t="s">
        <v>4688</v>
      </c>
      <c r="J2902" s="21" t="s">
        <v>4263</v>
      </c>
      <c r="K2902" s="21">
        <v>56</v>
      </c>
      <c r="L2902" s="21"/>
      <c r="M2902" s="18" t="s">
        <v>4264</v>
      </c>
      <c r="N2902" s="18">
        <v>10</v>
      </c>
      <c r="O2902" s="21"/>
      <c r="R2902">
        <v>3</v>
      </c>
      <c r="S2902" t="s">
        <v>5046</v>
      </c>
      <c r="T2902">
        <v>11</v>
      </c>
      <c r="U2902" t="s">
        <v>5048</v>
      </c>
      <c r="V2902">
        <f t="shared" si="62"/>
        <v>3.9166666666666665</v>
      </c>
    </row>
    <row r="2903" spans="2:22" ht="15" customHeight="1" thickBot="1" x14ac:dyDescent="0.4">
      <c r="B2903" s="100">
        <v>2838</v>
      </c>
      <c r="C2903" s="258" t="s">
        <v>4876</v>
      </c>
      <c r="D2903" s="258" t="s">
        <v>4877</v>
      </c>
      <c r="E2903" s="2" t="str">
        <f t="shared" si="61"/>
        <v>18</v>
      </c>
      <c r="F2903" s="276" t="s">
        <v>4873</v>
      </c>
      <c r="G2903" s="256" t="s">
        <v>4688</v>
      </c>
      <c r="H2903" s="268">
        <v>3.41</v>
      </c>
      <c r="I2903" s="131" t="s">
        <v>4688</v>
      </c>
      <c r="J2903" s="21">
        <v>457</v>
      </c>
      <c r="K2903" s="21">
        <v>58</v>
      </c>
      <c r="L2903" s="21"/>
      <c r="M2903" s="18" t="s">
        <v>4264</v>
      </c>
      <c r="N2903" s="18">
        <v>3</v>
      </c>
      <c r="O2903" s="21"/>
      <c r="R2903">
        <v>3</v>
      </c>
      <c r="S2903" t="s">
        <v>5046</v>
      </c>
      <c r="T2903">
        <v>11</v>
      </c>
      <c r="U2903" t="s">
        <v>5048</v>
      </c>
      <c r="V2903">
        <f t="shared" si="62"/>
        <v>3.9166666666666665</v>
      </c>
    </row>
    <row r="2904" spans="2:22" ht="15" customHeight="1" thickBot="1" x14ac:dyDescent="0.4">
      <c r="B2904" s="100">
        <f>B2903+1</f>
        <v>2839</v>
      </c>
      <c r="C2904" s="258" t="s">
        <v>4878</v>
      </c>
      <c r="D2904" s="258" t="s">
        <v>4879</v>
      </c>
      <c r="E2904" s="2" t="str">
        <f t="shared" si="61"/>
        <v>18</v>
      </c>
      <c r="F2904" s="276" t="s">
        <v>4873</v>
      </c>
      <c r="G2904" s="256" t="s">
        <v>4688</v>
      </c>
      <c r="H2904" s="268">
        <v>3.45</v>
      </c>
      <c r="I2904" s="131" t="s">
        <v>4688</v>
      </c>
      <c r="J2904" s="21" t="s">
        <v>4268</v>
      </c>
      <c r="K2904" s="21">
        <v>53</v>
      </c>
      <c r="L2904" s="21"/>
      <c r="M2904" s="18" t="s">
        <v>4269</v>
      </c>
      <c r="N2904" s="18">
        <v>2</v>
      </c>
      <c r="O2904" s="21"/>
      <c r="P2904" s="15"/>
      <c r="Q2904" s="15"/>
      <c r="R2904" s="15">
        <v>3</v>
      </c>
      <c r="S2904" s="15" t="s">
        <v>5046</v>
      </c>
      <c r="T2904">
        <v>11</v>
      </c>
      <c r="U2904" t="s">
        <v>5048</v>
      </c>
      <c r="V2904">
        <f t="shared" si="62"/>
        <v>3.9166666666666665</v>
      </c>
    </row>
    <row r="2905" spans="2:22" ht="15" customHeight="1" thickBot="1" x14ac:dyDescent="0.4">
      <c r="B2905" s="100">
        <f t="shared" ref="B2905:B2972" si="63">B2904+1</f>
        <v>2840</v>
      </c>
      <c r="C2905" s="258" t="s">
        <v>4880</v>
      </c>
      <c r="D2905" s="258" t="s">
        <v>4881</v>
      </c>
      <c r="E2905" s="2" t="str">
        <f t="shared" si="61"/>
        <v>18</v>
      </c>
      <c r="F2905" s="276" t="s">
        <v>4873</v>
      </c>
      <c r="G2905" s="258" t="s">
        <v>4698</v>
      </c>
      <c r="H2905" s="268">
        <v>3.54</v>
      </c>
      <c r="I2905" s="131" t="s">
        <v>4698</v>
      </c>
      <c r="J2905" s="21">
        <v>509</v>
      </c>
      <c r="K2905" s="21">
        <v>66</v>
      </c>
      <c r="L2905" s="21"/>
      <c r="M2905" s="18" t="s">
        <v>4272</v>
      </c>
      <c r="N2905" s="18">
        <v>6</v>
      </c>
      <c r="O2905" s="21"/>
      <c r="P2905" s="15">
        <v>2016</v>
      </c>
      <c r="Q2905" s="15">
        <f>M2711+M2772+M2797+M2868+M2888</f>
        <v>64</v>
      </c>
      <c r="R2905" s="16">
        <v>3</v>
      </c>
      <c r="S2905" s="17" t="s">
        <v>5049</v>
      </c>
      <c r="T2905">
        <v>11</v>
      </c>
      <c r="U2905" t="s">
        <v>5050</v>
      </c>
      <c r="V2905">
        <f t="shared" si="62"/>
        <v>3.9166666666666665</v>
      </c>
    </row>
    <row r="2906" spans="2:22" ht="15" customHeight="1" thickBot="1" x14ac:dyDescent="0.4">
      <c r="B2906" s="100">
        <f t="shared" si="63"/>
        <v>2841</v>
      </c>
      <c r="C2906" s="258" t="s">
        <v>4882</v>
      </c>
      <c r="D2906" s="258" t="s">
        <v>4883</v>
      </c>
      <c r="E2906" s="2" t="str">
        <f t="shared" si="61"/>
        <v>18</v>
      </c>
      <c r="F2906" s="276" t="s">
        <v>4873</v>
      </c>
      <c r="G2906" s="258" t="s">
        <v>4698</v>
      </c>
      <c r="H2906" s="268">
        <v>3.52</v>
      </c>
      <c r="I2906" s="131" t="s">
        <v>4698</v>
      </c>
      <c r="J2906" s="21">
        <v>537</v>
      </c>
      <c r="K2906" s="21">
        <v>63</v>
      </c>
      <c r="L2906" s="21"/>
      <c r="M2906" s="18" t="s">
        <v>4275</v>
      </c>
      <c r="N2906" s="18">
        <v>5</v>
      </c>
      <c r="O2906" s="21"/>
      <c r="P2906" s="15">
        <v>2017</v>
      </c>
      <c r="Q2906" s="15">
        <f>M2889+M2869+M2798</f>
        <v>69</v>
      </c>
      <c r="R2906" s="16">
        <v>3</v>
      </c>
      <c r="S2906" s="17" t="s">
        <v>5049</v>
      </c>
      <c r="T2906">
        <v>11</v>
      </c>
      <c r="U2906" t="s">
        <v>5050</v>
      </c>
      <c r="V2906">
        <f t="shared" si="62"/>
        <v>3.9166666666666665</v>
      </c>
    </row>
    <row r="2907" spans="2:22" ht="15" customHeight="1" thickBot="1" x14ac:dyDescent="0.4">
      <c r="B2907" s="100">
        <f t="shared" si="63"/>
        <v>2842</v>
      </c>
      <c r="C2907" s="258" t="s">
        <v>4884</v>
      </c>
      <c r="D2907" s="258" t="s">
        <v>4885</v>
      </c>
      <c r="E2907" s="2" t="str">
        <f t="shared" si="61"/>
        <v>18</v>
      </c>
      <c r="F2907" s="276" t="s">
        <v>4873</v>
      </c>
      <c r="G2907" s="258" t="s">
        <v>4688</v>
      </c>
      <c r="H2907" s="268">
        <v>3.56</v>
      </c>
      <c r="I2907" s="131" t="s">
        <v>4688</v>
      </c>
      <c r="J2907" s="21" t="s">
        <v>4278</v>
      </c>
      <c r="K2907" s="21">
        <v>55</v>
      </c>
      <c r="L2907" s="21"/>
      <c r="M2907" s="18"/>
      <c r="N2907" s="18">
        <f>SUM(N2897:N2906)</f>
        <v>61</v>
      </c>
      <c r="O2907" s="21"/>
      <c r="P2907" s="15">
        <v>2018</v>
      </c>
      <c r="Q2907" s="15">
        <f>M2890</f>
        <v>35</v>
      </c>
      <c r="R2907" s="15">
        <v>3</v>
      </c>
      <c r="S2907" s="17" t="s">
        <v>5046</v>
      </c>
      <c r="T2907" s="6">
        <v>11</v>
      </c>
      <c r="U2907" s="14" t="s">
        <v>5048</v>
      </c>
      <c r="V2907">
        <f t="shared" si="62"/>
        <v>3.9166666666666665</v>
      </c>
    </row>
    <row r="2908" spans="2:22" ht="15" customHeight="1" thickBot="1" x14ac:dyDescent="0.4">
      <c r="B2908" s="100">
        <f t="shared" si="63"/>
        <v>2843</v>
      </c>
      <c r="C2908" s="258" t="s">
        <v>4886</v>
      </c>
      <c r="D2908" s="258" t="s">
        <v>4887</v>
      </c>
      <c r="E2908" s="2" t="str">
        <f t="shared" si="61"/>
        <v>18</v>
      </c>
      <c r="F2908" s="276" t="s">
        <v>4873</v>
      </c>
      <c r="G2908" s="258" t="s">
        <v>4688</v>
      </c>
      <c r="H2908" s="268">
        <v>3.69</v>
      </c>
      <c r="I2908" s="99" t="s">
        <v>4688</v>
      </c>
      <c r="J2908" s="21">
        <v>550</v>
      </c>
      <c r="K2908" s="21">
        <v>55</v>
      </c>
      <c r="L2908" s="21"/>
      <c r="M2908" s="18"/>
      <c r="N2908" s="21"/>
      <c r="O2908" s="21"/>
      <c r="R2908">
        <v>3</v>
      </c>
      <c r="S2908" t="s">
        <v>5046</v>
      </c>
      <c r="T2908">
        <v>11</v>
      </c>
      <c r="U2908" t="s">
        <v>5048</v>
      </c>
      <c r="V2908">
        <f t="shared" si="62"/>
        <v>3.9166666666666665</v>
      </c>
    </row>
    <row r="2909" spans="2:22" ht="15" customHeight="1" thickBot="1" x14ac:dyDescent="0.4">
      <c r="B2909" s="100">
        <f t="shared" si="63"/>
        <v>2844</v>
      </c>
      <c r="C2909" s="258" t="s">
        <v>4888</v>
      </c>
      <c r="D2909" s="258" t="s">
        <v>4889</v>
      </c>
      <c r="E2909" s="2" t="str">
        <f t="shared" si="61"/>
        <v>18</v>
      </c>
      <c r="F2909" s="276" t="s">
        <v>4873</v>
      </c>
      <c r="G2909" s="258" t="s">
        <v>4748</v>
      </c>
      <c r="H2909" s="268" t="s">
        <v>4890</v>
      </c>
      <c r="I2909" s="99" t="s">
        <v>4748</v>
      </c>
      <c r="J2909" s="21">
        <v>480</v>
      </c>
      <c r="K2909" s="21">
        <v>53</v>
      </c>
      <c r="L2909" s="21"/>
      <c r="M2909" s="21"/>
      <c r="N2909" s="21"/>
      <c r="O2909" s="21"/>
      <c r="R2909">
        <v>4</v>
      </c>
      <c r="S2909" t="s">
        <v>5049</v>
      </c>
      <c r="V2909">
        <f t="shared" si="62"/>
        <v>4</v>
      </c>
    </row>
    <row r="2910" spans="2:22" ht="15" customHeight="1" thickBot="1" x14ac:dyDescent="0.4">
      <c r="B2910" s="100">
        <f t="shared" si="63"/>
        <v>2845</v>
      </c>
      <c r="C2910" s="258" t="s">
        <v>4891</v>
      </c>
      <c r="D2910" s="258" t="s">
        <v>4892</v>
      </c>
      <c r="E2910" s="2" t="str">
        <f t="shared" si="61"/>
        <v>18</v>
      </c>
      <c r="F2910" s="276" t="s">
        <v>4873</v>
      </c>
      <c r="G2910" s="258" t="s">
        <v>4688</v>
      </c>
      <c r="H2910" s="257">
        <v>3.57</v>
      </c>
      <c r="I2910" s="99" t="s">
        <v>4688</v>
      </c>
      <c r="J2910" s="20"/>
      <c r="K2910" s="21"/>
      <c r="L2910" s="21"/>
      <c r="M2910" s="21"/>
      <c r="N2910" s="21"/>
      <c r="O2910" s="21"/>
      <c r="R2910">
        <v>3</v>
      </c>
      <c r="S2910" t="s">
        <v>5046</v>
      </c>
      <c r="T2910">
        <v>11</v>
      </c>
      <c r="U2910" t="s">
        <v>5048</v>
      </c>
      <c r="V2910">
        <f t="shared" si="62"/>
        <v>3.9166666666666665</v>
      </c>
    </row>
    <row r="2911" spans="2:22" ht="15" customHeight="1" thickBot="1" x14ac:dyDescent="0.4">
      <c r="B2911" s="100">
        <f t="shared" si="63"/>
        <v>2846</v>
      </c>
      <c r="C2911" s="258" t="s">
        <v>4893</v>
      </c>
      <c r="D2911" s="258" t="s">
        <v>4894</v>
      </c>
      <c r="E2911" s="2" t="str">
        <f t="shared" si="61"/>
        <v>18</v>
      </c>
      <c r="F2911" s="276" t="s">
        <v>4873</v>
      </c>
      <c r="G2911" s="258" t="s">
        <v>4688</v>
      </c>
      <c r="H2911" s="257">
        <v>3.69</v>
      </c>
      <c r="I2911" s="99" t="s">
        <v>4688</v>
      </c>
      <c r="J2911" s="20"/>
      <c r="K2911" s="21"/>
      <c r="L2911" s="21"/>
      <c r="M2911" s="21"/>
      <c r="N2911" s="21"/>
      <c r="O2911" s="21"/>
      <c r="Q2911">
        <f>IF(E2911="18",V2911,0)</f>
        <v>3.9166666666666665</v>
      </c>
      <c r="R2911">
        <v>3</v>
      </c>
      <c r="S2911" t="s">
        <v>5046</v>
      </c>
      <c r="T2911">
        <v>11</v>
      </c>
      <c r="U2911" t="s">
        <v>5048</v>
      </c>
      <c r="V2911">
        <f t="shared" si="62"/>
        <v>3.9166666666666665</v>
      </c>
    </row>
    <row r="2912" spans="2:22" ht="15" customHeight="1" thickBot="1" x14ac:dyDescent="0.4">
      <c r="B2912" s="100">
        <f t="shared" si="63"/>
        <v>2847</v>
      </c>
      <c r="C2912" s="258" t="s">
        <v>4895</v>
      </c>
      <c r="D2912" s="258" t="s">
        <v>4896</v>
      </c>
      <c r="E2912" s="2" t="str">
        <f t="shared" si="61"/>
        <v>18</v>
      </c>
      <c r="F2912" s="276" t="s">
        <v>4873</v>
      </c>
      <c r="G2912" s="258" t="s">
        <v>4688</v>
      </c>
      <c r="H2912" s="268">
        <v>3.31</v>
      </c>
      <c r="I2912" s="99" t="s">
        <v>4688</v>
      </c>
      <c r="J2912" s="89">
        <v>597</v>
      </c>
      <c r="K2912" s="21"/>
      <c r="N2912" s="21"/>
      <c r="O2912" s="21"/>
      <c r="Q2912">
        <f t="shared" ref="Q2912:Q2975" si="64">IF(E2912="18",V2912,0)</f>
        <v>3.9166666666666665</v>
      </c>
      <c r="R2912">
        <v>3</v>
      </c>
      <c r="S2912" t="s">
        <v>5046</v>
      </c>
      <c r="T2912">
        <v>11</v>
      </c>
      <c r="U2912" t="s">
        <v>5048</v>
      </c>
      <c r="V2912">
        <f t="shared" si="62"/>
        <v>3.9166666666666665</v>
      </c>
    </row>
    <row r="2913" spans="2:23" ht="15" customHeight="1" thickBot="1" x14ac:dyDescent="0.4">
      <c r="B2913" s="100">
        <f t="shared" si="63"/>
        <v>2848</v>
      </c>
      <c r="C2913" s="258" t="s">
        <v>4284</v>
      </c>
      <c r="D2913" s="258" t="s">
        <v>4285</v>
      </c>
      <c r="E2913" s="2" t="str">
        <f t="shared" ref="E2913:E2973" si="65">LEFT(D2913,2)</f>
        <v>17</v>
      </c>
      <c r="F2913" s="276" t="s">
        <v>4897</v>
      </c>
      <c r="G2913" s="258" t="s">
        <v>4898</v>
      </c>
      <c r="H2913" s="257">
        <v>3.27</v>
      </c>
      <c r="I2913" s="99" t="s">
        <v>4898</v>
      </c>
      <c r="J2913" s="89">
        <v>237</v>
      </c>
      <c r="K2913" s="21"/>
      <c r="N2913" s="21"/>
      <c r="O2913" s="21"/>
      <c r="Q2913">
        <f t="shared" si="64"/>
        <v>0</v>
      </c>
      <c r="R2913">
        <v>5</v>
      </c>
      <c r="S2913" t="s">
        <v>5049</v>
      </c>
      <c r="T2913">
        <v>0</v>
      </c>
      <c r="U2913" t="s">
        <v>5050</v>
      </c>
      <c r="V2913">
        <f t="shared" si="62"/>
        <v>5</v>
      </c>
    </row>
    <row r="2914" spans="2:23" ht="15" customHeight="1" thickBot="1" x14ac:dyDescent="0.4">
      <c r="B2914" s="100">
        <f t="shared" si="63"/>
        <v>2849</v>
      </c>
      <c r="C2914" s="258" t="s">
        <v>4286</v>
      </c>
      <c r="D2914" s="258" t="s">
        <v>4287</v>
      </c>
      <c r="E2914" s="2" t="str">
        <f t="shared" si="65"/>
        <v>18</v>
      </c>
      <c r="F2914" s="276" t="s">
        <v>4897</v>
      </c>
      <c r="G2914" s="258" t="s">
        <v>4899</v>
      </c>
      <c r="H2914" s="257">
        <v>3.58</v>
      </c>
      <c r="I2914" s="99" t="s">
        <v>4899</v>
      </c>
      <c r="J2914" s="89">
        <v>226</v>
      </c>
      <c r="K2914" s="21"/>
      <c r="N2914" s="21"/>
      <c r="O2914" s="21"/>
      <c r="Q2914">
        <f t="shared" si="64"/>
        <v>4</v>
      </c>
      <c r="R2914">
        <v>4</v>
      </c>
      <c r="S2914" t="s">
        <v>5046</v>
      </c>
      <c r="T2914">
        <v>0</v>
      </c>
      <c r="U2914" t="s">
        <v>5048</v>
      </c>
      <c r="V2914">
        <f t="shared" si="62"/>
        <v>4</v>
      </c>
      <c r="W2914" t="s">
        <v>5052</v>
      </c>
    </row>
    <row r="2915" spans="2:23" ht="15" customHeight="1" thickBot="1" x14ac:dyDescent="0.4">
      <c r="B2915" s="100">
        <f t="shared" si="63"/>
        <v>2850</v>
      </c>
      <c r="C2915" s="258" t="s">
        <v>4288</v>
      </c>
      <c r="D2915" s="258" t="s">
        <v>4289</v>
      </c>
      <c r="E2915" s="2" t="str">
        <f t="shared" si="65"/>
        <v>18</v>
      </c>
      <c r="F2915" s="276" t="s">
        <v>4897</v>
      </c>
      <c r="G2915" s="258" t="s">
        <v>4705</v>
      </c>
      <c r="H2915" s="268" t="s">
        <v>4828</v>
      </c>
      <c r="I2915" s="99" t="s">
        <v>4705</v>
      </c>
      <c r="J2915" s="89">
        <v>490</v>
      </c>
      <c r="K2915" s="21"/>
      <c r="N2915" s="21"/>
      <c r="O2915" s="21"/>
      <c r="Q2915">
        <f t="shared" si="64"/>
        <v>4</v>
      </c>
      <c r="R2915">
        <v>4</v>
      </c>
      <c r="S2915" t="s">
        <v>5049</v>
      </c>
      <c r="T2915">
        <v>0</v>
      </c>
      <c r="U2915" t="s">
        <v>5050</v>
      </c>
      <c r="V2915">
        <f t="shared" si="62"/>
        <v>4</v>
      </c>
    </row>
    <row r="2916" spans="2:23" ht="15" customHeight="1" thickBot="1" x14ac:dyDescent="0.4">
      <c r="B2916" s="100">
        <f t="shared" si="63"/>
        <v>2851</v>
      </c>
      <c r="C2916" s="258" t="s">
        <v>4290</v>
      </c>
      <c r="D2916" s="258" t="s">
        <v>4291</v>
      </c>
      <c r="E2916" s="2" t="str">
        <f t="shared" si="65"/>
        <v>18</v>
      </c>
      <c r="F2916" s="276" t="s">
        <v>4897</v>
      </c>
      <c r="G2916" s="258" t="s">
        <v>4748</v>
      </c>
      <c r="H2916" s="268" t="s">
        <v>4406</v>
      </c>
      <c r="I2916" s="99" t="s">
        <v>4748</v>
      </c>
      <c r="J2916" s="89">
        <v>462</v>
      </c>
      <c r="K2916" s="21"/>
      <c r="N2916" s="21"/>
      <c r="O2916" s="21"/>
      <c r="Q2916">
        <f t="shared" si="64"/>
        <v>4</v>
      </c>
      <c r="R2916">
        <v>4</v>
      </c>
      <c r="S2916" t="s">
        <v>5049</v>
      </c>
      <c r="V2916">
        <f t="shared" si="62"/>
        <v>4</v>
      </c>
    </row>
    <row r="2917" spans="2:23" ht="15" customHeight="1" thickBot="1" x14ac:dyDescent="0.4">
      <c r="B2917" s="100">
        <f t="shared" si="63"/>
        <v>2852</v>
      </c>
      <c r="C2917" s="258" t="s">
        <v>4292</v>
      </c>
      <c r="D2917" s="258" t="s">
        <v>4293</v>
      </c>
      <c r="E2917" s="2" t="str">
        <f t="shared" si="65"/>
        <v>18</v>
      </c>
      <c r="F2917" s="276" t="s">
        <v>4897</v>
      </c>
      <c r="G2917" s="258" t="s">
        <v>4899</v>
      </c>
      <c r="H2917" s="257">
        <v>3.49</v>
      </c>
      <c r="I2917" s="99" t="s">
        <v>4899</v>
      </c>
      <c r="J2917" s="89">
        <v>517</v>
      </c>
      <c r="K2917" s="21"/>
      <c r="N2917" s="21"/>
      <c r="O2917" s="21"/>
      <c r="Q2917">
        <f t="shared" si="64"/>
        <v>4</v>
      </c>
      <c r="R2917">
        <v>4</v>
      </c>
      <c r="S2917" t="s">
        <v>5046</v>
      </c>
      <c r="T2917">
        <v>0</v>
      </c>
      <c r="U2917" t="s">
        <v>5048</v>
      </c>
      <c r="V2917">
        <f t="shared" si="62"/>
        <v>4</v>
      </c>
      <c r="W2917" t="s">
        <v>5052</v>
      </c>
    </row>
    <row r="2918" spans="2:23" ht="15" customHeight="1" thickBot="1" x14ac:dyDescent="0.4">
      <c r="B2918" s="100">
        <f t="shared" si="63"/>
        <v>2853</v>
      </c>
      <c r="C2918" s="258" t="s">
        <v>4294</v>
      </c>
      <c r="D2918" s="258" t="s">
        <v>4295</v>
      </c>
      <c r="E2918" s="2" t="str">
        <f t="shared" si="65"/>
        <v>18</v>
      </c>
      <c r="F2918" s="276" t="s">
        <v>4897</v>
      </c>
      <c r="G2918" s="258" t="s">
        <v>4769</v>
      </c>
      <c r="H2918" s="257">
        <v>3.39</v>
      </c>
      <c r="I2918" s="99" t="s">
        <v>4769</v>
      </c>
      <c r="J2918" s="89">
        <v>477</v>
      </c>
      <c r="K2918" s="21"/>
      <c r="N2918" s="21"/>
      <c r="O2918" s="21"/>
      <c r="Q2918">
        <f t="shared" si="64"/>
        <v>4.083333333333333</v>
      </c>
      <c r="R2918">
        <v>4</v>
      </c>
      <c r="S2918" t="s">
        <v>5046</v>
      </c>
      <c r="T2918">
        <v>1</v>
      </c>
      <c r="U2918" t="s">
        <v>5048</v>
      </c>
      <c r="V2918">
        <f t="shared" si="62"/>
        <v>4.083333333333333</v>
      </c>
    </row>
    <row r="2919" spans="2:23" ht="15" customHeight="1" thickBot="1" x14ac:dyDescent="0.4">
      <c r="B2919" s="100">
        <f t="shared" si="63"/>
        <v>2854</v>
      </c>
      <c r="C2919" s="258" t="s">
        <v>4296</v>
      </c>
      <c r="D2919" s="258" t="s">
        <v>4297</v>
      </c>
      <c r="E2919" s="2" t="str">
        <f t="shared" si="65"/>
        <v>18</v>
      </c>
      <c r="F2919" s="276" t="s">
        <v>4897</v>
      </c>
      <c r="G2919" s="258" t="s">
        <v>4606</v>
      </c>
      <c r="H2919" s="257">
        <v>3.18</v>
      </c>
      <c r="I2919" s="99" t="s">
        <v>4606</v>
      </c>
      <c r="J2919" s="89">
        <v>480</v>
      </c>
      <c r="K2919" s="21"/>
      <c r="N2919" s="21"/>
      <c r="O2919" s="21"/>
      <c r="Q2919">
        <f t="shared" si="64"/>
        <v>4</v>
      </c>
      <c r="R2919">
        <v>4</v>
      </c>
      <c r="S2919" t="s">
        <v>5046</v>
      </c>
      <c r="V2919">
        <f t="shared" si="62"/>
        <v>4</v>
      </c>
    </row>
    <row r="2920" spans="2:23" ht="15" customHeight="1" thickBot="1" x14ac:dyDescent="0.4">
      <c r="B2920" s="100">
        <f t="shared" si="63"/>
        <v>2855</v>
      </c>
      <c r="C2920" s="258" t="s">
        <v>4298</v>
      </c>
      <c r="D2920" s="258" t="s">
        <v>4299</v>
      </c>
      <c r="E2920" s="2" t="str">
        <f t="shared" si="65"/>
        <v>18</v>
      </c>
      <c r="F2920" s="276" t="s">
        <v>4897</v>
      </c>
      <c r="G2920" s="258" t="s">
        <v>4698</v>
      </c>
      <c r="H2920" s="268" t="s">
        <v>4642</v>
      </c>
      <c r="I2920" s="99" t="s">
        <v>4698</v>
      </c>
      <c r="J2920" s="89">
        <v>513</v>
      </c>
      <c r="K2920" s="21"/>
      <c r="N2920" s="21"/>
      <c r="O2920" s="21"/>
      <c r="Q2920">
        <f t="shared" si="64"/>
        <v>3.9166666666666665</v>
      </c>
      <c r="R2920">
        <v>3</v>
      </c>
      <c r="S2920" t="s">
        <v>5049</v>
      </c>
      <c r="T2920">
        <v>11</v>
      </c>
      <c r="U2920" t="s">
        <v>5050</v>
      </c>
      <c r="V2920">
        <f t="shared" si="62"/>
        <v>3.9166666666666665</v>
      </c>
    </row>
    <row r="2921" spans="2:23" ht="15" customHeight="1" thickBot="1" x14ac:dyDescent="0.4">
      <c r="B2921" s="100">
        <f t="shared" si="63"/>
        <v>2856</v>
      </c>
      <c r="C2921" s="258" t="s">
        <v>4301</v>
      </c>
      <c r="D2921" s="258" t="s">
        <v>4302</v>
      </c>
      <c r="E2921" s="2" t="str">
        <f t="shared" si="65"/>
        <v>18</v>
      </c>
      <c r="F2921" s="276" t="s">
        <v>4897</v>
      </c>
      <c r="G2921" s="258" t="s">
        <v>4743</v>
      </c>
      <c r="H2921" s="257">
        <v>3.53</v>
      </c>
      <c r="I2921" s="99" t="s">
        <v>4743</v>
      </c>
      <c r="J2921" s="89">
        <v>450</v>
      </c>
      <c r="K2921" s="21"/>
      <c r="N2921" s="21"/>
      <c r="O2921" s="21"/>
      <c r="Q2921">
        <f t="shared" si="64"/>
        <v>4</v>
      </c>
      <c r="R2921">
        <v>4</v>
      </c>
      <c r="S2921" t="s">
        <v>5046</v>
      </c>
      <c r="T2921">
        <v>0</v>
      </c>
      <c r="U2921" t="s">
        <v>5048</v>
      </c>
      <c r="V2921">
        <f t="shared" si="62"/>
        <v>4</v>
      </c>
    </row>
    <row r="2922" spans="2:23" ht="15" customHeight="1" x14ac:dyDescent="0.35">
      <c r="B2922" s="100"/>
      <c r="C2922" s="346"/>
      <c r="D2922" s="271"/>
      <c r="E2922" s="2"/>
      <c r="F2922" s="347"/>
      <c r="G2922" s="271"/>
      <c r="H2922" s="257"/>
      <c r="I2922" s="99"/>
      <c r="J2922" s="89"/>
      <c r="K2922" s="21"/>
      <c r="N2922" s="21"/>
      <c r="O2922" s="21"/>
    </row>
    <row r="2923" spans="2:23" ht="15" customHeight="1" thickBot="1" x14ac:dyDescent="0.4">
      <c r="B2923" s="100"/>
      <c r="C2923" s="291" t="s">
        <v>4283</v>
      </c>
      <c r="E2923" s="2" t="str">
        <f t="shared" si="65"/>
        <v/>
      </c>
      <c r="I2923" s="99"/>
      <c r="J2923" s="89">
        <v>483</v>
      </c>
      <c r="K2923" s="21"/>
      <c r="N2923" s="21"/>
      <c r="O2923" s="21"/>
      <c r="Q2923">
        <f t="shared" si="64"/>
        <v>0</v>
      </c>
      <c r="V2923">
        <f t="shared" si="62"/>
        <v>0</v>
      </c>
    </row>
    <row r="2924" spans="2:23" ht="15" customHeight="1" thickBot="1" x14ac:dyDescent="0.4">
      <c r="B2924" s="100">
        <f>B2921+1</f>
        <v>2857</v>
      </c>
      <c r="C2924" s="258" t="s">
        <v>4304</v>
      </c>
      <c r="D2924" s="258" t="s">
        <v>4305</v>
      </c>
      <c r="E2924" s="2" t="str">
        <f t="shared" si="65"/>
        <v>17</v>
      </c>
      <c r="F2924" s="310">
        <v>45199</v>
      </c>
      <c r="G2924" s="258" t="s">
        <v>4830</v>
      </c>
      <c r="H2924" s="257">
        <v>2.92</v>
      </c>
      <c r="I2924" s="99" t="s">
        <v>4830</v>
      </c>
      <c r="J2924" s="89">
        <v>517</v>
      </c>
      <c r="K2924" s="21"/>
      <c r="L2924" s="21"/>
      <c r="M2924" s="21"/>
      <c r="N2924" s="21"/>
      <c r="O2924" s="21"/>
      <c r="Q2924">
        <f t="shared" si="64"/>
        <v>0</v>
      </c>
      <c r="R2924">
        <v>5</v>
      </c>
      <c r="S2924" t="s">
        <v>5046</v>
      </c>
      <c r="T2924">
        <v>0</v>
      </c>
      <c r="U2924" t="s">
        <v>5048</v>
      </c>
      <c r="V2924">
        <f t="shared" si="62"/>
        <v>5</v>
      </c>
    </row>
    <row r="2925" spans="2:23" ht="15" customHeight="1" thickBot="1" x14ac:dyDescent="0.4">
      <c r="B2925" s="100">
        <f t="shared" si="63"/>
        <v>2858</v>
      </c>
      <c r="C2925" s="258" t="s">
        <v>4306</v>
      </c>
      <c r="D2925" s="258" t="s">
        <v>4307</v>
      </c>
      <c r="E2925" s="2" t="str">
        <f t="shared" si="65"/>
        <v>18</v>
      </c>
      <c r="F2925" s="310">
        <v>45199</v>
      </c>
      <c r="G2925" s="258" t="s">
        <v>4755</v>
      </c>
      <c r="H2925" s="257">
        <v>3.57</v>
      </c>
      <c r="I2925" s="99" t="s">
        <v>4755</v>
      </c>
      <c r="J2925" s="89" t="s">
        <v>4312</v>
      </c>
      <c r="K2925" s="21"/>
      <c r="L2925" s="19" t="s">
        <v>4313</v>
      </c>
      <c r="M2925" s="21"/>
      <c r="N2925" s="80" t="e">
        <f>SUM(O2616+O2681+O2710+O2776+O2801+O2871)/100</f>
        <v>#VALUE!</v>
      </c>
      <c r="O2925" s="21"/>
      <c r="Q2925">
        <f t="shared" si="64"/>
        <v>4.083333333333333</v>
      </c>
      <c r="R2925">
        <v>4</v>
      </c>
      <c r="S2925" t="s">
        <v>5049</v>
      </c>
      <c r="T2925">
        <v>1</v>
      </c>
      <c r="U2925" t="s">
        <v>5050</v>
      </c>
      <c r="V2925">
        <f t="shared" si="62"/>
        <v>4.083333333333333</v>
      </c>
    </row>
    <row r="2926" spans="2:23" ht="15" customHeight="1" thickBot="1" x14ac:dyDescent="0.4">
      <c r="B2926" s="100">
        <f t="shared" si="63"/>
        <v>2859</v>
      </c>
      <c r="C2926" s="258" t="s">
        <v>4308</v>
      </c>
      <c r="D2926" s="258" t="s">
        <v>4309</v>
      </c>
      <c r="E2926" s="2" t="str">
        <f t="shared" si="65"/>
        <v>18</v>
      </c>
      <c r="F2926" s="310">
        <v>45199</v>
      </c>
      <c r="G2926" s="258" t="s">
        <v>4769</v>
      </c>
      <c r="H2926" s="257">
        <v>3.51</v>
      </c>
      <c r="I2926" s="99" t="s">
        <v>4769</v>
      </c>
      <c r="J2926" s="89" t="s">
        <v>4017</v>
      </c>
      <c r="K2926" s="21"/>
      <c r="L2926" s="312">
        <v>2015</v>
      </c>
      <c r="M2926" s="29">
        <f>COUNTIF(E2894:E2942,"15")</f>
        <v>0</v>
      </c>
      <c r="N2926" s="21"/>
      <c r="O2926" s="21"/>
      <c r="Q2926">
        <f t="shared" si="64"/>
        <v>4.083333333333333</v>
      </c>
      <c r="R2926">
        <v>4</v>
      </c>
      <c r="S2926" t="s">
        <v>5046</v>
      </c>
      <c r="T2926">
        <v>1</v>
      </c>
      <c r="U2926" t="s">
        <v>5048</v>
      </c>
      <c r="V2926">
        <f t="shared" si="62"/>
        <v>4.083333333333333</v>
      </c>
    </row>
    <row r="2927" spans="2:23" ht="15" customHeight="1" thickBot="1" x14ac:dyDescent="0.4">
      <c r="B2927" s="100">
        <f t="shared" si="63"/>
        <v>2860</v>
      </c>
      <c r="C2927" s="258" t="s">
        <v>4310</v>
      </c>
      <c r="D2927" s="258" t="s">
        <v>4311</v>
      </c>
      <c r="E2927" s="2" t="str">
        <f t="shared" si="65"/>
        <v>18</v>
      </c>
      <c r="F2927" s="310">
        <v>45199</v>
      </c>
      <c r="G2927" s="256" t="s">
        <v>4626</v>
      </c>
      <c r="H2927" s="257">
        <v>3.69</v>
      </c>
      <c r="I2927" s="99" t="s">
        <v>4626</v>
      </c>
      <c r="J2927" s="89">
        <v>617</v>
      </c>
      <c r="K2927" s="21"/>
      <c r="L2927" s="312">
        <v>2016</v>
      </c>
      <c r="M2927" s="29">
        <f>COUNTIF(E2894:E2942,"16")</f>
        <v>0</v>
      </c>
      <c r="N2927" s="21"/>
      <c r="O2927" s="21"/>
      <c r="Q2927">
        <f t="shared" si="64"/>
        <v>4.166666666666667</v>
      </c>
      <c r="R2927">
        <v>4</v>
      </c>
      <c r="S2927" t="s">
        <v>5049</v>
      </c>
      <c r="T2927">
        <v>2</v>
      </c>
      <c r="U2927" t="s">
        <v>5050</v>
      </c>
      <c r="V2927">
        <f t="shared" si="62"/>
        <v>4.166666666666667</v>
      </c>
    </row>
    <row r="2928" spans="2:23" ht="15" customHeight="1" thickBot="1" x14ac:dyDescent="0.4">
      <c r="B2928" s="100">
        <f t="shared" si="63"/>
        <v>2861</v>
      </c>
      <c r="C2928" s="258" t="s">
        <v>4314</v>
      </c>
      <c r="D2928" s="258" t="s">
        <v>4315</v>
      </c>
      <c r="E2928" s="2" t="str">
        <f t="shared" si="65"/>
        <v>18</v>
      </c>
      <c r="F2928" s="310">
        <v>45199</v>
      </c>
      <c r="G2928" s="256" t="s">
        <v>4769</v>
      </c>
      <c r="H2928" s="257">
        <v>3.36</v>
      </c>
      <c r="I2928" s="99" t="s">
        <v>4769</v>
      </c>
      <c r="J2928" s="89">
        <v>523</v>
      </c>
      <c r="K2928" s="21"/>
      <c r="L2928" s="312">
        <v>2017</v>
      </c>
      <c r="M2928" s="29">
        <f>COUNTIF(E2894:E2942,"17")</f>
        <v>4</v>
      </c>
      <c r="N2928" s="21"/>
      <c r="O2928" s="21"/>
      <c r="Q2928">
        <f>IF(E2928="18",V2928,0)</f>
        <v>4.083333333333333</v>
      </c>
      <c r="R2928">
        <v>4</v>
      </c>
      <c r="S2928" t="s">
        <v>5046</v>
      </c>
      <c r="T2928">
        <v>1</v>
      </c>
      <c r="U2928" t="s">
        <v>5048</v>
      </c>
      <c r="V2928">
        <f t="shared" si="62"/>
        <v>4.083333333333333</v>
      </c>
    </row>
    <row r="2929" spans="2:22" ht="15" customHeight="1" thickBot="1" x14ac:dyDescent="0.4">
      <c r="B2929" s="100">
        <f t="shared" si="63"/>
        <v>2862</v>
      </c>
      <c r="C2929" s="258" t="s">
        <v>4316</v>
      </c>
      <c r="D2929" s="258" t="s">
        <v>4900</v>
      </c>
      <c r="E2929" s="2" t="str">
        <f t="shared" si="65"/>
        <v>18</v>
      </c>
      <c r="F2929" s="310">
        <v>45199</v>
      </c>
      <c r="G2929" s="256" t="s">
        <v>4616</v>
      </c>
      <c r="H2929" s="257">
        <v>3.57</v>
      </c>
      <c r="I2929" s="99" t="s">
        <v>4616</v>
      </c>
      <c r="J2929" s="89">
        <v>507</v>
      </c>
      <c r="K2929" s="21"/>
      <c r="L2929" s="312">
        <v>2018</v>
      </c>
      <c r="M2929" s="29">
        <f>COUNTIF(E2924:E2962,"18")</f>
        <v>32</v>
      </c>
      <c r="N2929" s="21"/>
      <c r="O2929" s="21"/>
      <c r="Q2929">
        <f t="shared" si="64"/>
        <v>4.166666666666667</v>
      </c>
      <c r="R2929">
        <v>4</v>
      </c>
      <c r="S2929" t="s">
        <v>5046</v>
      </c>
      <c r="T2929">
        <v>2</v>
      </c>
      <c r="U2929" t="s">
        <v>5048</v>
      </c>
      <c r="V2929">
        <f t="shared" si="62"/>
        <v>4.166666666666667</v>
      </c>
    </row>
    <row r="2930" spans="2:22" ht="15" customHeight="1" thickBot="1" x14ac:dyDescent="0.4">
      <c r="B2930" s="100">
        <f t="shared" si="63"/>
        <v>2863</v>
      </c>
      <c r="C2930" s="258" t="s">
        <v>4317</v>
      </c>
      <c r="D2930" s="258" t="s">
        <v>4318</v>
      </c>
      <c r="E2930" s="2" t="str">
        <f t="shared" si="65"/>
        <v>18</v>
      </c>
      <c r="F2930" s="310">
        <v>45199</v>
      </c>
      <c r="G2930" s="256" t="s">
        <v>4901</v>
      </c>
      <c r="H2930" s="268" t="s">
        <v>4624</v>
      </c>
      <c r="I2930" s="99" t="s">
        <v>4901</v>
      </c>
      <c r="J2930" s="89">
        <v>563</v>
      </c>
      <c r="K2930" s="21"/>
      <c r="L2930" s="312">
        <v>2019</v>
      </c>
      <c r="M2930" s="29">
        <f>COUNTIF(E2924:E2962,"19")</f>
        <v>0</v>
      </c>
      <c r="N2930" s="21"/>
      <c r="O2930" s="21"/>
      <c r="Q2930">
        <f>IF(E2930="18",V2930,0)</f>
        <v>4.083333333333333</v>
      </c>
      <c r="R2930">
        <v>4</v>
      </c>
      <c r="S2930" t="s">
        <v>5046</v>
      </c>
      <c r="T2930">
        <v>1</v>
      </c>
      <c r="U2930" t="s">
        <v>5048</v>
      </c>
      <c r="V2930">
        <f>R2930+(T2930/12)</f>
        <v>4.083333333333333</v>
      </c>
    </row>
    <row r="2931" spans="2:22" ht="15" customHeight="1" thickBot="1" x14ac:dyDescent="0.4">
      <c r="B2931" s="100">
        <f t="shared" si="63"/>
        <v>2864</v>
      </c>
      <c r="C2931" s="258" t="s">
        <v>4319</v>
      </c>
      <c r="D2931" s="258" t="s">
        <v>4320</v>
      </c>
      <c r="E2931" s="2" t="str">
        <f t="shared" si="65"/>
        <v>18</v>
      </c>
      <c r="F2931" s="310">
        <v>45199</v>
      </c>
      <c r="G2931" s="256" t="s">
        <v>4616</v>
      </c>
      <c r="H2931" s="257">
        <v>3.23</v>
      </c>
      <c r="I2931" s="99" t="s">
        <v>4616</v>
      </c>
      <c r="J2931" s="89">
        <v>517</v>
      </c>
      <c r="K2931" s="21"/>
      <c r="L2931" s="21"/>
      <c r="M2931" s="29">
        <f>SUM(M2926:M2929)</f>
        <v>36</v>
      </c>
      <c r="N2931" s="21"/>
      <c r="O2931" s="21"/>
      <c r="Q2931">
        <f t="shared" si="64"/>
        <v>4.166666666666667</v>
      </c>
      <c r="R2931">
        <v>4</v>
      </c>
      <c r="S2931" t="s">
        <v>5046</v>
      </c>
      <c r="T2931">
        <v>2</v>
      </c>
      <c r="U2931" t="s">
        <v>5048</v>
      </c>
      <c r="V2931">
        <f t="shared" si="62"/>
        <v>4.166666666666667</v>
      </c>
    </row>
    <row r="2932" spans="2:22" ht="15" customHeight="1" thickBot="1" x14ac:dyDescent="0.4">
      <c r="B2932" s="100">
        <f t="shared" si="63"/>
        <v>2865</v>
      </c>
      <c r="C2932" s="258" t="s">
        <v>4321</v>
      </c>
      <c r="D2932" s="258" t="s">
        <v>4322</v>
      </c>
      <c r="E2932" s="2" t="str">
        <f t="shared" si="65"/>
        <v>18</v>
      </c>
      <c r="F2932" s="310">
        <v>45199</v>
      </c>
      <c r="G2932" s="256" t="s">
        <v>4748</v>
      </c>
      <c r="H2932" s="257">
        <v>3.25</v>
      </c>
      <c r="I2932" s="99" t="s">
        <v>4748</v>
      </c>
      <c r="J2932" s="89">
        <v>517</v>
      </c>
      <c r="K2932" s="21"/>
      <c r="L2932" s="21"/>
      <c r="M2932" s="21"/>
      <c r="N2932" s="21"/>
      <c r="O2932" s="21"/>
      <c r="Q2932">
        <f t="shared" si="64"/>
        <v>4</v>
      </c>
      <c r="R2932">
        <v>4</v>
      </c>
      <c r="S2932" t="s">
        <v>5049</v>
      </c>
      <c r="V2932">
        <f t="shared" si="62"/>
        <v>4</v>
      </c>
    </row>
    <row r="2933" spans="2:22" ht="15" customHeight="1" thickBot="1" x14ac:dyDescent="0.4">
      <c r="B2933" s="100">
        <f t="shared" si="63"/>
        <v>2866</v>
      </c>
      <c r="C2933" s="258" t="s">
        <v>4323</v>
      </c>
      <c r="D2933" s="258" t="s">
        <v>4324</v>
      </c>
      <c r="E2933" s="2" t="str">
        <f t="shared" si="65"/>
        <v>18</v>
      </c>
      <c r="F2933" s="310">
        <v>45199</v>
      </c>
      <c r="G2933" s="256" t="s">
        <v>4748</v>
      </c>
      <c r="H2933" s="257">
        <v>3.55</v>
      </c>
      <c r="I2933" s="99" t="s">
        <v>4748</v>
      </c>
      <c r="J2933" s="89" t="s">
        <v>4329</v>
      </c>
      <c r="K2933" s="21"/>
      <c r="L2933" s="19" t="s">
        <v>4300</v>
      </c>
      <c r="M2933" s="86">
        <f>MIN(H2894:H2942)</f>
        <v>2.92</v>
      </c>
      <c r="N2933" s="21"/>
      <c r="O2933" s="21"/>
      <c r="Q2933">
        <f t="shared" si="64"/>
        <v>4</v>
      </c>
      <c r="R2933">
        <v>4</v>
      </c>
      <c r="S2933" t="s">
        <v>5049</v>
      </c>
      <c r="V2933">
        <f t="shared" ref="V2933:V2996" si="66">R2933+(T2933/12)</f>
        <v>4</v>
      </c>
    </row>
    <row r="2934" spans="2:22" ht="15" customHeight="1" thickBot="1" x14ac:dyDescent="0.4">
      <c r="B2934" s="100">
        <f t="shared" si="63"/>
        <v>2867</v>
      </c>
      <c r="C2934" s="258" t="s">
        <v>4325</v>
      </c>
      <c r="D2934" s="258" t="s">
        <v>4326</v>
      </c>
      <c r="E2934" s="2" t="str">
        <f t="shared" si="65"/>
        <v>18</v>
      </c>
      <c r="F2934" s="310">
        <v>45199</v>
      </c>
      <c r="G2934" s="256" t="s">
        <v>4616</v>
      </c>
      <c r="H2934" s="257">
        <v>3.72</v>
      </c>
      <c r="I2934" s="99" t="s">
        <v>4616</v>
      </c>
      <c r="J2934" s="96" t="s">
        <v>4332</v>
      </c>
      <c r="K2934" s="21"/>
      <c r="L2934" s="19" t="s">
        <v>4303</v>
      </c>
      <c r="M2934" s="86">
        <f>MAX(H2894:H2942)</f>
        <v>3.72</v>
      </c>
      <c r="N2934" s="21"/>
      <c r="O2934" s="21"/>
      <c r="Q2934">
        <f>IF(E2934="18",V2934,0)</f>
        <v>4.166666666666667</v>
      </c>
      <c r="R2934">
        <v>4</v>
      </c>
      <c r="S2934" t="s">
        <v>5046</v>
      </c>
      <c r="T2934">
        <v>2</v>
      </c>
      <c r="U2934" t="s">
        <v>5048</v>
      </c>
      <c r="V2934">
        <f t="shared" si="66"/>
        <v>4.166666666666667</v>
      </c>
    </row>
    <row r="2935" spans="2:22" ht="15" customHeight="1" thickBot="1" x14ac:dyDescent="0.4">
      <c r="B2935" s="100">
        <f t="shared" si="63"/>
        <v>2868</v>
      </c>
      <c r="C2935" s="258" t="s">
        <v>4327</v>
      </c>
      <c r="D2935" s="258" t="s">
        <v>4328</v>
      </c>
      <c r="E2935" s="2" t="str">
        <f t="shared" si="65"/>
        <v>18</v>
      </c>
      <c r="F2935" s="310">
        <v>45199</v>
      </c>
      <c r="G2935" s="256" t="s">
        <v>4616</v>
      </c>
      <c r="H2935" s="268" t="s">
        <v>4607</v>
      </c>
      <c r="I2935" s="99" t="s">
        <v>4616</v>
      </c>
      <c r="J2935" s="96">
        <v>517</v>
      </c>
      <c r="K2935" s="21"/>
      <c r="L2935" s="19" t="s">
        <v>4164</v>
      </c>
      <c r="M2935" s="86">
        <f>AVERAGE(H2894:H2942)</f>
        <v>3.46</v>
      </c>
      <c r="N2935" s="21"/>
      <c r="O2935" s="21"/>
      <c r="Q2935">
        <f t="shared" si="64"/>
        <v>4.166666666666667</v>
      </c>
      <c r="R2935">
        <v>4</v>
      </c>
      <c r="S2935" t="s">
        <v>5046</v>
      </c>
      <c r="T2935">
        <v>2</v>
      </c>
      <c r="U2935" t="s">
        <v>5048</v>
      </c>
      <c r="V2935">
        <f t="shared" si="66"/>
        <v>4.166666666666667</v>
      </c>
    </row>
    <row r="2936" spans="2:22" ht="15" customHeight="1" thickBot="1" x14ac:dyDescent="0.4">
      <c r="B2936" s="100">
        <f t="shared" si="63"/>
        <v>2869</v>
      </c>
      <c r="C2936" s="258" t="s">
        <v>4330</v>
      </c>
      <c r="D2936" s="258" t="s">
        <v>4331</v>
      </c>
      <c r="E2936" s="2" t="str">
        <f t="shared" si="65"/>
        <v>17</v>
      </c>
      <c r="F2936" s="255" t="s">
        <v>4902</v>
      </c>
      <c r="G2936" s="256" t="s">
        <v>4903</v>
      </c>
      <c r="H2936" s="268">
        <v>3.45</v>
      </c>
      <c r="I2936" s="99" t="s">
        <v>4903</v>
      </c>
      <c r="J2936" s="96" t="s">
        <v>4337</v>
      </c>
      <c r="K2936" s="21"/>
      <c r="L2936" s="21"/>
      <c r="M2936" s="21"/>
      <c r="N2936" s="18">
        <f>B2902+N2907</f>
        <v>2899</v>
      </c>
      <c r="O2936" s="21"/>
      <c r="Q2936">
        <f t="shared" si="64"/>
        <v>0</v>
      </c>
      <c r="R2936">
        <v>5</v>
      </c>
      <c r="S2936" t="s">
        <v>5049</v>
      </c>
      <c r="T2936">
        <v>3</v>
      </c>
      <c r="U2936" t="s">
        <v>5050</v>
      </c>
      <c r="V2936">
        <f t="shared" si="66"/>
        <v>5.25</v>
      </c>
    </row>
    <row r="2937" spans="2:22" ht="15" customHeight="1" thickBot="1" x14ac:dyDescent="0.4">
      <c r="B2937" s="100">
        <f t="shared" si="63"/>
        <v>2870</v>
      </c>
      <c r="C2937" s="258" t="s">
        <v>4333</v>
      </c>
      <c r="D2937" s="258" t="s">
        <v>4334</v>
      </c>
      <c r="E2937" s="2" t="str">
        <f t="shared" si="65"/>
        <v>17</v>
      </c>
      <c r="F2937" s="255" t="s">
        <v>4902</v>
      </c>
      <c r="G2937" s="256" t="s">
        <v>4904</v>
      </c>
      <c r="H2937" s="268">
        <v>3.02</v>
      </c>
      <c r="I2937" s="99" t="s">
        <v>4904</v>
      </c>
      <c r="J2937" s="96">
        <v>540</v>
      </c>
      <c r="K2937" s="21"/>
      <c r="L2937" s="21"/>
      <c r="M2937" s="21"/>
      <c r="N2937" s="21">
        <v>4</v>
      </c>
      <c r="O2937" s="21"/>
      <c r="Q2937">
        <f t="shared" si="64"/>
        <v>0</v>
      </c>
      <c r="R2937">
        <v>5</v>
      </c>
      <c r="S2937" t="s">
        <v>5049</v>
      </c>
      <c r="T2937">
        <v>2</v>
      </c>
      <c r="U2937" t="s">
        <v>5050</v>
      </c>
      <c r="V2937">
        <f t="shared" si="66"/>
        <v>5.166666666666667</v>
      </c>
    </row>
    <row r="2938" spans="2:22" ht="15" customHeight="1" thickBot="1" x14ac:dyDescent="0.4">
      <c r="B2938" s="100">
        <f t="shared" si="63"/>
        <v>2871</v>
      </c>
      <c r="C2938" s="258" t="s">
        <v>4335</v>
      </c>
      <c r="D2938" s="258" t="s">
        <v>4336</v>
      </c>
      <c r="E2938" s="2" t="str">
        <f t="shared" si="65"/>
        <v>18</v>
      </c>
      <c r="F2938" s="255" t="s">
        <v>4902</v>
      </c>
      <c r="G2938" s="256" t="s">
        <v>4622</v>
      </c>
      <c r="H2938" s="268">
        <v>3.47</v>
      </c>
      <c r="I2938" s="99" t="s">
        <v>4622</v>
      </c>
      <c r="J2938" s="96">
        <v>470</v>
      </c>
      <c r="K2938" s="21"/>
      <c r="L2938" s="21"/>
      <c r="M2938" s="21"/>
      <c r="N2938" s="21">
        <v>2</v>
      </c>
      <c r="O2938" s="21"/>
      <c r="Q2938">
        <f t="shared" si="64"/>
        <v>4.25</v>
      </c>
      <c r="R2938">
        <v>4</v>
      </c>
      <c r="S2938" t="s">
        <v>5046</v>
      </c>
      <c r="T2938">
        <v>3</v>
      </c>
      <c r="U2938" t="s">
        <v>5048</v>
      </c>
      <c r="V2938">
        <f t="shared" si="66"/>
        <v>4.25</v>
      </c>
    </row>
    <row r="2939" spans="2:22" ht="15" customHeight="1" thickBot="1" x14ac:dyDescent="0.4">
      <c r="B2939" s="100">
        <f>B2938+1</f>
        <v>2872</v>
      </c>
      <c r="C2939" s="258" t="s">
        <v>4338</v>
      </c>
      <c r="D2939" s="258" t="s">
        <v>4339</v>
      </c>
      <c r="E2939" s="2" t="str">
        <f t="shared" si="65"/>
        <v>18</v>
      </c>
      <c r="F2939" s="255" t="s">
        <v>4902</v>
      </c>
      <c r="G2939" s="256" t="s">
        <v>4622</v>
      </c>
      <c r="H2939" s="268">
        <v>3.63</v>
      </c>
      <c r="I2939" s="99" t="s">
        <v>4622</v>
      </c>
      <c r="J2939" s="96">
        <v>513</v>
      </c>
      <c r="K2939" s="21"/>
      <c r="L2939" s="21"/>
      <c r="M2939" s="21"/>
      <c r="N2939" s="21">
        <v>25</v>
      </c>
      <c r="O2939" s="21"/>
      <c r="Q2939">
        <f t="shared" si="64"/>
        <v>4.25</v>
      </c>
      <c r="R2939">
        <v>4</v>
      </c>
      <c r="S2939" t="s">
        <v>5046</v>
      </c>
      <c r="T2939">
        <v>3</v>
      </c>
      <c r="U2939" t="s">
        <v>5048</v>
      </c>
      <c r="V2939">
        <f t="shared" si="66"/>
        <v>4.25</v>
      </c>
    </row>
    <row r="2940" spans="2:22" ht="15" customHeight="1" thickBot="1" x14ac:dyDescent="0.4">
      <c r="B2940" s="100">
        <f t="shared" si="63"/>
        <v>2873</v>
      </c>
      <c r="C2940" s="258" t="s">
        <v>4340</v>
      </c>
      <c r="D2940" s="258" t="s">
        <v>4341</v>
      </c>
      <c r="E2940" s="2" t="str">
        <f t="shared" si="65"/>
        <v>18</v>
      </c>
      <c r="F2940" s="255" t="s">
        <v>4902</v>
      </c>
      <c r="G2940" s="256" t="s">
        <v>4622</v>
      </c>
      <c r="H2940" s="268">
        <v>3.53</v>
      </c>
      <c r="I2940" s="99" t="s">
        <v>4622</v>
      </c>
      <c r="J2940" s="96">
        <v>473</v>
      </c>
      <c r="K2940" s="21"/>
      <c r="L2940" s="21"/>
      <c r="M2940" s="21"/>
      <c r="N2940" s="21">
        <v>8</v>
      </c>
      <c r="O2940" s="21"/>
      <c r="Q2940">
        <f t="shared" si="64"/>
        <v>4.25</v>
      </c>
      <c r="R2940">
        <v>4</v>
      </c>
      <c r="S2940" t="s">
        <v>5046</v>
      </c>
      <c r="T2940">
        <v>3</v>
      </c>
      <c r="U2940" t="s">
        <v>5048</v>
      </c>
      <c r="V2940">
        <f t="shared" si="66"/>
        <v>4.25</v>
      </c>
    </row>
    <row r="2941" spans="2:22" ht="15" customHeight="1" thickBot="1" x14ac:dyDescent="0.4">
      <c r="B2941" s="100">
        <f t="shared" si="63"/>
        <v>2874</v>
      </c>
      <c r="C2941" s="258" t="s">
        <v>4342</v>
      </c>
      <c r="D2941" s="258" t="s">
        <v>4343</v>
      </c>
      <c r="E2941" s="2" t="str">
        <f t="shared" si="65"/>
        <v>18</v>
      </c>
      <c r="F2941" s="255" t="s">
        <v>4902</v>
      </c>
      <c r="G2941" s="256" t="s">
        <v>4626</v>
      </c>
      <c r="H2941" s="268">
        <v>3.27</v>
      </c>
      <c r="I2941" s="99" t="s">
        <v>4626</v>
      </c>
      <c r="J2941" s="96">
        <v>452</v>
      </c>
      <c r="K2941" s="21"/>
      <c r="L2941" s="21"/>
      <c r="M2941" s="21"/>
      <c r="N2941" s="21">
        <f>SUM(N2936:N2940)</f>
        <v>2938</v>
      </c>
      <c r="O2941" s="21"/>
      <c r="Q2941">
        <f t="shared" si="64"/>
        <v>4.166666666666667</v>
      </c>
      <c r="R2941">
        <v>4</v>
      </c>
      <c r="S2941" t="s">
        <v>5049</v>
      </c>
      <c r="T2941">
        <v>2</v>
      </c>
      <c r="U2941" t="s">
        <v>5050</v>
      </c>
      <c r="V2941">
        <f t="shared" si="66"/>
        <v>4.166666666666667</v>
      </c>
    </row>
    <row r="2942" spans="2:22" ht="15" customHeight="1" thickBot="1" x14ac:dyDescent="0.4">
      <c r="B2942" s="100">
        <f t="shared" si="63"/>
        <v>2875</v>
      </c>
      <c r="C2942" s="258" t="s">
        <v>4344</v>
      </c>
      <c r="D2942" s="258" t="s">
        <v>4345</v>
      </c>
      <c r="E2942" s="2" t="str">
        <f t="shared" si="65"/>
        <v>18</v>
      </c>
      <c r="F2942" s="255" t="s">
        <v>4902</v>
      </c>
      <c r="G2942" s="256" t="s">
        <v>4616</v>
      </c>
      <c r="H2942" s="268">
        <v>3.65</v>
      </c>
      <c r="I2942" s="99" t="s">
        <v>4616</v>
      </c>
      <c r="J2942" s="96" t="s">
        <v>4350</v>
      </c>
      <c r="K2942" s="21"/>
      <c r="L2942" s="21"/>
      <c r="M2942" s="21"/>
      <c r="N2942" s="21">
        <v>44</v>
      </c>
      <c r="O2942" s="21"/>
      <c r="Q2942">
        <f t="shared" si="64"/>
        <v>4.166666666666667</v>
      </c>
      <c r="R2942">
        <v>4</v>
      </c>
      <c r="S2942" t="s">
        <v>5046</v>
      </c>
      <c r="T2942">
        <v>2</v>
      </c>
      <c r="U2942" t="s">
        <v>5048</v>
      </c>
      <c r="V2942">
        <f t="shared" si="66"/>
        <v>4.166666666666667</v>
      </c>
    </row>
    <row r="2943" spans="2:22" ht="15" customHeight="1" thickBot="1" x14ac:dyDescent="0.4">
      <c r="B2943" s="100">
        <f t="shared" si="63"/>
        <v>2876</v>
      </c>
      <c r="C2943" s="258" t="s">
        <v>4346</v>
      </c>
      <c r="D2943" s="258" t="s">
        <v>4347</v>
      </c>
      <c r="E2943" s="2" t="str">
        <f t="shared" si="65"/>
        <v>18</v>
      </c>
      <c r="F2943" s="255" t="s">
        <v>4902</v>
      </c>
      <c r="G2943" s="256" t="s">
        <v>4616</v>
      </c>
      <c r="H2943" s="268">
        <v>3.54</v>
      </c>
      <c r="I2943" s="99" t="s">
        <v>4616</v>
      </c>
      <c r="J2943" s="96">
        <v>450</v>
      </c>
      <c r="K2943" s="21"/>
      <c r="L2943" s="21"/>
      <c r="M2943" s="21"/>
      <c r="N2943" s="21">
        <f>SUM(N2941:N2942)</f>
        <v>2982</v>
      </c>
      <c r="O2943" s="21"/>
      <c r="Q2943">
        <f t="shared" si="64"/>
        <v>4.166666666666667</v>
      </c>
      <c r="R2943">
        <v>4</v>
      </c>
      <c r="S2943" t="s">
        <v>5046</v>
      </c>
      <c r="T2943">
        <v>2</v>
      </c>
      <c r="U2943" t="s">
        <v>5048</v>
      </c>
      <c r="V2943">
        <f t="shared" si="66"/>
        <v>4.166666666666667</v>
      </c>
    </row>
    <row r="2944" spans="2:22" ht="15" customHeight="1" thickBot="1" x14ac:dyDescent="0.4">
      <c r="B2944" s="100">
        <f t="shared" si="63"/>
        <v>2877</v>
      </c>
      <c r="C2944" s="256" t="s">
        <v>4905</v>
      </c>
      <c r="D2944" s="256" t="s">
        <v>4906</v>
      </c>
      <c r="E2944" s="2" t="str">
        <f t="shared" si="65"/>
        <v>16</v>
      </c>
      <c r="F2944" s="256" t="s">
        <v>4907</v>
      </c>
      <c r="G2944" s="256" t="s">
        <v>4908</v>
      </c>
      <c r="H2944" s="257">
        <v>2.5499999999999998</v>
      </c>
      <c r="I2944" s="99" t="s">
        <v>4908</v>
      </c>
      <c r="J2944" s="97">
        <v>620</v>
      </c>
      <c r="K2944" s="21"/>
      <c r="L2944" s="21"/>
      <c r="M2944" s="21"/>
      <c r="N2944" s="21"/>
      <c r="O2944" s="21"/>
      <c r="Q2944">
        <f t="shared" si="64"/>
        <v>0</v>
      </c>
      <c r="R2944">
        <v>6</v>
      </c>
      <c r="S2944" t="s">
        <v>5046</v>
      </c>
      <c r="T2944">
        <v>3</v>
      </c>
      <c r="U2944" t="s">
        <v>5048</v>
      </c>
      <c r="V2944">
        <f t="shared" si="66"/>
        <v>6.25</v>
      </c>
    </row>
    <row r="2945" spans="2:22" ht="15" customHeight="1" thickBot="1" x14ac:dyDescent="0.4">
      <c r="B2945" s="100">
        <f t="shared" si="63"/>
        <v>2878</v>
      </c>
      <c r="C2945" s="256" t="s">
        <v>4909</v>
      </c>
      <c r="D2945" s="256" t="s">
        <v>4910</v>
      </c>
      <c r="E2945" s="2" t="str">
        <f t="shared" si="65"/>
        <v>18</v>
      </c>
      <c r="F2945" s="256" t="s">
        <v>4907</v>
      </c>
      <c r="G2945" s="256" t="s">
        <v>4622</v>
      </c>
      <c r="H2945" s="2">
        <v>3.25</v>
      </c>
      <c r="I2945" s="99" t="s">
        <v>4622</v>
      </c>
      <c r="J2945" s="97">
        <v>583</v>
      </c>
      <c r="K2945" s="21"/>
      <c r="L2945" s="21"/>
      <c r="M2945" s="21"/>
      <c r="N2945" s="21"/>
      <c r="O2945" s="21"/>
      <c r="Q2945">
        <f t="shared" si="64"/>
        <v>4.25</v>
      </c>
      <c r="R2945">
        <v>4</v>
      </c>
      <c r="S2945" t="s">
        <v>5046</v>
      </c>
      <c r="T2945">
        <v>3</v>
      </c>
      <c r="U2945" t="s">
        <v>5048</v>
      </c>
      <c r="V2945">
        <f t="shared" si="66"/>
        <v>4.25</v>
      </c>
    </row>
    <row r="2946" spans="2:22" ht="15" customHeight="1" thickBot="1" x14ac:dyDescent="0.4">
      <c r="B2946" s="100">
        <f t="shared" si="63"/>
        <v>2879</v>
      </c>
      <c r="C2946" s="256" t="s">
        <v>4911</v>
      </c>
      <c r="D2946" s="256" t="s">
        <v>4912</v>
      </c>
      <c r="E2946" s="2" t="str">
        <f t="shared" si="65"/>
        <v>18</v>
      </c>
      <c r="F2946" s="256" t="s">
        <v>4907</v>
      </c>
      <c r="G2946" s="256" t="s">
        <v>4622</v>
      </c>
      <c r="H2946" s="257">
        <v>3.02</v>
      </c>
      <c r="I2946" s="99" t="s">
        <v>4622</v>
      </c>
      <c r="J2946" s="97">
        <v>507</v>
      </c>
      <c r="K2946" s="21"/>
      <c r="L2946" s="21"/>
      <c r="M2946" s="21"/>
      <c r="N2946" s="21"/>
      <c r="O2946" s="21"/>
      <c r="Q2946">
        <f t="shared" si="64"/>
        <v>4.25</v>
      </c>
      <c r="R2946">
        <v>4</v>
      </c>
      <c r="S2946" t="s">
        <v>5046</v>
      </c>
      <c r="T2946">
        <v>3</v>
      </c>
      <c r="U2946" t="s">
        <v>5048</v>
      </c>
      <c r="V2946">
        <f t="shared" si="66"/>
        <v>4.25</v>
      </c>
    </row>
    <row r="2947" spans="2:22" ht="15" customHeight="1" thickBot="1" x14ac:dyDescent="0.4">
      <c r="B2947" s="100">
        <f t="shared" si="63"/>
        <v>2880</v>
      </c>
      <c r="C2947" s="254" t="s">
        <v>4913</v>
      </c>
      <c r="D2947" s="254" t="s">
        <v>4914</v>
      </c>
      <c r="E2947" s="2" t="str">
        <f t="shared" si="65"/>
        <v>18</v>
      </c>
      <c r="F2947" s="256" t="s">
        <v>4907</v>
      </c>
      <c r="G2947" s="256" t="s">
        <v>4622</v>
      </c>
      <c r="H2947" s="257">
        <v>2.91</v>
      </c>
      <c r="I2947" s="99" t="s">
        <v>4622</v>
      </c>
      <c r="J2947" s="97"/>
      <c r="K2947" s="21"/>
      <c r="L2947" s="21"/>
      <c r="M2947" s="21"/>
      <c r="N2947" s="21"/>
      <c r="O2947" s="21"/>
      <c r="Q2947">
        <f t="shared" si="64"/>
        <v>4.25</v>
      </c>
      <c r="R2947">
        <v>4</v>
      </c>
      <c r="S2947" t="s">
        <v>5046</v>
      </c>
      <c r="T2947">
        <v>3</v>
      </c>
      <c r="U2947" t="s">
        <v>5048</v>
      </c>
      <c r="V2947">
        <f t="shared" si="66"/>
        <v>4.25</v>
      </c>
    </row>
    <row r="2948" spans="2:22" ht="11.5" customHeight="1" thickBot="1" x14ac:dyDescent="0.4">
      <c r="B2948" s="100">
        <f t="shared" si="63"/>
        <v>2881</v>
      </c>
      <c r="C2948" s="258" t="s">
        <v>4348</v>
      </c>
      <c r="D2948" s="258" t="s">
        <v>4349</v>
      </c>
      <c r="E2948" s="2" t="str">
        <f t="shared" si="65"/>
        <v>18</v>
      </c>
      <c r="F2948" s="311">
        <v>44917</v>
      </c>
      <c r="G2948" s="256" t="s">
        <v>4787</v>
      </c>
      <c r="H2948" s="268">
        <v>3.13</v>
      </c>
      <c r="I2948" s="99" t="s">
        <v>4787</v>
      </c>
      <c r="J2948" s="89"/>
      <c r="K2948" s="21"/>
      <c r="L2948" s="21"/>
      <c r="M2948" s="21"/>
      <c r="N2948" s="21"/>
      <c r="O2948" s="21"/>
      <c r="Q2948">
        <f t="shared" si="64"/>
        <v>4.333333333333333</v>
      </c>
      <c r="R2948">
        <v>4</v>
      </c>
      <c r="S2948" t="s">
        <v>5046</v>
      </c>
      <c r="T2948">
        <v>4</v>
      </c>
      <c r="U2948" t="s">
        <v>5048</v>
      </c>
      <c r="V2948">
        <f t="shared" si="66"/>
        <v>4.333333333333333</v>
      </c>
    </row>
    <row r="2949" spans="2:22" ht="15" customHeight="1" thickBot="1" x14ac:dyDescent="0.4">
      <c r="B2949" s="100">
        <f t="shared" si="63"/>
        <v>2882</v>
      </c>
      <c r="C2949" s="256" t="s">
        <v>4351</v>
      </c>
      <c r="D2949" s="256" t="s">
        <v>4352</v>
      </c>
      <c r="E2949" s="2" t="str">
        <f t="shared" si="65"/>
        <v>18</v>
      </c>
      <c r="F2949" s="311">
        <v>44917</v>
      </c>
      <c r="G2949" s="256" t="s">
        <v>4787</v>
      </c>
      <c r="H2949" s="268">
        <v>3.51</v>
      </c>
      <c r="I2949" s="99" t="s">
        <v>4787</v>
      </c>
      <c r="J2949" s="20"/>
      <c r="K2949" s="21"/>
      <c r="L2949" s="21"/>
      <c r="M2949" s="21"/>
      <c r="N2949" s="21"/>
      <c r="O2949" s="21"/>
      <c r="Q2949">
        <f t="shared" si="64"/>
        <v>4.333333333333333</v>
      </c>
      <c r="R2949">
        <v>4</v>
      </c>
      <c r="S2949" t="s">
        <v>5046</v>
      </c>
      <c r="T2949">
        <v>4</v>
      </c>
      <c r="U2949" t="s">
        <v>5048</v>
      </c>
      <c r="V2949">
        <f t="shared" si="66"/>
        <v>4.333333333333333</v>
      </c>
    </row>
    <row r="2950" spans="2:22" ht="15" customHeight="1" thickBot="1" x14ac:dyDescent="0.4">
      <c r="B2950" s="100">
        <f t="shared" si="63"/>
        <v>2883</v>
      </c>
      <c r="C2950" s="256" t="s">
        <v>4915</v>
      </c>
      <c r="D2950" s="256" t="s">
        <v>4916</v>
      </c>
      <c r="E2950" s="2" t="str">
        <f t="shared" si="65"/>
        <v>18</v>
      </c>
      <c r="F2950" s="255" t="s">
        <v>4917</v>
      </c>
      <c r="G2950" s="256" t="s">
        <v>4855</v>
      </c>
      <c r="H2950" s="268">
        <v>3.56</v>
      </c>
      <c r="I2950" s="99" t="s">
        <v>4855</v>
      </c>
      <c r="J2950" s="97">
        <v>261</v>
      </c>
      <c r="K2950" s="21"/>
      <c r="L2950" s="21"/>
      <c r="M2950" s="21"/>
      <c r="N2950" s="21"/>
      <c r="O2950" s="21"/>
      <c r="Q2950">
        <f t="shared" si="64"/>
        <v>4.416666666666667</v>
      </c>
      <c r="R2950">
        <v>4</v>
      </c>
      <c r="S2950" t="s">
        <v>5046</v>
      </c>
      <c r="T2950">
        <v>5</v>
      </c>
      <c r="U2950" t="s">
        <v>5048</v>
      </c>
      <c r="V2950">
        <f t="shared" si="66"/>
        <v>4.416666666666667</v>
      </c>
    </row>
    <row r="2951" spans="2:22" ht="15" customHeight="1" thickBot="1" x14ac:dyDescent="0.4">
      <c r="B2951" s="100">
        <f t="shared" si="63"/>
        <v>2884</v>
      </c>
      <c r="C2951" s="256" t="s">
        <v>4918</v>
      </c>
      <c r="D2951" s="256" t="s">
        <v>4919</v>
      </c>
      <c r="E2951" s="2" t="str">
        <f t="shared" si="65"/>
        <v>18</v>
      </c>
      <c r="F2951" s="255" t="s">
        <v>4917</v>
      </c>
      <c r="G2951" s="256" t="s">
        <v>4855</v>
      </c>
      <c r="H2951" s="268">
        <v>3.53</v>
      </c>
      <c r="I2951" s="99" t="s">
        <v>4855</v>
      </c>
      <c r="J2951" s="97">
        <v>573</v>
      </c>
      <c r="K2951" s="21"/>
      <c r="L2951" s="21"/>
      <c r="M2951" s="21"/>
      <c r="N2951" s="21"/>
      <c r="O2951" s="21"/>
      <c r="Q2951">
        <f t="shared" si="64"/>
        <v>4.416666666666667</v>
      </c>
      <c r="R2951">
        <v>4</v>
      </c>
      <c r="S2951" t="s">
        <v>5046</v>
      </c>
      <c r="T2951">
        <v>5</v>
      </c>
      <c r="U2951" t="s">
        <v>5048</v>
      </c>
      <c r="V2951">
        <f t="shared" si="66"/>
        <v>4.416666666666667</v>
      </c>
    </row>
    <row r="2952" spans="2:22" ht="15" customHeight="1" thickBot="1" x14ac:dyDescent="0.4">
      <c r="B2952" s="100">
        <f t="shared" si="63"/>
        <v>2885</v>
      </c>
      <c r="C2952" s="256" t="s">
        <v>4920</v>
      </c>
      <c r="D2952" s="256" t="s">
        <v>4921</v>
      </c>
      <c r="E2952" s="2" t="str">
        <f t="shared" si="65"/>
        <v>18</v>
      </c>
      <c r="F2952" s="255" t="s">
        <v>4917</v>
      </c>
      <c r="G2952" s="256" t="s">
        <v>4787</v>
      </c>
      <c r="H2952" s="268">
        <v>3.68</v>
      </c>
      <c r="I2952" s="99" t="s">
        <v>4787</v>
      </c>
      <c r="J2952" s="97">
        <v>470</v>
      </c>
      <c r="K2952" s="21"/>
      <c r="L2952" s="21"/>
      <c r="M2952" s="21"/>
      <c r="N2952" s="21"/>
      <c r="O2952" s="21"/>
      <c r="Q2952">
        <f t="shared" si="64"/>
        <v>4.333333333333333</v>
      </c>
      <c r="R2952">
        <v>4</v>
      </c>
      <c r="S2952" t="s">
        <v>5046</v>
      </c>
      <c r="T2952">
        <v>4</v>
      </c>
      <c r="U2952" t="s">
        <v>5048</v>
      </c>
      <c r="V2952">
        <f t="shared" si="66"/>
        <v>4.333333333333333</v>
      </c>
    </row>
    <row r="2953" spans="2:22" ht="15" customHeight="1" thickBot="1" x14ac:dyDescent="0.4">
      <c r="B2953" s="100">
        <f t="shared" si="63"/>
        <v>2886</v>
      </c>
      <c r="C2953" s="256" t="s">
        <v>4922</v>
      </c>
      <c r="D2953" s="256" t="s">
        <v>4923</v>
      </c>
      <c r="E2953" s="2" t="str">
        <f t="shared" si="65"/>
        <v>18</v>
      </c>
      <c r="F2953" s="255" t="s">
        <v>4917</v>
      </c>
      <c r="G2953" s="256" t="s">
        <v>4855</v>
      </c>
      <c r="H2953" s="268">
        <v>3.08</v>
      </c>
      <c r="I2953" s="99" t="s">
        <v>4855</v>
      </c>
      <c r="J2953" s="98" t="s">
        <v>4367</v>
      </c>
      <c r="K2953" s="21"/>
      <c r="L2953" s="21"/>
      <c r="M2953" s="21"/>
      <c r="N2953" s="21"/>
      <c r="O2953" s="21"/>
      <c r="Q2953">
        <f t="shared" si="64"/>
        <v>4.416666666666667</v>
      </c>
      <c r="R2953">
        <v>4</v>
      </c>
      <c r="S2953" t="s">
        <v>5046</v>
      </c>
      <c r="T2953">
        <v>5</v>
      </c>
      <c r="U2953" t="s">
        <v>5048</v>
      </c>
      <c r="V2953">
        <f t="shared" si="66"/>
        <v>4.416666666666667</v>
      </c>
    </row>
    <row r="2954" spans="2:22" ht="15" customHeight="1" thickBot="1" x14ac:dyDescent="0.4">
      <c r="B2954" s="100">
        <f t="shared" si="63"/>
        <v>2887</v>
      </c>
      <c r="C2954" s="256" t="s">
        <v>4924</v>
      </c>
      <c r="D2954" s="256" t="s">
        <v>4925</v>
      </c>
      <c r="E2954" s="2" t="str">
        <f t="shared" si="65"/>
        <v>18</v>
      </c>
      <c r="F2954" s="255" t="s">
        <v>4917</v>
      </c>
      <c r="G2954" s="256" t="s">
        <v>4855</v>
      </c>
      <c r="H2954" s="268">
        <v>3.48</v>
      </c>
      <c r="I2954" s="99" t="s">
        <v>4855</v>
      </c>
      <c r="J2954" s="98" t="s">
        <v>4370</v>
      </c>
      <c r="K2954" s="21"/>
      <c r="L2954" s="21"/>
      <c r="M2954" s="21"/>
      <c r="N2954" s="21"/>
      <c r="O2954" s="21"/>
      <c r="Q2954">
        <f t="shared" si="64"/>
        <v>4.416666666666667</v>
      </c>
      <c r="R2954">
        <v>4</v>
      </c>
      <c r="S2954" t="s">
        <v>5046</v>
      </c>
      <c r="T2954">
        <v>5</v>
      </c>
      <c r="U2954" t="s">
        <v>5048</v>
      </c>
      <c r="V2954">
        <f t="shared" si="66"/>
        <v>4.416666666666667</v>
      </c>
    </row>
    <row r="2955" spans="2:22" ht="15" customHeight="1" thickBot="1" x14ac:dyDescent="0.4">
      <c r="B2955" s="100">
        <f t="shared" si="63"/>
        <v>2888</v>
      </c>
      <c r="C2955" s="254" t="s">
        <v>4926</v>
      </c>
      <c r="D2955" s="254" t="s">
        <v>4927</v>
      </c>
      <c r="E2955" s="2" t="str">
        <f t="shared" si="65"/>
        <v>18</v>
      </c>
      <c r="F2955" s="255" t="s">
        <v>4917</v>
      </c>
      <c r="G2955" s="256" t="s">
        <v>4647</v>
      </c>
      <c r="H2955" s="268">
        <v>3.56</v>
      </c>
      <c r="I2955" s="99" t="s">
        <v>4647</v>
      </c>
      <c r="J2955" s="97">
        <v>603</v>
      </c>
      <c r="K2955" s="21"/>
      <c r="L2955" s="21"/>
      <c r="M2955" s="21"/>
      <c r="N2955" s="21"/>
      <c r="O2955" s="21"/>
      <c r="Q2955">
        <f t="shared" si="64"/>
        <v>4.5</v>
      </c>
      <c r="R2955">
        <v>4</v>
      </c>
      <c r="S2955" t="s">
        <v>5046</v>
      </c>
      <c r="T2955">
        <v>6</v>
      </c>
      <c r="U2955" t="s">
        <v>5048</v>
      </c>
      <c r="V2955">
        <f t="shared" si="66"/>
        <v>4.5</v>
      </c>
    </row>
    <row r="2956" spans="2:22" ht="15" customHeight="1" thickBot="1" x14ac:dyDescent="0.4">
      <c r="B2956" s="100">
        <f t="shared" si="63"/>
        <v>2889</v>
      </c>
      <c r="C2956" s="271" t="s">
        <v>4928</v>
      </c>
      <c r="D2956" s="258" t="s">
        <v>4929</v>
      </c>
      <c r="E2956" s="2" t="str">
        <f t="shared" si="65"/>
        <v>18</v>
      </c>
      <c r="F2956" s="255" t="s">
        <v>4917</v>
      </c>
      <c r="G2956" s="256" t="s">
        <v>4855</v>
      </c>
      <c r="H2956" s="268">
        <v>3.03</v>
      </c>
      <c r="I2956" s="99" t="s">
        <v>4855</v>
      </c>
      <c r="J2956" s="98" t="s">
        <v>4375</v>
      </c>
      <c r="K2956" s="21"/>
      <c r="L2956" s="21"/>
      <c r="M2956" s="21"/>
      <c r="N2956" s="21"/>
      <c r="O2956" s="21"/>
      <c r="Q2956">
        <f t="shared" si="64"/>
        <v>4.416666666666667</v>
      </c>
      <c r="R2956">
        <v>4</v>
      </c>
      <c r="S2956" t="s">
        <v>5046</v>
      </c>
      <c r="T2956">
        <v>5</v>
      </c>
      <c r="U2956" t="s">
        <v>5048</v>
      </c>
      <c r="V2956">
        <f t="shared" si="66"/>
        <v>4.416666666666667</v>
      </c>
    </row>
    <row r="2957" spans="2:22" ht="15" customHeight="1" thickBot="1" x14ac:dyDescent="0.4">
      <c r="B2957" s="100">
        <f t="shared" si="63"/>
        <v>2890</v>
      </c>
      <c r="C2957" s="256" t="s">
        <v>4930</v>
      </c>
      <c r="D2957" s="256" t="s">
        <v>4931</v>
      </c>
      <c r="E2957" s="2" t="str">
        <f t="shared" si="65"/>
        <v>18</v>
      </c>
      <c r="F2957" s="255" t="s">
        <v>4917</v>
      </c>
      <c r="G2957" s="256" t="s">
        <v>4647</v>
      </c>
      <c r="H2957" s="268">
        <v>3.54</v>
      </c>
      <c r="I2957" s="99" t="s">
        <v>4647</v>
      </c>
      <c r="J2957" s="97">
        <v>473</v>
      </c>
      <c r="K2957" s="21"/>
      <c r="L2957" s="21"/>
      <c r="M2957" s="21"/>
      <c r="N2957" s="21"/>
      <c r="O2957" s="21"/>
      <c r="Q2957">
        <f t="shared" si="64"/>
        <v>4.5</v>
      </c>
      <c r="R2957">
        <v>4</v>
      </c>
      <c r="S2957" t="s">
        <v>5046</v>
      </c>
      <c r="T2957">
        <v>6</v>
      </c>
      <c r="U2957" t="s">
        <v>5048</v>
      </c>
      <c r="V2957">
        <f t="shared" si="66"/>
        <v>4.5</v>
      </c>
    </row>
    <row r="2958" spans="2:22" ht="15" customHeight="1" thickBot="1" x14ac:dyDescent="0.4">
      <c r="B2958" s="100">
        <f t="shared" si="63"/>
        <v>2891</v>
      </c>
      <c r="C2958" s="256" t="s">
        <v>4932</v>
      </c>
      <c r="D2958" s="256" t="s">
        <v>4933</v>
      </c>
      <c r="E2958" s="2" t="str">
        <f t="shared" si="65"/>
        <v>18</v>
      </c>
      <c r="F2958" s="255" t="s">
        <v>4917</v>
      </c>
      <c r="G2958" s="256" t="s">
        <v>4855</v>
      </c>
      <c r="H2958" s="268">
        <v>3.57</v>
      </c>
      <c r="I2958" s="99" t="s">
        <v>4855</v>
      </c>
      <c r="J2958" s="98" t="s">
        <v>4380</v>
      </c>
      <c r="K2958" s="21"/>
      <c r="L2958" s="21"/>
      <c r="M2958" s="21"/>
      <c r="N2958" s="21"/>
      <c r="O2958" s="21"/>
      <c r="Q2958">
        <f t="shared" si="64"/>
        <v>4.416666666666667</v>
      </c>
      <c r="R2958">
        <v>4</v>
      </c>
      <c r="S2958" t="s">
        <v>5046</v>
      </c>
      <c r="T2958">
        <v>5</v>
      </c>
      <c r="U2958" t="s">
        <v>5048</v>
      </c>
      <c r="V2958">
        <f t="shared" si="66"/>
        <v>4.416666666666667</v>
      </c>
    </row>
    <row r="2959" spans="2:22" ht="15" customHeight="1" thickBot="1" x14ac:dyDescent="0.4">
      <c r="B2959" s="100">
        <f t="shared" si="63"/>
        <v>2892</v>
      </c>
      <c r="C2959" s="254" t="s">
        <v>4934</v>
      </c>
      <c r="D2959" s="254" t="s">
        <v>4935</v>
      </c>
      <c r="E2959" s="2" t="str">
        <f t="shared" si="65"/>
        <v>18</v>
      </c>
      <c r="F2959" s="255" t="s">
        <v>4917</v>
      </c>
      <c r="G2959" s="256" t="s">
        <v>4855</v>
      </c>
      <c r="H2959" s="268">
        <v>3.45</v>
      </c>
      <c r="I2959" s="99" t="s">
        <v>4855</v>
      </c>
      <c r="J2959" s="97">
        <v>480</v>
      </c>
      <c r="K2959" s="21"/>
      <c r="L2959" s="21"/>
      <c r="M2959" s="21"/>
      <c r="N2959" s="21"/>
      <c r="O2959" s="21"/>
      <c r="Q2959">
        <f t="shared" si="64"/>
        <v>4.416666666666667</v>
      </c>
      <c r="R2959">
        <v>4</v>
      </c>
      <c r="S2959" t="s">
        <v>5046</v>
      </c>
      <c r="T2959">
        <v>5</v>
      </c>
      <c r="U2959" t="s">
        <v>5048</v>
      </c>
      <c r="V2959">
        <f t="shared" si="66"/>
        <v>4.416666666666667</v>
      </c>
    </row>
    <row r="2960" spans="2:22" ht="15" customHeight="1" thickBot="1" x14ac:dyDescent="0.4">
      <c r="B2960" s="100">
        <f t="shared" si="63"/>
        <v>2893</v>
      </c>
      <c r="C2960" s="258" t="s">
        <v>4353</v>
      </c>
      <c r="D2960" s="258" t="s">
        <v>4354</v>
      </c>
      <c r="E2960" s="2" t="str">
        <f t="shared" si="65"/>
        <v>15</v>
      </c>
      <c r="F2960" s="255" t="s">
        <v>4936</v>
      </c>
      <c r="G2960" s="256" t="s">
        <v>4937</v>
      </c>
      <c r="H2960" s="268">
        <v>2.62</v>
      </c>
      <c r="I2960" s="99" t="s">
        <v>4937</v>
      </c>
      <c r="J2960" s="98" t="s">
        <v>4385</v>
      </c>
      <c r="K2960" s="21"/>
      <c r="L2960" s="21"/>
      <c r="M2960" s="21"/>
      <c r="N2960" s="21"/>
      <c r="O2960" s="21"/>
      <c r="Q2960">
        <f t="shared" si="64"/>
        <v>0</v>
      </c>
      <c r="R2960">
        <v>7</v>
      </c>
      <c r="S2960" t="s">
        <v>5046</v>
      </c>
      <c r="T2960">
        <v>6</v>
      </c>
      <c r="U2960" t="s">
        <v>5048</v>
      </c>
      <c r="V2960">
        <f t="shared" si="66"/>
        <v>7.5</v>
      </c>
    </row>
    <row r="2961" spans="1:22" ht="15" customHeight="1" thickBot="1" x14ac:dyDescent="0.4">
      <c r="B2961" s="100">
        <f t="shared" si="63"/>
        <v>2894</v>
      </c>
      <c r="C2961" s="258" t="s">
        <v>4355</v>
      </c>
      <c r="D2961" s="258" t="s">
        <v>4356</v>
      </c>
      <c r="E2961" s="2" t="str">
        <f t="shared" si="65"/>
        <v>16</v>
      </c>
      <c r="F2961" s="255" t="s">
        <v>4936</v>
      </c>
      <c r="G2961" s="256" t="s">
        <v>4938</v>
      </c>
      <c r="H2961" s="268">
        <v>3.26</v>
      </c>
      <c r="I2961" s="99" t="s">
        <v>4938</v>
      </c>
      <c r="J2961" s="98" t="s">
        <v>4388</v>
      </c>
      <c r="K2961" s="21"/>
      <c r="L2961" s="21"/>
      <c r="M2961" s="21"/>
      <c r="N2961" s="21"/>
      <c r="O2961" s="21"/>
      <c r="Q2961">
        <f t="shared" si="64"/>
        <v>0</v>
      </c>
      <c r="R2961">
        <v>6</v>
      </c>
      <c r="S2961" t="s">
        <v>5046</v>
      </c>
      <c r="T2961">
        <v>6</v>
      </c>
      <c r="U2961" t="s">
        <v>5048</v>
      </c>
      <c r="V2961">
        <f t="shared" si="66"/>
        <v>6.5</v>
      </c>
    </row>
    <row r="2962" spans="1:22" ht="15" customHeight="1" thickBot="1" x14ac:dyDescent="0.4">
      <c r="B2962" s="100">
        <f t="shared" si="63"/>
        <v>2895</v>
      </c>
      <c r="C2962" t="s">
        <v>4357</v>
      </c>
      <c r="D2962" t="s">
        <v>4358</v>
      </c>
      <c r="E2962" s="2" t="str">
        <f t="shared" si="65"/>
        <v>15</v>
      </c>
      <c r="F2962" s="255" t="s">
        <v>4936</v>
      </c>
      <c r="G2962" s="256" t="s">
        <v>4939</v>
      </c>
      <c r="H2962" s="266" t="s">
        <v>4940</v>
      </c>
      <c r="I2962" s="99" t="s">
        <v>4939</v>
      </c>
      <c r="J2962" s="97">
        <v>580</v>
      </c>
      <c r="K2962" s="21"/>
      <c r="L2962" s="21"/>
      <c r="M2962" s="21"/>
      <c r="N2962" s="21"/>
      <c r="O2962" s="21"/>
      <c r="Q2962">
        <f t="shared" si="64"/>
        <v>0</v>
      </c>
      <c r="R2962">
        <v>7</v>
      </c>
      <c r="S2962" t="s">
        <v>5046</v>
      </c>
      <c r="T2962">
        <v>5</v>
      </c>
      <c r="U2962" t="s">
        <v>5048</v>
      </c>
      <c r="V2962">
        <f t="shared" si="66"/>
        <v>7.416666666666667</v>
      </c>
    </row>
    <row r="2963" spans="1:22" ht="15" customHeight="1" x14ac:dyDescent="0.35">
      <c r="B2963" s="100"/>
      <c r="E2963" s="2"/>
      <c r="F2963" s="315"/>
      <c r="G2963" s="281"/>
      <c r="H2963" s="266"/>
      <c r="I2963" s="99"/>
      <c r="J2963" s="89"/>
      <c r="K2963" s="21"/>
      <c r="L2963" s="21"/>
      <c r="M2963" s="21"/>
      <c r="N2963" s="21"/>
      <c r="O2963" s="21"/>
      <c r="Q2963">
        <f t="shared" si="64"/>
        <v>0</v>
      </c>
      <c r="V2963">
        <f t="shared" si="66"/>
        <v>0</v>
      </c>
    </row>
    <row r="2964" spans="1:22" ht="15" customHeight="1" thickBot="1" x14ac:dyDescent="0.4">
      <c r="B2964" s="100"/>
      <c r="C2964" s="289" t="s">
        <v>4592</v>
      </c>
      <c r="E2964" s="2" t="str">
        <f t="shared" si="65"/>
        <v/>
      </c>
      <c r="I2964" s="99"/>
      <c r="J2964" s="19" t="s">
        <v>4394</v>
      </c>
      <c r="K2964" s="21">
        <v>65</v>
      </c>
      <c r="L2964" s="25" t="s">
        <v>4395</v>
      </c>
      <c r="M2964" s="24"/>
      <c r="N2964" s="21"/>
      <c r="O2964" s="21"/>
      <c r="Q2964">
        <f t="shared" si="64"/>
        <v>0</v>
      </c>
      <c r="V2964">
        <f t="shared" si="66"/>
        <v>0</v>
      </c>
    </row>
    <row r="2965" spans="1:22" ht="15" customHeight="1" thickBot="1" x14ac:dyDescent="0.4">
      <c r="B2965" s="100">
        <f>B2962+1</f>
        <v>2896</v>
      </c>
      <c r="C2965" s="254" t="s">
        <v>4359</v>
      </c>
      <c r="D2965" s="254" t="s">
        <v>4360</v>
      </c>
      <c r="E2965" s="2" t="str">
        <f t="shared" si="65"/>
        <v>18</v>
      </c>
      <c r="F2965" s="255" t="s">
        <v>4941</v>
      </c>
      <c r="G2965" s="256" t="s">
        <v>4647</v>
      </c>
      <c r="H2965" s="268" t="s">
        <v>4828</v>
      </c>
      <c r="I2965" s="99" t="s">
        <v>4647</v>
      </c>
      <c r="J2965" s="19" t="s">
        <v>4399</v>
      </c>
      <c r="K2965" s="21">
        <v>61</v>
      </c>
      <c r="L2965" s="21"/>
      <c r="M2965" s="21"/>
      <c r="N2965" s="21"/>
      <c r="O2965" s="21"/>
      <c r="Q2965">
        <f t="shared" si="64"/>
        <v>4.5</v>
      </c>
      <c r="R2965">
        <v>4</v>
      </c>
      <c r="S2965" t="s">
        <v>5046</v>
      </c>
      <c r="T2965">
        <v>6</v>
      </c>
      <c r="U2965" t="s">
        <v>5048</v>
      </c>
      <c r="V2965">
        <f t="shared" si="66"/>
        <v>4.5</v>
      </c>
    </row>
    <row r="2966" spans="1:22" ht="15" customHeight="1" thickBot="1" x14ac:dyDescent="0.4">
      <c r="B2966" s="100">
        <f t="shared" si="63"/>
        <v>2897</v>
      </c>
      <c r="C2966" s="254" t="s">
        <v>4361</v>
      </c>
      <c r="D2966" s="254" t="s">
        <v>4362</v>
      </c>
      <c r="E2966" s="2" t="str">
        <f t="shared" si="65"/>
        <v>18</v>
      </c>
      <c r="F2966" s="255" t="s">
        <v>4941</v>
      </c>
      <c r="G2966" s="256" t="s">
        <v>4647</v>
      </c>
      <c r="H2966" s="257">
        <v>3.47</v>
      </c>
      <c r="I2966" s="99" t="s">
        <v>4647</v>
      </c>
      <c r="J2966" s="19" t="s">
        <v>4403</v>
      </c>
      <c r="K2966" s="21">
        <v>60</v>
      </c>
      <c r="L2966" s="312">
        <v>2017</v>
      </c>
      <c r="M2966" s="21">
        <f>COUNTIF(E2963:E3020,"17")</f>
        <v>1</v>
      </c>
      <c r="N2966" s="21"/>
      <c r="O2966" s="21"/>
      <c r="Q2966">
        <f t="shared" si="64"/>
        <v>4.5</v>
      </c>
      <c r="R2966">
        <v>4</v>
      </c>
      <c r="S2966" t="s">
        <v>5046</v>
      </c>
      <c r="T2966">
        <v>6</v>
      </c>
      <c r="U2966" t="s">
        <v>5048</v>
      </c>
      <c r="V2966">
        <f t="shared" si="66"/>
        <v>4.5</v>
      </c>
    </row>
    <row r="2967" spans="1:22" ht="15" customHeight="1" thickBot="1" x14ac:dyDescent="0.4">
      <c r="B2967" s="100">
        <f t="shared" si="63"/>
        <v>2898</v>
      </c>
      <c r="C2967" s="258" t="s">
        <v>4363</v>
      </c>
      <c r="D2967" s="258" t="s">
        <v>4364</v>
      </c>
      <c r="E2967" s="2" t="str">
        <f t="shared" si="65"/>
        <v>18</v>
      </c>
      <c r="F2967" s="255" t="s">
        <v>4942</v>
      </c>
      <c r="G2967" s="256" t="s">
        <v>4676</v>
      </c>
      <c r="H2967" s="268">
        <v>3.67</v>
      </c>
      <c r="I2967" s="99" t="s">
        <v>4676</v>
      </c>
      <c r="J2967" s="19">
        <v>533</v>
      </c>
      <c r="K2967" s="21">
        <v>67</v>
      </c>
      <c r="L2967" s="312">
        <v>2018</v>
      </c>
      <c r="M2967" s="21">
        <f>COUNTIF(E2965:E3022,"18")</f>
        <v>20</v>
      </c>
      <c r="N2967" s="21"/>
      <c r="O2967" s="21"/>
      <c r="Q2967">
        <f t="shared" si="64"/>
        <v>4.583333333333333</v>
      </c>
      <c r="R2967">
        <v>4</v>
      </c>
      <c r="S2967" t="s">
        <v>5046</v>
      </c>
      <c r="T2967">
        <v>7</v>
      </c>
      <c r="U2967" t="s">
        <v>5048</v>
      </c>
      <c r="V2967">
        <f t="shared" si="66"/>
        <v>4.583333333333333</v>
      </c>
    </row>
    <row r="2968" spans="1:22" ht="15" customHeight="1" thickBot="1" x14ac:dyDescent="0.4">
      <c r="B2968" s="100">
        <f t="shared" si="63"/>
        <v>2899</v>
      </c>
      <c r="C2968" s="256" t="s">
        <v>4365</v>
      </c>
      <c r="D2968" s="256" t="s">
        <v>4366</v>
      </c>
      <c r="E2968" s="2" t="str">
        <f t="shared" si="65"/>
        <v>17</v>
      </c>
      <c r="F2968" s="255" t="s">
        <v>4942</v>
      </c>
      <c r="G2968" s="256" t="s">
        <v>4791</v>
      </c>
      <c r="H2968" s="268">
        <v>3.52</v>
      </c>
      <c r="I2968" s="99" t="s">
        <v>4791</v>
      </c>
      <c r="J2968" s="19">
        <v>510</v>
      </c>
      <c r="K2968" s="19">
        <v>67</v>
      </c>
      <c r="L2968" s="312">
        <v>2019</v>
      </c>
      <c r="M2968" s="21">
        <f>COUNTIF(E2965:E3022,"19")</f>
        <v>32</v>
      </c>
      <c r="N2968" s="21"/>
      <c r="O2968" s="21"/>
      <c r="Q2968">
        <f t="shared" si="64"/>
        <v>0</v>
      </c>
      <c r="R2968">
        <v>5</v>
      </c>
      <c r="S2968" t="s">
        <v>5046</v>
      </c>
      <c r="T2968">
        <v>6</v>
      </c>
      <c r="U2968" t="s">
        <v>5048</v>
      </c>
      <c r="V2968">
        <f t="shared" si="66"/>
        <v>5.5</v>
      </c>
    </row>
    <row r="2969" spans="1:22" ht="15" customHeight="1" thickBot="1" x14ac:dyDescent="0.4">
      <c r="B2969" s="100">
        <f t="shared" si="63"/>
        <v>2900</v>
      </c>
      <c r="C2969" s="258" t="s">
        <v>4368</v>
      </c>
      <c r="D2969" s="258" t="s">
        <v>4369</v>
      </c>
      <c r="E2969" s="2" t="str">
        <f t="shared" si="65"/>
        <v>18</v>
      </c>
      <c r="F2969" s="255" t="s">
        <v>4942</v>
      </c>
      <c r="G2969" s="256" t="s">
        <v>4676</v>
      </c>
      <c r="H2969" s="268">
        <v>3.59</v>
      </c>
      <c r="I2969" s="99" t="s">
        <v>4676</v>
      </c>
      <c r="J2969" s="19">
        <v>490</v>
      </c>
      <c r="K2969" s="19">
        <v>65</v>
      </c>
      <c r="L2969" s="313">
        <v>2020</v>
      </c>
      <c r="M2969" s="21"/>
      <c r="N2969" s="21"/>
      <c r="O2969" s="21"/>
      <c r="Q2969">
        <f t="shared" si="64"/>
        <v>4.583333333333333</v>
      </c>
      <c r="R2969">
        <v>4</v>
      </c>
      <c r="S2969" t="s">
        <v>5046</v>
      </c>
      <c r="T2969">
        <v>7</v>
      </c>
      <c r="U2969" t="s">
        <v>5048</v>
      </c>
      <c r="V2969">
        <f t="shared" si="66"/>
        <v>4.583333333333333</v>
      </c>
    </row>
    <row r="2970" spans="1:22" ht="15" customHeight="1" thickBot="1" x14ac:dyDescent="0.4">
      <c r="A2970" s="2"/>
      <c r="B2970" s="100">
        <f t="shared" si="63"/>
        <v>2901</v>
      </c>
      <c r="C2970" s="258" t="s">
        <v>4371</v>
      </c>
      <c r="D2970" s="258" t="s">
        <v>4372</v>
      </c>
      <c r="E2970" s="2" t="str">
        <f t="shared" si="65"/>
        <v>16</v>
      </c>
      <c r="F2970" s="255" t="s">
        <v>4942</v>
      </c>
      <c r="G2970" s="256" t="s">
        <v>4943</v>
      </c>
      <c r="H2970" s="268" t="s">
        <v>4944</v>
      </c>
      <c r="I2970" s="99" t="s">
        <v>4943</v>
      </c>
      <c r="J2970" s="18"/>
      <c r="K2970" s="19"/>
      <c r="L2970" s="21"/>
      <c r="M2970" s="21"/>
      <c r="N2970" s="21"/>
      <c r="O2970" s="21"/>
      <c r="Q2970">
        <f t="shared" si="64"/>
        <v>0</v>
      </c>
      <c r="R2970">
        <v>6</v>
      </c>
      <c r="S2970" t="s">
        <v>5046</v>
      </c>
      <c r="T2970">
        <v>9</v>
      </c>
      <c r="U2970" t="s">
        <v>5048</v>
      </c>
      <c r="V2970">
        <f t="shared" si="66"/>
        <v>6.75</v>
      </c>
    </row>
    <row r="2971" spans="1:22" ht="15" customHeight="1" thickBot="1" x14ac:dyDescent="0.4">
      <c r="A2971" s="2"/>
      <c r="B2971" s="100">
        <f t="shared" si="63"/>
        <v>2902</v>
      </c>
      <c r="C2971" s="254" t="s">
        <v>4373</v>
      </c>
      <c r="D2971" s="254" t="s">
        <v>4374</v>
      </c>
      <c r="E2971" s="2" t="str">
        <f t="shared" si="65"/>
        <v>18</v>
      </c>
      <c r="F2971" s="255" t="s">
        <v>4942</v>
      </c>
      <c r="G2971" s="256" t="s">
        <v>4676</v>
      </c>
      <c r="H2971" s="268">
        <v>3.12</v>
      </c>
      <c r="I2971" s="99" t="s">
        <v>4676</v>
      </c>
      <c r="J2971" s="20"/>
      <c r="K2971" s="21"/>
      <c r="L2971" s="21"/>
      <c r="M2971" s="21"/>
      <c r="N2971" s="21"/>
      <c r="O2971" s="21"/>
      <c r="Q2971">
        <f t="shared" si="64"/>
        <v>4.583333333333333</v>
      </c>
      <c r="R2971">
        <v>4</v>
      </c>
      <c r="S2971" t="s">
        <v>5046</v>
      </c>
      <c r="T2971">
        <v>7</v>
      </c>
      <c r="U2971" t="s">
        <v>5048</v>
      </c>
      <c r="V2971">
        <f t="shared" si="66"/>
        <v>4.583333333333333</v>
      </c>
    </row>
    <row r="2972" spans="1:22" ht="15" customHeight="1" thickBot="1" x14ac:dyDescent="0.4">
      <c r="A2972" s="2"/>
      <c r="B2972" s="100">
        <f t="shared" si="63"/>
        <v>2903</v>
      </c>
      <c r="C2972" s="258" t="s">
        <v>4376</v>
      </c>
      <c r="D2972" s="258" t="s">
        <v>4377</v>
      </c>
      <c r="E2972" s="2" t="str">
        <f t="shared" si="65"/>
        <v>18</v>
      </c>
      <c r="F2972" s="255" t="s">
        <v>4942</v>
      </c>
      <c r="G2972" s="256" t="s">
        <v>4676</v>
      </c>
      <c r="H2972" s="268">
        <v>3.34</v>
      </c>
      <c r="I2972" s="99" t="s">
        <v>4676</v>
      </c>
      <c r="J2972" s="20"/>
      <c r="K2972" s="21"/>
      <c r="L2972" s="21"/>
      <c r="M2972" s="21"/>
      <c r="N2972" s="21">
        <f>SUM(M2964:M2971)</f>
        <v>53</v>
      </c>
      <c r="O2972" s="21"/>
      <c r="Q2972">
        <f t="shared" si="64"/>
        <v>4.583333333333333</v>
      </c>
      <c r="R2972">
        <v>4</v>
      </c>
      <c r="S2972" t="s">
        <v>5046</v>
      </c>
      <c r="T2972">
        <v>7</v>
      </c>
      <c r="U2972" t="s">
        <v>5048</v>
      </c>
      <c r="V2972">
        <f t="shared" si="66"/>
        <v>4.583333333333333</v>
      </c>
    </row>
    <row r="2973" spans="1:22" ht="15" customHeight="1" thickBot="1" x14ac:dyDescent="0.4">
      <c r="A2973" s="2"/>
      <c r="B2973" s="100">
        <f t="shared" ref="B2973:B3038" si="67">B2972+1</f>
        <v>2904</v>
      </c>
      <c r="C2973" s="256" t="s">
        <v>4378</v>
      </c>
      <c r="D2973" s="256" t="s">
        <v>4379</v>
      </c>
      <c r="E2973" s="2" t="str">
        <f t="shared" si="65"/>
        <v>18</v>
      </c>
      <c r="F2973" s="311">
        <v>45034</v>
      </c>
      <c r="G2973" s="256" t="s">
        <v>4681</v>
      </c>
      <c r="H2973" s="266">
        <v>3.58</v>
      </c>
      <c r="I2973" s="99" t="s">
        <v>4681</v>
      </c>
      <c r="J2973" s="20"/>
      <c r="K2973" s="21"/>
      <c r="L2973" s="21"/>
      <c r="M2973" s="21"/>
      <c r="N2973" s="21"/>
      <c r="O2973" s="21"/>
      <c r="Q2973">
        <f t="shared" si="64"/>
        <v>4.666666666666667</v>
      </c>
      <c r="R2973">
        <v>4</v>
      </c>
      <c r="S2973" t="s">
        <v>5046</v>
      </c>
      <c r="T2973">
        <v>8</v>
      </c>
      <c r="U2973" t="s">
        <v>5048</v>
      </c>
      <c r="V2973">
        <f t="shared" si="66"/>
        <v>4.666666666666667</v>
      </c>
    </row>
    <row r="2974" spans="1:22" ht="15" customHeight="1" thickBot="1" x14ac:dyDescent="0.4">
      <c r="A2974" s="2"/>
      <c r="B2974" s="100">
        <f t="shared" si="67"/>
        <v>2905</v>
      </c>
      <c r="C2974" s="256" t="s">
        <v>4381</v>
      </c>
      <c r="D2974" s="256" t="s">
        <v>4382</v>
      </c>
      <c r="E2974" s="2" t="str">
        <f t="shared" ref="E2974:E3034" si="68">LEFT(D2974,2)</f>
        <v>18</v>
      </c>
      <c r="F2974" s="311">
        <v>45034</v>
      </c>
      <c r="G2974" s="256" t="s">
        <v>4676</v>
      </c>
      <c r="H2974" s="268" t="s">
        <v>4670</v>
      </c>
      <c r="I2974" s="99" t="s">
        <v>4676</v>
      </c>
      <c r="J2974" s="20"/>
      <c r="K2974" s="21"/>
      <c r="L2974" s="21"/>
      <c r="M2974" s="21"/>
      <c r="N2974" s="21"/>
      <c r="O2974" s="21"/>
      <c r="Q2974">
        <f t="shared" si="64"/>
        <v>4.583333333333333</v>
      </c>
      <c r="R2974">
        <v>4</v>
      </c>
      <c r="S2974" t="s">
        <v>5046</v>
      </c>
      <c r="T2974">
        <v>7</v>
      </c>
      <c r="U2974" t="s">
        <v>5048</v>
      </c>
      <c r="V2974">
        <f t="shared" si="66"/>
        <v>4.583333333333333</v>
      </c>
    </row>
    <row r="2975" spans="1:22" ht="15" customHeight="1" thickBot="1" x14ac:dyDescent="0.4">
      <c r="A2975" s="2"/>
      <c r="B2975" s="100">
        <f t="shared" si="67"/>
        <v>2906</v>
      </c>
      <c r="C2975" s="256" t="s">
        <v>4383</v>
      </c>
      <c r="D2975" s="256" t="s">
        <v>4384</v>
      </c>
      <c r="E2975" s="2" t="str">
        <f t="shared" si="68"/>
        <v>18</v>
      </c>
      <c r="F2975" s="311">
        <v>45034</v>
      </c>
      <c r="G2975" s="256" t="s">
        <v>4681</v>
      </c>
      <c r="H2975" s="268">
        <v>3.62</v>
      </c>
      <c r="I2975" s="105" t="s">
        <v>4681</v>
      </c>
      <c r="J2975" s="20"/>
      <c r="K2975" s="21"/>
      <c r="L2975" s="21"/>
      <c r="M2975" s="21"/>
      <c r="N2975" s="21"/>
      <c r="O2975" s="21"/>
      <c r="Q2975">
        <f t="shared" si="64"/>
        <v>4.666666666666667</v>
      </c>
      <c r="R2975">
        <v>4</v>
      </c>
      <c r="S2975" t="s">
        <v>5046</v>
      </c>
      <c r="T2975">
        <v>8</v>
      </c>
      <c r="U2975" t="s">
        <v>5048</v>
      </c>
      <c r="V2975">
        <f t="shared" si="66"/>
        <v>4.666666666666667</v>
      </c>
    </row>
    <row r="2976" spans="1:22" ht="15" customHeight="1" thickBot="1" x14ac:dyDescent="0.4">
      <c r="A2976" s="2"/>
      <c r="B2976" s="100">
        <f t="shared" si="67"/>
        <v>2907</v>
      </c>
      <c r="C2976" s="256" t="s">
        <v>4386</v>
      </c>
      <c r="D2976" s="256" t="s">
        <v>4387</v>
      </c>
      <c r="E2976" s="2" t="str">
        <f t="shared" si="68"/>
        <v>18</v>
      </c>
      <c r="F2976" s="311">
        <v>45034</v>
      </c>
      <c r="G2976" s="256" t="s">
        <v>4681</v>
      </c>
      <c r="H2976" s="268" t="s">
        <v>4198</v>
      </c>
      <c r="I2976" s="99" t="s">
        <v>4681</v>
      </c>
      <c r="J2976" s="20"/>
      <c r="K2976" s="21"/>
      <c r="L2976" s="21"/>
      <c r="M2976" s="21"/>
      <c r="N2976" s="21"/>
      <c r="O2976" s="21"/>
      <c r="Q2976">
        <f t="shared" ref="Q2976:Q3039" si="69">IF(E2976="18",V2976,0)</f>
        <v>4.666666666666667</v>
      </c>
      <c r="R2976">
        <v>4</v>
      </c>
      <c r="S2976" t="s">
        <v>5046</v>
      </c>
      <c r="T2976">
        <v>8</v>
      </c>
      <c r="U2976" t="s">
        <v>5048</v>
      </c>
      <c r="V2976">
        <f t="shared" si="66"/>
        <v>4.666666666666667</v>
      </c>
    </row>
    <row r="2977" spans="1:22" s="4" customFormat="1" ht="15" customHeight="1" thickBot="1" x14ac:dyDescent="0.4">
      <c r="A2977" s="2"/>
      <c r="B2977" s="100">
        <f t="shared" si="67"/>
        <v>2908</v>
      </c>
      <c r="C2977" s="258" t="s">
        <v>4389</v>
      </c>
      <c r="D2977" s="258" t="s">
        <v>4390</v>
      </c>
      <c r="E2977" s="2" t="str">
        <f t="shared" si="68"/>
        <v>18</v>
      </c>
      <c r="F2977" s="311">
        <v>45034</v>
      </c>
      <c r="G2977" s="256" t="s">
        <v>4861</v>
      </c>
      <c r="H2977" s="268">
        <v>3.27</v>
      </c>
      <c r="I2977" s="99" t="s">
        <v>4861</v>
      </c>
      <c r="J2977" s="23"/>
      <c r="K2977" s="25" t="s">
        <v>580</v>
      </c>
      <c r="L2977" s="24"/>
      <c r="M2977" s="24"/>
      <c r="N2977" s="24"/>
      <c r="O2977" s="24"/>
      <c r="Q2977">
        <f t="shared" si="69"/>
        <v>4.666666666666667</v>
      </c>
      <c r="R2977" s="4">
        <v>4</v>
      </c>
      <c r="S2977" s="4" t="s">
        <v>5049</v>
      </c>
      <c r="T2977" s="4">
        <v>8</v>
      </c>
      <c r="U2977" s="4" t="s">
        <v>5050</v>
      </c>
      <c r="V2977">
        <f t="shared" si="66"/>
        <v>4.666666666666667</v>
      </c>
    </row>
    <row r="2978" spans="1:22" ht="15" customHeight="1" thickBot="1" x14ac:dyDescent="0.4">
      <c r="A2978" s="2"/>
      <c r="B2978" s="100">
        <f t="shared" si="67"/>
        <v>2909</v>
      </c>
      <c r="C2978" s="258" t="s">
        <v>4391</v>
      </c>
      <c r="D2978" s="258" t="s">
        <v>4392</v>
      </c>
      <c r="E2978" s="2" t="str">
        <f t="shared" si="68"/>
        <v>18</v>
      </c>
      <c r="F2978" s="256" t="s">
        <v>4945</v>
      </c>
      <c r="G2978" s="256" t="s">
        <v>4686</v>
      </c>
      <c r="H2978" s="268">
        <v>3.32</v>
      </c>
      <c r="I2978" s="99" t="s">
        <v>4686</v>
      </c>
      <c r="J2978" s="20"/>
      <c r="K2978" s="19"/>
      <c r="L2978" s="21"/>
      <c r="M2978" s="21"/>
      <c r="N2978" s="21"/>
      <c r="O2978" s="21"/>
      <c r="Q2978">
        <f t="shared" si="69"/>
        <v>4.75</v>
      </c>
      <c r="R2978">
        <v>4</v>
      </c>
      <c r="S2978" t="s">
        <v>5046</v>
      </c>
      <c r="T2978">
        <v>9</v>
      </c>
      <c r="U2978" t="s">
        <v>5048</v>
      </c>
      <c r="V2978">
        <f t="shared" si="66"/>
        <v>4.75</v>
      </c>
    </row>
    <row r="2979" spans="1:22" ht="15" customHeight="1" thickBot="1" x14ac:dyDescent="0.4">
      <c r="A2979" s="2"/>
      <c r="B2979" s="100">
        <f t="shared" si="67"/>
        <v>2910</v>
      </c>
      <c r="C2979" s="256" t="s">
        <v>4396</v>
      </c>
      <c r="D2979" s="256" t="s">
        <v>4397</v>
      </c>
      <c r="E2979" s="2" t="str">
        <f t="shared" si="68"/>
        <v>18</v>
      </c>
      <c r="F2979" s="256" t="s">
        <v>4945</v>
      </c>
      <c r="G2979" s="256" t="s">
        <v>4686</v>
      </c>
      <c r="H2979" s="266">
        <v>3.06</v>
      </c>
      <c r="I2979" s="99" t="s">
        <v>4686</v>
      </c>
      <c r="J2979" s="20"/>
      <c r="K2979" s="19"/>
      <c r="L2979" s="21"/>
      <c r="M2979" s="21"/>
      <c r="N2979" s="21"/>
      <c r="O2979" s="21"/>
      <c r="Q2979">
        <f t="shared" si="69"/>
        <v>4.75</v>
      </c>
      <c r="R2979">
        <v>4</v>
      </c>
      <c r="S2979" t="s">
        <v>5046</v>
      </c>
      <c r="T2979">
        <v>9</v>
      </c>
      <c r="U2979" t="s">
        <v>5048</v>
      </c>
      <c r="V2979">
        <f t="shared" si="66"/>
        <v>4.75</v>
      </c>
    </row>
    <row r="2980" spans="1:22" ht="15" customHeight="1" thickBot="1" x14ac:dyDescent="0.4">
      <c r="A2980" s="2"/>
      <c r="B2980" s="100">
        <f t="shared" si="67"/>
        <v>2911</v>
      </c>
      <c r="C2980" s="256" t="s">
        <v>4400</v>
      </c>
      <c r="D2980" s="256" t="s">
        <v>4401</v>
      </c>
      <c r="E2980" s="2" t="str">
        <f t="shared" si="68"/>
        <v>18</v>
      </c>
      <c r="F2980" s="256" t="s">
        <v>4945</v>
      </c>
      <c r="G2980" s="256" t="s">
        <v>4830</v>
      </c>
      <c r="H2980" s="266">
        <v>3.07</v>
      </c>
      <c r="I2980" s="99" t="s">
        <v>4830</v>
      </c>
      <c r="J2980" s="20"/>
      <c r="K2980" s="19"/>
      <c r="L2980" s="21"/>
      <c r="M2980" s="21"/>
      <c r="N2980" s="21"/>
      <c r="O2980" s="21"/>
      <c r="Q2980">
        <f t="shared" si="69"/>
        <v>5</v>
      </c>
      <c r="R2980">
        <v>5</v>
      </c>
      <c r="S2980" t="s">
        <v>5046</v>
      </c>
      <c r="T2980">
        <v>0</v>
      </c>
      <c r="U2980" t="s">
        <v>5048</v>
      </c>
      <c r="V2980">
        <f t="shared" si="66"/>
        <v>5</v>
      </c>
    </row>
    <row r="2981" spans="1:22" ht="15" customHeight="1" thickBot="1" x14ac:dyDescent="0.4">
      <c r="A2981" s="2"/>
      <c r="B2981" s="100">
        <f t="shared" si="67"/>
        <v>2912</v>
      </c>
      <c r="C2981" s="256" t="s">
        <v>4404</v>
      </c>
      <c r="D2981" s="256" t="s">
        <v>4405</v>
      </c>
      <c r="E2981" s="2" t="str">
        <f t="shared" si="68"/>
        <v>19</v>
      </c>
      <c r="F2981" s="256" t="s">
        <v>4945</v>
      </c>
      <c r="G2981" s="256" t="s">
        <v>4805</v>
      </c>
      <c r="H2981" s="268">
        <v>3.84</v>
      </c>
      <c r="I2981" s="99" t="s">
        <v>4805</v>
      </c>
      <c r="J2981" s="20"/>
      <c r="K2981" s="19"/>
      <c r="L2981" s="21"/>
      <c r="M2981" s="21"/>
      <c r="N2981" s="21"/>
      <c r="O2981" s="21"/>
      <c r="Q2981">
        <f t="shared" si="69"/>
        <v>0</v>
      </c>
      <c r="R2981">
        <v>3</v>
      </c>
      <c r="S2981" t="s">
        <v>5046</v>
      </c>
      <c r="T2981">
        <v>10</v>
      </c>
      <c r="U2981" t="s">
        <v>5048</v>
      </c>
      <c r="V2981">
        <f t="shared" si="66"/>
        <v>3.8333333333333335</v>
      </c>
    </row>
    <row r="2982" spans="1:22" ht="15" customHeight="1" thickBot="1" x14ac:dyDescent="0.4">
      <c r="A2982" s="2"/>
      <c r="B2982" s="100">
        <f t="shared" si="67"/>
        <v>2913</v>
      </c>
      <c r="C2982" s="256" t="s">
        <v>4407</v>
      </c>
      <c r="D2982" s="256" t="s">
        <v>4408</v>
      </c>
      <c r="E2982" s="2" t="str">
        <f t="shared" si="68"/>
        <v>19</v>
      </c>
      <c r="F2982" s="256" t="s">
        <v>4946</v>
      </c>
      <c r="G2982" s="256" t="s">
        <v>4805</v>
      </c>
      <c r="H2982" s="268">
        <v>3.68</v>
      </c>
      <c r="I2982" s="99" t="s">
        <v>4805</v>
      </c>
      <c r="J2982" s="20"/>
      <c r="K2982" s="19"/>
      <c r="L2982" s="21"/>
      <c r="M2982" s="21"/>
      <c r="N2982" s="21"/>
      <c r="O2982" s="21"/>
      <c r="Q2982">
        <f t="shared" si="69"/>
        <v>0</v>
      </c>
      <c r="R2982">
        <v>3</v>
      </c>
      <c r="S2982" t="s">
        <v>5046</v>
      </c>
      <c r="T2982">
        <v>10</v>
      </c>
      <c r="U2982" t="s">
        <v>5048</v>
      </c>
      <c r="V2982">
        <f t="shared" si="66"/>
        <v>3.8333333333333335</v>
      </c>
    </row>
    <row r="2983" spans="1:22" ht="15" customHeight="1" thickBot="1" x14ac:dyDescent="0.4">
      <c r="A2983" s="2"/>
      <c r="B2983" s="100">
        <f t="shared" si="67"/>
        <v>2914</v>
      </c>
      <c r="C2983" s="256" t="s">
        <v>4410</v>
      </c>
      <c r="D2983" s="256" t="s">
        <v>4411</v>
      </c>
      <c r="E2983" s="2" t="str">
        <f t="shared" si="68"/>
        <v>19</v>
      </c>
      <c r="F2983" s="256" t="s">
        <v>4946</v>
      </c>
      <c r="G2983" s="256" t="s">
        <v>4814</v>
      </c>
      <c r="H2983" s="266">
        <v>3.47</v>
      </c>
      <c r="I2983" s="99" t="s">
        <v>4814</v>
      </c>
      <c r="J2983" s="20"/>
      <c r="K2983" s="19"/>
      <c r="L2983" s="21"/>
      <c r="M2983" s="21"/>
      <c r="N2983" s="21"/>
      <c r="O2983" s="21"/>
      <c r="Q2983">
        <f t="shared" si="69"/>
        <v>0</v>
      </c>
      <c r="R2983">
        <v>3</v>
      </c>
      <c r="S2983" t="s">
        <v>5049</v>
      </c>
      <c r="T2983">
        <v>10</v>
      </c>
      <c r="U2983" t="s">
        <v>5050</v>
      </c>
      <c r="V2983">
        <f t="shared" si="66"/>
        <v>3.8333333333333335</v>
      </c>
    </row>
    <row r="2984" spans="1:22" ht="15" customHeight="1" thickBot="1" x14ac:dyDescent="0.4">
      <c r="A2984" s="2"/>
      <c r="B2984" s="100">
        <f t="shared" si="67"/>
        <v>2915</v>
      </c>
      <c r="C2984" s="256" t="s">
        <v>4412</v>
      </c>
      <c r="D2984" s="256" t="s">
        <v>4413</v>
      </c>
      <c r="E2984" s="2" t="str">
        <f t="shared" si="68"/>
        <v>16</v>
      </c>
      <c r="F2984" s="279" t="s">
        <v>4947</v>
      </c>
      <c r="G2984" s="256" t="s">
        <v>4733</v>
      </c>
      <c r="H2984" s="257">
        <v>2.56</v>
      </c>
      <c r="I2984" s="99" t="s">
        <v>4733</v>
      </c>
      <c r="J2984" s="20"/>
      <c r="K2984" s="19"/>
      <c r="L2984" s="21"/>
      <c r="M2984" s="21"/>
      <c r="N2984" s="21"/>
      <c r="O2984" s="21"/>
      <c r="Q2984">
        <f t="shared" si="69"/>
        <v>0</v>
      </c>
      <c r="R2984">
        <v>6</v>
      </c>
      <c r="S2984" t="s">
        <v>5046</v>
      </c>
      <c r="T2984">
        <v>11</v>
      </c>
      <c r="U2984" t="s">
        <v>5048</v>
      </c>
      <c r="V2984">
        <f t="shared" si="66"/>
        <v>6.916666666666667</v>
      </c>
    </row>
    <row r="2985" spans="1:22" ht="15" customHeight="1" thickBot="1" x14ac:dyDescent="0.4">
      <c r="A2985" s="2"/>
      <c r="B2985" s="100">
        <f>B2984+1</f>
        <v>2916</v>
      </c>
      <c r="C2985" s="256" t="s">
        <v>4414</v>
      </c>
      <c r="D2985" s="256" t="s">
        <v>4415</v>
      </c>
      <c r="E2985" s="2" t="str">
        <f t="shared" si="68"/>
        <v>16</v>
      </c>
      <c r="F2985" s="279" t="s">
        <v>4947</v>
      </c>
      <c r="G2985" s="256" t="s">
        <v>4948</v>
      </c>
      <c r="H2985" s="257">
        <v>2.79</v>
      </c>
      <c r="I2985" s="99" t="s">
        <v>4948</v>
      </c>
      <c r="J2985" s="20"/>
      <c r="K2985" s="19"/>
      <c r="L2985" s="21"/>
      <c r="M2985" s="21"/>
      <c r="N2985" s="21"/>
      <c r="O2985" s="21"/>
      <c r="Q2985">
        <f t="shared" si="69"/>
        <v>0</v>
      </c>
      <c r="R2985">
        <v>6</v>
      </c>
      <c r="S2985" t="s">
        <v>5049</v>
      </c>
      <c r="T2985">
        <v>11</v>
      </c>
      <c r="U2985" t="s">
        <v>5050</v>
      </c>
      <c r="V2985">
        <f t="shared" si="66"/>
        <v>6.916666666666667</v>
      </c>
    </row>
    <row r="2986" spans="1:22" ht="15" customHeight="1" thickBot="1" x14ac:dyDescent="0.4">
      <c r="A2986" s="2"/>
      <c r="B2986" s="100">
        <f t="shared" si="67"/>
        <v>2917</v>
      </c>
      <c r="C2986" s="254" t="s">
        <v>4416</v>
      </c>
      <c r="D2986" s="254" t="s">
        <v>4417</v>
      </c>
      <c r="E2986" s="2" t="str">
        <f t="shared" si="68"/>
        <v>16</v>
      </c>
      <c r="F2986" s="279" t="s">
        <v>4947</v>
      </c>
      <c r="G2986" s="256" t="s">
        <v>4949</v>
      </c>
      <c r="H2986" s="257">
        <v>2.37</v>
      </c>
      <c r="I2986" s="99" t="s">
        <v>4949</v>
      </c>
      <c r="J2986" s="20"/>
      <c r="K2986" s="19"/>
      <c r="L2986" s="21"/>
      <c r="M2986" s="21"/>
      <c r="N2986" s="21"/>
      <c r="O2986" s="21"/>
      <c r="Q2986">
        <f t="shared" si="69"/>
        <v>0</v>
      </c>
      <c r="R2986">
        <v>7</v>
      </c>
      <c r="S2986" t="s">
        <v>5049</v>
      </c>
      <c r="T2986">
        <v>0</v>
      </c>
      <c r="U2986" t="s">
        <v>5050</v>
      </c>
      <c r="V2986">
        <f t="shared" si="66"/>
        <v>7</v>
      </c>
    </row>
    <row r="2987" spans="1:22" ht="15" customHeight="1" thickBot="1" x14ac:dyDescent="0.4">
      <c r="A2987" s="2"/>
      <c r="B2987" s="100">
        <f t="shared" si="67"/>
        <v>2918</v>
      </c>
      <c r="C2987" s="256" t="s">
        <v>4418</v>
      </c>
      <c r="D2987" s="256" t="s">
        <v>4419</v>
      </c>
      <c r="E2987" s="2" t="str">
        <f t="shared" si="68"/>
        <v>18</v>
      </c>
      <c r="F2987" s="279" t="s">
        <v>4947</v>
      </c>
      <c r="G2987" s="256" t="s">
        <v>4950</v>
      </c>
      <c r="H2987" s="257">
        <v>2.86</v>
      </c>
      <c r="I2987" s="99" t="s">
        <v>4950</v>
      </c>
      <c r="J2987" s="20"/>
      <c r="K2987" s="19"/>
      <c r="L2987" s="21"/>
      <c r="M2987" s="21"/>
      <c r="N2987" s="21"/>
      <c r="O2987" s="21"/>
      <c r="Q2987">
        <f t="shared" si="69"/>
        <v>4.833333333333333</v>
      </c>
      <c r="R2987">
        <v>4</v>
      </c>
      <c r="S2987" t="s">
        <v>5049</v>
      </c>
      <c r="T2987">
        <v>10</v>
      </c>
      <c r="U2987" t="s">
        <v>5050</v>
      </c>
      <c r="V2987">
        <f t="shared" si="66"/>
        <v>4.833333333333333</v>
      </c>
    </row>
    <row r="2988" spans="1:22" ht="15" customHeight="1" thickBot="1" x14ac:dyDescent="0.4">
      <c r="A2988" s="2"/>
      <c r="B2988" s="100">
        <f t="shared" si="67"/>
        <v>2919</v>
      </c>
      <c r="C2988" s="256" t="s">
        <v>4420</v>
      </c>
      <c r="D2988" s="256" t="s">
        <v>4421</v>
      </c>
      <c r="E2988" s="2" t="str">
        <f t="shared" si="68"/>
        <v>18</v>
      </c>
      <c r="F2988" s="279" t="s">
        <v>4947</v>
      </c>
      <c r="G2988" s="256" t="s">
        <v>4951</v>
      </c>
      <c r="H2988" s="2">
        <v>3.36</v>
      </c>
      <c r="I2988" s="99" t="s">
        <v>4951</v>
      </c>
      <c r="J2988" s="20"/>
      <c r="K2988" s="19"/>
      <c r="L2988" s="21"/>
      <c r="M2988" s="21"/>
      <c r="N2988" s="21"/>
      <c r="O2988" s="21"/>
      <c r="Q2988">
        <f t="shared" si="69"/>
        <v>5.916666666666667</v>
      </c>
      <c r="R2988">
        <v>5</v>
      </c>
      <c r="S2988" t="s">
        <v>5049</v>
      </c>
      <c r="T2988">
        <v>11</v>
      </c>
      <c r="U2988" t="s">
        <v>5050</v>
      </c>
      <c r="V2988">
        <f t="shared" si="66"/>
        <v>5.916666666666667</v>
      </c>
    </row>
    <row r="2989" spans="1:22" ht="15" customHeight="1" thickBot="1" x14ac:dyDescent="0.4">
      <c r="A2989" s="2"/>
      <c r="B2989" s="100">
        <f t="shared" si="67"/>
        <v>2920</v>
      </c>
      <c r="C2989" s="256" t="s">
        <v>4422</v>
      </c>
      <c r="D2989" s="256" t="s">
        <v>4423</v>
      </c>
      <c r="E2989" s="2" t="str">
        <f t="shared" si="68"/>
        <v>18</v>
      </c>
      <c r="F2989" s="279" t="s">
        <v>4947</v>
      </c>
      <c r="G2989" s="256" t="s">
        <v>4694</v>
      </c>
      <c r="H2989" s="268" t="s">
        <v>4952</v>
      </c>
      <c r="I2989" s="99" t="s">
        <v>4694</v>
      </c>
      <c r="J2989" s="20"/>
      <c r="K2989" s="19"/>
      <c r="L2989" s="21"/>
      <c r="M2989" s="21"/>
      <c r="N2989" s="21"/>
      <c r="O2989" s="21"/>
      <c r="Q2989">
        <f t="shared" si="69"/>
        <v>4.916666666666667</v>
      </c>
      <c r="R2989">
        <v>4</v>
      </c>
      <c r="S2989" t="s">
        <v>5046</v>
      </c>
      <c r="T2989">
        <v>11</v>
      </c>
      <c r="U2989" t="s">
        <v>5048</v>
      </c>
      <c r="V2989">
        <f t="shared" si="66"/>
        <v>4.916666666666667</v>
      </c>
    </row>
    <row r="2990" spans="1:22" ht="15" customHeight="1" thickBot="1" x14ac:dyDescent="0.4">
      <c r="A2990" s="2"/>
      <c r="B2990" s="100">
        <f t="shared" si="67"/>
        <v>2921</v>
      </c>
      <c r="C2990" s="256" t="s">
        <v>4424</v>
      </c>
      <c r="D2990" s="256" t="s">
        <v>4425</v>
      </c>
      <c r="E2990" s="2" t="str">
        <f t="shared" si="68"/>
        <v>19</v>
      </c>
      <c r="F2990" s="279" t="s">
        <v>4947</v>
      </c>
      <c r="G2990" s="256" t="s">
        <v>4688</v>
      </c>
      <c r="H2990" s="257">
        <v>3.59</v>
      </c>
      <c r="I2990" s="99" t="s">
        <v>4688</v>
      </c>
      <c r="J2990" s="20"/>
      <c r="K2990" s="19"/>
      <c r="L2990" s="21"/>
      <c r="M2990" s="21"/>
      <c r="N2990" s="21"/>
      <c r="O2990" s="21"/>
      <c r="Q2990">
        <f t="shared" si="69"/>
        <v>0</v>
      </c>
      <c r="R2990">
        <v>3</v>
      </c>
      <c r="S2990" t="s">
        <v>5046</v>
      </c>
      <c r="T2990">
        <v>11</v>
      </c>
      <c r="U2990" t="s">
        <v>5048</v>
      </c>
      <c r="V2990">
        <f t="shared" si="66"/>
        <v>3.9166666666666665</v>
      </c>
    </row>
    <row r="2991" spans="1:22" ht="15" customHeight="1" thickBot="1" x14ac:dyDescent="0.4">
      <c r="A2991" s="2"/>
      <c r="B2991" s="100">
        <f t="shared" si="67"/>
        <v>2922</v>
      </c>
      <c r="C2991" s="256" t="s">
        <v>4426</v>
      </c>
      <c r="D2991" s="256" t="s">
        <v>4427</v>
      </c>
      <c r="E2991" s="2" t="str">
        <f t="shared" si="68"/>
        <v>19</v>
      </c>
      <c r="F2991" s="279" t="s">
        <v>4947</v>
      </c>
      <c r="G2991" s="256" t="s">
        <v>4743</v>
      </c>
      <c r="H2991" s="2">
        <v>3.77</v>
      </c>
      <c r="I2991" s="99" t="s">
        <v>4743</v>
      </c>
      <c r="J2991" s="20"/>
      <c r="K2991" s="19"/>
      <c r="L2991" s="21"/>
      <c r="M2991" s="21"/>
      <c r="N2991" s="21"/>
      <c r="O2991" s="21"/>
      <c r="Q2991">
        <f t="shared" si="69"/>
        <v>0</v>
      </c>
      <c r="R2991">
        <v>4</v>
      </c>
      <c r="S2991" t="s">
        <v>5046</v>
      </c>
      <c r="T2991">
        <v>0</v>
      </c>
      <c r="U2991" t="s">
        <v>5048</v>
      </c>
      <c r="V2991">
        <f t="shared" si="66"/>
        <v>4</v>
      </c>
    </row>
    <row r="2992" spans="1:22" ht="15" customHeight="1" thickBot="1" x14ac:dyDescent="0.4">
      <c r="A2992" s="2"/>
      <c r="B2992" s="100">
        <f t="shared" si="67"/>
        <v>2923</v>
      </c>
      <c r="C2992" s="256" t="s">
        <v>4428</v>
      </c>
      <c r="D2992" s="256" t="s">
        <v>4429</v>
      </c>
      <c r="E2992" s="2" t="str">
        <f t="shared" si="68"/>
        <v>19</v>
      </c>
      <c r="F2992" s="279" t="s">
        <v>4947</v>
      </c>
      <c r="G2992" s="256" t="s">
        <v>4688</v>
      </c>
      <c r="H2992" s="257">
        <v>3.61</v>
      </c>
      <c r="I2992" s="99" t="s">
        <v>4688</v>
      </c>
      <c r="J2992" s="20"/>
      <c r="K2992" s="19"/>
      <c r="L2992" s="21"/>
      <c r="M2992" s="21"/>
      <c r="N2992" s="21"/>
      <c r="O2992" s="21"/>
      <c r="Q2992">
        <f t="shared" si="69"/>
        <v>0</v>
      </c>
      <c r="R2992">
        <v>3</v>
      </c>
      <c r="S2992" t="s">
        <v>5046</v>
      </c>
      <c r="T2992">
        <v>11</v>
      </c>
      <c r="U2992" t="s">
        <v>5048</v>
      </c>
      <c r="V2992">
        <f t="shared" si="66"/>
        <v>3.9166666666666665</v>
      </c>
    </row>
    <row r="2993" spans="1:22" ht="15" customHeight="1" thickBot="1" x14ac:dyDescent="0.4">
      <c r="A2993" s="2"/>
      <c r="B2993" s="100">
        <f t="shared" si="67"/>
        <v>2924</v>
      </c>
      <c r="C2993" s="256" t="s">
        <v>4430</v>
      </c>
      <c r="D2993" s="256" t="s">
        <v>4431</v>
      </c>
      <c r="E2993" s="2" t="str">
        <f t="shared" si="68"/>
        <v>19</v>
      </c>
      <c r="F2993" s="279" t="s">
        <v>4947</v>
      </c>
      <c r="G2993" s="256" t="s">
        <v>4688</v>
      </c>
      <c r="H2993" s="268" t="s">
        <v>4953</v>
      </c>
      <c r="I2993" s="99" t="s">
        <v>4688</v>
      </c>
      <c r="J2993" s="20"/>
      <c r="K2993" s="19"/>
      <c r="L2993" s="21"/>
      <c r="M2993" s="21"/>
      <c r="N2993" s="21"/>
      <c r="O2993" s="21"/>
      <c r="Q2993">
        <f t="shared" si="69"/>
        <v>0</v>
      </c>
      <c r="R2993">
        <v>3</v>
      </c>
      <c r="S2993" t="s">
        <v>5046</v>
      </c>
      <c r="T2993">
        <v>11</v>
      </c>
      <c r="U2993" t="s">
        <v>5048</v>
      </c>
      <c r="V2993">
        <f t="shared" si="66"/>
        <v>3.9166666666666665</v>
      </c>
    </row>
    <row r="2994" spans="1:22" ht="15" customHeight="1" thickBot="1" x14ac:dyDescent="0.4">
      <c r="A2994" s="2"/>
      <c r="B2994" s="100">
        <f t="shared" si="67"/>
        <v>2925</v>
      </c>
      <c r="C2994" s="256" t="s">
        <v>4432</v>
      </c>
      <c r="D2994" s="256" t="s">
        <v>4433</v>
      </c>
      <c r="E2994" s="2" t="str">
        <f t="shared" si="68"/>
        <v>19</v>
      </c>
      <c r="F2994" s="279" t="s">
        <v>4947</v>
      </c>
      <c r="G2994" s="256" t="s">
        <v>4688</v>
      </c>
      <c r="H2994" s="2">
        <v>3.38</v>
      </c>
      <c r="I2994" s="99" t="s">
        <v>4688</v>
      </c>
      <c r="J2994" s="20"/>
      <c r="K2994" s="19"/>
      <c r="L2994" s="21"/>
      <c r="M2994" s="21"/>
      <c r="N2994" s="21"/>
      <c r="O2994" s="21"/>
      <c r="Q2994">
        <f t="shared" si="69"/>
        <v>0</v>
      </c>
      <c r="R2994">
        <v>3</v>
      </c>
      <c r="S2994" t="s">
        <v>5046</v>
      </c>
      <c r="T2994">
        <v>11</v>
      </c>
      <c r="U2994" t="s">
        <v>5048</v>
      </c>
      <c r="V2994">
        <f t="shared" si="66"/>
        <v>3.9166666666666665</v>
      </c>
    </row>
    <row r="2995" spans="1:22" ht="15" customHeight="1" thickBot="1" x14ac:dyDescent="0.4">
      <c r="A2995" s="2"/>
      <c r="B2995" s="100">
        <f t="shared" si="67"/>
        <v>2926</v>
      </c>
      <c r="C2995" s="256" t="s">
        <v>4434</v>
      </c>
      <c r="D2995" s="256" t="s">
        <v>4435</v>
      </c>
      <c r="E2995" s="2" t="str">
        <f t="shared" si="68"/>
        <v>19</v>
      </c>
      <c r="F2995" s="279" t="s">
        <v>4947</v>
      </c>
      <c r="G2995" s="256" t="s">
        <v>4698</v>
      </c>
      <c r="H2995" s="268" t="s">
        <v>4707</v>
      </c>
      <c r="I2995" s="99" t="s">
        <v>4698</v>
      </c>
      <c r="J2995" s="20"/>
      <c r="K2995" s="19"/>
      <c r="L2995" s="21"/>
      <c r="M2995" s="21"/>
      <c r="N2995" s="21"/>
      <c r="O2995" s="21"/>
      <c r="Q2995">
        <f t="shared" si="69"/>
        <v>0</v>
      </c>
      <c r="R2995">
        <v>3</v>
      </c>
      <c r="S2995" t="s">
        <v>5049</v>
      </c>
      <c r="T2995">
        <v>11</v>
      </c>
      <c r="U2995" t="s">
        <v>5050</v>
      </c>
      <c r="V2995">
        <f t="shared" si="66"/>
        <v>3.9166666666666665</v>
      </c>
    </row>
    <row r="2996" spans="1:22" ht="15" customHeight="1" thickBot="1" x14ac:dyDescent="0.4">
      <c r="B2996" s="100">
        <f t="shared" si="67"/>
        <v>2927</v>
      </c>
      <c r="C2996" s="258" t="s">
        <v>4436</v>
      </c>
      <c r="D2996" s="258" t="s">
        <v>4437</v>
      </c>
      <c r="E2996" s="2" t="str">
        <f t="shared" si="68"/>
        <v>19</v>
      </c>
      <c r="F2996" s="279" t="s">
        <v>4947</v>
      </c>
      <c r="G2996" s="258" t="s">
        <v>4743</v>
      </c>
      <c r="H2996" s="280" t="s">
        <v>4863</v>
      </c>
      <c r="I2996" s="99" t="s">
        <v>4743</v>
      </c>
      <c r="J2996" s="20"/>
      <c r="K2996" s="21"/>
      <c r="L2996" s="21"/>
      <c r="M2996" s="21"/>
      <c r="N2996" s="21"/>
      <c r="O2996" s="21"/>
      <c r="Q2996">
        <f t="shared" si="69"/>
        <v>0</v>
      </c>
      <c r="R2996">
        <v>4</v>
      </c>
      <c r="S2996" t="s">
        <v>5046</v>
      </c>
      <c r="T2996">
        <v>0</v>
      </c>
      <c r="U2996" t="s">
        <v>5048</v>
      </c>
      <c r="V2996">
        <f t="shared" si="66"/>
        <v>4</v>
      </c>
    </row>
    <row r="2997" spans="1:22" ht="15" customHeight="1" thickBot="1" x14ac:dyDescent="0.4">
      <c r="A2997" s="2"/>
      <c r="B2997" s="100">
        <f t="shared" si="67"/>
        <v>2928</v>
      </c>
      <c r="C2997" s="256" t="s">
        <v>4438</v>
      </c>
      <c r="D2997" s="256" t="s">
        <v>4439</v>
      </c>
      <c r="E2997" s="2" t="str">
        <f t="shared" si="68"/>
        <v>19</v>
      </c>
      <c r="F2997" s="279" t="s">
        <v>4947</v>
      </c>
      <c r="G2997" s="256" t="s">
        <v>4606</v>
      </c>
      <c r="H2997" s="257">
        <v>3.92</v>
      </c>
      <c r="I2997" s="99" t="s">
        <v>4606</v>
      </c>
      <c r="J2997" s="20"/>
      <c r="K2997" s="21"/>
      <c r="L2997" s="21"/>
      <c r="M2997" s="21"/>
      <c r="N2997" s="21"/>
      <c r="O2997" s="21"/>
      <c r="Q2997">
        <f t="shared" si="69"/>
        <v>0</v>
      </c>
      <c r="R2997">
        <v>4</v>
      </c>
      <c r="S2997" t="s">
        <v>5046</v>
      </c>
      <c r="V2997">
        <f t="shared" ref="V2997:V3060" si="70">R2997+(T2997/12)</f>
        <v>4</v>
      </c>
    </row>
    <row r="2998" spans="1:22" ht="15" customHeight="1" thickBot="1" x14ac:dyDescent="0.4">
      <c r="A2998" s="2"/>
      <c r="B2998" s="100">
        <f t="shared" si="67"/>
        <v>2929</v>
      </c>
      <c r="C2998" s="258" t="s">
        <v>4440</v>
      </c>
      <c r="D2998" s="258" t="s">
        <v>4441</v>
      </c>
      <c r="E2998" s="2" t="str">
        <f t="shared" si="68"/>
        <v>19</v>
      </c>
      <c r="F2998" s="279" t="s">
        <v>4947</v>
      </c>
      <c r="G2998" s="258" t="s">
        <v>4743</v>
      </c>
      <c r="H2998" s="257">
        <v>3.78</v>
      </c>
      <c r="I2998" s="99" t="s">
        <v>4743</v>
      </c>
      <c r="J2998" s="20"/>
      <c r="K2998" s="21"/>
      <c r="L2998" s="21"/>
      <c r="M2998" s="21"/>
      <c r="N2998" s="21"/>
      <c r="O2998" s="21"/>
      <c r="Q2998">
        <f t="shared" si="69"/>
        <v>0</v>
      </c>
      <c r="R2998">
        <v>4</v>
      </c>
      <c r="S2998" t="s">
        <v>5046</v>
      </c>
      <c r="T2998">
        <v>0</v>
      </c>
      <c r="U2998" t="s">
        <v>5048</v>
      </c>
      <c r="V2998">
        <f t="shared" si="70"/>
        <v>4</v>
      </c>
    </row>
    <row r="2999" spans="1:22" ht="15" customHeight="1" thickBot="1" x14ac:dyDescent="0.4">
      <c r="A2999" s="2"/>
      <c r="B2999" s="100">
        <f t="shared" si="67"/>
        <v>2930</v>
      </c>
      <c r="C2999" s="258" t="s">
        <v>4442</v>
      </c>
      <c r="D2999" s="258" t="s">
        <v>4443</v>
      </c>
      <c r="E2999" s="2" t="str">
        <f t="shared" si="68"/>
        <v>19</v>
      </c>
      <c r="F2999" s="279" t="s">
        <v>4947</v>
      </c>
      <c r="G2999" s="258" t="s">
        <v>4748</v>
      </c>
      <c r="H2999" s="280" t="s">
        <v>4844</v>
      </c>
      <c r="I2999" s="99" t="s">
        <v>4748</v>
      </c>
      <c r="J2999" s="20"/>
      <c r="K2999" s="21"/>
      <c r="L2999" s="21"/>
      <c r="M2999" s="21"/>
      <c r="N2999" s="21"/>
      <c r="O2999" s="21"/>
      <c r="Q2999">
        <f t="shared" si="69"/>
        <v>0</v>
      </c>
      <c r="R2999">
        <v>4</v>
      </c>
      <c r="S2999" t="s">
        <v>5049</v>
      </c>
      <c r="V2999">
        <f t="shared" si="70"/>
        <v>4</v>
      </c>
    </row>
    <row r="3000" spans="1:22" ht="15" customHeight="1" thickBot="1" x14ac:dyDescent="0.4">
      <c r="A3000" s="2"/>
      <c r="B3000" s="100">
        <f t="shared" si="67"/>
        <v>2931</v>
      </c>
      <c r="C3000" s="256" t="s">
        <v>4444</v>
      </c>
      <c r="D3000" s="256" t="s">
        <v>4445</v>
      </c>
      <c r="E3000" s="2" t="str">
        <f t="shared" si="68"/>
        <v>19</v>
      </c>
      <c r="F3000" s="279" t="s">
        <v>4947</v>
      </c>
      <c r="G3000" s="256" t="s">
        <v>4688</v>
      </c>
      <c r="H3000" s="257">
        <v>3.76</v>
      </c>
      <c r="I3000" s="99" t="s">
        <v>4688</v>
      </c>
      <c r="J3000" s="20"/>
      <c r="K3000" s="21"/>
      <c r="L3000" s="21"/>
      <c r="M3000" s="21"/>
      <c r="N3000" s="21"/>
      <c r="O3000" s="21"/>
      <c r="Q3000">
        <f t="shared" si="69"/>
        <v>0</v>
      </c>
      <c r="R3000">
        <v>3</v>
      </c>
      <c r="S3000" t="s">
        <v>5046</v>
      </c>
      <c r="T3000">
        <v>11</v>
      </c>
      <c r="U3000" t="s">
        <v>5048</v>
      </c>
      <c r="V3000">
        <f t="shared" si="70"/>
        <v>3.9166666666666665</v>
      </c>
    </row>
    <row r="3001" spans="1:22" ht="15" customHeight="1" thickBot="1" x14ac:dyDescent="0.4">
      <c r="A3001" s="2"/>
      <c r="B3001" s="100">
        <f t="shared" si="67"/>
        <v>2932</v>
      </c>
      <c r="C3001" s="256" t="s">
        <v>4446</v>
      </c>
      <c r="D3001" s="256" t="s">
        <v>4447</v>
      </c>
      <c r="E3001" s="2" t="str">
        <f t="shared" si="68"/>
        <v>19</v>
      </c>
      <c r="F3001" s="279" t="s">
        <v>4947</v>
      </c>
      <c r="G3001" s="256" t="s">
        <v>4698</v>
      </c>
      <c r="H3001" s="2">
        <v>3.78</v>
      </c>
      <c r="I3001" s="99" t="s">
        <v>4698</v>
      </c>
      <c r="J3001" s="20"/>
      <c r="K3001" s="21"/>
      <c r="L3001" s="21"/>
      <c r="M3001" s="21"/>
      <c r="N3001" s="21"/>
      <c r="O3001" s="21"/>
      <c r="Q3001">
        <f t="shared" si="69"/>
        <v>0</v>
      </c>
      <c r="R3001">
        <v>3</v>
      </c>
      <c r="S3001" t="s">
        <v>5049</v>
      </c>
      <c r="T3001">
        <v>11</v>
      </c>
      <c r="U3001" t="s">
        <v>5050</v>
      </c>
      <c r="V3001">
        <f t="shared" si="70"/>
        <v>3.9166666666666665</v>
      </c>
    </row>
    <row r="3002" spans="1:22" ht="15" customHeight="1" thickBot="1" x14ac:dyDescent="0.4">
      <c r="A3002" s="2"/>
      <c r="B3002" s="100">
        <f t="shared" si="67"/>
        <v>2933</v>
      </c>
      <c r="C3002" s="256" t="s">
        <v>4954</v>
      </c>
      <c r="D3002" s="256" t="s">
        <v>4448</v>
      </c>
      <c r="E3002" s="2" t="str">
        <f t="shared" si="68"/>
        <v>19</v>
      </c>
      <c r="F3002" s="279" t="s">
        <v>4947</v>
      </c>
      <c r="G3002" s="256" t="s">
        <v>4743</v>
      </c>
      <c r="H3002" s="257">
        <v>3.58</v>
      </c>
      <c r="I3002" s="99" t="s">
        <v>4743</v>
      </c>
      <c r="J3002" s="20"/>
      <c r="K3002" s="21"/>
      <c r="L3002" s="21"/>
      <c r="M3002" s="21"/>
      <c r="N3002" s="21"/>
      <c r="O3002" s="21"/>
      <c r="Q3002">
        <f t="shared" si="69"/>
        <v>0</v>
      </c>
      <c r="R3002">
        <v>4</v>
      </c>
      <c r="S3002" t="s">
        <v>5046</v>
      </c>
      <c r="T3002">
        <v>0</v>
      </c>
      <c r="U3002" t="s">
        <v>5048</v>
      </c>
      <c r="V3002">
        <f t="shared" si="70"/>
        <v>4</v>
      </c>
    </row>
    <row r="3003" spans="1:22" ht="15" customHeight="1" thickBot="1" x14ac:dyDescent="0.4">
      <c r="A3003" s="2"/>
      <c r="B3003" s="100">
        <f t="shared" si="67"/>
        <v>2934</v>
      </c>
      <c r="C3003" s="256" t="s">
        <v>4449</v>
      </c>
      <c r="D3003" s="256" t="s">
        <v>4450</v>
      </c>
      <c r="E3003" s="2" t="str">
        <f t="shared" si="68"/>
        <v>19</v>
      </c>
      <c r="F3003" s="279" t="s">
        <v>4947</v>
      </c>
      <c r="G3003" s="256" t="s">
        <v>4698</v>
      </c>
      <c r="H3003" s="257">
        <v>3.76</v>
      </c>
      <c r="I3003" s="99" t="s">
        <v>4698</v>
      </c>
      <c r="J3003" s="20"/>
      <c r="K3003" s="21"/>
      <c r="L3003" s="21"/>
      <c r="M3003" s="21"/>
      <c r="N3003" s="21"/>
      <c r="O3003" s="21"/>
      <c r="Q3003">
        <f t="shared" si="69"/>
        <v>0</v>
      </c>
      <c r="R3003">
        <v>3</v>
      </c>
      <c r="S3003" t="s">
        <v>5049</v>
      </c>
      <c r="T3003">
        <v>11</v>
      </c>
      <c r="U3003" t="s">
        <v>5050</v>
      </c>
      <c r="V3003">
        <f t="shared" si="70"/>
        <v>3.9166666666666665</v>
      </c>
    </row>
    <row r="3004" spans="1:22" ht="15" customHeight="1" thickBot="1" x14ac:dyDescent="0.4">
      <c r="A3004" s="2"/>
      <c r="B3004" s="100">
        <f t="shared" si="67"/>
        <v>2935</v>
      </c>
      <c r="C3004" s="256" t="s">
        <v>4451</v>
      </c>
      <c r="D3004" s="256" t="s">
        <v>4452</v>
      </c>
      <c r="E3004" s="2" t="str">
        <f t="shared" si="68"/>
        <v>19</v>
      </c>
      <c r="F3004" s="279" t="s">
        <v>4947</v>
      </c>
      <c r="G3004" s="256" t="s">
        <v>4606</v>
      </c>
      <c r="H3004" s="2">
        <v>3.35</v>
      </c>
      <c r="I3004" s="99" t="s">
        <v>4606</v>
      </c>
      <c r="J3004" s="20"/>
      <c r="K3004" s="21"/>
      <c r="L3004" s="21"/>
      <c r="M3004" s="21"/>
      <c r="N3004" s="21"/>
      <c r="O3004" s="21"/>
      <c r="Q3004">
        <f t="shared" si="69"/>
        <v>0</v>
      </c>
      <c r="R3004">
        <v>4</v>
      </c>
      <c r="S3004" t="s">
        <v>5046</v>
      </c>
      <c r="V3004">
        <f t="shared" si="70"/>
        <v>4</v>
      </c>
    </row>
    <row r="3005" spans="1:22" ht="15" customHeight="1" thickBot="1" x14ac:dyDescent="0.4">
      <c r="A3005" s="2"/>
      <c r="B3005" s="100">
        <f t="shared" si="67"/>
        <v>2936</v>
      </c>
      <c r="C3005" s="256" t="s">
        <v>4453</v>
      </c>
      <c r="D3005" s="256" t="s">
        <v>4454</v>
      </c>
      <c r="E3005" s="2" t="str">
        <f t="shared" si="68"/>
        <v>19</v>
      </c>
      <c r="F3005" s="279" t="s">
        <v>4947</v>
      </c>
      <c r="G3005" s="256" t="s">
        <v>4698</v>
      </c>
      <c r="H3005" s="266" t="s">
        <v>4624</v>
      </c>
      <c r="I3005" s="99" t="s">
        <v>4698</v>
      </c>
      <c r="J3005" s="20"/>
      <c r="K3005" s="21"/>
      <c r="L3005" s="21"/>
      <c r="M3005" s="21"/>
      <c r="N3005" s="21"/>
      <c r="O3005" s="21"/>
      <c r="Q3005">
        <f t="shared" si="69"/>
        <v>0</v>
      </c>
      <c r="R3005">
        <v>3</v>
      </c>
      <c r="S3005" t="s">
        <v>5049</v>
      </c>
      <c r="T3005">
        <v>11</v>
      </c>
      <c r="U3005" t="s">
        <v>5050</v>
      </c>
      <c r="V3005">
        <f t="shared" si="70"/>
        <v>3.9166666666666665</v>
      </c>
    </row>
    <row r="3006" spans="1:22" ht="15" customHeight="1" thickBot="1" x14ac:dyDescent="0.4">
      <c r="A3006" s="2"/>
      <c r="B3006" s="100">
        <f t="shared" si="67"/>
        <v>2937</v>
      </c>
      <c r="C3006" s="256" t="s">
        <v>4455</v>
      </c>
      <c r="D3006" s="256" t="s">
        <v>4456</v>
      </c>
      <c r="E3006" s="2" t="str">
        <f t="shared" si="68"/>
        <v>19</v>
      </c>
      <c r="F3006" s="279" t="s">
        <v>4947</v>
      </c>
      <c r="G3006" s="256" t="s">
        <v>4688</v>
      </c>
      <c r="H3006" s="268" t="s">
        <v>4648</v>
      </c>
      <c r="I3006" s="99" t="s">
        <v>4688</v>
      </c>
      <c r="J3006" s="20"/>
      <c r="K3006" s="21"/>
      <c r="L3006" s="21"/>
      <c r="M3006" s="21"/>
      <c r="N3006" s="21"/>
      <c r="O3006" s="21"/>
      <c r="Q3006">
        <f t="shared" si="69"/>
        <v>0</v>
      </c>
      <c r="R3006">
        <v>3</v>
      </c>
      <c r="S3006" t="s">
        <v>5046</v>
      </c>
      <c r="T3006">
        <v>11</v>
      </c>
      <c r="U3006" t="s">
        <v>5048</v>
      </c>
      <c r="V3006">
        <f t="shared" si="70"/>
        <v>3.9166666666666665</v>
      </c>
    </row>
    <row r="3007" spans="1:22" ht="15" customHeight="1" thickBot="1" x14ac:dyDescent="0.4">
      <c r="A3007" s="2"/>
      <c r="B3007" s="100">
        <f t="shared" si="67"/>
        <v>2938</v>
      </c>
      <c r="C3007" s="256" t="s">
        <v>4457</v>
      </c>
      <c r="D3007" s="256" t="s">
        <v>4458</v>
      </c>
      <c r="E3007" s="2" t="str">
        <f t="shared" si="68"/>
        <v>19</v>
      </c>
      <c r="F3007" s="279" t="s">
        <v>4947</v>
      </c>
      <c r="G3007" s="256" t="s">
        <v>4698</v>
      </c>
      <c r="H3007" s="2">
        <v>3.66</v>
      </c>
      <c r="I3007" s="99" t="s">
        <v>4698</v>
      </c>
      <c r="J3007" s="20"/>
      <c r="K3007" s="21"/>
      <c r="L3007" s="21"/>
      <c r="M3007" s="21"/>
      <c r="N3007" s="21"/>
      <c r="O3007" s="21"/>
      <c r="Q3007">
        <f t="shared" si="69"/>
        <v>0</v>
      </c>
      <c r="R3007">
        <v>3</v>
      </c>
      <c r="S3007" t="s">
        <v>5049</v>
      </c>
      <c r="T3007">
        <v>11</v>
      </c>
      <c r="U3007" t="s">
        <v>5050</v>
      </c>
      <c r="V3007">
        <f t="shared" si="70"/>
        <v>3.9166666666666665</v>
      </c>
    </row>
    <row r="3008" spans="1:22" ht="15" customHeight="1" thickBot="1" x14ac:dyDescent="0.4">
      <c r="A3008" s="2"/>
      <c r="B3008" s="100">
        <f t="shared" si="67"/>
        <v>2939</v>
      </c>
      <c r="C3008" s="256" t="s">
        <v>4459</v>
      </c>
      <c r="D3008" s="256" t="s">
        <v>4460</v>
      </c>
      <c r="E3008" s="2" t="str">
        <f t="shared" si="68"/>
        <v>19</v>
      </c>
      <c r="F3008" s="279" t="s">
        <v>4947</v>
      </c>
      <c r="G3008" s="256" t="s">
        <v>4743</v>
      </c>
      <c r="H3008" s="2">
        <v>3.46</v>
      </c>
      <c r="I3008" s="99" t="s">
        <v>4743</v>
      </c>
      <c r="J3008" s="20"/>
      <c r="K3008" s="21"/>
      <c r="L3008" s="21"/>
      <c r="M3008" s="21"/>
      <c r="N3008" s="21"/>
      <c r="O3008" s="21"/>
      <c r="Q3008">
        <f t="shared" si="69"/>
        <v>0</v>
      </c>
      <c r="R3008">
        <v>4</v>
      </c>
      <c r="S3008" t="s">
        <v>5046</v>
      </c>
      <c r="T3008">
        <v>0</v>
      </c>
      <c r="U3008" t="s">
        <v>5048</v>
      </c>
      <c r="V3008">
        <f t="shared" si="70"/>
        <v>4</v>
      </c>
    </row>
    <row r="3009" spans="1:22" ht="15" customHeight="1" thickBot="1" x14ac:dyDescent="0.4">
      <c r="A3009" s="2"/>
      <c r="B3009" s="100">
        <f t="shared" si="67"/>
        <v>2940</v>
      </c>
      <c r="C3009" s="256" t="s">
        <v>4461</v>
      </c>
      <c r="D3009" s="256" t="s">
        <v>4462</v>
      </c>
      <c r="E3009" s="2" t="str">
        <f t="shared" si="68"/>
        <v>16</v>
      </c>
      <c r="F3009" s="256" t="s">
        <v>4955</v>
      </c>
      <c r="G3009" s="256" t="s">
        <v>4956</v>
      </c>
      <c r="H3009" s="266">
        <v>3.07</v>
      </c>
      <c r="I3009" s="99" t="s">
        <v>4956</v>
      </c>
      <c r="J3009" s="20"/>
      <c r="K3009" s="21"/>
      <c r="L3009" s="21"/>
      <c r="M3009" s="21"/>
      <c r="N3009" s="21"/>
      <c r="O3009" s="21"/>
      <c r="Q3009">
        <f t="shared" si="69"/>
        <v>0</v>
      </c>
      <c r="R3009">
        <v>7</v>
      </c>
      <c r="S3009" t="s">
        <v>5046</v>
      </c>
      <c r="T3009">
        <v>0</v>
      </c>
      <c r="U3009" t="s">
        <v>5048</v>
      </c>
      <c r="V3009">
        <f t="shared" si="70"/>
        <v>7</v>
      </c>
    </row>
    <row r="3010" spans="1:22" ht="15" customHeight="1" thickBot="1" x14ac:dyDescent="0.4">
      <c r="A3010" s="2"/>
      <c r="B3010" s="100">
        <f t="shared" si="67"/>
        <v>2941</v>
      </c>
      <c r="C3010" s="256" t="s">
        <v>4463</v>
      </c>
      <c r="D3010" s="256" t="s">
        <v>4464</v>
      </c>
      <c r="E3010" s="2" t="str">
        <f t="shared" si="68"/>
        <v>18</v>
      </c>
      <c r="F3010" s="256" t="s">
        <v>4955</v>
      </c>
      <c r="G3010" s="256" t="s">
        <v>4694</v>
      </c>
      <c r="H3010" s="268">
        <v>3.42</v>
      </c>
      <c r="I3010" s="99" t="s">
        <v>4694</v>
      </c>
      <c r="J3010" s="20"/>
      <c r="K3010" s="21"/>
      <c r="L3010" s="21"/>
      <c r="M3010" s="21"/>
      <c r="N3010" s="21"/>
      <c r="O3010" s="21"/>
      <c r="Q3010">
        <f t="shared" si="69"/>
        <v>4.916666666666667</v>
      </c>
      <c r="R3010">
        <v>4</v>
      </c>
      <c r="S3010" t="s">
        <v>5046</v>
      </c>
      <c r="T3010">
        <v>11</v>
      </c>
      <c r="U3010" t="s">
        <v>5048</v>
      </c>
      <c r="V3010">
        <f t="shared" si="70"/>
        <v>4.916666666666667</v>
      </c>
    </row>
    <row r="3011" spans="1:22" ht="15" customHeight="1" thickBot="1" x14ac:dyDescent="0.4">
      <c r="A3011" s="2"/>
      <c r="B3011" s="100">
        <f t="shared" si="67"/>
        <v>2942</v>
      </c>
      <c r="C3011" s="256" t="s">
        <v>4465</v>
      </c>
      <c r="D3011" s="256" t="s">
        <v>4466</v>
      </c>
      <c r="E3011" s="2" t="str">
        <f t="shared" si="68"/>
        <v>18</v>
      </c>
      <c r="F3011" s="256" t="s">
        <v>4955</v>
      </c>
      <c r="G3011" s="256" t="s">
        <v>4802</v>
      </c>
      <c r="H3011" s="266">
        <v>3.43</v>
      </c>
      <c r="I3011" s="99" t="s">
        <v>4802</v>
      </c>
      <c r="J3011" s="20"/>
      <c r="K3011" s="21"/>
      <c r="L3011" s="21"/>
      <c r="M3011" s="21"/>
      <c r="N3011" s="21"/>
      <c r="O3011" s="21"/>
      <c r="Q3011">
        <f t="shared" si="69"/>
        <v>5</v>
      </c>
      <c r="R3011">
        <v>5</v>
      </c>
      <c r="S3011" t="s">
        <v>5046</v>
      </c>
      <c r="V3011">
        <f t="shared" si="70"/>
        <v>5</v>
      </c>
    </row>
    <row r="3012" spans="1:22" ht="15" customHeight="1" thickBot="1" x14ac:dyDescent="0.4">
      <c r="A3012" s="2"/>
      <c r="B3012" s="100">
        <f t="shared" si="67"/>
        <v>2943</v>
      </c>
      <c r="C3012" s="256" t="s">
        <v>4467</v>
      </c>
      <c r="D3012" s="256" t="s">
        <v>4468</v>
      </c>
      <c r="E3012" s="2" t="str">
        <f t="shared" si="68"/>
        <v>18</v>
      </c>
      <c r="F3012" s="256" t="s">
        <v>4955</v>
      </c>
      <c r="G3012" s="256" t="s">
        <v>4830</v>
      </c>
      <c r="H3012" s="266">
        <v>3.32</v>
      </c>
      <c r="I3012" s="99" t="s">
        <v>4830</v>
      </c>
      <c r="J3012" s="20"/>
      <c r="K3012" s="21"/>
      <c r="L3012" s="21"/>
      <c r="M3012" s="21"/>
      <c r="N3012" s="21"/>
      <c r="O3012" s="21"/>
      <c r="Q3012">
        <f t="shared" si="69"/>
        <v>5</v>
      </c>
      <c r="R3012">
        <v>5</v>
      </c>
      <c r="S3012" t="s">
        <v>5046</v>
      </c>
      <c r="T3012">
        <v>0</v>
      </c>
      <c r="U3012" t="s">
        <v>5048</v>
      </c>
      <c r="V3012">
        <f t="shared" si="70"/>
        <v>5</v>
      </c>
    </row>
    <row r="3013" spans="1:22" ht="15" customHeight="1" thickBot="1" x14ac:dyDescent="0.4">
      <c r="A3013" s="2"/>
      <c r="B3013" s="100">
        <f t="shared" si="67"/>
        <v>2944</v>
      </c>
      <c r="C3013" s="256" t="s">
        <v>4469</v>
      </c>
      <c r="D3013" s="256" t="s">
        <v>4470</v>
      </c>
      <c r="E3013" s="2" t="str">
        <f t="shared" si="68"/>
        <v>19</v>
      </c>
      <c r="F3013" s="256" t="s">
        <v>4955</v>
      </c>
      <c r="G3013" s="256" t="s">
        <v>4688</v>
      </c>
      <c r="H3013" s="266">
        <v>3.71</v>
      </c>
      <c r="I3013" s="99" t="s">
        <v>4688</v>
      </c>
      <c r="J3013" s="20"/>
      <c r="K3013" s="21"/>
      <c r="L3013" s="21"/>
      <c r="M3013" s="21"/>
      <c r="N3013" s="21"/>
      <c r="O3013" s="21"/>
      <c r="Q3013">
        <f t="shared" si="69"/>
        <v>0</v>
      </c>
      <c r="R3013">
        <v>3</v>
      </c>
      <c r="S3013" t="s">
        <v>5046</v>
      </c>
      <c r="T3013">
        <v>11</v>
      </c>
      <c r="U3013" t="s">
        <v>5048</v>
      </c>
      <c r="V3013">
        <f t="shared" si="70"/>
        <v>3.9166666666666665</v>
      </c>
    </row>
    <row r="3014" spans="1:22" ht="15" customHeight="1" thickBot="1" x14ac:dyDescent="0.4">
      <c r="A3014" s="2"/>
      <c r="B3014" s="406">
        <f t="shared" si="67"/>
        <v>2945</v>
      </c>
      <c r="C3014" s="256" t="s">
        <v>4471</v>
      </c>
      <c r="D3014" s="256" t="s">
        <v>4472</v>
      </c>
      <c r="E3014" s="2" t="str">
        <f t="shared" si="68"/>
        <v>19</v>
      </c>
      <c r="F3014" s="256" t="s">
        <v>4955</v>
      </c>
      <c r="G3014" s="256" t="s">
        <v>4688</v>
      </c>
      <c r="H3014" s="266">
        <v>3.68</v>
      </c>
      <c r="I3014" s="99" t="s">
        <v>4688</v>
      </c>
      <c r="J3014" s="20"/>
      <c r="K3014" s="21"/>
      <c r="L3014" s="21"/>
      <c r="M3014" s="21"/>
      <c r="N3014" s="21"/>
      <c r="O3014" s="21"/>
      <c r="Q3014">
        <f t="shared" si="69"/>
        <v>0</v>
      </c>
      <c r="R3014">
        <v>3</v>
      </c>
      <c r="S3014" t="s">
        <v>5046</v>
      </c>
      <c r="T3014">
        <v>11</v>
      </c>
      <c r="U3014" t="s">
        <v>5048</v>
      </c>
      <c r="V3014">
        <f t="shared" si="70"/>
        <v>3.9166666666666665</v>
      </c>
    </row>
    <row r="3015" spans="1:22" ht="15" customHeight="1" thickTop="1" thickBot="1" x14ac:dyDescent="0.4">
      <c r="A3015" s="2"/>
      <c r="B3015" s="407">
        <f t="shared" si="67"/>
        <v>2946</v>
      </c>
      <c r="C3015" s="256" t="s">
        <v>4473</v>
      </c>
      <c r="D3015" s="256" t="s">
        <v>4474</v>
      </c>
      <c r="E3015" s="2" t="str">
        <f t="shared" si="68"/>
        <v>19</v>
      </c>
      <c r="F3015" s="256" t="s">
        <v>4955</v>
      </c>
      <c r="G3015" s="256" t="s">
        <v>4606</v>
      </c>
      <c r="H3015" s="266">
        <v>3.6</v>
      </c>
      <c r="I3015" s="99" t="s">
        <v>4606</v>
      </c>
      <c r="J3015" s="20"/>
      <c r="K3015" s="21"/>
      <c r="L3015" s="21"/>
      <c r="M3015" s="21"/>
      <c r="N3015" s="21"/>
      <c r="O3015" s="21"/>
      <c r="Q3015">
        <f t="shared" si="69"/>
        <v>0</v>
      </c>
      <c r="R3015">
        <v>4</v>
      </c>
      <c r="S3015" t="s">
        <v>5046</v>
      </c>
      <c r="V3015">
        <f t="shared" si="70"/>
        <v>4</v>
      </c>
    </row>
    <row r="3016" spans="1:22" ht="15" customHeight="1" thickBot="1" x14ac:dyDescent="0.4">
      <c r="A3016" s="2"/>
      <c r="B3016" s="100">
        <f t="shared" si="67"/>
        <v>2947</v>
      </c>
      <c r="C3016" s="281" t="s">
        <v>4957</v>
      </c>
      <c r="D3016" s="256" t="s">
        <v>4958</v>
      </c>
      <c r="E3016" s="2" t="str">
        <f t="shared" si="68"/>
        <v>19</v>
      </c>
      <c r="F3016" s="256" t="s">
        <v>4955</v>
      </c>
      <c r="G3016" s="256" t="s">
        <v>4743</v>
      </c>
      <c r="H3016" s="268">
        <v>3.32</v>
      </c>
      <c r="I3016" s="99" t="s">
        <v>4743</v>
      </c>
      <c r="J3016" s="20"/>
      <c r="K3016" s="21"/>
      <c r="L3016" s="21"/>
      <c r="M3016" s="21"/>
      <c r="N3016" s="21"/>
      <c r="O3016" s="21"/>
      <c r="Q3016">
        <f t="shared" si="69"/>
        <v>0</v>
      </c>
      <c r="R3016">
        <v>4</v>
      </c>
      <c r="S3016" t="s">
        <v>5046</v>
      </c>
      <c r="T3016">
        <v>0</v>
      </c>
      <c r="U3016" t="s">
        <v>5048</v>
      </c>
      <c r="V3016">
        <f t="shared" si="70"/>
        <v>4</v>
      </c>
    </row>
    <row r="3017" spans="1:22" ht="15" customHeight="1" thickBot="1" x14ac:dyDescent="0.4">
      <c r="A3017" s="2"/>
      <c r="B3017" s="100">
        <f t="shared" si="67"/>
        <v>2948</v>
      </c>
      <c r="C3017" s="256" t="s">
        <v>4475</v>
      </c>
      <c r="D3017" s="256" t="s">
        <v>4476</v>
      </c>
      <c r="E3017" s="2" t="str">
        <f t="shared" si="68"/>
        <v>19</v>
      </c>
      <c r="F3017" s="256" t="s">
        <v>4959</v>
      </c>
      <c r="G3017" s="256" t="s">
        <v>4743</v>
      </c>
      <c r="H3017" s="268" t="s">
        <v>4960</v>
      </c>
      <c r="I3017" s="99" t="s">
        <v>4743</v>
      </c>
      <c r="J3017" s="20"/>
      <c r="K3017" s="21"/>
      <c r="L3017" s="21"/>
      <c r="M3017" s="21"/>
      <c r="N3017" s="21"/>
      <c r="O3017" s="21"/>
      <c r="Q3017">
        <f t="shared" si="69"/>
        <v>0</v>
      </c>
      <c r="R3017">
        <v>4</v>
      </c>
      <c r="S3017" t="s">
        <v>5046</v>
      </c>
      <c r="T3017">
        <v>0</v>
      </c>
      <c r="U3017" t="s">
        <v>5048</v>
      </c>
      <c r="V3017">
        <f t="shared" si="70"/>
        <v>4</v>
      </c>
    </row>
    <row r="3018" spans="1:22" ht="15" customHeight="1" thickBot="1" x14ac:dyDescent="0.4">
      <c r="A3018" s="2"/>
      <c r="B3018" s="100">
        <f t="shared" si="67"/>
        <v>2949</v>
      </c>
      <c r="C3018" s="256" t="s">
        <v>4477</v>
      </c>
      <c r="D3018" s="256" t="s">
        <v>4478</v>
      </c>
      <c r="E3018" s="2" t="str">
        <f t="shared" si="68"/>
        <v>19</v>
      </c>
      <c r="F3018" s="256" t="s">
        <v>4961</v>
      </c>
      <c r="G3018" s="256" t="s">
        <v>4743</v>
      </c>
      <c r="H3018" s="266">
        <v>3.85</v>
      </c>
      <c r="I3018" s="99" t="s">
        <v>4743</v>
      </c>
      <c r="J3018" s="20"/>
      <c r="K3018" s="21"/>
      <c r="L3018" s="21"/>
      <c r="M3018" s="21"/>
      <c r="N3018" s="21"/>
      <c r="O3018" s="21"/>
      <c r="Q3018">
        <f t="shared" si="69"/>
        <v>0</v>
      </c>
      <c r="R3018">
        <v>4</v>
      </c>
      <c r="S3018" t="s">
        <v>5046</v>
      </c>
      <c r="T3018">
        <v>0</v>
      </c>
      <c r="U3018" t="s">
        <v>5048</v>
      </c>
      <c r="V3018">
        <f t="shared" si="70"/>
        <v>4</v>
      </c>
    </row>
    <row r="3019" spans="1:22" ht="15" customHeight="1" thickBot="1" x14ac:dyDescent="0.4">
      <c r="A3019" s="2"/>
      <c r="B3019" s="100">
        <f t="shared" si="67"/>
        <v>2950</v>
      </c>
      <c r="C3019" s="256" t="s">
        <v>4479</v>
      </c>
      <c r="D3019" s="256" t="s">
        <v>4480</v>
      </c>
      <c r="E3019" s="2" t="str">
        <f t="shared" si="68"/>
        <v>19</v>
      </c>
      <c r="F3019" s="256"/>
      <c r="G3019" s="256" t="s">
        <v>4743</v>
      </c>
      <c r="H3019" s="266">
        <v>3.31</v>
      </c>
      <c r="I3019" s="99" t="s">
        <v>4743</v>
      </c>
      <c r="J3019" s="20"/>
      <c r="K3019" s="21"/>
      <c r="L3019" s="21"/>
      <c r="M3019" s="21"/>
      <c r="N3019" s="21"/>
      <c r="O3019" s="21"/>
      <c r="Q3019">
        <f t="shared" si="69"/>
        <v>0</v>
      </c>
      <c r="R3019">
        <v>4</v>
      </c>
      <c r="S3019" t="s">
        <v>5046</v>
      </c>
      <c r="T3019">
        <v>0</v>
      </c>
      <c r="U3019" t="s">
        <v>5048</v>
      </c>
      <c r="V3019">
        <f t="shared" si="70"/>
        <v>4</v>
      </c>
    </row>
    <row r="3020" spans="1:22" ht="15" customHeight="1" thickBot="1" x14ac:dyDescent="0.4">
      <c r="A3020" s="2"/>
      <c r="B3020" s="100">
        <f t="shared" si="67"/>
        <v>2951</v>
      </c>
      <c r="C3020" s="258" t="s">
        <v>4481</v>
      </c>
      <c r="D3020" s="258" t="s">
        <v>4482</v>
      </c>
      <c r="E3020" s="2" t="str">
        <f t="shared" si="68"/>
        <v>19</v>
      </c>
      <c r="F3020" s="256" t="s">
        <v>4962</v>
      </c>
      <c r="G3020" s="256" t="s">
        <v>4743</v>
      </c>
      <c r="H3020" s="268" t="s">
        <v>4817</v>
      </c>
      <c r="I3020" s="99" t="s">
        <v>4743</v>
      </c>
      <c r="J3020" s="20"/>
      <c r="K3020" s="21"/>
      <c r="L3020" s="21"/>
      <c r="M3020" s="21"/>
      <c r="N3020" s="21"/>
      <c r="O3020" s="21"/>
      <c r="Q3020">
        <f t="shared" si="69"/>
        <v>0</v>
      </c>
      <c r="R3020">
        <v>4</v>
      </c>
      <c r="S3020" t="s">
        <v>5046</v>
      </c>
      <c r="T3020">
        <v>0</v>
      </c>
      <c r="U3020" t="s">
        <v>5048</v>
      </c>
      <c r="V3020">
        <f t="shared" si="70"/>
        <v>4</v>
      </c>
    </row>
    <row r="3021" spans="1:22" ht="15" customHeight="1" thickBot="1" x14ac:dyDescent="0.4">
      <c r="A3021" s="2"/>
      <c r="B3021" s="100">
        <f t="shared" si="67"/>
        <v>2952</v>
      </c>
      <c r="C3021" s="256" t="s">
        <v>4483</v>
      </c>
      <c r="D3021" s="256" t="s">
        <v>4484</v>
      </c>
      <c r="E3021" s="2" t="str">
        <f t="shared" si="68"/>
        <v>19</v>
      </c>
      <c r="F3021" s="256"/>
      <c r="G3021" s="256" t="s">
        <v>4743</v>
      </c>
      <c r="H3021" s="266" t="s">
        <v>4198</v>
      </c>
      <c r="I3021" s="99" t="s">
        <v>4743</v>
      </c>
      <c r="J3021" s="20"/>
      <c r="K3021" s="21"/>
      <c r="L3021" s="21"/>
      <c r="M3021" s="21"/>
      <c r="N3021" s="21"/>
      <c r="O3021" s="21"/>
      <c r="Q3021">
        <f t="shared" si="69"/>
        <v>0</v>
      </c>
      <c r="R3021">
        <v>4</v>
      </c>
      <c r="S3021" t="s">
        <v>5046</v>
      </c>
      <c r="T3021">
        <v>0</v>
      </c>
      <c r="U3021" t="s">
        <v>5048</v>
      </c>
      <c r="V3021">
        <f t="shared" si="70"/>
        <v>4</v>
      </c>
    </row>
    <row r="3022" spans="1:22" ht="15" customHeight="1" thickBot="1" x14ac:dyDescent="0.4">
      <c r="A3022" s="2"/>
      <c r="B3022" s="100">
        <f t="shared" si="67"/>
        <v>2953</v>
      </c>
      <c r="C3022" s="256" t="s">
        <v>4485</v>
      </c>
      <c r="D3022" s="256" t="s">
        <v>4486</v>
      </c>
      <c r="E3022" s="2" t="str">
        <f t="shared" si="68"/>
        <v>19</v>
      </c>
      <c r="F3022" s="281" t="s">
        <v>4963</v>
      </c>
      <c r="G3022" s="281" t="s">
        <v>4769</v>
      </c>
      <c r="H3022" s="266">
        <v>3.78</v>
      </c>
      <c r="I3022" s="99" t="s">
        <v>4769</v>
      </c>
      <c r="J3022" s="20"/>
      <c r="K3022" s="21"/>
      <c r="L3022" s="21"/>
      <c r="M3022" s="21"/>
      <c r="N3022" s="21"/>
      <c r="O3022" s="21"/>
      <c r="Q3022">
        <f t="shared" si="69"/>
        <v>0</v>
      </c>
      <c r="R3022">
        <v>4</v>
      </c>
      <c r="S3022" t="s">
        <v>5046</v>
      </c>
      <c r="T3022">
        <v>1</v>
      </c>
      <c r="U3022" t="s">
        <v>5048</v>
      </c>
      <c r="V3022">
        <f t="shared" si="70"/>
        <v>4.083333333333333</v>
      </c>
    </row>
    <row r="3023" spans="1:22" ht="15" customHeight="1" x14ac:dyDescent="0.35">
      <c r="A3023" s="2"/>
      <c r="B3023" s="100"/>
      <c r="C3023" s="314"/>
      <c r="D3023" s="281"/>
      <c r="E3023" s="2"/>
      <c r="F3023" s="281"/>
      <c r="G3023" s="281"/>
      <c r="H3023" s="266"/>
      <c r="I3023" s="99"/>
      <c r="J3023" s="20"/>
      <c r="K3023" s="21"/>
      <c r="L3023" s="21"/>
      <c r="M3023" s="21"/>
      <c r="N3023" s="21"/>
      <c r="O3023" s="21"/>
      <c r="Q3023">
        <f t="shared" si="69"/>
        <v>0</v>
      </c>
      <c r="V3023">
        <f t="shared" si="70"/>
        <v>0</v>
      </c>
    </row>
    <row r="3024" spans="1:22" ht="15" customHeight="1" thickBot="1" x14ac:dyDescent="0.4">
      <c r="A3024" s="2"/>
      <c r="B3024" s="100"/>
      <c r="C3024" s="292" t="s">
        <v>4593</v>
      </c>
      <c r="E3024" s="2" t="str">
        <f t="shared" si="68"/>
        <v/>
      </c>
      <c r="I3024" s="99"/>
      <c r="J3024" s="20"/>
      <c r="K3024" s="21"/>
      <c r="L3024" s="21"/>
      <c r="M3024" s="21"/>
      <c r="N3024" s="21"/>
      <c r="O3024" s="21"/>
      <c r="Q3024">
        <f t="shared" si="69"/>
        <v>0</v>
      </c>
      <c r="V3024">
        <f t="shared" si="70"/>
        <v>0</v>
      </c>
    </row>
    <row r="3025" spans="1:22" ht="15" customHeight="1" thickBot="1" x14ac:dyDescent="0.4">
      <c r="A3025" s="2"/>
      <c r="B3025" s="100">
        <f>B3022+1</f>
        <v>2954</v>
      </c>
      <c r="C3025" s="256" t="s">
        <v>4487</v>
      </c>
      <c r="D3025" s="256" t="s">
        <v>4488</v>
      </c>
      <c r="E3025" s="2" t="str">
        <f t="shared" si="68"/>
        <v>18</v>
      </c>
      <c r="F3025" s="273">
        <v>45170</v>
      </c>
      <c r="G3025" s="256" t="s">
        <v>4964</v>
      </c>
      <c r="H3025" s="266">
        <v>3.35</v>
      </c>
      <c r="I3025" s="246" t="s">
        <v>4964</v>
      </c>
      <c r="J3025" s="20"/>
      <c r="K3025" s="21"/>
      <c r="L3025" s="21"/>
      <c r="M3025" s="21"/>
      <c r="N3025" s="21"/>
      <c r="O3025" s="21"/>
      <c r="Q3025">
        <f t="shared" si="69"/>
        <v>5.083333333333333</v>
      </c>
      <c r="R3025">
        <v>5</v>
      </c>
      <c r="S3025" t="s">
        <v>5046</v>
      </c>
      <c r="T3025">
        <v>1</v>
      </c>
      <c r="U3025" t="s">
        <v>5048</v>
      </c>
      <c r="V3025">
        <f t="shared" si="70"/>
        <v>5.083333333333333</v>
      </c>
    </row>
    <row r="3026" spans="1:22" ht="15" customHeight="1" thickBot="1" x14ac:dyDescent="0.4">
      <c r="A3026" s="2"/>
      <c r="B3026" s="100">
        <f t="shared" si="67"/>
        <v>2955</v>
      </c>
      <c r="C3026" s="256" t="s">
        <v>4489</v>
      </c>
      <c r="D3026" s="256" t="s">
        <v>4490</v>
      </c>
      <c r="E3026" s="2" t="str">
        <f t="shared" si="68"/>
        <v>18</v>
      </c>
      <c r="F3026" s="273">
        <v>45170</v>
      </c>
      <c r="G3026" s="256" t="s">
        <v>4965</v>
      </c>
      <c r="H3026" s="266">
        <v>3.28</v>
      </c>
      <c r="I3026" s="245" t="s">
        <v>4965</v>
      </c>
      <c r="J3026" s="20"/>
      <c r="K3026" s="21"/>
      <c r="L3026" s="313">
        <v>2018</v>
      </c>
      <c r="M3026" s="21">
        <f>COUNTIF(E3025:E3094,"18")</f>
        <v>8</v>
      </c>
      <c r="N3026" s="21"/>
      <c r="O3026" s="21"/>
      <c r="Q3026">
        <f t="shared" si="69"/>
        <v>5</v>
      </c>
      <c r="R3026">
        <v>5</v>
      </c>
      <c r="S3026" t="s">
        <v>5046</v>
      </c>
      <c r="T3026">
        <v>0</v>
      </c>
      <c r="U3026" t="s">
        <v>5050</v>
      </c>
      <c r="V3026">
        <f t="shared" si="70"/>
        <v>5</v>
      </c>
    </row>
    <row r="3027" spans="1:22" ht="15" customHeight="1" thickBot="1" x14ac:dyDescent="0.4">
      <c r="A3027" s="2"/>
      <c r="B3027" s="100">
        <f t="shared" si="67"/>
        <v>2956</v>
      </c>
      <c r="C3027" s="282" t="s">
        <v>4491</v>
      </c>
      <c r="D3027" s="282" t="s">
        <v>4492</v>
      </c>
      <c r="E3027" s="2" t="str">
        <f t="shared" si="68"/>
        <v>19</v>
      </c>
      <c r="F3027" s="273">
        <v>45170</v>
      </c>
      <c r="G3027" s="256" t="s">
        <v>4743</v>
      </c>
      <c r="H3027" s="283" t="s">
        <v>4785</v>
      </c>
      <c r="I3027" s="131" t="s">
        <v>4743</v>
      </c>
      <c r="J3027" s="20"/>
      <c r="K3027" s="21"/>
      <c r="L3027" s="313">
        <v>2019</v>
      </c>
      <c r="M3027" s="21">
        <f>COUNTIF(E3025:E3094,"19")</f>
        <v>60</v>
      </c>
      <c r="N3027" s="21"/>
      <c r="O3027" s="21"/>
      <c r="Q3027">
        <f t="shared" si="69"/>
        <v>0</v>
      </c>
      <c r="R3027">
        <v>4</v>
      </c>
      <c r="S3027" t="s">
        <v>5046</v>
      </c>
      <c r="T3027">
        <v>0</v>
      </c>
      <c r="U3027" t="s">
        <v>5048</v>
      </c>
      <c r="V3027">
        <f t="shared" si="70"/>
        <v>4</v>
      </c>
    </row>
    <row r="3028" spans="1:22" ht="15" customHeight="1" thickBot="1" x14ac:dyDescent="0.4">
      <c r="A3028" s="2"/>
      <c r="B3028" s="100">
        <f t="shared" si="67"/>
        <v>2957</v>
      </c>
      <c r="C3028" s="256" t="s">
        <v>4493</v>
      </c>
      <c r="D3028" s="256" t="s">
        <v>4494</v>
      </c>
      <c r="E3028" s="2" t="str">
        <f t="shared" si="68"/>
        <v>19</v>
      </c>
      <c r="F3028" s="273">
        <v>45170</v>
      </c>
      <c r="G3028" s="256" t="s">
        <v>4769</v>
      </c>
      <c r="H3028" s="266">
        <v>3.58</v>
      </c>
      <c r="I3028" s="131" t="s">
        <v>4769</v>
      </c>
      <c r="J3028" s="21"/>
      <c r="K3028" s="21"/>
      <c r="L3028" s="313">
        <v>2020</v>
      </c>
      <c r="M3028" s="21">
        <f>COUNTIF(E3025:E3094,"20")</f>
        <v>0</v>
      </c>
      <c r="N3028" s="247"/>
      <c r="O3028" s="247"/>
      <c r="Q3028">
        <f t="shared" si="69"/>
        <v>0</v>
      </c>
      <c r="R3028">
        <v>4</v>
      </c>
      <c r="S3028" t="s">
        <v>5046</v>
      </c>
      <c r="T3028">
        <v>1</v>
      </c>
      <c r="U3028" t="s">
        <v>5048</v>
      </c>
      <c r="V3028">
        <f t="shared" si="70"/>
        <v>4.083333333333333</v>
      </c>
    </row>
    <row r="3029" spans="1:22" ht="15" customHeight="1" thickBot="1" x14ac:dyDescent="0.4">
      <c r="A3029" s="2"/>
      <c r="B3029" s="100">
        <f t="shared" si="67"/>
        <v>2958</v>
      </c>
      <c r="C3029" s="256" t="s">
        <v>4495</v>
      </c>
      <c r="D3029" s="256" t="s">
        <v>4496</v>
      </c>
      <c r="E3029" s="2" t="str">
        <f t="shared" si="68"/>
        <v>19</v>
      </c>
      <c r="F3029" s="273">
        <v>45170</v>
      </c>
      <c r="G3029" s="256" t="s">
        <v>4769</v>
      </c>
      <c r="H3029" s="266">
        <v>3.66</v>
      </c>
      <c r="I3029" s="131" t="s">
        <v>4769</v>
      </c>
      <c r="J3029" s="21"/>
      <c r="K3029" s="21"/>
      <c r="L3029" s="313">
        <v>2021</v>
      </c>
      <c r="M3029" s="21">
        <f>COUNTIF(E3025:E3094,"21")</f>
        <v>0</v>
      </c>
      <c r="N3029" s="21"/>
      <c r="O3029" s="21"/>
      <c r="Q3029">
        <f t="shared" si="69"/>
        <v>0</v>
      </c>
      <c r="R3029">
        <v>4</v>
      </c>
      <c r="S3029" t="s">
        <v>5046</v>
      </c>
      <c r="T3029">
        <v>1</v>
      </c>
      <c r="U3029" t="s">
        <v>5048</v>
      </c>
      <c r="V3029">
        <f t="shared" si="70"/>
        <v>4.083333333333333</v>
      </c>
    </row>
    <row r="3030" spans="1:22" ht="15" customHeight="1" thickBot="1" x14ac:dyDescent="0.4">
      <c r="A3030" s="2"/>
      <c r="B3030" s="100">
        <f t="shared" si="67"/>
        <v>2959</v>
      </c>
      <c r="C3030" s="256" t="s">
        <v>4497</v>
      </c>
      <c r="D3030" s="256" t="s">
        <v>4498</v>
      </c>
      <c r="E3030" s="2" t="str">
        <f t="shared" si="68"/>
        <v>19</v>
      </c>
      <c r="F3030" s="273">
        <v>45170</v>
      </c>
      <c r="G3030" s="256" t="s">
        <v>4769</v>
      </c>
      <c r="H3030" s="266" t="s">
        <v>4789</v>
      </c>
      <c r="I3030" s="131" t="s">
        <v>4769</v>
      </c>
      <c r="J3030" s="21"/>
      <c r="K3030" s="21"/>
      <c r="L3030" s="21"/>
      <c r="M3030" s="244"/>
      <c r="N3030" s="21"/>
      <c r="O3030" s="21"/>
      <c r="Q3030">
        <f t="shared" si="69"/>
        <v>0</v>
      </c>
      <c r="R3030">
        <v>4</v>
      </c>
      <c r="S3030" t="s">
        <v>5046</v>
      </c>
      <c r="T3030">
        <v>1</v>
      </c>
      <c r="U3030" t="s">
        <v>5048</v>
      </c>
      <c r="V3030">
        <f t="shared" si="70"/>
        <v>4.083333333333333</v>
      </c>
    </row>
    <row r="3031" spans="1:22" ht="15" customHeight="1" thickBot="1" x14ac:dyDescent="0.4">
      <c r="A3031" s="2"/>
      <c r="B3031" s="100">
        <f t="shared" si="67"/>
        <v>2960</v>
      </c>
      <c r="C3031" s="256" t="s">
        <v>4499</v>
      </c>
      <c r="D3031" s="256" t="s">
        <v>4500</v>
      </c>
      <c r="E3031" s="2" t="str">
        <f t="shared" si="68"/>
        <v>19</v>
      </c>
      <c r="F3031" s="273">
        <v>45170</v>
      </c>
      <c r="G3031" s="256" t="s">
        <v>4769</v>
      </c>
      <c r="H3031" s="266" t="s">
        <v>4966</v>
      </c>
      <c r="I3031" s="131" t="s">
        <v>4769</v>
      </c>
      <c r="J3031" s="21"/>
      <c r="K3031" s="21"/>
      <c r="L3031" s="21"/>
      <c r="M3031" s="244"/>
      <c r="N3031" s="21"/>
      <c r="O3031" s="21"/>
      <c r="Q3031">
        <f t="shared" si="69"/>
        <v>0</v>
      </c>
      <c r="R3031">
        <v>4</v>
      </c>
      <c r="S3031" t="s">
        <v>5046</v>
      </c>
      <c r="T3031">
        <v>1</v>
      </c>
      <c r="U3031" t="s">
        <v>5048</v>
      </c>
      <c r="V3031">
        <f t="shared" si="70"/>
        <v>4.083333333333333</v>
      </c>
    </row>
    <row r="3032" spans="1:22" ht="15" customHeight="1" thickBot="1" x14ac:dyDescent="0.4">
      <c r="A3032" s="2"/>
      <c r="B3032" s="100">
        <f t="shared" si="67"/>
        <v>2961</v>
      </c>
      <c r="C3032" s="256" t="s">
        <v>4501</v>
      </c>
      <c r="D3032" s="256" t="s">
        <v>4502</v>
      </c>
      <c r="E3032" s="2" t="str">
        <f t="shared" si="68"/>
        <v>19</v>
      </c>
      <c r="F3032" s="273">
        <v>45170</v>
      </c>
      <c r="G3032" s="256" t="s">
        <v>4755</v>
      </c>
      <c r="H3032" s="266">
        <v>3.38</v>
      </c>
      <c r="I3032" s="99" t="s">
        <v>4755</v>
      </c>
      <c r="J3032" s="21"/>
      <c r="K3032" s="21"/>
      <c r="L3032" s="21"/>
      <c r="M3032" s="244"/>
      <c r="N3032" s="21"/>
      <c r="O3032" s="21"/>
      <c r="Q3032">
        <f t="shared" si="69"/>
        <v>0</v>
      </c>
      <c r="R3032">
        <v>4</v>
      </c>
      <c r="S3032" t="s">
        <v>5049</v>
      </c>
      <c r="T3032">
        <v>1</v>
      </c>
      <c r="U3032" t="s">
        <v>5050</v>
      </c>
      <c r="V3032">
        <f t="shared" si="70"/>
        <v>4.083333333333333</v>
      </c>
    </row>
    <row r="3033" spans="1:22" ht="15" customHeight="1" thickBot="1" x14ac:dyDescent="0.4">
      <c r="A3033" s="2"/>
      <c r="B3033" s="100">
        <f t="shared" si="67"/>
        <v>2962</v>
      </c>
      <c r="C3033" s="256" t="s">
        <v>4503</v>
      </c>
      <c r="D3033" s="256" t="s">
        <v>4504</v>
      </c>
      <c r="E3033" s="2" t="str">
        <f t="shared" si="68"/>
        <v>19</v>
      </c>
      <c r="F3033" s="273">
        <v>45170</v>
      </c>
      <c r="G3033" s="256" t="s">
        <v>4626</v>
      </c>
      <c r="H3033" s="266">
        <v>3.64</v>
      </c>
      <c r="I3033" s="131" t="s">
        <v>4626</v>
      </c>
      <c r="J3033" s="21"/>
      <c r="K3033" s="21"/>
      <c r="L3033" s="21"/>
      <c r="M3033" s="244"/>
      <c r="N3033" s="21"/>
      <c r="O3033" s="21"/>
      <c r="Q3033">
        <f t="shared" si="69"/>
        <v>0</v>
      </c>
      <c r="R3033">
        <v>4</v>
      </c>
      <c r="S3033" t="s">
        <v>5049</v>
      </c>
      <c r="T3033">
        <v>2</v>
      </c>
      <c r="U3033" t="s">
        <v>5050</v>
      </c>
      <c r="V3033">
        <f t="shared" si="70"/>
        <v>4.166666666666667</v>
      </c>
    </row>
    <row r="3034" spans="1:22" ht="15" customHeight="1" thickBot="1" x14ac:dyDescent="0.4">
      <c r="A3034" s="2"/>
      <c r="B3034" s="100">
        <f t="shared" si="67"/>
        <v>2963</v>
      </c>
      <c r="C3034" s="256" t="s">
        <v>4967</v>
      </c>
      <c r="D3034" s="256" t="s">
        <v>4968</v>
      </c>
      <c r="E3034" s="2" t="str">
        <f t="shared" si="68"/>
        <v>19</v>
      </c>
      <c r="F3034" s="273">
        <v>45170</v>
      </c>
      <c r="G3034" s="256" t="s">
        <v>4755</v>
      </c>
      <c r="H3034" s="268" t="s">
        <v>4969</v>
      </c>
      <c r="I3034" s="131" t="s">
        <v>4755</v>
      </c>
      <c r="J3034" s="20"/>
      <c r="K3034" s="21"/>
      <c r="L3034" s="21"/>
      <c r="M3034" s="244"/>
      <c r="N3034" s="21"/>
      <c r="O3034" s="21"/>
      <c r="Q3034">
        <f t="shared" si="69"/>
        <v>0</v>
      </c>
      <c r="R3034">
        <v>4</v>
      </c>
      <c r="S3034" t="s">
        <v>5049</v>
      </c>
      <c r="T3034">
        <v>1</v>
      </c>
      <c r="U3034" t="s">
        <v>5050</v>
      </c>
      <c r="V3034">
        <f t="shared" si="70"/>
        <v>4.083333333333333</v>
      </c>
    </row>
    <row r="3035" spans="1:22" ht="15" customHeight="1" thickBot="1" x14ac:dyDescent="0.4">
      <c r="A3035" s="2"/>
      <c r="B3035" s="100">
        <f t="shared" si="67"/>
        <v>2964</v>
      </c>
      <c r="C3035" s="256" t="s">
        <v>4505</v>
      </c>
      <c r="D3035" s="256" t="s">
        <v>4506</v>
      </c>
      <c r="E3035" s="2" t="str">
        <f t="shared" ref="E3035:E3066" si="71">LEFT(D3035,2)</f>
        <v>17</v>
      </c>
      <c r="F3035" s="256" t="s">
        <v>4970</v>
      </c>
      <c r="G3035" s="256" t="s">
        <v>4971</v>
      </c>
      <c r="H3035" s="266" t="s">
        <v>4624</v>
      </c>
      <c r="I3035" s="99" t="s">
        <v>4971</v>
      </c>
      <c r="J3035" s="21"/>
      <c r="K3035" s="21"/>
      <c r="L3035" s="21"/>
      <c r="M3035" s="244"/>
      <c r="N3035" s="21"/>
      <c r="O3035" s="21"/>
      <c r="Q3035">
        <f t="shared" si="69"/>
        <v>0</v>
      </c>
      <c r="R3035">
        <v>6</v>
      </c>
      <c r="S3035" t="s">
        <v>5049</v>
      </c>
      <c r="T3035">
        <v>3</v>
      </c>
      <c r="U3035" t="s">
        <v>5050</v>
      </c>
      <c r="V3035">
        <f t="shared" si="70"/>
        <v>6.25</v>
      </c>
    </row>
    <row r="3036" spans="1:22" ht="15" customHeight="1" thickBot="1" x14ac:dyDescent="0.4">
      <c r="A3036" s="2"/>
      <c r="B3036" s="100">
        <f t="shared" si="67"/>
        <v>2965</v>
      </c>
      <c r="C3036" s="256" t="s">
        <v>4507</v>
      </c>
      <c r="D3036" s="256" t="s">
        <v>4508</v>
      </c>
      <c r="E3036" s="2" t="str">
        <f t="shared" si="71"/>
        <v>17</v>
      </c>
      <c r="F3036" s="256" t="s">
        <v>4970</v>
      </c>
      <c r="G3036" s="256" t="s">
        <v>4908</v>
      </c>
      <c r="H3036" s="268" t="s">
        <v>4952</v>
      </c>
      <c r="I3036" s="131" t="s">
        <v>4908</v>
      </c>
      <c r="J3036" s="21"/>
      <c r="K3036" s="21"/>
      <c r="L3036" s="21"/>
      <c r="M3036" s="244"/>
      <c r="N3036" s="21"/>
      <c r="O3036" s="21"/>
      <c r="Q3036">
        <f t="shared" si="69"/>
        <v>0</v>
      </c>
      <c r="R3036">
        <v>6</v>
      </c>
      <c r="S3036" t="s">
        <v>5046</v>
      </c>
      <c r="T3036">
        <v>3</v>
      </c>
      <c r="U3036" t="s">
        <v>5048</v>
      </c>
      <c r="V3036">
        <f t="shared" si="70"/>
        <v>6.25</v>
      </c>
    </row>
    <row r="3037" spans="1:22" ht="15" customHeight="1" thickBot="1" x14ac:dyDescent="0.4">
      <c r="A3037" s="2"/>
      <c r="B3037" s="100">
        <f t="shared" si="67"/>
        <v>2966</v>
      </c>
      <c r="C3037" s="256" t="s">
        <v>4509</v>
      </c>
      <c r="D3037" s="256" t="s">
        <v>4510</v>
      </c>
      <c r="E3037" s="2" t="str">
        <f t="shared" si="71"/>
        <v>18</v>
      </c>
      <c r="F3037" s="256" t="s">
        <v>4970</v>
      </c>
      <c r="G3037" s="256" t="s">
        <v>4631</v>
      </c>
      <c r="H3037" s="266" t="s">
        <v>4673</v>
      </c>
      <c r="I3037" s="131" t="s">
        <v>4631</v>
      </c>
      <c r="J3037" s="20"/>
      <c r="K3037" s="21"/>
      <c r="L3037" s="21"/>
      <c r="M3037" s="244"/>
      <c r="N3037" s="21"/>
      <c r="O3037" s="21"/>
      <c r="Q3037">
        <f t="shared" si="69"/>
        <v>5.166666666666667</v>
      </c>
      <c r="R3037">
        <v>5</v>
      </c>
      <c r="S3037" t="s">
        <v>5046</v>
      </c>
      <c r="T3037">
        <v>2</v>
      </c>
      <c r="U3037" t="s">
        <v>5048</v>
      </c>
      <c r="V3037">
        <f t="shared" si="70"/>
        <v>5.166666666666667</v>
      </c>
    </row>
    <row r="3038" spans="1:22" ht="15" customHeight="1" thickBot="1" x14ac:dyDescent="0.4">
      <c r="A3038" s="2"/>
      <c r="B3038" s="100">
        <f t="shared" si="67"/>
        <v>2967</v>
      </c>
      <c r="C3038" s="256" t="s">
        <v>4511</v>
      </c>
      <c r="D3038" s="256" t="s">
        <v>4512</v>
      </c>
      <c r="E3038" s="2" t="str">
        <f t="shared" si="71"/>
        <v>19</v>
      </c>
      <c r="F3038" s="256" t="s">
        <v>4970</v>
      </c>
      <c r="G3038" s="256" t="s">
        <v>4755</v>
      </c>
      <c r="H3038" s="266" t="s">
        <v>4972</v>
      </c>
      <c r="I3038" s="131" t="s">
        <v>4755</v>
      </c>
      <c r="J3038" s="21"/>
      <c r="K3038" s="21"/>
      <c r="L3038" s="21"/>
      <c r="M3038" s="244"/>
      <c r="N3038" s="21"/>
      <c r="O3038" s="21"/>
      <c r="Q3038">
        <f t="shared" si="69"/>
        <v>0</v>
      </c>
      <c r="R3038">
        <v>4</v>
      </c>
      <c r="S3038" t="s">
        <v>5049</v>
      </c>
      <c r="T3038">
        <v>1</v>
      </c>
      <c r="U3038" t="s">
        <v>5050</v>
      </c>
      <c r="V3038">
        <f t="shared" si="70"/>
        <v>4.083333333333333</v>
      </c>
    </row>
    <row r="3039" spans="1:22" ht="15" customHeight="1" thickBot="1" x14ac:dyDescent="0.4">
      <c r="A3039" s="2"/>
      <c r="B3039" s="100">
        <f t="shared" ref="B3039:B3094" si="72">B3038+1</f>
        <v>2968</v>
      </c>
      <c r="C3039" s="256" t="s">
        <v>4513</v>
      </c>
      <c r="D3039" s="256" t="s">
        <v>4514</v>
      </c>
      <c r="E3039" s="2" t="str">
        <f t="shared" si="71"/>
        <v>19</v>
      </c>
      <c r="F3039" s="256" t="s">
        <v>4970</v>
      </c>
      <c r="G3039" s="256" t="s">
        <v>4616</v>
      </c>
      <c r="H3039" s="2">
        <v>3.83</v>
      </c>
      <c r="I3039" s="131" t="s">
        <v>4616</v>
      </c>
      <c r="J3039" s="21"/>
      <c r="K3039" s="21"/>
      <c r="L3039" s="21"/>
      <c r="M3039" s="244"/>
      <c r="N3039" s="21"/>
      <c r="O3039" s="21"/>
      <c r="Q3039">
        <f t="shared" si="69"/>
        <v>0</v>
      </c>
      <c r="R3039">
        <v>4</v>
      </c>
      <c r="S3039" t="s">
        <v>5046</v>
      </c>
      <c r="T3039">
        <v>2</v>
      </c>
      <c r="U3039" t="s">
        <v>5048</v>
      </c>
      <c r="V3039">
        <f t="shared" si="70"/>
        <v>4.166666666666667</v>
      </c>
    </row>
    <row r="3040" spans="1:22" ht="15" customHeight="1" thickBot="1" x14ac:dyDescent="0.4">
      <c r="A3040" s="2"/>
      <c r="B3040" s="100">
        <f t="shared" si="72"/>
        <v>2969</v>
      </c>
      <c r="C3040" s="256" t="s">
        <v>4515</v>
      </c>
      <c r="D3040" s="256" t="s">
        <v>4516</v>
      </c>
      <c r="E3040" s="2" t="str">
        <f t="shared" si="71"/>
        <v>19</v>
      </c>
      <c r="F3040" s="256" t="s">
        <v>4970</v>
      </c>
      <c r="G3040" s="256" t="s">
        <v>4622</v>
      </c>
      <c r="H3040" s="2">
        <v>3.58</v>
      </c>
      <c r="I3040" s="99" t="s">
        <v>4622</v>
      </c>
      <c r="J3040" s="21"/>
      <c r="K3040" s="21"/>
      <c r="L3040" s="21"/>
      <c r="M3040" s="244"/>
      <c r="N3040" s="21"/>
      <c r="O3040" s="21"/>
      <c r="Q3040">
        <f t="shared" ref="Q3040:Q3056" si="73">IF(E3040="18",V3040,0)</f>
        <v>0</v>
      </c>
      <c r="R3040">
        <v>4</v>
      </c>
      <c r="S3040" t="s">
        <v>5046</v>
      </c>
      <c r="T3040">
        <v>3</v>
      </c>
      <c r="U3040" t="s">
        <v>5048</v>
      </c>
      <c r="V3040">
        <f t="shared" si="70"/>
        <v>4.25</v>
      </c>
    </row>
    <row r="3041" spans="1:22" ht="15" customHeight="1" thickBot="1" x14ac:dyDescent="0.4">
      <c r="A3041" s="2"/>
      <c r="B3041" s="100">
        <f t="shared" si="72"/>
        <v>2970</v>
      </c>
      <c r="C3041" s="256" t="s">
        <v>4517</v>
      </c>
      <c r="D3041" s="256" t="s">
        <v>4518</v>
      </c>
      <c r="E3041" s="2" t="str">
        <f t="shared" si="71"/>
        <v>19</v>
      </c>
      <c r="F3041" s="256" t="s">
        <v>4970</v>
      </c>
      <c r="G3041" s="256" t="s">
        <v>4622</v>
      </c>
      <c r="H3041" s="2">
        <v>3.72</v>
      </c>
      <c r="I3041" s="131" t="s">
        <v>4622</v>
      </c>
      <c r="J3041" s="21"/>
      <c r="K3041" s="21"/>
      <c r="L3041" s="21"/>
      <c r="M3041" s="244"/>
      <c r="N3041" s="21"/>
      <c r="O3041" s="21"/>
      <c r="Q3041">
        <f t="shared" si="73"/>
        <v>0</v>
      </c>
      <c r="R3041">
        <v>4</v>
      </c>
      <c r="S3041" t="s">
        <v>5046</v>
      </c>
      <c r="T3041">
        <v>3</v>
      </c>
      <c r="U3041" t="s">
        <v>5048</v>
      </c>
      <c r="V3041">
        <f t="shared" si="70"/>
        <v>4.25</v>
      </c>
    </row>
    <row r="3042" spans="1:22" ht="15" customHeight="1" thickBot="1" x14ac:dyDescent="0.4">
      <c r="A3042" s="2"/>
      <c r="B3042" s="100">
        <f t="shared" si="72"/>
        <v>2971</v>
      </c>
      <c r="C3042" s="256" t="s">
        <v>4519</v>
      </c>
      <c r="D3042" s="256" t="s">
        <v>4520</v>
      </c>
      <c r="E3042" s="2" t="str">
        <f t="shared" si="71"/>
        <v>19</v>
      </c>
      <c r="F3042" s="256" t="s">
        <v>4970</v>
      </c>
      <c r="G3042" s="256" t="s">
        <v>4637</v>
      </c>
      <c r="H3042" s="283" t="s">
        <v>4960</v>
      </c>
      <c r="I3042" s="99" t="s">
        <v>4637</v>
      </c>
      <c r="J3042" s="20"/>
      <c r="K3042" s="21"/>
      <c r="L3042" s="21"/>
      <c r="M3042" s="244"/>
      <c r="N3042" s="21"/>
      <c r="O3042" s="21"/>
      <c r="Q3042">
        <f t="shared" si="73"/>
        <v>0</v>
      </c>
      <c r="R3042">
        <v>4</v>
      </c>
      <c r="S3042" t="s">
        <v>5049</v>
      </c>
      <c r="T3042">
        <v>3</v>
      </c>
      <c r="U3042" t="s">
        <v>5050</v>
      </c>
      <c r="V3042">
        <f t="shared" si="70"/>
        <v>4.25</v>
      </c>
    </row>
    <row r="3043" spans="1:22" ht="15" customHeight="1" thickBot="1" x14ac:dyDescent="0.4">
      <c r="A3043" s="2"/>
      <c r="B3043" s="100">
        <f t="shared" si="72"/>
        <v>2972</v>
      </c>
      <c r="C3043" s="256" t="s">
        <v>4973</v>
      </c>
      <c r="D3043" s="256" t="s">
        <v>4974</v>
      </c>
      <c r="E3043" s="2" t="str">
        <f t="shared" si="71"/>
        <v>19</v>
      </c>
      <c r="F3043" s="256" t="s">
        <v>4970</v>
      </c>
      <c r="G3043" s="256" t="s">
        <v>4616</v>
      </c>
      <c r="H3043" s="284">
        <v>3.38</v>
      </c>
      <c r="I3043" s="99" t="s">
        <v>4616</v>
      </c>
      <c r="J3043" s="21"/>
      <c r="K3043" s="21"/>
      <c r="L3043" s="21"/>
      <c r="M3043" s="244"/>
      <c r="N3043" s="21"/>
      <c r="O3043" s="21"/>
      <c r="Q3043">
        <f t="shared" si="73"/>
        <v>0</v>
      </c>
      <c r="R3043">
        <v>4</v>
      </c>
      <c r="S3043" t="s">
        <v>5046</v>
      </c>
      <c r="T3043">
        <v>2</v>
      </c>
      <c r="U3043" t="s">
        <v>5048</v>
      </c>
      <c r="V3043">
        <f t="shared" si="70"/>
        <v>4.166666666666667</v>
      </c>
    </row>
    <row r="3044" spans="1:22" ht="15" customHeight="1" thickBot="1" x14ac:dyDescent="0.4">
      <c r="A3044" s="2"/>
      <c r="B3044" s="100">
        <f t="shared" si="72"/>
        <v>2973</v>
      </c>
      <c r="C3044" s="256" t="s">
        <v>4975</v>
      </c>
      <c r="D3044" s="256" t="s">
        <v>4976</v>
      </c>
      <c r="E3044" s="2" t="str">
        <f t="shared" si="71"/>
        <v>19</v>
      </c>
      <c r="F3044" s="256" t="s">
        <v>4970</v>
      </c>
      <c r="G3044" s="256" t="s">
        <v>4622</v>
      </c>
      <c r="H3044" s="266" t="s">
        <v>4211</v>
      </c>
      <c r="I3044" s="99" t="s">
        <v>4622</v>
      </c>
      <c r="J3044" s="20"/>
      <c r="K3044" s="21"/>
      <c r="L3044" s="21"/>
      <c r="M3044" s="244"/>
      <c r="N3044" s="21"/>
      <c r="O3044" s="21"/>
      <c r="Q3044">
        <f t="shared" si="73"/>
        <v>0</v>
      </c>
      <c r="R3044">
        <v>4</v>
      </c>
      <c r="S3044" t="s">
        <v>5046</v>
      </c>
      <c r="T3044">
        <v>3</v>
      </c>
      <c r="U3044" t="s">
        <v>5048</v>
      </c>
      <c r="V3044">
        <f t="shared" si="70"/>
        <v>4.25</v>
      </c>
    </row>
    <row r="3045" spans="1:22" ht="15" customHeight="1" thickBot="1" x14ac:dyDescent="0.4">
      <c r="A3045" s="2"/>
      <c r="B3045" s="100">
        <f t="shared" si="72"/>
        <v>2974</v>
      </c>
      <c r="C3045" s="256" t="s">
        <v>4977</v>
      </c>
      <c r="D3045" s="256" t="s">
        <v>4978</v>
      </c>
      <c r="E3045" s="2" t="str">
        <f t="shared" si="71"/>
        <v>19</v>
      </c>
      <c r="F3045" s="256" t="s">
        <v>4970</v>
      </c>
      <c r="G3045" s="256" t="s">
        <v>4626</v>
      </c>
      <c r="H3045" s="266" t="s">
        <v>4953</v>
      </c>
      <c r="I3045" s="131" t="s">
        <v>4626</v>
      </c>
      <c r="J3045" s="20"/>
      <c r="K3045" s="21"/>
      <c r="L3045" s="21"/>
      <c r="M3045" s="244"/>
      <c r="N3045" s="21"/>
      <c r="O3045" s="21"/>
      <c r="Q3045">
        <f t="shared" si="73"/>
        <v>0</v>
      </c>
      <c r="R3045">
        <v>4</v>
      </c>
      <c r="S3045" t="s">
        <v>5049</v>
      </c>
      <c r="T3045">
        <v>2</v>
      </c>
      <c r="U3045" t="s">
        <v>5050</v>
      </c>
      <c r="V3045">
        <f t="shared" si="70"/>
        <v>4.166666666666667</v>
      </c>
    </row>
    <row r="3046" spans="1:22" ht="15" customHeight="1" thickBot="1" x14ac:dyDescent="0.4">
      <c r="A3046" s="2"/>
      <c r="B3046" s="100">
        <f t="shared" si="72"/>
        <v>2975</v>
      </c>
      <c r="C3046" s="256" t="s">
        <v>4979</v>
      </c>
      <c r="D3046" s="256" t="s">
        <v>4980</v>
      </c>
      <c r="E3046" s="2" t="str">
        <f t="shared" si="71"/>
        <v>19</v>
      </c>
      <c r="F3046" s="256" t="s">
        <v>4970</v>
      </c>
      <c r="G3046" s="256" t="s">
        <v>4637</v>
      </c>
      <c r="H3046" s="266">
        <v>3.53</v>
      </c>
      <c r="I3046" s="99" t="s">
        <v>4637</v>
      </c>
      <c r="J3046" s="20"/>
      <c r="K3046" s="21"/>
      <c r="L3046" s="21"/>
      <c r="M3046" s="244"/>
      <c r="N3046" s="21"/>
      <c r="O3046" s="21"/>
      <c r="Q3046">
        <f t="shared" si="73"/>
        <v>0</v>
      </c>
      <c r="R3046">
        <v>4</v>
      </c>
      <c r="S3046" t="s">
        <v>5049</v>
      </c>
      <c r="T3046">
        <v>3</v>
      </c>
      <c r="U3046" t="s">
        <v>5050</v>
      </c>
      <c r="V3046">
        <f t="shared" si="70"/>
        <v>4.25</v>
      </c>
    </row>
    <row r="3047" spans="1:22" ht="15" customHeight="1" thickBot="1" x14ac:dyDescent="0.4">
      <c r="A3047" s="2"/>
      <c r="B3047" s="100">
        <f t="shared" si="72"/>
        <v>2976</v>
      </c>
      <c r="C3047" s="256" t="s">
        <v>4981</v>
      </c>
      <c r="D3047" s="256" t="s">
        <v>4982</v>
      </c>
      <c r="E3047" s="2" t="str">
        <f t="shared" si="71"/>
        <v>19</v>
      </c>
      <c r="F3047" s="256" t="s">
        <v>4970</v>
      </c>
      <c r="G3047" s="256" t="s">
        <v>4616</v>
      </c>
      <c r="H3047" s="266">
        <v>3.55</v>
      </c>
      <c r="I3047" s="99" t="s">
        <v>4616</v>
      </c>
      <c r="J3047" s="21"/>
      <c r="K3047" s="21"/>
      <c r="L3047" s="21"/>
      <c r="M3047" s="244"/>
      <c r="N3047" s="21"/>
      <c r="O3047" s="21"/>
      <c r="Q3047">
        <f t="shared" si="73"/>
        <v>0</v>
      </c>
      <c r="R3047">
        <v>4</v>
      </c>
      <c r="S3047" t="s">
        <v>5046</v>
      </c>
      <c r="T3047">
        <v>2</v>
      </c>
      <c r="U3047" t="s">
        <v>5048</v>
      </c>
      <c r="V3047">
        <f t="shared" si="70"/>
        <v>4.166666666666667</v>
      </c>
    </row>
    <row r="3048" spans="1:22" ht="15" customHeight="1" thickBot="1" x14ac:dyDescent="0.4">
      <c r="A3048" s="2"/>
      <c r="B3048" s="100">
        <f t="shared" si="72"/>
        <v>2977</v>
      </c>
      <c r="C3048" s="256" t="s">
        <v>4983</v>
      </c>
      <c r="D3048" s="256" t="s">
        <v>4984</v>
      </c>
      <c r="E3048" s="2" t="str">
        <f t="shared" si="71"/>
        <v>19</v>
      </c>
      <c r="F3048" s="256" t="s">
        <v>4970</v>
      </c>
      <c r="G3048" s="256" t="s">
        <v>4606</v>
      </c>
      <c r="H3048" s="285" t="s">
        <v>4985</v>
      </c>
      <c r="I3048" s="99" t="s">
        <v>4606</v>
      </c>
      <c r="J3048" s="20"/>
      <c r="K3048" s="21"/>
      <c r="L3048" s="21"/>
      <c r="M3048" s="244"/>
      <c r="N3048" s="21"/>
      <c r="O3048" s="21"/>
      <c r="Q3048">
        <f t="shared" si="73"/>
        <v>0</v>
      </c>
      <c r="R3048">
        <v>4</v>
      </c>
      <c r="S3048" t="s">
        <v>5046</v>
      </c>
      <c r="V3048">
        <f t="shared" si="70"/>
        <v>4</v>
      </c>
    </row>
    <row r="3049" spans="1:22" ht="15" customHeight="1" thickBot="1" x14ac:dyDescent="0.4">
      <c r="A3049" s="2"/>
      <c r="B3049" s="100">
        <f t="shared" si="72"/>
        <v>2978</v>
      </c>
      <c r="C3049" s="256" t="s">
        <v>4986</v>
      </c>
      <c r="D3049" s="256" t="s">
        <v>4987</v>
      </c>
      <c r="E3049" s="2" t="str">
        <f t="shared" si="71"/>
        <v>19</v>
      </c>
      <c r="F3049" s="256" t="s">
        <v>4970</v>
      </c>
      <c r="G3049" s="256" t="s">
        <v>4743</v>
      </c>
      <c r="H3049" s="284">
        <v>3.39</v>
      </c>
      <c r="I3049" s="131" t="s">
        <v>4743</v>
      </c>
      <c r="J3049" s="20"/>
      <c r="K3049" s="21"/>
      <c r="L3049" s="21"/>
      <c r="M3049" s="244"/>
      <c r="N3049" s="21"/>
      <c r="O3049" s="21"/>
      <c r="Q3049">
        <f t="shared" si="73"/>
        <v>0</v>
      </c>
      <c r="R3049">
        <v>4</v>
      </c>
      <c r="S3049" t="s">
        <v>5046</v>
      </c>
      <c r="T3049">
        <v>0</v>
      </c>
      <c r="U3049" t="s">
        <v>5048</v>
      </c>
      <c r="V3049">
        <f t="shared" si="70"/>
        <v>4</v>
      </c>
    </row>
    <row r="3050" spans="1:22" ht="15" customHeight="1" thickBot="1" x14ac:dyDescent="0.4">
      <c r="A3050" s="2"/>
      <c r="B3050" s="100">
        <f t="shared" si="72"/>
        <v>2979</v>
      </c>
      <c r="C3050" s="256" t="s">
        <v>4988</v>
      </c>
      <c r="D3050" s="256" t="s">
        <v>4989</v>
      </c>
      <c r="E3050" s="2" t="str">
        <f t="shared" si="71"/>
        <v>19</v>
      </c>
      <c r="F3050" s="256" t="s">
        <v>4970</v>
      </c>
      <c r="G3050" s="281" t="s">
        <v>4616</v>
      </c>
      <c r="H3050" s="2">
        <v>3.55</v>
      </c>
      <c r="I3050" s="99" t="s">
        <v>4616</v>
      </c>
      <c r="J3050" s="20"/>
      <c r="K3050" s="21"/>
      <c r="L3050" s="21"/>
      <c r="M3050" s="244"/>
      <c r="N3050" s="21"/>
      <c r="O3050" s="21"/>
      <c r="Q3050">
        <f t="shared" si="73"/>
        <v>0</v>
      </c>
      <c r="R3050">
        <v>4</v>
      </c>
      <c r="S3050" t="s">
        <v>5046</v>
      </c>
      <c r="T3050">
        <v>2</v>
      </c>
      <c r="U3050" t="s">
        <v>5048</v>
      </c>
      <c r="V3050">
        <f t="shared" si="70"/>
        <v>4.166666666666667</v>
      </c>
    </row>
    <row r="3051" spans="1:22" ht="15" customHeight="1" thickBot="1" x14ac:dyDescent="0.4">
      <c r="A3051" s="2"/>
      <c r="B3051" s="294">
        <f t="shared" si="72"/>
        <v>2980</v>
      </c>
      <c r="C3051" s="256" t="s">
        <v>4990</v>
      </c>
      <c r="D3051" s="256" t="s">
        <v>4991</v>
      </c>
      <c r="E3051" s="2" t="str">
        <f t="shared" si="71"/>
        <v>19</v>
      </c>
      <c r="F3051" s="256" t="s">
        <v>4970</v>
      </c>
      <c r="G3051" s="256" t="s">
        <v>4622</v>
      </c>
      <c r="H3051" s="286">
        <v>3.41</v>
      </c>
      <c r="I3051" s="99" t="s">
        <v>4622</v>
      </c>
      <c r="J3051" s="21"/>
      <c r="K3051" s="21"/>
      <c r="L3051" s="21"/>
      <c r="M3051" s="244"/>
      <c r="N3051" s="21"/>
      <c r="O3051" s="21"/>
      <c r="Q3051">
        <f t="shared" si="73"/>
        <v>0</v>
      </c>
      <c r="R3051">
        <v>4</v>
      </c>
      <c r="S3051" t="s">
        <v>5046</v>
      </c>
      <c r="T3051">
        <v>3</v>
      </c>
      <c r="U3051" t="s">
        <v>5048</v>
      </c>
      <c r="V3051">
        <f t="shared" si="70"/>
        <v>4.25</v>
      </c>
    </row>
    <row r="3052" spans="1:22" ht="15" customHeight="1" thickBot="1" x14ac:dyDescent="0.4">
      <c r="A3052" s="2"/>
      <c r="B3052" s="408">
        <f t="shared" si="72"/>
        <v>2981</v>
      </c>
      <c r="C3052" s="256" t="s">
        <v>4992</v>
      </c>
      <c r="D3052" s="256" t="s">
        <v>4993</v>
      </c>
      <c r="E3052" s="2" t="str">
        <f t="shared" si="71"/>
        <v>19</v>
      </c>
      <c r="F3052" s="256" t="s">
        <v>4994</v>
      </c>
      <c r="G3052" s="256" t="s">
        <v>4616</v>
      </c>
      <c r="H3052" s="287">
        <v>3.34</v>
      </c>
      <c r="I3052" s="99" t="s">
        <v>4616</v>
      </c>
      <c r="J3052" s="20"/>
      <c r="K3052" s="21"/>
      <c r="L3052" s="21"/>
      <c r="M3052" s="244"/>
      <c r="N3052" s="21"/>
      <c r="O3052" s="21"/>
      <c r="Q3052">
        <f t="shared" si="73"/>
        <v>0</v>
      </c>
      <c r="R3052">
        <v>4</v>
      </c>
      <c r="S3052" t="s">
        <v>5046</v>
      </c>
      <c r="T3052">
        <v>2</v>
      </c>
      <c r="U3052" t="s">
        <v>5048</v>
      </c>
      <c r="V3052">
        <f t="shared" si="70"/>
        <v>4.166666666666667</v>
      </c>
    </row>
    <row r="3053" spans="1:22" ht="15" customHeight="1" thickBot="1" x14ac:dyDescent="0.4">
      <c r="A3053" s="2"/>
      <c r="B3053" s="409">
        <f t="shared" si="72"/>
        <v>2982</v>
      </c>
      <c r="C3053" s="256" t="s">
        <v>4995</v>
      </c>
      <c r="D3053" s="256" t="s">
        <v>4996</v>
      </c>
      <c r="E3053" s="2" t="str">
        <f t="shared" si="71"/>
        <v>19</v>
      </c>
      <c r="F3053" s="256" t="s">
        <v>4994</v>
      </c>
      <c r="G3053" s="256" t="s">
        <v>4626</v>
      </c>
      <c r="H3053" s="287">
        <v>3.61</v>
      </c>
      <c r="I3053" s="99" t="s">
        <v>4626</v>
      </c>
      <c r="J3053" s="20"/>
      <c r="K3053" s="21"/>
      <c r="L3053" s="21"/>
      <c r="M3053" s="244"/>
      <c r="N3053" s="21"/>
      <c r="O3053" s="21"/>
      <c r="Q3053">
        <f t="shared" si="73"/>
        <v>0</v>
      </c>
      <c r="R3053">
        <v>4</v>
      </c>
      <c r="S3053" t="s">
        <v>5049</v>
      </c>
      <c r="T3053">
        <v>2</v>
      </c>
      <c r="U3053" t="s">
        <v>5050</v>
      </c>
      <c r="V3053">
        <f t="shared" si="70"/>
        <v>4.166666666666667</v>
      </c>
    </row>
    <row r="3054" spans="1:22" ht="15" customHeight="1" thickBot="1" x14ac:dyDescent="0.4">
      <c r="A3054" s="2"/>
      <c r="B3054" s="387">
        <f t="shared" si="72"/>
        <v>2983</v>
      </c>
      <c r="C3054" s="256" t="s">
        <v>4521</v>
      </c>
      <c r="D3054" s="256" t="s">
        <v>4522</v>
      </c>
      <c r="E3054" s="2" t="str">
        <f t="shared" si="71"/>
        <v>18</v>
      </c>
      <c r="F3054" s="275" t="s">
        <v>4997</v>
      </c>
      <c r="G3054" s="256" t="s">
        <v>4998</v>
      </c>
      <c r="H3054" s="266">
        <v>2.67</v>
      </c>
      <c r="I3054" s="131" t="s">
        <v>4998</v>
      </c>
      <c r="J3054" s="20"/>
      <c r="K3054" s="21"/>
      <c r="L3054" s="21"/>
      <c r="M3054" s="244"/>
      <c r="N3054" s="21"/>
      <c r="O3054" s="21"/>
      <c r="Q3054">
        <f t="shared" si="73"/>
        <v>5.333333333333333</v>
      </c>
      <c r="R3054">
        <v>5</v>
      </c>
      <c r="S3054" t="s">
        <v>5046</v>
      </c>
      <c r="T3054">
        <v>4</v>
      </c>
      <c r="U3054" t="s">
        <v>5048</v>
      </c>
      <c r="V3054">
        <f t="shared" si="70"/>
        <v>5.333333333333333</v>
      </c>
    </row>
    <row r="3055" spans="1:22" ht="15" customHeight="1" thickBot="1" x14ac:dyDescent="0.4">
      <c r="A3055" s="2"/>
      <c r="B3055" s="387">
        <f t="shared" si="72"/>
        <v>2984</v>
      </c>
      <c r="C3055" s="256" t="s">
        <v>4524</v>
      </c>
      <c r="D3055" s="256" t="s">
        <v>4525</v>
      </c>
      <c r="E3055" s="2" t="str">
        <f t="shared" si="71"/>
        <v>18</v>
      </c>
      <c r="F3055" s="275" t="s">
        <v>4997</v>
      </c>
      <c r="G3055" s="256" t="s">
        <v>4851</v>
      </c>
      <c r="H3055" s="266" t="s">
        <v>4679</v>
      </c>
      <c r="I3055" s="99" t="s">
        <v>4851</v>
      </c>
      <c r="J3055" s="20"/>
      <c r="K3055" s="21"/>
      <c r="L3055" s="21"/>
      <c r="M3055" s="244"/>
      <c r="N3055" s="21"/>
      <c r="O3055" s="21"/>
      <c r="Q3055">
        <f t="shared" si="73"/>
        <v>5.333333333333333</v>
      </c>
      <c r="R3055">
        <v>5</v>
      </c>
      <c r="S3055" t="s">
        <v>5049</v>
      </c>
      <c r="T3055">
        <v>4</v>
      </c>
      <c r="U3055" t="s">
        <v>5050</v>
      </c>
      <c r="V3055">
        <f t="shared" si="70"/>
        <v>5.333333333333333</v>
      </c>
    </row>
    <row r="3056" spans="1:22" ht="15" customHeight="1" thickBot="1" x14ac:dyDescent="0.4">
      <c r="A3056" s="2"/>
      <c r="B3056" s="387">
        <f t="shared" si="72"/>
        <v>2985</v>
      </c>
      <c r="C3056" s="254" t="s">
        <v>4526</v>
      </c>
      <c r="D3056" s="254" t="s">
        <v>4527</v>
      </c>
      <c r="E3056" s="2" t="str">
        <f t="shared" si="71"/>
        <v>19</v>
      </c>
      <c r="F3056" s="275" t="s">
        <v>4997</v>
      </c>
      <c r="G3056" s="256" t="s">
        <v>4622</v>
      </c>
      <c r="H3056" s="268" t="s">
        <v>4999</v>
      </c>
      <c r="I3056" s="99" t="s">
        <v>4622</v>
      </c>
      <c r="J3056" s="21"/>
      <c r="K3056" s="21"/>
      <c r="L3056" s="21"/>
      <c r="M3056" s="244"/>
      <c r="N3056" s="21"/>
      <c r="O3056" s="21"/>
      <c r="Q3056">
        <f t="shared" si="73"/>
        <v>0</v>
      </c>
      <c r="R3056">
        <v>4</v>
      </c>
      <c r="S3056" t="s">
        <v>5046</v>
      </c>
      <c r="T3056">
        <v>3</v>
      </c>
      <c r="U3056" t="s">
        <v>5048</v>
      </c>
      <c r="V3056">
        <f t="shared" si="70"/>
        <v>4.25</v>
      </c>
    </row>
    <row r="3057" spans="1:22" ht="15" customHeight="1" thickBot="1" x14ac:dyDescent="0.4">
      <c r="A3057" s="2"/>
      <c r="B3057" s="387">
        <f t="shared" si="72"/>
        <v>2986</v>
      </c>
      <c r="C3057" s="256" t="s">
        <v>4529</v>
      </c>
      <c r="D3057" s="256" t="s">
        <v>4530</v>
      </c>
      <c r="E3057" s="2" t="str">
        <f t="shared" si="71"/>
        <v>19</v>
      </c>
      <c r="F3057" s="275" t="s">
        <v>4997</v>
      </c>
      <c r="G3057" s="256" t="s">
        <v>4622</v>
      </c>
      <c r="H3057" s="266" t="s">
        <v>4822</v>
      </c>
      <c r="I3057" s="99" t="s">
        <v>4622</v>
      </c>
      <c r="J3057" s="20"/>
      <c r="K3057" s="21"/>
      <c r="L3057" s="21"/>
      <c r="M3057" s="244"/>
      <c r="N3057" s="21"/>
      <c r="O3057" s="21"/>
      <c r="Q3057">
        <f t="shared" ref="Q3057:Q3069" si="74">IF(E3057="18",V3057,0)</f>
        <v>0</v>
      </c>
      <c r="R3057">
        <v>4</v>
      </c>
      <c r="S3057" t="s">
        <v>5046</v>
      </c>
      <c r="T3057">
        <v>3</v>
      </c>
      <c r="U3057" t="s">
        <v>5048</v>
      </c>
      <c r="V3057">
        <f t="shared" si="70"/>
        <v>4.25</v>
      </c>
    </row>
    <row r="3058" spans="1:22" ht="15" customHeight="1" thickBot="1" x14ac:dyDescent="0.4">
      <c r="A3058" s="2"/>
      <c r="B3058" s="387">
        <f t="shared" si="72"/>
        <v>2987</v>
      </c>
      <c r="C3058" s="254" t="s">
        <v>4532</v>
      </c>
      <c r="D3058" s="254" t="s">
        <v>4533</v>
      </c>
      <c r="E3058" s="2" t="str">
        <f t="shared" si="71"/>
        <v>19</v>
      </c>
      <c r="F3058" s="275" t="s">
        <v>4997</v>
      </c>
      <c r="G3058" s="256" t="s">
        <v>4622</v>
      </c>
      <c r="H3058" s="268" t="s">
        <v>4808</v>
      </c>
      <c r="I3058" s="99" t="s">
        <v>4622</v>
      </c>
      <c r="J3058" s="20"/>
      <c r="K3058" s="21"/>
      <c r="L3058" s="21"/>
      <c r="M3058" s="244"/>
      <c r="N3058" s="21"/>
      <c r="O3058" s="21"/>
      <c r="Q3058">
        <f t="shared" si="74"/>
        <v>0</v>
      </c>
      <c r="R3058">
        <v>4</v>
      </c>
      <c r="S3058" t="s">
        <v>5046</v>
      </c>
      <c r="T3058">
        <v>3</v>
      </c>
      <c r="U3058" t="s">
        <v>5048</v>
      </c>
      <c r="V3058">
        <f t="shared" si="70"/>
        <v>4.25</v>
      </c>
    </row>
    <row r="3059" spans="1:22" ht="15" customHeight="1" thickBot="1" x14ac:dyDescent="0.4">
      <c r="A3059" s="2"/>
      <c r="B3059" s="387">
        <f t="shared" si="72"/>
        <v>2988</v>
      </c>
      <c r="C3059" s="254" t="s">
        <v>4534</v>
      </c>
      <c r="D3059" s="254" t="s">
        <v>4535</v>
      </c>
      <c r="E3059" s="2" t="str">
        <f t="shared" si="71"/>
        <v>19</v>
      </c>
      <c r="F3059" s="275" t="s">
        <v>4997</v>
      </c>
      <c r="G3059" s="256" t="s">
        <v>4637</v>
      </c>
      <c r="H3059" s="268" t="s">
        <v>4707</v>
      </c>
      <c r="I3059" s="99" t="s">
        <v>4637</v>
      </c>
      <c r="J3059" s="20"/>
      <c r="K3059" s="21"/>
      <c r="L3059" s="21"/>
      <c r="M3059" s="244"/>
      <c r="N3059" s="21"/>
      <c r="O3059" s="21"/>
      <c r="Q3059">
        <f t="shared" si="74"/>
        <v>0</v>
      </c>
      <c r="R3059">
        <v>4</v>
      </c>
      <c r="S3059" t="s">
        <v>5049</v>
      </c>
      <c r="T3059">
        <v>3</v>
      </c>
      <c r="U3059" t="s">
        <v>5050</v>
      </c>
      <c r="V3059">
        <f t="shared" si="70"/>
        <v>4.25</v>
      </c>
    </row>
    <row r="3060" spans="1:22" ht="15" customHeight="1" thickBot="1" x14ac:dyDescent="0.4">
      <c r="A3060" s="2"/>
      <c r="B3060" s="387">
        <f t="shared" si="72"/>
        <v>2989</v>
      </c>
      <c r="C3060" s="256" t="s">
        <v>4537</v>
      </c>
      <c r="D3060" s="256" t="s">
        <v>4538</v>
      </c>
      <c r="E3060" s="2" t="str">
        <f t="shared" si="71"/>
        <v>19</v>
      </c>
      <c r="F3060" s="275" t="s">
        <v>4997</v>
      </c>
      <c r="G3060" s="256" t="s">
        <v>4622</v>
      </c>
      <c r="H3060" s="266">
        <v>3.53</v>
      </c>
      <c r="I3060" s="248" t="s">
        <v>4622</v>
      </c>
      <c r="J3060" s="20"/>
      <c r="K3060" s="21"/>
      <c r="L3060" s="21"/>
      <c r="M3060" s="244"/>
      <c r="N3060" s="21"/>
      <c r="O3060" s="21"/>
      <c r="Q3060">
        <f t="shared" si="74"/>
        <v>0</v>
      </c>
      <c r="R3060">
        <v>4</v>
      </c>
      <c r="S3060" t="s">
        <v>5046</v>
      </c>
      <c r="T3060">
        <v>3</v>
      </c>
      <c r="U3060" t="s">
        <v>5048</v>
      </c>
      <c r="V3060">
        <f t="shared" si="70"/>
        <v>4.25</v>
      </c>
    </row>
    <row r="3061" spans="1:22" ht="15" customHeight="1" thickBot="1" x14ac:dyDescent="0.4">
      <c r="A3061" s="2"/>
      <c r="B3061" s="387">
        <f t="shared" si="72"/>
        <v>2990</v>
      </c>
      <c r="C3061" s="254" t="s">
        <v>4565</v>
      </c>
      <c r="D3061" s="254" t="s">
        <v>4566</v>
      </c>
      <c r="E3061" s="2" t="str">
        <f t="shared" si="71"/>
        <v>19</v>
      </c>
      <c r="F3061" s="275" t="s">
        <v>4997</v>
      </c>
      <c r="G3061" s="256" t="s">
        <v>4622</v>
      </c>
      <c r="H3061" s="268" t="s">
        <v>5000</v>
      </c>
      <c r="I3061" s="251" t="s">
        <v>4622</v>
      </c>
      <c r="J3061" s="20"/>
      <c r="K3061" s="21"/>
      <c r="L3061" s="21"/>
      <c r="M3061" s="244"/>
      <c r="N3061" s="21"/>
      <c r="O3061" s="21"/>
      <c r="Q3061">
        <f t="shared" si="74"/>
        <v>0</v>
      </c>
      <c r="R3061">
        <v>4</v>
      </c>
      <c r="S3061" t="s">
        <v>5046</v>
      </c>
      <c r="T3061">
        <v>3</v>
      </c>
      <c r="U3061" t="s">
        <v>5048</v>
      </c>
      <c r="V3061">
        <f t="shared" ref="V3061:V3094" si="75">R3061+(T3061/12)</f>
        <v>4.25</v>
      </c>
    </row>
    <row r="3062" spans="1:22" ht="15" customHeight="1" thickBot="1" x14ac:dyDescent="0.4">
      <c r="A3062" s="2"/>
      <c r="B3062" s="387">
        <f t="shared" si="72"/>
        <v>2991</v>
      </c>
      <c r="C3062" s="256" t="s">
        <v>4569</v>
      </c>
      <c r="D3062" s="256" t="s">
        <v>4570</v>
      </c>
      <c r="E3062" s="2" t="str">
        <f t="shared" si="71"/>
        <v>19</v>
      </c>
      <c r="F3062" s="275" t="s">
        <v>4997</v>
      </c>
      <c r="G3062" s="256" t="s">
        <v>4637</v>
      </c>
      <c r="H3062" s="266">
        <v>3.68</v>
      </c>
      <c r="I3062" s="252" t="s">
        <v>4637</v>
      </c>
      <c r="J3062" s="249" t="s">
        <v>4591</v>
      </c>
      <c r="K3062" s="21"/>
      <c r="L3062" s="21"/>
      <c r="M3062" s="244"/>
      <c r="N3062" s="21"/>
      <c r="O3062" s="21"/>
      <c r="Q3062">
        <f t="shared" si="74"/>
        <v>0</v>
      </c>
      <c r="R3062">
        <v>4</v>
      </c>
      <c r="S3062" t="s">
        <v>5049</v>
      </c>
      <c r="T3062">
        <v>3</v>
      </c>
      <c r="U3062" t="s">
        <v>5050</v>
      </c>
      <c r="V3062">
        <f t="shared" si="75"/>
        <v>4.25</v>
      </c>
    </row>
    <row r="3063" spans="1:22" ht="14.15" customHeight="1" thickBot="1" x14ac:dyDescent="0.4">
      <c r="A3063" s="298"/>
      <c r="B3063" s="387">
        <f t="shared" si="72"/>
        <v>2992</v>
      </c>
      <c r="C3063" s="254" t="s">
        <v>5001</v>
      </c>
      <c r="D3063" s="254" t="s">
        <v>4573</v>
      </c>
      <c r="E3063" s="2" t="str">
        <f t="shared" si="71"/>
        <v>19</v>
      </c>
      <c r="F3063" s="275" t="s">
        <v>4997</v>
      </c>
      <c r="G3063" s="256" t="s">
        <v>4622</v>
      </c>
      <c r="H3063" s="268" t="s">
        <v>5002</v>
      </c>
      <c r="I3063" s="253" t="s">
        <v>4622</v>
      </c>
      <c r="J3063" s="250" t="s">
        <v>4601</v>
      </c>
      <c r="K3063" s="21"/>
      <c r="L3063" s="21"/>
      <c r="M3063" s="244"/>
      <c r="N3063" s="21"/>
      <c r="O3063" s="21"/>
      <c r="Q3063">
        <f t="shared" si="74"/>
        <v>0</v>
      </c>
      <c r="R3063">
        <v>4</v>
      </c>
      <c r="S3063" t="s">
        <v>5046</v>
      </c>
      <c r="T3063">
        <v>3</v>
      </c>
      <c r="U3063" t="s">
        <v>5048</v>
      </c>
      <c r="V3063">
        <f t="shared" si="75"/>
        <v>4.25</v>
      </c>
    </row>
    <row r="3064" spans="1:22" ht="15" thickBot="1" x14ac:dyDescent="0.4">
      <c r="A3064" s="298"/>
      <c r="B3064" s="387">
        <f t="shared" si="72"/>
        <v>2993</v>
      </c>
      <c r="C3064" s="254" t="s">
        <v>4574</v>
      </c>
      <c r="D3064" s="254" t="s">
        <v>4575</v>
      </c>
      <c r="E3064" s="2" t="str">
        <f t="shared" si="71"/>
        <v>19</v>
      </c>
      <c r="F3064" s="275" t="s">
        <v>4997</v>
      </c>
      <c r="G3064" s="256" t="s">
        <v>4622</v>
      </c>
      <c r="H3064" s="268" t="s">
        <v>4821</v>
      </c>
      <c r="I3064" s="18" t="s">
        <v>4622</v>
      </c>
      <c r="J3064" s="250" t="s">
        <v>4601</v>
      </c>
      <c r="Q3064">
        <f t="shared" si="74"/>
        <v>0</v>
      </c>
      <c r="R3064">
        <v>4</v>
      </c>
      <c r="S3064" t="s">
        <v>5046</v>
      </c>
      <c r="T3064">
        <v>3</v>
      </c>
      <c r="U3064" t="s">
        <v>5048</v>
      </c>
      <c r="V3064">
        <f t="shared" si="75"/>
        <v>4.25</v>
      </c>
    </row>
    <row r="3065" spans="1:22" ht="14.15" customHeight="1" thickBot="1" x14ac:dyDescent="0.4">
      <c r="A3065" s="298"/>
      <c r="B3065" s="387">
        <f t="shared" si="72"/>
        <v>2994</v>
      </c>
      <c r="C3065" s="256" t="s">
        <v>4578</v>
      </c>
      <c r="D3065" s="256" t="s">
        <v>4579</v>
      </c>
      <c r="E3065" s="2" t="str">
        <f t="shared" si="71"/>
        <v>19</v>
      </c>
      <c r="F3065" s="275" t="s">
        <v>4997</v>
      </c>
      <c r="G3065" s="256" t="s">
        <v>4622</v>
      </c>
      <c r="H3065" s="266" t="s">
        <v>4707</v>
      </c>
      <c r="I3065" s="18" t="s">
        <v>4622</v>
      </c>
      <c r="J3065" s="250" t="s">
        <v>4601</v>
      </c>
      <c r="K3065" s="21"/>
      <c r="L3065" s="21"/>
      <c r="M3065" s="244"/>
      <c r="N3065" s="21"/>
      <c r="O3065" s="21"/>
      <c r="Q3065">
        <f t="shared" si="74"/>
        <v>0</v>
      </c>
      <c r="R3065">
        <v>4</v>
      </c>
      <c r="S3065" t="s">
        <v>5046</v>
      </c>
      <c r="T3065">
        <v>3</v>
      </c>
      <c r="U3065" t="s">
        <v>5048</v>
      </c>
      <c r="V3065">
        <f t="shared" si="75"/>
        <v>4.25</v>
      </c>
    </row>
    <row r="3066" spans="1:22" ht="14.15" customHeight="1" thickBot="1" x14ac:dyDescent="0.4">
      <c r="B3066" s="387">
        <f t="shared" si="72"/>
        <v>2995</v>
      </c>
      <c r="C3066" s="256" t="s">
        <v>4584</v>
      </c>
      <c r="D3066" s="256" t="s">
        <v>4585</v>
      </c>
      <c r="E3066" s="2" t="str">
        <f t="shared" si="71"/>
        <v>19</v>
      </c>
      <c r="F3066" s="275" t="s">
        <v>4997</v>
      </c>
      <c r="G3066" s="281" t="s">
        <v>4787</v>
      </c>
      <c r="H3066" s="283">
        <v>3.62</v>
      </c>
      <c r="I3066" s="243" t="s">
        <v>4787</v>
      </c>
      <c r="J3066" s="20"/>
      <c r="K3066" s="21"/>
      <c r="L3066" s="21"/>
      <c r="M3066" s="244"/>
      <c r="N3066" s="21"/>
      <c r="O3066" s="21"/>
      <c r="Q3066">
        <f t="shared" si="74"/>
        <v>0</v>
      </c>
      <c r="R3066">
        <v>4</v>
      </c>
      <c r="S3066" t="s">
        <v>5046</v>
      </c>
      <c r="T3066">
        <v>4</v>
      </c>
      <c r="U3066" t="s">
        <v>5048</v>
      </c>
      <c r="V3066">
        <f t="shared" si="75"/>
        <v>4.333333333333333</v>
      </c>
    </row>
    <row r="3067" spans="1:22" ht="14.15" customHeight="1" thickBot="1" x14ac:dyDescent="0.4">
      <c r="B3067" s="387">
        <f t="shared" si="72"/>
        <v>2996</v>
      </c>
      <c r="C3067" s="254" t="s">
        <v>4588</v>
      </c>
      <c r="D3067" s="254" t="s">
        <v>4589</v>
      </c>
      <c r="E3067" s="2" t="str">
        <f t="shared" ref="E3067:E3093" si="76">LEFT(D3067,2)</f>
        <v>19</v>
      </c>
      <c r="F3067" s="275" t="s">
        <v>4997</v>
      </c>
      <c r="G3067" s="256" t="s">
        <v>4637</v>
      </c>
      <c r="H3067" s="268" t="s">
        <v>4682</v>
      </c>
      <c r="I3067" s="1" t="s">
        <v>4637</v>
      </c>
      <c r="J3067" s="20"/>
      <c r="K3067" s="21"/>
      <c r="L3067" s="21"/>
      <c r="M3067" s="21"/>
      <c r="N3067" s="21"/>
      <c r="O3067" s="21"/>
      <c r="Q3067">
        <f t="shared" si="74"/>
        <v>0</v>
      </c>
      <c r="R3067">
        <v>4</v>
      </c>
      <c r="S3067" t="s">
        <v>5049</v>
      </c>
      <c r="T3067">
        <v>3</v>
      </c>
      <c r="U3067" t="s">
        <v>5050</v>
      </c>
      <c r="V3067">
        <f t="shared" si="75"/>
        <v>4.25</v>
      </c>
    </row>
    <row r="3068" spans="1:22" ht="14.15" customHeight="1" thickBot="1" x14ac:dyDescent="0.4">
      <c r="B3068" s="387">
        <f t="shared" si="72"/>
        <v>2997</v>
      </c>
      <c r="C3068" s="256" t="s">
        <v>4539</v>
      </c>
      <c r="D3068" s="256" t="s">
        <v>4523</v>
      </c>
      <c r="E3068" s="2" t="str">
        <f t="shared" si="76"/>
        <v>18</v>
      </c>
      <c r="F3068" s="256" t="s">
        <v>5003</v>
      </c>
      <c r="G3068" s="256" t="s">
        <v>5004</v>
      </c>
      <c r="H3068" s="283" t="s">
        <v>5005</v>
      </c>
      <c r="I3068" s="1" t="s">
        <v>5004</v>
      </c>
      <c r="J3068" s="20"/>
      <c r="K3068" s="21"/>
      <c r="L3068" s="21"/>
      <c r="M3068" s="21"/>
      <c r="N3068" s="21"/>
      <c r="O3068" s="21"/>
      <c r="Q3068">
        <f t="shared" si="74"/>
        <v>5.25</v>
      </c>
      <c r="R3068">
        <v>5</v>
      </c>
      <c r="S3068" t="s">
        <v>5046</v>
      </c>
      <c r="T3068">
        <v>3</v>
      </c>
      <c r="U3068" t="s">
        <v>5048</v>
      </c>
      <c r="V3068">
        <f t="shared" si="75"/>
        <v>5.25</v>
      </c>
    </row>
    <row r="3069" spans="1:22" ht="14.15" customHeight="1" thickBot="1" x14ac:dyDescent="0.4">
      <c r="B3069" s="387">
        <f t="shared" si="72"/>
        <v>2998</v>
      </c>
      <c r="C3069" s="256" t="s">
        <v>4540</v>
      </c>
      <c r="D3069" s="256" t="s">
        <v>4528</v>
      </c>
      <c r="E3069" s="2" t="str">
        <f t="shared" si="76"/>
        <v>18</v>
      </c>
      <c r="F3069" s="256" t="s">
        <v>5003</v>
      </c>
      <c r="G3069" s="256" t="s">
        <v>5004</v>
      </c>
      <c r="H3069" s="266">
        <v>3.29</v>
      </c>
      <c r="I3069" s="1" t="s">
        <v>5004</v>
      </c>
      <c r="J3069" s="2"/>
      <c r="Q3069">
        <f t="shared" si="74"/>
        <v>5.25</v>
      </c>
      <c r="R3069">
        <v>5</v>
      </c>
      <c r="S3069" t="s">
        <v>5046</v>
      </c>
      <c r="T3069">
        <v>3</v>
      </c>
      <c r="U3069" t="s">
        <v>5048</v>
      </c>
      <c r="V3069">
        <f t="shared" si="75"/>
        <v>5.25</v>
      </c>
    </row>
    <row r="3070" spans="1:22" ht="14.15" customHeight="1" thickBot="1" x14ac:dyDescent="0.4">
      <c r="B3070" s="387">
        <f t="shared" si="72"/>
        <v>2999</v>
      </c>
      <c r="C3070" s="256" t="s">
        <v>4541</v>
      </c>
      <c r="D3070" s="256" t="s">
        <v>4531</v>
      </c>
      <c r="E3070" s="2" t="str">
        <f t="shared" si="76"/>
        <v>18</v>
      </c>
      <c r="F3070" s="256" t="s">
        <v>5003</v>
      </c>
      <c r="G3070" s="256" t="s">
        <v>4791</v>
      </c>
      <c r="H3070" s="266">
        <v>2.92</v>
      </c>
      <c r="I3070" s="1" t="s">
        <v>4791</v>
      </c>
      <c r="J3070" s="2"/>
      <c r="Q3070">
        <f>IF(E3070="18",V3070,0)</f>
        <v>5.5</v>
      </c>
      <c r="R3070">
        <v>5</v>
      </c>
      <c r="S3070" t="s">
        <v>5046</v>
      </c>
      <c r="T3070">
        <v>6</v>
      </c>
      <c r="U3070" t="s">
        <v>5048</v>
      </c>
      <c r="V3070">
        <f t="shared" si="75"/>
        <v>5.5</v>
      </c>
    </row>
    <row r="3071" spans="1:22" ht="14.15" customHeight="1" thickBot="1" x14ac:dyDescent="0.4">
      <c r="B3071" s="387">
        <f t="shared" si="72"/>
        <v>3000</v>
      </c>
      <c r="C3071" s="256" t="s">
        <v>4542</v>
      </c>
      <c r="D3071" s="256" t="s">
        <v>4536</v>
      </c>
      <c r="E3071" s="2" t="str">
        <f t="shared" si="76"/>
        <v>19</v>
      </c>
      <c r="F3071" s="256" t="s">
        <v>5003</v>
      </c>
      <c r="G3071" s="256" t="s">
        <v>4787</v>
      </c>
      <c r="H3071" s="266" t="s">
        <v>4969</v>
      </c>
      <c r="I3071" s="1" t="s">
        <v>4787</v>
      </c>
      <c r="J3071" s="2"/>
      <c r="Q3071">
        <f t="shared" ref="Q3071:Q3094" si="77">IF(E3071="18",V3071,0)</f>
        <v>0</v>
      </c>
      <c r="R3071">
        <v>4</v>
      </c>
      <c r="S3071" t="s">
        <v>5046</v>
      </c>
      <c r="T3071">
        <v>4</v>
      </c>
      <c r="U3071" t="s">
        <v>5048</v>
      </c>
      <c r="V3071">
        <f t="shared" si="75"/>
        <v>4.333333333333333</v>
      </c>
    </row>
    <row r="3072" spans="1:22" ht="14.15" customHeight="1" thickBot="1" x14ac:dyDescent="0.4">
      <c r="B3072" s="387">
        <f t="shared" si="72"/>
        <v>3001</v>
      </c>
      <c r="C3072" s="254" t="s">
        <v>4543</v>
      </c>
      <c r="D3072" s="254" t="s">
        <v>4544</v>
      </c>
      <c r="E3072" s="2" t="str">
        <f t="shared" si="76"/>
        <v>19</v>
      </c>
      <c r="F3072" s="256" t="s">
        <v>5003</v>
      </c>
      <c r="G3072" s="256" t="s">
        <v>4855</v>
      </c>
      <c r="H3072" s="268" t="s">
        <v>4985</v>
      </c>
      <c r="I3072" t="s">
        <v>4855</v>
      </c>
      <c r="J3072" s="2"/>
      <c r="Q3072">
        <f t="shared" si="77"/>
        <v>0</v>
      </c>
      <c r="R3072">
        <v>4</v>
      </c>
      <c r="S3072" t="s">
        <v>5046</v>
      </c>
      <c r="T3072">
        <v>5</v>
      </c>
      <c r="U3072" t="s">
        <v>5048</v>
      </c>
      <c r="V3072">
        <f t="shared" si="75"/>
        <v>4.416666666666667</v>
      </c>
    </row>
    <row r="3073" spans="2:22" ht="14.15" customHeight="1" thickBot="1" x14ac:dyDescent="0.4">
      <c r="B3073" s="387">
        <f t="shared" si="72"/>
        <v>3002</v>
      </c>
      <c r="C3073" s="256" t="s">
        <v>4546</v>
      </c>
      <c r="D3073" s="256" t="s">
        <v>4545</v>
      </c>
      <c r="E3073" s="2" t="str">
        <f t="shared" si="76"/>
        <v>19</v>
      </c>
      <c r="F3073" s="256" t="s">
        <v>5003</v>
      </c>
      <c r="G3073" s="256" t="s">
        <v>4787</v>
      </c>
      <c r="H3073" s="266">
        <v>3.46</v>
      </c>
      <c r="I3073" t="s">
        <v>4787</v>
      </c>
      <c r="J3073" s="2"/>
      <c r="Q3073">
        <f t="shared" si="77"/>
        <v>0</v>
      </c>
      <c r="R3073">
        <v>4</v>
      </c>
      <c r="S3073" t="s">
        <v>5046</v>
      </c>
      <c r="T3073">
        <v>4</v>
      </c>
      <c r="U3073" t="s">
        <v>5048</v>
      </c>
      <c r="V3073">
        <f t="shared" si="75"/>
        <v>4.333333333333333</v>
      </c>
    </row>
    <row r="3074" spans="2:22" ht="15" thickBot="1" x14ac:dyDescent="0.4">
      <c r="B3074" s="387">
        <f t="shared" si="72"/>
        <v>3003</v>
      </c>
      <c r="C3074" s="256" t="s">
        <v>4548</v>
      </c>
      <c r="D3074" s="256" t="s">
        <v>4547</v>
      </c>
      <c r="E3074" s="2" t="str">
        <f t="shared" si="76"/>
        <v>19</v>
      </c>
      <c r="F3074" s="256" t="s">
        <v>5003</v>
      </c>
      <c r="G3074" s="256" t="s">
        <v>4850</v>
      </c>
      <c r="H3074" s="266" t="s">
        <v>5000</v>
      </c>
      <c r="I3074" t="s">
        <v>4850</v>
      </c>
      <c r="Q3074">
        <f t="shared" si="77"/>
        <v>0</v>
      </c>
      <c r="R3074">
        <v>4</v>
      </c>
      <c r="S3074" t="s">
        <v>5049</v>
      </c>
      <c r="T3074">
        <v>4</v>
      </c>
      <c r="U3074" t="s">
        <v>5050</v>
      </c>
      <c r="V3074">
        <f t="shared" si="75"/>
        <v>4.333333333333333</v>
      </c>
    </row>
    <row r="3075" spans="2:22" ht="15" thickBot="1" x14ac:dyDescent="0.4">
      <c r="B3075" s="387">
        <f t="shared" si="72"/>
        <v>3004</v>
      </c>
      <c r="C3075" s="256" t="s">
        <v>4549</v>
      </c>
      <c r="D3075" s="256" t="s">
        <v>4550</v>
      </c>
      <c r="E3075" s="2" t="str">
        <f t="shared" si="76"/>
        <v>19</v>
      </c>
      <c r="F3075" s="256" t="s">
        <v>5003</v>
      </c>
      <c r="G3075" s="256" t="s">
        <v>4622</v>
      </c>
      <c r="H3075" s="266">
        <v>3.18</v>
      </c>
      <c r="I3075" t="s">
        <v>4622</v>
      </c>
      <c r="Q3075">
        <f t="shared" si="77"/>
        <v>0</v>
      </c>
      <c r="R3075">
        <v>4</v>
      </c>
      <c r="S3075" t="s">
        <v>5046</v>
      </c>
      <c r="T3075">
        <v>3</v>
      </c>
      <c r="U3075" t="s">
        <v>5048</v>
      </c>
      <c r="V3075">
        <f t="shared" si="75"/>
        <v>4.25</v>
      </c>
    </row>
    <row r="3076" spans="2:22" ht="15" thickBot="1" x14ac:dyDescent="0.4">
      <c r="B3076" s="387">
        <f t="shared" si="72"/>
        <v>3005</v>
      </c>
      <c r="C3076" s="256" t="s">
        <v>4551</v>
      </c>
      <c r="D3076" s="256" t="s">
        <v>4552</v>
      </c>
      <c r="E3076" s="2" t="str">
        <f t="shared" si="76"/>
        <v>19</v>
      </c>
      <c r="F3076" s="256" t="s">
        <v>5003</v>
      </c>
      <c r="G3076" s="256" t="s">
        <v>4787</v>
      </c>
      <c r="H3076" s="266" t="s">
        <v>4620</v>
      </c>
      <c r="I3076" t="s">
        <v>4787</v>
      </c>
      <c r="Q3076">
        <f t="shared" si="77"/>
        <v>0</v>
      </c>
      <c r="R3076">
        <v>4</v>
      </c>
      <c r="S3076" t="s">
        <v>5046</v>
      </c>
      <c r="T3076">
        <v>4</v>
      </c>
      <c r="U3076" t="s">
        <v>5048</v>
      </c>
      <c r="V3076">
        <f t="shared" si="75"/>
        <v>4.333333333333333</v>
      </c>
    </row>
    <row r="3077" spans="2:22" ht="15" thickBot="1" x14ac:dyDescent="0.4">
      <c r="B3077" s="387">
        <f t="shared" si="72"/>
        <v>3006</v>
      </c>
      <c r="C3077" s="256" t="s">
        <v>4553</v>
      </c>
      <c r="D3077" s="256" t="s">
        <v>4554</v>
      </c>
      <c r="E3077" s="2" t="str">
        <f t="shared" si="76"/>
        <v>19</v>
      </c>
      <c r="F3077" s="256" t="s">
        <v>5006</v>
      </c>
      <c r="G3077" s="256" t="s">
        <v>4855</v>
      </c>
      <c r="H3077" s="266" t="s">
        <v>4624</v>
      </c>
      <c r="I3077" t="s">
        <v>4855</v>
      </c>
      <c r="Q3077">
        <f t="shared" si="77"/>
        <v>0</v>
      </c>
      <c r="R3077">
        <v>4</v>
      </c>
      <c r="S3077" t="s">
        <v>5046</v>
      </c>
      <c r="T3077">
        <v>5</v>
      </c>
      <c r="U3077" t="s">
        <v>5048</v>
      </c>
      <c r="V3077">
        <f t="shared" si="75"/>
        <v>4.416666666666667</v>
      </c>
    </row>
    <row r="3078" spans="2:22" ht="15" thickBot="1" x14ac:dyDescent="0.4">
      <c r="B3078" s="387">
        <f t="shared" si="72"/>
        <v>3007</v>
      </c>
      <c r="C3078" s="256" t="s">
        <v>4555</v>
      </c>
      <c r="D3078" s="256" t="s">
        <v>4556</v>
      </c>
      <c r="E3078" s="2" t="str">
        <f t="shared" si="76"/>
        <v>19</v>
      </c>
      <c r="F3078" s="256" t="s">
        <v>5007</v>
      </c>
      <c r="G3078" s="256" t="s">
        <v>4855</v>
      </c>
      <c r="H3078" s="266" t="s">
        <v>4815</v>
      </c>
      <c r="I3078" t="s">
        <v>4855</v>
      </c>
      <c r="Q3078">
        <f t="shared" si="77"/>
        <v>0</v>
      </c>
      <c r="R3078">
        <v>4</v>
      </c>
      <c r="S3078" t="s">
        <v>5046</v>
      </c>
      <c r="T3078">
        <v>5</v>
      </c>
      <c r="U3078" t="s">
        <v>5048</v>
      </c>
      <c r="V3078">
        <f t="shared" si="75"/>
        <v>4.416666666666667</v>
      </c>
    </row>
    <row r="3079" spans="2:22" ht="15" thickBot="1" x14ac:dyDescent="0.4">
      <c r="B3079" s="387">
        <f t="shared" si="72"/>
        <v>3008</v>
      </c>
      <c r="C3079" s="258" t="s">
        <v>4557</v>
      </c>
      <c r="D3079" s="258" t="s">
        <v>4558</v>
      </c>
      <c r="E3079" s="2" t="str">
        <f t="shared" si="76"/>
        <v>19</v>
      </c>
      <c r="F3079" s="258" t="s">
        <v>5008</v>
      </c>
      <c r="G3079" s="258" t="s">
        <v>4855</v>
      </c>
      <c r="H3079" s="268" t="s">
        <v>4813</v>
      </c>
      <c r="I3079" t="s">
        <v>4855</v>
      </c>
      <c r="Q3079">
        <f t="shared" si="77"/>
        <v>0</v>
      </c>
      <c r="R3079">
        <v>4</v>
      </c>
      <c r="S3079" t="s">
        <v>5046</v>
      </c>
      <c r="T3079">
        <v>5</v>
      </c>
      <c r="U3079" t="s">
        <v>5048</v>
      </c>
      <c r="V3079">
        <f t="shared" si="75"/>
        <v>4.416666666666667</v>
      </c>
    </row>
    <row r="3080" spans="2:22" ht="15" thickBot="1" x14ac:dyDescent="0.4">
      <c r="B3080" s="387">
        <f t="shared" si="72"/>
        <v>3009</v>
      </c>
      <c r="C3080" s="256" t="s">
        <v>4559</v>
      </c>
      <c r="D3080" s="256" t="s">
        <v>4560</v>
      </c>
      <c r="E3080" s="2" t="str">
        <f t="shared" si="76"/>
        <v>19</v>
      </c>
      <c r="F3080" s="256" t="s">
        <v>5006</v>
      </c>
      <c r="G3080" s="256" t="s">
        <v>4855</v>
      </c>
      <c r="H3080" s="268" t="s">
        <v>5005</v>
      </c>
      <c r="I3080" t="s">
        <v>4855</v>
      </c>
      <c r="Q3080">
        <f t="shared" si="77"/>
        <v>0</v>
      </c>
      <c r="R3080">
        <v>4</v>
      </c>
      <c r="S3080" t="s">
        <v>5046</v>
      </c>
      <c r="T3080">
        <v>5</v>
      </c>
      <c r="U3080" t="s">
        <v>5048</v>
      </c>
      <c r="V3080">
        <f t="shared" si="75"/>
        <v>4.416666666666667</v>
      </c>
    </row>
    <row r="3081" spans="2:22" ht="15" thickBot="1" x14ac:dyDescent="0.4">
      <c r="B3081" s="387">
        <f t="shared" si="72"/>
        <v>3010</v>
      </c>
      <c r="C3081" s="256" t="s">
        <v>4561</v>
      </c>
      <c r="D3081" s="256" t="s">
        <v>4562</v>
      </c>
      <c r="E3081" s="2" t="str">
        <f t="shared" si="76"/>
        <v>19</v>
      </c>
      <c r="F3081" s="256" t="s">
        <v>5007</v>
      </c>
      <c r="G3081" s="256" t="s">
        <v>4855</v>
      </c>
      <c r="H3081" s="2">
        <v>3.63</v>
      </c>
      <c r="I3081" t="s">
        <v>4855</v>
      </c>
      <c r="Q3081">
        <f t="shared" si="77"/>
        <v>0</v>
      </c>
      <c r="R3081">
        <v>4</v>
      </c>
      <c r="S3081" t="s">
        <v>5046</v>
      </c>
      <c r="T3081">
        <v>5</v>
      </c>
      <c r="U3081" t="s">
        <v>5048</v>
      </c>
      <c r="V3081">
        <f t="shared" si="75"/>
        <v>4.416666666666667</v>
      </c>
    </row>
    <row r="3082" spans="2:22" ht="15" thickBot="1" x14ac:dyDescent="0.4">
      <c r="B3082" s="387">
        <f t="shared" si="72"/>
        <v>3011</v>
      </c>
      <c r="C3082" s="256" t="s">
        <v>5009</v>
      </c>
      <c r="D3082" s="256" t="s">
        <v>5010</v>
      </c>
      <c r="E3082" s="2" t="str">
        <f t="shared" si="76"/>
        <v>19</v>
      </c>
      <c r="F3082" s="256" t="s">
        <v>5011</v>
      </c>
      <c r="G3082" s="256" t="s">
        <v>4855</v>
      </c>
      <c r="H3082" s="266" t="s">
        <v>5012</v>
      </c>
      <c r="I3082" t="s">
        <v>4855</v>
      </c>
      <c r="Q3082">
        <f t="shared" si="77"/>
        <v>0</v>
      </c>
      <c r="R3082">
        <v>4</v>
      </c>
      <c r="S3082" t="s">
        <v>5046</v>
      </c>
      <c r="T3082">
        <v>5</v>
      </c>
      <c r="U3082" t="s">
        <v>5048</v>
      </c>
      <c r="V3082">
        <f>R3082+(T3082/12)</f>
        <v>4.416666666666667</v>
      </c>
    </row>
    <row r="3083" spans="2:22" ht="15" thickBot="1" x14ac:dyDescent="0.4">
      <c r="B3083" s="387">
        <f t="shared" si="72"/>
        <v>3012</v>
      </c>
      <c r="C3083" s="256" t="s">
        <v>4563</v>
      </c>
      <c r="D3083" s="256" t="s">
        <v>4564</v>
      </c>
      <c r="E3083" s="2" t="str">
        <f t="shared" si="76"/>
        <v>19</v>
      </c>
      <c r="F3083" s="256" t="s">
        <v>5013</v>
      </c>
      <c r="G3083" s="256" t="s">
        <v>4855</v>
      </c>
      <c r="H3083" s="266">
        <v>3.22</v>
      </c>
      <c r="I3083" t="s">
        <v>4855</v>
      </c>
      <c r="Q3083">
        <f t="shared" si="77"/>
        <v>0</v>
      </c>
      <c r="R3083">
        <v>4</v>
      </c>
      <c r="S3083" t="s">
        <v>5046</v>
      </c>
      <c r="T3083">
        <v>5</v>
      </c>
      <c r="U3083" t="s">
        <v>5048</v>
      </c>
      <c r="V3083">
        <f t="shared" si="75"/>
        <v>4.416666666666667</v>
      </c>
    </row>
    <row r="3084" spans="2:22" ht="15" thickBot="1" x14ac:dyDescent="0.4">
      <c r="B3084" s="387">
        <f t="shared" si="72"/>
        <v>3013</v>
      </c>
      <c r="C3084" s="256" t="s">
        <v>4567</v>
      </c>
      <c r="D3084" s="256" t="s">
        <v>4568</v>
      </c>
      <c r="E3084" s="2" t="str">
        <f t="shared" si="76"/>
        <v>19</v>
      </c>
      <c r="F3084" s="256" t="s">
        <v>5006</v>
      </c>
      <c r="G3084" s="256" t="s">
        <v>4855</v>
      </c>
      <c r="H3084" s="266" t="s">
        <v>4847</v>
      </c>
      <c r="I3084" t="s">
        <v>4855</v>
      </c>
      <c r="Q3084">
        <f t="shared" si="77"/>
        <v>0</v>
      </c>
      <c r="R3084">
        <v>4</v>
      </c>
      <c r="S3084" t="s">
        <v>5046</v>
      </c>
      <c r="T3084">
        <v>5</v>
      </c>
      <c r="U3084" t="s">
        <v>5048</v>
      </c>
      <c r="V3084">
        <f t="shared" si="75"/>
        <v>4.416666666666667</v>
      </c>
    </row>
    <row r="3085" spans="2:22" ht="15" thickBot="1" x14ac:dyDescent="0.4">
      <c r="B3085" s="387">
        <f t="shared" si="72"/>
        <v>3014</v>
      </c>
      <c r="C3085" s="256" t="s">
        <v>4571</v>
      </c>
      <c r="D3085" s="256" t="s">
        <v>4572</v>
      </c>
      <c r="E3085" s="2" t="str">
        <f t="shared" si="76"/>
        <v>19</v>
      </c>
      <c r="F3085" s="288">
        <v>45308</v>
      </c>
      <c r="G3085" s="256" t="s">
        <v>4855</v>
      </c>
      <c r="H3085" s="266" t="s">
        <v>5014</v>
      </c>
      <c r="I3085" t="s">
        <v>4855</v>
      </c>
      <c r="Q3085">
        <f t="shared" si="77"/>
        <v>0</v>
      </c>
      <c r="R3085">
        <v>4</v>
      </c>
      <c r="S3085" t="s">
        <v>5046</v>
      </c>
      <c r="T3085">
        <v>5</v>
      </c>
      <c r="U3085" t="s">
        <v>5048</v>
      </c>
      <c r="V3085">
        <f t="shared" si="75"/>
        <v>4.416666666666667</v>
      </c>
    </row>
    <row r="3086" spans="2:22" ht="15" thickBot="1" x14ac:dyDescent="0.4">
      <c r="B3086" s="387">
        <f t="shared" si="72"/>
        <v>3015</v>
      </c>
      <c r="C3086" s="256" t="s">
        <v>4576</v>
      </c>
      <c r="D3086" s="256" t="s">
        <v>4577</v>
      </c>
      <c r="E3086" s="2" t="str">
        <f t="shared" si="76"/>
        <v>19</v>
      </c>
      <c r="F3086" s="256" t="s">
        <v>5015</v>
      </c>
      <c r="G3086" s="256" t="s">
        <v>4855</v>
      </c>
      <c r="H3086" s="266">
        <v>3.74</v>
      </c>
      <c r="I3086" t="s">
        <v>4855</v>
      </c>
      <c r="Q3086">
        <f t="shared" si="77"/>
        <v>0</v>
      </c>
      <c r="R3086">
        <v>4</v>
      </c>
      <c r="S3086" t="s">
        <v>5046</v>
      </c>
      <c r="T3086">
        <v>5</v>
      </c>
      <c r="U3086" t="s">
        <v>5048</v>
      </c>
      <c r="V3086">
        <f t="shared" si="75"/>
        <v>4.416666666666667</v>
      </c>
    </row>
    <row r="3087" spans="2:22" ht="15" thickBot="1" x14ac:dyDescent="0.4">
      <c r="B3087" s="387">
        <f t="shared" si="72"/>
        <v>3016</v>
      </c>
      <c r="C3087" s="256" t="s">
        <v>4580</v>
      </c>
      <c r="D3087" s="256" t="s">
        <v>4581</v>
      </c>
      <c r="E3087" s="2" t="str">
        <f t="shared" si="76"/>
        <v>19</v>
      </c>
      <c r="F3087" s="256" t="s">
        <v>5016</v>
      </c>
      <c r="G3087" s="256" t="s">
        <v>4855</v>
      </c>
      <c r="H3087" s="266" t="s">
        <v>4393</v>
      </c>
      <c r="I3087" t="s">
        <v>4855</v>
      </c>
      <c r="Q3087">
        <f t="shared" si="77"/>
        <v>0</v>
      </c>
      <c r="R3087">
        <v>4</v>
      </c>
      <c r="S3087" t="s">
        <v>5046</v>
      </c>
      <c r="T3087">
        <v>5</v>
      </c>
      <c r="U3087" t="s">
        <v>5048</v>
      </c>
      <c r="V3087">
        <f t="shared" si="75"/>
        <v>4.416666666666667</v>
      </c>
    </row>
    <row r="3088" spans="2:22" ht="15" thickBot="1" x14ac:dyDescent="0.4">
      <c r="B3088" s="387">
        <f t="shared" si="72"/>
        <v>3017</v>
      </c>
      <c r="C3088" s="256" t="s">
        <v>4582</v>
      </c>
      <c r="D3088" s="256" t="s">
        <v>4583</v>
      </c>
      <c r="E3088" s="2" t="str">
        <f t="shared" si="76"/>
        <v>19</v>
      </c>
      <c r="F3088" s="256" t="s">
        <v>5006</v>
      </c>
      <c r="G3088" s="256" t="s">
        <v>4855</v>
      </c>
      <c r="H3088" s="266" t="s">
        <v>4785</v>
      </c>
      <c r="I3088" t="s">
        <v>4855</v>
      </c>
      <c r="Q3088">
        <f t="shared" si="77"/>
        <v>0</v>
      </c>
      <c r="R3088">
        <v>4</v>
      </c>
      <c r="S3088" t="s">
        <v>5046</v>
      </c>
      <c r="T3088">
        <v>5</v>
      </c>
      <c r="U3088" t="s">
        <v>5048</v>
      </c>
      <c r="V3088">
        <f t="shared" si="75"/>
        <v>4.416666666666667</v>
      </c>
    </row>
    <row r="3089" spans="2:22" ht="15" thickBot="1" x14ac:dyDescent="0.4">
      <c r="B3089" s="387">
        <f t="shared" si="72"/>
        <v>3018</v>
      </c>
      <c r="C3089" s="256" t="s">
        <v>5017</v>
      </c>
      <c r="D3089" s="256" t="s">
        <v>5018</v>
      </c>
      <c r="E3089" s="2" t="str">
        <f t="shared" si="76"/>
        <v>19</v>
      </c>
      <c r="F3089" s="256" t="s">
        <v>5016</v>
      </c>
      <c r="G3089" s="256" t="s">
        <v>4855</v>
      </c>
      <c r="H3089" s="266" t="s">
        <v>4624</v>
      </c>
      <c r="I3089" t="s">
        <v>4855</v>
      </c>
      <c r="Q3089">
        <f>IF(E3089="18",V3089,0)</f>
        <v>0</v>
      </c>
      <c r="R3089">
        <v>4</v>
      </c>
      <c r="S3089" t="s">
        <v>5046</v>
      </c>
      <c r="T3089">
        <v>5</v>
      </c>
      <c r="U3089" t="s">
        <v>5048</v>
      </c>
      <c r="V3089">
        <f t="shared" si="75"/>
        <v>4.416666666666667</v>
      </c>
    </row>
    <row r="3090" spans="2:22" ht="15" thickBot="1" x14ac:dyDescent="0.4">
      <c r="B3090" s="387">
        <f t="shared" si="72"/>
        <v>3019</v>
      </c>
      <c r="C3090" s="254" t="s">
        <v>5019</v>
      </c>
      <c r="D3090" s="254" t="s">
        <v>5020</v>
      </c>
      <c r="E3090" s="2" t="str">
        <f t="shared" si="76"/>
        <v>19</v>
      </c>
      <c r="F3090" s="256" t="s">
        <v>5021</v>
      </c>
      <c r="G3090" s="256" t="s">
        <v>4855</v>
      </c>
      <c r="H3090" s="268" t="s">
        <v>4863</v>
      </c>
      <c r="I3090" t="s">
        <v>4855</v>
      </c>
      <c r="Q3090">
        <f t="shared" si="77"/>
        <v>0</v>
      </c>
      <c r="R3090">
        <v>4</v>
      </c>
      <c r="S3090" t="s">
        <v>5046</v>
      </c>
      <c r="T3090">
        <v>5</v>
      </c>
      <c r="U3090" t="s">
        <v>5048</v>
      </c>
      <c r="V3090">
        <f t="shared" si="75"/>
        <v>4.416666666666667</v>
      </c>
    </row>
    <row r="3091" spans="2:22" ht="15" thickBot="1" x14ac:dyDescent="0.4">
      <c r="B3091" s="387">
        <f t="shared" si="72"/>
        <v>3020</v>
      </c>
      <c r="C3091" s="256" t="s">
        <v>4586</v>
      </c>
      <c r="D3091" s="256" t="s">
        <v>4587</v>
      </c>
      <c r="E3091" s="2" t="str">
        <f t="shared" si="76"/>
        <v>19</v>
      </c>
      <c r="F3091" s="256" t="s">
        <v>5007</v>
      </c>
      <c r="G3091" s="256" t="s">
        <v>4855</v>
      </c>
      <c r="H3091" s="266">
        <v>3.51</v>
      </c>
      <c r="I3091" t="s">
        <v>4855</v>
      </c>
      <c r="Q3091">
        <f t="shared" si="77"/>
        <v>0</v>
      </c>
      <c r="R3091">
        <v>4</v>
      </c>
      <c r="S3091" t="s">
        <v>5046</v>
      </c>
      <c r="T3091">
        <v>5</v>
      </c>
      <c r="U3091" t="s">
        <v>5048</v>
      </c>
      <c r="V3091">
        <f t="shared" si="75"/>
        <v>4.416666666666667</v>
      </c>
    </row>
    <row r="3092" spans="2:22" ht="15" thickBot="1" x14ac:dyDescent="0.4">
      <c r="B3092" s="387">
        <f t="shared" si="72"/>
        <v>3021</v>
      </c>
      <c r="C3092" s="256" t="s">
        <v>4595</v>
      </c>
      <c r="D3092" s="256" t="s">
        <v>4596</v>
      </c>
      <c r="E3092" s="2" t="str">
        <f t="shared" si="76"/>
        <v>19</v>
      </c>
      <c r="F3092" s="256" t="s">
        <v>5016</v>
      </c>
      <c r="G3092" s="256" t="s">
        <v>4855</v>
      </c>
      <c r="H3092" s="268" t="s">
        <v>5022</v>
      </c>
      <c r="I3092" t="s">
        <v>4855</v>
      </c>
      <c r="Q3092">
        <f t="shared" si="77"/>
        <v>0</v>
      </c>
      <c r="R3092">
        <v>4</v>
      </c>
      <c r="S3092" t="s">
        <v>5046</v>
      </c>
      <c r="T3092">
        <v>5</v>
      </c>
      <c r="U3092" t="s">
        <v>5048</v>
      </c>
      <c r="V3092">
        <f t="shared" si="75"/>
        <v>4.416666666666667</v>
      </c>
    </row>
    <row r="3093" spans="2:22" ht="15" thickBot="1" x14ac:dyDescent="0.4">
      <c r="B3093" s="387">
        <f t="shared" si="72"/>
        <v>3022</v>
      </c>
      <c r="C3093" s="256" t="s">
        <v>4597</v>
      </c>
      <c r="D3093" s="256" t="s">
        <v>4598</v>
      </c>
      <c r="E3093" s="2" t="str">
        <f t="shared" si="76"/>
        <v>19</v>
      </c>
      <c r="F3093" s="256" t="s">
        <v>5023</v>
      </c>
      <c r="G3093" s="256" t="s">
        <v>4647</v>
      </c>
      <c r="H3093" s="266" t="s">
        <v>5024</v>
      </c>
      <c r="I3093" t="s">
        <v>4647</v>
      </c>
      <c r="Q3093">
        <f t="shared" si="77"/>
        <v>0</v>
      </c>
      <c r="R3093">
        <v>4</v>
      </c>
      <c r="S3093" t="s">
        <v>5046</v>
      </c>
      <c r="T3093">
        <v>6</v>
      </c>
      <c r="U3093" t="s">
        <v>5048</v>
      </c>
      <c r="V3093">
        <f t="shared" si="75"/>
        <v>4.5</v>
      </c>
    </row>
    <row r="3094" spans="2:22" ht="15" thickBot="1" x14ac:dyDescent="0.4">
      <c r="B3094" s="387">
        <f t="shared" si="72"/>
        <v>3023</v>
      </c>
      <c r="C3094" s="256" t="s">
        <v>4599</v>
      </c>
      <c r="D3094" s="256" t="s">
        <v>4600</v>
      </c>
      <c r="E3094" s="2" t="str">
        <f t="shared" ref="E3094" si="78">LEFT(D3094,2)</f>
        <v>19</v>
      </c>
      <c r="F3094" s="256" t="s">
        <v>5025</v>
      </c>
      <c r="G3094" s="256" t="s">
        <v>4855</v>
      </c>
      <c r="H3094" s="266" t="s">
        <v>4609</v>
      </c>
      <c r="I3094" t="s">
        <v>4855</v>
      </c>
      <c r="Q3094">
        <f t="shared" si="77"/>
        <v>0</v>
      </c>
      <c r="R3094">
        <v>4</v>
      </c>
      <c r="S3094" t="s">
        <v>5046</v>
      </c>
      <c r="T3094">
        <v>5</v>
      </c>
      <c r="U3094" t="s">
        <v>5048</v>
      </c>
      <c r="V3094">
        <f t="shared" si="75"/>
        <v>4.416666666666667</v>
      </c>
    </row>
    <row r="3096" spans="2:22" x14ac:dyDescent="0.35">
      <c r="C3096" s="316" t="s">
        <v>5028</v>
      </c>
      <c r="D3096" s="281" t="s">
        <v>5029</v>
      </c>
    </row>
    <row r="3097" spans="2:22" x14ac:dyDescent="0.35">
      <c r="B3097" s="410">
        <f>B3094+1</f>
        <v>3024</v>
      </c>
      <c r="C3097" s="317" t="s">
        <v>5058</v>
      </c>
      <c r="D3097" s="318" t="s">
        <v>5059</v>
      </c>
      <c r="E3097" s="2">
        <v>20</v>
      </c>
      <c r="F3097" s="320">
        <v>45375</v>
      </c>
      <c r="H3097" s="319" t="s">
        <v>5060</v>
      </c>
      <c r="J3097" s="318">
        <v>570</v>
      </c>
      <c r="L3097" s="313">
        <v>2018</v>
      </c>
      <c r="M3097" s="21">
        <f>COUNTIF(E3097:E3114,"18")</f>
        <v>0</v>
      </c>
    </row>
    <row r="3098" spans="2:22" x14ac:dyDescent="0.35">
      <c r="B3098" s="410">
        <f>B3097+1</f>
        <v>3025</v>
      </c>
      <c r="C3098" s="317" t="s">
        <v>5061</v>
      </c>
      <c r="D3098" s="318" t="s">
        <v>5062</v>
      </c>
      <c r="E3098" s="2">
        <v>20</v>
      </c>
      <c r="F3098" s="320">
        <v>45375</v>
      </c>
      <c r="H3098" s="319" t="s">
        <v>5063</v>
      </c>
      <c r="J3098" s="318">
        <v>553</v>
      </c>
      <c r="L3098" s="313">
        <v>2019</v>
      </c>
      <c r="M3098" s="21">
        <f>COUNTIF(E3097:E3114,"19")</f>
        <v>4</v>
      </c>
    </row>
    <row r="3099" spans="2:22" x14ac:dyDescent="0.35">
      <c r="B3099" s="410">
        <f t="shared" ref="B3099:B3114" si="79">B3098+1</f>
        <v>3026</v>
      </c>
      <c r="C3099" s="317" t="s">
        <v>5064</v>
      </c>
      <c r="D3099" s="318" t="s">
        <v>5065</v>
      </c>
      <c r="E3099" s="2">
        <v>20</v>
      </c>
      <c r="F3099" s="320">
        <v>45375</v>
      </c>
      <c r="H3099" s="319" t="s">
        <v>5066</v>
      </c>
      <c r="J3099" s="318">
        <v>553</v>
      </c>
      <c r="L3099" s="313">
        <v>2020</v>
      </c>
      <c r="M3099" s="21">
        <f>COUNTIF(E3097:E3115,"20")</f>
        <v>11</v>
      </c>
    </row>
    <row r="3100" spans="2:22" x14ac:dyDescent="0.35">
      <c r="B3100" s="410">
        <f t="shared" si="79"/>
        <v>3027</v>
      </c>
      <c r="C3100" s="317" t="s">
        <v>5067</v>
      </c>
      <c r="D3100" s="318" t="s">
        <v>5068</v>
      </c>
      <c r="E3100" s="2">
        <v>20</v>
      </c>
      <c r="F3100" s="320">
        <v>45375</v>
      </c>
      <c r="H3100" s="319" t="s">
        <v>5069</v>
      </c>
      <c r="J3100" s="318">
        <v>637</v>
      </c>
      <c r="L3100" s="313">
        <v>2021</v>
      </c>
      <c r="M3100" s="21">
        <f>COUNTIF(E3097:E3114,"21")</f>
        <v>0</v>
      </c>
    </row>
    <row r="3101" spans="2:22" x14ac:dyDescent="0.35">
      <c r="B3101" s="410">
        <f t="shared" si="79"/>
        <v>3028</v>
      </c>
      <c r="C3101" s="321" t="s">
        <v>5070</v>
      </c>
      <c r="D3101" s="322" t="s">
        <v>5071</v>
      </c>
      <c r="E3101" s="326">
        <v>17</v>
      </c>
      <c r="F3101" s="325">
        <v>45407</v>
      </c>
      <c r="H3101" s="324">
        <v>2.5499999999999998</v>
      </c>
      <c r="J3101" s="323">
        <v>537</v>
      </c>
    </row>
    <row r="3102" spans="2:22" x14ac:dyDescent="0.35">
      <c r="B3102" s="410">
        <f t="shared" si="79"/>
        <v>3029</v>
      </c>
      <c r="C3102" s="321" t="s">
        <v>5072</v>
      </c>
      <c r="D3102" s="322" t="s">
        <v>5073</v>
      </c>
      <c r="E3102" s="2">
        <v>20</v>
      </c>
      <c r="F3102" s="325">
        <v>45443</v>
      </c>
      <c r="H3102" s="324">
        <v>3.69</v>
      </c>
      <c r="J3102" s="323">
        <v>553</v>
      </c>
    </row>
    <row r="3103" spans="2:22" x14ac:dyDescent="0.35">
      <c r="B3103" s="410">
        <f t="shared" si="79"/>
        <v>3030</v>
      </c>
      <c r="C3103" s="321" t="s">
        <v>5074</v>
      </c>
      <c r="D3103" s="322" t="s">
        <v>5075</v>
      </c>
      <c r="E3103" s="2">
        <v>20</v>
      </c>
      <c r="F3103" s="325">
        <v>45443</v>
      </c>
      <c r="H3103" s="324">
        <v>3.51</v>
      </c>
      <c r="J3103" s="323">
        <v>580</v>
      </c>
    </row>
    <row r="3104" spans="2:22" x14ac:dyDescent="0.35">
      <c r="B3104" s="410">
        <f t="shared" si="79"/>
        <v>3031</v>
      </c>
      <c r="C3104" s="321" t="s">
        <v>5076</v>
      </c>
      <c r="D3104" s="322" t="s">
        <v>5077</v>
      </c>
      <c r="E3104" s="326">
        <v>19</v>
      </c>
      <c r="F3104" s="325">
        <v>45443</v>
      </c>
      <c r="H3104" s="324">
        <v>3.13</v>
      </c>
      <c r="J3104" s="323">
        <v>610</v>
      </c>
    </row>
    <row r="3105" spans="2:13" x14ac:dyDescent="0.35">
      <c r="B3105" s="410">
        <f t="shared" si="79"/>
        <v>3032</v>
      </c>
      <c r="C3105" s="321" t="s">
        <v>5078</v>
      </c>
      <c r="D3105" s="322" t="s">
        <v>5079</v>
      </c>
      <c r="E3105" s="326">
        <v>19</v>
      </c>
      <c r="F3105" s="325">
        <v>45443</v>
      </c>
      <c r="H3105" s="324">
        <v>3.25</v>
      </c>
      <c r="J3105" s="323">
        <v>517</v>
      </c>
    </row>
    <row r="3106" spans="2:13" x14ac:dyDescent="0.35">
      <c r="B3106" s="410">
        <f t="shared" si="79"/>
        <v>3033</v>
      </c>
      <c r="C3106" s="321" t="s">
        <v>5080</v>
      </c>
      <c r="D3106" s="322" t="s">
        <v>5081</v>
      </c>
      <c r="E3106" s="326">
        <v>17</v>
      </c>
      <c r="F3106" s="325">
        <v>45504</v>
      </c>
      <c r="H3106" s="324">
        <v>2.6</v>
      </c>
      <c r="J3106" s="323">
        <v>560</v>
      </c>
    </row>
    <row r="3107" spans="2:13" x14ac:dyDescent="0.35">
      <c r="B3107" s="410">
        <f t="shared" si="79"/>
        <v>3034</v>
      </c>
      <c r="C3107" s="321" t="s">
        <v>5082</v>
      </c>
      <c r="D3107" s="322" t="s">
        <v>5083</v>
      </c>
      <c r="E3107" s="326">
        <v>17</v>
      </c>
      <c r="F3107" s="325">
        <v>45504</v>
      </c>
      <c r="H3107" s="324">
        <v>2.39</v>
      </c>
      <c r="J3107" s="323">
        <v>523</v>
      </c>
    </row>
    <row r="3108" spans="2:13" x14ac:dyDescent="0.35">
      <c r="B3108" s="410">
        <f t="shared" si="79"/>
        <v>3035</v>
      </c>
      <c r="C3108" s="321" t="s">
        <v>5084</v>
      </c>
      <c r="D3108" s="322" t="s">
        <v>5085</v>
      </c>
      <c r="E3108" s="326">
        <v>19</v>
      </c>
      <c r="F3108" s="325">
        <v>45504</v>
      </c>
      <c r="H3108" s="324">
        <v>2.73</v>
      </c>
      <c r="J3108" s="323">
        <v>480</v>
      </c>
    </row>
    <row r="3109" spans="2:13" x14ac:dyDescent="0.35">
      <c r="B3109" s="410">
        <f t="shared" si="79"/>
        <v>3036</v>
      </c>
      <c r="C3109" s="321" t="s">
        <v>5086</v>
      </c>
      <c r="D3109" s="322" t="s">
        <v>5087</v>
      </c>
      <c r="E3109" s="326">
        <v>19</v>
      </c>
      <c r="F3109" s="325">
        <v>45504</v>
      </c>
      <c r="H3109" s="324">
        <v>3.21</v>
      </c>
      <c r="J3109" s="323">
        <v>523</v>
      </c>
    </row>
    <row r="3110" spans="2:13" x14ac:dyDescent="0.35">
      <c r="B3110" s="410">
        <f t="shared" si="79"/>
        <v>3037</v>
      </c>
      <c r="C3110" s="321" t="s">
        <v>5088</v>
      </c>
      <c r="D3110" s="322" t="s">
        <v>5089</v>
      </c>
      <c r="E3110" s="2">
        <v>20</v>
      </c>
      <c r="F3110" s="325">
        <v>45504</v>
      </c>
      <c r="H3110" s="324">
        <v>3.28</v>
      </c>
      <c r="J3110" s="323">
        <v>493</v>
      </c>
    </row>
    <row r="3111" spans="2:13" x14ac:dyDescent="0.35">
      <c r="B3111" s="410">
        <f t="shared" si="79"/>
        <v>3038</v>
      </c>
      <c r="C3111" s="321" t="s">
        <v>5090</v>
      </c>
      <c r="D3111" s="322" t="s">
        <v>5091</v>
      </c>
      <c r="E3111" s="2">
        <v>20</v>
      </c>
      <c r="F3111" s="325">
        <v>45504</v>
      </c>
      <c r="H3111" s="324">
        <v>3.61</v>
      </c>
      <c r="J3111" s="323">
        <v>527</v>
      </c>
    </row>
    <row r="3112" spans="2:13" x14ac:dyDescent="0.35">
      <c r="B3112" s="410">
        <f t="shared" si="79"/>
        <v>3039</v>
      </c>
      <c r="C3112" s="321" t="s">
        <v>5092</v>
      </c>
      <c r="D3112" s="322" t="s">
        <v>5093</v>
      </c>
      <c r="E3112" s="2">
        <v>20</v>
      </c>
      <c r="F3112" s="325">
        <v>45504</v>
      </c>
      <c r="H3112" s="324">
        <v>3.43</v>
      </c>
      <c r="J3112" s="323">
        <v>540</v>
      </c>
    </row>
    <row r="3113" spans="2:13" x14ac:dyDescent="0.35">
      <c r="B3113" s="410">
        <f t="shared" si="79"/>
        <v>3040</v>
      </c>
      <c r="C3113" s="321" t="s">
        <v>5094</v>
      </c>
      <c r="D3113" s="322" t="s">
        <v>5095</v>
      </c>
      <c r="E3113" s="2">
        <v>20</v>
      </c>
      <c r="F3113" s="325">
        <v>45504</v>
      </c>
      <c r="H3113" s="324">
        <v>3.42</v>
      </c>
      <c r="J3113" s="323">
        <v>587</v>
      </c>
    </row>
    <row r="3114" spans="2:13" x14ac:dyDescent="0.35">
      <c r="B3114" s="410">
        <f t="shared" si="79"/>
        <v>3041</v>
      </c>
      <c r="C3114" s="321" t="s">
        <v>5096</v>
      </c>
      <c r="D3114" s="322" t="s">
        <v>5097</v>
      </c>
      <c r="E3114" s="2">
        <v>20</v>
      </c>
      <c r="F3114" s="325">
        <v>45504</v>
      </c>
      <c r="H3114" s="324">
        <v>3.47</v>
      </c>
      <c r="J3114" s="323">
        <v>573</v>
      </c>
    </row>
    <row r="3115" spans="2:13" x14ac:dyDescent="0.35">
      <c r="C3115" s="341"/>
      <c r="D3115" s="342"/>
      <c r="E3115" s="2"/>
      <c r="F3115" s="325"/>
      <c r="H3115" s="343"/>
      <c r="J3115" s="344"/>
    </row>
    <row r="3116" spans="2:13" ht="15" thickBot="1" x14ac:dyDescent="0.4">
      <c r="C3116" s="316" t="s">
        <v>5030</v>
      </c>
      <c r="D3116" s="281"/>
    </row>
    <row r="3117" spans="2:13" ht="15" thickBot="1" x14ac:dyDescent="0.4">
      <c r="B3117" s="410">
        <f>B3114+1</f>
        <v>3042</v>
      </c>
      <c r="C3117" s="256" t="s">
        <v>5098</v>
      </c>
      <c r="D3117" s="328" t="s">
        <v>5237</v>
      </c>
      <c r="E3117" s="2">
        <v>20</v>
      </c>
      <c r="F3117" s="340">
        <v>45533</v>
      </c>
      <c r="H3117" s="266" t="s">
        <v>4785</v>
      </c>
      <c r="J3117" s="264">
        <v>557</v>
      </c>
      <c r="L3117" s="313">
        <v>2018</v>
      </c>
      <c r="M3117" s="21">
        <f>COUNTIF(E3117:E3191,"18")</f>
        <v>3</v>
      </c>
    </row>
    <row r="3118" spans="2:13" ht="15" thickBot="1" x14ac:dyDescent="0.4">
      <c r="B3118" s="410">
        <f>B3117+1</f>
        <v>3043</v>
      </c>
      <c r="C3118" s="256" t="s">
        <v>5099</v>
      </c>
      <c r="D3118" s="328" t="s">
        <v>5238</v>
      </c>
      <c r="E3118" s="2">
        <v>20</v>
      </c>
      <c r="F3118" s="340">
        <v>45533</v>
      </c>
      <c r="H3118" s="266" t="s">
        <v>4817</v>
      </c>
      <c r="J3118" s="264">
        <v>583</v>
      </c>
      <c r="L3118" s="313">
        <v>2019</v>
      </c>
      <c r="M3118" s="21">
        <f>COUNTIF(E3117:E3191,"19")</f>
        <v>2</v>
      </c>
    </row>
    <row r="3119" spans="2:13" ht="15" thickBot="1" x14ac:dyDescent="0.4">
      <c r="B3119" s="410">
        <f t="shared" ref="B3119:B3182" si="80">B3118+1</f>
        <v>3044</v>
      </c>
      <c r="C3119" s="256" t="s">
        <v>5100</v>
      </c>
      <c r="D3119" s="328" t="s">
        <v>5239</v>
      </c>
      <c r="E3119" s="2">
        <v>20</v>
      </c>
      <c r="F3119" s="340">
        <v>45533</v>
      </c>
      <c r="H3119" s="266" t="s">
        <v>4614</v>
      </c>
      <c r="J3119" s="264">
        <v>533</v>
      </c>
      <c r="L3119" s="313">
        <v>2020</v>
      </c>
      <c r="M3119" s="21">
        <f>COUNTIF(E3117:E3191,"20")</f>
        <v>70</v>
      </c>
    </row>
    <row r="3120" spans="2:13" ht="15" thickBot="1" x14ac:dyDescent="0.4">
      <c r="B3120" s="410">
        <f t="shared" si="80"/>
        <v>3045</v>
      </c>
      <c r="C3120" s="256" t="s">
        <v>5101</v>
      </c>
      <c r="D3120" s="328" t="s">
        <v>5240</v>
      </c>
      <c r="E3120" s="2">
        <v>20</v>
      </c>
      <c r="F3120" s="340">
        <v>45533</v>
      </c>
      <c r="H3120" s="266" t="s">
        <v>4707</v>
      </c>
      <c r="J3120" s="264">
        <v>540</v>
      </c>
      <c r="L3120" s="313">
        <v>2021</v>
      </c>
      <c r="M3120" s="21">
        <f>COUNTIF(E3117:E3191,"21")</f>
        <v>0</v>
      </c>
    </row>
    <row r="3121" spans="2:10" ht="15" thickBot="1" x14ac:dyDescent="0.4">
      <c r="B3121" s="410">
        <f t="shared" si="80"/>
        <v>3046</v>
      </c>
      <c r="C3121" s="256" t="s">
        <v>5102</v>
      </c>
      <c r="D3121" s="328" t="s">
        <v>5241</v>
      </c>
      <c r="E3121" s="2">
        <v>20</v>
      </c>
      <c r="F3121" s="340">
        <v>45533</v>
      </c>
      <c r="H3121" s="266" t="s">
        <v>4624</v>
      </c>
      <c r="J3121" s="264">
        <v>577</v>
      </c>
    </row>
    <row r="3122" spans="2:10" ht="15" thickBot="1" x14ac:dyDescent="0.4">
      <c r="B3122" s="410">
        <f t="shared" si="80"/>
        <v>3047</v>
      </c>
      <c r="C3122" s="256" t="s">
        <v>5103</v>
      </c>
      <c r="D3122" s="328" t="s">
        <v>5242</v>
      </c>
      <c r="E3122" s="2">
        <v>20</v>
      </c>
      <c r="F3122" s="340">
        <v>45533</v>
      </c>
      <c r="H3122" s="266">
        <v>3.24</v>
      </c>
      <c r="J3122" s="264">
        <v>630</v>
      </c>
    </row>
    <row r="3123" spans="2:10" ht="15" thickBot="1" x14ac:dyDescent="0.4">
      <c r="B3123" s="410">
        <f t="shared" si="80"/>
        <v>3048</v>
      </c>
      <c r="C3123" s="256" t="s">
        <v>5104</v>
      </c>
      <c r="D3123" s="328" t="s">
        <v>5243</v>
      </c>
      <c r="E3123" s="2">
        <v>20</v>
      </c>
      <c r="F3123" s="340">
        <v>45533</v>
      </c>
      <c r="H3123" s="266" t="s">
        <v>5376</v>
      </c>
      <c r="J3123" s="264">
        <v>515</v>
      </c>
    </row>
    <row r="3124" spans="2:10" ht="15" thickBot="1" x14ac:dyDescent="0.4">
      <c r="B3124" s="410">
        <f t="shared" si="80"/>
        <v>3049</v>
      </c>
      <c r="C3124" s="256" t="s">
        <v>5105</v>
      </c>
      <c r="D3124" s="328" t="s">
        <v>5244</v>
      </c>
      <c r="E3124" s="2">
        <v>20</v>
      </c>
      <c r="F3124" s="340">
        <v>45533</v>
      </c>
      <c r="H3124" s="266" t="s">
        <v>4670</v>
      </c>
      <c r="J3124" s="264">
        <v>490</v>
      </c>
    </row>
    <row r="3125" spans="2:10" ht="15" thickBot="1" x14ac:dyDescent="0.4">
      <c r="B3125" s="410">
        <f t="shared" si="80"/>
        <v>3050</v>
      </c>
      <c r="C3125" s="256" t="s">
        <v>5106</v>
      </c>
      <c r="D3125" s="328" t="s">
        <v>5245</v>
      </c>
      <c r="E3125" s="2">
        <v>20</v>
      </c>
      <c r="F3125" s="340">
        <v>45533</v>
      </c>
      <c r="H3125" s="266" t="s">
        <v>4811</v>
      </c>
      <c r="J3125" s="264">
        <v>527</v>
      </c>
    </row>
    <row r="3126" spans="2:10" ht="15" thickBot="1" x14ac:dyDescent="0.4">
      <c r="B3126" s="410">
        <f t="shared" si="80"/>
        <v>3051</v>
      </c>
      <c r="C3126" s="256" t="s">
        <v>5107</v>
      </c>
      <c r="D3126" s="328" t="s">
        <v>5246</v>
      </c>
      <c r="E3126" s="2">
        <v>20</v>
      </c>
      <c r="F3126" s="340">
        <v>45533</v>
      </c>
      <c r="H3126" s="266" t="s">
        <v>4624</v>
      </c>
      <c r="J3126" s="264">
        <v>500</v>
      </c>
    </row>
    <row r="3127" spans="2:10" ht="15" thickBot="1" x14ac:dyDescent="0.4">
      <c r="B3127" s="410">
        <f t="shared" si="80"/>
        <v>3052</v>
      </c>
      <c r="C3127" s="256" t="s">
        <v>5108</v>
      </c>
      <c r="D3127" s="328" t="s">
        <v>5247</v>
      </c>
      <c r="E3127" s="2">
        <v>20</v>
      </c>
      <c r="F3127" s="340">
        <v>45533</v>
      </c>
      <c r="H3127" s="266">
        <v>3.22</v>
      </c>
      <c r="J3127" s="264">
        <v>600</v>
      </c>
    </row>
    <row r="3128" spans="2:10" ht="15" thickBot="1" x14ac:dyDescent="0.4">
      <c r="B3128" s="410">
        <f t="shared" si="80"/>
        <v>3053</v>
      </c>
      <c r="C3128" s="256" t="s">
        <v>5109</v>
      </c>
      <c r="D3128" s="328" t="s">
        <v>5248</v>
      </c>
      <c r="E3128" s="2">
        <v>20</v>
      </c>
      <c r="F3128" s="340">
        <v>45533</v>
      </c>
      <c r="H3128" s="266" t="s">
        <v>5377</v>
      </c>
      <c r="J3128" s="264">
        <v>620</v>
      </c>
    </row>
    <row r="3129" spans="2:10" ht="15" thickBot="1" x14ac:dyDescent="0.4">
      <c r="B3129" s="410">
        <f t="shared" si="80"/>
        <v>3054</v>
      </c>
      <c r="C3129" s="279" t="s">
        <v>5110</v>
      </c>
      <c r="D3129" s="329" t="s">
        <v>5249</v>
      </c>
      <c r="E3129" s="2">
        <v>20</v>
      </c>
      <c r="F3129" s="340">
        <v>45565</v>
      </c>
      <c r="H3129" s="266" t="s">
        <v>5014</v>
      </c>
      <c r="J3129" s="264">
        <v>507</v>
      </c>
    </row>
    <row r="3130" spans="2:10" ht="15" thickBot="1" x14ac:dyDescent="0.4">
      <c r="B3130" s="410">
        <f t="shared" si="80"/>
        <v>3055</v>
      </c>
      <c r="C3130" s="279" t="s">
        <v>5111</v>
      </c>
      <c r="D3130" s="329" t="s">
        <v>5250</v>
      </c>
      <c r="E3130" s="2">
        <v>20</v>
      </c>
      <c r="F3130" s="340">
        <v>45565</v>
      </c>
      <c r="H3130" s="266" t="s">
        <v>5378</v>
      </c>
      <c r="J3130" s="264">
        <v>533</v>
      </c>
    </row>
    <row r="3131" spans="2:10" ht="15" thickBot="1" x14ac:dyDescent="0.4">
      <c r="B3131" s="410">
        <f t="shared" si="80"/>
        <v>3056</v>
      </c>
      <c r="C3131" s="279" t="s">
        <v>5112</v>
      </c>
      <c r="D3131" s="329" t="s">
        <v>5251</v>
      </c>
      <c r="E3131" s="2">
        <v>20</v>
      </c>
      <c r="F3131" s="340">
        <v>45565</v>
      </c>
      <c r="H3131" s="266" t="s">
        <v>5379</v>
      </c>
      <c r="J3131" s="264">
        <v>497</v>
      </c>
    </row>
    <row r="3132" spans="2:10" ht="15" thickBot="1" x14ac:dyDescent="0.4">
      <c r="B3132" s="410">
        <f t="shared" si="80"/>
        <v>3057</v>
      </c>
      <c r="C3132" s="279" t="s">
        <v>5113</v>
      </c>
      <c r="D3132" s="329" t="s">
        <v>5252</v>
      </c>
      <c r="E3132" s="2">
        <v>20</v>
      </c>
      <c r="F3132" s="340">
        <v>45565</v>
      </c>
      <c r="H3132" s="266" t="s">
        <v>4607</v>
      </c>
      <c r="J3132" s="264">
        <v>593</v>
      </c>
    </row>
    <row r="3133" spans="2:10" ht="15" thickBot="1" x14ac:dyDescent="0.4">
      <c r="B3133" s="410">
        <f t="shared" si="80"/>
        <v>3058</v>
      </c>
      <c r="C3133" s="254" t="s">
        <v>5114</v>
      </c>
      <c r="D3133" s="330" t="s">
        <v>5253</v>
      </c>
      <c r="E3133" s="2">
        <v>19</v>
      </c>
      <c r="F3133" s="340">
        <v>45580</v>
      </c>
      <c r="H3133" s="268" t="s">
        <v>4673</v>
      </c>
      <c r="J3133" s="272">
        <v>573</v>
      </c>
    </row>
    <row r="3134" spans="2:10" ht="15" thickBot="1" x14ac:dyDescent="0.4">
      <c r="B3134" s="410">
        <f t="shared" si="80"/>
        <v>3059</v>
      </c>
      <c r="C3134" s="256" t="s">
        <v>5115</v>
      </c>
      <c r="D3134" s="328" t="s">
        <v>5254</v>
      </c>
      <c r="E3134" s="2">
        <v>20</v>
      </c>
      <c r="F3134" s="340">
        <v>45581</v>
      </c>
      <c r="H3134" s="266" t="s">
        <v>4398</v>
      </c>
      <c r="J3134" s="272">
        <v>487</v>
      </c>
    </row>
    <row r="3135" spans="2:10" ht="15" thickBot="1" x14ac:dyDescent="0.4">
      <c r="B3135" s="410">
        <f t="shared" si="80"/>
        <v>3060</v>
      </c>
      <c r="C3135" s="254" t="s">
        <v>5116</v>
      </c>
      <c r="D3135" s="330" t="s">
        <v>5255</v>
      </c>
      <c r="E3135" s="2">
        <v>20</v>
      </c>
      <c r="F3135" s="340">
        <v>45581</v>
      </c>
      <c r="H3135" s="268" t="s">
        <v>4393</v>
      </c>
      <c r="J3135" s="272">
        <v>503</v>
      </c>
    </row>
    <row r="3136" spans="2:10" ht="15" thickBot="1" x14ac:dyDescent="0.4">
      <c r="B3136" s="410">
        <f t="shared" si="80"/>
        <v>3061</v>
      </c>
      <c r="C3136" s="256" t="s">
        <v>5117</v>
      </c>
      <c r="D3136" s="328" t="s">
        <v>5256</v>
      </c>
      <c r="E3136" s="2">
        <v>20</v>
      </c>
      <c r="F3136" s="340">
        <v>45581</v>
      </c>
      <c r="H3136" s="266" t="s">
        <v>5014</v>
      </c>
      <c r="J3136" s="272">
        <v>573</v>
      </c>
    </row>
    <row r="3137" spans="2:10" ht="15" thickBot="1" x14ac:dyDescent="0.4">
      <c r="B3137" s="410">
        <f t="shared" si="80"/>
        <v>3062</v>
      </c>
      <c r="C3137" s="256" t="s">
        <v>5118</v>
      </c>
      <c r="D3137" s="328" t="s">
        <v>5257</v>
      </c>
      <c r="E3137" s="2">
        <v>20</v>
      </c>
      <c r="F3137" s="340">
        <v>45581</v>
      </c>
      <c r="H3137" s="266" t="s">
        <v>5379</v>
      </c>
      <c r="J3137" s="272">
        <v>533</v>
      </c>
    </row>
    <row r="3138" spans="2:10" ht="15" thickBot="1" x14ac:dyDescent="0.4">
      <c r="B3138" s="410">
        <f t="shared" si="80"/>
        <v>3063</v>
      </c>
      <c r="C3138" s="256" t="s">
        <v>5119</v>
      </c>
      <c r="D3138" s="328" t="s">
        <v>5258</v>
      </c>
      <c r="E3138" s="2">
        <v>20</v>
      </c>
      <c r="F3138" s="340">
        <v>45581</v>
      </c>
      <c r="H3138" s="266">
        <v>3.56</v>
      </c>
      <c r="J3138" s="272">
        <v>527</v>
      </c>
    </row>
    <row r="3139" spans="2:10" ht="15" thickBot="1" x14ac:dyDescent="0.4">
      <c r="B3139" s="410">
        <f t="shared" si="80"/>
        <v>3064</v>
      </c>
      <c r="C3139" s="256" t="s">
        <v>5120</v>
      </c>
      <c r="D3139" s="328" t="s">
        <v>5259</v>
      </c>
      <c r="E3139" s="2">
        <v>20</v>
      </c>
      <c r="F3139" s="340">
        <v>45581</v>
      </c>
      <c r="H3139" s="266" t="s">
        <v>4810</v>
      </c>
      <c r="J3139" s="256" t="s">
        <v>5380</v>
      </c>
    </row>
    <row r="3140" spans="2:10" ht="15" thickBot="1" x14ac:dyDescent="0.4">
      <c r="B3140" s="410">
        <f t="shared" si="80"/>
        <v>3065</v>
      </c>
      <c r="C3140" s="256" t="s">
        <v>5121</v>
      </c>
      <c r="D3140" s="328" t="s">
        <v>5260</v>
      </c>
      <c r="E3140" s="2">
        <v>20</v>
      </c>
      <c r="F3140" s="340">
        <v>45581</v>
      </c>
      <c r="H3140" s="266" t="s">
        <v>4624</v>
      </c>
      <c r="J3140" s="272">
        <v>523</v>
      </c>
    </row>
    <row r="3141" spans="2:10" ht="15" thickBot="1" x14ac:dyDescent="0.4">
      <c r="B3141" s="410">
        <f t="shared" si="80"/>
        <v>3066</v>
      </c>
      <c r="C3141" s="256" t="s">
        <v>5122</v>
      </c>
      <c r="D3141" s="328" t="s">
        <v>5261</v>
      </c>
      <c r="E3141" s="2">
        <v>20</v>
      </c>
      <c r="F3141" s="340">
        <v>45581</v>
      </c>
      <c r="H3141" s="2">
        <v>3.19</v>
      </c>
      <c r="J3141" s="272">
        <v>563</v>
      </c>
    </row>
    <row r="3142" spans="2:10" ht="15" thickBot="1" x14ac:dyDescent="0.4">
      <c r="B3142" s="410">
        <f t="shared" si="80"/>
        <v>3067</v>
      </c>
      <c r="C3142" s="256" t="s">
        <v>5123</v>
      </c>
      <c r="D3142" s="328" t="s">
        <v>5262</v>
      </c>
      <c r="E3142" s="2">
        <v>20</v>
      </c>
      <c r="F3142" s="340">
        <v>45628</v>
      </c>
      <c r="H3142" s="266">
        <v>3.51</v>
      </c>
      <c r="J3142" s="264">
        <v>583</v>
      </c>
    </row>
    <row r="3143" spans="2:10" ht="15" thickBot="1" x14ac:dyDescent="0.4">
      <c r="B3143" s="410">
        <f t="shared" si="80"/>
        <v>3068</v>
      </c>
      <c r="C3143" s="256" t="s">
        <v>5124</v>
      </c>
      <c r="D3143" s="328" t="s">
        <v>5263</v>
      </c>
      <c r="E3143" s="2">
        <v>20</v>
      </c>
      <c r="F3143" s="340">
        <v>45628</v>
      </c>
      <c r="H3143" s="266" t="s">
        <v>4853</v>
      </c>
      <c r="J3143" s="264">
        <v>597</v>
      </c>
    </row>
    <row r="3144" spans="2:10" ht="15" thickBot="1" x14ac:dyDescent="0.4">
      <c r="B3144" s="410">
        <f t="shared" si="80"/>
        <v>3069</v>
      </c>
      <c r="C3144" s="256" t="s">
        <v>5125</v>
      </c>
      <c r="D3144" s="328" t="s">
        <v>5264</v>
      </c>
      <c r="E3144" s="2">
        <v>20</v>
      </c>
      <c r="F3144" s="340">
        <v>45628</v>
      </c>
      <c r="H3144" s="266">
        <v>3.65</v>
      </c>
      <c r="J3144" s="264">
        <v>600</v>
      </c>
    </row>
    <row r="3145" spans="2:10" ht="15" thickBot="1" x14ac:dyDescent="0.4">
      <c r="B3145" s="410">
        <f t="shared" si="80"/>
        <v>3070</v>
      </c>
      <c r="C3145" s="256" t="s">
        <v>5126</v>
      </c>
      <c r="D3145" s="328" t="s">
        <v>5265</v>
      </c>
      <c r="E3145" s="2">
        <v>20</v>
      </c>
      <c r="F3145" s="340">
        <v>45628</v>
      </c>
      <c r="H3145" s="266" t="s">
        <v>4827</v>
      </c>
      <c r="J3145" s="264">
        <v>530</v>
      </c>
    </row>
    <row r="3146" spans="2:10" ht="15" thickBot="1" x14ac:dyDescent="0.4">
      <c r="B3146" s="410">
        <f t="shared" si="80"/>
        <v>3071</v>
      </c>
      <c r="C3146" s="256" t="s">
        <v>5127</v>
      </c>
      <c r="D3146" s="328" t="s">
        <v>5266</v>
      </c>
      <c r="E3146" s="2">
        <v>20</v>
      </c>
      <c r="F3146" s="340">
        <v>45628</v>
      </c>
      <c r="H3146" s="266">
        <v>3.08</v>
      </c>
      <c r="J3146" s="272">
        <v>573</v>
      </c>
    </row>
    <row r="3147" spans="2:10" ht="15" thickBot="1" x14ac:dyDescent="0.4">
      <c r="B3147" s="410">
        <f t="shared" si="80"/>
        <v>3072</v>
      </c>
      <c r="C3147" s="256" t="s">
        <v>5128</v>
      </c>
      <c r="D3147" s="328" t="s">
        <v>5267</v>
      </c>
      <c r="E3147" s="2">
        <v>20</v>
      </c>
      <c r="F3147" s="340">
        <v>45628</v>
      </c>
      <c r="H3147" s="266" t="s">
        <v>4609</v>
      </c>
      <c r="J3147" s="264">
        <v>607</v>
      </c>
    </row>
    <row r="3148" spans="2:10" ht="15" thickBot="1" x14ac:dyDescent="0.4">
      <c r="B3148" s="410">
        <f t="shared" si="80"/>
        <v>3073</v>
      </c>
      <c r="C3148" s="256" t="s">
        <v>5129</v>
      </c>
      <c r="D3148" s="328" t="s">
        <v>5268</v>
      </c>
      <c r="E3148" s="2">
        <v>20</v>
      </c>
      <c r="F3148" s="340">
        <v>45628</v>
      </c>
      <c r="H3148" s="268" t="s">
        <v>5000</v>
      </c>
      <c r="J3148" s="264">
        <v>620</v>
      </c>
    </row>
    <row r="3149" spans="2:10" ht="15" thickBot="1" x14ac:dyDescent="0.4">
      <c r="B3149" s="410">
        <f t="shared" si="80"/>
        <v>3074</v>
      </c>
      <c r="C3149" s="256" t="s">
        <v>5130</v>
      </c>
      <c r="D3149" s="328" t="s">
        <v>5269</v>
      </c>
      <c r="E3149" s="2">
        <v>20</v>
      </c>
      <c r="F3149" s="340">
        <v>45628</v>
      </c>
      <c r="H3149" s="268" t="s">
        <v>4612</v>
      </c>
      <c r="J3149" s="264">
        <v>530</v>
      </c>
    </row>
    <row r="3150" spans="2:10" ht="15" thickBot="1" x14ac:dyDescent="0.4">
      <c r="B3150" s="410">
        <f t="shared" si="80"/>
        <v>3075</v>
      </c>
      <c r="C3150" s="256" t="s">
        <v>5131</v>
      </c>
      <c r="D3150" s="328" t="s">
        <v>5270</v>
      </c>
      <c r="E3150" s="2">
        <v>20</v>
      </c>
      <c r="F3150" s="340">
        <v>45628</v>
      </c>
      <c r="H3150" s="266" t="s">
        <v>5381</v>
      </c>
      <c r="J3150" s="272">
        <v>550</v>
      </c>
    </row>
    <row r="3151" spans="2:10" ht="15" thickBot="1" x14ac:dyDescent="0.4">
      <c r="B3151" s="410">
        <f t="shared" si="80"/>
        <v>3076</v>
      </c>
      <c r="C3151" s="256" t="s">
        <v>5132</v>
      </c>
      <c r="D3151" s="328" t="s">
        <v>5271</v>
      </c>
      <c r="E3151" s="2">
        <v>20</v>
      </c>
      <c r="F3151" s="340">
        <v>45656</v>
      </c>
      <c r="H3151" s="266" t="s">
        <v>4607</v>
      </c>
      <c r="J3151" s="272">
        <v>547</v>
      </c>
    </row>
    <row r="3152" spans="2:10" ht="15" thickBot="1" x14ac:dyDescent="0.4">
      <c r="B3152" s="410">
        <f t="shared" si="80"/>
        <v>3077</v>
      </c>
      <c r="C3152" s="256" t="s">
        <v>5133</v>
      </c>
      <c r="D3152" s="328" t="s">
        <v>5272</v>
      </c>
      <c r="E3152" s="2">
        <v>20</v>
      </c>
      <c r="F3152" s="340">
        <v>45656</v>
      </c>
      <c r="H3152" s="266" t="s">
        <v>4969</v>
      </c>
      <c r="J3152" s="256" t="s">
        <v>5382</v>
      </c>
    </row>
    <row r="3153" spans="2:10" ht="15" thickBot="1" x14ac:dyDescent="0.4">
      <c r="B3153" s="410">
        <f t="shared" si="80"/>
        <v>3078</v>
      </c>
      <c r="C3153" s="256" t="s">
        <v>5134</v>
      </c>
      <c r="D3153" s="328" t="s">
        <v>5273</v>
      </c>
      <c r="E3153" s="2">
        <v>20</v>
      </c>
      <c r="F3153" s="340">
        <v>45656</v>
      </c>
      <c r="H3153" s="266" t="s">
        <v>5383</v>
      </c>
      <c r="J3153" s="272">
        <v>537</v>
      </c>
    </row>
    <row r="3154" spans="2:10" ht="15" thickBot="1" x14ac:dyDescent="0.4">
      <c r="B3154" s="410">
        <f t="shared" si="80"/>
        <v>3079</v>
      </c>
      <c r="C3154" s="256" t="s">
        <v>5135</v>
      </c>
      <c r="D3154" s="328" t="s">
        <v>5274</v>
      </c>
      <c r="E3154" s="2">
        <v>20</v>
      </c>
      <c r="F3154" s="340">
        <v>45656</v>
      </c>
      <c r="H3154" s="266" t="s">
        <v>4847</v>
      </c>
      <c r="J3154" s="272">
        <v>510</v>
      </c>
    </row>
    <row r="3155" spans="2:10" ht="15" thickBot="1" x14ac:dyDescent="0.4">
      <c r="B3155" s="410">
        <f t="shared" si="80"/>
        <v>3080</v>
      </c>
      <c r="C3155" s="256" t="s">
        <v>5136</v>
      </c>
      <c r="D3155" s="328" t="s">
        <v>5275</v>
      </c>
      <c r="E3155" s="2">
        <v>20</v>
      </c>
      <c r="F3155" s="340">
        <v>45656</v>
      </c>
      <c r="H3155" s="2">
        <v>3.42</v>
      </c>
      <c r="J3155" s="272">
        <v>497</v>
      </c>
    </row>
    <row r="3156" spans="2:10" ht="15" thickBot="1" x14ac:dyDescent="0.4">
      <c r="B3156" s="410">
        <f t="shared" si="80"/>
        <v>3081</v>
      </c>
      <c r="C3156" s="256" t="s">
        <v>5137</v>
      </c>
      <c r="D3156" s="328" t="s">
        <v>5276</v>
      </c>
      <c r="E3156" s="2">
        <v>20</v>
      </c>
      <c r="F3156" s="340">
        <v>45656</v>
      </c>
      <c r="H3156" s="266" t="s">
        <v>4607</v>
      </c>
      <c r="J3156" s="272">
        <v>583</v>
      </c>
    </row>
    <row r="3157" spans="2:10" ht="15" thickBot="1" x14ac:dyDescent="0.4">
      <c r="B3157" s="410">
        <f t="shared" si="80"/>
        <v>3082</v>
      </c>
      <c r="C3157" s="256" t="s">
        <v>5138</v>
      </c>
      <c r="D3157" s="328" t="s">
        <v>5277</v>
      </c>
      <c r="E3157" s="2">
        <v>20</v>
      </c>
      <c r="F3157" s="340">
        <v>45656</v>
      </c>
      <c r="H3157" s="2">
        <v>3.37</v>
      </c>
      <c r="J3157" s="272">
        <v>527</v>
      </c>
    </row>
    <row r="3158" spans="2:10" ht="15" thickBot="1" x14ac:dyDescent="0.4">
      <c r="B3158" s="410">
        <f t="shared" si="80"/>
        <v>3083</v>
      </c>
      <c r="C3158" s="256" t="s">
        <v>5123</v>
      </c>
      <c r="D3158" s="328" t="s">
        <v>5262</v>
      </c>
      <c r="E3158" s="2">
        <v>20</v>
      </c>
      <c r="F3158" s="340">
        <v>45628</v>
      </c>
      <c r="H3158" s="266">
        <v>3.51</v>
      </c>
      <c r="J3158" s="264">
        <v>583</v>
      </c>
    </row>
    <row r="3159" spans="2:10" ht="15" thickBot="1" x14ac:dyDescent="0.4">
      <c r="B3159" s="410">
        <f t="shared" si="80"/>
        <v>3084</v>
      </c>
      <c r="C3159" s="256" t="s">
        <v>5124</v>
      </c>
      <c r="D3159" s="328" t="s">
        <v>5263</v>
      </c>
      <c r="E3159" s="2">
        <v>20</v>
      </c>
      <c r="F3159" s="340">
        <v>45628</v>
      </c>
      <c r="H3159" s="266" t="s">
        <v>4853</v>
      </c>
      <c r="J3159" s="264">
        <v>597</v>
      </c>
    </row>
    <row r="3160" spans="2:10" ht="15" thickBot="1" x14ac:dyDescent="0.4">
      <c r="B3160" s="410">
        <f t="shared" si="80"/>
        <v>3085</v>
      </c>
      <c r="C3160" s="256" t="s">
        <v>5125</v>
      </c>
      <c r="D3160" s="328" t="s">
        <v>5264</v>
      </c>
      <c r="E3160" s="2">
        <v>20</v>
      </c>
      <c r="F3160" s="340">
        <v>45628</v>
      </c>
      <c r="H3160" s="266">
        <v>3.65</v>
      </c>
      <c r="J3160" s="264">
        <v>600</v>
      </c>
    </row>
    <row r="3161" spans="2:10" ht="15" thickBot="1" x14ac:dyDescent="0.4">
      <c r="B3161" s="410">
        <f t="shared" si="80"/>
        <v>3086</v>
      </c>
      <c r="C3161" s="256" t="s">
        <v>5126</v>
      </c>
      <c r="D3161" s="328" t="s">
        <v>5265</v>
      </c>
      <c r="E3161" s="2">
        <v>20</v>
      </c>
      <c r="F3161" s="340">
        <v>45628</v>
      </c>
      <c r="H3161" s="266" t="s">
        <v>4827</v>
      </c>
      <c r="J3161" s="264">
        <v>530</v>
      </c>
    </row>
    <row r="3162" spans="2:10" ht="15" thickBot="1" x14ac:dyDescent="0.4">
      <c r="B3162" s="410">
        <f t="shared" si="80"/>
        <v>3087</v>
      </c>
      <c r="C3162" s="256" t="s">
        <v>5127</v>
      </c>
      <c r="D3162" s="328" t="s">
        <v>5266</v>
      </c>
      <c r="E3162" s="2">
        <v>20</v>
      </c>
      <c r="F3162" s="340">
        <v>45628</v>
      </c>
      <c r="H3162" s="266">
        <v>3.08</v>
      </c>
      <c r="J3162" s="272">
        <v>573</v>
      </c>
    </row>
    <row r="3163" spans="2:10" ht="15" thickBot="1" x14ac:dyDescent="0.4">
      <c r="B3163" s="410">
        <f t="shared" si="80"/>
        <v>3088</v>
      </c>
      <c r="C3163" s="256" t="s">
        <v>5128</v>
      </c>
      <c r="D3163" s="328" t="s">
        <v>5267</v>
      </c>
      <c r="E3163" s="2">
        <v>20</v>
      </c>
      <c r="F3163" s="340">
        <v>45628</v>
      </c>
      <c r="H3163" s="266" t="s">
        <v>4609</v>
      </c>
      <c r="J3163" s="264">
        <v>607</v>
      </c>
    </row>
    <row r="3164" spans="2:10" ht="15" thickBot="1" x14ac:dyDescent="0.4">
      <c r="B3164" s="410">
        <f t="shared" si="80"/>
        <v>3089</v>
      </c>
      <c r="C3164" s="256" t="s">
        <v>5129</v>
      </c>
      <c r="D3164" s="328" t="s">
        <v>5268</v>
      </c>
      <c r="E3164" s="2">
        <v>20</v>
      </c>
      <c r="F3164" s="340">
        <v>45628</v>
      </c>
      <c r="H3164" s="268" t="s">
        <v>5000</v>
      </c>
      <c r="J3164" s="264">
        <v>620</v>
      </c>
    </row>
    <row r="3165" spans="2:10" ht="15" thickBot="1" x14ac:dyDescent="0.4">
      <c r="B3165" s="410">
        <f t="shared" si="80"/>
        <v>3090</v>
      </c>
      <c r="C3165" s="256" t="s">
        <v>5130</v>
      </c>
      <c r="D3165" s="328" t="s">
        <v>5269</v>
      </c>
      <c r="E3165" s="2">
        <v>20</v>
      </c>
      <c r="F3165" s="340">
        <v>45628</v>
      </c>
      <c r="H3165" s="268" t="s">
        <v>4612</v>
      </c>
      <c r="J3165" s="264">
        <v>530</v>
      </c>
    </row>
    <row r="3166" spans="2:10" ht="15" thickBot="1" x14ac:dyDescent="0.4">
      <c r="B3166" s="410">
        <f t="shared" si="80"/>
        <v>3091</v>
      </c>
      <c r="C3166" s="256" t="s">
        <v>5131</v>
      </c>
      <c r="D3166" s="328" t="s">
        <v>5270</v>
      </c>
      <c r="E3166" s="2">
        <v>20</v>
      </c>
      <c r="F3166" s="340">
        <v>45628</v>
      </c>
      <c r="H3166" s="266" t="s">
        <v>5381</v>
      </c>
      <c r="J3166" s="272">
        <v>550</v>
      </c>
    </row>
    <row r="3167" spans="2:10" ht="15" thickBot="1" x14ac:dyDescent="0.4">
      <c r="B3167" s="410">
        <f t="shared" si="80"/>
        <v>3092</v>
      </c>
      <c r="C3167" s="256" t="s">
        <v>5132</v>
      </c>
      <c r="D3167" s="328" t="s">
        <v>5271</v>
      </c>
      <c r="E3167" s="2">
        <v>20</v>
      </c>
      <c r="F3167" s="340">
        <v>45656</v>
      </c>
      <c r="H3167" s="266" t="s">
        <v>4607</v>
      </c>
      <c r="J3167" s="272">
        <v>547</v>
      </c>
    </row>
    <row r="3168" spans="2:10" ht="15" thickBot="1" x14ac:dyDescent="0.4">
      <c r="B3168" s="410">
        <f t="shared" si="80"/>
        <v>3093</v>
      </c>
      <c r="C3168" s="256" t="s">
        <v>5133</v>
      </c>
      <c r="D3168" s="328" t="s">
        <v>5272</v>
      </c>
      <c r="E3168" s="2">
        <v>20</v>
      </c>
      <c r="F3168" s="340">
        <v>45656</v>
      </c>
      <c r="H3168" s="266" t="s">
        <v>4969</v>
      </c>
      <c r="J3168" s="256" t="s">
        <v>5382</v>
      </c>
    </row>
    <row r="3169" spans="2:10" ht="15" thickBot="1" x14ac:dyDescent="0.4">
      <c r="B3169" s="410">
        <f t="shared" si="80"/>
        <v>3094</v>
      </c>
      <c r="C3169" s="256" t="s">
        <v>5134</v>
      </c>
      <c r="D3169" s="328" t="s">
        <v>5273</v>
      </c>
      <c r="E3169" s="2">
        <v>20</v>
      </c>
      <c r="F3169" s="340">
        <v>45656</v>
      </c>
      <c r="H3169" s="266" t="s">
        <v>5383</v>
      </c>
      <c r="J3169" s="272">
        <v>537</v>
      </c>
    </row>
    <row r="3170" spans="2:10" ht="15" thickBot="1" x14ac:dyDescent="0.4">
      <c r="B3170" s="410">
        <f t="shared" si="80"/>
        <v>3095</v>
      </c>
      <c r="C3170" s="256" t="s">
        <v>5135</v>
      </c>
      <c r="D3170" s="328" t="s">
        <v>5274</v>
      </c>
      <c r="E3170" s="2">
        <v>20</v>
      </c>
      <c r="F3170" s="340">
        <v>45656</v>
      </c>
      <c r="H3170" s="266" t="s">
        <v>4847</v>
      </c>
      <c r="J3170" s="272">
        <v>510</v>
      </c>
    </row>
    <row r="3171" spans="2:10" ht="15" thickBot="1" x14ac:dyDescent="0.4">
      <c r="B3171" s="410">
        <f t="shared" si="80"/>
        <v>3096</v>
      </c>
      <c r="C3171" s="256" t="s">
        <v>5136</v>
      </c>
      <c r="D3171" s="328" t="s">
        <v>5275</v>
      </c>
      <c r="E3171" s="2">
        <v>20</v>
      </c>
      <c r="F3171" s="340">
        <v>45656</v>
      </c>
      <c r="H3171" s="2">
        <v>3.42</v>
      </c>
      <c r="J3171" s="272">
        <v>497</v>
      </c>
    </row>
    <row r="3172" spans="2:10" ht="15" thickBot="1" x14ac:dyDescent="0.4">
      <c r="B3172" s="410">
        <f t="shared" si="80"/>
        <v>3097</v>
      </c>
      <c r="C3172" s="256" t="s">
        <v>5137</v>
      </c>
      <c r="D3172" s="328" t="s">
        <v>5276</v>
      </c>
      <c r="E3172" s="2">
        <v>20</v>
      </c>
      <c r="F3172" s="340">
        <v>45656</v>
      </c>
      <c r="H3172" s="266" t="s">
        <v>4607</v>
      </c>
      <c r="J3172" s="272">
        <v>583</v>
      </c>
    </row>
    <row r="3173" spans="2:10" ht="15" thickBot="1" x14ac:dyDescent="0.4">
      <c r="B3173" s="410">
        <f t="shared" si="80"/>
        <v>3098</v>
      </c>
      <c r="C3173" s="256" t="s">
        <v>5138</v>
      </c>
      <c r="D3173" s="328" t="s">
        <v>5277</v>
      </c>
      <c r="E3173" s="2">
        <v>20</v>
      </c>
      <c r="F3173" s="340">
        <v>45656</v>
      </c>
      <c r="H3173" s="2">
        <v>3.37</v>
      </c>
      <c r="J3173" s="272">
        <v>527</v>
      </c>
    </row>
    <row r="3174" spans="2:10" ht="15" thickBot="1" x14ac:dyDescent="0.4">
      <c r="B3174" s="410">
        <f t="shared" si="80"/>
        <v>3099</v>
      </c>
      <c r="C3174" s="256" t="s">
        <v>5139</v>
      </c>
      <c r="D3174" s="328" t="s">
        <v>5278</v>
      </c>
      <c r="E3174" s="2">
        <v>18</v>
      </c>
      <c r="F3174" s="340">
        <v>45677</v>
      </c>
      <c r="H3174" s="268" t="s">
        <v>5385</v>
      </c>
      <c r="J3174" s="256" t="s">
        <v>5384</v>
      </c>
    </row>
    <row r="3175" spans="2:10" ht="15" thickBot="1" x14ac:dyDescent="0.4">
      <c r="B3175" s="410">
        <f t="shared" si="80"/>
        <v>3100</v>
      </c>
      <c r="C3175" s="256" t="s">
        <v>5140</v>
      </c>
      <c r="D3175" s="328" t="s">
        <v>5279</v>
      </c>
      <c r="E3175" s="2">
        <v>18</v>
      </c>
      <c r="F3175" s="340">
        <v>45677</v>
      </c>
      <c r="H3175" s="268" t="s">
        <v>5386</v>
      </c>
      <c r="J3175" s="272">
        <v>597</v>
      </c>
    </row>
    <row r="3176" spans="2:10" ht="15" thickBot="1" x14ac:dyDescent="0.4">
      <c r="B3176" s="410">
        <f t="shared" si="80"/>
        <v>3101</v>
      </c>
      <c r="C3176" s="256" t="s">
        <v>5141</v>
      </c>
      <c r="D3176" s="328" t="s">
        <v>5280</v>
      </c>
      <c r="E3176" s="2">
        <v>18</v>
      </c>
      <c r="F3176" s="340">
        <v>45677</v>
      </c>
      <c r="H3176" s="2">
        <v>2.65</v>
      </c>
      <c r="J3176" s="272">
        <v>470</v>
      </c>
    </row>
    <row r="3177" spans="2:10" ht="15" thickBot="1" x14ac:dyDescent="0.4">
      <c r="B3177" s="410">
        <f t="shared" si="80"/>
        <v>3102</v>
      </c>
      <c r="C3177" s="256" t="s">
        <v>5142</v>
      </c>
      <c r="D3177" s="328" t="s">
        <v>5281</v>
      </c>
      <c r="E3177" s="2">
        <v>20</v>
      </c>
      <c r="F3177" s="340">
        <v>45677</v>
      </c>
      <c r="H3177" s="2">
        <v>3.25</v>
      </c>
      <c r="J3177" s="272">
        <v>540</v>
      </c>
    </row>
    <row r="3178" spans="2:10" ht="15" thickBot="1" x14ac:dyDescent="0.4">
      <c r="B3178" s="410">
        <f t="shared" si="80"/>
        <v>3103</v>
      </c>
      <c r="C3178" s="256" t="s">
        <v>5143</v>
      </c>
      <c r="D3178" s="328" t="s">
        <v>5282</v>
      </c>
      <c r="E3178" s="2">
        <v>20</v>
      </c>
      <c r="F3178" s="340">
        <v>45677</v>
      </c>
      <c r="H3178" s="266" t="s">
        <v>5005</v>
      </c>
      <c r="J3178" s="272">
        <v>523</v>
      </c>
    </row>
    <row r="3179" spans="2:10" ht="15" thickBot="1" x14ac:dyDescent="0.4">
      <c r="B3179" s="410">
        <f t="shared" si="80"/>
        <v>3104</v>
      </c>
      <c r="C3179" s="256" t="s">
        <v>5144</v>
      </c>
      <c r="D3179" s="328" t="s">
        <v>5283</v>
      </c>
      <c r="E3179" s="2">
        <v>20</v>
      </c>
      <c r="F3179" s="340">
        <v>45677</v>
      </c>
      <c r="H3179" s="268" t="s">
        <v>4659</v>
      </c>
      <c r="J3179" s="272">
        <v>550</v>
      </c>
    </row>
    <row r="3180" spans="2:10" ht="15" thickBot="1" x14ac:dyDescent="0.4">
      <c r="B3180" s="410">
        <f t="shared" si="80"/>
        <v>3105</v>
      </c>
      <c r="C3180" s="254" t="s">
        <v>5145</v>
      </c>
      <c r="D3180" s="330" t="s">
        <v>5284</v>
      </c>
      <c r="E3180" s="2">
        <v>20</v>
      </c>
      <c r="F3180" s="340">
        <v>45677</v>
      </c>
      <c r="H3180" s="268" t="s">
        <v>5005</v>
      </c>
      <c r="J3180" s="272">
        <v>640</v>
      </c>
    </row>
    <row r="3181" spans="2:10" ht="15" thickBot="1" x14ac:dyDescent="0.4">
      <c r="B3181" s="410">
        <f t="shared" si="80"/>
        <v>3106</v>
      </c>
      <c r="C3181" s="256" t="s">
        <v>5146</v>
      </c>
      <c r="D3181" s="328" t="s">
        <v>5285</v>
      </c>
      <c r="E3181" s="2">
        <v>20</v>
      </c>
      <c r="F3181" s="340">
        <v>45677</v>
      </c>
      <c r="H3181" s="266" t="s">
        <v>4620</v>
      </c>
      <c r="J3181" s="272">
        <v>530</v>
      </c>
    </row>
    <row r="3182" spans="2:10" ht="15" thickBot="1" x14ac:dyDescent="0.4">
      <c r="B3182" s="410">
        <f t="shared" si="80"/>
        <v>3107</v>
      </c>
      <c r="C3182" s="256" t="s">
        <v>5147</v>
      </c>
      <c r="D3182" s="328" t="s">
        <v>5286</v>
      </c>
      <c r="E3182" s="2">
        <v>20</v>
      </c>
      <c r="F3182" s="340">
        <v>45677</v>
      </c>
      <c r="H3182" s="2">
        <v>3.22</v>
      </c>
      <c r="J3182" s="272">
        <v>573</v>
      </c>
    </row>
    <row r="3183" spans="2:10" ht="15" thickBot="1" x14ac:dyDescent="0.4">
      <c r="B3183" s="410">
        <f t="shared" ref="B3183:B3191" si="81">B3182+1</f>
        <v>3108</v>
      </c>
      <c r="C3183" s="256" t="s">
        <v>5148</v>
      </c>
      <c r="D3183" s="328" t="s">
        <v>5287</v>
      </c>
      <c r="E3183" s="2">
        <v>20</v>
      </c>
      <c r="F3183" s="340">
        <v>45677</v>
      </c>
      <c r="H3183" s="266" t="s">
        <v>5000</v>
      </c>
      <c r="J3183" s="272">
        <v>537</v>
      </c>
    </row>
    <row r="3184" spans="2:10" ht="15" thickBot="1" x14ac:dyDescent="0.4">
      <c r="B3184" s="410">
        <f t="shared" si="81"/>
        <v>3109</v>
      </c>
      <c r="C3184" s="256" t="s">
        <v>5149</v>
      </c>
      <c r="D3184" s="328" t="s">
        <v>5288</v>
      </c>
      <c r="E3184" s="2">
        <v>20</v>
      </c>
      <c r="F3184" s="340">
        <v>45677</v>
      </c>
      <c r="H3184" s="2">
        <v>3.17</v>
      </c>
      <c r="J3184" s="272">
        <v>533</v>
      </c>
    </row>
    <row r="3185" spans="2:13" ht="15" thickBot="1" x14ac:dyDescent="0.4">
      <c r="B3185" s="410">
        <f t="shared" si="81"/>
        <v>3110</v>
      </c>
      <c r="C3185" s="256" t="s">
        <v>5150</v>
      </c>
      <c r="D3185" s="328" t="s">
        <v>5289</v>
      </c>
      <c r="E3185" s="2">
        <v>20</v>
      </c>
      <c r="F3185" s="340">
        <v>45677</v>
      </c>
      <c r="H3185" s="268" t="s">
        <v>4817</v>
      </c>
      <c r="J3185" s="272">
        <v>567</v>
      </c>
    </row>
    <row r="3186" spans="2:13" ht="15" thickBot="1" x14ac:dyDescent="0.4">
      <c r="B3186" s="410">
        <f t="shared" si="81"/>
        <v>3111</v>
      </c>
      <c r="C3186" s="256" t="s">
        <v>5151</v>
      </c>
      <c r="D3186" s="328" t="s">
        <v>5290</v>
      </c>
      <c r="E3186" s="2">
        <v>20</v>
      </c>
      <c r="F3186" s="340">
        <v>45677</v>
      </c>
      <c r="H3186" s="266" t="s">
        <v>5024</v>
      </c>
      <c r="J3186" s="272">
        <v>510</v>
      </c>
    </row>
    <row r="3187" spans="2:13" ht="15" thickBot="1" x14ac:dyDescent="0.4">
      <c r="B3187" s="410">
        <f t="shared" si="81"/>
        <v>3112</v>
      </c>
      <c r="C3187" s="256" t="s">
        <v>5152</v>
      </c>
      <c r="D3187" s="328" t="s">
        <v>5291</v>
      </c>
      <c r="E3187" s="2">
        <v>20</v>
      </c>
      <c r="F3187" s="340">
        <v>45677</v>
      </c>
      <c r="H3187" s="2">
        <v>3.13</v>
      </c>
      <c r="J3187" s="272">
        <v>530</v>
      </c>
    </row>
    <row r="3188" spans="2:13" ht="15" thickBot="1" x14ac:dyDescent="0.4">
      <c r="B3188" s="410">
        <f t="shared" si="81"/>
        <v>3113</v>
      </c>
      <c r="C3188" s="256" t="s">
        <v>5153</v>
      </c>
      <c r="D3188" s="328" t="s">
        <v>5292</v>
      </c>
      <c r="E3188" s="2">
        <v>19</v>
      </c>
      <c r="F3188" s="340">
        <v>45688</v>
      </c>
      <c r="H3188" s="266">
        <v>3.03</v>
      </c>
      <c r="J3188" s="264">
        <v>513</v>
      </c>
    </row>
    <row r="3189" spans="2:13" ht="15" thickBot="1" x14ac:dyDescent="0.4">
      <c r="B3189" s="410">
        <f t="shared" si="81"/>
        <v>3114</v>
      </c>
      <c r="C3189" s="256" t="s">
        <v>5154</v>
      </c>
      <c r="D3189" s="328" t="s">
        <v>5293</v>
      </c>
      <c r="E3189" s="2">
        <v>20</v>
      </c>
      <c r="F3189" s="340">
        <v>45688</v>
      </c>
      <c r="H3189" s="266">
        <v>3.06</v>
      </c>
      <c r="J3189" s="264">
        <v>530</v>
      </c>
    </row>
    <row r="3190" spans="2:13" ht="15" thickBot="1" x14ac:dyDescent="0.4">
      <c r="B3190" s="410">
        <f t="shared" si="81"/>
        <v>3115</v>
      </c>
      <c r="C3190" s="256" t="s">
        <v>5155</v>
      </c>
      <c r="D3190" s="328" t="s">
        <v>5294</v>
      </c>
      <c r="E3190" s="2">
        <v>20</v>
      </c>
      <c r="F3190" s="340">
        <v>45688</v>
      </c>
      <c r="H3190" s="266" t="s">
        <v>5005</v>
      </c>
      <c r="J3190" s="279" t="s">
        <v>5387</v>
      </c>
    </row>
    <row r="3191" spans="2:13" ht="15" thickBot="1" x14ac:dyDescent="0.4">
      <c r="B3191" s="410">
        <f t="shared" si="81"/>
        <v>3116</v>
      </c>
      <c r="C3191" s="256" t="s">
        <v>5156</v>
      </c>
      <c r="D3191" s="328" t="s">
        <v>5295</v>
      </c>
      <c r="E3191" s="2">
        <v>20</v>
      </c>
      <c r="F3191" s="340">
        <v>45688</v>
      </c>
      <c r="H3191" s="266" t="s">
        <v>5005</v>
      </c>
      <c r="J3191" s="264">
        <v>470</v>
      </c>
    </row>
    <row r="3192" spans="2:13" ht="15" thickBot="1" x14ac:dyDescent="0.4">
      <c r="C3192" s="256"/>
      <c r="D3192" s="328"/>
      <c r="E3192" s="2"/>
      <c r="F3192" s="340"/>
      <c r="H3192" s="266"/>
      <c r="J3192" s="264"/>
    </row>
    <row r="3193" spans="2:13" ht="15" thickBot="1" x14ac:dyDescent="0.4">
      <c r="C3193" s="345" t="s">
        <v>5031</v>
      </c>
      <c r="D3193" s="328"/>
      <c r="E3193" s="2"/>
      <c r="F3193" s="340"/>
      <c r="H3193" s="266"/>
      <c r="J3193" s="264"/>
    </row>
    <row r="3194" spans="2:13" ht="15" thickBot="1" x14ac:dyDescent="0.4">
      <c r="B3194" s="410">
        <f>B3191+1</f>
        <v>3117</v>
      </c>
      <c r="C3194" s="256" t="s">
        <v>5157</v>
      </c>
      <c r="D3194" s="328" t="s">
        <v>5296</v>
      </c>
      <c r="E3194" s="2">
        <v>20</v>
      </c>
      <c r="F3194" s="340">
        <v>45716</v>
      </c>
      <c r="H3194" s="266" t="s">
        <v>5005</v>
      </c>
      <c r="J3194" s="272">
        <v>617</v>
      </c>
      <c r="L3194" s="313">
        <v>2018</v>
      </c>
      <c r="M3194" s="21">
        <f>COUNTIF(E3194:E3277,"18")</f>
        <v>4</v>
      </c>
    </row>
    <row r="3195" spans="2:13" ht="15" thickBot="1" x14ac:dyDescent="0.4">
      <c r="B3195" s="410">
        <f>B3194+1</f>
        <v>3118</v>
      </c>
      <c r="C3195" s="256" t="s">
        <v>5158</v>
      </c>
      <c r="D3195" s="328" t="s">
        <v>5297</v>
      </c>
      <c r="E3195" s="2">
        <v>20</v>
      </c>
      <c r="F3195" s="340">
        <v>45716</v>
      </c>
      <c r="H3195" s="266" t="s">
        <v>5388</v>
      </c>
      <c r="J3195" s="272">
        <v>550</v>
      </c>
      <c r="L3195" s="313">
        <v>2019</v>
      </c>
      <c r="M3195" s="21">
        <f>COUNTIF(E3194:E3277,"19")</f>
        <v>2</v>
      </c>
    </row>
    <row r="3196" spans="2:13" ht="15" thickBot="1" x14ac:dyDescent="0.4">
      <c r="B3196" s="410">
        <f t="shared" ref="B3196:B3259" si="82">B3195+1</f>
        <v>3119</v>
      </c>
      <c r="C3196" s="256" t="s">
        <v>5159</v>
      </c>
      <c r="D3196" s="328" t="s">
        <v>5298</v>
      </c>
      <c r="E3196" s="2">
        <v>20</v>
      </c>
      <c r="F3196" s="340">
        <v>45716</v>
      </c>
      <c r="H3196" s="266" t="s">
        <v>4853</v>
      </c>
      <c r="J3196" s="272">
        <v>587</v>
      </c>
      <c r="L3196" s="313">
        <v>2020</v>
      </c>
      <c r="M3196" s="21">
        <f>COUNTIF(E3194:E3277,"20")</f>
        <v>20</v>
      </c>
    </row>
    <row r="3197" spans="2:13" ht="15" thickBot="1" x14ac:dyDescent="0.4">
      <c r="B3197" s="410">
        <f t="shared" si="82"/>
        <v>3120</v>
      </c>
      <c r="C3197" s="256" t="s">
        <v>5160</v>
      </c>
      <c r="D3197" s="328" t="s">
        <v>5299</v>
      </c>
      <c r="E3197" s="2">
        <v>20</v>
      </c>
      <c r="F3197" s="340">
        <v>45716</v>
      </c>
      <c r="H3197" s="266" t="s">
        <v>5022</v>
      </c>
      <c r="J3197" s="272">
        <v>590</v>
      </c>
      <c r="L3197" s="313">
        <v>2021</v>
      </c>
      <c r="M3197" s="21">
        <f>COUNTIF(E3194:E3277,"21")</f>
        <v>58</v>
      </c>
    </row>
    <row r="3198" spans="2:13" ht="15" thickBot="1" x14ac:dyDescent="0.4">
      <c r="B3198" s="410">
        <f t="shared" si="82"/>
        <v>3121</v>
      </c>
      <c r="C3198" s="256" t="s">
        <v>5161</v>
      </c>
      <c r="D3198" s="328" t="s">
        <v>5300</v>
      </c>
      <c r="E3198" s="2">
        <v>20</v>
      </c>
      <c r="F3198" s="340">
        <v>45716</v>
      </c>
      <c r="H3198" s="266" t="s">
        <v>4402</v>
      </c>
      <c r="J3198" s="272">
        <v>463</v>
      </c>
    </row>
    <row r="3199" spans="2:13" ht="15" thickBot="1" x14ac:dyDescent="0.4">
      <c r="B3199" s="410">
        <f t="shared" si="82"/>
        <v>3122</v>
      </c>
      <c r="C3199" s="256" t="s">
        <v>5162</v>
      </c>
      <c r="D3199" s="328" t="s">
        <v>5301</v>
      </c>
      <c r="E3199" s="2">
        <v>20</v>
      </c>
      <c r="F3199" s="340">
        <v>45716</v>
      </c>
      <c r="H3199" s="266" t="s">
        <v>4822</v>
      </c>
      <c r="J3199" s="272">
        <v>570</v>
      </c>
    </row>
    <row r="3200" spans="2:13" ht="15" thickBot="1" x14ac:dyDescent="0.4">
      <c r="B3200" s="410">
        <f t="shared" si="82"/>
        <v>3123</v>
      </c>
      <c r="C3200" s="256" t="s">
        <v>5058</v>
      </c>
      <c r="D3200" s="328" t="s">
        <v>5059</v>
      </c>
      <c r="E3200" s="2">
        <v>20</v>
      </c>
      <c r="F3200" s="340">
        <v>45740</v>
      </c>
      <c r="H3200" s="266" t="s">
        <v>4609</v>
      </c>
      <c r="J3200" s="272">
        <v>570</v>
      </c>
    </row>
    <row r="3201" spans="2:10" ht="15" thickBot="1" x14ac:dyDescent="0.4">
      <c r="B3201" s="410">
        <f t="shared" si="82"/>
        <v>3124</v>
      </c>
      <c r="C3201" s="256" t="s">
        <v>5061</v>
      </c>
      <c r="D3201" s="328" t="s">
        <v>5062</v>
      </c>
      <c r="E3201" s="2">
        <v>20</v>
      </c>
      <c r="F3201" s="340">
        <v>45740</v>
      </c>
      <c r="H3201" s="266">
        <v>3.15</v>
      </c>
      <c r="J3201" s="272">
        <v>553</v>
      </c>
    </row>
    <row r="3202" spans="2:10" ht="15" thickBot="1" x14ac:dyDescent="0.4">
      <c r="B3202" s="410">
        <f t="shared" si="82"/>
        <v>3125</v>
      </c>
      <c r="C3202" s="256" t="s">
        <v>5064</v>
      </c>
      <c r="D3202" s="328" t="s">
        <v>5065</v>
      </c>
      <c r="E3202" s="2">
        <v>20</v>
      </c>
      <c r="F3202" s="340">
        <v>45740</v>
      </c>
      <c r="H3202" s="266">
        <v>3.38</v>
      </c>
      <c r="J3202" s="272">
        <v>553</v>
      </c>
    </row>
    <row r="3203" spans="2:10" ht="15" thickBot="1" x14ac:dyDescent="0.4">
      <c r="B3203" s="410">
        <f t="shared" si="82"/>
        <v>3126</v>
      </c>
      <c r="C3203" s="256" t="s">
        <v>5067</v>
      </c>
      <c r="D3203" s="328" t="s">
        <v>5068</v>
      </c>
      <c r="E3203" s="2">
        <v>20</v>
      </c>
      <c r="F3203" s="340">
        <v>45740</v>
      </c>
      <c r="H3203" s="266" t="s">
        <v>4607</v>
      </c>
      <c r="J3203" s="272">
        <v>637</v>
      </c>
    </row>
    <row r="3204" spans="2:10" ht="15" thickBot="1" x14ac:dyDescent="0.4">
      <c r="B3204" s="410">
        <f t="shared" si="82"/>
        <v>3127</v>
      </c>
      <c r="C3204" s="256" t="s">
        <v>5163</v>
      </c>
      <c r="D3204" s="328" t="s">
        <v>5302</v>
      </c>
      <c r="E3204" s="2">
        <v>21</v>
      </c>
      <c r="F3204" s="340">
        <v>45768</v>
      </c>
      <c r="H3204" s="266" t="s">
        <v>4776</v>
      </c>
      <c r="J3204" s="272">
        <v>460</v>
      </c>
    </row>
    <row r="3205" spans="2:10" ht="15" thickBot="1" x14ac:dyDescent="0.4">
      <c r="B3205" s="410">
        <f t="shared" si="82"/>
        <v>3128</v>
      </c>
      <c r="C3205" s="256" t="s">
        <v>5164</v>
      </c>
      <c r="D3205" s="328" t="s">
        <v>5303</v>
      </c>
      <c r="E3205" s="2">
        <v>20</v>
      </c>
      <c r="F3205" s="340">
        <v>45804</v>
      </c>
      <c r="H3205" s="266">
        <v>2.79</v>
      </c>
      <c r="J3205" s="264">
        <v>553</v>
      </c>
    </row>
    <row r="3206" spans="2:10" ht="15" thickBot="1" x14ac:dyDescent="0.4">
      <c r="B3206" s="410">
        <f t="shared" si="82"/>
        <v>3129</v>
      </c>
      <c r="C3206" s="256" t="s">
        <v>5165</v>
      </c>
      <c r="D3206" s="328" t="s">
        <v>5304</v>
      </c>
      <c r="E3206" s="2">
        <v>20</v>
      </c>
      <c r="F3206" s="340">
        <v>45804</v>
      </c>
      <c r="H3206" s="266">
        <v>3.25</v>
      </c>
      <c r="J3206" s="264">
        <v>600</v>
      </c>
    </row>
    <row r="3207" spans="2:10" ht="15" thickBot="1" x14ac:dyDescent="0.4">
      <c r="B3207" s="410">
        <f t="shared" si="82"/>
        <v>3130</v>
      </c>
      <c r="C3207" s="256" t="s">
        <v>5166</v>
      </c>
      <c r="D3207" s="328" t="s">
        <v>5305</v>
      </c>
      <c r="E3207" s="2">
        <v>21</v>
      </c>
      <c r="F3207" s="340">
        <v>45833</v>
      </c>
      <c r="H3207" s="266" t="s">
        <v>5390</v>
      </c>
      <c r="J3207" s="279" t="s">
        <v>5389</v>
      </c>
    </row>
    <row r="3208" spans="2:10" ht="15" thickBot="1" x14ac:dyDescent="0.4">
      <c r="B3208" s="410">
        <f t="shared" si="82"/>
        <v>3131</v>
      </c>
      <c r="C3208" s="256" t="s">
        <v>5167</v>
      </c>
      <c r="D3208" s="328" t="s">
        <v>5306</v>
      </c>
      <c r="E3208" s="2">
        <v>21</v>
      </c>
      <c r="F3208" s="340">
        <v>45833</v>
      </c>
      <c r="H3208" s="266" t="s">
        <v>4828</v>
      </c>
      <c r="J3208" s="334">
        <v>537</v>
      </c>
    </row>
    <row r="3209" spans="2:10" ht="15" thickBot="1" x14ac:dyDescent="0.4">
      <c r="B3209" s="410">
        <f t="shared" si="82"/>
        <v>3132</v>
      </c>
      <c r="C3209" s="256" t="s">
        <v>5168</v>
      </c>
      <c r="D3209" s="328" t="s">
        <v>5307</v>
      </c>
      <c r="E3209" s="2">
        <v>21</v>
      </c>
      <c r="F3209" s="340">
        <v>45833</v>
      </c>
      <c r="H3209" s="266" t="s">
        <v>4821</v>
      </c>
      <c r="J3209" s="264">
        <v>590</v>
      </c>
    </row>
    <row r="3210" spans="2:10" ht="15" thickBot="1" x14ac:dyDescent="0.4">
      <c r="B3210" s="410">
        <f t="shared" si="82"/>
        <v>3133</v>
      </c>
      <c r="C3210" s="256" t="s">
        <v>5169</v>
      </c>
      <c r="D3210" s="328" t="s">
        <v>5308</v>
      </c>
      <c r="E3210" s="2">
        <v>19</v>
      </c>
      <c r="F3210" s="340">
        <v>45862</v>
      </c>
      <c r="H3210" s="266">
        <v>3.74</v>
      </c>
      <c r="J3210" s="264">
        <v>570</v>
      </c>
    </row>
    <row r="3211" spans="2:10" ht="15" thickBot="1" x14ac:dyDescent="0.4">
      <c r="B3211" s="410">
        <f t="shared" si="82"/>
        <v>3134</v>
      </c>
      <c r="C3211" s="256" t="s">
        <v>5170</v>
      </c>
      <c r="D3211" s="328" t="s">
        <v>5309</v>
      </c>
      <c r="E3211" s="2">
        <v>19</v>
      </c>
      <c r="F3211" s="340">
        <v>45862</v>
      </c>
      <c r="H3211" s="266">
        <v>3.25</v>
      </c>
      <c r="J3211" s="264">
        <v>533</v>
      </c>
    </row>
    <row r="3212" spans="2:10" ht="15" thickBot="1" x14ac:dyDescent="0.4">
      <c r="B3212" s="410">
        <f t="shared" si="82"/>
        <v>3135</v>
      </c>
      <c r="C3212" s="256" t="s">
        <v>5171</v>
      </c>
      <c r="D3212" s="328" t="s">
        <v>5310</v>
      </c>
      <c r="E3212" s="2">
        <v>20</v>
      </c>
      <c r="F3212" s="340">
        <v>45862</v>
      </c>
      <c r="H3212" s="266">
        <v>3.41</v>
      </c>
      <c r="J3212" s="264">
        <v>577</v>
      </c>
    </row>
    <row r="3213" spans="2:10" ht="15" thickBot="1" x14ac:dyDescent="0.4">
      <c r="B3213" s="410">
        <f t="shared" si="82"/>
        <v>3136</v>
      </c>
      <c r="C3213" s="256" t="s">
        <v>5172</v>
      </c>
      <c r="D3213" s="328" t="s">
        <v>5311</v>
      </c>
      <c r="E3213" s="2">
        <v>20</v>
      </c>
      <c r="F3213" s="340">
        <v>45862</v>
      </c>
      <c r="H3213" s="266">
        <v>3.37</v>
      </c>
      <c r="J3213" s="264">
        <v>580</v>
      </c>
    </row>
    <row r="3214" spans="2:10" ht="15" thickBot="1" x14ac:dyDescent="0.4">
      <c r="B3214" s="410">
        <f t="shared" si="82"/>
        <v>3137</v>
      </c>
      <c r="C3214" s="256" t="s">
        <v>5173</v>
      </c>
      <c r="D3214" s="331" t="s">
        <v>5312</v>
      </c>
      <c r="E3214" s="2">
        <v>20</v>
      </c>
      <c r="F3214" s="340">
        <v>45862</v>
      </c>
      <c r="H3214" s="266">
        <v>3.16</v>
      </c>
      <c r="J3214" s="264">
        <v>597</v>
      </c>
    </row>
    <row r="3215" spans="2:10" ht="15" thickBot="1" x14ac:dyDescent="0.4">
      <c r="B3215" s="410">
        <f t="shared" si="82"/>
        <v>3138</v>
      </c>
      <c r="C3215" s="256" t="s">
        <v>5174</v>
      </c>
      <c r="D3215" s="328" t="s">
        <v>5313</v>
      </c>
      <c r="E3215" s="2">
        <v>20</v>
      </c>
      <c r="F3215" s="340">
        <v>45862</v>
      </c>
      <c r="H3215" s="285">
        <v>3.25</v>
      </c>
      <c r="J3215" s="264">
        <v>550</v>
      </c>
    </row>
    <row r="3216" spans="2:10" ht="15" thickBot="1" x14ac:dyDescent="0.4">
      <c r="B3216" s="410">
        <f t="shared" si="82"/>
        <v>3139</v>
      </c>
      <c r="C3216" s="256" t="s">
        <v>5175</v>
      </c>
      <c r="D3216" s="331" t="s">
        <v>5314</v>
      </c>
      <c r="E3216" s="2">
        <v>21</v>
      </c>
      <c r="F3216" s="340">
        <v>45862</v>
      </c>
      <c r="H3216" s="266">
        <v>3.76</v>
      </c>
      <c r="J3216" s="264">
        <v>547</v>
      </c>
    </row>
    <row r="3217" spans="2:10" ht="15" thickBot="1" x14ac:dyDescent="0.4">
      <c r="B3217" s="410">
        <f t="shared" si="82"/>
        <v>3140</v>
      </c>
      <c r="C3217" s="256" t="s">
        <v>5176</v>
      </c>
      <c r="D3217" s="328" t="s">
        <v>5315</v>
      </c>
      <c r="E3217" s="2">
        <v>21</v>
      </c>
      <c r="F3217" s="340">
        <v>45862</v>
      </c>
      <c r="H3217" s="411">
        <v>3.59</v>
      </c>
      <c r="J3217" s="264">
        <v>260</v>
      </c>
    </row>
    <row r="3218" spans="2:10" ht="15" thickBot="1" x14ac:dyDescent="0.4">
      <c r="B3218" s="410">
        <f t="shared" si="82"/>
        <v>3141</v>
      </c>
      <c r="C3218" s="256" t="s">
        <v>5177</v>
      </c>
      <c r="D3218" s="328" t="s">
        <v>5316</v>
      </c>
      <c r="E3218" s="2">
        <v>21</v>
      </c>
      <c r="F3218" s="340">
        <v>45862</v>
      </c>
      <c r="H3218" s="266">
        <v>3.55</v>
      </c>
      <c r="J3218" s="264">
        <v>510</v>
      </c>
    </row>
    <row r="3219" spans="2:10" ht="15" thickBot="1" x14ac:dyDescent="0.4">
      <c r="B3219" s="410">
        <f t="shared" si="82"/>
        <v>3142</v>
      </c>
      <c r="C3219" s="256" t="s">
        <v>5178</v>
      </c>
      <c r="D3219" s="331" t="s">
        <v>5317</v>
      </c>
      <c r="E3219" s="2">
        <v>21</v>
      </c>
      <c r="F3219" s="340">
        <v>45862</v>
      </c>
      <c r="H3219" s="266">
        <v>3.18</v>
      </c>
      <c r="J3219" s="264">
        <v>557</v>
      </c>
    </row>
    <row r="3220" spans="2:10" ht="15" thickBot="1" x14ac:dyDescent="0.4">
      <c r="B3220" s="410">
        <f t="shared" si="82"/>
        <v>3143</v>
      </c>
      <c r="C3220" s="256" t="s">
        <v>5179</v>
      </c>
      <c r="D3220" s="328" t="s">
        <v>5318</v>
      </c>
      <c r="E3220" s="2">
        <v>21</v>
      </c>
      <c r="F3220" s="340">
        <v>45862</v>
      </c>
      <c r="H3220" s="266">
        <v>3.84</v>
      </c>
      <c r="J3220" s="264">
        <v>533</v>
      </c>
    </row>
    <row r="3221" spans="2:10" ht="15" thickBot="1" x14ac:dyDescent="0.4">
      <c r="B3221" s="410">
        <f t="shared" si="82"/>
        <v>3144</v>
      </c>
      <c r="C3221" s="256" t="s">
        <v>5180</v>
      </c>
      <c r="D3221" s="328" t="s">
        <v>5319</v>
      </c>
      <c r="E3221" s="2">
        <v>21</v>
      </c>
      <c r="F3221" s="340">
        <v>45862</v>
      </c>
      <c r="H3221" s="328">
        <v>3.33</v>
      </c>
      <c r="J3221" s="264">
        <v>510</v>
      </c>
    </row>
    <row r="3222" spans="2:10" ht="15" thickBot="1" x14ac:dyDescent="0.4">
      <c r="B3222" s="410">
        <f t="shared" si="82"/>
        <v>3145</v>
      </c>
      <c r="C3222" s="256" t="s">
        <v>5181</v>
      </c>
      <c r="D3222" s="328" t="s">
        <v>5320</v>
      </c>
      <c r="E3222" s="2">
        <v>21</v>
      </c>
      <c r="F3222" s="340">
        <v>45862</v>
      </c>
      <c r="H3222" s="266">
        <v>3.85</v>
      </c>
      <c r="J3222" s="264">
        <v>563</v>
      </c>
    </row>
    <row r="3223" spans="2:10" ht="15" thickBot="1" x14ac:dyDescent="0.4">
      <c r="B3223" s="410">
        <f t="shared" si="82"/>
        <v>3146</v>
      </c>
      <c r="C3223" s="256" t="s">
        <v>5182</v>
      </c>
      <c r="D3223" s="328" t="s">
        <v>5321</v>
      </c>
      <c r="E3223" s="2">
        <v>21</v>
      </c>
      <c r="F3223" s="340">
        <v>45862</v>
      </c>
      <c r="H3223" s="266">
        <v>3.52</v>
      </c>
      <c r="J3223" s="264">
        <v>520</v>
      </c>
    </row>
    <row r="3224" spans="2:10" ht="15" thickBot="1" x14ac:dyDescent="0.4">
      <c r="B3224" s="410">
        <f t="shared" si="82"/>
        <v>3147</v>
      </c>
      <c r="C3224" s="256" t="s">
        <v>5183</v>
      </c>
      <c r="D3224" s="328" t="s">
        <v>5322</v>
      </c>
      <c r="E3224" s="2">
        <v>21</v>
      </c>
      <c r="F3224" s="340">
        <v>45862</v>
      </c>
      <c r="H3224" s="285" t="s">
        <v>4624</v>
      </c>
      <c r="J3224" s="264">
        <v>580</v>
      </c>
    </row>
    <row r="3225" spans="2:10" ht="15" thickBot="1" x14ac:dyDescent="0.4">
      <c r="B3225" s="410">
        <f t="shared" si="82"/>
        <v>3148</v>
      </c>
      <c r="C3225" s="256" t="s">
        <v>5184</v>
      </c>
      <c r="D3225" s="328" t="s">
        <v>5323</v>
      </c>
      <c r="E3225" s="2">
        <v>21</v>
      </c>
      <c r="F3225" s="340">
        <v>45862</v>
      </c>
      <c r="H3225" s="266">
        <v>3.56</v>
      </c>
      <c r="J3225" s="279" t="s">
        <v>5391</v>
      </c>
    </row>
    <row r="3226" spans="2:10" ht="15" thickBot="1" x14ac:dyDescent="0.4">
      <c r="B3226" s="410">
        <f t="shared" si="82"/>
        <v>3149</v>
      </c>
      <c r="C3226" s="256" t="s">
        <v>5185</v>
      </c>
      <c r="D3226" s="331" t="s">
        <v>5324</v>
      </c>
      <c r="E3226" s="2">
        <v>21</v>
      </c>
      <c r="F3226" s="340">
        <v>45862</v>
      </c>
      <c r="H3226" s="266">
        <v>3.53</v>
      </c>
      <c r="J3226" s="264">
        <v>517</v>
      </c>
    </row>
    <row r="3227" spans="2:10" ht="15" thickBot="1" x14ac:dyDescent="0.4">
      <c r="B3227" s="410">
        <f t="shared" si="82"/>
        <v>3150</v>
      </c>
      <c r="C3227" s="256" t="s">
        <v>5186</v>
      </c>
      <c r="D3227" s="328" t="s">
        <v>5325</v>
      </c>
      <c r="E3227" s="2">
        <v>21</v>
      </c>
      <c r="F3227" s="340">
        <v>45862</v>
      </c>
      <c r="H3227" s="266">
        <v>3.47</v>
      </c>
      <c r="J3227" s="264">
        <v>553</v>
      </c>
    </row>
    <row r="3228" spans="2:10" ht="15" thickBot="1" x14ac:dyDescent="0.4">
      <c r="B3228" s="410">
        <f t="shared" si="82"/>
        <v>3151</v>
      </c>
      <c r="C3228" s="256" t="s">
        <v>5187</v>
      </c>
      <c r="D3228" s="328" t="s">
        <v>5326</v>
      </c>
      <c r="E3228" s="2">
        <v>21</v>
      </c>
      <c r="F3228" s="340">
        <v>45862</v>
      </c>
      <c r="H3228" s="411" t="s">
        <v>4607</v>
      </c>
      <c r="J3228" s="264">
        <v>550</v>
      </c>
    </row>
    <row r="3229" spans="2:10" ht="15" thickBot="1" x14ac:dyDescent="0.4">
      <c r="B3229" s="410">
        <f t="shared" si="82"/>
        <v>3152</v>
      </c>
      <c r="C3229" s="256" t="s">
        <v>5188</v>
      </c>
      <c r="D3229" s="328" t="s">
        <v>5327</v>
      </c>
      <c r="E3229" s="2">
        <v>21</v>
      </c>
      <c r="F3229" s="340">
        <v>45862</v>
      </c>
      <c r="H3229" s="411">
        <v>3.73</v>
      </c>
      <c r="J3229" s="279" t="s">
        <v>5392</v>
      </c>
    </row>
    <row r="3230" spans="2:10" ht="15" thickBot="1" x14ac:dyDescent="0.4">
      <c r="B3230" s="410">
        <f t="shared" si="82"/>
        <v>3153</v>
      </c>
      <c r="C3230" s="256" t="s">
        <v>5189</v>
      </c>
      <c r="D3230" s="328" t="s">
        <v>5328</v>
      </c>
      <c r="E3230" s="2">
        <v>21</v>
      </c>
      <c r="F3230" s="340">
        <v>45862</v>
      </c>
      <c r="H3230" s="266">
        <v>3.53</v>
      </c>
      <c r="J3230" s="264">
        <v>543</v>
      </c>
    </row>
    <row r="3231" spans="2:10" ht="15" thickBot="1" x14ac:dyDescent="0.4">
      <c r="B3231" s="410">
        <f t="shared" si="82"/>
        <v>3154</v>
      </c>
      <c r="C3231" s="256" t="s">
        <v>5190</v>
      </c>
      <c r="D3231" s="328" t="s">
        <v>5329</v>
      </c>
      <c r="E3231" s="2">
        <v>21</v>
      </c>
      <c r="F3231" s="340">
        <v>45862</v>
      </c>
      <c r="H3231" s="285">
        <v>3.66</v>
      </c>
      <c r="J3231" s="279">
        <v>560</v>
      </c>
    </row>
    <row r="3232" spans="2:10" ht="15" thickBot="1" x14ac:dyDescent="0.4">
      <c r="B3232" s="410">
        <f t="shared" si="82"/>
        <v>3155</v>
      </c>
      <c r="C3232" s="256" t="s">
        <v>5191</v>
      </c>
      <c r="D3232" s="328" t="s">
        <v>5330</v>
      </c>
      <c r="E3232" s="2">
        <v>21</v>
      </c>
      <c r="F3232" s="340">
        <v>45862</v>
      </c>
      <c r="H3232" s="2">
        <v>2.95</v>
      </c>
      <c r="J3232" s="264">
        <v>497</v>
      </c>
    </row>
    <row r="3233" spans="2:10" ht="15" thickBot="1" x14ac:dyDescent="0.4">
      <c r="B3233" s="410">
        <f t="shared" si="82"/>
        <v>3156</v>
      </c>
      <c r="C3233" s="256" t="s">
        <v>5192</v>
      </c>
      <c r="D3233" s="328" t="s">
        <v>5331</v>
      </c>
      <c r="E3233" s="2">
        <v>21</v>
      </c>
      <c r="F3233" s="340">
        <v>45862</v>
      </c>
      <c r="H3233" s="266">
        <v>3.03</v>
      </c>
      <c r="J3233" s="264">
        <v>577</v>
      </c>
    </row>
    <row r="3234" spans="2:10" ht="15" thickBot="1" x14ac:dyDescent="0.4">
      <c r="B3234" s="410">
        <f t="shared" si="82"/>
        <v>3157</v>
      </c>
      <c r="C3234" s="256" t="s">
        <v>5193</v>
      </c>
      <c r="D3234" s="328" t="s">
        <v>5332</v>
      </c>
      <c r="E3234" s="2">
        <v>21</v>
      </c>
      <c r="F3234" s="340">
        <v>45862</v>
      </c>
      <c r="H3234" s="285">
        <v>3.54</v>
      </c>
      <c r="J3234" s="264">
        <v>607</v>
      </c>
    </row>
    <row r="3235" spans="2:10" ht="15" thickBot="1" x14ac:dyDescent="0.4">
      <c r="B3235" s="410">
        <f t="shared" si="82"/>
        <v>3158</v>
      </c>
      <c r="C3235" s="256" t="s">
        <v>5194</v>
      </c>
      <c r="D3235" s="331" t="s">
        <v>5333</v>
      </c>
      <c r="E3235" s="2">
        <v>21</v>
      </c>
      <c r="F3235" s="340">
        <v>45862</v>
      </c>
      <c r="H3235" s="266">
        <v>3.58</v>
      </c>
      <c r="J3235" s="279" t="s">
        <v>5393</v>
      </c>
    </row>
    <row r="3236" spans="2:10" ht="15" thickBot="1" x14ac:dyDescent="0.4">
      <c r="B3236" s="410">
        <f t="shared" si="82"/>
        <v>3159</v>
      </c>
      <c r="C3236" s="256" t="s">
        <v>5195</v>
      </c>
      <c r="D3236" s="328" t="s">
        <v>5334</v>
      </c>
      <c r="E3236" s="2">
        <v>21</v>
      </c>
      <c r="F3236" s="340">
        <v>45862</v>
      </c>
      <c r="H3236" s="411">
        <v>3.58</v>
      </c>
      <c r="J3236" s="264">
        <v>597</v>
      </c>
    </row>
    <row r="3237" spans="2:10" ht="15" thickBot="1" x14ac:dyDescent="0.4">
      <c r="B3237" s="410">
        <f t="shared" si="82"/>
        <v>3160</v>
      </c>
      <c r="C3237" s="256" t="s">
        <v>5196</v>
      </c>
      <c r="D3237" s="328" t="s">
        <v>5335</v>
      </c>
      <c r="E3237" s="2">
        <v>21</v>
      </c>
      <c r="F3237" s="340">
        <v>45862</v>
      </c>
      <c r="H3237" s="329">
        <v>3.38</v>
      </c>
      <c r="J3237" s="264">
        <v>487</v>
      </c>
    </row>
    <row r="3238" spans="2:10" ht="15" thickBot="1" x14ac:dyDescent="0.4">
      <c r="B3238" s="410">
        <f t="shared" si="82"/>
        <v>3161</v>
      </c>
      <c r="C3238" s="256" t="s">
        <v>5197</v>
      </c>
      <c r="D3238" s="328" t="s">
        <v>5336</v>
      </c>
      <c r="E3238" s="2">
        <v>21</v>
      </c>
      <c r="F3238" s="340">
        <v>45862</v>
      </c>
      <c r="H3238" s="411">
        <v>3.34</v>
      </c>
      <c r="J3238" s="264">
        <v>480</v>
      </c>
    </row>
    <row r="3239" spans="2:10" ht="15" thickBot="1" x14ac:dyDescent="0.4">
      <c r="B3239" s="410">
        <f t="shared" si="82"/>
        <v>3162</v>
      </c>
      <c r="C3239" s="256" t="s">
        <v>5198</v>
      </c>
      <c r="D3239" s="328" t="s">
        <v>5337</v>
      </c>
      <c r="E3239" s="2">
        <v>21</v>
      </c>
      <c r="F3239" s="340">
        <v>45862</v>
      </c>
      <c r="H3239" s="266">
        <v>3.14</v>
      </c>
      <c r="J3239" s="264">
        <v>517</v>
      </c>
    </row>
    <row r="3240" spans="2:10" ht="15" thickBot="1" x14ac:dyDescent="0.4">
      <c r="B3240" s="410">
        <f t="shared" si="82"/>
        <v>3163</v>
      </c>
      <c r="C3240" s="256" t="s">
        <v>5199</v>
      </c>
      <c r="D3240" s="328" t="s">
        <v>5338</v>
      </c>
      <c r="E3240" s="2">
        <v>21</v>
      </c>
      <c r="F3240" s="340">
        <v>45862</v>
      </c>
      <c r="H3240" s="266">
        <v>3.28</v>
      </c>
      <c r="J3240" s="264">
        <v>550</v>
      </c>
    </row>
    <row r="3241" spans="2:10" ht="15" thickBot="1" x14ac:dyDescent="0.4">
      <c r="B3241" s="410">
        <f t="shared" si="82"/>
        <v>3164</v>
      </c>
      <c r="C3241" s="256" t="s">
        <v>5200</v>
      </c>
      <c r="D3241" s="328" t="s">
        <v>5339</v>
      </c>
      <c r="E3241" s="2">
        <v>21</v>
      </c>
      <c r="F3241" s="340">
        <v>45862</v>
      </c>
      <c r="H3241" s="285">
        <v>3.33</v>
      </c>
      <c r="J3241" s="279" t="s">
        <v>3386</v>
      </c>
    </row>
    <row r="3242" spans="2:10" ht="15" thickBot="1" x14ac:dyDescent="0.4">
      <c r="B3242" s="410">
        <f t="shared" si="82"/>
        <v>3165</v>
      </c>
      <c r="C3242" s="256" t="s">
        <v>5201</v>
      </c>
      <c r="D3242" s="328" t="s">
        <v>5340</v>
      </c>
      <c r="E3242" s="2">
        <v>21</v>
      </c>
      <c r="F3242" s="340">
        <v>45862</v>
      </c>
      <c r="H3242" s="411">
        <v>3.54</v>
      </c>
      <c r="J3242" s="264">
        <v>540</v>
      </c>
    </row>
    <row r="3243" spans="2:10" ht="15" thickBot="1" x14ac:dyDescent="0.4">
      <c r="B3243" s="410">
        <f t="shared" si="82"/>
        <v>3166</v>
      </c>
      <c r="C3243" s="256" t="s">
        <v>5202</v>
      </c>
      <c r="D3243" s="328" t="s">
        <v>5341</v>
      </c>
      <c r="E3243" s="2">
        <v>21</v>
      </c>
      <c r="F3243" s="340">
        <v>45862</v>
      </c>
      <c r="H3243" s="411">
        <v>3.36</v>
      </c>
      <c r="J3243" s="264">
        <v>517</v>
      </c>
    </row>
    <row r="3244" spans="2:10" ht="15" thickBot="1" x14ac:dyDescent="0.4">
      <c r="B3244" s="410">
        <f t="shared" si="82"/>
        <v>3167</v>
      </c>
      <c r="C3244" s="256" t="s">
        <v>5203</v>
      </c>
      <c r="D3244" s="328" t="s">
        <v>5342</v>
      </c>
      <c r="E3244" s="2">
        <v>21</v>
      </c>
      <c r="F3244" s="340">
        <v>45862</v>
      </c>
      <c r="H3244" s="2">
        <v>3.31</v>
      </c>
      <c r="J3244" s="264">
        <v>520</v>
      </c>
    </row>
    <row r="3245" spans="2:10" ht="15" thickBot="1" x14ac:dyDescent="0.4">
      <c r="B3245" s="410">
        <f t="shared" si="82"/>
        <v>3168</v>
      </c>
      <c r="C3245" s="256" t="s">
        <v>5204</v>
      </c>
      <c r="D3245" s="328" t="s">
        <v>5343</v>
      </c>
      <c r="E3245" s="2">
        <v>21</v>
      </c>
      <c r="F3245" s="340">
        <v>45862</v>
      </c>
      <c r="H3245" s="266">
        <v>3.54</v>
      </c>
      <c r="J3245" s="264">
        <v>553</v>
      </c>
    </row>
    <row r="3246" spans="2:10" ht="15" thickBot="1" x14ac:dyDescent="0.4">
      <c r="B3246" s="410">
        <f t="shared" si="82"/>
        <v>3169</v>
      </c>
      <c r="C3246" s="256" t="s">
        <v>5205</v>
      </c>
      <c r="D3246" s="328" t="s">
        <v>5344</v>
      </c>
      <c r="E3246" s="2">
        <v>21</v>
      </c>
      <c r="F3246" s="340">
        <v>45862</v>
      </c>
      <c r="H3246" s="266">
        <v>3.29</v>
      </c>
      <c r="J3246" s="264">
        <v>573</v>
      </c>
    </row>
    <row r="3247" spans="2:10" ht="15" thickBot="1" x14ac:dyDescent="0.4">
      <c r="B3247" s="410">
        <f t="shared" si="82"/>
        <v>3170</v>
      </c>
      <c r="C3247" s="256" t="s">
        <v>5206</v>
      </c>
      <c r="D3247" s="328" t="s">
        <v>5345</v>
      </c>
      <c r="E3247" s="2">
        <v>21</v>
      </c>
      <c r="F3247" s="340">
        <v>45862</v>
      </c>
      <c r="H3247" s="329">
        <v>3.59</v>
      </c>
      <c r="J3247" s="264">
        <v>255</v>
      </c>
    </row>
    <row r="3248" spans="2:10" ht="15" thickBot="1" x14ac:dyDescent="0.4">
      <c r="B3248" s="410">
        <f t="shared" si="82"/>
        <v>3171</v>
      </c>
      <c r="C3248" s="256" t="s">
        <v>5207</v>
      </c>
      <c r="D3248" s="328" t="s">
        <v>5346</v>
      </c>
      <c r="E3248" s="2">
        <v>21</v>
      </c>
      <c r="F3248" s="340">
        <v>45862</v>
      </c>
      <c r="H3248" s="266" t="s">
        <v>4624</v>
      </c>
      <c r="J3248" s="264">
        <v>487</v>
      </c>
    </row>
    <row r="3249" spans="2:10" ht="15" thickBot="1" x14ac:dyDescent="0.4">
      <c r="B3249" s="410">
        <f t="shared" si="82"/>
        <v>3172</v>
      </c>
      <c r="C3249" s="256" t="s">
        <v>5208</v>
      </c>
      <c r="D3249" s="328" t="s">
        <v>5347</v>
      </c>
      <c r="E3249" s="2">
        <v>21</v>
      </c>
      <c r="F3249" s="340">
        <v>45862</v>
      </c>
      <c r="H3249" s="266">
        <v>3.57</v>
      </c>
      <c r="J3249" s="264">
        <v>459</v>
      </c>
    </row>
    <row r="3250" spans="2:10" ht="15" thickBot="1" x14ac:dyDescent="0.4">
      <c r="B3250" s="410">
        <f t="shared" si="82"/>
        <v>3173</v>
      </c>
      <c r="C3250" s="256" t="s">
        <v>5209</v>
      </c>
      <c r="D3250" s="328" t="s">
        <v>5348</v>
      </c>
      <c r="E3250" s="2">
        <v>21</v>
      </c>
      <c r="F3250" s="340">
        <v>45862</v>
      </c>
      <c r="H3250" s="266">
        <v>3.34</v>
      </c>
      <c r="J3250" s="264">
        <v>533</v>
      </c>
    </row>
    <row r="3251" spans="2:10" ht="15" thickBot="1" x14ac:dyDescent="0.4">
      <c r="B3251" s="410">
        <f t="shared" si="82"/>
        <v>3174</v>
      </c>
      <c r="C3251" s="256" t="s">
        <v>5210</v>
      </c>
      <c r="D3251" s="328" t="s">
        <v>5349</v>
      </c>
      <c r="E3251" s="2">
        <v>21</v>
      </c>
      <c r="F3251" s="340">
        <v>45862</v>
      </c>
      <c r="H3251" s="266" t="s">
        <v>4198</v>
      </c>
      <c r="J3251" s="264">
        <v>563</v>
      </c>
    </row>
    <row r="3252" spans="2:10" ht="15" thickBot="1" x14ac:dyDescent="0.4">
      <c r="B3252" s="410">
        <f t="shared" si="82"/>
        <v>3175</v>
      </c>
      <c r="C3252" s="256" t="s">
        <v>5211</v>
      </c>
      <c r="D3252" s="328" t="s">
        <v>5350</v>
      </c>
      <c r="E3252" s="2">
        <v>21</v>
      </c>
      <c r="F3252" s="340">
        <v>45862</v>
      </c>
      <c r="H3252" s="266">
        <v>3.12</v>
      </c>
      <c r="J3252" s="264">
        <v>513</v>
      </c>
    </row>
    <row r="3253" spans="2:10" ht="15" thickBot="1" x14ac:dyDescent="0.4">
      <c r="B3253" s="410">
        <f t="shared" si="82"/>
        <v>3176</v>
      </c>
      <c r="C3253" s="256" t="s">
        <v>5212</v>
      </c>
      <c r="D3253" s="328" t="s">
        <v>5351</v>
      </c>
      <c r="E3253" s="2">
        <v>21</v>
      </c>
      <c r="F3253" s="340">
        <v>45862</v>
      </c>
      <c r="H3253" s="266">
        <v>3.25</v>
      </c>
      <c r="J3253" s="264">
        <v>567</v>
      </c>
    </row>
    <row r="3254" spans="2:10" ht="15" thickBot="1" x14ac:dyDescent="0.4">
      <c r="B3254" s="410">
        <f t="shared" si="82"/>
        <v>3177</v>
      </c>
      <c r="C3254" s="281" t="s">
        <v>5213</v>
      </c>
      <c r="D3254" s="332" t="s">
        <v>5352</v>
      </c>
      <c r="E3254" s="2">
        <v>21</v>
      </c>
      <c r="F3254" s="340">
        <v>45862</v>
      </c>
      <c r="H3254" s="266">
        <v>3.38</v>
      </c>
      <c r="J3254" s="335">
        <v>580</v>
      </c>
    </row>
    <row r="3255" spans="2:10" ht="15" thickBot="1" x14ac:dyDescent="0.4">
      <c r="B3255" s="410">
        <f t="shared" si="82"/>
        <v>3178</v>
      </c>
      <c r="C3255" s="256" t="s">
        <v>5214</v>
      </c>
      <c r="D3255" s="328" t="s">
        <v>5353</v>
      </c>
      <c r="E3255" s="2">
        <v>21</v>
      </c>
      <c r="F3255" s="340">
        <v>45862</v>
      </c>
      <c r="H3255" s="285">
        <v>3.75</v>
      </c>
      <c r="J3255" s="264">
        <v>550</v>
      </c>
    </row>
    <row r="3256" spans="2:10" ht="15" thickBot="1" x14ac:dyDescent="0.4">
      <c r="B3256" s="410">
        <f t="shared" si="82"/>
        <v>3179</v>
      </c>
      <c r="C3256" s="256" t="s">
        <v>5215</v>
      </c>
      <c r="D3256" s="328" t="s">
        <v>5354</v>
      </c>
      <c r="E3256" s="2">
        <v>21</v>
      </c>
      <c r="F3256" s="340">
        <v>45862</v>
      </c>
      <c r="H3256" s="266">
        <v>3.62</v>
      </c>
      <c r="J3256" s="264">
        <v>480</v>
      </c>
    </row>
    <row r="3257" spans="2:10" ht="15" thickBot="1" x14ac:dyDescent="0.4">
      <c r="B3257" s="410">
        <f t="shared" si="82"/>
        <v>3180</v>
      </c>
      <c r="C3257" s="327" t="s">
        <v>5216</v>
      </c>
      <c r="D3257" s="328" t="s">
        <v>5355</v>
      </c>
      <c r="E3257" s="2">
        <v>18</v>
      </c>
      <c r="F3257" s="340">
        <v>45869</v>
      </c>
      <c r="H3257" s="266">
        <v>3.22</v>
      </c>
      <c r="J3257" s="264">
        <v>600</v>
      </c>
    </row>
    <row r="3258" spans="2:10" ht="15" thickBot="1" x14ac:dyDescent="0.4">
      <c r="B3258" s="410">
        <f t="shared" si="82"/>
        <v>3181</v>
      </c>
      <c r="C3258" s="327" t="s">
        <v>5217</v>
      </c>
      <c r="D3258" s="328" t="s">
        <v>5356</v>
      </c>
      <c r="E3258" s="2">
        <v>18</v>
      </c>
      <c r="F3258" s="340">
        <v>45869</v>
      </c>
      <c r="H3258" s="285">
        <v>2.79</v>
      </c>
      <c r="J3258" s="264">
        <v>600</v>
      </c>
    </row>
    <row r="3259" spans="2:10" ht="15" thickBot="1" x14ac:dyDescent="0.4">
      <c r="B3259" s="410">
        <f t="shared" si="82"/>
        <v>3182</v>
      </c>
      <c r="C3259" s="256" t="s">
        <v>5218</v>
      </c>
      <c r="D3259" s="328" t="s">
        <v>5357</v>
      </c>
      <c r="E3259" s="2">
        <v>18</v>
      </c>
      <c r="F3259" s="340">
        <v>45869</v>
      </c>
      <c r="H3259" s="285">
        <v>3.25</v>
      </c>
      <c r="J3259" s="264">
        <v>503</v>
      </c>
    </row>
    <row r="3260" spans="2:10" ht="15" thickBot="1" x14ac:dyDescent="0.4">
      <c r="B3260" s="410">
        <f t="shared" ref="B3260:B3277" si="83">B3259+1</f>
        <v>3183</v>
      </c>
      <c r="C3260" s="256" t="s">
        <v>5219</v>
      </c>
      <c r="D3260" s="328" t="s">
        <v>5358</v>
      </c>
      <c r="E3260" s="2">
        <v>18</v>
      </c>
      <c r="F3260" s="340">
        <v>45869</v>
      </c>
      <c r="H3260" s="266" t="s">
        <v>5377</v>
      </c>
      <c r="J3260" s="264">
        <v>567</v>
      </c>
    </row>
    <row r="3261" spans="2:10" ht="15" thickBot="1" x14ac:dyDescent="0.4">
      <c r="B3261" s="410">
        <f t="shared" si="83"/>
        <v>3184</v>
      </c>
      <c r="C3261" s="256" t="s">
        <v>5220</v>
      </c>
      <c r="D3261" s="328" t="s">
        <v>5359</v>
      </c>
      <c r="E3261" s="2">
        <v>20</v>
      </c>
      <c r="F3261" s="340">
        <v>45869</v>
      </c>
      <c r="H3261" s="266" t="s">
        <v>5388</v>
      </c>
      <c r="J3261" s="264">
        <v>547</v>
      </c>
    </row>
    <row r="3262" spans="2:10" ht="15" thickBot="1" x14ac:dyDescent="0.4">
      <c r="B3262" s="410">
        <f t="shared" si="83"/>
        <v>3185</v>
      </c>
      <c r="C3262" s="256" t="s">
        <v>5221</v>
      </c>
      <c r="D3262" s="328" t="s">
        <v>5360</v>
      </c>
      <c r="E3262" s="2">
        <v>20</v>
      </c>
      <c r="F3262" s="340">
        <v>45869</v>
      </c>
      <c r="H3262" s="266">
        <v>3.02</v>
      </c>
      <c r="J3262" s="264" t="s">
        <v>5394</v>
      </c>
    </row>
    <row r="3263" spans="2:10" ht="15" thickBot="1" x14ac:dyDescent="0.4">
      <c r="B3263" s="410">
        <f t="shared" si="83"/>
        <v>3186</v>
      </c>
      <c r="C3263" s="256" t="s">
        <v>5222</v>
      </c>
      <c r="D3263" s="328" t="s">
        <v>5361</v>
      </c>
      <c r="E3263" s="2">
        <v>20</v>
      </c>
      <c r="F3263" s="340">
        <v>45869</v>
      </c>
      <c r="H3263" s="359" t="s">
        <v>5395</v>
      </c>
      <c r="J3263" s="264">
        <v>560</v>
      </c>
    </row>
    <row r="3264" spans="2:10" ht="15" thickBot="1" x14ac:dyDescent="0.4">
      <c r="B3264" s="410">
        <f t="shared" si="83"/>
        <v>3187</v>
      </c>
      <c r="C3264" s="256" t="s">
        <v>5223</v>
      </c>
      <c r="D3264" s="328" t="s">
        <v>5362</v>
      </c>
      <c r="E3264" s="2">
        <v>20</v>
      </c>
      <c r="F3264" s="340">
        <v>45869</v>
      </c>
      <c r="H3264" s="411" t="s">
        <v>4624</v>
      </c>
      <c r="J3264" s="264">
        <v>600</v>
      </c>
    </row>
    <row r="3265" spans="2:13" ht="15" thickBot="1" x14ac:dyDescent="0.4">
      <c r="B3265" s="410">
        <f t="shared" si="83"/>
        <v>3188</v>
      </c>
      <c r="C3265" s="256" t="s">
        <v>5224</v>
      </c>
      <c r="D3265" s="328" t="s">
        <v>5363</v>
      </c>
      <c r="E3265" s="2">
        <v>21</v>
      </c>
      <c r="F3265" s="340">
        <v>45869</v>
      </c>
      <c r="H3265" s="411">
        <v>3.54</v>
      </c>
      <c r="J3265" s="264">
        <v>600</v>
      </c>
    </row>
    <row r="3266" spans="2:13" ht="15" thickBot="1" x14ac:dyDescent="0.4">
      <c r="B3266" s="410">
        <f t="shared" si="83"/>
        <v>3189</v>
      </c>
      <c r="C3266" s="256" t="s">
        <v>5225</v>
      </c>
      <c r="D3266" s="328" t="s">
        <v>5364</v>
      </c>
      <c r="E3266" s="2">
        <v>21</v>
      </c>
      <c r="F3266" s="340">
        <v>45869</v>
      </c>
      <c r="H3266" s="266" t="s">
        <v>4966</v>
      </c>
      <c r="J3266" s="264">
        <v>633</v>
      </c>
    </row>
    <row r="3267" spans="2:13" ht="15" thickBot="1" x14ac:dyDescent="0.4">
      <c r="B3267" s="410">
        <f t="shared" si="83"/>
        <v>3190</v>
      </c>
      <c r="C3267" s="256" t="s">
        <v>5226</v>
      </c>
      <c r="D3267" s="328" t="s">
        <v>5365</v>
      </c>
      <c r="E3267" s="2">
        <v>21</v>
      </c>
      <c r="F3267" s="340">
        <v>45869</v>
      </c>
      <c r="H3267" s="266" t="s">
        <v>4785</v>
      </c>
      <c r="J3267" s="264">
        <v>560</v>
      </c>
    </row>
    <row r="3268" spans="2:13" ht="15" thickBot="1" x14ac:dyDescent="0.4">
      <c r="B3268" s="410">
        <f t="shared" si="83"/>
        <v>3191</v>
      </c>
      <c r="C3268" s="256" t="s">
        <v>5227</v>
      </c>
      <c r="D3268" s="328" t="s">
        <v>5366</v>
      </c>
      <c r="E3268" s="2">
        <v>21</v>
      </c>
      <c r="F3268" s="340">
        <v>45869</v>
      </c>
      <c r="H3268" s="285" t="s">
        <v>5377</v>
      </c>
      <c r="J3268" s="264">
        <v>617</v>
      </c>
    </row>
    <row r="3269" spans="2:13" ht="15" thickBot="1" x14ac:dyDescent="0.4">
      <c r="B3269" s="410">
        <f t="shared" si="83"/>
        <v>3192</v>
      </c>
      <c r="C3269" s="256" t="s">
        <v>5228</v>
      </c>
      <c r="D3269" s="328" t="s">
        <v>5367</v>
      </c>
      <c r="E3269" s="2">
        <v>21</v>
      </c>
      <c r="F3269" s="340">
        <v>45869</v>
      </c>
      <c r="H3269" s="285" t="s">
        <v>4821</v>
      </c>
      <c r="J3269" s="264">
        <v>607</v>
      </c>
    </row>
    <row r="3270" spans="2:13" ht="15" thickBot="1" x14ac:dyDescent="0.4">
      <c r="B3270" s="410">
        <f t="shared" si="83"/>
        <v>3193</v>
      </c>
      <c r="C3270" s="327" t="s">
        <v>5229</v>
      </c>
      <c r="D3270" s="328" t="s">
        <v>5368</v>
      </c>
      <c r="E3270" s="2">
        <v>21</v>
      </c>
      <c r="F3270" s="340">
        <v>45869</v>
      </c>
      <c r="H3270" s="266">
        <v>3.27</v>
      </c>
      <c r="J3270" s="264">
        <v>600</v>
      </c>
    </row>
    <row r="3271" spans="2:13" ht="15" thickBot="1" x14ac:dyDescent="0.4">
      <c r="B3271" s="410">
        <f t="shared" si="83"/>
        <v>3194</v>
      </c>
      <c r="C3271" s="256" t="s">
        <v>5230</v>
      </c>
      <c r="D3271" s="328" t="s">
        <v>5369</v>
      </c>
      <c r="E3271" s="2">
        <v>21</v>
      </c>
      <c r="F3271" s="340">
        <v>45869</v>
      </c>
      <c r="H3271" s="266" t="s">
        <v>5396</v>
      </c>
      <c r="J3271" s="264">
        <v>567</v>
      </c>
    </row>
    <row r="3272" spans="2:13" ht="15" thickBot="1" x14ac:dyDescent="0.4">
      <c r="B3272" s="410">
        <f t="shared" si="83"/>
        <v>3195</v>
      </c>
      <c r="C3272" s="256" t="s">
        <v>5231</v>
      </c>
      <c r="D3272" s="328" t="s">
        <v>5370</v>
      </c>
      <c r="E3272" s="2">
        <v>21</v>
      </c>
      <c r="F3272" s="340">
        <v>45869</v>
      </c>
      <c r="H3272" s="411">
        <v>3.48</v>
      </c>
      <c r="J3272" s="264">
        <v>460</v>
      </c>
    </row>
    <row r="3273" spans="2:13" ht="15" thickBot="1" x14ac:dyDescent="0.4">
      <c r="B3273" s="410">
        <f t="shared" si="83"/>
        <v>3196</v>
      </c>
      <c r="C3273" s="256" t="s">
        <v>5232</v>
      </c>
      <c r="D3273" s="328" t="s">
        <v>5371</v>
      </c>
      <c r="E3273" s="2">
        <v>21</v>
      </c>
      <c r="F3273" s="340">
        <v>45869</v>
      </c>
      <c r="H3273" s="266" t="s">
        <v>4214</v>
      </c>
      <c r="J3273" s="264">
        <v>603</v>
      </c>
    </row>
    <row r="3274" spans="2:13" ht="15" thickBot="1" x14ac:dyDescent="0.4">
      <c r="B3274" s="410">
        <f t="shared" si="83"/>
        <v>3197</v>
      </c>
      <c r="C3274" s="256" t="s">
        <v>5233</v>
      </c>
      <c r="D3274" s="328" t="s">
        <v>5372</v>
      </c>
      <c r="E3274" s="2">
        <v>21</v>
      </c>
      <c r="F3274" s="340">
        <v>45869</v>
      </c>
      <c r="H3274" s="266" t="s">
        <v>4827</v>
      </c>
      <c r="J3274" s="264">
        <v>503</v>
      </c>
    </row>
    <row r="3275" spans="2:13" ht="15" thickBot="1" x14ac:dyDescent="0.4">
      <c r="B3275" s="410">
        <f t="shared" si="83"/>
        <v>3198</v>
      </c>
      <c r="C3275" s="256" t="s">
        <v>5234</v>
      </c>
      <c r="D3275" s="328" t="s">
        <v>5373</v>
      </c>
      <c r="E3275" s="2">
        <v>21</v>
      </c>
      <c r="F3275" s="340">
        <v>45869</v>
      </c>
      <c r="H3275" s="266" t="s">
        <v>5022</v>
      </c>
      <c r="J3275" s="264">
        <v>583</v>
      </c>
    </row>
    <row r="3276" spans="2:13" ht="15" thickBot="1" x14ac:dyDescent="0.4">
      <c r="B3276" s="410">
        <f t="shared" si="83"/>
        <v>3199</v>
      </c>
      <c r="C3276" s="256" t="s">
        <v>5235</v>
      </c>
      <c r="D3276" s="328" t="s">
        <v>5374</v>
      </c>
      <c r="E3276" s="2">
        <v>21</v>
      </c>
      <c r="F3276" s="340">
        <v>45869</v>
      </c>
      <c r="H3276" s="266" t="s">
        <v>4828</v>
      </c>
      <c r="J3276" s="264">
        <v>557</v>
      </c>
    </row>
    <row r="3277" spans="2:13" ht="15" thickBot="1" x14ac:dyDescent="0.4">
      <c r="B3277" s="410">
        <f>B3276+1</f>
        <v>3200</v>
      </c>
      <c r="C3277" s="256" t="s">
        <v>5236</v>
      </c>
      <c r="D3277" s="328" t="s">
        <v>5375</v>
      </c>
      <c r="E3277" s="2">
        <v>21</v>
      </c>
      <c r="F3277" s="340">
        <v>45869</v>
      </c>
      <c r="H3277" s="329">
        <v>2.81</v>
      </c>
      <c r="J3277" s="264">
        <v>553</v>
      </c>
    </row>
    <row r="3279" spans="2:13" x14ac:dyDescent="0.35">
      <c r="C3279" s="414" t="s">
        <v>5455</v>
      </c>
    </row>
    <row r="3280" spans="2:13" x14ac:dyDescent="0.35">
      <c r="B3280" s="410">
        <f>B3277+1</f>
        <v>3201</v>
      </c>
      <c r="C3280" s="281" t="s">
        <v>5403</v>
      </c>
      <c r="D3280" s="355" t="s">
        <v>5404</v>
      </c>
      <c r="E3280" s="355">
        <v>20</v>
      </c>
      <c r="F3280" s="413">
        <v>45898</v>
      </c>
      <c r="G3280" s="355"/>
      <c r="H3280" s="355">
        <v>2.88</v>
      </c>
      <c r="I3280" s="281"/>
      <c r="J3280" s="355">
        <v>570</v>
      </c>
      <c r="L3280" s="313">
        <v>2020</v>
      </c>
      <c r="M3280" s="21">
        <f>COUNTIF(E3278:E3361,"20")</f>
        <v>1</v>
      </c>
    </row>
    <row r="3281" spans="2:13" x14ac:dyDescent="0.35">
      <c r="B3281" s="410">
        <f>B3280+1</f>
        <v>3202</v>
      </c>
      <c r="C3281" s="281" t="s">
        <v>5405</v>
      </c>
      <c r="D3281" s="355" t="s">
        <v>5406</v>
      </c>
      <c r="E3281" s="2">
        <v>21</v>
      </c>
      <c r="F3281" s="413">
        <v>45898</v>
      </c>
      <c r="G3281" s="355"/>
      <c r="H3281" s="355">
        <v>3.61</v>
      </c>
      <c r="I3281" s="281"/>
      <c r="J3281" s="355" t="s">
        <v>4380</v>
      </c>
      <c r="L3281" s="313">
        <v>2021</v>
      </c>
      <c r="M3281" s="21">
        <f>COUNTIF(E3280:E3300,"21")</f>
        <v>20</v>
      </c>
    </row>
    <row r="3282" spans="2:13" x14ac:dyDescent="0.35">
      <c r="B3282" s="410">
        <f t="shared" ref="B3282:B3300" si="84">B3281+1</f>
        <v>3203</v>
      </c>
      <c r="C3282" s="281" t="s">
        <v>5407</v>
      </c>
      <c r="D3282" s="355" t="s">
        <v>5408</v>
      </c>
      <c r="E3282" s="2">
        <v>21</v>
      </c>
      <c r="F3282" s="413">
        <v>45898</v>
      </c>
      <c r="G3282" s="355"/>
      <c r="H3282" s="355">
        <v>3.14</v>
      </c>
      <c r="I3282" s="281"/>
      <c r="J3282" s="355">
        <v>623</v>
      </c>
    </row>
    <row r="3283" spans="2:13" x14ac:dyDescent="0.35">
      <c r="B3283" s="410">
        <f t="shared" si="84"/>
        <v>3204</v>
      </c>
      <c r="C3283" s="281" t="s">
        <v>5409</v>
      </c>
      <c r="D3283" s="355" t="s">
        <v>5410</v>
      </c>
      <c r="E3283" s="2">
        <v>21</v>
      </c>
      <c r="F3283" s="413">
        <v>45898</v>
      </c>
      <c r="G3283" s="355"/>
      <c r="H3283" s="355">
        <v>3.32</v>
      </c>
      <c r="I3283" s="281"/>
      <c r="J3283" s="355">
        <v>537</v>
      </c>
    </row>
    <row r="3284" spans="2:13" x14ac:dyDescent="0.35">
      <c r="B3284" s="410">
        <f t="shared" si="84"/>
        <v>3205</v>
      </c>
      <c r="C3284" s="281" t="s">
        <v>5411</v>
      </c>
      <c r="D3284" s="355" t="s">
        <v>5412</v>
      </c>
      <c r="E3284" s="2">
        <v>21</v>
      </c>
      <c r="F3284" s="413">
        <v>45898</v>
      </c>
      <c r="G3284" s="355"/>
      <c r="H3284" s="355">
        <v>3.37</v>
      </c>
      <c r="I3284" s="281"/>
      <c r="J3284" s="355">
        <v>490</v>
      </c>
    </row>
    <row r="3285" spans="2:13" x14ac:dyDescent="0.35">
      <c r="B3285" s="410">
        <f t="shared" si="84"/>
        <v>3206</v>
      </c>
      <c r="C3285" s="281" t="s">
        <v>5413</v>
      </c>
      <c r="D3285" s="355" t="s">
        <v>5414</v>
      </c>
      <c r="E3285" s="2">
        <v>21</v>
      </c>
      <c r="F3285" s="413">
        <v>45929</v>
      </c>
      <c r="G3285" s="355"/>
      <c r="H3285" s="355">
        <v>3.27</v>
      </c>
      <c r="I3285" s="281"/>
      <c r="J3285" s="355" t="s">
        <v>5415</v>
      </c>
    </row>
    <row r="3286" spans="2:13" x14ac:dyDescent="0.35">
      <c r="B3286" s="410">
        <f t="shared" si="84"/>
        <v>3207</v>
      </c>
      <c r="C3286" s="281" t="s">
        <v>5416</v>
      </c>
      <c r="D3286" s="355" t="s">
        <v>5417</v>
      </c>
      <c r="E3286" s="2">
        <v>21</v>
      </c>
      <c r="F3286" s="413">
        <v>45929</v>
      </c>
      <c r="G3286" s="355"/>
      <c r="H3286" s="355">
        <v>3.44</v>
      </c>
      <c r="I3286" s="281"/>
      <c r="J3286" s="355" t="s">
        <v>5418</v>
      </c>
    </row>
    <row r="3287" spans="2:13" x14ac:dyDescent="0.35">
      <c r="B3287" s="410">
        <f t="shared" si="84"/>
        <v>3208</v>
      </c>
      <c r="C3287" s="281" t="s">
        <v>5419</v>
      </c>
      <c r="D3287" s="355" t="s">
        <v>5420</v>
      </c>
      <c r="E3287" s="2">
        <v>21</v>
      </c>
      <c r="F3287" s="413">
        <v>45929</v>
      </c>
      <c r="G3287" s="355"/>
      <c r="H3287" s="355">
        <v>3.36</v>
      </c>
      <c r="I3287" s="281"/>
      <c r="J3287" s="355" t="s">
        <v>5421</v>
      </c>
    </row>
    <row r="3288" spans="2:13" x14ac:dyDescent="0.35">
      <c r="B3288" s="410">
        <f t="shared" si="84"/>
        <v>3209</v>
      </c>
      <c r="C3288" s="281" t="s">
        <v>5422</v>
      </c>
      <c r="D3288" s="355" t="s">
        <v>5423</v>
      </c>
      <c r="E3288" s="2">
        <v>21</v>
      </c>
      <c r="F3288" s="413">
        <v>45929</v>
      </c>
      <c r="G3288" s="355"/>
      <c r="H3288" s="355">
        <v>3.14</v>
      </c>
      <c r="I3288" s="281"/>
      <c r="J3288" s="355">
        <v>603</v>
      </c>
    </row>
    <row r="3289" spans="2:13" x14ac:dyDescent="0.35">
      <c r="B3289" s="410">
        <f t="shared" si="84"/>
        <v>3210</v>
      </c>
      <c r="C3289" s="281" t="s">
        <v>5424</v>
      </c>
      <c r="D3289" s="355" t="s">
        <v>5425</v>
      </c>
      <c r="E3289" s="2">
        <v>21</v>
      </c>
      <c r="F3289" s="413">
        <v>45929</v>
      </c>
      <c r="G3289" s="355"/>
      <c r="H3289" s="355">
        <v>3.26</v>
      </c>
      <c r="I3289" s="281"/>
      <c r="J3289" s="355" t="s">
        <v>5426</v>
      </c>
    </row>
    <row r="3290" spans="2:13" x14ac:dyDescent="0.35">
      <c r="B3290" s="410">
        <f t="shared" si="84"/>
        <v>3211</v>
      </c>
      <c r="C3290" s="281" t="s">
        <v>5427</v>
      </c>
      <c r="D3290" s="355" t="s">
        <v>5428</v>
      </c>
      <c r="E3290" s="2">
        <v>21</v>
      </c>
      <c r="F3290" s="413">
        <v>45929</v>
      </c>
      <c r="G3290" s="355"/>
      <c r="H3290" s="355">
        <v>3.21</v>
      </c>
      <c r="I3290" s="281"/>
      <c r="J3290" s="355" t="s">
        <v>5429</v>
      </c>
    </row>
    <row r="3291" spans="2:13" x14ac:dyDescent="0.35">
      <c r="B3291" s="410">
        <f t="shared" si="84"/>
        <v>3212</v>
      </c>
      <c r="C3291" s="281" t="s">
        <v>5430</v>
      </c>
      <c r="D3291" s="355" t="s">
        <v>5431</v>
      </c>
      <c r="E3291" s="2">
        <v>21</v>
      </c>
      <c r="F3291" s="413">
        <v>45951</v>
      </c>
      <c r="G3291" s="355"/>
      <c r="H3291" s="355">
        <v>3.42</v>
      </c>
      <c r="I3291" s="281"/>
      <c r="J3291" s="355" t="s">
        <v>5421</v>
      </c>
    </row>
    <row r="3292" spans="2:13" x14ac:dyDescent="0.35">
      <c r="B3292" s="410">
        <f t="shared" si="84"/>
        <v>3213</v>
      </c>
      <c r="C3292" s="281" t="s">
        <v>5432</v>
      </c>
      <c r="D3292" s="355" t="s">
        <v>5433</v>
      </c>
      <c r="E3292" s="2">
        <v>21</v>
      </c>
      <c r="F3292" s="413">
        <v>45951</v>
      </c>
      <c r="G3292" s="355"/>
      <c r="H3292" s="355">
        <v>3.34</v>
      </c>
      <c r="I3292" s="281"/>
      <c r="J3292" s="355" t="s">
        <v>5434</v>
      </c>
    </row>
    <row r="3293" spans="2:13" x14ac:dyDescent="0.35">
      <c r="B3293" s="410">
        <f t="shared" si="84"/>
        <v>3214</v>
      </c>
      <c r="C3293" s="281" t="s">
        <v>5435</v>
      </c>
      <c r="D3293" s="355" t="s">
        <v>5436</v>
      </c>
      <c r="E3293" s="2">
        <v>21</v>
      </c>
      <c r="F3293" s="413">
        <v>45951</v>
      </c>
      <c r="G3293" s="355"/>
      <c r="H3293" s="355">
        <v>3.54</v>
      </c>
      <c r="I3293" s="281"/>
      <c r="J3293" s="355">
        <v>507</v>
      </c>
    </row>
    <row r="3294" spans="2:13" x14ac:dyDescent="0.35">
      <c r="B3294" s="410">
        <f t="shared" si="84"/>
        <v>3215</v>
      </c>
      <c r="C3294" s="281" t="s">
        <v>5437</v>
      </c>
      <c r="D3294" s="355" t="s">
        <v>5438</v>
      </c>
      <c r="E3294" s="2">
        <v>21</v>
      </c>
      <c r="F3294" s="413">
        <v>45951</v>
      </c>
      <c r="G3294" s="355"/>
      <c r="H3294" s="355">
        <v>3.55</v>
      </c>
      <c r="I3294" s="281"/>
      <c r="J3294" s="355" t="s">
        <v>5439</v>
      </c>
    </row>
    <row r="3295" spans="2:13" x14ac:dyDescent="0.35">
      <c r="B3295" s="410">
        <f t="shared" si="84"/>
        <v>3216</v>
      </c>
      <c r="C3295" s="281" t="s">
        <v>5440</v>
      </c>
      <c r="D3295" s="355" t="s">
        <v>5441</v>
      </c>
      <c r="E3295" s="2">
        <v>21</v>
      </c>
      <c r="F3295" s="413">
        <v>45951</v>
      </c>
      <c r="G3295" s="355"/>
      <c r="H3295" s="355">
        <v>3.45</v>
      </c>
      <c r="I3295" s="281"/>
      <c r="J3295" s="355" t="s">
        <v>5442</v>
      </c>
    </row>
    <row r="3296" spans="2:13" x14ac:dyDescent="0.35">
      <c r="B3296" s="410">
        <f t="shared" si="84"/>
        <v>3217</v>
      </c>
      <c r="C3296" s="281" t="s">
        <v>5443</v>
      </c>
      <c r="D3296" s="355" t="s">
        <v>5444</v>
      </c>
      <c r="E3296" s="2">
        <v>21</v>
      </c>
      <c r="F3296" s="413">
        <v>45951</v>
      </c>
      <c r="G3296" s="355"/>
      <c r="H3296" s="355">
        <v>3.11</v>
      </c>
      <c r="I3296" s="281"/>
      <c r="J3296" s="355" t="s">
        <v>5393</v>
      </c>
    </row>
    <row r="3297" spans="2:10" x14ac:dyDescent="0.35">
      <c r="B3297" s="410">
        <f t="shared" si="84"/>
        <v>3218</v>
      </c>
      <c r="C3297" s="281" t="s">
        <v>5445</v>
      </c>
      <c r="D3297" s="355" t="s">
        <v>5446</v>
      </c>
      <c r="E3297" s="2">
        <v>21</v>
      </c>
      <c r="F3297" s="413">
        <v>45951</v>
      </c>
      <c r="G3297" s="355"/>
      <c r="H3297" s="355">
        <v>2.92</v>
      </c>
      <c r="I3297" s="281"/>
      <c r="J3297" s="355">
        <v>553</v>
      </c>
    </row>
    <row r="3298" spans="2:10" x14ac:dyDescent="0.35">
      <c r="B3298" s="410">
        <f t="shared" si="84"/>
        <v>3219</v>
      </c>
      <c r="C3298" s="281" t="s">
        <v>5447</v>
      </c>
      <c r="D3298" s="355" t="s">
        <v>5448</v>
      </c>
      <c r="E3298" s="2">
        <v>21</v>
      </c>
      <c r="F3298" s="413">
        <v>45951</v>
      </c>
      <c r="G3298" s="355"/>
      <c r="H3298" s="355">
        <v>3.2</v>
      </c>
      <c r="I3298" s="281"/>
      <c r="J3298" s="355">
        <v>517</v>
      </c>
    </row>
    <row r="3299" spans="2:10" x14ac:dyDescent="0.35">
      <c r="B3299" s="410">
        <f t="shared" si="84"/>
        <v>3220</v>
      </c>
      <c r="C3299" s="281" t="s">
        <v>5449</v>
      </c>
      <c r="D3299" s="355" t="s">
        <v>5450</v>
      </c>
      <c r="E3299" s="2">
        <v>21</v>
      </c>
      <c r="F3299" s="413">
        <v>45951</v>
      </c>
      <c r="G3299" s="355"/>
      <c r="H3299" s="355">
        <v>3.41</v>
      </c>
      <c r="I3299" s="281"/>
      <c r="J3299" s="355" t="s">
        <v>5451</v>
      </c>
    </row>
    <row r="3300" spans="2:10" x14ac:dyDescent="0.35">
      <c r="B3300" s="410">
        <f t="shared" si="84"/>
        <v>3221</v>
      </c>
      <c r="C3300" s="281" t="s">
        <v>5452</v>
      </c>
      <c r="D3300" s="355" t="s">
        <v>5453</v>
      </c>
      <c r="E3300" s="2">
        <v>21</v>
      </c>
      <c r="F3300" s="413">
        <v>45951</v>
      </c>
      <c r="G3300" s="355"/>
      <c r="H3300" s="355">
        <v>3.05</v>
      </c>
      <c r="I3300" s="281"/>
      <c r="J3300" s="355" t="s">
        <v>5454</v>
      </c>
    </row>
  </sheetData>
  <mergeCells count="1">
    <mergeCell ref="A2860:A2875"/>
  </mergeCells>
  <phoneticPr fontId="28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3225D0-1DBF-4B8B-8327-F878F46CC963}">
  <dimension ref="A2:T401"/>
  <sheetViews>
    <sheetView topLeftCell="A180" workbookViewId="0">
      <selection activeCell="T335" sqref="T335"/>
    </sheetView>
  </sheetViews>
  <sheetFormatPr defaultRowHeight="14.5" x14ac:dyDescent="0.35"/>
  <cols>
    <col min="3" max="3" width="29.81640625" customWidth="1"/>
    <col min="4" max="4" width="17.90625" bestFit="1" customWidth="1"/>
    <col min="6" max="6" width="17.7265625" bestFit="1" customWidth="1"/>
    <col min="9" max="9" width="20.453125" bestFit="1" customWidth="1"/>
    <col min="20" max="20" width="9.08984375" customWidth="1"/>
  </cols>
  <sheetData>
    <row r="2" spans="1:10" ht="15" thickBot="1" x14ac:dyDescent="0.4"/>
    <row r="3" spans="1:10" ht="15" customHeight="1" thickBot="1" x14ac:dyDescent="0.4">
      <c r="A3" s="350"/>
      <c r="B3" s="99">
        <v>2822</v>
      </c>
      <c r="C3" s="254" t="s">
        <v>4239</v>
      </c>
      <c r="D3" s="254" t="s">
        <v>4240</v>
      </c>
      <c r="E3" s="2" t="str">
        <f t="shared" ref="E3:E14" si="0">LEFT(D3,2)</f>
        <v>15</v>
      </c>
      <c r="F3" s="276" t="s">
        <v>4867</v>
      </c>
      <c r="G3" s="258" t="s">
        <v>4733</v>
      </c>
      <c r="H3" s="257">
        <v>3.12</v>
      </c>
      <c r="I3" s="131" t="s">
        <v>4733</v>
      </c>
      <c r="J3" s="344">
        <v>537</v>
      </c>
    </row>
    <row r="4" spans="1:10" ht="15" customHeight="1" thickBot="1" x14ac:dyDescent="0.4">
      <c r="B4" s="99">
        <f>B3+1</f>
        <v>2823</v>
      </c>
      <c r="C4" s="258" t="s">
        <v>4353</v>
      </c>
      <c r="D4" s="258" t="s">
        <v>4354</v>
      </c>
      <c r="E4" s="2" t="str">
        <f t="shared" si="0"/>
        <v>15</v>
      </c>
      <c r="F4" s="255" t="s">
        <v>4936</v>
      </c>
      <c r="G4" s="256" t="s">
        <v>4937</v>
      </c>
      <c r="H4" s="268">
        <v>2.62</v>
      </c>
      <c r="I4" s="99" t="s">
        <v>4937</v>
      </c>
      <c r="J4" s="344">
        <v>560</v>
      </c>
    </row>
    <row r="5" spans="1:10" ht="15" customHeight="1" thickBot="1" x14ac:dyDescent="0.4">
      <c r="B5" s="99">
        <f>B4+1</f>
        <v>2824</v>
      </c>
      <c r="C5" s="333" t="s">
        <v>4357</v>
      </c>
      <c r="D5" s="333" t="s">
        <v>4358</v>
      </c>
      <c r="E5" s="2" t="str">
        <f t="shared" si="0"/>
        <v>15</v>
      </c>
      <c r="F5" s="255" t="s">
        <v>4936</v>
      </c>
      <c r="G5" s="256" t="s">
        <v>4939</v>
      </c>
      <c r="H5" s="266" t="s">
        <v>4940</v>
      </c>
      <c r="I5" s="99" t="s">
        <v>4939</v>
      </c>
      <c r="J5" s="344">
        <v>523</v>
      </c>
    </row>
    <row r="6" spans="1:10" ht="15" customHeight="1" thickBot="1" x14ac:dyDescent="0.4">
      <c r="B6" s="99">
        <v>2819</v>
      </c>
      <c r="C6" s="256" t="s">
        <v>4229</v>
      </c>
      <c r="D6" s="256" t="s">
        <v>4230</v>
      </c>
      <c r="E6" s="2" t="str">
        <f t="shared" si="0"/>
        <v>16</v>
      </c>
      <c r="F6" s="255" t="s">
        <v>4864</v>
      </c>
      <c r="G6" s="256" t="s">
        <v>4865</v>
      </c>
      <c r="H6" s="266">
        <v>3.18</v>
      </c>
      <c r="I6" s="131" t="s">
        <v>4865</v>
      </c>
      <c r="J6" s="281" t="s">
        <v>5384</v>
      </c>
    </row>
    <row r="7" spans="1:10" ht="15" customHeight="1" thickBot="1" x14ac:dyDescent="0.4">
      <c r="B7" s="99">
        <v>2821</v>
      </c>
      <c r="C7" s="254" t="s">
        <v>4237</v>
      </c>
      <c r="D7" s="254" t="s">
        <v>4238</v>
      </c>
      <c r="E7" s="2" t="str">
        <f t="shared" si="0"/>
        <v>16</v>
      </c>
      <c r="F7" s="255" t="s">
        <v>4864</v>
      </c>
      <c r="G7" s="256" t="s">
        <v>4866</v>
      </c>
      <c r="H7" s="268">
        <v>3.33</v>
      </c>
      <c r="I7" s="131" t="s">
        <v>4866</v>
      </c>
      <c r="J7" s="368">
        <v>597</v>
      </c>
    </row>
    <row r="8" spans="1:10" ht="15" customHeight="1" thickBot="1" x14ac:dyDescent="0.4">
      <c r="B8" s="99">
        <f t="shared" ref="B8:B14" si="1">B7+1</f>
        <v>2822</v>
      </c>
      <c r="C8" s="256" t="s">
        <v>4905</v>
      </c>
      <c r="D8" s="256" t="s">
        <v>4906</v>
      </c>
      <c r="E8" s="2" t="str">
        <f t="shared" si="0"/>
        <v>16</v>
      </c>
      <c r="F8" s="256" t="s">
        <v>4907</v>
      </c>
      <c r="G8" s="256" t="s">
        <v>4908</v>
      </c>
      <c r="H8" s="257">
        <v>2.5499999999999998</v>
      </c>
      <c r="I8" s="99" t="s">
        <v>4908</v>
      </c>
      <c r="J8" s="368">
        <v>470</v>
      </c>
    </row>
    <row r="9" spans="1:10" ht="15" customHeight="1" thickBot="1" x14ac:dyDescent="0.4">
      <c r="B9" s="99">
        <f t="shared" si="1"/>
        <v>2823</v>
      </c>
      <c r="C9" s="258" t="s">
        <v>4355</v>
      </c>
      <c r="D9" s="258" t="s">
        <v>4356</v>
      </c>
      <c r="E9" s="2" t="str">
        <f t="shared" si="0"/>
        <v>16</v>
      </c>
      <c r="F9" s="255" t="s">
        <v>4936</v>
      </c>
      <c r="G9" s="256" t="s">
        <v>4938</v>
      </c>
      <c r="H9" s="268">
        <v>3.26</v>
      </c>
      <c r="I9" s="99" t="s">
        <v>4938</v>
      </c>
      <c r="J9" s="335">
        <v>600</v>
      </c>
    </row>
    <row r="10" spans="1:10" ht="15" customHeight="1" thickBot="1" x14ac:dyDescent="0.4">
      <c r="A10" s="2"/>
      <c r="B10" s="99">
        <f t="shared" si="1"/>
        <v>2824</v>
      </c>
      <c r="C10" s="258" t="s">
        <v>4371</v>
      </c>
      <c r="D10" s="258" t="s">
        <v>4372</v>
      </c>
      <c r="E10" s="2" t="str">
        <f t="shared" si="0"/>
        <v>16</v>
      </c>
      <c r="F10" s="255" t="s">
        <v>4942</v>
      </c>
      <c r="G10" s="256" t="s">
        <v>4943</v>
      </c>
      <c r="H10" s="268" t="s">
        <v>4944</v>
      </c>
      <c r="I10" s="99" t="s">
        <v>4943</v>
      </c>
      <c r="J10" s="335">
        <v>600</v>
      </c>
    </row>
    <row r="11" spans="1:10" ht="15" customHeight="1" thickBot="1" x14ac:dyDescent="0.4">
      <c r="A11" s="2"/>
      <c r="B11" s="99">
        <f t="shared" si="1"/>
        <v>2825</v>
      </c>
      <c r="C11" s="256" t="s">
        <v>4412</v>
      </c>
      <c r="D11" s="256" t="s">
        <v>4413</v>
      </c>
      <c r="E11" s="2" t="str">
        <f t="shared" si="0"/>
        <v>16</v>
      </c>
      <c r="F11" s="279" t="s">
        <v>4947</v>
      </c>
      <c r="G11" s="256" t="s">
        <v>4733</v>
      </c>
      <c r="H11" s="257">
        <v>2.56</v>
      </c>
      <c r="I11" s="99" t="s">
        <v>4733</v>
      </c>
      <c r="J11" s="335">
        <v>503</v>
      </c>
    </row>
    <row r="12" spans="1:10" ht="15" customHeight="1" thickBot="1" x14ac:dyDescent="0.4">
      <c r="A12" s="2"/>
      <c r="B12" s="99">
        <f t="shared" si="1"/>
        <v>2826</v>
      </c>
      <c r="C12" s="256" t="s">
        <v>4414</v>
      </c>
      <c r="D12" s="256" t="s">
        <v>4415</v>
      </c>
      <c r="E12" s="2" t="str">
        <f t="shared" si="0"/>
        <v>16</v>
      </c>
      <c r="F12" s="279" t="s">
        <v>4947</v>
      </c>
      <c r="G12" s="256" t="s">
        <v>4948</v>
      </c>
      <c r="H12" s="257">
        <v>2.79</v>
      </c>
      <c r="I12" s="99" t="s">
        <v>4948</v>
      </c>
      <c r="J12" s="335">
        <v>567</v>
      </c>
    </row>
    <row r="13" spans="1:10" ht="15" customHeight="1" thickBot="1" x14ac:dyDescent="0.4">
      <c r="A13" s="2"/>
      <c r="B13" s="99">
        <f t="shared" si="1"/>
        <v>2827</v>
      </c>
      <c r="C13" s="254" t="s">
        <v>4416</v>
      </c>
      <c r="D13" s="254" t="s">
        <v>4417</v>
      </c>
      <c r="E13" s="2" t="str">
        <f t="shared" si="0"/>
        <v>16</v>
      </c>
      <c r="F13" s="279" t="s">
        <v>4947</v>
      </c>
      <c r="G13" s="256" t="s">
        <v>4949</v>
      </c>
      <c r="H13" s="257">
        <v>2.37</v>
      </c>
      <c r="I13" s="99" t="s">
        <v>4949</v>
      </c>
      <c r="J13" s="344">
        <v>610</v>
      </c>
    </row>
    <row r="14" spans="1:10" ht="15" customHeight="1" thickBot="1" x14ac:dyDescent="0.4">
      <c r="A14" s="2"/>
      <c r="B14" s="99">
        <f t="shared" si="1"/>
        <v>2828</v>
      </c>
      <c r="C14" s="256" t="s">
        <v>4461</v>
      </c>
      <c r="D14" s="256" t="s">
        <v>4462</v>
      </c>
      <c r="E14" s="2" t="str">
        <f t="shared" si="0"/>
        <v>16</v>
      </c>
      <c r="F14" s="256" t="s">
        <v>4955</v>
      </c>
      <c r="G14" s="256" t="s">
        <v>4956</v>
      </c>
      <c r="H14" s="266">
        <v>3.07</v>
      </c>
      <c r="I14" s="99" t="s">
        <v>4956</v>
      </c>
      <c r="J14" s="344">
        <v>517</v>
      </c>
    </row>
    <row r="15" spans="1:10" ht="15" customHeight="1" thickBot="1" x14ac:dyDescent="0.4">
      <c r="B15" s="301"/>
      <c r="C15" s="353" t="s">
        <v>5070</v>
      </c>
      <c r="D15" s="354" t="s">
        <v>5071</v>
      </c>
      <c r="E15" s="356">
        <v>17</v>
      </c>
      <c r="F15" s="357">
        <v>45407</v>
      </c>
      <c r="G15" s="333"/>
      <c r="H15" s="343">
        <v>2.5499999999999998</v>
      </c>
      <c r="I15" s="301"/>
      <c r="J15" s="344">
        <v>480</v>
      </c>
    </row>
    <row r="16" spans="1:10" ht="15" customHeight="1" thickBot="1" x14ac:dyDescent="0.4">
      <c r="B16" s="301"/>
      <c r="C16" s="353" t="s">
        <v>5080</v>
      </c>
      <c r="D16" s="354" t="s">
        <v>5081</v>
      </c>
      <c r="E16" s="356">
        <v>17</v>
      </c>
      <c r="F16" s="357">
        <v>45504</v>
      </c>
      <c r="G16" s="333"/>
      <c r="H16" s="343">
        <v>2.6</v>
      </c>
      <c r="I16" s="301"/>
      <c r="J16" s="344">
        <v>523</v>
      </c>
    </row>
    <row r="17" spans="1:15" ht="15" customHeight="1" thickBot="1" x14ac:dyDescent="0.4">
      <c r="B17" s="301"/>
      <c r="C17" s="353" t="s">
        <v>5082</v>
      </c>
      <c r="D17" s="354" t="s">
        <v>5083</v>
      </c>
      <c r="E17" s="356">
        <v>17</v>
      </c>
      <c r="F17" s="357">
        <v>45504</v>
      </c>
      <c r="G17" s="333"/>
      <c r="H17" s="343">
        <v>2.39</v>
      </c>
      <c r="I17" s="301"/>
      <c r="J17" s="368">
        <v>573</v>
      </c>
    </row>
    <row r="18" spans="1:15" ht="15" customHeight="1" thickBot="1" x14ac:dyDescent="0.4">
      <c r="A18" s="351"/>
      <c r="B18" s="99" t="e">
        <f>(#REF!+1)</f>
        <v>#REF!</v>
      </c>
      <c r="C18" s="258" t="s">
        <v>4216</v>
      </c>
      <c r="D18" s="258" t="s">
        <v>4217</v>
      </c>
      <c r="E18" s="2" t="str">
        <f t="shared" ref="E18:E31" si="2">LEFT(D18,2)</f>
        <v>17</v>
      </c>
      <c r="F18" s="255" t="s">
        <v>4859</v>
      </c>
      <c r="G18" s="256" t="s">
        <v>4860</v>
      </c>
      <c r="H18" s="268">
        <v>3.54</v>
      </c>
      <c r="I18" s="131" t="s">
        <v>4860</v>
      </c>
      <c r="J18" s="335">
        <v>513</v>
      </c>
    </row>
    <row r="19" spans="1:15" ht="15" customHeight="1" thickBot="1" x14ac:dyDescent="0.4">
      <c r="B19" s="99" t="e">
        <f>(B18+1)</f>
        <v>#REF!</v>
      </c>
      <c r="C19" s="271" t="s">
        <v>4219</v>
      </c>
      <c r="D19" s="258" t="s">
        <v>4220</v>
      </c>
      <c r="E19" s="2" t="str">
        <f t="shared" si="2"/>
        <v>17</v>
      </c>
      <c r="F19" s="255" t="s">
        <v>4859</v>
      </c>
      <c r="G19" s="256" t="s">
        <v>4858</v>
      </c>
      <c r="H19" s="268">
        <v>3.15</v>
      </c>
      <c r="I19" s="131" t="s">
        <v>4858</v>
      </c>
      <c r="J19" s="335">
        <v>570</v>
      </c>
    </row>
    <row r="20" spans="1:15" ht="15" customHeight="1" thickBot="1" x14ac:dyDescent="0.4">
      <c r="B20" s="99">
        <v>2814</v>
      </c>
      <c r="C20" s="258" t="s">
        <v>4221</v>
      </c>
      <c r="D20" s="258" t="s">
        <v>4222</v>
      </c>
      <c r="E20" s="2" t="str">
        <f t="shared" si="2"/>
        <v>17</v>
      </c>
      <c r="F20" s="255" t="s">
        <v>4859</v>
      </c>
      <c r="G20" s="256" t="s">
        <v>4861</v>
      </c>
      <c r="H20" s="268">
        <v>3.14</v>
      </c>
      <c r="I20" s="131" t="s">
        <v>4861</v>
      </c>
      <c r="J20" s="335">
        <v>533</v>
      </c>
    </row>
    <row r="21" spans="1:15" ht="15" customHeight="1" thickBot="1" x14ac:dyDescent="0.4">
      <c r="B21" s="99">
        <v>2815</v>
      </c>
      <c r="C21" s="254" t="s">
        <v>4224</v>
      </c>
      <c r="D21" s="254" t="s">
        <v>4225</v>
      </c>
      <c r="E21" s="2" t="str">
        <f t="shared" si="2"/>
        <v>17</v>
      </c>
      <c r="F21" s="255" t="s">
        <v>4859</v>
      </c>
      <c r="G21" s="256" t="s">
        <v>4681</v>
      </c>
      <c r="H21" s="268">
        <v>3.41</v>
      </c>
      <c r="I21" s="131" t="s">
        <v>4681</v>
      </c>
      <c r="J21" s="318">
        <v>570</v>
      </c>
    </row>
    <row r="22" spans="1:15" ht="15" customHeight="1" thickBot="1" x14ac:dyDescent="0.4">
      <c r="B22" s="99">
        <v>2816</v>
      </c>
      <c r="C22" s="258" t="s">
        <v>4227</v>
      </c>
      <c r="D22" s="258" t="s">
        <v>4228</v>
      </c>
      <c r="E22" s="2" t="str">
        <f t="shared" si="2"/>
        <v>17</v>
      </c>
      <c r="F22" s="255">
        <v>44673</v>
      </c>
      <c r="G22" s="256" t="s">
        <v>4681</v>
      </c>
      <c r="H22" s="257">
        <v>3.52</v>
      </c>
      <c r="I22" s="131" t="s">
        <v>4681</v>
      </c>
      <c r="J22" s="318">
        <v>553</v>
      </c>
    </row>
    <row r="23" spans="1:15" ht="15" customHeight="1" thickBot="1" x14ac:dyDescent="0.4">
      <c r="B23" s="99">
        <v>2818</v>
      </c>
      <c r="C23" s="254" t="s">
        <v>4233</v>
      </c>
      <c r="D23" s="254" t="s">
        <v>4234</v>
      </c>
      <c r="E23" s="2" t="str">
        <f t="shared" si="2"/>
        <v>17</v>
      </c>
      <c r="F23" s="277" t="s">
        <v>4862</v>
      </c>
      <c r="G23" s="254" t="s">
        <v>4851</v>
      </c>
      <c r="H23" s="268" t="s">
        <v>4863</v>
      </c>
      <c r="I23" s="99" t="s">
        <v>4851</v>
      </c>
      <c r="J23" s="318">
        <v>553</v>
      </c>
    </row>
    <row r="24" spans="1:15" ht="15" customHeight="1" thickBot="1" x14ac:dyDescent="0.4">
      <c r="B24" s="99">
        <v>2823</v>
      </c>
      <c r="C24" s="258" t="s">
        <v>4241</v>
      </c>
      <c r="D24" s="258" t="s">
        <v>4242</v>
      </c>
      <c r="E24" s="2" t="str">
        <f t="shared" si="2"/>
        <v>17</v>
      </c>
      <c r="F24" s="276" t="s">
        <v>4867</v>
      </c>
      <c r="G24" s="258" t="s">
        <v>4830</v>
      </c>
      <c r="H24" s="257">
        <v>3.19</v>
      </c>
      <c r="I24" s="131" t="s">
        <v>4830</v>
      </c>
      <c r="J24" s="318">
        <v>637</v>
      </c>
    </row>
    <row r="25" spans="1:15" ht="15" customHeight="1" thickBot="1" x14ac:dyDescent="0.4">
      <c r="B25" s="99">
        <f>B24+1</f>
        <v>2824</v>
      </c>
      <c r="C25" s="258" t="s">
        <v>4284</v>
      </c>
      <c r="D25" s="258" t="s">
        <v>4285</v>
      </c>
      <c r="E25" s="2" t="str">
        <f t="shared" si="2"/>
        <v>17</v>
      </c>
      <c r="F25" s="276" t="s">
        <v>4897</v>
      </c>
      <c r="G25" s="258" t="s">
        <v>4898</v>
      </c>
      <c r="H25" s="257">
        <v>3.27</v>
      </c>
      <c r="I25" s="99" t="s">
        <v>4898</v>
      </c>
      <c r="J25" s="344">
        <v>553</v>
      </c>
    </row>
    <row r="26" spans="1:15" ht="15" customHeight="1" thickBot="1" x14ac:dyDescent="0.4">
      <c r="B26" s="99">
        <f>B23+1</f>
        <v>2819</v>
      </c>
      <c r="C26" s="258" t="s">
        <v>4304</v>
      </c>
      <c r="D26" s="258" t="s">
        <v>4305</v>
      </c>
      <c r="E26" s="2" t="str">
        <f t="shared" si="2"/>
        <v>17</v>
      </c>
      <c r="F26" s="310">
        <v>45199</v>
      </c>
      <c r="G26" s="258" t="s">
        <v>4830</v>
      </c>
      <c r="H26" s="257">
        <v>2.92</v>
      </c>
      <c r="I26" s="99" t="s">
        <v>4830</v>
      </c>
      <c r="J26" s="344">
        <v>580</v>
      </c>
    </row>
    <row r="27" spans="1:15" ht="15" customHeight="1" thickBot="1" x14ac:dyDescent="0.4">
      <c r="B27" s="99">
        <f>B26+1</f>
        <v>2820</v>
      </c>
      <c r="C27" s="258" t="s">
        <v>4330</v>
      </c>
      <c r="D27" s="258" t="s">
        <v>4331</v>
      </c>
      <c r="E27" s="2" t="str">
        <f t="shared" si="2"/>
        <v>17</v>
      </c>
      <c r="F27" s="255" t="s">
        <v>4902</v>
      </c>
      <c r="G27" s="256" t="s">
        <v>4903</v>
      </c>
      <c r="H27" s="268">
        <v>3.45</v>
      </c>
      <c r="I27" s="99" t="s">
        <v>4903</v>
      </c>
      <c r="J27" s="344">
        <v>493</v>
      </c>
    </row>
    <row r="28" spans="1:15" ht="15" customHeight="1" thickBot="1" x14ac:dyDescent="0.4">
      <c r="B28" s="99">
        <f>B27+1</f>
        <v>2821</v>
      </c>
      <c r="C28" s="258" t="s">
        <v>4333</v>
      </c>
      <c r="D28" s="258" t="s">
        <v>4334</v>
      </c>
      <c r="E28" s="2" t="str">
        <f t="shared" si="2"/>
        <v>17</v>
      </c>
      <c r="F28" s="255" t="s">
        <v>4902</v>
      </c>
      <c r="G28" s="256" t="s">
        <v>4904</v>
      </c>
      <c r="H28" s="268">
        <v>3.02</v>
      </c>
      <c r="I28" s="99" t="s">
        <v>4904</v>
      </c>
      <c r="J28" s="344">
        <v>527</v>
      </c>
    </row>
    <row r="29" spans="1:15" ht="15" customHeight="1" thickBot="1" x14ac:dyDescent="0.4">
      <c r="B29" s="99">
        <f>B28+1</f>
        <v>2822</v>
      </c>
      <c r="C29" s="256" t="s">
        <v>4365</v>
      </c>
      <c r="D29" s="256" t="s">
        <v>4366</v>
      </c>
      <c r="E29" s="2" t="str">
        <f t="shared" si="2"/>
        <v>17</v>
      </c>
      <c r="F29" s="255" t="s">
        <v>4942</v>
      </c>
      <c r="G29" s="256" t="s">
        <v>4791</v>
      </c>
      <c r="H29" s="268">
        <v>3.52</v>
      </c>
      <c r="I29" s="99" t="s">
        <v>4791</v>
      </c>
      <c r="J29" s="344">
        <v>540</v>
      </c>
    </row>
    <row r="30" spans="1:15" ht="15" customHeight="1" thickBot="1" x14ac:dyDescent="0.4">
      <c r="A30" s="2"/>
      <c r="B30" s="99">
        <f>B29+1</f>
        <v>2823</v>
      </c>
      <c r="C30" s="256" t="s">
        <v>4505</v>
      </c>
      <c r="D30" s="256" t="s">
        <v>4506</v>
      </c>
      <c r="E30" s="2" t="str">
        <f t="shared" si="2"/>
        <v>17</v>
      </c>
      <c r="F30" s="256" t="s">
        <v>4970</v>
      </c>
      <c r="G30" s="256" t="s">
        <v>4971</v>
      </c>
      <c r="H30" s="266" t="s">
        <v>4624</v>
      </c>
      <c r="I30" s="99" t="s">
        <v>4971</v>
      </c>
      <c r="J30" s="344">
        <v>587</v>
      </c>
    </row>
    <row r="31" spans="1:15" ht="15" customHeight="1" thickBot="1" x14ac:dyDescent="0.4">
      <c r="A31" s="2"/>
      <c r="B31" s="99">
        <f>B30+1</f>
        <v>2824</v>
      </c>
      <c r="C31" s="256" t="s">
        <v>4507</v>
      </c>
      <c r="D31" s="256" t="s">
        <v>4508</v>
      </c>
      <c r="E31" s="2" t="str">
        <f t="shared" si="2"/>
        <v>17</v>
      </c>
      <c r="F31" s="256" t="s">
        <v>4970</v>
      </c>
      <c r="G31" s="256" t="s">
        <v>4908</v>
      </c>
      <c r="H31" s="268" t="s">
        <v>4952</v>
      </c>
      <c r="I31" s="131" t="s">
        <v>4908</v>
      </c>
      <c r="J31" s="344">
        <v>573</v>
      </c>
    </row>
    <row r="32" spans="1:15" ht="15" thickBot="1" x14ac:dyDescent="0.4">
      <c r="B32" s="301"/>
      <c r="C32" s="256" t="s">
        <v>5139</v>
      </c>
      <c r="D32" s="328" t="s">
        <v>5278</v>
      </c>
      <c r="E32" s="397">
        <v>18</v>
      </c>
      <c r="F32" s="340">
        <v>45677</v>
      </c>
      <c r="G32" s="333"/>
      <c r="H32" s="268" t="s">
        <v>5385</v>
      </c>
      <c r="I32" s="301"/>
      <c r="J32" s="335">
        <v>557</v>
      </c>
      <c r="L32">
        <v>2018</v>
      </c>
      <c r="M32">
        <f>COUNTIF(E32:E133,"18")</f>
        <v>102</v>
      </c>
      <c r="O32" s="333"/>
    </row>
    <row r="33" spans="2:20" ht="15" thickBot="1" x14ac:dyDescent="0.4">
      <c r="B33" s="301"/>
      <c r="C33" s="256" t="s">
        <v>5140</v>
      </c>
      <c r="D33" s="328" t="s">
        <v>5279</v>
      </c>
      <c r="E33" s="397">
        <v>18</v>
      </c>
      <c r="F33" s="340">
        <v>45677</v>
      </c>
      <c r="G33" s="333"/>
      <c r="H33" s="268" t="s">
        <v>5386</v>
      </c>
      <c r="I33" s="301"/>
      <c r="J33" s="335">
        <v>583</v>
      </c>
      <c r="L33" t="s">
        <v>5398</v>
      </c>
      <c r="O33" s="333"/>
    </row>
    <row r="34" spans="2:20" ht="15" thickBot="1" x14ac:dyDescent="0.4">
      <c r="B34" s="301"/>
      <c r="C34" s="256" t="s">
        <v>5141</v>
      </c>
      <c r="D34" s="328" t="s">
        <v>5280</v>
      </c>
      <c r="E34" s="397">
        <v>18</v>
      </c>
      <c r="F34" s="340">
        <v>45677</v>
      </c>
      <c r="G34" s="333"/>
      <c r="H34" s="2">
        <v>2.65</v>
      </c>
      <c r="I34" s="301"/>
      <c r="J34" s="335">
        <v>533</v>
      </c>
      <c r="O34" s="333"/>
    </row>
    <row r="35" spans="2:20" ht="15" thickBot="1" x14ac:dyDescent="0.4">
      <c r="B35" s="301"/>
      <c r="C35" s="327" t="s">
        <v>5216</v>
      </c>
      <c r="D35" s="328" t="s">
        <v>5355</v>
      </c>
      <c r="E35" s="397">
        <v>18</v>
      </c>
      <c r="F35" s="340">
        <v>45869</v>
      </c>
      <c r="G35" s="333"/>
      <c r="H35" s="334">
        <v>3.22</v>
      </c>
      <c r="I35" s="301"/>
      <c r="J35" s="335">
        <v>540</v>
      </c>
      <c r="O35" s="333"/>
    </row>
    <row r="36" spans="2:20" ht="15" thickBot="1" x14ac:dyDescent="0.4">
      <c r="B36" s="301"/>
      <c r="C36" s="327" t="s">
        <v>5217</v>
      </c>
      <c r="D36" s="328" t="s">
        <v>5356</v>
      </c>
      <c r="E36" s="397">
        <v>18</v>
      </c>
      <c r="F36" s="340">
        <v>45869</v>
      </c>
      <c r="G36" s="333"/>
      <c r="H36" s="334">
        <v>2.79</v>
      </c>
      <c r="I36" s="301"/>
      <c r="J36" s="335">
        <v>577</v>
      </c>
      <c r="O36" s="333"/>
    </row>
    <row r="37" spans="2:20" ht="15" thickBot="1" x14ac:dyDescent="0.4">
      <c r="B37" s="301"/>
      <c r="C37" s="256" t="s">
        <v>5218</v>
      </c>
      <c r="D37" s="328" t="s">
        <v>5357</v>
      </c>
      <c r="E37" s="397">
        <v>18</v>
      </c>
      <c r="F37" s="340">
        <v>45869</v>
      </c>
      <c r="G37" s="333"/>
      <c r="H37" s="334">
        <v>3.25</v>
      </c>
      <c r="I37" s="301"/>
      <c r="J37" s="335">
        <v>630</v>
      </c>
      <c r="O37" s="333"/>
      <c r="T37" t="s">
        <v>580</v>
      </c>
    </row>
    <row r="38" spans="2:20" ht="15" thickBot="1" x14ac:dyDescent="0.4">
      <c r="B38" s="301"/>
      <c r="C38" s="256" t="s">
        <v>5219</v>
      </c>
      <c r="D38" s="328" t="s">
        <v>5358</v>
      </c>
      <c r="E38" s="397">
        <v>18</v>
      </c>
      <c r="F38" s="340">
        <v>45869</v>
      </c>
      <c r="G38" s="333"/>
      <c r="H38" s="334" t="s">
        <v>5377</v>
      </c>
      <c r="I38" s="301"/>
      <c r="J38" s="335">
        <v>515</v>
      </c>
      <c r="O38" s="333"/>
    </row>
    <row r="39" spans="2:20" ht="15" thickBot="1" x14ac:dyDescent="0.4">
      <c r="B39" s="99">
        <v>2817</v>
      </c>
      <c r="C39" s="254" t="s">
        <v>4231</v>
      </c>
      <c r="D39" s="254" t="s">
        <v>4232</v>
      </c>
      <c r="E39" s="397" t="str">
        <f t="shared" ref="E39:E70" si="3">LEFT(D39,2)</f>
        <v>18</v>
      </c>
      <c r="F39" s="277" t="s">
        <v>4862</v>
      </c>
      <c r="G39" s="254" t="s">
        <v>4805</v>
      </c>
      <c r="H39" s="257">
        <v>3.61</v>
      </c>
      <c r="I39" s="99" t="s">
        <v>4805</v>
      </c>
      <c r="J39" s="335">
        <v>490</v>
      </c>
      <c r="O39" s="254">
        <v>3</v>
      </c>
      <c r="P39" t="s">
        <v>5046</v>
      </c>
      <c r="Q39">
        <v>10</v>
      </c>
      <c r="R39" t="s">
        <v>5048</v>
      </c>
      <c r="S39" s="398">
        <f>O39+(Q39/12)</f>
        <v>3.8333333333333335</v>
      </c>
      <c r="T39" s="398">
        <f>AVERAGE(S39:S133)</f>
        <v>4.3315789473684214</v>
      </c>
    </row>
    <row r="40" spans="2:20" ht="15" thickBot="1" x14ac:dyDescent="0.4">
      <c r="B40" s="99">
        <v>2820</v>
      </c>
      <c r="C40" s="254" t="s">
        <v>4235</v>
      </c>
      <c r="D40" s="254" t="s">
        <v>4236</v>
      </c>
      <c r="E40" s="397" t="str">
        <f t="shared" si="3"/>
        <v>18</v>
      </c>
      <c r="F40" s="255" t="s">
        <v>4864</v>
      </c>
      <c r="G40" s="256" t="s">
        <v>4805</v>
      </c>
      <c r="H40" s="268">
        <v>3.42</v>
      </c>
      <c r="I40" s="131" t="s">
        <v>4805</v>
      </c>
      <c r="J40" s="335">
        <v>527</v>
      </c>
      <c r="O40" s="256">
        <v>3</v>
      </c>
      <c r="P40" t="s">
        <v>5046</v>
      </c>
      <c r="Q40">
        <v>10</v>
      </c>
      <c r="R40" t="s">
        <v>5048</v>
      </c>
      <c r="S40" s="398">
        <f t="shared" ref="S40:S103" si="4">O40+(Q40/12)</f>
        <v>3.8333333333333335</v>
      </c>
    </row>
    <row r="41" spans="2:20" ht="15" thickBot="1" x14ac:dyDescent="0.4">
      <c r="B41" s="99">
        <v>2824</v>
      </c>
      <c r="C41" s="258" t="s">
        <v>4244</v>
      </c>
      <c r="D41" s="258" t="s">
        <v>4245</v>
      </c>
      <c r="E41" s="397" t="str">
        <f t="shared" si="3"/>
        <v>18</v>
      </c>
      <c r="F41" s="276" t="s">
        <v>4867</v>
      </c>
      <c r="G41" s="258" t="s">
        <v>4688</v>
      </c>
      <c r="H41" s="268" t="s">
        <v>4868</v>
      </c>
      <c r="I41" s="131" t="s">
        <v>4688</v>
      </c>
      <c r="J41" s="335">
        <v>500</v>
      </c>
      <c r="O41" s="258">
        <v>3</v>
      </c>
      <c r="P41" t="s">
        <v>5046</v>
      </c>
      <c r="Q41">
        <v>11</v>
      </c>
      <c r="R41" t="s">
        <v>5048</v>
      </c>
      <c r="S41" s="398">
        <f t="shared" si="4"/>
        <v>3.9166666666666665</v>
      </c>
    </row>
    <row r="42" spans="2:20" ht="15" thickBot="1" x14ac:dyDescent="0.4">
      <c r="B42" s="99">
        <v>2825</v>
      </c>
      <c r="C42" s="258" t="s">
        <v>4248</v>
      </c>
      <c r="D42" s="258" t="s">
        <v>4249</v>
      </c>
      <c r="E42" s="397" t="str">
        <f t="shared" si="3"/>
        <v>18</v>
      </c>
      <c r="F42" s="276" t="s">
        <v>4867</v>
      </c>
      <c r="G42" s="258" t="s">
        <v>4688</v>
      </c>
      <c r="H42" s="257">
        <v>3.61</v>
      </c>
      <c r="I42" s="131" t="s">
        <v>4688</v>
      </c>
      <c r="J42" s="335">
        <v>600</v>
      </c>
      <c r="O42" s="258">
        <v>3</v>
      </c>
      <c r="P42" t="s">
        <v>5046</v>
      </c>
      <c r="Q42">
        <v>11</v>
      </c>
      <c r="R42" t="s">
        <v>5048</v>
      </c>
      <c r="S42" s="398">
        <f t="shared" si="4"/>
        <v>3.9166666666666665</v>
      </c>
    </row>
    <row r="43" spans="2:20" ht="15" thickBot="1" x14ac:dyDescent="0.4">
      <c r="B43" s="99">
        <v>2826</v>
      </c>
      <c r="C43" s="278" t="s">
        <v>4251</v>
      </c>
      <c r="D43" s="258" t="s">
        <v>4252</v>
      </c>
      <c r="E43" s="397" t="str">
        <f t="shared" si="3"/>
        <v>18</v>
      </c>
      <c r="F43" s="276" t="s">
        <v>4867</v>
      </c>
      <c r="G43" s="258" t="s">
        <v>4705</v>
      </c>
      <c r="H43" s="257">
        <v>3.67</v>
      </c>
      <c r="I43" s="131" t="s">
        <v>4705</v>
      </c>
      <c r="J43" s="335">
        <v>620</v>
      </c>
      <c r="O43" s="258">
        <v>4</v>
      </c>
      <c r="P43" t="s">
        <v>5049</v>
      </c>
      <c r="Q43">
        <v>0</v>
      </c>
      <c r="R43" t="s">
        <v>5050</v>
      </c>
      <c r="S43" s="398">
        <f t="shared" si="4"/>
        <v>4</v>
      </c>
    </row>
    <row r="44" spans="2:20" ht="15" thickBot="1" x14ac:dyDescent="0.4">
      <c r="B44" s="99">
        <v>2827</v>
      </c>
      <c r="C44" s="258" t="s">
        <v>4255</v>
      </c>
      <c r="D44" s="258" t="s">
        <v>4256</v>
      </c>
      <c r="E44" s="397" t="str">
        <f t="shared" si="3"/>
        <v>18</v>
      </c>
      <c r="F44" s="276" t="s">
        <v>4867</v>
      </c>
      <c r="G44" s="258" t="s">
        <v>4606</v>
      </c>
      <c r="H44" s="268" t="s">
        <v>4409</v>
      </c>
      <c r="I44" s="131" t="s">
        <v>4606</v>
      </c>
      <c r="J44" s="335">
        <v>507</v>
      </c>
      <c r="O44" s="258">
        <v>4</v>
      </c>
      <c r="P44" t="s">
        <v>5046</v>
      </c>
      <c r="S44" s="398">
        <f t="shared" si="4"/>
        <v>4</v>
      </c>
    </row>
    <row r="45" spans="2:20" ht="15" thickBot="1" x14ac:dyDescent="0.4">
      <c r="B45" s="99">
        <v>2828</v>
      </c>
      <c r="C45" s="258" t="s">
        <v>4258</v>
      </c>
      <c r="D45" s="258" t="s">
        <v>4259</v>
      </c>
      <c r="E45" s="397" t="str">
        <f t="shared" si="3"/>
        <v>18</v>
      </c>
      <c r="F45" s="276" t="s">
        <v>4867</v>
      </c>
      <c r="G45" s="258" t="s">
        <v>4688</v>
      </c>
      <c r="H45" s="257">
        <v>3.57</v>
      </c>
      <c r="I45" s="131" t="s">
        <v>4688</v>
      </c>
      <c r="J45" s="335">
        <v>533</v>
      </c>
      <c r="O45" s="258">
        <v>3</v>
      </c>
      <c r="P45" t="s">
        <v>5046</v>
      </c>
      <c r="Q45">
        <v>11</v>
      </c>
      <c r="R45" t="s">
        <v>5048</v>
      </c>
      <c r="S45" s="398">
        <f t="shared" si="4"/>
        <v>3.9166666666666665</v>
      </c>
    </row>
    <row r="46" spans="2:20" ht="15" thickBot="1" x14ac:dyDescent="0.4">
      <c r="B46" s="99">
        <v>2829</v>
      </c>
      <c r="C46" s="258" t="s">
        <v>4261</v>
      </c>
      <c r="D46" s="258" t="s">
        <v>4262</v>
      </c>
      <c r="E46" s="397" t="str">
        <f t="shared" si="3"/>
        <v>18</v>
      </c>
      <c r="F46" s="276" t="s">
        <v>4867</v>
      </c>
      <c r="G46" s="258" t="s">
        <v>4688</v>
      </c>
      <c r="H46" s="257">
        <v>3.74</v>
      </c>
      <c r="I46" s="131" t="s">
        <v>4688</v>
      </c>
      <c r="J46" s="335">
        <v>497</v>
      </c>
      <c r="O46" s="258">
        <v>3</v>
      </c>
      <c r="P46" t="s">
        <v>5046</v>
      </c>
      <c r="Q46">
        <v>11</v>
      </c>
      <c r="R46" t="s">
        <v>5048</v>
      </c>
      <c r="S46" s="398">
        <f t="shared" si="4"/>
        <v>3.9166666666666665</v>
      </c>
    </row>
    <row r="47" spans="2:20" ht="15" thickBot="1" x14ac:dyDescent="0.4">
      <c r="B47" s="99">
        <v>2830</v>
      </c>
      <c r="C47" s="258" t="s">
        <v>4265</v>
      </c>
      <c r="D47" s="258" t="s">
        <v>4266</v>
      </c>
      <c r="E47" s="397" t="str">
        <f t="shared" si="3"/>
        <v>18</v>
      </c>
      <c r="F47" s="276" t="s">
        <v>4867</v>
      </c>
      <c r="G47" s="258" t="s">
        <v>4805</v>
      </c>
      <c r="H47" s="257">
        <v>3.12</v>
      </c>
      <c r="I47" s="131" t="s">
        <v>4805</v>
      </c>
      <c r="J47" s="335">
        <v>593</v>
      </c>
      <c r="O47" s="258">
        <v>3</v>
      </c>
      <c r="P47" t="s">
        <v>5046</v>
      </c>
      <c r="Q47">
        <v>10</v>
      </c>
      <c r="R47" t="s">
        <v>5048</v>
      </c>
      <c r="S47" s="398">
        <f t="shared" si="4"/>
        <v>3.8333333333333335</v>
      </c>
    </row>
    <row r="48" spans="2:20" ht="15" thickBot="1" x14ac:dyDescent="0.4">
      <c r="B48" s="99">
        <v>2831</v>
      </c>
      <c r="C48" s="254" t="s">
        <v>4869</v>
      </c>
      <c r="D48" s="254" t="s">
        <v>4267</v>
      </c>
      <c r="E48" s="397" t="str">
        <f t="shared" si="3"/>
        <v>18</v>
      </c>
      <c r="F48" s="276" t="s">
        <v>4867</v>
      </c>
      <c r="G48" s="258" t="s">
        <v>4688</v>
      </c>
      <c r="H48" s="257">
        <v>3.53</v>
      </c>
      <c r="I48" s="131" t="s">
        <v>4688</v>
      </c>
      <c r="J48" s="368">
        <v>487</v>
      </c>
      <c r="O48" s="258">
        <v>3</v>
      </c>
      <c r="P48" t="s">
        <v>5046</v>
      </c>
      <c r="Q48">
        <v>11</v>
      </c>
      <c r="R48" t="s">
        <v>5048</v>
      </c>
      <c r="S48" s="398">
        <f t="shared" si="4"/>
        <v>3.9166666666666665</v>
      </c>
    </row>
    <row r="49" spans="2:19" x14ac:dyDescent="0.35">
      <c r="B49" s="99">
        <v>2832</v>
      </c>
      <c r="C49" s="346" t="s">
        <v>4270</v>
      </c>
      <c r="D49" s="271" t="s">
        <v>4271</v>
      </c>
      <c r="E49" s="397" t="str">
        <f t="shared" si="3"/>
        <v>18</v>
      </c>
      <c r="F49" s="347" t="s">
        <v>4867</v>
      </c>
      <c r="G49" s="271" t="s">
        <v>4688</v>
      </c>
      <c r="H49" s="257">
        <v>3.71</v>
      </c>
      <c r="I49" s="131" t="s">
        <v>4688</v>
      </c>
      <c r="J49" s="368">
        <v>503</v>
      </c>
      <c r="O49" s="271">
        <v>3</v>
      </c>
      <c r="P49" t="s">
        <v>5046</v>
      </c>
      <c r="Q49">
        <v>11</v>
      </c>
      <c r="R49" t="s">
        <v>5048</v>
      </c>
      <c r="S49" s="398">
        <f t="shared" si="4"/>
        <v>3.9166666666666665</v>
      </c>
    </row>
    <row r="50" spans="2:19" ht="15" thickBot="1" x14ac:dyDescent="0.4">
      <c r="B50" s="99">
        <v>2833</v>
      </c>
      <c r="C50" s="346" t="s">
        <v>4273</v>
      </c>
      <c r="D50" s="271" t="s">
        <v>4274</v>
      </c>
      <c r="E50" s="397" t="str">
        <f t="shared" si="3"/>
        <v>18</v>
      </c>
      <c r="F50" s="347" t="s">
        <v>4867</v>
      </c>
      <c r="G50" s="271" t="s">
        <v>4688</v>
      </c>
      <c r="H50" s="268" t="s">
        <v>4870</v>
      </c>
      <c r="I50" s="131" t="s">
        <v>4688</v>
      </c>
      <c r="J50" s="368">
        <v>573</v>
      </c>
      <c r="O50" s="271">
        <v>3</v>
      </c>
      <c r="P50" t="s">
        <v>5046</v>
      </c>
      <c r="Q50">
        <v>11</v>
      </c>
      <c r="R50" t="s">
        <v>5048</v>
      </c>
      <c r="S50" s="398">
        <f t="shared" si="4"/>
        <v>3.9166666666666665</v>
      </c>
    </row>
    <row r="51" spans="2:19" ht="15" thickBot="1" x14ac:dyDescent="0.4">
      <c r="B51" s="99">
        <v>2834</v>
      </c>
      <c r="C51" s="258" t="s">
        <v>4276</v>
      </c>
      <c r="D51" s="258" t="s">
        <v>4277</v>
      </c>
      <c r="E51" s="397" t="str">
        <f t="shared" si="3"/>
        <v>18</v>
      </c>
      <c r="F51" s="276" t="s">
        <v>4867</v>
      </c>
      <c r="G51" s="258" t="s">
        <v>4606</v>
      </c>
      <c r="H51" s="257">
        <v>3.14</v>
      </c>
      <c r="I51" s="131" t="s">
        <v>4606</v>
      </c>
      <c r="J51" s="368">
        <v>533</v>
      </c>
      <c r="O51" s="258">
        <v>4</v>
      </c>
      <c r="P51" t="s">
        <v>5046</v>
      </c>
      <c r="S51" s="398">
        <f t="shared" si="4"/>
        <v>4</v>
      </c>
    </row>
    <row r="52" spans="2:19" ht="15" thickBot="1" x14ac:dyDescent="0.4">
      <c r="B52" s="99">
        <v>2835</v>
      </c>
      <c r="C52" s="258" t="s">
        <v>4279</v>
      </c>
      <c r="D52" s="258" t="s">
        <v>4280</v>
      </c>
      <c r="E52" s="397" t="str">
        <f t="shared" si="3"/>
        <v>18</v>
      </c>
      <c r="F52" s="276" t="s">
        <v>4867</v>
      </c>
      <c r="G52" s="258" t="s">
        <v>4688</v>
      </c>
      <c r="H52" s="257">
        <v>3.52</v>
      </c>
      <c r="I52" s="131" t="s">
        <v>4688</v>
      </c>
      <c r="J52" s="368">
        <v>527</v>
      </c>
      <c r="O52" s="258">
        <v>3</v>
      </c>
      <c r="P52" t="s">
        <v>5046</v>
      </c>
      <c r="Q52">
        <v>11</v>
      </c>
      <c r="R52" t="s">
        <v>5048</v>
      </c>
      <c r="S52" s="398">
        <f t="shared" si="4"/>
        <v>3.9166666666666665</v>
      </c>
    </row>
    <row r="53" spans="2:19" ht="15" thickBot="1" x14ac:dyDescent="0.4">
      <c r="B53" s="99">
        <v>2836</v>
      </c>
      <c r="C53" s="258" t="s">
        <v>4281</v>
      </c>
      <c r="D53" s="258" t="s">
        <v>4282</v>
      </c>
      <c r="E53" s="397" t="str">
        <f t="shared" si="3"/>
        <v>18</v>
      </c>
      <c r="F53" s="276" t="s">
        <v>4867</v>
      </c>
      <c r="G53" s="258" t="s">
        <v>4688</v>
      </c>
      <c r="H53" s="257">
        <v>3.57</v>
      </c>
      <c r="I53" s="131" t="s">
        <v>4688</v>
      </c>
      <c r="J53" s="281" t="s">
        <v>5380</v>
      </c>
      <c r="O53" s="258">
        <v>3</v>
      </c>
      <c r="P53" t="s">
        <v>5046</v>
      </c>
      <c r="Q53">
        <v>11</v>
      </c>
      <c r="R53" t="s">
        <v>5048</v>
      </c>
      <c r="S53" s="398">
        <f t="shared" si="4"/>
        <v>3.9166666666666665</v>
      </c>
    </row>
    <row r="54" spans="2:19" ht="15" thickBot="1" x14ac:dyDescent="0.4">
      <c r="B54" s="99">
        <v>2837</v>
      </c>
      <c r="C54" s="258" t="s">
        <v>4871</v>
      </c>
      <c r="D54" s="258" t="s">
        <v>4872</v>
      </c>
      <c r="E54" s="397" t="str">
        <f t="shared" si="3"/>
        <v>18</v>
      </c>
      <c r="F54" s="276" t="s">
        <v>4873</v>
      </c>
      <c r="G54" s="258" t="s">
        <v>4688</v>
      </c>
      <c r="H54" s="268">
        <v>3.55</v>
      </c>
      <c r="I54" s="131" t="s">
        <v>4688</v>
      </c>
      <c r="J54" s="368">
        <v>523</v>
      </c>
      <c r="O54" s="258">
        <v>3</v>
      </c>
      <c r="P54" t="s">
        <v>5046</v>
      </c>
      <c r="Q54">
        <v>11</v>
      </c>
      <c r="R54" t="s">
        <v>5048</v>
      </c>
      <c r="S54" s="398">
        <f t="shared" si="4"/>
        <v>3.9166666666666665</v>
      </c>
    </row>
    <row r="55" spans="2:19" ht="15" thickBot="1" x14ac:dyDescent="0.4">
      <c r="B55" s="99">
        <v>2838</v>
      </c>
      <c r="C55" s="258" t="s">
        <v>4874</v>
      </c>
      <c r="D55" s="258" t="s">
        <v>4875</v>
      </c>
      <c r="E55" s="397" t="str">
        <f t="shared" si="3"/>
        <v>18</v>
      </c>
      <c r="F55" s="276" t="s">
        <v>4873</v>
      </c>
      <c r="G55" s="258" t="s">
        <v>4688</v>
      </c>
      <c r="H55" s="268">
        <v>3.69</v>
      </c>
      <c r="I55" s="131" t="s">
        <v>4688</v>
      </c>
      <c r="J55" s="368">
        <v>563</v>
      </c>
      <c r="O55" s="258">
        <v>3</v>
      </c>
      <c r="P55" t="s">
        <v>5046</v>
      </c>
      <c r="Q55">
        <v>11</v>
      </c>
      <c r="R55" t="s">
        <v>5048</v>
      </c>
      <c r="S55" s="398">
        <f t="shared" si="4"/>
        <v>3.9166666666666665</v>
      </c>
    </row>
    <row r="56" spans="2:19" ht="15" thickBot="1" x14ac:dyDescent="0.4">
      <c r="B56" s="99">
        <v>2838</v>
      </c>
      <c r="C56" s="258" t="s">
        <v>4876</v>
      </c>
      <c r="D56" s="258" t="s">
        <v>4877</v>
      </c>
      <c r="E56" s="397" t="str">
        <f t="shared" si="3"/>
        <v>18</v>
      </c>
      <c r="F56" s="276" t="s">
        <v>4873</v>
      </c>
      <c r="G56" s="256" t="s">
        <v>4688</v>
      </c>
      <c r="H56" s="268">
        <v>3.41</v>
      </c>
      <c r="I56" s="131" t="s">
        <v>4688</v>
      </c>
      <c r="J56" s="335">
        <v>583</v>
      </c>
      <c r="O56" s="256">
        <v>3</v>
      </c>
      <c r="P56" t="s">
        <v>5046</v>
      </c>
      <c r="Q56">
        <v>11</v>
      </c>
      <c r="R56" t="s">
        <v>5048</v>
      </c>
      <c r="S56" s="398">
        <f t="shared" si="4"/>
        <v>3.9166666666666665</v>
      </c>
    </row>
    <row r="57" spans="2:19" ht="15" thickBot="1" x14ac:dyDescent="0.4">
      <c r="B57" s="99">
        <f t="shared" ref="B57:B88" si="5">B56+1</f>
        <v>2839</v>
      </c>
      <c r="C57" s="258" t="s">
        <v>4878</v>
      </c>
      <c r="D57" s="258" t="s">
        <v>4879</v>
      </c>
      <c r="E57" s="397" t="str">
        <f t="shared" si="3"/>
        <v>18</v>
      </c>
      <c r="F57" s="276" t="s">
        <v>4873</v>
      </c>
      <c r="G57" s="256" t="s">
        <v>4688</v>
      </c>
      <c r="H57" s="268">
        <v>3.45</v>
      </c>
      <c r="I57" s="131" t="s">
        <v>4688</v>
      </c>
      <c r="J57" s="335">
        <v>597</v>
      </c>
      <c r="O57" s="256">
        <v>3</v>
      </c>
      <c r="P57" t="s">
        <v>5046</v>
      </c>
      <c r="Q57">
        <v>11</v>
      </c>
      <c r="R57" t="s">
        <v>5048</v>
      </c>
      <c r="S57" s="398">
        <f t="shared" si="4"/>
        <v>3.9166666666666665</v>
      </c>
    </row>
    <row r="58" spans="2:19" ht="15" thickBot="1" x14ac:dyDescent="0.4">
      <c r="B58" s="99">
        <f t="shared" si="5"/>
        <v>2840</v>
      </c>
      <c r="C58" s="258" t="s">
        <v>4880</v>
      </c>
      <c r="D58" s="258" t="s">
        <v>4881</v>
      </c>
      <c r="E58" s="397" t="str">
        <f t="shared" si="3"/>
        <v>18</v>
      </c>
      <c r="F58" s="276" t="s">
        <v>4873</v>
      </c>
      <c r="G58" s="258" t="s">
        <v>4698</v>
      </c>
      <c r="H58" s="268">
        <v>3.54</v>
      </c>
      <c r="I58" s="131" t="s">
        <v>4698</v>
      </c>
      <c r="J58" s="335">
        <v>600</v>
      </c>
      <c r="O58" s="258">
        <v>3</v>
      </c>
      <c r="P58" t="s">
        <v>5049</v>
      </c>
      <c r="Q58">
        <v>11</v>
      </c>
      <c r="R58" t="s">
        <v>5050</v>
      </c>
      <c r="S58" s="398">
        <f t="shared" si="4"/>
        <v>3.9166666666666665</v>
      </c>
    </row>
    <row r="59" spans="2:19" ht="15" thickBot="1" x14ac:dyDescent="0.4">
      <c r="B59" s="99">
        <f t="shared" si="5"/>
        <v>2841</v>
      </c>
      <c r="C59" s="258" t="s">
        <v>4882</v>
      </c>
      <c r="D59" s="258" t="s">
        <v>4883</v>
      </c>
      <c r="E59" s="397" t="str">
        <f t="shared" si="3"/>
        <v>18</v>
      </c>
      <c r="F59" s="276" t="s">
        <v>4873</v>
      </c>
      <c r="G59" s="258" t="s">
        <v>4698</v>
      </c>
      <c r="H59" s="268">
        <v>3.52</v>
      </c>
      <c r="I59" s="131" t="s">
        <v>4698</v>
      </c>
      <c r="J59" s="335">
        <v>530</v>
      </c>
      <c r="O59" s="258">
        <v>3</v>
      </c>
      <c r="P59" t="s">
        <v>5049</v>
      </c>
      <c r="Q59">
        <v>11</v>
      </c>
      <c r="R59" t="s">
        <v>5050</v>
      </c>
      <c r="S59" s="398">
        <f t="shared" si="4"/>
        <v>3.9166666666666665</v>
      </c>
    </row>
    <row r="60" spans="2:19" ht="15" thickBot="1" x14ac:dyDescent="0.4">
      <c r="B60" s="99">
        <f t="shared" si="5"/>
        <v>2842</v>
      </c>
      <c r="C60" s="258" t="s">
        <v>4884</v>
      </c>
      <c r="D60" s="258" t="s">
        <v>4885</v>
      </c>
      <c r="E60" s="397" t="str">
        <f t="shared" si="3"/>
        <v>18</v>
      </c>
      <c r="F60" s="276" t="s">
        <v>4873</v>
      </c>
      <c r="G60" s="258" t="s">
        <v>4688</v>
      </c>
      <c r="H60" s="268">
        <v>3.56</v>
      </c>
      <c r="I60" s="131" t="s">
        <v>4688</v>
      </c>
      <c r="J60" s="368">
        <v>573</v>
      </c>
      <c r="O60" s="258">
        <v>3</v>
      </c>
      <c r="P60" t="s">
        <v>5046</v>
      </c>
      <c r="Q60">
        <v>11</v>
      </c>
      <c r="R60" t="s">
        <v>5048</v>
      </c>
      <c r="S60" s="398">
        <f t="shared" si="4"/>
        <v>3.9166666666666665</v>
      </c>
    </row>
    <row r="61" spans="2:19" ht="15" thickBot="1" x14ac:dyDescent="0.4">
      <c r="B61" s="99">
        <f t="shared" si="5"/>
        <v>2843</v>
      </c>
      <c r="C61" s="258" t="s">
        <v>4886</v>
      </c>
      <c r="D61" s="258" t="s">
        <v>4887</v>
      </c>
      <c r="E61" s="397" t="str">
        <f t="shared" si="3"/>
        <v>18</v>
      </c>
      <c r="F61" s="276" t="s">
        <v>4873</v>
      </c>
      <c r="G61" s="258" t="s">
        <v>4688</v>
      </c>
      <c r="H61" s="268">
        <v>3.69</v>
      </c>
      <c r="I61" s="99" t="s">
        <v>4688</v>
      </c>
      <c r="J61" s="379">
        <v>607</v>
      </c>
      <c r="O61" s="258">
        <v>3</v>
      </c>
      <c r="P61" t="s">
        <v>5046</v>
      </c>
      <c r="Q61">
        <v>11</v>
      </c>
      <c r="R61" t="s">
        <v>5048</v>
      </c>
      <c r="S61" s="398">
        <f t="shared" si="4"/>
        <v>3.9166666666666665</v>
      </c>
    </row>
    <row r="62" spans="2:19" ht="15" thickBot="1" x14ac:dyDescent="0.4">
      <c r="B62" s="99">
        <f t="shared" si="5"/>
        <v>2844</v>
      </c>
      <c r="C62" s="258" t="s">
        <v>4888</v>
      </c>
      <c r="D62" s="258" t="s">
        <v>4889</v>
      </c>
      <c r="E62" s="397" t="str">
        <f t="shared" si="3"/>
        <v>18</v>
      </c>
      <c r="F62" s="276" t="s">
        <v>4873</v>
      </c>
      <c r="G62" s="258" t="s">
        <v>4748</v>
      </c>
      <c r="H62" s="268" t="s">
        <v>4890</v>
      </c>
      <c r="I62" s="99" t="s">
        <v>4748</v>
      </c>
      <c r="J62" s="379">
        <v>620</v>
      </c>
      <c r="O62" s="258">
        <v>4</v>
      </c>
      <c r="P62" t="s">
        <v>5049</v>
      </c>
      <c r="S62" s="398">
        <f t="shared" si="4"/>
        <v>4</v>
      </c>
    </row>
    <row r="63" spans="2:19" ht="15" thickBot="1" x14ac:dyDescent="0.4">
      <c r="B63" s="99">
        <f t="shared" si="5"/>
        <v>2845</v>
      </c>
      <c r="C63" s="258" t="s">
        <v>4891</v>
      </c>
      <c r="D63" s="258" t="s">
        <v>4892</v>
      </c>
      <c r="E63" s="397" t="str">
        <f t="shared" si="3"/>
        <v>18</v>
      </c>
      <c r="F63" s="276" t="s">
        <v>4873</v>
      </c>
      <c r="G63" s="258" t="s">
        <v>4688</v>
      </c>
      <c r="H63" s="257">
        <v>3.57</v>
      </c>
      <c r="I63" s="99" t="s">
        <v>4688</v>
      </c>
      <c r="J63" s="379">
        <v>530</v>
      </c>
      <c r="O63" s="258">
        <v>3</v>
      </c>
      <c r="P63" t="s">
        <v>5046</v>
      </c>
      <c r="Q63">
        <v>11</v>
      </c>
      <c r="R63" t="s">
        <v>5048</v>
      </c>
      <c r="S63" s="398">
        <f t="shared" si="4"/>
        <v>3.9166666666666665</v>
      </c>
    </row>
    <row r="64" spans="2:19" ht="15" thickBot="1" x14ac:dyDescent="0.4">
      <c r="B64" s="99">
        <f t="shared" si="5"/>
        <v>2846</v>
      </c>
      <c r="C64" s="258" t="s">
        <v>4893</v>
      </c>
      <c r="D64" s="258" t="s">
        <v>4894</v>
      </c>
      <c r="E64" s="397" t="str">
        <f t="shared" si="3"/>
        <v>18</v>
      </c>
      <c r="F64" s="276" t="s">
        <v>4873</v>
      </c>
      <c r="G64" s="258" t="s">
        <v>4688</v>
      </c>
      <c r="H64" s="257">
        <v>3.69</v>
      </c>
      <c r="I64" s="99" t="s">
        <v>4688</v>
      </c>
      <c r="J64" s="376">
        <v>550</v>
      </c>
      <c r="O64" s="258">
        <v>3</v>
      </c>
      <c r="P64" t="s">
        <v>5046</v>
      </c>
      <c r="Q64">
        <v>11</v>
      </c>
      <c r="R64" t="s">
        <v>5048</v>
      </c>
      <c r="S64" s="398">
        <f t="shared" si="4"/>
        <v>3.9166666666666665</v>
      </c>
    </row>
    <row r="65" spans="2:19" ht="15" thickBot="1" x14ac:dyDescent="0.4">
      <c r="B65" s="99">
        <f t="shared" si="5"/>
        <v>2847</v>
      </c>
      <c r="C65" s="258" t="s">
        <v>4895</v>
      </c>
      <c r="D65" s="258" t="s">
        <v>4896</v>
      </c>
      <c r="E65" s="397" t="str">
        <f t="shared" si="3"/>
        <v>18</v>
      </c>
      <c r="F65" s="276" t="s">
        <v>4873</v>
      </c>
      <c r="G65" s="258" t="s">
        <v>4688</v>
      </c>
      <c r="H65" s="268">
        <v>3.31</v>
      </c>
      <c r="I65" s="99" t="s">
        <v>4688</v>
      </c>
      <c r="J65" s="376">
        <v>547</v>
      </c>
      <c r="O65" s="258">
        <v>3</v>
      </c>
      <c r="P65" t="s">
        <v>5046</v>
      </c>
      <c r="Q65">
        <v>11</v>
      </c>
      <c r="R65" t="s">
        <v>5048</v>
      </c>
      <c r="S65" s="398">
        <f t="shared" si="4"/>
        <v>3.9166666666666665</v>
      </c>
    </row>
    <row r="66" spans="2:19" ht="15" thickBot="1" x14ac:dyDescent="0.4">
      <c r="B66" s="99">
        <f t="shared" si="5"/>
        <v>2848</v>
      </c>
      <c r="C66" s="258" t="s">
        <v>4286</v>
      </c>
      <c r="D66" s="258" t="s">
        <v>4287</v>
      </c>
      <c r="E66" s="397" t="str">
        <f t="shared" si="3"/>
        <v>18</v>
      </c>
      <c r="F66" s="276" t="s">
        <v>4897</v>
      </c>
      <c r="G66" s="258" t="s">
        <v>4899</v>
      </c>
      <c r="H66" s="257">
        <v>3.58</v>
      </c>
      <c r="I66" s="99" t="s">
        <v>4899</v>
      </c>
      <c r="J66" s="372" t="s">
        <v>5382</v>
      </c>
      <c r="O66" s="258">
        <v>4</v>
      </c>
      <c r="P66" t="s">
        <v>5046</v>
      </c>
      <c r="Q66">
        <v>0</v>
      </c>
      <c r="R66" t="s">
        <v>5399</v>
      </c>
      <c r="S66" s="398">
        <f t="shared" si="4"/>
        <v>4</v>
      </c>
    </row>
    <row r="67" spans="2:19" ht="15" thickBot="1" x14ac:dyDescent="0.4">
      <c r="B67" s="99">
        <f t="shared" si="5"/>
        <v>2849</v>
      </c>
      <c r="C67" s="258" t="s">
        <v>4288</v>
      </c>
      <c r="D67" s="258" t="s">
        <v>4289</v>
      </c>
      <c r="E67" s="397" t="str">
        <f t="shared" si="3"/>
        <v>18</v>
      </c>
      <c r="F67" s="276" t="s">
        <v>4897</v>
      </c>
      <c r="G67" s="258" t="s">
        <v>4705</v>
      </c>
      <c r="H67" s="268" t="s">
        <v>4828</v>
      </c>
      <c r="I67" s="99" t="s">
        <v>4705</v>
      </c>
      <c r="J67" s="376">
        <v>537</v>
      </c>
      <c r="O67" s="258">
        <v>4</v>
      </c>
      <c r="P67" t="s">
        <v>5049</v>
      </c>
      <c r="Q67">
        <v>0</v>
      </c>
      <c r="R67" t="s">
        <v>5050</v>
      </c>
      <c r="S67" s="398">
        <f t="shared" si="4"/>
        <v>4</v>
      </c>
    </row>
    <row r="68" spans="2:19" ht="15" thickBot="1" x14ac:dyDescent="0.4">
      <c r="B68" s="99">
        <f t="shared" si="5"/>
        <v>2850</v>
      </c>
      <c r="C68" s="258" t="s">
        <v>4290</v>
      </c>
      <c r="D68" s="258" t="s">
        <v>4291</v>
      </c>
      <c r="E68" s="397" t="str">
        <f t="shared" si="3"/>
        <v>18</v>
      </c>
      <c r="F68" s="276" t="s">
        <v>4897</v>
      </c>
      <c r="G68" s="258" t="s">
        <v>4748</v>
      </c>
      <c r="H68" s="268" t="s">
        <v>4406</v>
      </c>
      <c r="I68" s="99" t="s">
        <v>4748</v>
      </c>
      <c r="J68" s="376">
        <v>510</v>
      </c>
      <c r="O68" s="258">
        <v>4</v>
      </c>
      <c r="P68" t="s">
        <v>5049</v>
      </c>
      <c r="S68" s="398">
        <f t="shared" si="4"/>
        <v>4</v>
      </c>
    </row>
    <row r="69" spans="2:19" ht="15" thickBot="1" x14ac:dyDescent="0.4">
      <c r="B69" s="99">
        <f t="shared" si="5"/>
        <v>2851</v>
      </c>
      <c r="C69" s="258" t="s">
        <v>4292</v>
      </c>
      <c r="D69" s="258" t="s">
        <v>4293</v>
      </c>
      <c r="E69" s="397" t="str">
        <f t="shared" si="3"/>
        <v>18</v>
      </c>
      <c r="F69" s="276" t="s">
        <v>4897</v>
      </c>
      <c r="G69" s="258" t="s">
        <v>4899</v>
      </c>
      <c r="H69" s="257">
        <v>3.49</v>
      </c>
      <c r="I69" s="99" t="s">
        <v>4899</v>
      </c>
      <c r="J69" s="376">
        <v>497</v>
      </c>
      <c r="O69" s="258">
        <v>4</v>
      </c>
      <c r="P69" t="s">
        <v>5046</v>
      </c>
      <c r="Q69">
        <v>0</v>
      </c>
      <c r="R69" t="s">
        <v>5399</v>
      </c>
      <c r="S69" s="398">
        <f t="shared" si="4"/>
        <v>4</v>
      </c>
    </row>
    <row r="70" spans="2:19" ht="15" thickBot="1" x14ac:dyDescent="0.4">
      <c r="B70" s="99">
        <f t="shared" si="5"/>
        <v>2852</v>
      </c>
      <c r="C70" s="258" t="s">
        <v>4294</v>
      </c>
      <c r="D70" s="258" t="s">
        <v>4295</v>
      </c>
      <c r="E70" s="397" t="str">
        <f t="shared" si="3"/>
        <v>18</v>
      </c>
      <c r="F70" s="276" t="s">
        <v>4897</v>
      </c>
      <c r="G70" s="258" t="s">
        <v>4769</v>
      </c>
      <c r="H70" s="257">
        <v>3.39</v>
      </c>
      <c r="I70" s="99" t="s">
        <v>4769</v>
      </c>
      <c r="J70" s="376">
        <v>583</v>
      </c>
      <c r="O70" s="258">
        <v>4</v>
      </c>
      <c r="P70" t="s">
        <v>5046</v>
      </c>
      <c r="Q70">
        <v>1</v>
      </c>
      <c r="R70" t="s">
        <v>5048</v>
      </c>
      <c r="S70" s="398">
        <f t="shared" si="4"/>
        <v>4.083333333333333</v>
      </c>
    </row>
    <row r="71" spans="2:19" ht="15" thickBot="1" x14ac:dyDescent="0.4">
      <c r="B71" s="99">
        <f t="shared" si="5"/>
        <v>2853</v>
      </c>
      <c r="C71" s="258" t="s">
        <v>4296</v>
      </c>
      <c r="D71" s="258" t="s">
        <v>4297</v>
      </c>
      <c r="E71" s="397" t="str">
        <f t="shared" ref="E71:E102" si="6">LEFT(D71,2)</f>
        <v>18</v>
      </c>
      <c r="F71" s="276" t="s">
        <v>4897</v>
      </c>
      <c r="G71" s="258" t="s">
        <v>4606</v>
      </c>
      <c r="H71" s="257">
        <v>3.18</v>
      </c>
      <c r="I71" s="99" t="s">
        <v>4606</v>
      </c>
      <c r="J71" s="374">
        <v>527</v>
      </c>
      <c r="O71" s="258">
        <v>4</v>
      </c>
      <c r="P71" t="s">
        <v>5046</v>
      </c>
      <c r="S71" s="398">
        <f t="shared" si="4"/>
        <v>4</v>
      </c>
    </row>
    <row r="72" spans="2:19" ht="15" thickBot="1" x14ac:dyDescent="0.4">
      <c r="B72" s="99">
        <f t="shared" si="5"/>
        <v>2854</v>
      </c>
      <c r="C72" s="258" t="s">
        <v>4298</v>
      </c>
      <c r="D72" s="258" t="s">
        <v>4299</v>
      </c>
      <c r="E72" s="397" t="str">
        <f t="shared" si="6"/>
        <v>18</v>
      </c>
      <c r="F72" s="276" t="s">
        <v>4897</v>
      </c>
      <c r="G72" s="258" t="s">
        <v>4698</v>
      </c>
      <c r="H72" s="268" t="s">
        <v>4642</v>
      </c>
      <c r="I72" s="99" t="s">
        <v>4698</v>
      </c>
      <c r="J72" s="375">
        <v>583</v>
      </c>
      <c r="O72" s="258">
        <v>3</v>
      </c>
      <c r="P72" t="s">
        <v>5049</v>
      </c>
      <c r="Q72">
        <v>11</v>
      </c>
      <c r="R72" t="s">
        <v>5050</v>
      </c>
      <c r="S72" s="398">
        <f t="shared" si="4"/>
        <v>3.9166666666666665</v>
      </c>
    </row>
    <row r="73" spans="2:19" ht="15" thickBot="1" x14ac:dyDescent="0.4">
      <c r="B73" s="99">
        <f t="shared" si="5"/>
        <v>2855</v>
      </c>
      <c r="C73" s="258" t="s">
        <v>4301</v>
      </c>
      <c r="D73" s="258" t="s">
        <v>4302</v>
      </c>
      <c r="E73" s="397" t="str">
        <f t="shared" si="6"/>
        <v>18</v>
      </c>
      <c r="F73" s="276" t="s">
        <v>4897</v>
      </c>
      <c r="G73" s="258" t="s">
        <v>4743</v>
      </c>
      <c r="H73" s="257">
        <v>3.53</v>
      </c>
      <c r="I73" s="99" t="s">
        <v>4743</v>
      </c>
      <c r="J73" s="375">
        <v>597</v>
      </c>
      <c r="O73" s="258">
        <v>4</v>
      </c>
      <c r="P73" t="s">
        <v>5046</v>
      </c>
      <c r="Q73">
        <v>0</v>
      </c>
      <c r="R73" t="s">
        <v>5048</v>
      </c>
      <c r="S73" s="398">
        <f t="shared" si="4"/>
        <v>4</v>
      </c>
    </row>
    <row r="74" spans="2:19" ht="15" thickBot="1" x14ac:dyDescent="0.4">
      <c r="B74" s="99">
        <f t="shared" si="5"/>
        <v>2856</v>
      </c>
      <c r="C74" s="258" t="s">
        <v>4306</v>
      </c>
      <c r="D74" s="258" t="s">
        <v>4307</v>
      </c>
      <c r="E74" s="397" t="str">
        <f t="shared" si="6"/>
        <v>18</v>
      </c>
      <c r="F74" s="310">
        <v>45199</v>
      </c>
      <c r="G74" s="258" t="s">
        <v>4755</v>
      </c>
      <c r="H74" s="257">
        <v>3.57</v>
      </c>
      <c r="I74" s="99" t="s">
        <v>4755</v>
      </c>
      <c r="J74" s="375">
        <v>600</v>
      </c>
      <c r="O74" s="258">
        <v>4</v>
      </c>
      <c r="P74" t="s">
        <v>5049</v>
      </c>
      <c r="Q74">
        <v>1</v>
      </c>
      <c r="R74" t="s">
        <v>5050</v>
      </c>
      <c r="S74" s="398">
        <f t="shared" si="4"/>
        <v>4.083333333333333</v>
      </c>
    </row>
    <row r="75" spans="2:19" ht="15" thickBot="1" x14ac:dyDescent="0.4">
      <c r="B75" s="99">
        <f t="shared" si="5"/>
        <v>2857</v>
      </c>
      <c r="C75" s="258" t="s">
        <v>4308</v>
      </c>
      <c r="D75" s="258" t="s">
        <v>4309</v>
      </c>
      <c r="E75" s="397" t="str">
        <f t="shared" si="6"/>
        <v>18</v>
      </c>
      <c r="F75" s="310">
        <v>45199</v>
      </c>
      <c r="G75" s="258" t="s">
        <v>4769</v>
      </c>
      <c r="H75" s="257">
        <v>3.51</v>
      </c>
      <c r="I75" s="99" t="s">
        <v>4769</v>
      </c>
      <c r="J75" s="335">
        <v>530</v>
      </c>
      <c r="O75" s="258">
        <v>4</v>
      </c>
      <c r="P75" t="s">
        <v>5046</v>
      </c>
      <c r="Q75">
        <v>1</v>
      </c>
      <c r="R75" t="s">
        <v>5048</v>
      </c>
      <c r="S75" s="398">
        <f t="shared" si="4"/>
        <v>4.083333333333333</v>
      </c>
    </row>
    <row r="76" spans="2:19" ht="15" thickBot="1" x14ac:dyDescent="0.4">
      <c r="B76" s="99">
        <f t="shared" si="5"/>
        <v>2858</v>
      </c>
      <c r="C76" s="258" t="s">
        <v>4310</v>
      </c>
      <c r="D76" s="258" t="s">
        <v>4311</v>
      </c>
      <c r="E76" s="397" t="str">
        <f t="shared" si="6"/>
        <v>18</v>
      </c>
      <c r="F76" s="310">
        <v>45199</v>
      </c>
      <c r="G76" s="256" t="s">
        <v>4626</v>
      </c>
      <c r="H76" s="257">
        <v>3.69</v>
      </c>
      <c r="I76" s="99" t="s">
        <v>4626</v>
      </c>
      <c r="J76" s="368">
        <v>573</v>
      </c>
      <c r="O76" s="256">
        <v>4</v>
      </c>
      <c r="P76" t="s">
        <v>5049</v>
      </c>
      <c r="Q76">
        <v>2</v>
      </c>
      <c r="R76" t="s">
        <v>5050</v>
      </c>
      <c r="S76" s="398">
        <f t="shared" si="4"/>
        <v>4.166666666666667</v>
      </c>
    </row>
    <row r="77" spans="2:19" ht="15" thickBot="1" x14ac:dyDescent="0.4">
      <c r="B77" s="99">
        <f t="shared" si="5"/>
        <v>2859</v>
      </c>
      <c r="C77" s="258" t="s">
        <v>4314</v>
      </c>
      <c r="D77" s="258" t="s">
        <v>4315</v>
      </c>
      <c r="E77" s="397" t="str">
        <f t="shared" si="6"/>
        <v>18</v>
      </c>
      <c r="F77" s="310">
        <v>45199</v>
      </c>
      <c r="G77" s="256" t="s">
        <v>4769</v>
      </c>
      <c r="H77" s="257">
        <v>3.36</v>
      </c>
      <c r="I77" s="99" t="s">
        <v>4769</v>
      </c>
      <c r="J77" s="375">
        <v>607</v>
      </c>
      <c r="O77" s="256">
        <v>4</v>
      </c>
      <c r="P77" t="s">
        <v>5046</v>
      </c>
      <c r="Q77">
        <v>1</v>
      </c>
      <c r="R77" t="s">
        <v>5048</v>
      </c>
      <c r="S77" s="398">
        <f t="shared" si="4"/>
        <v>4.083333333333333</v>
      </c>
    </row>
    <row r="78" spans="2:19" ht="15" thickBot="1" x14ac:dyDescent="0.4">
      <c r="B78" s="99">
        <f t="shared" si="5"/>
        <v>2860</v>
      </c>
      <c r="C78" s="258" t="s">
        <v>4316</v>
      </c>
      <c r="D78" s="258" t="s">
        <v>4900</v>
      </c>
      <c r="E78" s="397" t="str">
        <f t="shared" si="6"/>
        <v>18</v>
      </c>
      <c r="F78" s="310">
        <v>45199</v>
      </c>
      <c r="G78" s="256" t="s">
        <v>4616</v>
      </c>
      <c r="H78" s="257">
        <v>3.57</v>
      </c>
      <c r="I78" s="99" t="s">
        <v>4616</v>
      </c>
      <c r="J78" s="375">
        <v>620</v>
      </c>
      <c r="O78" s="256">
        <v>4</v>
      </c>
      <c r="P78" t="s">
        <v>5046</v>
      </c>
      <c r="Q78">
        <v>2</v>
      </c>
      <c r="R78" t="s">
        <v>5048</v>
      </c>
      <c r="S78" s="398">
        <f t="shared" si="4"/>
        <v>4.166666666666667</v>
      </c>
    </row>
    <row r="79" spans="2:19" ht="15" thickBot="1" x14ac:dyDescent="0.4">
      <c r="B79" s="99">
        <f t="shared" si="5"/>
        <v>2861</v>
      </c>
      <c r="C79" s="258" t="s">
        <v>4317</v>
      </c>
      <c r="D79" s="258" t="s">
        <v>4318</v>
      </c>
      <c r="E79" s="397" t="str">
        <f t="shared" si="6"/>
        <v>18</v>
      </c>
      <c r="F79" s="310">
        <v>45199</v>
      </c>
      <c r="G79" s="256" t="s">
        <v>4901</v>
      </c>
      <c r="H79" s="268" t="s">
        <v>4624</v>
      </c>
      <c r="I79" s="99" t="s">
        <v>4901</v>
      </c>
      <c r="J79" s="375">
        <v>530</v>
      </c>
      <c r="O79" s="256">
        <v>4</v>
      </c>
      <c r="P79" t="s">
        <v>5046</v>
      </c>
      <c r="Q79">
        <v>1</v>
      </c>
      <c r="R79" t="s">
        <v>5400</v>
      </c>
      <c r="S79" s="398">
        <f>O79+(Q79/12)</f>
        <v>4.083333333333333</v>
      </c>
    </row>
    <row r="80" spans="2:19" ht="15" thickBot="1" x14ac:dyDescent="0.4">
      <c r="B80" s="99">
        <f t="shared" si="5"/>
        <v>2862</v>
      </c>
      <c r="C80" s="258" t="s">
        <v>4319</v>
      </c>
      <c r="D80" s="258" t="s">
        <v>4320</v>
      </c>
      <c r="E80" s="397" t="str">
        <f t="shared" si="6"/>
        <v>18</v>
      </c>
      <c r="F80" s="310">
        <v>45199</v>
      </c>
      <c r="G80" s="256" t="s">
        <v>4616</v>
      </c>
      <c r="H80" s="257">
        <v>3.23</v>
      </c>
      <c r="I80" s="99" t="s">
        <v>4616</v>
      </c>
      <c r="J80" s="374">
        <v>550</v>
      </c>
      <c r="O80" s="256">
        <v>4</v>
      </c>
      <c r="P80" t="s">
        <v>5046</v>
      </c>
      <c r="Q80">
        <v>2</v>
      </c>
      <c r="R80" t="s">
        <v>5048</v>
      </c>
      <c r="S80" s="398">
        <f t="shared" si="4"/>
        <v>4.166666666666667</v>
      </c>
    </row>
    <row r="81" spans="2:19" ht="15" thickBot="1" x14ac:dyDescent="0.4">
      <c r="B81" s="99">
        <f t="shared" si="5"/>
        <v>2863</v>
      </c>
      <c r="C81" s="258" t="s">
        <v>4321</v>
      </c>
      <c r="D81" s="258" t="s">
        <v>4322</v>
      </c>
      <c r="E81" s="397" t="str">
        <f t="shared" si="6"/>
        <v>18</v>
      </c>
      <c r="F81" s="310">
        <v>45199</v>
      </c>
      <c r="G81" s="256" t="s">
        <v>4748</v>
      </c>
      <c r="H81" s="257">
        <v>3.25</v>
      </c>
      <c r="I81" s="99" t="s">
        <v>4748</v>
      </c>
      <c r="J81" s="374">
        <v>547</v>
      </c>
      <c r="O81" s="256">
        <v>4</v>
      </c>
      <c r="P81" t="s">
        <v>5049</v>
      </c>
      <c r="S81" s="398">
        <f t="shared" si="4"/>
        <v>4</v>
      </c>
    </row>
    <row r="82" spans="2:19" ht="15" thickBot="1" x14ac:dyDescent="0.4">
      <c r="B82" s="99">
        <f t="shared" si="5"/>
        <v>2864</v>
      </c>
      <c r="C82" s="258" t="s">
        <v>4323</v>
      </c>
      <c r="D82" s="258" t="s">
        <v>4324</v>
      </c>
      <c r="E82" s="397" t="str">
        <f t="shared" si="6"/>
        <v>18</v>
      </c>
      <c r="F82" s="310">
        <v>45199</v>
      </c>
      <c r="G82" s="256" t="s">
        <v>4748</v>
      </c>
      <c r="H82" s="257">
        <v>3.55</v>
      </c>
      <c r="I82" s="99" t="s">
        <v>4748</v>
      </c>
      <c r="J82" s="378" t="s">
        <v>5382</v>
      </c>
      <c r="O82" s="256">
        <v>4</v>
      </c>
      <c r="P82" t="s">
        <v>5049</v>
      </c>
      <c r="S82" s="398">
        <f t="shared" si="4"/>
        <v>4</v>
      </c>
    </row>
    <row r="83" spans="2:19" ht="15" thickBot="1" x14ac:dyDescent="0.4">
      <c r="B83" s="99">
        <f t="shared" si="5"/>
        <v>2865</v>
      </c>
      <c r="C83" s="271" t="s">
        <v>4325</v>
      </c>
      <c r="D83" s="258" t="s">
        <v>4326</v>
      </c>
      <c r="E83" s="397" t="str">
        <f t="shared" si="6"/>
        <v>18</v>
      </c>
      <c r="F83" s="310">
        <v>45199</v>
      </c>
      <c r="G83" s="256" t="s">
        <v>4616</v>
      </c>
      <c r="H83" s="257">
        <v>3.72</v>
      </c>
      <c r="I83" s="99" t="s">
        <v>4616</v>
      </c>
      <c r="J83" s="374">
        <v>537</v>
      </c>
      <c r="O83" s="256">
        <v>4</v>
      </c>
      <c r="P83" t="s">
        <v>5046</v>
      </c>
      <c r="Q83">
        <v>2</v>
      </c>
      <c r="R83" t="s">
        <v>5048</v>
      </c>
      <c r="S83" s="398">
        <f t="shared" si="4"/>
        <v>4.166666666666667</v>
      </c>
    </row>
    <row r="84" spans="2:19" ht="15" thickBot="1" x14ac:dyDescent="0.4">
      <c r="B84" s="99">
        <f t="shared" si="5"/>
        <v>2866</v>
      </c>
      <c r="C84" s="258" t="s">
        <v>4327</v>
      </c>
      <c r="D84" s="258" t="s">
        <v>4328</v>
      </c>
      <c r="E84" s="397" t="str">
        <f t="shared" si="6"/>
        <v>18</v>
      </c>
      <c r="F84" s="310">
        <v>45199</v>
      </c>
      <c r="G84" s="256" t="s">
        <v>4616</v>
      </c>
      <c r="H84" s="268" t="s">
        <v>4607</v>
      </c>
      <c r="I84" s="99" t="s">
        <v>4616</v>
      </c>
      <c r="J84" s="374">
        <v>510</v>
      </c>
      <c r="O84" s="256">
        <v>4</v>
      </c>
      <c r="P84" t="s">
        <v>5046</v>
      </c>
      <c r="Q84">
        <v>2</v>
      </c>
      <c r="R84" t="s">
        <v>5048</v>
      </c>
      <c r="S84" s="398">
        <f t="shared" si="4"/>
        <v>4.166666666666667</v>
      </c>
    </row>
    <row r="85" spans="2:19" ht="15" thickBot="1" x14ac:dyDescent="0.4">
      <c r="B85" s="99">
        <f t="shared" si="5"/>
        <v>2867</v>
      </c>
      <c r="C85" s="258" t="s">
        <v>4335</v>
      </c>
      <c r="D85" s="258" t="s">
        <v>4336</v>
      </c>
      <c r="E85" s="397" t="str">
        <f t="shared" si="6"/>
        <v>18</v>
      </c>
      <c r="F85" s="255" t="s">
        <v>4902</v>
      </c>
      <c r="G85" s="256" t="s">
        <v>4622</v>
      </c>
      <c r="H85" s="268">
        <v>3.47</v>
      </c>
      <c r="I85" s="99" t="s">
        <v>4622</v>
      </c>
      <c r="J85" s="374">
        <v>497</v>
      </c>
      <c r="O85" s="256">
        <v>4</v>
      </c>
      <c r="P85" t="s">
        <v>5046</v>
      </c>
      <c r="Q85">
        <v>3</v>
      </c>
      <c r="R85" t="s">
        <v>5048</v>
      </c>
      <c r="S85" s="398">
        <f t="shared" si="4"/>
        <v>4.25</v>
      </c>
    </row>
    <row r="86" spans="2:19" ht="15" thickBot="1" x14ac:dyDescent="0.4">
      <c r="B86" s="99">
        <f t="shared" si="5"/>
        <v>2868</v>
      </c>
      <c r="C86" s="258" t="s">
        <v>4338</v>
      </c>
      <c r="D86" s="258" t="s">
        <v>4339</v>
      </c>
      <c r="E86" s="397" t="str">
        <f t="shared" si="6"/>
        <v>18</v>
      </c>
      <c r="F86" s="255" t="s">
        <v>4902</v>
      </c>
      <c r="G86" s="256" t="s">
        <v>4622</v>
      </c>
      <c r="H86" s="268">
        <v>3.63</v>
      </c>
      <c r="I86" s="99" t="s">
        <v>4622</v>
      </c>
      <c r="J86" s="374">
        <v>583</v>
      </c>
      <c r="O86" s="256">
        <v>4</v>
      </c>
      <c r="P86" t="s">
        <v>5046</v>
      </c>
      <c r="Q86">
        <v>3</v>
      </c>
      <c r="R86" t="s">
        <v>5048</v>
      </c>
      <c r="S86" s="398">
        <f t="shared" si="4"/>
        <v>4.25</v>
      </c>
    </row>
    <row r="87" spans="2:19" ht="15" thickBot="1" x14ac:dyDescent="0.4">
      <c r="B87" s="99">
        <f t="shared" si="5"/>
        <v>2869</v>
      </c>
      <c r="C87" s="258" t="s">
        <v>4340</v>
      </c>
      <c r="D87" s="258" t="s">
        <v>4341</v>
      </c>
      <c r="E87" s="397" t="str">
        <f t="shared" si="6"/>
        <v>18</v>
      </c>
      <c r="F87" s="255" t="s">
        <v>4902</v>
      </c>
      <c r="G87" s="256" t="s">
        <v>4622</v>
      </c>
      <c r="H87" s="268">
        <v>3.53</v>
      </c>
      <c r="I87" s="99" t="s">
        <v>4622</v>
      </c>
      <c r="J87" s="374">
        <v>527</v>
      </c>
      <c r="O87" s="256">
        <v>4</v>
      </c>
      <c r="P87" t="s">
        <v>5046</v>
      </c>
      <c r="Q87">
        <v>3</v>
      </c>
      <c r="R87" t="s">
        <v>5048</v>
      </c>
      <c r="S87" s="398">
        <f t="shared" si="4"/>
        <v>4.25</v>
      </c>
    </row>
    <row r="88" spans="2:19" ht="15" thickBot="1" x14ac:dyDescent="0.4">
      <c r="B88" s="99">
        <f t="shared" si="5"/>
        <v>2870</v>
      </c>
      <c r="C88" s="258" t="s">
        <v>4342</v>
      </c>
      <c r="D88" s="258" t="s">
        <v>4343</v>
      </c>
      <c r="E88" s="397" t="str">
        <f t="shared" si="6"/>
        <v>18</v>
      </c>
      <c r="F88" s="255" t="s">
        <v>4902</v>
      </c>
      <c r="G88" s="256" t="s">
        <v>4626</v>
      </c>
      <c r="H88" s="268">
        <v>3.27</v>
      </c>
      <c r="I88" s="99" t="s">
        <v>4626</v>
      </c>
      <c r="J88" s="374">
        <v>540</v>
      </c>
      <c r="O88" s="256">
        <v>4</v>
      </c>
      <c r="P88" t="s">
        <v>5049</v>
      </c>
      <c r="Q88">
        <v>2</v>
      </c>
      <c r="R88" t="s">
        <v>5050</v>
      </c>
      <c r="S88" s="398">
        <f t="shared" si="4"/>
        <v>4.166666666666667</v>
      </c>
    </row>
    <row r="89" spans="2:19" ht="15" thickBot="1" x14ac:dyDescent="0.4">
      <c r="B89" s="99">
        <f t="shared" ref="B89:B105" si="7">B88+1</f>
        <v>2871</v>
      </c>
      <c r="C89" s="271" t="s">
        <v>4344</v>
      </c>
      <c r="D89" s="271" t="s">
        <v>4345</v>
      </c>
      <c r="E89" s="397" t="str">
        <f t="shared" si="6"/>
        <v>18</v>
      </c>
      <c r="F89" s="255" t="s">
        <v>4902</v>
      </c>
      <c r="G89" s="256" t="s">
        <v>4616</v>
      </c>
      <c r="H89" s="268">
        <v>3.65</v>
      </c>
      <c r="I89" s="99" t="s">
        <v>4616</v>
      </c>
      <c r="J89" s="374">
        <v>523</v>
      </c>
      <c r="O89" s="256">
        <v>4</v>
      </c>
      <c r="P89" t="s">
        <v>5046</v>
      </c>
      <c r="Q89">
        <v>2</v>
      </c>
      <c r="R89" t="s">
        <v>5048</v>
      </c>
      <c r="S89" s="398">
        <f t="shared" si="4"/>
        <v>4.166666666666667</v>
      </c>
    </row>
    <row r="90" spans="2:19" x14ac:dyDescent="0.35">
      <c r="B90" s="99">
        <f t="shared" si="7"/>
        <v>2872</v>
      </c>
      <c r="C90" s="271" t="s">
        <v>4346</v>
      </c>
      <c r="D90" s="271" t="s">
        <v>4347</v>
      </c>
      <c r="E90" s="397" t="str">
        <f t="shared" si="6"/>
        <v>18</v>
      </c>
      <c r="F90" s="315" t="s">
        <v>4902</v>
      </c>
      <c r="G90" s="281" t="s">
        <v>4616</v>
      </c>
      <c r="H90" s="268">
        <v>3.54</v>
      </c>
      <c r="I90" s="99" t="s">
        <v>4616</v>
      </c>
      <c r="J90" s="368">
        <v>550</v>
      </c>
      <c r="O90" s="281">
        <v>4</v>
      </c>
      <c r="P90" t="s">
        <v>5046</v>
      </c>
      <c r="Q90">
        <v>2</v>
      </c>
      <c r="R90" t="s">
        <v>5048</v>
      </c>
      <c r="S90" s="398">
        <f t="shared" si="4"/>
        <v>4.166666666666667</v>
      </c>
    </row>
    <row r="91" spans="2:19" ht="15" thickBot="1" x14ac:dyDescent="0.4">
      <c r="B91" s="99">
        <f t="shared" si="7"/>
        <v>2873</v>
      </c>
      <c r="C91" s="281" t="s">
        <v>4909</v>
      </c>
      <c r="D91" s="281" t="s">
        <v>4910</v>
      </c>
      <c r="E91" s="397" t="str">
        <f t="shared" si="6"/>
        <v>18</v>
      </c>
      <c r="F91" s="281" t="s">
        <v>4907</v>
      </c>
      <c r="G91" s="281" t="s">
        <v>4622</v>
      </c>
      <c r="H91" s="2">
        <v>3.25</v>
      </c>
      <c r="I91" s="99" t="s">
        <v>4622</v>
      </c>
      <c r="J91" s="368">
        <v>640</v>
      </c>
      <c r="O91" s="281">
        <v>4</v>
      </c>
      <c r="P91" t="s">
        <v>5046</v>
      </c>
      <c r="Q91">
        <v>3</v>
      </c>
      <c r="R91" t="s">
        <v>5048</v>
      </c>
      <c r="S91" s="398">
        <f t="shared" si="4"/>
        <v>4.25</v>
      </c>
    </row>
    <row r="92" spans="2:19" ht="15" thickBot="1" x14ac:dyDescent="0.4">
      <c r="B92" s="99">
        <f t="shared" si="7"/>
        <v>2874</v>
      </c>
      <c r="C92" s="256" t="s">
        <v>4911</v>
      </c>
      <c r="D92" s="256" t="s">
        <v>4912</v>
      </c>
      <c r="E92" s="397" t="str">
        <f t="shared" si="6"/>
        <v>18</v>
      </c>
      <c r="F92" s="256" t="s">
        <v>4907</v>
      </c>
      <c r="G92" s="256" t="s">
        <v>4622</v>
      </c>
      <c r="H92" s="257">
        <v>3.02</v>
      </c>
      <c r="I92" s="99" t="s">
        <v>4622</v>
      </c>
      <c r="J92" s="368">
        <v>530</v>
      </c>
      <c r="O92" s="256">
        <v>4</v>
      </c>
      <c r="P92" t="s">
        <v>5046</v>
      </c>
      <c r="Q92">
        <v>3</v>
      </c>
      <c r="R92" t="s">
        <v>5048</v>
      </c>
      <c r="S92" s="398">
        <f t="shared" si="4"/>
        <v>4.25</v>
      </c>
    </row>
    <row r="93" spans="2:19" ht="15" thickBot="1" x14ac:dyDescent="0.4">
      <c r="B93" s="99">
        <f t="shared" si="7"/>
        <v>2875</v>
      </c>
      <c r="C93" s="254" t="s">
        <v>4913</v>
      </c>
      <c r="D93" s="254" t="s">
        <v>4914</v>
      </c>
      <c r="E93" s="397" t="str">
        <f t="shared" si="6"/>
        <v>18</v>
      </c>
      <c r="F93" s="256" t="s">
        <v>4907</v>
      </c>
      <c r="G93" s="256" t="s">
        <v>4622</v>
      </c>
      <c r="H93" s="257">
        <v>2.91</v>
      </c>
      <c r="I93" s="99" t="s">
        <v>4622</v>
      </c>
      <c r="J93" s="368">
        <v>573</v>
      </c>
      <c r="O93" s="256">
        <v>4</v>
      </c>
      <c r="P93" t="s">
        <v>5046</v>
      </c>
      <c r="Q93">
        <v>3</v>
      </c>
      <c r="R93" t="s">
        <v>5048</v>
      </c>
      <c r="S93" s="398">
        <f t="shared" si="4"/>
        <v>4.25</v>
      </c>
    </row>
    <row r="94" spans="2:19" ht="15" thickBot="1" x14ac:dyDescent="0.4">
      <c r="B94" s="99">
        <f t="shared" si="7"/>
        <v>2876</v>
      </c>
      <c r="C94" s="258" t="s">
        <v>4348</v>
      </c>
      <c r="D94" s="258" t="s">
        <v>4349</v>
      </c>
      <c r="E94" s="397" t="str">
        <f t="shared" si="6"/>
        <v>18</v>
      </c>
      <c r="F94" s="311">
        <v>44917</v>
      </c>
      <c r="G94" s="256" t="s">
        <v>4787</v>
      </c>
      <c r="H94" s="268">
        <v>3.13</v>
      </c>
      <c r="I94" s="99" t="s">
        <v>4787</v>
      </c>
      <c r="J94" s="368">
        <v>537</v>
      </c>
      <c r="O94" s="256">
        <v>4</v>
      </c>
      <c r="P94" t="s">
        <v>5046</v>
      </c>
      <c r="Q94">
        <v>4</v>
      </c>
      <c r="R94" t="s">
        <v>5048</v>
      </c>
      <c r="S94" s="398">
        <f t="shared" si="4"/>
        <v>4.333333333333333</v>
      </c>
    </row>
    <row r="95" spans="2:19" ht="15" thickBot="1" x14ac:dyDescent="0.4">
      <c r="B95" s="99">
        <f t="shared" si="7"/>
        <v>2877</v>
      </c>
      <c r="C95" s="256" t="s">
        <v>4351</v>
      </c>
      <c r="D95" s="256" t="s">
        <v>4352</v>
      </c>
      <c r="E95" s="397" t="str">
        <f t="shared" si="6"/>
        <v>18</v>
      </c>
      <c r="F95" s="311">
        <v>44917</v>
      </c>
      <c r="G95" s="256" t="s">
        <v>4787</v>
      </c>
      <c r="H95" s="268">
        <v>3.51</v>
      </c>
      <c r="I95" s="99" t="s">
        <v>4787</v>
      </c>
      <c r="J95" s="368">
        <v>533</v>
      </c>
      <c r="O95" s="256">
        <v>4</v>
      </c>
      <c r="P95" t="s">
        <v>5046</v>
      </c>
      <c r="Q95">
        <v>4</v>
      </c>
      <c r="R95" t="s">
        <v>5048</v>
      </c>
      <c r="S95" s="398">
        <f t="shared" si="4"/>
        <v>4.333333333333333</v>
      </c>
    </row>
    <row r="96" spans="2:19" ht="15" thickBot="1" x14ac:dyDescent="0.4">
      <c r="B96" s="99">
        <f t="shared" si="7"/>
        <v>2878</v>
      </c>
      <c r="C96" s="256" t="s">
        <v>4915</v>
      </c>
      <c r="D96" s="256" t="s">
        <v>4916</v>
      </c>
      <c r="E96" s="397" t="str">
        <f t="shared" si="6"/>
        <v>18</v>
      </c>
      <c r="F96" s="255" t="s">
        <v>4917</v>
      </c>
      <c r="G96" s="256" t="s">
        <v>4855</v>
      </c>
      <c r="H96" s="268">
        <v>3.56</v>
      </c>
      <c r="I96" s="99" t="s">
        <v>4855</v>
      </c>
      <c r="J96" s="368">
        <v>567</v>
      </c>
      <c r="O96" s="256">
        <v>4</v>
      </c>
      <c r="P96" t="s">
        <v>5046</v>
      </c>
      <c r="Q96">
        <v>5</v>
      </c>
      <c r="R96" t="s">
        <v>5048</v>
      </c>
      <c r="S96" s="398">
        <f t="shared" si="4"/>
        <v>4.416666666666667</v>
      </c>
    </row>
    <row r="97" spans="1:19" ht="15" thickBot="1" x14ac:dyDescent="0.4">
      <c r="B97" s="99">
        <f t="shared" si="7"/>
        <v>2879</v>
      </c>
      <c r="C97" s="256" t="s">
        <v>4918</v>
      </c>
      <c r="D97" s="256" t="s">
        <v>4919</v>
      </c>
      <c r="E97" s="397" t="str">
        <f t="shared" si="6"/>
        <v>18</v>
      </c>
      <c r="F97" s="255" t="s">
        <v>4917</v>
      </c>
      <c r="G97" s="256" t="s">
        <v>4855</v>
      </c>
      <c r="H97" s="268">
        <v>3.53</v>
      </c>
      <c r="I97" s="99" t="s">
        <v>4855</v>
      </c>
      <c r="J97" s="368">
        <v>510</v>
      </c>
      <c r="O97" s="256">
        <v>4</v>
      </c>
      <c r="P97" t="s">
        <v>5046</v>
      </c>
      <c r="Q97">
        <v>5</v>
      </c>
      <c r="R97" t="s">
        <v>5048</v>
      </c>
      <c r="S97" s="398">
        <f t="shared" si="4"/>
        <v>4.416666666666667</v>
      </c>
    </row>
    <row r="98" spans="1:19" ht="15" thickBot="1" x14ac:dyDescent="0.4">
      <c r="B98" s="99">
        <f t="shared" si="7"/>
        <v>2880</v>
      </c>
      <c r="C98" s="256" t="s">
        <v>4920</v>
      </c>
      <c r="D98" s="256" t="s">
        <v>4921</v>
      </c>
      <c r="E98" s="397" t="str">
        <f t="shared" si="6"/>
        <v>18</v>
      </c>
      <c r="F98" s="255" t="s">
        <v>4917</v>
      </c>
      <c r="G98" s="256" t="s">
        <v>4787</v>
      </c>
      <c r="H98" s="268">
        <v>3.68</v>
      </c>
      <c r="I98" s="99" t="s">
        <v>4787</v>
      </c>
      <c r="J98" s="368">
        <v>530</v>
      </c>
      <c r="O98" s="256">
        <v>4</v>
      </c>
      <c r="P98" t="s">
        <v>5046</v>
      </c>
      <c r="Q98">
        <v>4</v>
      </c>
      <c r="R98" t="s">
        <v>5048</v>
      </c>
      <c r="S98" s="398">
        <f t="shared" si="4"/>
        <v>4.333333333333333</v>
      </c>
    </row>
    <row r="99" spans="1:19" ht="15" thickBot="1" x14ac:dyDescent="0.4">
      <c r="B99" s="99">
        <f t="shared" si="7"/>
        <v>2881</v>
      </c>
      <c r="C99" s="256" t="s">
        <v>4922</v>
      </c>
      <c r="D99" s="256" t="s">
        <v>4923</v>
      </c>
      <c r="E99" s="397" t="str">
        <f t="shared" si="6"/>
        <v>18</v>
      </c>
      <c r="F99" s="255" t="s">
        <v>4917</v>
      </c>
      <c r="G99" s="256" t="s">
        <v>4855</v>
      </c>
      <c r="H99" s="268">
        <v>3.08</v>
      </c>
      <c r="I99" s="99" t="s">
        <v>4855</v>
      </c>
      <c r="J99" s="335">
        <v>530</v>
      </c>
      <c r="O99" s="256">
        <v>4</v>
      </c>
      <c r="P99" t="s">
        <v>5046</v>
      </c>
      <c r="Q99">
        <v>5</v>
      </c>
      <c r="R99" t="s">
        <v>5048</v>
      </c>
      <c r="S99" s="398">
        <f t="shared" si="4"/>
        <v>4.416666666666667</v>
      </c>
    </row>
    <row r="100" spans="1:19" ht="15" thickBot="1" x14ac:dyDescent="0.4">
      <c r="B100" s="99">
        <f t="shared" si="7"/>
        <v>2882</v>
      </c>
      <c r="C100" s="256" t="s">
        <v>4924</v>
      </c>
      <c r="D100" s="256" t="s">
        <v>4925</v>
      </c>
      <c r="E100" s="397" t="str">
        <f t="shared" si="6"/>
        <v>18</v>
      </c>
      <c r="F100" s="255" t="s">
        <v>4917</v>
      </c>
      <c r="G100" s="256" t="s">
        <v>4855</v>
      </c>
      <c r="H100" s="268">
        <v>3.48</v>
      </c>
      <c r="I100" s="99" t="s">
        <v>4855</v>
      </c>
      <c r="J100" s="338" t="s">
        <v>5387</v>
      </c>
      <c r="O100" s="256">
        <v>4</v>
      </c>
      <c r="P100" t="s">
        <v>5046</v>
      </c>
      <c r="Q100">
        <v>5</v>
      </c>
      <c r="R100" t="s">
        <v>5048</v>
      </c>
      <c r="S100" s="398">
        <f t="shared" si="4"/>
        <v>4.416666666666667</v>
      </c>
    </row>
    <row r="101" spans="1:19" ht="15" thickBot="1" x14ac:dyDescent="0.4">
      <c r="B101" s="99">
        <f t="shared" si="7"/>
        <v>2883</v>
      </c>
      <c r="C101" s="254" t="s">
        <v>4926</v>
      </c>
      <c r="D101" s="254" t="s">
        <v>4927</v>
      </c>
      <c r="E101" s="397" t="str">
        <f t="shared" si="6"/>
        <v>18</v>
      </c>
      <c r="F101" s="255" t="s">
        <v>4917</v>
      </c>
      <c r="G101" s="256" t="s">
        <v>4647</v>
      </c>
      <c r="H101" s="268">
        <v>3.56</v>
      </c>
      <c r="I101" s="99" t="s">
        <v>4647</v>
      </c>
      <c r="J101" s="335">
        <v>470</v>
      </c>
      <c r="O101" s="256">
        <v>4</v>
      </c>
      <c r="P101" t="s">
        <v>5046</v>
      </c>
      <c r="Q101">
        <v>6</v>
      </c>
      <c r="R101" t="s">
        <v>5048</v>
      </c>
      <c r="S101" s="398">
        <f t="shared" si="4"/>
        <v>4.5</v>
      </c>
    </row>
    <row r="102" spans="1:19" ht="15" thickBot="1" x14ac:dyDescent="0.4">
      <c r="B102" s="99">
        <f t="shared" si="7"/>
        <v>2884</v>
      </c>
      <c r="C102" s="258" t="s">
        <v>4928</v>
      </c>
      <c r="D102" s="258" t="s">
        <v>4929</v>
      </c>
      <c r="E102" s="397" t="str">
        <f t="shared" si="6"/>
        <v>18</v>
      </c>
      <c r="F102" s="255" t="s">
        <v>4917</v>
      </c>
      <c r="G102" s="256" t="s">
        <v>4855</v>
      </c>
      <c r="H102" s="268">
        <v>3.03</v>
      </c>
      <c r="I102" s="99" t="s">
        <v>4855</v>
      </c>
      <c r="J102" s="368">
        <v>617</v>
      </c>
      <c r="O102" s="256">
        <v>4</v>
      </c>
      <c r="P102" t="s">
        <v>5046</v>
      </c>
      <c r="Q102">
        <v>5</v>
      </c>
      <c r="R102" t="s">
        <v>5048</v>
      </c>
      <c r="S102" s="398">
        <f t="shared" si="4"/>
        <v>4.416666666666667</v>
      </c>
    </row>
    <row r="103" spans="1:19" ht="15" thickBot="1" x14ac:dyDescent="0.4">
      <c r="B103" s="99">
        <f t="shared" si="7"/>
        <v>2885</v>
      </c>
      <c r="C103" s="256" t="s">
        <v>4930</v>
      </c>
      <c r="D103" s="256" t="s">
        <v>4931</v>
      </c>
      <c r="E103" s="397" t="str">
        <f t="shared" ref="E103:E133" si="8">LEFT(D103,2)</f>
        <v>18</v>
      </c>
      <c r="F103" s="255" t="s">
        <v>4917</v>
      </c>
      <c r="G103" s="256" t="s">
        <v>4647</v>
      </c>
      <c r="H103" s="268">
        <v>3.54</v>
      </c>
      <c r="I103" s="99" t="s">
        <v>4647</v>
      </c>
      <c r="J103" s="368">
        <v>550</v>
      </c>
      <c r="O103" s="256">
        <v>4</v>
      </c>
      <c r="P103" t="s">
        <v>5046</v>
      </c>
      <c r="Q103">
        <v>6</v>
      </c>
      <c r="R103" t="s">
        <v>5048</v>
      </c>
      <c r="S103" s="398">
        <f t="shared" si="4"/>
        <v>4.5</v>
      </c>
    </row>
    <row r="104" spans="1:19" ht="15" thickBot="1" x14ac:dyDescent="0.4">
      <c r="B104" s="99">
        <f t="shared" si="7"/>
        <v>2886</v>
      </c>
      <c r="C104" s="256" t="s">
        <v>4932</v>
      </c>
      <c r="D104" s="256" t="s">
        <v>4933</v>
      </c>
      <c r="E104" s="397" t="str">
        <f t="shared" si="8"/>
        <v>18</v>
      </c>
      <c r="F104" s="255" t="s">
        <v>4917</v>
      </c>
      <c r="G104" s="256" t="s">
        <v>4855</v>
      </c>
      <c r="H104" s="268">
        <v>3.57</v>
      </c>
      <c r="I104" s="99" t="s">
        <v>4855</v>
      </c>
      <c r="J104" s="368">
        <v>587</v>
      </c>
      <c r="O104" s="256">
        <v>4</v>
      </c>
      <c r="P104" t="s">
        <v>5046</v>
      </c>
      <c r="Q104">
        <v>5</v>
      </c>
      <c r="R104" t="s">
        <v>5048</v>
      </c>
      <c r="S104" s="398">
        <f t="shared" ref="S104:S133" si="9">O104+(Q104/12)</f>
        <v>4.416666666666667</v>
      </c>
    </row>
    <row r="105" spans="1:19" ht="15" thickBot="1" x14ac:dyDescent="0.4">
      <c r="B105" s="99">
        <f t="shared" si="7"/>
        <v>2887</v>
      </c>
      <c r="C105" s="254" t="s">
        <v>4934</v>
      </c>
      <c r="D105" s="254" t="s">
        <v>4935</v>
      </c>
      <c r="E105" s="397" t="str">
        <f t="shared" si="8"/>
        <v>18</v>
      </c>
      <c r="F105" s="255" t="s">
        <v>4917</v>
      </c>
      <c r="G105" s="256" t="s">
        <v>4855</v>
      </c>
      <c r="H105" s="268">
        <v>3.45</v>
      </c>
      <c r="I105" s="99" t="s">
        <v>4855</v>
      </c>
      <c r="J105" s="368">
        <v>590</v>
      </c>
      <c r="O105" s="256">
        <v>4</v>
      </c>
      <c r="P105" t="s">
        <v>5046</v>
      </c>
      <c r="Q105">
        <v>5</v>
      </c>
      <c r="R105" t="s">
        <v>5048</v>
      </c>
      <c r="S105" s="398">
        <f t="shared" si="9"/>
        <v>4.416666666666667</v>
      </c>
    </row>
    <row r="106" spans="1:19" ht="15" thickBot="1" x14ac:dyDescent="0.4">
      <c r="B106" s="99">
        <f>B103+1</f>
        <v>2886</v>
      </c>
      <c r="C106" s="254" t="s">
        <v>4359</v>
      </c>
      <c r="D106" s="254" t="s">
        <v>4360</v>
      </c>
      <c r="E106" s="397" t="str">
        <f t="shared" si="8"/>
        <v>18</v>
      </c>
      <c r="F106" s="255" t="s">
        <v>4941</v>
      </c>
      <c r="G106" s="256" t="s">
        <v>4647</v>
      </c>
      <c r="H106" s="268" t="s">
        <v>4828</v>
      </c>
      <c r="I106" s="99" t="s">
        <v>4647</v>
      </c>
      <c r="J106" s="368">
        <v>463</v>
      </c>
      <c r="O106" s="256">
        <v>4</v>
      </c>
      <c r="P106" t="s">
        <v>5046</v>
      </c>
      <c r="Q106">
        <v>6</v>
      </c>
      <c r="R106" t="s">
        <v>5048</v>
      </c>
      <c r="S106" s="398">
        <f t="shared" si="9"/>
        <v>4.5</v>
      </c>
    </row>
    <row r="107" spans="1:19" ht="15" thickBot="1" x14ac:dyDescent="0.4">
      <c r="B107" s="99">
        <f t="shared" ref="B107:B125" si="10">B106+1</f>
        <v>2887</v>
      </c>
      <c r="C107" s="254" t="s">
        <v>4361</v>
      </c>
      <c r="D107" s="254" t="s">
        <v>4362</v>
      </c>
      <c r="E107" s="397" t="str">
        <f t="shared" si="8"/>
        <v>18</v>
      </c>
      <c r="F107" s="255" t="s">
        <v>4941</v>
      </c>
      <c r="G107" s="256" t="s">
        <v>4647</v>
      </c>
      <c r="H107" s="257">
        <v>3.47</v>
      </c>
      <c r="I107" s="99" t="s">
        <v>4647</v>
      </c>
      <c r="J107" s="368">
        <v>570</v>
      </c>
      <c r="O107" s="256">
        <v>4</v>
      </c>
      <c r="P107" t="s">
        <v>5046</v>
      </c>
      <c r="Q107">
        <v>6</v>
      </c>
      <c r="R107" t="s">
        <v>5048</v>
      </c>
      <c r="S107" s="398">
        <f t="shared" si="9"/>
        <v>4.5</v>
      </c>
    </row>
    <row r="108" spans="1:19" ht="15" thickBot="1" x14ac:dyDescent="0.4">
      <c r="B108" s="99">
        <f t="shared" si="10"/>
        <v>2888</v>
      </c>
      <c r="C108" s="258" t="s">
        <v>4363</v>
      </c>
      <c r="D108" s="258" t="s">
        <v>4364</v>
      </c>
      <c r="E108" s="397" t="str">
        <f t="shared" si="8"/>
        <v>18</v>
      </c>
      <c r="F108" s="255" t="s">
        <v>4942</v>
      </c>
      <c r="G108" s="256" t="s">
        <v>4676</v>
      </c>
      <c r="H108" s="268">
        <v>3.67</v>
      </c>
      <c r="I108" s="99" t="s">
        <v>4676</v>
      </c>
      <c r="J108" s="368">
        <v>570</v>
      </c>
      <c r="O108" s="256">
        <v>4</v>
      </c>
      <c r="P108" t="s">
        <v>5046</v>
      </c>
      <c r="Q108">
        <v>7</v>
      </c>
      <c r="R108" t="s">
        <v>5048</v>
      </c>
      <c r="S108" s="398">
        <f t="shared" si="9"/>
        <v>4.583333333333333</v>
      </c>
    </row>
    <row r="109" spans="1:19" ht="15" thickBot="1" x14ac:dyDescent="0.4">
      <c r="B109" s="99">
        <f t="shared" si="10"/>
        <v>2889</v>
      </c>
      <c r="C109" s="258" t="s">
        <v>4368</v>
      </c>
      <c r="D109" s="258" t="s">
        <v>4369</v>
      </c>
      <c r="E109" s="397" t="str">
        <f t="shared" si="8"/>
        <v>18</v>
      </c>
      <c r="F109" s="255" t="s">
        <v>4942</v>
      </c>
      <c r="G109" s="256" t="s">
        <v>4676</v>
      </c>
      <c r="H109" s="268">
        <v>3.59</v>
      </c>
      <c r="I109" s="99" t="s">
        <v>4676</v>
      </c>
      <c r="J109" s="368">
        <v>553</v>
      </c>
      <c r="O109" s="256">
        <v>4</v>
      </c>
      <c r="P109" t="s">
        <v>5046</v>
      </c>
      <c r="Q109">
        <v>7</v>
      </c>
      <c r="R109" t="s">
        <v>5048</v>
      </c>
      <c r="S109" s="398">
        <f t="shared" si="9"/>
        <v>4.583333333333333</v>
      </c>
    </row>
    <row r="110" spans="1:19" ht="15" thickBot="1" x14ac:dyDescent="0.4">
      <c r="A110" s="2"/>
      <c r="B110" s="99">
        <f t="shared" si="10"/>
        <v>2890</v>
      </c>
      <c r="C110" s="254" t="s">
        <v>4373</v>
      </c>
      <c r="D110" s="254" t="s">
        <v>4374</v>
      </c>
      <c r="E110" s="397" t="str">
        <f t="shared" si="8"/>
        <v>18</v>
      </c>
      <c r="F110" s="255" t="s">
        <v>4942</v>
      </c>
      <c r="G110" s="256" t="s">
        <v>4676</v>
      </c>
      <c r="H110" s="268">
        <v>3.12</v>
      </c>
      <c r="I110" s="99" t="s">
        <v>4676</v>
      </c>
      <c r="J110" s="368">
        <v>553</v>
      </c>
      <c r="O110" s="256">
        <v>4</v>
      </c>
      <c r="P110" t="s">
        <v>5046</v>
      </c>
      <c r="Q110">
        <v>7</v>
      </c>
      <c r="R110" t="s">
        <v>5048</v>
      </c>
      <c r="S110" s="398">
        <f t="shared" si="9"/>
        <v>4.583333333333333</v>
      </c>
    </row>
    <row r="111" spans="1:19" ht="15" thickBot="1" x14ac:dyDescent="0.4">
      <c r="A111" s="2"/>
      <c r="B111" s="99">
        <f t="shared" si="10"/>
        <v>2891</v>
      </c>
      <c r="C111" s="258" t="s">
        <v>4376</v>
      </c>
      <c r="D111" s="258" t="s">
        <v>4377</v>
      </c>
      <c r="E111" s="397" t="str">
        <f t="shared" si="8"/>
        <v>18</v>
      </c>
      <c r="F111" s="255" t="s">
        <v>4942</v>
      </c>
      <c r="G111" s="256" t="s">
        <v>4676</v>
      </c>
      <c r="H111" s="268">
        <v>3.34</v>
      </c>
      <c r="I111" s="99" t="s">
        <v>4676</v>
      </c>
      <c r="J111" s="368">
        <v>637</v>
      </c>
      <c r="O111" s="256">
        <v>4</v>
      </c>
      <c r="P111" t="s">
        <v>5046</v>
      </c>
      <c r="Q111">
        <v>7</v>
      </c>
      <c r="R111" t="s">
        <v>5048</v>
      </c>
      <c r="S111" s="398">
        <f t="shared" si="9"/>
        <v>4.583333333333333</v>
      </c>
    </row>
    <row r="112" spans="1:19" ht="15" thickBot="1" x14ac:dyDescent="0.4">
      <c r="A112" s="2"/>
      <c r="B112" s="99">
        <f t="shared" si="10"/>
        <v>2892</v>
      </c>
      <c r="C112" s="256" t="s">
        <v>4378</v>
      </c>
      <c r="D112" s="256" t="s">
        <v>4379</v>
      </c>
      <c r="E112" s="397" t="str">
        <f t="shared" si="8"/>
        <v>18</v>
      </c>
      <c r="F112" s="311">
        <v>45034</v>
      </c>
      <c r="G112" s="256" t="s">
        <v>4681</v>
      </c>
      <c r="H112" s="266">
        <v>3.58</v>
      </c>
      <c r="I112" s="99" t="s">
        <v>4681</v>
      </c>
      <c r="J112" s="335">
        <v>553</v>
      </c>
      <c r="O112" s="256">
        <v>4</v>
      </c>
      <c r="P112" t="s">
        <v>5046</v>
      </c>
      <c r="Q112">
        <v>8</v>
      </c>
      <c r="R112" t="s">
        <v>5048</v>
      </c>
      <c r="S112" s="398">
        <f t="shared" si="9"/>
        <v>4.666666666666667</v>
      </c>
    </row>
    <row r="113" spans="1:19" ht="15" thickBot="1" x14ac:dyDescent="0.4">
      <c r="A113" s="2"/>
      <c r="B113" s="99">
        <f t="shared" si="10"/>
        <v>2893</v>
      </c>
      <c r="C113" s="256" t="s">
        <v>4381</v>
      </c>
      <c r="D113" s="256" t="s">
        <v>4382</v>
      </c>
      <c r="E113" s="397" t="str">
        <f t="shared" si="8"/>
        <v>18</v>
      </c>
      <c r="F113" s="311">
        <v>45034</v>
      </c>
      <c r="G113" s="256" t="s">
        <v>4676</v>
      </c>
      <c r="H113" s="268" t="s">
        <v>4670</v>
      </c>
      <c r="I113" s="99" t="s">
        <v>4676</v>
      </c>
      <c r="J113" s="335">
        <v>600</v>
      </c>
      <c r="O113" s="256">
        <v>4</v>
      </c>
      <c r="P113" t="s">
        <v>5046</v>
      </c>
      <c r="Q113">
        <v>7</v>
      </c>
      <c r="R113" t="s">
        <v>5048</v>
      </c>
      <c r="S113" s="398">
        <f t="shared" si="9"/>
        <v>4.583333333333333</v>
      </c>
    </row>
    <row r="114" spans="1:19" ht="15" thickBot="1" x14ac:dyDescent="0.4">
      <c r="A114" s="2"/>
      <c r="B114" s="99">
        <f t="shared" si="10"/>
        <v>2894</v>
      </c>
      <c r="C114" s="256" t="s">
        <v>4383</v>
      </c>
      <c r="D114" s="256" t="s">
        <v>4384</v>
      </c>
      <c r="E114" s="397" t="str">
        <f t="shared" si="8"/>
        <v>18</v>
      </c>
      <c r="F114" s="311">
        <v>45034</v>
      </c>
      <c r="G114" s="256" t="s">
        <v>4681</v>
      </c>
      <c r="H114" s="268">
        <v>3.62</v>
      </c>
      <c r="I114" s="105" t="s">
        <v>4681</v>
      </c>
      <c r="J114" s="335">
        <v>577</v>
      </c>
      <c r="O114" s="256">
        <v>4</v>
      </c>
      <c r="P114" t="s">
        <v>5046</v>
      </c>
      <c r="Q114">
        <v>8</v>
      </c>
      <c r="R114" t="s">
        <v>5048</v>
      </c>
      <c r="S114" s="398">
        <f t="shared" si="9"/>
        <v>4.666666666666667</v>
      </c>
    </row>
    <row r="115" spans="1:19" ht="15" thickBot="1" x14ac:dyDescent="0.4">
      <c r="A115" s="2"/>
      <c r="B115" s="99">
        <f t="shared" si="10"/>
        <v>2895</v>
      </c>
      <c r="C115" s="256" t="s">
        <v>4386</v>
      </c>
      <c r="D115" s="256" t="s">
        <v>4387</v>
      </c>
      <c r="E115" s="397" t="str">
        <f t="shared" si="8"/>
        <v>18</v>
      </c>
      <c r="F115" s="311">
        <v>45034</v>
      </c>
      <c r="G115" s="256" t="s">
        <v>4681</v>
      </c>
      <c r="H115" s="268" t="s">
        <v>4198</v>
      </c>
      <c r="I115" s="99" t="s">
        <v>4681</v>
      </c>
      <c r="J115" s="335">
        <v>580</v>
      </c>
      <c r="O115" s="256">
        <v>4</v>
      </c>
      <c r="P115" t="s">
        <v>5046</v>
      </c>
      <c r="Q115">
        <v>8</v>
      </c>
      <c r="R115" t="s">
        <v>5048</v>
      </c>
      <c r="S115" s="398">
        <f t="shared" si="9"/>
        <v>4.666666666666667</v>
      </c>
    </row>
    <row r="116" spans="1:19" ht="15" thickBot="1" x14ac:dyDescent="0.4">
      <c r="A116" s="2"/>
      <c r="B116" s="99">
        <f t="shared" si="10"/>
        <v>2896</v>
      </c>
      <c r="C116" s="258" t="s">
        <v>4389</v>
      </c>
      <c r="D116" s="258" t="s">
        <v>4390</v>
      </c>
      <c r="E116" s="397" t="str">
        <f t="shared" si="8"/>
        <v>18</v>
      </c>
      <c r="F116" s="311">
        <v>45034</v>
      </c>
      <c r="G116" s="256" t="s">
        <v>4861</v>
      </c>
      <c r="H116" s="268">
        <v>3.27</v>
      </c>
      <c r="I116" s="99" t="s">
        <v>4861</v>
      </c>
      <c r="J116" s="335">
        <v>597</v>
      </c>
      <c r="O116" s="256">
        <v>4</v>
      </c>
      <c r="P116" t="s">
        <v>5049</v>
      </c>
      <c r="Q116">
        <v>8</v>
      </c>
      <c r="R116" t="s">
        <v>5050</v>
      </c>
      <c r="S116" s="398">
        <f t="shared" si="9"/>
        <v>4.666666666666667</v>
      </c>
    </row>
    <row r="117" spans="1:19" ht="15" thickBot="1" x14ac:dyDescent="0.4">
      <c r="A117" s="2"/>
      <c r="B117" s="99">
        <f t="shared" si="10"/>
        <v>2897</v>
      </c>
      <c r="C117" s="258" t="s">
        <v>4391</v>
      </c>
      <c r="D117" s="258" t="s">
        <v>4392</v>
      </c>
      <c r="E117" s="397" t="str">
        <f t="shared" si="8"/>
        <v>18</v>
      </c>
      <c r="F117" s="256" t="s">
        <v>4945</v>
      </c>
      <c r="G117" s="256" t="s">
        <v>4686</v>
      </c>
      <c r="H117" s="268">
        <v>3.32</v>
      </c>
      <c r="I117" s="99" t="s">
        <v>4686</v>
      </c>
      <c r="J117" s="335">
        <v>550</v>
      </c>
      <c r="O117" s="256">
        <v>4</v>
      </c>
      <c r="P117" t="s">
        <v>5046</v>
      </c>
      <c r="Q117">
        <v>9</v>
      </c>
      <c r="R117" t="s">
        <v>5048</v>
      </c>
      <c r="S117" s="398">
        <f t="shared" si="9"/>
        <v>4.75</v>
      </c>
    </row>
    <row r="118" spans="1:19" ht="15" thickBot="1" x14ac:dyDescent="0.4">
      <c r="A118" s="2"/>
      <c r="B118" s="99">
        <f t="shared" si="10"/>
        <v>2898</v>
      </c>
      <c r="C118" s="256" t="s">
        <v>4396</v>
      </c>
      <c r="D118" s="256" t="s">
        <v>4397</v>
      </c>
      <c r="E118" s="397" t="str">
        <f t="shared" si="8"/>
        <v>18</v>
      </c>
      <c r="F118" s="256" t="s">
        <v>4945</v>
      </c>
      <c r="G118" s="256" t="s">
        <v>4686</v>
      </c>
      <c r="H118" s="266">
        <v>3.06</v>
      </c>
      <c r="I118" s="99" t="s">
        <v>4686</v>
      </c>
      <c r="J118" s="335">
        <v>547</v>
      </c>
      <c r="O118" s="256">
        <v>4</v>
      </c>
      <c r="P118" t="s">
        <v>5046</v>
      </c>
      <c r="Q118">
        <v>9</v>
      </c>
      <c r="R118" t="s">
        <v>5048</v>
      </c>
      <c r="S118" s="398">
        <f t="shared" si="9"/>
        <v>4.75</v>
      </c>
    </row>
    <row r="119" spans="1:19" ht="15" thickBot="1" x14ac:dyDescent="0.4">
      <c r="A119" s="2"/>
      <c r="B119" s="99">
        <f t="shared" si="10"/>
        <v>2899</v>
      </c>
      <c r="C119" s="256" t="s">
        <v>4400</v>
      </c>
      <c r="D119" s="256" t="s">
        <v>4401</v>
      </c>
      <c r="E119" s="397" t="str">
        <f t="shared" si="8"/>
        <v>18</v>
      </c>
      <c r="F119" s="256" t="s">
        <v>4945</v>
      </c>
      <c r="G119" s="256" t="s">
        <v>4830</v>
      </c>
      <c r="H119" s="266">
        <v>3.07</v>
      </c>
      <c r="I119" s="99" t="s">
        <v>4830</v>
      </c>
      <c r="J119" s="335" t="s">
        <v>5394</v>
      </c>
      <c r="O119" s="256">
        <v>5</v>
      </c>
      <c r="P119" t="s">
        <v>5046</v>
      </c>
      <c r="Q119">
        <v>0</v>
      </c>
      <c r="R119" t="s">
        <v>5048</v>
      </c>
      <c r="S119" s="398">
        <f t="shared" si="9"/>
        <v>5</v>
      </c>
    </row>
    <row r="120" spans="1:19" ht="15" thickBot="1" x14ac:dyDescent="0.4">
      <c r="A120" s="2"/>
      <c r="B120" s="99">
        <f t="shared" si="10"/>
        <v>2900</v>
      </c>
      <c r="C120" s="256" t="s">
        <v>4418</v>
      </c>
      <c r="D120" s="256" t="s">
        <v>4419</v>
      </c>
      <c r="E120" s="397" t="str">
        <f t="shared" si="8"/>
        <v>18</v>
      </c>
      <c r="F120" s="279" t="s">
        <v>4947</v>
      </c>
      <c r="G120" s="256" t="s">
        <v>4950</v>
      </c>
      <c r="H120" s="257">
        <v>2.86</v>
      </c>
      <c r="I120" s="99" t="s">
        <v>4950</v>
      </c>
      <c r="J120" s="335">
        <v>560</v>
      </c>
      <c r="O120" s="256">
        <v>4</v>
      </c>
      <c r="P120" t="s">
        <v>5049</v>
      </c>
      <c r="Q120">
        <v>10</v>
      </c>
      <c r="R120" t="s">
        <v>5050</v>
      </c>
      <c r="S120" s="398">
        <f t="shared" si="9"/>
        <v>4.833333333333333</v>
      </c>
    </row>
    <row r="121" spans="1:19" ht="15" thickBot="1" x14ac:dyDescent="0.4">
      <c r="A121" s="2"/>
      <c r="B121" s="99">
        <f t="shared" si="10"/>
        <v>2901</v>
      </c>
      <c r="C121" s="256" t="s">
        <v>4420</v>
      </c>
      <c r="D121" s="256" t="s">
        <v>4421</v>
      </c>
      <c r="E121" s="397" t="str">
        <f t="shared" si="8"/>
        <v>18</v>
      </c>
      <c r="F121" s="279" t="s">
        <v>4947</v>
      </c>
      <c r="G121" s="256" t="s">
        <v>4951</v>
      </c>
      <c r="H121" s="2">
        <v>3.36</v>
      </c>
      <c r="I121" s="99" t="s">
        <v>4951</v>
      </c>
      <c r="J121" s="335">
        <v>600</v>
      </c>
      <c r="O121" s="256">
        <v>5</v>
      </c>
      <c r="P121" t="s">
        <v>5049</v>
      </c>
      <c r="Q121">
        <v>11</v>
      </c>
      <c r="R121" t="s">
        <v>5050</v>
      </c>
      <c r="S121" s="398">
        <f t="shared" si="9"/>
        <v>5.916666666666667</v>
      </c>
    </row>
    <row r="122" spans="1:19" ht="15" thickBot="1" x14ac:dyDescent="0.4">
      <c r="A122" s="2"/>
      <c r="B122" s="99">
        <f t="shared" si="10"/>
        <v>2902</v>
      </c>
      <c r="C122" s="256" t="s">
        <v>4422</v>
      </c>
      <c r="D122" s="256" t="s">
        <v>4423</v>
      </c>
      <c r="E122" s="397" t="str">
        <f t="shared" si="8"/>
        <v>18</v>
      </c>
      <c r="F122" s="279" t="s">
        <v>4947</v>
      </c>
      <c r="G122" s="256" t="s">
        <v>4694</v>
      </c>
      <c r="H122" s="268" t="s">
        <v>4952</v>
      </c>
      <c r="I122" s="99" t="s">
        <v>4694</v>
      </c>
      <c r="J122" s="368">
        <v>460</v>
      </c>
      <c r="O122" s="256">
        <v>4</v>
      </c>
      <c r="P122" t="s">
        <v>5046</v>
      </c>
      <c r="Q122">
        <v>11</v>
      </c>
      <c r="R122" t="s">
        <v>5048</v>
      </c>
      <c r="S122" s="398">
        <f t="shared" si="9"/>
        <v>4.916666666666667</v>
      </c>
    </row>
    <row r="123" spans="1:19" ht="15" thickBot="1" x14ac:dyDescent="0.4">
      <c r="A123" s="2"/>
      <c r="B123" s="99">
        <f t="shared" si="10"/>
        <v>2903</v>
      </c>
      <c r="C123" s="256" t="s">
        <v>4463</v>
      </c>
      <c r="D123" s="256" t="s">
        <v>4464</v>
      </c>
      <c r="E123" s="397" t="str">
        <f t="shared" si="8"/>
        <v>18</v>
      </c>
      <c r="F123" s="256" t="s">
        <v>4955</v>
      </c>
      <c r="G123" s="256" t="s">
        <v>4694</v>
      </c>
      <c r="H123" s="268">
        <v>3.42</v>
      </c>
      <c r="I123" s="99" t="s">
        <v>4694</v>
      </c>
      <c r="J123" s="338" t="s">
        <v>5389</v>
      </c>
      <c r="O123" s="256">
        <v>4</v>
      </c>
      <c r="P123" t="s">
        <v>5046</v>
      </c>
      <c r="Q123">
        <v>11</v>
      </c>
      <c r="R123" t="s">
        <v>5048</v>
      </c>
      <c r="S123" s="398">
        <f t="shared" si="9"/>
        <v>4.916666666666667</v>
      </c>
    </row>
    <row r="124" spans="1:19" ht="15" thickBot="1" x14ac:dyDescent="0.4">
      <c r="A124" s="2"/>
      <c r="B124" s="99">
        <f t="shared" si="10"/>
        <v>2904</v>
      </c>
      <c r="C124" s="256" t="s">
        <v>4465</v>
      </c>
      <c r="D124" s="256" t="s">
        <v>4466</v>
      </c>
      <c r="E124" s="397" t="str">
        <f t="shared" si="8"/>
        <v>18</v>
      </c>
      <c r="F124" s="256" t="s">
        <v>4955</v>
      </c>
      <c r="G124" s="256" t="s">
        <v>4802</v>
      </c>
      <c r="H124" s="266">
        <v>3.43</v>
      </c>
      <c r="I124" s="99" t="s">
        <v>4802</v>
      </c>
      <c r="J124" s="334">
        <v>537</v>
      </c>
      <c r="O124" s="256">
        <v>5</v>
      </c>
      <c r="P124" t="s">
        <v>5046</v>
      </c>
      <c r="S124" s="398">
        <f t="shared" si="9"/>
        <v>5</v>
      </c>
    </row>
    <row r="125" spans="1:19" ht="15" thickBot="1" x14ac:dyDescent="0.4">
      <c r="A125" s="2"/>
      <c r="B125" s="99">
        <f t="shared" si="10"/>
        <v>2905</v>
      </c>
      <c r="C125" s="256" t="s">
        <v>4467</v>
      </c>
      <c r="D125" s="256" t="s">
        <v>4468</v>
      </c>
      <c r="E125" s="397" t="str">
        <f t="shared" si="8"/>
        <v>18</v>
      </c>
      <c r="F125" s="256" t="s">
        <v>4955</v>
      </c>
      <c r="G125" s="256" t="s">
        <v>4830</v>
      </c>
      <c r="H125" s="266">
        <v>3.32</v>
      </c>
      <c r="I125" s="99" t="s">
        <v>4830</v>
      </c>
      <c r="J125" s="335">
        <v>590</v>
      </c>
      <c r="O125" s="256">
        <v>5</v>
      </c>
      <c r="P125" t="s">
        <v>5046</v>
      </c>
      <c r="Q125">
        <v>0</v>
      </c>
      <c r="R125" t="s">
        <v>5048</v>
      </c>
      <c r="S125" s="398">
        <f t="shared" si="9"/>
        <v>5</v>
      </c>
    </row>
    <row r="126" spans="1:19" ht="15" thickBot="1" x14ac:dyDescent="0.4">
      <c r="A126" s="2"/>
      <c r="B126" s="99">
        <f>B123+1</f>
        <v>2904</v>
      </c>
      <c r="C126" s="256" t="s">
        <v>4487</v>
      </c>
      <c r="D126" s="256" t="s">
        <v>4488</v>
      </c>
      <c r="E126" s="397" t="str">
        <f t="shared" si="8"/>
        <v>18</v>
      </c>
      <c r="F126" s="273">
        <v>45170</v>
      </c>
      <c r="G126" s="256" t="s">
        <v>4964</v>
      </c>
      <c r="H126" s="266">
        <v>3.35</v>
      </c>
      <c r="I126" s="99" t="s">
        <v>4964</v>
      </c>
      <c r="J126" s="335">
        <v>547</v>
      </c>
      <c r="O126" s="256">
        <v>5</v>
      </c>
      <c r="P126" t="s">
        <v>5046</v>
      </c>
      <c r="Q126">
        <v>1</v>
      </c>
      <c r="R126" t="s">
        <v>5048</v>
      </c>
      <c r="S126" s="398">
        <f t="shared" si="9"/>
        <v>5.083333333333333</v>
      </c>
    </row>
    <row r="127" spans="1:19" ht="15" thickBot="1" x14ac:dyDescent="0.4">
      <c r="A127" s="2"/>
      <c r="B127" s="99">
        <f t="shared" ref="B127:B133" si="11">B126+1</f>
        <v>2905</v>
      </c>
      <c r="C127" s="256" t="s">
        <v>4489</v>
      </c>
      <c r="D127" s="256" t="s">
        <v>4490</v>
      </c>
      <c r="E127" s="397" t="str">
        <f t="shared" si="8"/>
        <v>18</v>
      </c>
      <c r="F127" s="273">
        <v>45170</v>
      </c>
      <c r="G127" s="256" t="s">
        <v>4965</v>
      </c>
      <c r="H127" s="266">
        <v>3.28</v>
      </c>
      <c r="I127" s="131" t="s">
        <v>4965</v>
      </c>
      <c r="J127" s="335">
        <v>260</v>
      </c>
      <c r="O127" s="256">
        <v>5</v>
      </c>
      <c r="P127" t="s">
        <v>5046</v>
      </c>
      <c r="Q127">
        <v>0</v>
      </c>
      <c r="R127" t="s">
        <v>5050</v>
      </c>
      <c r="S127" s="398">
        <f t="shared" si="9"/>
        <v>5</v>
      </c>
    </row>
    <row r="128" spans="1:19" ht="15" thickBot="1" x14ac:dyDescent="0.4">
      <c r="A128" s="2"/>
      <c r="B128" s="99">
        <f t="shared" si="11"/>
        <v>2906</v>
      </c>
      <c r="C128" s="256" t="s">
        <v>4509</v>
      </c>
      <c r="D128" s="256" t="s">
        <v>4510</v>
      </c>
      <c r="E128" s="397" t="str">
        <f t="shared" si="8"/>
        <v>18</v>
      </c>
      <c r="F128" s="256" t="s">
        <v>4970</v>
      </c>
      <c r="G128" s="256" t="s">
        <v>4631</v>
      </c>
      <c r="H128" s="266" t="s">
        <v>4673</v>
      </c>
      <c r="I128" s="131" t="s">
        <v>4631</v>
      </c>
      <c r="J128" s="335">
        <v>510</v>
      </c>
      <c r="O128" s="256">
        <v>5</v>
      </c>
      <c r="P128" t="s">
        <v>5046</v>
      </c>
      <c r="Q128">
        <v>2</v>
      </c>
      <c r="R128" t="s">
        <v>5048</v>
      </c>
      <c r="S128" s="398">
        <f t="shared" si="9"/>
        <v>5.166666666666667</v>
      </c>
    </row>
    <row r="129" spans="1:20" ht="15" thickBot="1" x14ac:dyDescent="0.4">
      <c r="A129" s="2"/>
      <c r="B129" s="99">
        <f t="shared" si="11"/>
        <v>2907</v>
      </c>
      <c r="C129" s="256" t="s">
        <v>4521</v>
      </c>
      <c r="D129" s="256" t="s">
        <v>4522</v>
      </c>
      <c r="E129" s="397" t="str">
        <f t="shared" si="8"/>
        <v>18</v>
      </c>
      <c r="F129" s="275" t="s">
        <v>4997</v>
      </c>
      <c r="G129" s="256" t="s">
        <v>4998</v>
      </c>
      <c r="H129" s="266">
        <v>2.67</v>
      </c>
      <c r="I129" s="131" t="s">
        <v>4998</v>
      </c>
      <c r="J129" s="335">
        <v>557</v>
      </c>
      <c r="O129" s="256">
        <v>5</v>
      </c>
      <c r="P129" t="s">
        <v>5046</v>
      </c>
      <c r="Q129">
        <v>4</v>
      </c>
      <c r="R129" t="s">
        <v>5048</v>
      </c>
      <c r="S129" s="398">
        <f t="shared" si="9"/>
        <v>5.333333333333333</v>
      </c>
    </row>
    <row r="130" spans="1:20" ht="15" thickBot="1" x14ac:dyDescent="0.4">
      <c r="A130" s="2"/>
      <c r="B130" s="99">
        <f t="shared" si="11"/>
        <v>2908</v>
      </c>
      <c r="C130" s="256" t="s">
        <v>4524</v>
      </c>
      <c r="D130" s="256" t="s">
        <v>4525</v>
      </c>
      <c r="E130" s="397" t="str">
        <f t="shared" si="8"/>
        <v>18</v>
      </c>
      <c r="F130" s="275" t="s">
        <v>4997</v>
      </c>
      <c r="G130" s="256" t="s">
        <v>4851</v>
      </c>
      <c r="H130" s="266" t="s">
        <v>4679</v>
      </c>
      <c r="I130" s="99" t="s">
        <v>4851</v>
      </c>
      <c r="J130" s="335">
        <v>533</v>
      </c>
      <c r="O130" s="256">
        <v>5</v>
      </c>
      <c r="P130" t="s">
        <v>5049</v>
      </c>
      <c r="Q130">
        <v>4</v>
      </c>
      <c r="R130" t="s">
        <v>5050</v>
      </c>
      <c r="S130" s="398">
        <f t="shared" si="9"/>
        <v>5.333333333333333</v>
      </c>
    </row>
    <row r="131" spans="1:20" ht="15" thickBot="1" x14ac:dyDescent="0.4">
      <c r="B131" s="99">
        <f t="shared" si="11"/>
        <v>2909</v>
      </c>
      <c r="C131" s="256" t="s">
        <v>4539</v>
      </c>
      <c r="D131" s="256" t="s">
        <v>4523</v>
      </c>
      <c r="E131" s="397" t="str">
        <f t="shared" si="8"/>
        <v>18</v>
      </c>
      <c r="F131" s="256" t="s">
        <v>5003</v>
      </c>
      <c r="G131" s="256" t="s">
        <v>5004</v>
      </c>
      <c r="H131" s="283" t="s">
        <v>5005</v>
      </c>
      <c r="I131" s="396" t="s">
        <v>5004</v>
      </c>
      <c r="J131" s="335">
        <v>510</v>
      </c>
      <c r="O131" s="256">
        <v>5</v>
      </c>
      <c r="P131" t="s">
        <v>5046</v>
      </c>
      <c r="Q131">
        <v>3</v>
      </c>
      <c r="R131" t="s">
        <v>5048</v>
      </c>
      <c r="S131" s="398">
        <f t="shared" si="9"/>
        <v>5.25</v>
      </c>
    </row>
    <row r="132" spans="1:20" ht="15" thickBot="1" x14ac:dyDescent="0.4">
      <c r="B132" s="99">
        <f t="shared" si="11"/>
        <v>2910</v>
      </c>
      <c r="C132" s="256" t="s">
        <v>4540</v>
      </c>
      <c r="D132" s="256" t="s">
        <v>4528</v>
      </c>
      <c r="E132" s="397" t="str">
        <f t="shared" si="8"/>
        <v>18</v>
      </c>
      <c r="F132" s="256" t="s">
        <v>5003</v>
      </c>
      <c r="G132" s="256" t="s">
        <v>5004</v>
      </c>
      <c r="H132" s="266">
        <v>3.29</v>
      </c>
      <c r="I132" s="396" t="s">
        <v>5004</v>
      </c>
      <c r="J132" s="335">
        <v>563</v>
      </c>
      <c r="O132" s="256">
        <v>5</v>
      </c>
      <c r="P132" t="s">
        <v>5046</v>
      </c>
      <c r="Q132">
        <v>3</v>
      </c>
      <c r="R132" t="s">
        <v>5048</v>
      </c>
      <c r="S132" s="398">
        <f t="shared" si="9"/>
        <v>5.25</v>
      </c>
    </row>
    <row r="133" spans="1:20" ht="15" thickBot="1" x14ac:dyDescent="0.4">
      <c r="B133" s="99">
        <f t="shared" si="11"/>
        <v>2911</v>
      </c>
      <c r="C133" s="256" t="s">
        <v>4541</v>
      </c>
      <c r="D133" s="256" t="s">
        <v>4531</v>
      </c>
      <c r="E133" s="397" t="str">
        <f t="shared" si="8"/>
        <v>18</v>
      </c>
      <c r="F133" s="256" t="s">
        <v>5003</v>
      </c>
      <c r="G133" s="256" t="s">
        <v>4791</v>
      </c>
      <c r="H133" s="266">
        <v>2.92</v>
      </c>
      <c r="I133" s="396" t="s">
        <v>4791</v>
      </c>
      <c r="J133" s="335">
        <v>520</v>
      </c>
      <c r="O133" s="256">
        <v>5</v>
      </c>
      <c r="P133" t="s">
        <v>5046</v>
      </c>
      <c r="Q133">
        <v>6</v>
      </c>
      <c r="R133" t="s">
        <v>5048</v>
      </c>
      <c r="S133" s="398">
        <f t="shared" si="9"/>
        <v>5.5</v>
      </c>
    </row>
    <row r="134" spans="1:20" ht="15" customHeight="1" thickBot="1" x14ac:dyDescent="0.4">
      <c r="B134" s="301"/>
      <c r="C134" s="353" t="s">
        <v>5076</v>
      </c>
      <c r="D134" s="354" t="s">
        <v>5077</v>
      </c>
      <c r="E134" s="399">
        <v>19</v>
      </c>
      <c r="F134" s="357">
        <v>45443</v>
      </c>
      <c r="G134" s="333"/>
      <c r="H134" s="343">
        <v>3.13</v>
      </c>
      <c r="I134" s="301"/>
      <c r="J134" s="335">
        <v>580</v>
      </c>
    </row>
    <row r="135" spans="1:20" ht="15" customHeight="1" thickBot="1" x14ac:dyDescent="0.4">
      <c r="B135" s="301"/>
      <c r="C135" s="353" t="s">
        <v>5078</v>
      </c>
      <c r="D135" s="354" t="s">
        <v>5079</v>
      </c>
      <c r="E135" s="399">
        <v>19</v>
      </c>
      <c r="F135" s="357">
        <v>45443</v>
      </c>
      <c r="G135" s="333"/>
      <c r="H135" s="343">
        <v>3.25</v>
      </c>
      <c r="I135" s="301"/>
      <c r="J135" s="338" t="s">
        <v>5391</v>
      </c>
    </row>
    <row r="136" spans="1:20" ht="15" customHeight="1" thickBot="1" x14ac:dyDescent="0.4">
      <c r="B136" s="301"/>
      <c r="C136" s="353" t="s">
        <v>5084</v>
      </c>
      <c r="D136" s="354" t="s">
        <v>5085</v>
      </c>
      <c r="E136" s="399">
        <v>19</v>
      </c>
      <c r="F136" s="357">
        <v>45504</v>
      </c>
      <c r="G136" s="333"/>
      <c r="H136" s="343">
        <v>2.73</v>
      </c>
      <c r="I136" s="301"/>
      <c r="J136" s="335">
        <v>517</v>
      </c>
    </row>
    <row r="137" spans="1:20" ht="15" customHeight="1" thickBot="1" x14ac:dyDescent="0.4">
      <c r="B137" s="301"/>
      <c r="C137" s="353" t="s">
        <v>5086</v>
      </c>
      <c r="D137" s="354" t="s">
        <v>5087</v>
      </c>
      <c r="E137" s="399">
        <v>19</v>
      </c>
      <c r="F137" s="357">
        <v>45504</v>
      </c>
      <c r="G137" s="333"/>
      <c r="H137" s="343">
        <v>3.21</v>
      </c>
      <c r="I137" s="301"/>
      <c r="J137" s="335">
        <v>553</v>
      </c>
    </row>
    <row r="138" spans="1:20" ht="15" thickBot="1" x14ac:dyDescent="0.4">
      <c r="B138" s="301"/>
      <c r="C138" s="254" t="s">
        <v>5114</v>
      </c>
      <c r="D138" s="330" t="s">
        <v>5253</v>
      </c>
      <c r="E138" s="400">
        <v>19</v>
      </c>
      <c r="F138" s="340">
        <v>45580</v>
      </c>
      <c r="G138" s="333"/>
      <c r="H138" s="268" t="s">
        <v>4673</v>
      </c>
      <c r="I138" s="301"/>
      <c r="J138" s="335">
        <v>550</v>
      </c>
    </row>
    <row r="139" spans="1:20" ht="15" thickBot="1" x14ac:dyDescent="0.4">
      <c r="B139" s="301"/>
      <c r="C139" s="256" t="s">
        <v>5153</v>
      </c>
      <c r="D139" s="328" t="s">
        <v>5292</v>
      </c>
      <c r="E139" s="400">
        <v>19</v>
      </c>
      <c r="F139" s="340">
        <v>45688</v>
      </c>
      <c r="G139" s="333"/>
      <c r="H139" s="334">
        <v>3.03</v>
      </c>
      <c r="I139" s="301"/>
      <c r="J139" s="338" t="s">
        <v>5392</v>
      </c>
    </row>
    <row r="140" spans="1:20" ht="15" thickBot="1" x14ac:dyDescent="0.4">
      <c r="B140" s="301"/>
      <c r="C140" s="256" t="s">
        <v>5169</v>
      </c>
      <c r="D140" s="328" t="s">
        <v>5308</v>
      </c>
      <c r="E140" s="400">
        <v>19</v>
      </c>
      <c r="F140" s="340">
        <v>45862</v>
      </c>
      <c r="G140" s="333"/>
      <c r="H140" s="334">
        <v>3.74</v>
      </c>
      <c r="I140" s="301"/>
      <c r="J140" s="335">
        <v>543</v>
      </c>
    </row>
    <row r="141" spans="1:20" ht="15" thickBot="1" x14ac:dyDescent="0.4">
      <c r="B141" s="352"/>
      <c r="C141" s="256" t="s">
        <v>5170</v>
      </c>
      <c r="D141" s="328" t="s">
        <v>5309</v>
      </c>
      <c r="E141" s="400">
        <v>19</v>
      </c>
      <c r="F141" s="340">
        <v>45862</v>
      </c>
      <c r="G141" s="333"/>
      <c r="H141" s="334">
        <v>3.25</v>
      </c>
      <c r="I141" s="301"/>
      <c r="J141" s="338">
        <v>560</v>
      </c>
    </row>
    <row r="142" spans="1:20" ht="15.5" thickTop="1" thickBot="1" x14ac:dyDescent="0.4">
      <c r="A142" s="2"/>
      <c r="B142" s="293">
        <f t="shared" ref="B142:B173" si="12">B141+1</f>
        <v>1</v>
      </c>
      <c r="C142" s="256" t="s">
        <v>4404</v>
      </c>
      <c r="D142" s="256" t="s">
        <v>4405</v>
      </c>
      <c r="E142" s="400" t="str">
        <f t="shared" ref="E142:E173" si="13">LEFT(D142,2)</f>
        <v>19</v>
      </c>
      <c r="F142" s="256" t="s">
        <v>4945</v>
      </c>
      <c r="G142" s="256" t="s">
        <v>4805</v>
      </c>
      <c r="H142" s="268">
        <v>3.84</v>
      </c>
      <c r="I142" s="99" t="s">
        <v>4805</v>
      </c>
      <c r="J142" s="335">
        <v>497</v>
      </c>
      <c r="O142" s="256">
        <v>3</v>
      </c>
      <c r="P142" t="s">
        <v>5046</v>
      </c>
      <c r="Q142">
        <v>10</v>
      </c>
      <c r="R142" t="s">
        <v>5048</v>
      </c>
      <c r="S142" s="398">
        <f t="shared" ref="S142:S205" si="14">O142+(Q142/12)</f>
        <v>3.8333333333333335</v>
      </c>
      <c r="T142" s="402">
        <f>AVERAGE(S142:S233)</f>
        <v>4.1585144927536257</v>
      </c>
    </row>
    <row r="143" spans="1:20" ht="15" thickBot="1" x14ac:dyDescent="0.4">
      <c r="A143" s="2"/>
      <c r="B143" s="99">
        <f t="shared" si="12"/>
        <v>2</v>
      </c>
      <c r="C143" s="281" t="s">
        <v>4407</v>
      </c>
      <c r="D143" s="256" t="s">
        <v>4408</v>
      </c>
      <c r="E143" s="400" t="str">
        <f t="shared" si="13"/>
        <v>19</v>
      </c>
      <c r="F143" s="256" t="s">
        <v>4946</v>
      </c>
      <c r="G143" s="256" t="s">
        <v>4805</v>
      </c>
      <c r="H143" s="268">
        <v>3.68</v>
      </c>
      <c r="I143" s="99" t="s">
        <v>4805</v>
      </c>
      <c r="J143" s="335">
        <v>577</v>
      </c>
      <c r="O143" s="256">
        <v>3</v>
      </c>
      <c r="P143" t="s">
        <v>5046</v>
      </c>
      <c r="Q143">
        <v>10</v>
      </c>
      <c r="R143" t="s">
        <v>5048</v>
      </c>
      <c r="S143" s="398">
        <f t="shared" si="14"/>
        <v>3.8333333333333335</v>
      </c>
    </row>
    <row r="144" spans="1:20" ht="15" thickBot="1" x14ac:dyDescent="0.4">
      <c r="A144" s="2"/>
      <c r="B144" s="99">
        <f t="shared" si="12"/>
        <v>3</v>
      </c>
      <c r="C144" s="256" t="s">
        <v>4410</v>
      </c>
      <c r="D144" s="256" t="s">
        <v>4411</v>
      </c>
      <c r="E144" s="400" t="str">
        <f t="shared" si="13"/>
        <v>19</v>
      </c>
      <c r="F144" s="256" t="s">
        <v>4946</v>
      </c>
      <c r="G144" s="256" t="s">
        <v>4814</v>
      </c>
      <c r="H144" s="266">
        <v>3.47</v>
      </c>
      <c r="I144" s="99" t="s">
        <v>4814</v>
      </c>
      <c r="J144" s="335">
        <v>607</v>
      </c>
      <c r="O144" s="256">
        <v>3</v>
      </c>
      <c r="P144" t="s">
        <v>5049</v>
      </c>
      <c r="Q144">
        <v>10</v>
      </c>
      <c r="R144" t="s">
        <v>5050</v>
      </c>
      <c r="S144" s="398">
        <f t="shared" si="14"/>
        <v>3.8333333333333335</v>
      </c>
    </row>
    <row r="145" spans="1:19" ht="15" thickBot="1" x14ac:dyDescent="0.4">
      <c r="A145" s="2"/>
      <c r="B145" s="99">
        <f t="shared" si="12"/>
        <v>4</v>
      </c>
      <c r="C145" s="256" t="s">
        <v>4424</v>
      </c>
      <c r="D145" s="256" t="s">
        <v>4425</v>
      </c>
      <c r="E145" s="400" t="str">
        <f t="shared" si="13"/>
        <v>19</v>
      </c>
      <c r="F145" s="279" t="s">
        <v>4947</v>
      </c>
      <c r="G145" s="256" t="s">
        <v>4688</v>
      </c>
      <c r="H145" s="257">
        <v>3.59</v>
      </c>
      <c r="I145" s="99" t="s">
        <v>4688</v>
      </c>
      <c r="J145" s="338" t="s">
        <v>5393</v>
      </c>
      <c r="O145" s="256">
        <v>3</v>
      </c>
      <c r="P145" t="s">
        <v>5046</v>
      </c>
      <c r="Q145">
        <v>11</v>
      </c>
      <c r="R145" t="s">
        <v>5048</v>
      </c>
      <c r="S145" s="398">
        <f t="shared" si="14"/>
        <v>3.9166666666666665</v>
      </c>
    </row>
    <row r="146" spans="1:19" ht="15" thickBot="1" x14ac:dyDescent="0.4">
      <c r="A146" s="2"/>
      <c r="B146" s="99">
        <f t="shared" si="12"/>
        <v>5</v>
      </c>
      <c r="C146" s="256" t="s">
        <v>4426</v>
      </c>
      <c r="D146" s="256" t="s">
        <v>4427</v>
      </c>
      <c r="E146" s="400" t="str">
        <f t="shared" si="13"/>
        <v>19</v>
      </c>
      <c r="F146" s="279" t="s">
        <v>4947</v>
      </c>
      <c r="G146" s="256" t="s">
        <v>4743</v>
      </c>
      <c r="H146" s="2">
        <v>3.77</v>
      </c>
      <c r="I146" s="99" t="s">
        <v>4743</v>
      </c>
      <c r="J146" s="335">
        <v>597</v>
      </c>
      <c r="O146" s="256">
        <v>4</v>
      </c>
      <c r="P146" t="s">
        <v>5046</v>
      </c>
      <c r="Q146">
        <v>0</v>
      </c>
      <c r="R146" t="s">
        <v>5048</v>
      </c>
      <c r="S146" s="398">
        <f t="shared" si="14"/>
        <v>4</v>
      </c>
    </row>
    <row r="147" spans="1:19" ht="15" thickBot="1" x14ac:dyDescent="0.4">
      <c r="A147" s="2"/>
      <c r="B147" s="99">
        <f t="shared" si="12"/>
        <v>6</v>
      </c>
      <c r="C147" s="256" t="s">
        <v>4428</v>
      </c>
      <c r="D147" s="256" t="s">
        <v>4429</v>
      </c>
      <c r="E147" s="400" t="str">
        <f t="shared" si="13"/>
        <v>19</v>
      </c>
      <c r="F147" s="279" t="s">
        <v>4947</v>
      </c>
      <c r="G147" s="256" t="s">
        <v>4688</v>
      </c>
      <c r="H147" s="257">
        <v>3.61</v>
      </c>
      <c r="I147" s="99" t="s">
        <v>4688</v>
      </c>
      <c r="J147" s="335">
        <v>487</v>
      </c>
      <c r="O147" s="256">
        <v>3</v>
      </c>
      <c r="P147" t="s">
        <v>5046</v>
      </c>
      <c r="Q147">
        <v>11</v>
      </c>
      <c r="R147" t="s">
        <v>5048</v>
      </c>
      <c r="S147" s="398">
        <f t="shared" si="14"/>
        <v>3.9166666666666665</v>
      </c>
    </row>
    <row r="148" spans="1:19" ht="15" thickBot="1" x14ac:dyDescent="0.4">
      <c r="A148" s="2"/>
      <c r="B148" s="99">
        <f t="shared" si="12"/>
        <v>7</v>
      </c>
      <c r="C148" s="256" t="s">
        <v>4430</v>
      </c>
      <c r="D148" s="256" t="s">
        <v>4431</v>
      </c>
      <c r="E148" s="400" t="str">
        <f t="shared" si="13"/>
        <v>19</v>
      </c>
      <c r="F148" s="279" t="s">
        <v>4947</v>
      </c>
      <c r="G148" s="256" t="s">
        <v>4688</v>
      </c>
      <c r="H148" s="268" t="s">
        <v>4953</v>
      </c>
      <c r="I148" s="99" t="s">
        <v>4688</v>
      </c>
      <c r="J148" s="335">
        <v>480</v>
      </c>
      <c r="O148" s="256">
        <v>3</v>
      </c>
      <c r="P148" t="s">
        <v>5046</v>
      </c>
      <c r="Q148">
        <v>11</v>
      </c>
      <c r="R148" t="s">
        <v>5048</v>
      </c>
      <c r="S148" s="398">
        <f t="shared" si="14"/>
        <v>3.9166666666666665</v>
      </c>
    </row>
    <row r="149" spans="1:19" ht="15" thickBot="1" x14ac:dyDescent="0.4">
      <c r="A149" s="2"/>
      <c r="B149" s="99">
        <f t="shared" si="12"/>
        <v>8</v>
      </c>
      <c r="C149" s="256" t="s">
        <v>4432</v>
      </c>
      <c r="D149" s="256" t="s">
        <v>4433</v>
      </c>
      <c r="E149" s="400" t="str">
        <f t="shared" si="13"/>
        <v>19</v>
      </c>
      <c r="F149" s="338" t="s">
        <v>4947</v>
      </c>
      <c r="G149" s="281" t="s">
        <v>4688</v>
      </c>
      <c r="H149" s="2">
        <v>3.38</v>
      </c>
      <c r="I149" s="99" t="s">
        <v>4688</v>
      </c>
      <c r="J149" s="335">
        <v>517</v>
      </c>
      <c r="O149" s="281">
        <v>3</v>
      </c>
      <c r="P149" t="s">
        <v>5046</v>
      </c>
      <c r="Q149">
        <v>11</v>
      </c>
      <c r="R149" t="s">
        <v>5048</v>
      </c>
      <c r="S149" s="398">
        <f t="shared" si="14"/>
        <v>3.9166666666666665</v>
      </c>
    </row>
    <row r="150" spans="1:19" x14ac:dyDescent="0.35">
      <c r="A150" s="2"/>
      <c r="B150" s="99">
        <f t="shared" si="12"/>
        <v>9</v>
      </c>
      <c r="C150" s="314" t="s">
        <v>4434</v>
      </c>
      <c r="D150" s="281" t="s">
        <v>4435</v>
      </c>
      <c r="E150" s="400" t="str">
        <f t="shared" si="13"/>
        <v>19</v>
      </c>
      <c r="F150" s="338" t="s">
        <v>4947</v>
      </c>
      <c r="G150" s="281" t="s">
        <v>4698</v>
      </c>
      <c r="H150" s="268" t="s">
        <v>4707</v>
      </c>
      <c r="I150" s="99" t="s">
        <v>4698</v>
      </c>
      <c r="J150" s="335">
        <v>550</v>
      </c>
      <c r="O150" s="281">
        <v>3</v>
      </c>
      <c r="P150" t="s">
        <v>5046</v>
      </c>
      <c r="Q150">
        <v>11</v>
      </c>
      <c r="R150" t="s">
        <v>5048</v>
      </c>
      <c r="S150" s="398">
        <f t="shared" si="14"/>
        <v>3.9166666666666665</v>
      </c>
    </row>
    <row r="151" spans="1:19" ht="16" thickBot="1" x14ac:dyDescent="0.4">
      <c r="B151" s="99">
        <f t="shared" si="12"/>
        <v>10</v>
      </c>
      <c r="C151" s="346" t="s">
        <v>4436</v>
      </c>
      <c r="D151" s="271" t="s">
        <v>4437</v>
      </c>
      <c r="E151" s="400" t="str">
        <f t="shared" si="13"/>
        <v>19</v>
      </c>
      <c r="F151" s="338" t="s">
        <v>4947</v>
      </c>
      <c r="G151" s="271" t="s">
        <v>4743</v>
      </c>
      <c r="H151" s="280" t="s">
        <v>4863</v>
      </c>
      <c r="I151" s="99" t="s">
        <v>4743</v>
      </c>
      <c r="J151" s="338" t="s">
        <v>3386</v>
      </c>
      <c r="O151" s="271">
        <v>4</v>
      </c>
      <c r="P151" t="s">
        <v>5046</v>
      </c>
      <c r="Q151">
        <v>0</v>
      </c>
      <c r="R151" t="s">
        <v>5048</v>
      </c>
      <c r="S151" s="398">
        <f t="shared" si="14"/>
        <v>4</v>
      </c>
    </row>
    <row r="152" spans="1:19" ht="15" thickBot="1" x14ac:dyDescent="0.4">
      <c r="A152" s="2"/>
      <c r="B152" s="99">
        <f t="shared" si="12"/>
        <v>11</v>
      </c>
      <c r="C152" s="256" t="s">
        <v>4438</v>
      </c>
      <c r="D152" s="256" t="s">
        <v>4439</v>
      </c>
      <c r="E152" s="400" t="str">
        <f t="shared" si="13"/>
        <v>19</v>
      </c>
      <c r="F152" s="279" t="s">
        <v>4947</v>
      </c>
      <c r="G152" s="256" t="s">
        <v>4606</v>
      </c>
      <c r="H152" s="257">
        <v>3.92</v>
      </c>
      <c r="I152" s="246" t="s">
        <v>4606</v>
      </c>
      <c r="J152" s="335">
        <v>540</v>
      </c>
      <c r="O152" s="256">
        <v>4</v>
      </c>
      <c r="P152" t="s">
        <v>5046</v>
      </c>
      <c r="S152" s="398">
        <f t="shared" si="14"/>
        <v>4</v>
      </c>
    </row>
    <row r="153" spans="1:19" ht="15" thickBot="1" x14ac:dyDescent="0.4">
      <c r="A153" s="2"/>
      <c r="B153" s="99">
        <f t="shared" si="12"/>
        <v>12</v>
      </c>
      <c r="C153" s="258" t="s">
        <v>4440</v>
      </c>
      <c r="D153" s="258" t="s">
        <v>4441</v>
      </c>
      <c r="E153" s="400" t="str">
        <f t="shared" si="13"/>
        <v>19</v>
      </c>
      <c r="F153" s="279" t="s">
        <v>4947</v>
      </c>
      <c r="G153" s="258" t="s">
        <v>4743</v>
      </c>
      <c r="H153" s="257">
        <v>3.78</v>
      </c>
      <c r="I153" s="293" t="s">
        <v>4743</v>
      </c>
      <c r="J153" s="335">
        <v>517</v>
      </c>
      <c r="O153" s="258">
        <v>4</v>
      </c>
      <c r="P153" t="s">
        <v>5046</v>
      </c>
      <c r="Q153">
        <v>0</v>
      </c>
      <c r="R153" t="s">
        <v>5048</v>
      </c>
      <c r="S153" s="398">
        <f t="shared" si="14"/>
        <v>4</v>
      </c>
    </row>
    <row r="154" spans="1:19" ht="16" thickBot="1" x14ac:dyDescent="0.4">
      <c r="A154" s="2"/>
      <c r="B154" s="99">
        <f t="shared" si="12"/>
        <v>13</v>
      </c>
      <c r="C154" s="258" t="s">
        <v>4442</v>
      </c>
      <c r="D154" s="258" t="s">
        <v>4443</v>
      </c>
      <c r="E154" s="400" t="str">
        <f t="shared" si="13"/>
        <v>19</v>
      </c>
      <c r="F154" s="279" t="s">
        <v>4947</v>
      </c>
      <c r="G154" s="258" t="s">
        <v>4748</v>
      </c>
      <c r="H154" s="280" t="s">
        <v>4844</v>
      </c>
      <c r="I154" s="99" t="s">
        <v>4748</v>
      </c>
      <c r="J154" s="335">
        <v>520</v>
      </c>
      <c r="O154" s="258">
        <v>4</v>
      </c>
      <c r="P154" t="s">
        <v>5049</v>
      </c>
      <c r="S154" s="398">
        <f t="shared" si="14"/>
        <v>4</v>
      </c>
    </row>
    <row r="155" spans="1:19" ht="15" thickBot="1" x14ac:dyDescent="0.4">
      <c r="A155" s="2"/>
      <c r="B155" s="99">
        <f t="shared" si="12"/>
        <v>14</v>
      </c>
      <c r="C155" s="256" t="s">
        <v>4444</v>
      </c>
      <c r="D155" s="256" t="s">
        <v>4445</v>
      </c>
      <c r="E155" s="400" t="str">
        <f t="shared" si="13"/>
        <v>19</v>
      </c>
      <c r="F155" s="279" t="s">
        <v>4947</v>
      </c>
      <c r="G155" s="256" t="s">
        <v>4688</v>
      </c>
      <c r="H155" s="257">
        <v>3.76</v>
      </c>
      <c r="I155" s="99" t="s">
        <v>4688</v>
      </c>
      <c r="J155" s="335">
        <v>553</v>
      </c>
      <c r="O155" s="256">
        <v>3</v>
      </c>
      <c r="P155" t="s">
        <v>5046</v>
      </c>
      <c r="Q155">
        <v>11</v>
      </c>
      <c r="R155" t="s">
        <v>5048</v>
      </c>
      <c r="S155" s="398">
        <f t="shared" si="14"/>
        <v>3.9166666666666665</v>
      </c>
    </row>
    <row r="156" spans="1:19" ht="15" thickBot="1" x14ac:dyDescent="0.4">
      <c r="A156" s="2"/>
      <c r="B156" s="99">
        <f t="shared" si="12"/>
        <v>15</v>
      </c>
      <c r="C156" s="256" t="s">
        <v>4446</v>
      </c>
      <c r="D156" s="256" t="s">
        <v>4447</v>
      </c>
      <c r="E156" s="400" t="str">
        <f t="shared" si="13"/>
        <v>19</v>
      </c>
      <c r="F156" s="279" t="s">
        <v>4947</v>
      </c>
      <c r="G156" s="256" t="s">
        <v>4698</v>
      </c>
      <c r="H156" s="2">
        <v>3.78</v>
      </c>
      <c r="I156" s="99" t="s">
        <v>4698</v>
      </c>
      <c r="J156" s="335">
        <v>573</v>
      </c>
      <c r="O156" s="281">
        <v>3</v>
      </c>
      <c r="P156" t="s">
        <v>5046</v>
      </c>
      <c r="Q156">
        <v>11</v>
      </c>
      <c r="R156" t="s">
        <v>5048</v>
      </c>
      <c r="S156" s="398">
        <f t="shared" si="14"/>
        <v>3.9166666666666665</v>
      </c>
    </row>
    <row r="157" spans="1:19" ht="15" thickBot="1" x14ac:dyDescent="0.4">
      <c r="A157" s="2"/>
      <c r="B157" s="99">
        <f t="shared" si="12"/>
        <v>16</v>
      </c>
      <c r="C157" s="256" t="s">
        <v>4954</v>
      </c>
      <c r="D157" s="256" t="s">
        <v>4448</v>
      </c>
      <c r="E157" s="400" t="str">
        <f t="shared" si="13"/>
        <v>19</v>
      </c>
      <c r="F157" s="279" t="s">
        <v>4947</v>
      </c>
      <c r="G157" s="256" t="s">
        <v>4743</v>
      </c>
      <c r="H157" s="257">
        <v>3.58</v>
      </c>
      <c r="I157" s="99" t="s">
        <v>4743</v>
      </c>
      <c r="J157" s="335">
        <v>255</v>
      </c>
      <c r="O157" s="256">
        <v>4</v>
      </c>
      <c r="P157" t="s">
        <v>5046</v>
      </c>
      <c r="Q157">
        <v>0</v>
      </c>
      <c r="R157" t="s">
        <v>5048</v>
      </c>
      <c r="S157" s="398">
        <f t="shared" si="14"/>
        <v>4</v>
      </c>
    </row>
    <row r="158" spans="1:19" ht="15" thickBot="1" x14ac:dyDescent="0.4">
      <c r="A158" s="2"/>
      <c r="B158" s="99">
        <f t="shared" si="12"/>
        <v>17</v>
      </c>
      <c r="C158" s="256" t="s">
        <v>4449</v>
      </c>
      <c r="D158" s="256" t="s">
        <v>4450</v>
      </c>
      <c r="E158" s="400" t="str">
        <f t="shared" si="13"/>
        <v>19</v>
      </c>
      <c r="F158" s="279" t="s">
        <v>4947</v>
      </c>
      <c r="G158" s="256" t="s">
        <v>4698</v>
      </c>
      <c r="H158" s="257">
        <v>3.76</v>
      </c>
      <c r="I158" s="99" t="s">
        <v>4698</v>
      </c>
      <c r="J158" s="335">
        <v>487</v>
      </c>
      <c r="O158" s="281">
        <v>3</v>
      </c>
      <c r="P158" t="s">
        <v>5046</v>
      </c>
      <c r="Q158">
        <v>11</v>
      </c>
      <c r="R158" t="s">
        <v>5048</v>
      </c>
      <c r="S158" s="398">
        <f t="shared" si="14"/>
        <v>3.9166666666666665</v>
      </c>
    </row>
    <row r="159" spans="1:19" ht="15" thickBot="1" x14ac:dyDescent="0.4">
      <c r="A159" s="2"/>
      <c r="B159" s="99">
        <f t="shared" si="12"/>
        <v>18</v>
      </c>
      <c r="C159" s="256" t="s">
        <v>4451</v>
      </c>
      <c r="D159" s="256" t="s">
        <v>4452</v>
      </c>
      <c r="E159" s="400" t="str">
        <f t="shared" si="13"/>
        <v>19</v>
      </c>
      <c r="F159" s="279" t="s">
        <v>4947</v>
      </c>
      <c r="G159" s="256" t="s">
        <v>4606</v>
      </c>
      <c r="H159" s="2">
        <v>3.35</v>
      </c>
      <c r="I159" s="99" t="s">
        <v>4606</v>
      </c>
      <c r="J159" s="335">
        <v>459</v>
      </c>
      <c r="O159" s="256">
        <v>4</v>
      </c>
      <c r="P159" t="s">
        <v>5046</v>
      </c>
      <c r="S159" s="398">
        <f t="shared" si="14"/>
        <v>4</v>
      </c>
    </row>
    <row r="160" spans="1:19" ht="15" thickBot="1" x14ac:dyDescent="0.4">
      <c r="A160" s="2"/>
      <c r="B160" s="99">
        <f t="shared" si="12"/>
        <v>19</v>
      </c>
      <c r="C160" s="256" t="s">
        <v>4453</v>
      </c>
      <c r="D160" s="256" t="s">
        <v>4454</v>
      </c>
      <c r="E160" s="400" t="str">
        <f t="shared" si="13"/>
        <v>19</v>
      </c>
      <c r="F160" s="279" t="s">
        <v>4947</v>
      </c>
      <c r="G160" s="256" t="s">
        <v>4698</v>
      </c>
      <c r="H160" s="266" t="s">
        <v>4624</v>
      </c>
      <c r="I160" s="99" t="s">
        <v>4698</v>
      </c>
      <c r="J160" s="335">
        <v>533</v>
      </c>
      <c r="O160" s="281">
        <v>3</v>
      </c>
      <c r="P160" t="s">
        <v>5046</v>
      </c>
      <c r="Q160">
        <v>11</v>
      </c>
      <c r="R160" t="s">
        <v>5048</v>
      </c>
      <c r="S160" s="398">
        <f t="shared" si="14"/>
        <v>3.9166666666666665</v>
      </c>
    </row>
    <row r="161" spans="1:19" ht="15" thickBot="1" x14ac:dyDescent="0.4">
      <c r="A161" s="2"/>
      <c r="B161" s="99">
        <f t="shared" si="12"/>
        <v>20</v>
      </c>
      <c r="C161" s="256" t="s">
        <v>4455</v>
      </c>
      <c r="D161" s="256" t="s">
        <v>4456</v>
      </c>
      <c r="E161" s="400" t="str">
        <f t="shared" si="13"/>
        <v>19</v>
      </c>
      <c r="F161" s="279" t="s">
        <v>4947</v>
      </c>
      <c r="G161" s="256" t="s">
        <v>4688</v>
      </c>
      <c r="H161" s="268" t="s">
        <v>4648</v>
      </c>
      <c r="I161" s="99" t="s">
        <v>4688</v>
      </c>
      <c r="J161" s="335">
        <v>563</v>
      </c>
      <c r="O161" s="256">
        <v>3</v>
      </c>
      <c r="P161" t="s">
        <v>5046</v>
      </c>
      <c r="Q161">
        <v>11</v>
      </c>
      <c r="R161" t="s">
        <v>5048</v>
      </c>
      <c r="S161" s="398">
        <f t="shared" si="14"/>
        <v>3.9166666666666665</v>
      </c>
    </row>
    <row r="162" spans="1:19" ht="15" thickBot="1" x14ac:dyDescent="0.4">
      <c r="A162" s="2"/>
      <c r="B162" s="99">
        <f t="shared" si="12"/>
        <v>21</v>
      </c>
      <c r="C162" s="256" t="s">
        <v>4457</v>
      </c>
      <c r="D162" s="256" t="s">
        <v>4458</v>
      </c>
      <c r="E162" s="400" t="str">
        <f t="shared" si="13"/>
        <v>19</v>
      </c>
      <c r="F162" s="279" t="s">
        <v>4947</v>
      </c>
      <c r="G162" s="256" t="s">
        <v>4698</v>
      </c>
      <c r="H162" s="2">
        <v>3.66</v>
      </c>
      <c r="I162" s="99" t="s">
        <v>4698</v>
      </c>
      <c r="J162" s="335">
        <v>513</v>
      </c>
      <c r="O162" s="256">
        <v>3</v>
      </c>
      <c r="P162" t="s">
        <v>5049</v>
      </c>
      <c r="Q162">
        <v>11</v>
      </c>
      <c r="R162" t="s">
        <v>5050</v>
      </c>
      <c r="S162" s="398">
        <f t="shared" si="14"/>
        <v>3.9166666666666665</v>
      </c>
    </row>
    <row r="163" spans="1:19" ht="15" thickBot="1" x14ac:dyDescent="0.4">
      <c r="A163" s="2"/>
      <c r="B163" s="99">
        <f t="shared" si="12"/>
        <v>22</v>
      </c>
      <c r="C163" s="256" t="s">
        <v>4459</v>
      </c>
      <c r="D163" s="256" t="s">
        <v>4460</v>
      </c>
      <c r="E163" s="400" t="str">
        <f t="shared" si="13"/>
        <v>19</v>
      </c>
      <c r="F163" s="279" t="s">
        <v>4947</v>
      </c>
      <c r="G163" s="256" t="s">
        <v>4743</v>
      </c>
      <c r="H163" s="2">
        <v>3.46</v>
      </c>
      <c r="I163" s="99" t="s">
        <v>4743</v>
      </c>
      <c r="J163" s="335">
        <v>567</v>
      </c>
      <c r="O163" s="256">
        <v>4</v>
      </c>
      <c r="P163" t="s">
        <v>5046</v>
      </c>
      <c r="Q163">
        <v>0</v>
      </c>
      <c r="R163" t="s">
        <v>5048</v>
      </c>
      <c r="S163" s="398">
        <f t="shared" si="14"/>
        <v>4</v>
      </c>
    </row>
    <row r="164" spans="1:19" ht="15" thickBot="1" x14ac:dyDescent="0.4">
      <c r="A164" s="2"/>
      <c r="B164" s="99">
        <f t="shared" si="12"/>
        <v>23</v>
      </c>
      <c r="C164" s="256" t="s">
        <v>4469</v>
      </c>
      <c r="D164" s="256" t="s">
        <v>4470</v>
      </c>
      <c r="E164" s="400" t="str">
        <f t="shared" si="13"/>
        <v>19</v>
      </c>
      <c r="F164" s="256" t="s">
        <v>4955</v>
      </c>
      <c r="G164" s="256" t="s">
        <v>4688</v>
      </c>
      <c r="H164" s="266">
        <v>3.71</v>
      </c>
      <c r="I164" s="99" t="s">
        <v>4688</v>
      </c>
      <c r="J164" s="335">
        <v>580</v>
      </c>
      <c r="O164" s="256">
        <v>3</v>
      </c>
      <c r="P164" t="s">
        <v>5046</v>
      </c>
      <c r="Q164">
        <v>11</v>
      </c>
      <c r="R164" t="s">
        <v>5048</v>
      </c>
      <c r="S164" s="398">
        <f t="shared" si="14"/>
        <v>3.9166666666666665</v>
      </c>
    </row>
    <row r="165" spans="1:19" ht="15" thickBot="1" x14ac:dyDescent="0.4">
      <c r="A165" s="2"/>
      <c r="B165" s="99">
        <f t="shared" si="12"/>
        <v>24</v>
      </c>
      <c r="C165" s="256" t="s">
        <v>4471</v>
      </c>
      <c r="D165" s="256" t="s">
        <v>4472</v>
      </c>
      <c r="E165" s="400" t="str">
        <f t="shared" si="13"/>
        <v>19</v>
      </c>
      <c r="F165" s="256" t="s">
        <v>4955</v>
      </c>
      <c r="G165" s="256" t="s">
        <v>4688</v>
      </c>
      <c r="H165" s="266">
        <v>3.68</v>
      </c>
      <c r="I165" s="99" t="s">
        <v>4688</v>
      </c>
      <c r="J165" s="335">
        <v>550</v>
      </c>
      <c r="O165" s="256">
        <v>3</v>
      </c>
      <c r="P165" t="s">
        <v>5046</v>
      </c>
      <c r="Q165">
        <v>11</v>
      </c>
      <c r="R165" t="s">
        <v>5048</v>
      </c>
      <c r="S165" s="398">
        <f t="shared" si="14"/>
        <v>3.9166666666666665</v>
      </c>
    </row>
    <row r="166" spans="1:19" ht="15" thickBot="1" x14ac:dyDescent="0.4">
      <c r="A166" s="2"/>
      <c r="B166" s="99">
        <f t="shared" si="12"/>
        <v>25</v>
      </c>
      <c r="C166" s="256" t="s">
        <v>4473</v>
      </c>
      <c r="D166" s="256" t="s">
        <v>4474</v>
      </c>
      <c r="E166" s="400" t="str">
        <f t="shared" si="13"/>
        <v>19</v>
      </c>
      <c r="F166" s="256" t="s">
        <v>4955</v>
      </c>
      <c r="G166" s="256" t="s">
        <v>4606</v>
      </c>
      <c r="H166" s="266">
        <v>3.6</v>
      </c>
      <c r="I166" s="99" t="s">
        <v>4606</v>
      </c>
      <c r="J166" s="335">
        <v>480</v>
      </c>
      <c r="O166" s="256">
        <v>4</v>
      </c>
      <c r="P166" t="s">
        <v>5046</v>
      </c>
      <c r="S166" s="398">
        <f t="shared" si="14"/>
        <v>4</v>
      </c>
    </row>
    <row r="167" spans="1:19" ht="15" thickBot="1" x14ac:dyDescent="0.4">
      <c r="A167" s="2"/>
      <c r="B167" s="99">
        <f t="shared" si="12"/>
        <v>26</v>
      </c>
      <c r="C167" s="256" t="s">
        <v>4957</v>
      </c>
      <c r="D167" s="256" t="s">
        <v>4958</v>
      </c>
      <c r="E167" s="400" t="str">
        <f t="shared" si="13"/>
        <v>19</v>
      </c>
      <c r="F167" s="256" t="s">
        <v>4955</v>
      </c>
      <c r="G167" s="256" t="s">
        <v>4743</v>
      </c>
      <c r="H167" s="268">
        <v>3.32</v>
      </c>
      <c r="I167" s="99" t="s">
        <v>4743</v>
      </c>
      <c r="J167" s="335">
        <v>600</v>
      </c>
      <c r="O167" s="256">
        <v>4</v>
      </c>
      <c r="P167" t="s">
        <v>5046</v>
      </c>
      <c r="Q167">
        <v>0</v>
      </c>
      <c r="R167" t="s">
        <v>5048</v>
      </c>
      <c r="S167" s="398">
        <f t="shared" si="14"/>
        <v>4</v>
      </c>
    </row>
    <row r="168" spans="1:19" ht="15" thickBot="1" x14ac:dyDescent="0.4">
      <c r="A168" s="2"/>
      <c r="B168" s="99">
        <f t="shared" si="12"/>
        <v>27</v>
      </c>
      <c r="C168" s="256" t="s">
        <v>4475</v>
      </c>
      <c r="D168" s="256" t="s">
        <v>4476</v>
      </c>
      <c r="E168" s="400" t="str">
        <f t="shared" si="13"/>
        <v>19</v>
      </c>
      <c r="F168" s="256" t="s">
        <v>4959</v>
      </c>
      <c r="G168" s="256" t="s">
        <v>4743</v>
      </c>
      <c r="H168" s="268" t="s">
        <v>4960</v>
      </c>
      <c r="I168" s="99" t="s">
        <v>4743</v>
      </c>
      <c r="J168" s="335">
        <v>633</v>
      </c>
      <c r="O168" s="256">
        <v>4</v>
      </c>
      <c r="P168" t="s">
        <v>5046</v>
      </c>
      <c r="Q168">
        <v>0</v>
      </c>
      <c r="R168" t="s">
        <v>5048</v>
      </c>
      <c r="S168" s="398">
        <f t="shared" si="14"/>
        <v>4</v>
      </c>
    </row>
    <row r="169" spans="1:19" ht="15" thickBot="1" x14ac:dyDescent="0.4">
      <c r="A169" s="2"/>
      <c r="B169" s="99">
        <f t="shared" si="12"/>
        <v>28</v>
      </c>
      <c r="C169" s="256" t="s">
        <v>4477</v>
      </c>
      <c r="D169" s="256" t="s">
        <v>4478</v>
      </c>
      <c r="E169" s="400" t="str">
        <f t="shared" si="13"/>
        <v>19</v>
      </c>
      <c r="F169" s="256" t="s">
        <v>4961</v>
      </c>
      <c r="G169" s="256" t="s">
        <v>4743</v>
      </c>
      <c r="H169" s="266">
        <v>3.85</v>
      </c>
      <c r="I169" s="99" t="s">
        <v>4743</v>
      </c>
      <c r="J169" s="335">
        <v>560</v>
      </c>
      <c r="O169" s="256">
        <v>4</v>
      </c>
      <c r="P169" t="s">
        <v>5046</v>
      </c>
      <c r="Q169">
        <v>0</v>
      </c>
      <c r="R169" t="s">
        <v>5048</v>
      </c>
      <c r="S169" s="398">
        <f t="shared" si="14"/>
        <v>4</v>
      </c>
    </row>
    <row r="170" spans="1:19" ht="15" thickBot="1" x14ac:dyDescent="0.4">
      <c r="A170" s="2"/>
      <c r="B170" s="99">
        <f t="shared" si="12"/>
        <v>29</v>
      </c>
      <c r="C170" s="256" t="s">
        <v>4479</v>
      </c>
      <c r="D170" s="256" t="s">
        <v>4480</v>
      </c>
      <c r="E170" s="400" t="str">
        <f t="shared" si="13"/>
        <v>19</v>
      </c>
      <c r="F170" s="256"/>
      <c r="G170" s="256" t="s">
        <v>4743</v>
      </c>
      <c r="H170" s="266">
        <v>3.31</v>
      </c>
      <c r="I170" s="99" t="s">
        <v>4743</v>
      </c>
      <c r="J170" s="335">
        <v>617</v>
      </c>
      <c r="O170" s="256">
        <v>4</v>
      </c>
      <c r="P170" t="s">
        <v>5046</v>
      </c>
      <c r="Q170">
        <v>0</v>
      </c>
      <c r="R170" t="s">
        <v>5048</v>
      </c>
      <c r="S170" s="398">
        <f t="shared" si="14"/>
        <v>4</v>
      </c>
    </row>
    <row r="171" spans="1:19" ht="15" thickBot="1" x14ac:dyDescent="0.4">
      <c r="A171" s="2"/>
      <c r="B171" s="99">
        <f t="shared" si="12"/>
        <v>30</v>
      </c>
      <c r="C171" s="258" t="s">
        <v>4481</v>
      </c>
      <c r="D171" s="258" t="s">
        <v>4482</v>
      </c>
      <c r="E171" s="400" t="str">
        <f t="shared" si="13"/>
        <v>19</v>
      </c>
      <c r="F171" s="256" t="s">
        <v>4962</v>
      </c>
      <c r="G171" s="256" t="s">
        <v>4743</v>
      </c>
      <c r="H171" s="268" t="s">
        <v>4817</v>
      </c>
      <c r="I171" s="99" t="s">
        <v>4743</v>
      </c>
      <c r="J171" s="335">
        <v>607</v>
      </c>
      <c r="O171" s="256">
        <v>4</v>
      </c>
      <c r="P171" t="s">
        <v>5046</v>
      </c>
      <c r="Q171">
        <v>0</v>
      </c>
      <c r="R171" t="s">
        <v>5048</v>
      </c>
      <c r="S171" s="398">
        <f t="shared" si="14"/>
        <v>4</v>
      </c>
    </row>
    <row r="172" spans="1:19" ht="15" thickBot="1" x14ac:dyDescent="0.4">
      <c r="A172" s="2"/>
      <c r="B172" s="99">
        <f t="shared" si="12"/>
        <v>31</v>
      </c>
      <c r="C172" s="256" t="s">
        <v>4483</v>
      </c>
      <c r="D172" s="256" t="s">
        <v>4484</v>
      </c>
      <c r="E172" s="400" t="str">
        <f t="shared" si="13"/>
        <v>19</v>
      </c>
      <c r="F172" s="256"/>
      <c r="G172" s="256" t="s">
        <v>4743</v>
      </c>
      <c r="H172" s="266" t="s">
        <v>4198</v>
      </c>
      <c r="I172" s="99" t="s">
        <v>4743</v>
      </c>
      <c r="J172" s="335">
        <v>600</v>
      </c>
      <c r="O172" s="256">
        <v>4</v>
      </c>
      <c r="P172" t="s">
        <v>5046</v>
      </c>
      <c r="Q172">
        <v>0</v>
      </c>
      <c r="R172" t="s">
        <v>5048</v>
      </c>
      <c r="S172" s="398">
        <f t="shared" si="14"/>
        <v>4</v>
      </c>
    </row>
    <row r="173" spans="1:19" ht="15" thickBot="1" x14ac:dyDescent="0.4">
      <c r="A173" s="2"/>
      <c r="B173" s="99">
        <f t="shared" si="12"/>
        <v>32</v>
      </c>
      <c r="C173" s="256" t="s">
        <v>4485</v>
      </c>
      <c r="D173" s="256" t="s">
        <v>4486</v>
      </c>
      <c r="E173" s="400" t="str">
        <f t="shared" si="13"/>
        <v>19</v>
      </c>
      <c r="F173" s="256" t="s">
        <v>4963</v>
      </c>
      <c r="G173" s="256" t="s">
        <v>4769</v>
      </c>
      <c r="H173" s="266">
        <v>3.78</v>
      </c>
      <c r="I173" s="99" t="s">
        <v>4769</v>
      </c>
      <c r="J173" s="335">
        <v>567</v>
      </c>
      <c r="O173" s="256">
        <v>4</v>
      </c>
      <c r="P173" t="s">
        <v>5046</v>
      </c>
      <c r="Q173">
        <v>1</v>
      </c>
      <c r="R173" t="s">
        <v>5048</v>
      </c>
      <c r="S173" s="398">
        <f t="shared" si="14"/>
        <v>4.083333333333333</v>
      </c>
    </row>
    <row r="174" spans="1:19" ht="15" thickBot="1" x14ac:dyDescent="0.4">
      <c r="A174" s="2"/>
      <c r="B174" s="99">
        <f t="shared" ref="B174:B205" si="15">B173+1</f>
        <v>33</v>
      </c>
      <c r="C174" s="282" t="s">
        <v>4491</v>
      </c>
      <c r="D174" s="282" t="s">
        <v>4492</v>
      </c>
      <c r="E174" s="400" t="str">
        <f t="shared" ref="E174:E205" si="16">LEFT(D174,2)</f>
        <v>19</v>
      </c>
      <c r="F174" s="273">
        <v>45170</v>
      </c>
      <c r="G174" s="256" t="s">
        <v>4743</v>
      </c>
      <c r="H174" s="283" t="s">
        <v>4785</v>
      </c>
      <c r="I174" s="131" t="s">
        <v>4743</v>
      </c>
      <c r="J174" s="335">
        <v>460</v>
      </c>
      <c r="O174" s="256">
        <v>4</v>
      </c>
      <c r="P174" t="s">
        <v>5046</v>
      </c>
      <c r="Q174">
        <v>0</v>
      </c>
      <c r="R174" t="s">
        <v>5048</v>
      </c>
      <c r="S174" s="398">
        <f t="shared" si="14"/>
        <v>4</v>
      </c>
    </row>
    <row r="175" spans="1:19" ht="15" thickBot="1" x14ac:dyDescent="0.4">
      <c r="A175" s="2"/>
      <c r="B175" s="99">
        <f t="shared" si="15"/>
        <v>34</v>
      </c>
      <c r="C175" s="256" t="s">
        <v>4493</v>
      </c>
      <c r="D175" s="256" t="s">
        <v>4494</v>
      </c>
      <c r="E175" s="400" t="str">
        <f t="shared" si="16"/>
        <v>19</v>
      </c>
      <c r="F175" s="273">
        <v>45170</v>
      </c>
      <c r="G175" s="256" t="s">
        <v>4769</v>
      </c>
      <c r="H175" s="285">
        <v>3.58</v>
      </c>
      <c r="I175" s="131" t="s">
        <v>4769</v>
      </c>
      <c r="J175" s="335">
        <v>603</v>
      </c>
      <c r="O175" s="256">
        <v>4</v>
      </c>
      <c r="P175" t="s">
        <v>5046</v>
      </c>
      <c r="Q175">
        <v>1</v>
      </c>
      <c r="R175" t="s">
        <v>5048</v>
      </c>
      <c r="S175" s="398">
        <f t="shared" si="14"/>
        <v>4.083333333333333</v>
      </c>
    </row>
    <row r="176" spans="1:19" ht="15" thickBot="1" x14ac:dyDescent="0.4">
      <c r="A176" s="2"/>
      <c r="B176" s="99">
        <f t="shared" si="15"/>
        <v>35</v>
      </c>
      <c r="C176" s="256" t="s">
        <v>4495</v>
      </c>
      <c r="D176" s="256" t="s">
        <v>4496</v>
      </c>
      <c r="E176" s="400" t="str">
        <f t="shared" si="16"/>
        <v>19</v>
      </c>
      <c r="F176" s="273">
        <v>45170</v>
      </c>
      <c r="G176" s="256" t="s">
        <v>4769</v>
      </c>
      <c r="H176" s="266">
        <v>3.66</v>
      </c>
      <c r="I176" s="131" t="s">
        <v>4769</v>
      </c>
      <c r="J176" s="335">
        <v>503</v>
      </c>
      <c r="O176" s="256">
        <v>4</v>
      </c>
      <c r="P176" t="s">
        <v>5046</v>
      </c>
      <c r="Q176">
        <v>1</v>
      </c>
      <c r="R176" t="s">
        <v>5048</v>
      </c>
      <c r="S176" s="398">
        <f t="shared" si="14"/>
        <v>4.083333333333333</v>
      </c>
    </row>
    <row r="177" spans="1:19" ht="15" thickBot="1" x14ac:dyDescent="0.4">
      <c r="A177" s="2"/>
      <c r="B177" s="99">
        <f t="shared" si="15"/>
        <v>36</v>
      </c>
      <c r="C177" s="256" t="s">
        <v>4497</v>
      </c>
      <c r="D177" s="256" t="s">
        <v>4498</v>
      </c>
      <c r="E177" s="400" t="str">
        <f t="shared" si="16"/>
        <v>19</v>
      </c>
      <c r="F177" s="273">
        <v>45170</v>
      </c>
      <c r="G177" s="281" t="s">
        <v>4769</v>
      </c>
      <c r="H177" s="266" t="s">
        <v>4789</v>
      </c>
      <c r="I177" s="131" t="s">
        <v>4769</v>
      </c>
      <c r="J177" s="335">
        <v>583</v>
      </c>
      <c r="O177" s="281">
        <v>4</v>
      </c>
      <c r="P177" t="s">
        <v>5046</v>
      </c>
      <c r="Q177">
        <v>1</v>
      </c>
      <c r="R177" t="s">
        <v>5048</v>
      </c>
      <c r="S177" s="398">
        <f t="shared" si="14"/>
        <v>4.083333333333333</v>
      </c>
    </row>
    <row r="178" spans="1:19" ht="15" thickBot="1" x14ac:dyDescent="0.4">
      <c r="A178" s="2"/>
      <c r="B178" s="248">
        <f t="shared" si="15"/>
        <v>37</v>
      </c>
      <c r="C178" s="256" t="s">
        <v>4499</v>
      </c>
      <c r="D178" s="256" t="s">
        <v>4500</v>
      </c>
      <c r="E178" s="400" t="str">
        <f t="shared" si="16"/>
        <v>19</v>
      </c>
      <c r="F178" s="273">
        <v>45170</v>
      </c>
      <c r="G178" s="256" t="s">
        <v>4769</v>
      </c>
      <c r="H178" s="285" t="s">
        <v>4966</v>
      </c>
      <c r="I178" s="131" t="s">
        <v>4769</v>
      </c>
      <c r="J178" s="335">
        <v>557</v>
      </c>
      <c r="O178" s="256">
        <v>4</v>
      </c>
      <c r="P178" t="s">
        <v>5046</v>
      </c>
      <c r="Q178">
        <v>1</v>
      </c>
      <c r="R178" t="s">
        <v>5048</v>
      </c>
      <c r="S178" s="398">
        <f t="shared" si="14"/>
        <v>4.083333333333333</v>
      </c>
    </row>
    <row r="179" spans="1:19" ht="15" thickBot="1" x14ac:dyDescent="0.4">
      <c r="A179" s="2"/>
      <c r="B179" s="295">
        <f t="shared" si="15"/>
        <v>38</v>
      </c>
      <c r="C179" s="256" t="s">
        <v>4501</v>
      </c>
      <c r="D179" s="256" t="s">
        <v>4502</v>
      </c>
      <c r="E179" s="400" t="str">
        <f t="shared" si="16"/>
        <v>19</v>
      </c>
      <c r="F179" s="273">
        <v>45170</v>
      </c>
      <c r="G179" s="256" t="s">
        <v>4755</v>
      </c>
      <c r="H179" s="285">
        <v>3.38</v>
      </c>
      <c r="I179" s="99" t="s">
        <v>4755</v>
      </c>
      <c r="J179" s="335">
        <v>553</v>
      </c>
      <c r="O179" s="256">
        <v>4</v>
      </c>
      <c r="P179" t="s">
        <v>5049</v>
      </c>
      <c r="Q179">
        <v>1</v>
      </c>
      <c r="R179" t="s">
        <v>5050</v>
      </c>
      <c r="S179" s="398">
        <f t="shared" si="14"/>
        <v>4.083333333333333</v>
      </c>
    </row>
    <row r="180" spans="1:19" ht="15" thickBot="1" x14ac:dyDescent="0.4">
      <c r="A180" s="2"/>
      <c r="B180" s="296">
        <f t="shared" si="15"/>
        <v>39</v>
      </c>
      <c r="C180" s="256" t="s">
        <v>4503</v>
      </c>
      <c r="D180" s="256" t="s">
        <v>4504</v>
      </c>
      <c r="E180" s="400" t="str">
        <f t="shared" si="16"/>
        <v>19</v>
      </c>
      <c r="F180" s="273">
        <v>45170</v>
      </c>
      <c r="G180" s="256" t="s">
        <v>4626</v>
      </c>
      <c r="H180" s="266">
        <v>3.64</v>
      </c>
      <c r="I180" s="131" t="s">
        <v>4626</v>
      </c>
      <c r="J180" s="21">
        <v>492</v>
      </c>
      <c r="O180" s="256">
        <v>4</v>
      </c>
      <c r="P180" t="s">
        <v>5049</v>
      </c>
      <c r="Q180">
        <v>2</v>
      </c>
      <c r="R180" t="s">
        <v>5050</v>
      </c>
      <c r="S180" s="398">
        <f t="shared" si="14"/>
        <v>4.166666666666667</v>
      </c>
    </row>
    <row r="181" spans="1:19" ht="15" thickBot="1" x14ac:dyDescent="0.4">
      <c r="A181" s="2"/>
      <c r="B181" s="296">
        <f t="shared" si="15"/>
        <v>40</v>
      </c>
      <c r="C181" s="256" t="s">
        <v>4967</v>
      </c>
      <c r="D181" s="256" t="s">
        <v>4968</v>
      </c>
      <c r="E181" s="400" t="str">
        <f t="shared" si="16"/>
        <v>19</v>
      </c>
      <c r="F181" s="273">
        <v>45170</v>
      </c>
      <c r="G181" s="256" t="s">
        <v>4755</v>
      </c>
      <c r="H181" s="268" t="s">
        <v>4969</v>
      </c>
      <c r="I181" s="131" t="s">
        <v>4755</v>
      </c>
      <c r="J181" s="386" t="s">
        <v>4385</v>
      </c>
      <c r="O181" s="256">
        <v>4</v>
      </c>
      <c r="P181" t="s">
        <v>5049</v>
      </c>
      <c r="Q181">
        <v>1</v>
      </c>
      <c r="R181" t="s">
        <v>5050</v>
      </c>
      <c r="S181" s="398">
        <f t="shared" si="14"/>
        <v>4.083333333333333</v>
      </c>
    </row>
    <row r="182" spans="1:19" ht="15" thickBot="1" x14ac:dyDescent="0.4">
      <c r="A182" s="2"/>
      <c r="B182" s="296">
        <f t="shared" si="15"/>
        <v>41</v>
      </c>
      <c r="C182" s="256" t="s">
        <v>4511</v>
      </c>
      <c r="D182" s="256" t="s">
        <v>4512</v>
      </c>
      <c r="E182" s="400" t="str">
        <f t="shared" si="16"/>
        <v>19</v>
      </c>
      <c r="F182" s="256" t="s">
        <v>4970</v>
      </c>
      <c r="G182" s="256" t="s">
        <v>4755</v>
      </c>
      <c r="H182" s="266" t="s">
        <v>4972</v>
      </c>
      <c r="I182" s="131" t="s">
        <v>4755</v>
      </c>
      <c r="J182" s="89">
        <v>580</v>
      </c>
      <c r="O182" s="256">
        <v>4</v>
      </c>
      <c r="P182" t="s">
        <v>5049</v>
      </c>
      <c r="Q182">
        <v>1</v>
      </c>
      <c r="R182" t="s">
        <v>5050</v>
      </c>
      <c r="S182" s="398">
        <f t="shared" si="14"/>
        <v>4.083333333333333</v>
      </c>
    </row>
    <row r="183" spans="1:19" ht="15" thickBot="1" x14ac:dyDescent="0.4">
      <c r="A183" s="2"/>
      <c r="B183" s="296">
        <f t="shared" si="15"/>
        <v>42</v>
      </c>
      <c r="C183" s="256" t="s">
        <v>4513</v>
      </c>
      <c r="D183" s="256" t="s">
        <v>4514</v>
      </c>
      <c r="E183" s="400" t="str">
        <f t="shared" si="16"/>
        <v>19</v>
      </c>
      <c r="F183" s="256" t="s">
        <v>4970</v>
      </c>
      <c r="G183" s="256" t="s">
        <v>4616</v>
      </c>
      <c r="H183" s="2">
        <v>3.83</v>
      </c>
      <c r="I183" s="131" t="s">
        <v>4616</v>
      </c>
      <c r="J183" s="20"/>
      <c r="O183" s="256">
        <v>4</v>
      </c>
      <c r="P183" t="s">
        <v>5046</v>
      </c>
      <c r="Q183">
        <v>2</v>
      </c>
      <c r="R183" t="s">
        <v>5048</v>
      </c>
      <c r="S183" s="398">
        <f t="shared" si="14"/>
        <v>4.166666666666667</v>
      </c>
    </row>
    <row r="184" spans="1:19" ht="15" thickBot="1" x14ac:dyDescent="0.4">
      <c r="A184" s="2"/>
      <c r="B184" s="296">
        <f t="shared" si="15"/>
        <v>43</v>
      </c>
      <c r="C184" s="256" t="s">
        <v>4515</v>
      </c>
      <c r="D184" s="256" t="s">
        <v>4516</v>
      </c>
      <c r="E184" s="400" t="str">
        <f t="shared" si="16"/>
        <v>19</v>
      </c>
      <c r="F184" s="256" t="s">
        <v>4970</v>
      </c>
      <c r="G184" s="256" t="s">
        <v>4622</v>
      </c>
      <c r="H184" s="2">
        <v>3.58</v>
      </c>
      <c r="I184" s="248" t="s">
        <v>4622</v>
      </c>
      <c r="J184" s="21">
        <v>502</v>
      </c>
      <c r="O184" s="256">
        <v>4</v>
      </c>
      <c r="P184" t="s">
        <v>5046</v>
      </c>
      <c r="Q184">
        <v>3</v>
      </c>
      <c r="R184" t="s">
        <v>5048</v>
      </c>
      <c r="S184" s="398">
        <f t="shared" si="14"/>
        <v>4.25</v>
      </c>
    </row>
    <row r="185" spans="1:19" ht="15" thickBot="1" x14ac:dyDescent="0.4">
      <c r="A185" s="2"/>
      <c r="B185" s="296">
        <f t="shared" si="15"/>
        <v>44</v>
      </c>
      <c r="C185" s="256" t="s">
        <v>4517</v>
      </c>
      <c r="D185" s="256" t="s">
        <v>4518</v>
      </c>
      <c r="E185" s="400" t="str">
        <f t="shared" si="16"/>
        <v>19</v>
      </c>
      <c r="F185" s="256" t="s">
        <v>4970</v>
      </c>
      <c r="G185" s="256" t="s">
        <v>4622</v>
      </c>
      <c r="H185" s="2">
        <v>3.72</v>
      </c>
      <c r="I185" s="395" t="s">
        <v>4622</v>
      </c>
      <c r="J185" s="89">
        <v>620</v>
      </c>
      <c r="O185" s="256">
        <v>4</v>
      </c>
      <c r="P185" t="s">
        <v>5046</v>
      </c>
      <c r="Q185">
        <v>3</v>
      </c>
      <c r="R185" t="s">
        <v>5048</v>
      </c>
      <c r="S185" s="398">
        <f t="shared" si="14"/>
        <v>4.25</v>
      </c>
    </row>
    <row r="186" spans="1:19" ht="15" thickBot="1" x14ac:dyDescent="0.4">
      <c r="A186" s="2"/>
      <c r="B186" s="296">
        <f t="shared" si="15"/>
        <v>45</v>
      </c>
      <c r="C186" s="256" t="s">
        <v>4519</v>
      </c>
      <c r="D186" s="256" t="s">
        <v>4520</v>
      </c>
      <c r="E186" s="400" t="str">
        <f t="shared" si="16"/>
        <v>19</v>
      </c>
      <c r="F186" s="256" t="s">
        <v>4970</v>
      </c>
      <c r="G186" s="256" t="s">
        <v>4637</v>
      </c>
      <c r="H186" s="283" t="s">
        <v>4960</v>
      </c>
      <c r="I186" s="365" t="s">
        <v>4637</v>
      </c>
      <c r="J186" s="384" t="s">
        <v>4388</v>
      </c>
      <c r="O186" s="256">
        <v>4</v>
      </c>
      <c r="P186" t="s">
        <v>5049</v>
      </c>
      <c r="Q186">
        <v>3</v>
      </c>
      <c r="R186" t="s">
        <v>5050</v>
      </c>
      <c r="S186" s="398">
        <f t="shared" si="14"/>
        <v>4.25</v>
      </c>
    </row>
    <row r="187" spans="1:19" ht="15" thickBot="1" x14ac:dyDescent="0.4">
      <c r="A187" s="2"/>
      <c r="B187" s="296">
        <f t="shared" si="15"/>
        <v>46</v>
      </c>
      <c r="C187" s="256" t="s">
        <v>4973</v>
      </c>
      <c r="D187" s="256" t="s">
        <v>4974</v>
      </c>
      <c r="E187" s="400" t="str">
        <f t="shared" si="16"/>
        <v>19</v>
      </c>
      <c r="F187" s="256" t="s">
        <v>4970</v>
      </c>
      <c r="G187" s="256" t="s">
        <v>4616</v>
      </c>
      <c r="H187" s="284">
        <v>3.38</v>
      </c>
      <c r="I187" s="363" t="s">
        <v>4616</v>
      </c>
      <c r="J187" s="18"/>
      <c r="O187" s="256">
        <v>4</v>
      </c>
      <c r="P187" t="s">
        <v>5046</v>
      </c>
      <c r="Q187">
        <v>2</v>
      </c>
      <c r="R187" t="s">
        <v>5048</v>
      </c>
      <c r="S187" s="398">
        <f t="shared" si="14"/>
        <v>4.166666666666667</v>
      </c>
    </row>
    <row r="188" spans="1:19" ht="15" thickBot="1" x14ac:dyDescent="0.4">
      <c r="A188" s="2"/>
      <c r="B188" s="296">
        <f t="shared" si="15"/>
        <v>47</v>
      </c>
      <c r="C188" s="256" t="s">
        <v>4975</v>
      </c>
      <c r="D188" s="256" t="s">
        <v>4976</v>
      </c>
      <c r="E188" s="400" t="str">
        <f t="shared" si="16"/>
        <v>19</v>
      </c>
      <c r="F188" s="256" t="s">
        <v>4970</v>
      </c>
      <c r="G188" s="256" t="s">
        <v>4622</v>
      </c>
      <c r="H188" s="266" t="s">
        <v>4211</v>
      </c>
      <c r="I188" s="18" t="s">
        <v>4622</v>
      </c>
      <c r="J188" s="20"/>
      <c r="O188" s="256">
        <v>4</v>
      </c>
      <c r="P188" t="s">
        <v>5046</v>
      </c>
      <c r="Q188">
        <v>3</v>
      </c>
      <c r="R188" t="s">
        <v>5048</v>
      </c>
      <c r="S188" s="398">
        <f t="shared" si="14"/>
        <v>4.25</v>
      </c>
    </row>
    <row r="189" spans="1:19" ht="15" thickBot="1" x14ac:dyDescent="0.4">
      <c r="A189" s="2"/>
      <c r="B189" s="296">
        <f t="shared" si="15"/>
        <v>48</v>
      </c>
      <c r="C189" s="256" t="s">
        <v>4977</v>
      </c>
      <c r="D189" s="256" t="s">
        <v>4978</v>
      </c>
      <c r="E189" s="400" t="str">
        <f t="shared" si="16"/>
        <v>19</v>
      </c>
      <c r="F189" s="256" t="s">
        <v>4970</v>
      </c>
      <c r="G189" s="256" t="s">
        <v>4626</v>
      </c>
      <c r="H189" s="266" t="s">
        <v>4953</v>
      </c>
      <c r="I189" s="21" t="s">
        <v>4626</v>
      </c>
      <c r="J189" s="20"/>
      <c r="O189" s="256">
        <v>4</v>
      </c>
      <c r="P189" t="s">
        <v>5049</v>
      </c>
      <c r="Q189">
        <v>2</v>
      </c>
      <c r="R189" t="s">
        <v>5050</v>
      </c>
      <c r="S189" s="398">
        <f t="shared" si="14"/>
        <v>4.166666666666667</v>
      </c>
    </row>
    <row r="190" spans="1:19" ht="15" thickBot="1" x14ac:dyDescent="0.4">
      <c r="A190" s="2"/>
      <c r="B190" s="296">
        <f t="shared" si="15"/>
        <v>49</v>
      </c>
      <c r="C190" s="256" t="s">
        <v>4979</v>
      </c>
      <c r="D190" s="256" t="s">
        <v>4980</v>
      </c>
      <c r="E190" s="400" t="str">
        <f t="shared" si="16"/>
        <v>19</v>
      </c>
      <c r="F190" s="256" t="s">
        <v>4970</v>
      </c>
      <c r="G190" s="281" t="s">
        <v>4637</v>
      </c>
      <c r="H190" s="266">
        <v>3.53</v>
      </c>
      <c r="I190" s="99" t="s">
        <v>4637</v>
      </c>
      <c r="J190" s="20"/>
      <c r="O190" s="281">
        <v>4</v>
      </c>
      <c r="P190" t="s">
        <v>5049</v>
      </c>
      <c r="Q190">
        <v>3</v>
      </c>
      <c r="R190" t="s">
        <v>5050</v>
      </c>
      <c r="S190" s="398">
        <f t="shared" si="14"/>
        <v>4.25</v>
      </c>
    </row>
    <row r="191" spans="1:19" ht="15" thickBot="1" x14ac:dyDescent="0.4">
      <c r="A191" s="2"/>
      <c r="B191" s="296">
        <f t="shared" si="15"/>
        <v>50</v>
      </c>
      <c r="C191" s="256" t="s">
        <v>4981</v>
      </c>
      <c r="D191" s="256" t="s">
        <v>4982</v>
      </c>
      <c r="E191" s="400" t="str">
        <f t="shared" si="16"/>
        <v>19</v>
      </c>
      <c r="F191" s="256" t="s">
        <v>4970</v>
      </c>
      <c r="G191" s="256" t="s">
        <v>4616</v>
      </c>
      <c r="H191" s="266">
        <v>3.55</v>
      </c>
      <c r="I191" s="18" t="s">
        <v>4616</v>
      </c>
      <c r="J191" s="20"/>
      <c r="O191" s="256">
        <v>4</v>
      </c>
      <c r="P191" t="s">
        <v>5046</v>
      </c>
      <c r="Q191">
        <v>2</v>
      </c>
      <c r="R191" t="s">
        <v>5048</v>
      </c>
      <c r="S191" s="398">
        <f t="shared" si="14"/>
        <v>4.166666666666667</v>
      </c>
    </row>
    <row r="192" spans="1:19" ht="15" thickBot="1" x14ac:dyDescent="0.4">
      <c r="A192" s="2"/>
      <c r="B192" s="296">
        <f t="shared" si="15"/>
        <v>51</v>
      </c>
      <c r="C192" s="256" t="s">
        <v>4983</v>
      </c>
      <c r="D192" s="256" t="s">
        <v>4984</v>
      </c>
      <c r="E192" s="400" t="str">
        <f t="shared" si="16"/>
        <v>19</v>
      </c>
      <c r="F192" s="256" t="s">
        <v>4970</v>
      </c>
      <c r="G192" s="256" t="s">
        <v>4606</v>
      </c>
      <c r="H192" s="266" t="s">
        <v>4985</v>
      </c>
      <c r="I192" s="18" t="s">
        <v>4606</v>
      </c>
      <c r="J192" s="68">
        <v>420</v>
      </c>
      <c r="O192" s="256">
        <v>4</v>
      </c>
      <c r="P192" t="s">
        <v>5046</v>
      </c>
      <c r="S192" s="398">
        <f t="shared" si="14"/>
        <v>4</v>
      </c>
    </row>
    <row r="193" spans="1:19" ht="15" thickBot="1" x14ac:dyDescent="0.4">
      <c r="A193" s="2"/>
      <c r="B193" s="296">
        <f t="shared" si="15"/>
        <v>52</v>
      </c>
      <c r="C193" s="256" t="s">
        <v>4986</v>
      </c>
      <c r="D193" s="256" t="s">
        <v>4987</v>
      </c>
      <c r="E193" s="400" t="str">
        <f t="shared" si="16"/>
        <v>19</v>
      </c>
      <c r="F193" s="256" t="s">
        <v>4970</v>
      </c>
      <c r="G193" s="256" t="s">
        <v>4743</v>
      </c>
      <c r="H193" s="284">
        <v>3.39</v>
      </c>
      <c r="I193" s="21" t="s">
        <v>4743</v>
      </c>
      <c r="J193" s="68">
        <v>500</v>
      </c>
      <c r="O193" s="256">
        <v>4</v>
      </c>
      <c r="P193" t="s">
        <v>5046</v>
      </c>
      <c r="Q193">
        <v>0</v>
      </c>
      <c r="R193" t="s">
        <v>5048</v>
      </c>
      <c r="S193" s="398">
        <f t="shared" si="14"/>
        <v>4</v>
      </c>
    </row>
    <row r="194" spans="1:19" ht="15" thickBot="1" x14ac:dyDescent="0.4">
      <c r="A194" s="2"/>
      <c r="B194" s="296">
        <f t="shared" si="15"/>
        <v>53</v>
      </c>
      <c r="C194" s="256" t="s">
        <v>4988</v>
      </c>
      <c r="D194" s="256" t="s">
        <v>4989</v>
      </c>
      <c r="E194" s="400" t="str">
        <f t="shared" si="16"/>
        <v>19</v>
      </c>
      <c r="F194" s="256" t="s">
        <v>4970</v>
      </c>
      <c r="G194" s="256" t="s">
        <v>4616</v>
      </c>
      <c r="H194" s="2">
        <v>3.55</v>
      </c>
      <c r="I194" s="18" t="s">
        <v>4616</v>
      </c>
      <c r="J194" s="68">
        <v>507</v>
      </c>
      <c r="O194" s="256">
        <v>4</v>
      </c>
      <c r="P194" t="s">
        <v>5046</v>
      </c>
      <c r="Q194">
        <v>2</v>
      </c>
      <c r="R194" t="s">
        <v>5048</v>
      </c>
      <c r="S194" s="398">
        <f t="shared" si="14"/>
        <v>4.166666666666667</v>
      </c>
    </row>
    <row r="195" spans="1:19" ht="15" thickBot="1" x14ac:dyDescent="0.4">
      <c r="A195" s="2"/>
      <c r="B195" s="387">
        <f t="shared" si="15"/>
        <v>54</v>
      </c>
      <c r="C195" s="256" t="s">
        <v>4990</v>
      </c>
      <c r="D195" s="256" t="s">
        <v>4991</v>
      </c>
      <c r="E195" s="400" t="str">
        <f t="shared" si="16"/>
        <v>19</v>
      </c>
      <c r="F195" s="256" t="s">
        <v>4970</v>
      </c>
      <c r="G195" s="256" t="s">
        <v>4622</v>
      </c>
      <c r="H195" s="2">
        <v>3.41</v>
      </c>
      <c r="I195" s="18" t="s">
        <v>4622</v>
      </c>
      <c r="J195" s="68">
        <v>577</v>
      </c>
      <c r="O195" s="256">
        <v>4</v>
      </c>
      <c r="P195" t="s">
        <v>5046</v>
      </c>
      <c r="Q195">
        <v>3</v>
      </c>
      <c r="R195" t="s">
        <v>5048</v>
      </c>
      <c r="S195" s="398">
        <f t="shared" si="14"/>
        <v>4.25</v>
      </c>
    </row>
    <row r="196" spans="1:19" ht="15" thickBot="1" x14ac:dyDescent="0.4">
      <c r="A196" s="2"/>
      <c r="B196" s="296">
        <f t="shared" si="15"/>
        <v>55</v>
      </c>
      <c r="C196" s="256" t="s">
        <v>4992</v>
      </c>
      <c r="D196" s="256" t="s">
        <v>4993</v>
      </c>
      <c r="E196" s="400" t="str">
        <f t="shared" si="16"/>
        <v>19</v>
      </c>
      <c r="F196" s="256" t="s">
        <v>4994</v>
      </c>
      <c r="G196" s="256" t="s">
        <v>4616</v>
      </c>
      <c r="H196" s="359">
        <v>3.34</v>
      </c>
      <c r="I196" s="18" t="s">
        <v>4616</v>
      </c>
      <c r="J196" s="68">
        <v>457</v>
      </c>
      <c r="O196" s="256">
        <v>4</v>
      </c>
      <c r="P196" t="s">
        <v>5046</v>
      </c>
      <c r="Q196">
        <v>2</v>
      </c>
      <c r="R196" t="s">
        <v>5048</v>
      </c>
      <c r="S196" s="398">
        <f t="shared" si="14"/>
        <v>4.166666666666667</v>
      </c>
    </row>
    <row r="197" spans="1:19" ht="15" thickBot="1" x14ac:dyDescent="0.4">
      <c r="A197" s="2"/>
      <c r="B197" s="296">
        <f t="shared" si="15"/>
        <v>56</v>
      </c>
      <c r="C197" s="256" t="s">
        <v>4995</v>
      </c>
      <c r="D197" s="256" t="s">
        <v>4996</v>
      </c>
      <c r="E197" s="400" t="str">
        <f t="shared" si="16"/>
        <v>19</v>
      </c>
      <c r="F197" s="256" t="s">
        <v>4994</v>
      </c>
      <c r="G197" s="256" t="s">
        <v>4626</v>
      </c>
      <c r="H197" s="359">
        <v>3.61</v>
      </c>
      <c r="I197" s="18" t="s">
        <v>4626</v>
      </c>
      <c r="J197" s="68">
        <v>420</v>
      </c>
      <c r="O197" s="256">
        <v>4</v>
      </c>
      <c r="P197" t="s">
        <v>5049</v>
      </c>
      <c r="Q197">
        <v>2</v>
      </c>
      <c r="R197" t="s">
        <v>5050</v>
      </c>
      <c r="S197" s="398">
        <f t="shared" si="14"/>
        <v>4.166666666666667</v>
      </c>
    </row>
    <row r="198" spans="1:19" ht="15" thickBot="1" x14ac:dyDescent="0.4">
      <c r="A198" s="2"/>
      <c r="B198" s="296">
        <f t="shared" si="15"/>
        <v>57</v>
      </c>
      <c r="C198" s="254" t="s">
        <v>4526</v>
      </c>
      <c r="D198" s="254" t="s">
        <v>4527</v>
      </c>
      <c r="E198" s="400" t="str">
        <f t="shared" si="16"/>
        <v>19</v>
      </c>
      <c r="F198" s="275" t="s">
        <v>4997</v>
      </c>
      <c r="G198" s="256" t="s">
        <v>4622</v>
      </c>
      <c r="H198" s="268" t="s">
        <v>4999</v>
      </c>
      <c r="I198" s="18" t="s">
        <v>4622</v>
      </c>
      <c r="J198" s="21">
        <v>565</v>
      </c>
      <c r="O198" s="256">
        <v>4</v>
      </c>
      <c r="P198" t="s">
        <v>5046</v>
      </c>
      <c r="Q198">
        <v>3</v>
      </c>
      <c r="R198" t="s">
        <v>5048</v>
      </c>
      <c r="S198" s="398">
        <f t="shared" si="14"/>
        <v>4.25</v>
      </c>
    </row>
    <row r="199" spans="1:19" ht="15" thickBot="1" x14ac:dyDescent="0.4">
      <c r="A199" s="2"/>
      <c r="B199" s="296">
        <f t="shared" si="15"/>
        <v>58</v>
      </c>
      <c r="C199" s="256" t="s">
        <v>4529</v>
      </c>
      <c r="D199" s="256" t="s">
        <v>4530</v>
      </c>
      <c r="E199" s="400" t="str">
        <f t="shared" si="16"/>
        <v>19</v>
      </c>
      <c r="F199" s="275" t="s">
        <v>4997</v>
      </c>
      <c r="G199" s="256" t="s">
        <v>4622</v>
      </c>
      <c r="H199" s="266" t="s">
        <v>4822</v>
      </c>
      <c r="I199" s="18" t="s">
        <v>4622</v>
      </c>
      <c r="J199" s="89">
        <v>237</v>
      </c>
      <c r="O199" s="256">
        <v>4</v>
      </c>
      <c r="P199" t="s">
        <v>5046</v>
      </c>
      <c r="Q199">
        <v>3</v>
      </c>
      <c r="R199" t="s">
        <v>5048</v>
      </c>
      <c r="S199" s="398">
        <f t="shared" si="14"/>
        <v>4.25</v>
      </c>
    </row>
    <row r="200" spans="1:19" ht="15" thickBot="1" x14ac:dyDescent="0.4">
      <c r="A200" s="2"/>
      <c r="B200" s="296">
        <f t="shared" si="15"/>
        <v>59</v>
      </c>
      <c r="C200" s="254" t="s">
        <v>4532</v>
      </c>
      <c r="D200" s="254" t="s">
        <v>4533</v>
      </c>
      <c r="E200" s="400" t="str">
        <f t="shared" si="16"/>
        <v>19</v>
      </c>
      <c r="F200" s="275" t="s">
        <v>4997</v>
      </c>
      <c r="G200" s="256" t="s">
        <v>4622</v>
      </c>
      <c r="H200" s="268" t="s">
        <v>4808</v>
      </c>
      <c r="I200" s="18" t="s">
        <v>4622</v>
      </c>
      <c r="J200" s="89">
        <v>517</v>
      </c>
      <c r="O200" s="256">
        <v>4</v>
      </c>
      <c r="P200" t="s">
        <v>5046</v>
      </c>
      <c r="Q200">
        <v>3</v>
      </c>
      <c r="R200" t="s">
        <v>5048</v>
      </c>
      <c r="S200" s="398">
        <f t="shared" si="14"/>
        <v>4.25</v>
      </c>
    </row>
    <row r="201" spans="1:19" ht="15" thickBot="1" x14ac:dyDescent="0.4">
      <c r="A201" s="2"/>
      <c r="B201" s="296">
        <f t="shared" si="15"/>
        <v>60</v>
      </c>
      <c r="C201" s="254" t="s">
        <v>4534</v>
      </c>
      <c r="D201" s="254" t="s">
        <v>4535</v>
      </c>
      <c r="E201" s="400" t="str">
        <f t="shared" si="16"/>
        <v>19</v>
      </c>
      <c r="F201" s="275" t="s">
        <v>4997</v>
      </c>
      <c r="G201" s="256" t="s">
        <v>4637</v>
      </c>
      <c r="H201" s="268" t="s">
        <v>4707</v>
      </c>
      <c r="I201" s="18" t="s">
        <v>4637</v>
      </c>
      <c r="J201" s="89" t="s">
        <v>4337</v>
      </c>
      <c r="O201" s="256">
        <v>4</v>
      </c>
      <c r="P201" t="s">
        <v>5049</v>
      </c>
      <c r="Q201">
        <v>3</v>
      </c>
      <c r="R201" t="s">
        <v>5050</v>
      </c>
      <c r="S201" s="398">
        <f t="shared" si="14"/>
        <v>4.25</v>
      </c>
    </row>
    <row r="202" spans="1:19" ht="15" thickBot="1" x14ac:dyDescent="0.4">
      <c r="A202" s="2"/>
      <c r="B202" s="296">
        <f t="shared" si="15"/>
        <v>61</v>
      </c>
      <c r="C202" s="256" t="s">
        <v>4537</v>
      </c>
      <c r="D202" s="256" t="s">
        <v>4538</v>
      </c>
      <c r="E202" s="400" t="str">
        <f t="shared" si="16"/>
        <v>19</v>
      </c>
      <c r="F202" s="275" t="s">
        <v>4997</v>
      </c>
      <c r="G202" s="256" t="s">
        <v>4622</v>
      </c>
      <c r="H202" s="266">
        <v>3.53</v>
      </c>
      <c r="I202" s="18" t="s">
        <v>4622</v>
      </c>
      <c r="J202" s="89">
        <v>540</v>
      </c>
      <c r="O202" s="256">
        <v>4</v>
      </c>
      <c r="P202" t="s">
        <v>5046</v>
      </c>
      <c r="Q202">
        <v>3</v>
      </c>
      <c r="R202" t="s">
        <v>5048</v>
      </c>
      <c r="S202" s="398">
        <f t="shared" si="14"/>
        <v>4.25</v>
      </c>
    </row>
    <row r="203" spans="1:19" ht="15" thickBot="1" x14ac:dyDescent="0.4">
      <c r="A203" s="2"/>
      <c r="B203" s="296">
        <f t="shared" si="15"/>
        <v>62</v>
      </c>
      <c r="C203" s="254" t="s">
        <v>4565</v>
      </c>
      <c r="D203" s="254" t="s">
        <v>4566</v>
      </c>
      <c r="E203" s="400" t="str">
        <f t="shared" si="16"/>
        <v>19</v>
      </c>
      <c r="F203" s="275" t="s">
        <v>4997</v>
      </c>
      <c r="G203" s="256" t="s">
        <v>4622</v>
      </c>
      <c r="H203" s="268" t="s">
        <v>5000</v>
      </c>
      <c r="I203" s="362" t="s">
        <v>4622</v>
      </c>
      <c r="J203" s="19">
        <v>510</v>
      </c>
      <c r="O203" s="256">
        <v>4</v>
      </c>
      <c r="P203" t="s">
        <v>5046</v>
      </c>
      <c r="Q203">
        <v>3</v>
      </c>
      <c r="R203" t="s">
        <v>5048</v>
      </c>
      <c r="S203" s="398">
        <f t="shared" si="14"/>
        <v>4.25</v>
      </c>
    </row>
    <row r="204" spans="1:19" ht="15" thickBot="1" x14ac:dyDescent="0.4">
      <c r="A204" s="2"/>
      <c r="B204" s="296">
        <f t="shared" si="15"/>
        <v>63</v>
      </c>
      <c r="C204" s="256" t="s">
        <v>4569</v>
      </c>
      <c r="D204" s="256" t="s">
        <v>4570</v>
      </c>
      <c r="E204" s="400" t="str">
        <f t="shared" si="16"/>
        <v>19</v>
      </c>
      <c r="F204" s="275" t="s">
        <v>4997</v>
      </c>
      <c r="G204" s="256" t="s">
        <v>4637</v>
      </c>
      <c r="H204" s="266">
        <v>3.68</v>
      </c>
      <c r="I204" s="364" t="s">
        <v>4637</v>
      </c>
      <c r="J204" s="21"/>
      <c r="O204" s="256">
        <v>4</v>
      </c>
      <c r="P204" t="s">
        <v>5049</v>
      </c>
      <c r="Q204">
        <v>3</v>
      </c>
      <c r="R204" t="s">
        <v>5050</v>
      </c>
      <c r="S204" s="398">
        <f t="shared" si="14"/>
        <v>4.25</v>
      </c>
    </row>
    <row r="205" spans="1:19" ht="15" thickBot="1" x14ac:dyDescent="0.4">
      <c r="A205" s="298"/>
      <c r="B205" s="296">
        <f t="shared" si="15"/>
        <v>64</v>
      </c>
      <c r="C205" s="254" t="s">
        <v>5001</v>
      </c>
      <c r="D205" s="254" t="s">
        <v>4573</v>
      </c>
      <c r="E205" s="400" t="str">
        <f t="shared" si="16"/>
        <v>19</v>
      </c>
      <c r="F205" s="275" t="s">
        <v>4997</v>
      </c>
      <c r="G205" s="256" t="s">
        <v>4622</v>
      </c>
      <c r="H205" s="268" t="s">
        <v>5002</v>
      </c>
      <c r="I205" s="362" t="s">
        <v>4622</v>
      </c>
      <c r="J205" s="21"/>
      <c r="O205" s="256">
        <v>4</v>
      </c>
      <c r="P205" t="s">
        <v>5046</v>
      </c>
      <c r="Q205">
        <v>3</v>
      </c>
      <c r="R205" t="s">
        <v>5048</v>
      </c>
      <c r="S205" s="398">
        <f t="shared" si="14"/>
        <v>4.25</v>
      </c>
    </row>
    <row r="206" spans="1:19" ht="15" thickBot="1" x14ac:dyDescent="0.4">
      <c r="A206" s="298"/>
      <c r="B206" s="296">
        <f t="shared" ref="B206:B233" si="17">B205+1</f>
        <v>65</v>
      </c>
      <c r="C206" s="254" t="s">
        <v>4574</v>
      </c>
      <c r="D206" s="254" t="s">
        <v>4575</v>
      </c>
      <c r="E206" s="400" t="str">
        <f t="shared" ref="E206:E233" si="18">LEFT(D206,2)</f>
        <v>19</v>
      </c>
      <c r="F206" s="275" t="s">
        <v>4997</v>
      </c>
      <c r="G206" s="256" t="s">
        <v>4622</v>
      </c>
      <c r="H206" s="268" t="s">
        <v>4821</v>
      </c>
      <c r="I206" s="18" t="s">
        <v>4622</v>
      </c>
      <c r="J206" s="68">
        <v>493</v>
      </c>
      <c r="O206" s="256">
        <v>4</v>
      </c>
      <c r="P206" t="s">
        <v>5046</v>
      </c>
      <c r="Q206">
        <v>3</v>
      </c>
      <c r="R206" t="s">
        <v>5048</v>
      </c>
      <c r="S206" s="398">
        <f t="shared" ref="S206:S269" si="19">O206+(Q206/12)</f>
        <v>4.25</v>
      </c>
    </row>
    <row r="207" spans="1:19" ht="15" thickBot="1" x14ac:dyDescent="0.4">
      <c r="A207" s="298"/>
      <c r="B207" s="296">
        <f t="shared" si="17"/>
        <v>66</v>
      </c>
      <c r="C207" s="256" t="s">
        <v>4578</v>
      </c>
      <c r="D207" s="256" t="s">
        <v>4579</v>
      </c>
      <c r="E207" s="400" t="str">
        <f t="shared" si="18"/>
        <v>19</v>
      </c>
      <c r="F207" s="275" t="s">
        <v>4997</v>
      </c>
      <c r="G207" s="256" t="s">
        <v>4622</v>
      </c>
      <c r="H207" s="266" t="s">
        <v>4707</v>
      </c>
      <c r="I207" s="18" t="s">
        <v>4622</v>
      </c>
      <c r="J207" s="20"/>
      <c r="O207" s="256">
        <v>4</v>
      </c>
      <c r="P207" t="s">
        <v>5046</v>
      </c>
      <c r="Q207">
        <v>3</v>
      </c>
      <c r="R207" t="s">
        <v>5048</v>
      </c>
      <c r="S207" s="398">
        <f t="shared" si="19"/>
        <v>4.25</v>
      </c>
    </row>
    <row r="208" spans="1:19" ht="15" thickBot="1" x14ac:dyDescent="0.4">
      <c r="B208" s="296">
        <f t="shared" si="17"/>
        <v>67</v>
      </c>
      <c r="C208" s="256" t="s">
        <v>4584</v>
      </c>
      <c r="D208" s="256" t="s">
        <v>4585</v>
      </c>
      <c r="E208" s="400" t="str">
        <f t="shared" si="18"/>
        <v>19</v>
      </c>
      <c r="F208" s="275" t="s">
        <v>4997</v>
      </c>
      <c r="G208" s="256" t="s">
        <v>4787</v>
      </c>
      <c r="H208" s="283">
        <v>3.62</v>
      </c>
      <c r="I208" s="361" t="s">
        <v>4787</v>
      </c>
      <c r="J208" s="21">
        <v>450</v>
      </c>
      <c r="O208" s="256">
        <v>4</v>
      </c>
      <c r="P208" t="s">
        <v>5046</v>
      </c>
      <c r="Q208">
        <v>4</v>
      </c>
      <c r="R208" t="s">
        <v>5048</v>
      </c>
      <c r="S208" s="398">
        <f t="shared" si="19"/>
        <v>4.333333333333333</v>
      </c>
    </row>
    <row r="209" spans="2:19" ht="15" thickBot="1" x14ac:dyDescent="0.4">
      <c r="B209" s="296">
        <f t="shared" si="17"/>
        <v>68</v>
      </c>
      <c r="C209" s="254" t="s">
        <v>4588</v>
      </c>
      <c r="D209" s="254" t="s">
        <v>4589</v>
      </c>
      <c r="E209" s="400" t="str">
        <f t="shared" si="18"/>
        <v>19</v>
      </c>
      <c r="F209" s="275" t="s">
        <v>4997</v>
      </c>
      <c r="G209" s="256" t="s">
        <v>4637</v>
      </c>
      <c r="H209" s="268" t="s">
        <v>4682</v>
      </c>
      <c r="I209" s="1" t="s">
        <v>4637</v>
      </c>
      <c r="J209" s="21">
        <v>564</v>
      </c>
      <c r="O209" s="256">
        <v>4</v>
      </c>
      <c r="P209" t="s">
        <v>5049</v>
      </c>
      <c r="Q209">
        <v>3</v>
      </c>
      <c r="R209" t="s">
        <v>5050</v>
      </c>
      <c r="S209" s="398">
        <f t="shared" si="19"/>
        <v>4.25</v>
      </c>
    </row>
    <row r="210" spans="2:19" ht="15" thickBot="1" x14ac:dyDescent="0.4">
      <c r="B210" s="296">
        <f t="shared" si="17"/>
        <v>69</v>
      </c>
      <c r="C210" s="256" t="s">
        <v>4542</v>
      </c>
      <c r="D210" s="256" t="s">
        <v>4536</v>
      </c>
      <c r="E210" s="400" t="str">
        <f t="shared" si="18"/>
        <v>19</v>
      </c>
      <c r="F210" s="256" t="s">
        <v>5003</v>
      </c>
      <c r="G210" s="256" t="s">
        <v>4787</v>
      </c>
      <c r="H210" s="266" t="s">
        <v>4969</v>
      </c>
      <c r="I210" s="1" t="s">
        <v>4787</v>
      </c>
      <c r="J210" s="21">
        <v>460</v>
      </c>
      <c r="O210" s="256">
        <v>4</v>
      </c>
      <c r="P210" t="s">
        <v>5046</v>
      </c>
      <c r="Q210">
        <v>4</v>
      </c>
      <c r="R210" t="s">
        <v>5048</v>
      </c>
      <c r="S210" s="398">
        <f t="shared" si="19"/>
        <v>4.333333333333333</v>
      </c>
    </row>
    <row r="211" spans="2:19" ht="15" thickBot="1" x14ac:dyDescent="0.4">
      <c r="B211" s="296">
        <f t="shared" si="17"/>
        <v>70</v>
      </c>
      <c r="C211" s="254" t="s">
        <v>4543</v>
      </c>
      <c r="D211" s="254" t="s">
        <v>4544</v>
      </c>
      <c r="E211" s="400" t="str">
        <f t="shared" si="18"/>
        <v>19</v>
      </c>
      <c r="F211" s="256" t="s">
        <v>5003</v>
      </c>
      <c r="G211" s="256" t="s">
        <v>4855</v>
      </c>
      <c r="H211" s="268" t="s">
        <v>4985</v>
      </c>
      <c r="I211" t="s">
        <v>4855</v>
      </c>
      <c r="J211" s="21">
        <v>457</v>
      </c>
      <c r="O211" s="256">
        <v>4</v>
      </c>
      <c r="P211" t="s">
        <v>5046</v>
      </c>
      <c r="Q211">
        <v>5</v>
      </c>
      <c r="R211" t="s">
        <v>5048</v>
      </c>
      <c r="S211" s="398">
        <f t="shared" si="19"/>
        <v>4.416666666666667</v>
      </c>
    </row>
    <row r="212" spans="2:19" ht="15" thickBot="1" x14ac:dyDescent="0.4">
      <c r="B212" s="296">
        <f t="shared" si="17"/>
        <v>71</v>
      </c>
      <c r="C212" s="256" t="s">
        <v>4546</v>
      </c>
      <c r="D212" s="256" t="s">
        <v>4545</v>
      </c>
      <c r="E212" s="400" t="str">
        <f t="shared" si="18"/>
        <v>19</v>
      </c>
      <c r="F212" s="256" t="s">
        <v>5003</v>
      </c>
      <c r="G212" s="256" t="s">
        <v>4787</v>
      </c>
      <c r="H212" s="266">
        <v>3.46</v>
      </c>
      <c r="I212" t="s">
        <v>4787</v>
      </c>
      <c r="J212" s="21">
        <v>576</v>
      </c>
      <c r="O212" s="256">
        <v>4</v>
      </c>
      <c r="P212" t="s">
        <v>5046</v>
      </c>
      <c r="Q212">
        <v>4</v>
      </c>
      <c r="R212" t="s">
        <v>5048</v>
      </c>
      <c r="S212" s="398">
        <f t="shared" si="19"/>
        <v>4.333333333333333</v>
      </c>
    </row>
    <row r="213" spans="2:19" ht="15" thickBot="1" x14ac:dyDescent="0.4">
      <c r="B213" s="296">
        <f t="shared" si="17"/>
        <v>72</v>
      </c>
      <c r="C213" s="256" t="s">
        <v>4548</v>
      </c>
      <c r="D213" s="256" t="s">
        <v>4547</v>
      </c>
      <c r="E213" s="400" t="str">
        <f t="shared" si="18"/>
        <v>19</v>
      </c>
      <c r="F213" s="256" t="s">
        <v>5003</v>
      </c>
      <c r="G213" s="256" t="s">
        <v>4850</v>
      </c>
      <c r="H213" s="266" t="s">
        <v>5000</v>
      </c>
      <c r="I213" t="s">
        <v>4850</v>
      </c>
      <c r="J213" s="21">
        <v>527</v>
      </c>
      <c r="O213" s="256">
        <v>4</v>
      </c>
      <c r="P213" t="s">
        <v>5049</v>
      </c>
      <c r="Q213">
        <v>4</v>
      </c>
      <c r="R213" t="s">
        <v>5050</v>
      </c>
      <c r="S213" s="398">
        <f t="shared" si="19"/>
        <v>4.333333333333333</v>
      </c>
    </row>
    <row r="214" spans="2:19" ht="15" thickBot="1" x14ac:dyDescent="0.4">
      <c r="B214" s="296">
        <f t="shared" si="17"/>
        <v>73</v>
      </c>
      <c r="C214" s="256" t="s">
        <v>4549</v>
      </c>
      <c r="D214" s="256" t="s">
        <v>4550</v>
      </c>
      <c r="E214" s="400" t="str">
        <f t="shared" si="18"/>
        <v>19</v>
      </c>
      <c r="F214" s="256" t="s">
        <v>5003</v>
      </c>
      <c r="G214" s="256" t="s">
        <v>4622</v>
      </c>
      <c r="H214" s="266">
        <v>3.18</v>
      </c>
      <c r="I214" t="s">
        <v>4622</v>
      </c>
      <c r="J214" s="21">
        <v>453</v>
      </c>
      <c r="O214" s="256">
        <v>4</v>
      </c>
      <c r="P214" t="s">
        <v>5046</v>
      </c>
      <c r="Q214">
        <v>3</v>
      </c>
      <c r="R214" t="s">
        <v>5048</v>
      </c>
      <c r="S214" s="398">
        <f t="shared" si="19"/>
        <v>4.25</v>
      </c>
    </row>
    <row r="215" spans="2:19" ht="15" thickBot="1" x14ac:dyDescent="0.4">
      <c r="B215" s="296">
        <f t="shared" si="17"/>
        <v>74</v>
      </c>
      <c r="C215" s="256" t="s">
        <v>4551</v>
      </c>
      <c r="D215" s="256" t="s">
        <v>4552</v>
      </c>
      <c r="E215" s="400" t="str">
        <f t="shared" si="18"/>
        <v>19</v>
      </c>
      <c r="F215" s="256" t="s">
        <v>5003</v>
      </c>
      <c r="G215" s="256" t="s">
        <v>4787</v>
      </c>
      <c r="H215" s="266" t="s">
        <v>4620</v>
      </c>
      <c r="I215" t="s">
        <v>4787</v>
      </c>
      <c r="J215" s="21">
        <v>510</v>
      </c>
      <c r="O215" s="256">
        <v>4</v>
      </c>
      <c r="P215" t="s">
        <v>5046</v>
      </c>
      <c r="Q215">
        <v>4</v>
      </c>
      <c r="R215" t="s">
        <v>5048</v>
      </c>
      <c r="S215" s="398">
        <f t="shared" si="19"/>
        <v>4.333333333333333</v>
      </c>
    </row>
    <row r="216" spans="2:19" ht="15" thickBot="1" x14ac:dyDescent="0.4">
      <c r="B216" s="296">
        <f t="shared" si="17"/>
        <v>75</v>
      </c>
      <c r="C216" s="256" t="s">
        <v>4553</v>
      </c>
      <c r="D216" s="256" t="s">
        <v>4554</v>
      </c>
      <c r="E216" s="400" t="str">
        <f t="shared" si="18"/>
        <v>19</v>
      </c>
      <c r="F216" s="256" t="s">
        <v>5006</v>
      </c>
      <c r="G216" s="256" t="s">
        <v>4855</v>
      </c>
      <c r="H216" s="266" t="s">
        <v>4624</v>
      </c>
      <c r="I216" t="s">
        <v>4855</v>
      </c>
      <c r="J216" s="19" t="s">
        <v>4243</v>
      </c>
      <c r="O216" s="256">
        <v>4</v>
      </c>
      <c r="P216" t="s">
        <v>5046</v>
      </c>
      <c r="Q216">
        <v>5</v>
      </c>
      <c r="R216" t="s">
        <v>5048</v>
      </c>
      <c r="S216" s="398">
        <f t="shared" si="19"/>
        <v>4.416666666666667</v>
      </c>
    </row>
    <row r="217" spans="2:19" ht="15" thickBot="1" x14ac:dyDescent="0.4">
      <c r="B217" s="296">
        <f t="shared" si="17"/>
        <v>76</v>
      </c>
      <c r="C217" s="256" t="s">
        <v>4555</v>
      </c>
      <c r="D217" s="256" t="s">
        <v>4556</v>
      </c>
      <c r="E217" s="400" t="str">
        <f t="shared" si="18"/>
        <v>19</v>
      </c>
      <c r="F217" s="256" t="s">
        <v>5007</v>
      </c>
      <c r="G217" s="256" t="s">
        <v>4855</v>
      </c>
      <c r="H217" s="266" t="s">
        <v>4815</v>
      </c>
      <c r="I217" t="s">
        <v>4855</v>
      </c>
      <c r="J217" s="21">
        <v>520</v>
      </c>
      <c r="O217" s="256">
        <v>4</v>
      </c>
      <c r="P217" t="s">
        <v>5046</v>
      </c>
      <c r="Q217">
        <v>5</v>
      </c>
      <c r="R217" t="s">
        <v>5048</v>
      </c>
      <c r="S217" s="398">
        <f t="shared" si="19"/>
        <v>4.416666666666667</v>
      </c>
    </row>
    <row r="218" spans="2:19" ht="15" thickBot="1" x14ac:dyDescent="0.4">
      <c r="B218" s="296">
        <f t="shared" si="17"/>
        <v>77</v>
      </c>
      <c r="C218" s="258" t="s">
        <v>4557</v>
      </c>
      <c r="D218" s="258" t="s">
        <v>4558</v>
      </c>
      <c r="E218" s="400" t="str">
        <f t="shared" si="18"/>
        <v>19</v>
      </c>
      <c r="F218" s="258" t="s">
        <v>5008</v>
      </c>
      <c r="G218" s="258" t="s">
        <v>4855</v>
      </c>
      <c r="H218" s="268" t="s">
        <v>4813</v>
      </c>
      <c r="I218" t="s">
        <v>4855</v>
      </c>
      <c r="J218" s="21">
        <v>450</v>
      </c>
      <c r="O218" s="258">
        <v>4</v>
      </c>
      <c r="P218" t="s">
        <v>5046</v>
      </c>
      <c r="Q218">
        <v>5</v>
      </c>
      <c r="R218" t="s">
        <v>5048</v>
      </c>
      <c r="S218" s="398">
        <f t="shared" si="19"/>
        <v>4.416666666666667</v>
      </c>
    </row>
    <row r="219" spans="2:19" x14ac:dyDescent="0.35">
      <c r="B219" s="18">
        <f t="shared" si="17"/>
        <v>78</v>
      </c>
      <c r="C219" s="281" t="s">
        <v>4559</v>
      </c>
      <c r="D219" s="281" t="s">
        <v>4560</v>
      </c>
      <c r="E219" s="400" t="str">
        <f t="shared" si="18"/>
        <v>19</v>
      </c>
      <c r="F219" s="281" t="s">
        <v>5006</v>
      </c>
      <c r="G219" s="281" t="s">
        <v>4855</v>
      </c>
      <c r="H219" s="268" t="s">
        <v>5005</v>
      </c>
      <c r="I219" t="s">
        <v>4855</v>
      </c>
      <c r="J219" s="21" t="s">
        <v>4253</v>
      </c>
      <c r="O219" s="281">
        <v>4</v>
      </c>
      <c r="P219" t="s">
        <v>5046</v>
      </c>
      <c r="Q219">
        <v>5</v>
      </c>
      <c r="R219" t="s">
        <v>5048</v>
      </c>
      <c r="S219" s="398">
        <f t="shared" si="19"/>
        <v>4.416666666666667</v>
      </c>
    </row>
    <row r="220" spans="2:19" x14ac:dyDescent="0.35">
      <c r="B220" s="18">
        <f t="shared" si="17"/>
        <v>79</v>
      </c>
      <c r="C220" s="281" t="s">
        <v>4561</v>
      </c>
      <c r="D220" s="281" t="s">
        <v>4562</v>
      </c>
      <c r="E220" s="400" t="str">
        <f t="shared" si="18"/>
        <v>19</v>
      </c>
      <c r="F220" s="281" t="s">
        <v>5007</v>
      </c>
      <c r="G220" s="281" t="s">
        <v>4855</v>
      </c>
      <c r="H220" s="2">
        <v>3.63</v>
      </c>
      <c r="I220" t="s">
        <v>4855</v>
      </c>
      <c r="J220" s="21">
        <v>493</v>
      </c>
      <c r="O220" s="281">
        <v>4</v>
      </c>
      <c r="P220" t="s">
        <v>5046</v>
      </c>
      <c r="Q220">
        <v>5</v>
      </c>
      <c r="R220" t="s">
        <v>5048</v>
      </c>
      <c r="S220" s="398">
        <f t="shared" si="19"/>
        <v>4.416666666666667</v>
      </c>
    </row>
    <row r="221" spans="2:19" x14ac:dyDescent="0.35">
      <c r="B221" s="18">
        <f t="shared" si="17"/>
        <v>80</v>
      </c>
      <c r="C221" s="281" t="s">
        <v>5009</v>
      </c>
      <c r="D221" s="281" t="s">
        <v>5010</v>
      </c>
      <c r="E221" s="400" t="str">
        <f t="shared" si="18"/>
        <v>19</v>
      </c>
      <c r="F221" s="281" t="s">
        <v>5011</v>
      </c>
      <c r="G221" s="281" t="s">
        <v>4855</v>
      </c>
      <c r="H221" s="266" t="s">
        <v>5012</v>
      </c>
      <c r="I221" t="s">
        <v>4855</v>
      </c>
      <c r="J221" s="21" t="s">
        <v>4260</v>
      </c>
      <c r="O221" s="281">
        <v>4</v>
      </c>
      <c r="P221" t="s">
        <v>5046</v>
      </c>
      <c r="Q221">
        <v>5</v>
      </c>
      <c r="R221" t="s">
        <v>5048</v>
      </c>
      <c r="S221" s="398">
        <f t="shared" si="19"/>
        <v>4.416666666666667</v>
      </c>
    </row>
    <row r="222" spans="2:19" x14ac:dyDescent="0.35">
      <c r="B222" s="18">
        <f t="shared" si="17"/>
        <v>81</v>
      </c>
      <c r="C222" s="281" t="s">
        <v>4563</v>
      </c>
      <c r="D222" s="281" t="s">
        <v>4564</v>
      </c>
      <c r="E222" s="400" t="str">
        <f t="shared" si="18"/>
        <v>19</v>
      </c>
      <c r="F222" s="281" t="s">
        <v>5013</v>
      </c>
      <c r="G222" s="281" t="s">
        <v>4855</v>
      </c>
      <c r="H222" s="266">
        <v>3.22</v>
      </c>
      <c r="I222" t="s">
        <v>4855</v>
      </c>
      <c r="J222" s="21" t="s">
        <v>4263</v>
      </c>
      <c r="O222" s="281">
        <v>4</v>
      </c>
      <c r="P222" t="s">
        <v>5046</v>
      </c>
      <c r="Q222">
        <v>5</v>
      </c>
      <c r="R222" t="s">
        <v>5048</v>
      </c>
      <c r="S222" s="398">
        <f t="shared" si="19"/>
        <v>4.416666666666667</v>
      </c>
    </row>
    <row r="223" spans="2:19" x14ac:dyDescent="0.35">
      <c r="B223" s="18">
        <f t="shared" si="17"/>
        <v>82</v>
      </c>
      <c r="C223" s="281" t="s">
        <v>4567</v>
      </c>
      <c r="D223" s="281" t="s">
        <v>4568</v>
      </c>
      <c r="E223" s="400" t="str">
        <f t="shared" si="18"/>
        <v>19</v>
      </c>
      <c r="F223" s="281" t="s">
        <v>5006</v>
      </c>
      <c r="G223" s="281" t="s">
        <v>4855</v>
      </c>
      <c r="H223" s="266" t="s">
        <v>4847</v>
      </c>
      <c r="I223" t="s">
        <v>4855</v>
      </c>
      <c r="J223" s="21">
        <v>457</v>
      </c>
      <c r="O223" s="281">
        <v>4</v>
      </c>
      <c r="P223" t="s">
        <v>5046</v>
      </c>
      <c r="Q223">
        <v>5</v>
      </c>
      <c r="R223" t="s">
        <v>5048</v>
      </c>
      <c r="S223" s="398">
        <f t="shared" si="19"/>
        <v>4.416666666666667</v>
      </c>
    </row>
    <row r="224" spans="2:19" x14ac:dyDescent="0.35">
      <c r="B224" s="18">
        <f t="shared" si="17"/>
        <v>83</v>
      </c>
      <c r="C224" s="281" t="s">
        <v>4571</v>
      </c>
      <c r="D224" s="281" t="s">
        <v>4572</v>
      </c>
      <c r="E224" s="400" t="str">
        <f t="shared" si="18"/>
        <v>19</v>
      </c>
      <c r="F224" s="392">
        <v>45308</v>
      </c>
      <c r="G224" s="281" t="s">
        <v>4855</v>
      </c>
      <c r="H224" s="266" t="s">
        <v>5014</v>
      </c>
      <c r="I224" t="s">
        <v>4855</v>
      </c>
      <c r="J224" s="21" t="s">
        <v>4268</v>
      </c>
      <c r="O224" s="281">
        <v>4</v>
      </c>
      <c r="P224" t="s">
        <v>5046</v>
      </c>
      <c r="Q224">
        <v>5</v>
      </c>
      <c r="R224" t="s">
        <v>5048</v>
      </c>
      <c r="S224" s="398">
        <f t="shared" si="19"/>
        <v>4.416666666666667</v>
      </c>
    </row>
    <row r="225" spans="2:20" x14ac:dyDescent="0.35">
      <c r="B225" s="18">
        <f t="shared" si="17"/>
        <v>84</v>
      </c>
      <c r="C225" s="388" t="s">
        <v>4576</v>
      </c>
      <c r="D225" s="388" t="s">
        <v>4577</v>
      </c>
      <c r="E225" s="401" t="str">
        <f t="shared" si="18"/>
        <v>19</v>
      </c>
      <c r="F225" s="281" t="s">
        <v>5015</v>
      </c>
      <c r="G225" s="281" t="s">
        <v>4855</v>
      </c>
      <c r="H225" s="393">
        <v>3.74</v>
      </c>
      <c r="I225" t="s">
        <v>4855</v>
      </c>
      <c r="J225" s="366">
        <v>509</v>
      </c>
      <c r="O225" s="281">
        <v>4</v>
      </c>
      <c r="P225" t="s">
        <v>5046</v>
      </c>
      <c r="Q225">
        <v>5</v>
      </c>
      <c r="R225" t="s">
        <v>5048</v>
      </c>
      <c r="S225" s="398">
        <f t="shared" si="19"/>
        <v>4.416666666666667</v>
      </c>
    </row>
    <row r="226" spans="2:20" x14ac:dyDescent="0.35">
      <c r="B226" s="18">
        <f t="shared" si="17"/>
        <v>85</v>
      </c>
      <c r="C226" s="388" t="s">
        <v>4580</v>
      </c>
      <c r="D226" s="388" t="s">
        <v>4581</v>
      </c>
      <c r="E226" s="400" t="str">
        <f t="shared" si="18"/>
        <v>19</v>
      </c>
      <c r="F226" s="281" t="s">
        <v>5016</v>
      </c>
      <c r="G226" s="281" t="s">
        <v>4855</v>
      </c>
      <c r="H226" s="393" t="s">
        <v>4393</v>
      </c>
      <c r="I226" t="s">
        <v>4855</v>
      </c>
      <c r="J226" s="366">
        <v>537</v>
      </c>
      <c r="O226" s="281">
        <v>4</v>
      </c>
      <c r="P226" t="s">
        <v>5046</v>
      </c>
      <c r="Q226">
        <v>5</v>
      </c>
      <c r="R226" t="s">
        <v>5048</v>
      </c>
      <c r="S226" s="398">
        <f t="shared" si="19"/>
        <v>4.416666666666667</v>
      </c>
    </row>
    <row r="227" spans="2:20" x14ac:dyDescent="0.35">
      <c r="B227" s="18">
        <f t="shared" si="17"/>
        <v>86</v>
      </c>
      <c r="C227" s="388" t="s">
        <v>4582</v>
      </c>
      <c r="D227" s="388" t="s">
        <v>4583</v>
      </c>
      <c r="E227" s="400" t="str">
        <f t="shared" si="18"/>
        <v>19</v>
      </c>
      <c r="F227" s="281" t="s">
        <v>5006</v>
      </c>
      <c r="G227" s="281" t="s">
        <v>4855</v>
      </c>
      <c r="H227" s="393" t="s">
        <v>4785</v>
      </c>
      <c r="I227" t="s">
        <v>4855</v>
      </c>
      <c r="J227" s="366" t="s">
        <v>4278</v>
      </c>
      <c r="O227" s="281">
        <v>4</v>
      </c>
      <c r="P227" t="s">
        <v>5046</v>
      </c>
      <c r="Q227">
        <v>5</v>
      </c>
      <c r="R227" t="s">
        <v>5048</v>
      </c>
      <c r="S227" s="398">
        <f t="shared" si="19"/>
        <v>4.416666666666667</v>
      </c>
    </row>
    <row r="228" spans="2:20" x14ac:dyDescent="0.35">
      <c r="B228" s="18">
        <f t="shared" si="17"/>
        <v>87</v>
      </c>
      <c r="C228" s="388" t="s">
        <v>5017</v>
      </c>
      <c r="D228" s="388" t="s">
        <v>5018</v>
      </c>
      <c r="E228" s="401" t="str">
        <f t="shared" si="18"/>
        <v>19</v>
      </c>
      <c r="F228" s="281" t="s">
        <v>5016</v>
      </c>
      <c r="G228" s="281" t="s">
        <v>4855</v>
      </c>
      <c r="H228" s="393" t="s">
        <v>4624</v>
      </c>
      <c r="I228" t="s">
        <v>4855</v>
      </c>
      <c r="J228" s="366">
        <v>550</v>
      </c>
      <c r="O228" s="281">
        <v>4</v>
      </c>
      <c r="P228" t="s">
        <v>5046</v>
      </c>
      <c r="Q228">
        <v>5</v>
      </c>
      <c r="R228" t="s">
        <v>5048</v>
      </c>
      <c r="S228" s="398">
        <f t="shared" si="19"/>
        <v>4.416666666666667</v>
      </c>
    </row>
    <row r="229" spans="2:20" x14ac:dyDescent="0.35">
      <c r="B229" s="18">
        <f t="shared" si="17"/>
        <v>88</v>
      </c>
      <c r="C229" s="390" t="s">
        <v>5019</v>
      </c>
      <c r="D229" s="390" t="s">
        <v>5020</v>
      </c>
      <c r="E229" s="401" t="str">
        <f t="shared" si="18"/>
        <v>19</v>
      </c>
      <c r="F229" s="281" t="s">
        <v>5021</v>
      </c>
      <c r="G229" s="281" t="s">
        <v>4855</v>
      </c>
      <c r="H229" s="358" t="s">
        <v>4863</v>
      </c>
      <c r="I229" t="s">
        <v>4855</v>
      </c>
      <c r="J229" s="366">
        <v>480</v>
      </c>
      <c r="O229" s="281">
        <v>4</v>
      </c>
      <c r="P229" t="s">
        <v>5046</v>
      </c>
      <c r="Q229">
        <v>5</v>
      </c>
      <c r="R229" t="s">
        <v>5048</v>
      </c>
      <c r="S229" s="398">
        <f t="shared" si="19"/>
        <v>4.416666666666667</v>
      </c>
    </row>
    <row r="230" spans="2:20" x14ac:dyDescent="0.35">
      <c r="B230" s="18">
        <f t="shared" si="17"/>
        <v>89</v>
      </c>
      <c r="C230" s="388" t="s">
        <v>4586</v>
      </c>
      <c r="D230" s="388" t="s">
        <v>4587</v>
      </c>
      <c r="E230" s="401" t="str">
        <f t="shared" si="18"/>
        <v>19</v>
      </c>
      <c r="F230" s="281" t="s">
        <v>5007</v>
      </c>
      <c r="G230" s="281" t="s">
        <v>4855</v>
      </c>
      <c r="H230" s="393">
        <v>3.51</v>
      </c>
      <c r="I230" t="s">
        <v>4855</v>
      </c>
      <c r="J230" s="377"/>
      <c r="O230" s="281">
        <v>4</v>
      </c>
      <c r="P230" t="s">
        <v>5046</v>
      </c>
      <c r="Q230">
        <v>5</v>
      </c>
      <c r="R230" t="s">
        <v>5048</v>
      </c>
      <c r="S230" s="398">
        <f t="shared" si="19"/>
        <v>4.416666666666667</v>
      </c>
    </row>
    <row r="231" spans="2:20" x14ac:dyDescent="0.35">
      <c r="B231" s="18">
        <f t="shared" si="17"/>
        <v>90</v>
      </c>
      <c r="C231" s="388" t="s">
        <v>4595</v>
      </c>
      <c r="D231" s="388" t="s">
        <v>4596</v>
      </c>
      <c r="E231" s="401" t="str">
        <f t="shared" si="18"/>
        <v>19</v>
      </c>
      <c r="F231" s="281" t="s">
        <v>5016</v>
      </c>
      <c r="G231" s="281" t="s">
        <v>4855</v>
      </c>
      <c r="H231" s="358" t="s">
        <v>5022</v>
      </c>
      <c r="I231" t="s">
        <v>4855</v>
      </c>
      <c r="J231" s="377"/>
      <c r="O231" s="281">
        <v>4</v>
      </c>
      <c r="P231" t="s">
        <v>5046</v>
      </c>
      <c r="Q231">
        <v>5</v>
      </c>
      <c r="R231" t="s">
        <v>5048</v>
      </c>
      <c r="S231" s="398">
        <f t="shared" si="19"/>
        <v>4.416666666666667</v>
      </c>
    </row>
    <row r="232" spans="2:20" x14ac:dyDescent="0.35">
      <c r="B232" s="18">
        <f t="shared" si="17"/>
        <v>91</v>
      </c>
      <c r="C232" s="388" t="s">
        <v>4597</v>
      </c>
      <c r="D232" s="388" t="s">
        <v>4598</v>
      </c>
      <c r="E232" s="401" t="str">
        <f t="shared" si="18"/>
        <v>19</v>
      </c>
      <c r="F232" s="281" t="s">
        <v>5023</v>
      </c>
      <c r="G232" s="281" t="s">
        <v>4647</v>
      </c>
      <c r="H232" s="393" t="s">
        <v>5024</v>
      </c>
      <c r="I232" t="s">
        <v>4647</v>
      </c>
      <c r="J232" s="371">
        <v>597</v>
      </c>
      <c r="O232" s="281">
        <v>4</v>
      </c>
      <c r="P232" t="s">
        <v>5046</v>
      </c>
      <c r="Q232">
        <v>6</v>
      </c>
      <c r="R232" t="s">
        <v>5048</v>
      </c>
      <c r="S232" s="398">
        <f t="shared" si="19"/>
        <v>4.5</v>
      </c>
    </row>
    <row r="233" spans="2:20" x14ac:dyDescent="0.35">
      <c r="B233" s="18">
        <f t="shared" si="17"/>
        <v>92</v>
      </c>
      <c r="C233" s="388" t="s">
        <v>4599</v>
      </c>
      <c r="D233" s="388" t="s">
        <v>4600</v>
      </c>
      <c r="E233" s="401" t="str">
        <f t="shared" si="18"/>
        <v>19</v>
      </c>
      <c r="F233" s="281" t="s">
        <v>5025</v>
      </c>
      <c r="G233" s="281" t="s">
        <v>4855</v>
      </c>
      <c r="H233" s="393" t="s">
        <v>4609</v>
      </c>
      <c r="I233" t="s">
        <v>4855</v>
      </c>
      <c r="J233" s="371">
        <v>226</v>
      </c>
      <c r="O233" s="281">
        <v>4</v>
      </c>
      <c r="P233" t="s">
        <v>5046</v>
      </c>
      <c r="Q233">
        <v>5</v>
      </c>
      <c r="R233" t="s">
        <v>5048</v>
      </c>
      <c r="S233" s="398">
        <f t="shared" si="19"/>
        <v>4.416666666666667</v>
      </c>
    </row>
    <row r="234" spans="2:20" ht="15" customHeight="1" x14ac:dyDescent="0.35">
      <c r="C234" s="389" t="s">
        <v>5058</v>
      </c>
      <c r="D234" s="391" t="s">
        <v>5059</v>
      </c>
      <c r="E234" s="403">
        <v>20</v>
      </c>
      <c r="F234" s="320">
        <v>45375</v>
      </c>
      <c r="H234" s="394" t="s">
        <v>5060</v>
      </c>
      <c r="I234" t="s">
        <v>5401</v>
      </c>
      <c r="J234" s="371">
        <v>490</v>
      </c>
      <c r="O234" s="404">
        <v>3</v>
      </c>
      <c r="P234" t="s">
        <v>5046</v>
      </c>
      <c r="Q234">
        <v>7</v>
      </c>
      <c r="R234" t="s">
        <v>5048</v>
      </c>
      <c r="S234" s="398">
        <f t="shared" si="19"/>
        <v>3.5833333333333335</v>
      </c>
      <c r="T234" s="402">
        <f>AVERAGE(S234:S334)</f>
        <v>4.2912541254125465</v>
      </c>
    </row>
    <row r="235" spans="2:20" ht="15" customHeight="1" x14ac:dyDescent="0.35">
      <c r="C235" s="389" t="s">
        <v>5061</v>
      </c>
      <c r="D235" s="391" t="s">
        <v>5062</v>
      </c>
      <c r="E235" s="403">
        <v>20</v>
      </c>
      <c r="F235" s="320">
        <v>45375</v>
      </c>
      <c r="H235" s="394" t="s">
        <v>5063</v>
      </c>
      <c r="I235" t="s">
        <v>5401</v>
      </c>
      <c r="J235" s="371">
        <v>462</v>
      </c>
      <c r="O235" s="404">
        <v>3</v>
      </c>
      <c r="P235" t="s">
        <v>5046</v>
      </c>
      <c r="Q235">
        <v>7</v>
      </c>
      <c r="R235" t="s">
        <v>5048</v>
      </c>
      <c r="S235" s="398">
        <f t="shared" si="19"/>
        <v>3.5833333333333335</v>
      </c>
    </row>
    <row r="236" spans="2:20" ht="15" customHeight="1" x14ac:dyDescent="0.35">
      <c r="C236" s="389" t="s">
        <v>5064</v>
      </c>
      <c r="D236" s="391" t="s">
        <v>5065</v>
      </c>
      <c r="E236" s="403">
        <v>20</v>
      </c>
      <c r="F236" s="320">
        <v>45375</v>
      </c>
      <c r="H236" s="394" t="s">
        <v>5066</v>
      </c>
      <c r="I236" t="s">
        <v>5401</v>
      </c>
      <c r="J236" s="371">
        <v>517</v>
      </c>
      <c r="O236" s="404">
        <v>3</v>
      </c>
      <c r="P236" t="s">
        <v>5046</v>
      </c>
      <c r="Q236">
        <v>7</v>
      </c>
      <c r="R236" t="s">
        <v>5048</v>
      </c>
      <c r="S236" s="398">
        <f t="shared" si="19"/>
        <v>3.5833333333333335</v>
      </c>
    </row>
    <row r="237" spans="2:20" ht="15" customHeight="1" x14ac:dyDescent="0.35">
      <c r="C237" s="389" t="s">
        <v>5067</v>
      </c>
      <c r="D237" s="391" t="s">
        <v>5068</v>
      </c>
      <c r="E237" s="403">
        <v>20</v>
      </c>
      <c r="F237" s="320">
        <v>45375</v>
      </c>
      <c r="H237" s="394" t="s">
        <v>5069</v>
      </c>
      <c r="I237" t="s">
        <v>5401</v>
      </c>
      <c r="J237" s="371">
        <v>477</v>
      </c>
      <c r="O237" s="404">
        <v>3</v>
      </c>
      <c r="P237" t="s">
        <v>5046</v>
      </c>
      <c r="Q237">
        <v>7</v>
      </c>
      <c r="R237" t="s">
        <v>5048</v>
      </c>
      <c r="S237" s="398">
        <f t="shared" si="19"/>
        <v>3.5833333333333335</v>
      </c>
    </row>
    <row r="238" spans="2:20" ht="15" customHeight="1" x14ac:dyDescent="0.35">
      <c r="C238" s="321" t="s">
        <v>5072</v>
      </c>
      <c r="D238" s="322" t="s">
        <v>5073</v>
      </c>
      <c r="E238" s="403">
        <v>20</v>
      </c>
      <c r="F238" s="325">
        <v>45443</v>
      </c>
      <c r="H238" s="324">
        <v>3.69</v>
      </c>
      <c r="I238" t="s">
        <v>4803</v>
      </c>
      <c r="J238" s="371">
        <v>480</v>
      </c>
      <c r="O238" s="404">
        <v>3</v>
      </c>
      <c r="P238" t="s">
        <v>5046</v>
      </c>
      <c r="Q238">
        <v>9</v>
      </c>
      <c r="R238" t="s">
        <v>5048</v>
      </c>
      <c r="S238" s="398">
        <f t="shared" si="19"/>
        <v>3.75</v>
      </c>
    </row>
    <row r="239" spans="2:20" ht="15" customHeight="1" x14ac:dyDescent="0.35">
      <c r="C239" s="341" t="s">
        <v>5074</v>
      </c>
      <c r="D239" s="342" t="s">
        <v>5075</v>
      </c>
      <c r="E239" s="403">
        <v>20</v>
      </c>
      <c r="F239" s="325">
        <v>45443</v>
      </c>
      <c r="H239" s="343">
        <v>3.51</v>
      </c>
      <c r="I239" t="s">
        <v>4803</v>
      </c>
      <c r="J239" s="89">
        <v>513</v>
      </c>
      <c r="O239" s="404">
        <v>3</v>
      </c>
      <c r="P239" t="s">
        <v>5046</v>
      </c>
      <c r="Q239">
        <v>9</v>
      </c>
      <c r="R239" t="s">
        <v>5048</v>
      </c>
      <c r="S239" s="398">
        <f t="shared" si="19"/>
        <v>3.75</v>
      </c>
    </row>
    <row r="240" spans="2:20" ht="15" customHeight="1" thickBot="1" x14ac:dyDescent="0.4">
      <c r="C240" s="341" t="s">
        <v>5088</v>
      </c>
      <c r="D240" s="342" t="s">
        <v>5089</v>
      </c>
      <c r="E240" s="403">
        <v>20</v>
      </c>
      <c r="F240" s="325">
        <v>45504</v>
      </c>
      <c r="H240" s="343">
        <v>3.28</v>
      </c>
      <c r="I240" t="s">
        <v>4688</v>
      </c>
      <c r="J240" s="89">
        <v>450</v>
      </c>
      <c r="O240" s="404">
        <v>3</v>
      </c>
      <c r="P240" t="s">
        <v>5046</v>
      </c>
      <c r="Q240">
        <v>11</v>
      </c>
      <c r="R240" t="s">
        <v>5048</v>
      </c>
      <c r="S240" s="398">
        <f t="shared" si="19"/>
        <v>3.9166666666666665</v>
      </c>
    </row>
    <row r="241" spans="3:19" ht="15" customHeight="1" thickBot="1" x14ac:dyDescent="0.4">
      <c r="C241" s="353" t="s">
        <v>5090</v>
      </c>
      <c r="D241" s="354" t="s">
        <v>5091</v>
      </c>
      <c r="E241" s="403">
        <v>20</v>
      </c>
      <c r="F241" s="357">
        <v>45504</v>
      </c>
      <c r="H241" s="343">
        <v>3.61</v>
      </c>
      <c r="I241" t="s">
        <v>4688</v>
      </c>
      <c r="J241" s="367" t="s">
        <v>4312</v>
      </c>
      <c r="O241" s="404">
        <v>3</v>
      </c>
      <c r="P241" t="s">
        <v>5046</v>
      </c>
      <c r="Q241">
        <v>11</v>
      </c>
      <c r="R241" t="s">
        <v>5048</v>
      </c>
      <c r="S241" s="398">
        <f t="shared" si="19"/>
        <v>3.9166666666666665</v>
      </c>
    </row>
    <row r="242" spans="3:19" ht="15" customHeight="1" thickBot="1" x14ac:dyDescent="0.4">
      <c r="C242" s="353" t="s">
        <v>5092</v>
      </c>
      <c r="D242" s="354" t="s">
        <v>5093</v>
      </c>
      <c r="E242" s="403">
        <v>20</v>
      </c>
      <c r="F242" s="357">
        <v>45504</v>
      </c>
      <c r="H242" s="343">
        <v>3.43</v>
      </c>
      <c r="I242" t="s">
        <v>4688</v>
      </c>
      <c r="J242" s="367" t="s">
        <v>4017</v>
      </c>
      <c r="O242" s="404">
        <v>3</v>
      </c>
      <c r="P242" t="s">
        <v>5046</v>
      </c>
      <c r="Q242">
        <v>11</v>
      </c>
      <c r="R242" t="s">
        <v>5048</v>
      </c>
      <c r="S242" s="398">
        <f t="shared" si="19"/>
        <v>3.9166666666666665</v>
      </c>
    </row>
    <row r="243" spans="3:19" ht="15" customHeight="1" thickBot="1" x14ac:dyDescent="0.4">
      <c r="C243" s="353" t="s">
        <v>5094</v>
      </c>
      <c r="D243" s="354" t="s">
        <v>5095</v>
      </c>
      <c r="E243" s="403">
        <v>20</v>
      </c>
      <c r="F243" s="357">
        <v>45504</v>
      </c>
      <c r="H243" s="343">
        <v>3.42</v>
      </c>
      <c r="I243" t="s">
        <v>4688</v>
      </c>
      <c r="J243" s="367">
        <v>617</v>
      </c>
      <c r="O243" s="404">
        <v>3</v>
      </c>
      <c r="P243" t="s">
        <v>5046</v>
      </c>
      <c r="Q243">
        <v>11</v>
      </c>
      <c r="R243" t="s">
        <v>5048</v>
      </c>
      <c r="S243" s="398">
        <f t="shared" si="19"/>
        <v>3.9166666666666665</v>
      </c>
    </row>
    <row r="244" spans="3:19" ht="15" customHeight="1" thickBot="1" x14ac:dyDescent="0.4">
      <c r="C244" s="353" t="s">
        <v>5397</v>
      </c>
      <c r="D244" s="354" t="s">
        <v>5097</v>
      </c>
      <c r="E244" s="403">
        <v>20</v>
      </c>
      <c r="F244" s="357">
        <v>45504</v>
      </c>
      <c r="H244" s="343">
        <v>3.47</v>
      </c>
      <c r="I244" t="s">
        <v>4688</v>
      </c>
      <c r="J244" s="367">
        <v>523</v>
      </c>
      <c r="O244" s="404">
        <v>3</v>
      </c>
      <c r="P244" t="s">
        <v>5046</v>
      </c>
      <c r="Q244">
        <v>11</v>
      </c>
      <c r="R244" t="s">
        <v>5048</v>
      </c>
      <c r="S244" s="398">
        <f t="shared" si="19"/>
        <v>3.9166666666666665</v>
      </c>
    </row>
    <row r="245" spans="3:19" ht="15" thickBot="1" x14ac:dyDescent="0.4">
      <c r="C245" s="256" t="s">
        <v>5098</v>
      </c>
      <c r="D245" s="328" t="s">
        <v>5237</v>
      </c>
      <c r="E245" s="403">
        <v>20</v>
      </c>
      <c r="F245" s="340">
        <v>45533</v>
      </c>
      <c r="H245" s="334" t="s">
        <v>4785</v>
      </c>
      <c r="I245" t="s">
        <v>4743</v>
      </c>
      <c r="J245" s="367">
        <v>507</v>
      </c>
      <c r="O245" s="404">
        <v>4</v>
      </c>
      <c r="P245" t="s">
        <v>5046</v>
      </c>
      <c r="Q245">
        <v>0</v>
      </c>
      <c r="R245" t="s">
        <v>5048</v>
      </c>
      <c r="S245" s="398">
        <f t="shared" si="19"/>
        <v>4</v>
      </c>
    </row>
    <row r="246" spans="3:19" ht="15" thickBot="1" x14ac:dyDescent="0.4">
      <c r="C246" s="256" t="s">
        <v>5099</v>
      </c>
      <c r="D246" s="328" t="s">
        <v>5238</v>
      </c>
      <c r="E246" s="403">
        <v>20</v>
      </c>
      <c r="F246" s="340">
        <v>45533</v>
      </c>
      <c r="H246" s="334" t="s">
        <v>4817</v>
      </c>
      <c r="I246" t="s">
        <v>4743</v>
      </c>
      <c r="J246" s="367">
        <v>563</v>
      </c>
      <c r="O246" s="404">
        <v>4</v>
      </c>
      <c r="P246" t="s">
        <v>5046</v>
      </c>
      <c r="Q246">
        <v>0</v>
      </c>
      <c r="R246" t="s">
        <v>5048</v>
      </c>
      <c r="S246" s="398">
        <f t="shared" si="19"/>
        <v>4</v>
      </c>
    </row>
    <row r="247" spans="3:19" ht="15" thickBot="1" x14ac:dyDescent="0.4">
      <c r="C247" s="256" t="s">
        <v>5100</v>
      </c>
      <c r="D247" s="328" t="s">
        <v>5239</v>
      </c>
      <c r="E247" s="403">
        <v>20</v>
      </c>
      <c r="F247" s="340">
        <v>45533</v>
      </c>
      <c r="H247" s="334" t="s">
        <v>4614</v>
      </c>
      <c r="I247" t="s">
        <v>4743</v>
      </c>
      <c r="J247" s="367">
        <v>517</v>
      </c>
      <c r="O247" s="404">
        <v>4</v>
      </c>
      <c r="P247" t="s">
        <v>5046</v>
      </c>
      <c r="Q247">
        <v>0</v>
      </c>
      <c r="R247" t="s">
        <v>5048</v>
      </c>
      <c r="S247" s="398">
        <f t="shared" si="19"/>
        <v>4</v>
      </c>
    </row>
    <row r="248" spans="3:19" ht="15" thickBot="1" x14ac:dyDescent="0.4">
      <c r="C248" s="256" t="s">
        <v>5101</v>
      </c>
      <c r="D248" s="328" t="s">
        <v>5240</v>
      </c>
      <c r="E248" s="403">
        <v>20</v>
      </c>
      <c r="F248" s="340">
        <v>45533</v>
      </c>
      <c r="H248" s="334" t="s">
        <v>4707</v>
      </c>
      <c r="I248" t="s">
        <v>4743</v>
      </c>
      <c r="J248" s="367">
        <v>517</v>
      </c>
      <c r="O248" s="404">
        <v>4</v>
      </c>
      <c r="P248" t="s">
        <v>5046</v>
      </c>
      <c r="Q248">
        <v>0</v>
      </c>
      <c r="R248" t="s">
        <v>5048</v>
      </c>
      <c r="S248" s="398">
        <f t="shared" si="19"/>
        <v>4</v>
      </c>
    </row>
    <row r="249" spans="3:19" ht="15" thickBot="1" x14ac:dyDescent="0.4">
      <c r="C249" s="256" t="s">
        <v>5102</v>
      </c>
      <c r="D249" s="328" t="s">
        <v>5241</v>
      </c>
      <c r="E249" s="403">
        <v>20</v>
      </c>
      <c r="F249" s="340">
        <v>45533</v>
      </c>
      <c r="H249" s="334" t="s">
        <v>4624</v>
      </c>
      <c r="I249" t="s">
        <v>4743</v>
      </c>
      <c r="J249" s="367" t="s">
        <v>4329</v>
      </c>
      <c r="O249" s="404">
        <v>4</v>
      </c>
      <c r="P249" t="s">
        <v>5046</v>
      </c>
      <c r="Q249">
        <v>0</v>
      </c>
      <c r="R249" t="s">
        <v>5048</v>
      </c>
      <c r="S249" s="398">
        <f t="shared" si="19"/>
        <v>4</v>
      </c>
    </row>
    <row r="250" spans="3:19" ht="15" thickBot="1" x14ac:dyDescent="0.4">
      <c r="C250" s="256" t="s">
        <v>5103</v>
      </c>
      <c r="D250" s="328" t="s">
        <v>5242</v>
      </c>
      <c r="E250" s="403">
        <v>20</v>
      </c>
      <c r="F250" s="340">
        <v>45533</v>
      </c>
      <c r="H250" s="334">
        <v>3.24</v>
      </c>
      <c r="I250" t="s">
        <v>4743</v>
      </c>
      <c r="J250" s="367" t="s">
        <v>4332</v>
      </c>
      <c r="O250" s="404">
        <v>4</v>
      </c>
      <c r="P250" t="s">
        <v>5046</v>
      </c>
      <c r="Q250">
        <v>0</v>
      </c>
      <c r="R250" t="s">
        <v>5048</v>
      </c>
      <c r="S250" s="398">
        <f t="shared" si="19"/>
        <v>4</v>
      </c>
    </row>
    <row r="251" spans="3:19" ht="15" thickBot="1" x14ac:dyDescent="0.4">
      <c r="C251" s="256" t="s">
        <v>5104</v>
      </c>
      <c r="D251" s="328" t="s">
        <v>5243</v>
      </c>
      <c r="E251" s="403">
        <v>20</v>
      </c>
      <c r="F251" s="340">
        <v>45533</v>
      </c>
      <c r="H251" s="334" t="s">
        <v>5376</v>
      </c>
      <c r="I251" t="s">
        <v>4743</v>
      </c>
      <c r="J251" s="367">
        <v>517</v>
      </c>
      <c r="O251" s="404">
        <v>4</v>
      </c>
      <c r="P251" t="s">
        <v>5046</v>
      </c>
      <c r="Q251">
        <v>0</v>
      </c>
      <c r="R251" t="s">
        <v>5048</v>
      </c>
      <c r="S251" s="398">
        <f t="shared" si="19"/>
        <v>4</v>
      </c>
    </row>
    <row r="252" spans="3:19" ht="15" thickBot="1" x14ac:dyDescent="0.4">
      <c r="C252" s="256" t="s">
        <v>5105</v>
      </c>
      <c r="D252" s="328" t="s">
        <v>5244</v>
      </c>
      <c r="E252" s="403">
        <v>20</v>
      </c>
      <c r="F252" s="340">
        <v>45533</v>
      </c>
      <c r="H252" s="334" t="s">
        <v>4670</v>
      </c>
      <c r="I252" t="s">
        <v>4743</v>
      </c>
      <c r="J252" s="367">
        <v>470</v>
      </c>
      <c r="O252" s="404">
        <v>4</v>
      </c>
      <c r="P252" t="s">
        <v>5046</v>
      </c>
      <c r="Q252">
        <v>0</v>
      </c>
      <c r="R252" t="s">
        <v>5048</v>
      </c>
      <c r="S252" s="398">
        <f t="shared" si="19"/>
        <v>4</v>
      </c>
    </row>
    <row r="253" spans="3:19" ht="15" thickBot="1" x14ac:dyDescent="0.4">
      <c r="C253" s="256" t="s">
        <v>5106</v>
      </c>
      <c r="D253" s="328" t="s">
        <v>5245</v>
      </c>
      <c r="E253" s="403">
        <v>20</v>
      </c>
      <c r="F253" s="340">
        <v>45533</v>
      </c>
      <c r="H253" s="334" t="s">
        <v>4811</v>
      </c>
      <c r="I253" t="s">
        <v>4743</v>
      </c>
      <c r="J253" s="367">
        <v>513</v>
      </c>
      <c r="O253" s="404">
        <v>4</v>
      </c>
      <c r="P253" t="s">
        <v>5046</v>
      </c>
      <c r="Q253">
        <v>0</v>
      </c>
      <c r="R253" t="s">
        <v>5048</v>
      </c>
      <c r="S253" s="398">
        <f t="shared" si="19"/>
        <v>4</v>
      </c>
    </row>
    <row r="254" spans="3:19" ht="15" thickBot="1" x14ac:dyDescent="0.4">
      <c r="C254" s="256" t="s">
        <v>5107</v>
      </c>
      <c r="D254" s="328" t="s">
        <v>5246</v>
      </c>
      <c r="E254" s="403">
        <v>20</v>
      </c>
      <c r="F254" s="340">
        <v>45533</v>
      </c>
      <c r="H254" s="334" t="s">
        <v>4624</v>
      </c>
      <c r="I254" t="s">
        <v>4743</v>
      </c>
      <c r="J254" s="367">
        <v>473</v>
      </c>
      <c r="O254" s="404">
        <v>4</v>
      </c>
      <c r="P254" t="s">
        <v>5046</v>
      </c>
      <c r="Q254">
        <v>0</v>
      </c>
      <c r="R254" t="s">
        <v>5048</v>
      </c>
      <c r="S254" s="398">
        <f t="shared" si="19"/>
        <v>4</v>
      </c>
    </row>
    <row r="255" spans="3:19" ht="15" thickBot="1" x14ac:dyDescent="0.4">
      <c r="C255" s="256" t="s">
        <v>5108</v>
      </c>
      <c r="D255" s="328" t="s">
        <v>5247</v>
      </c>
      <c r="E255" s="403">
        <v>20</v>
      </c>
      <c r="F255" s="340">
        <v>45533</v>
      </c>
      <c r="H255" s="334">
        <v>3.22</v>
      </c>
      <c r="I255" t="s">
        <v>4743</v>
      </c>
      <c r="J255" s="367">
        <v>452</v>
      </c>
      <c r="O255" s="404">
        <v>4</v>
      </c>
      <c r="P255" t="s">
        <v>5046</v>
      </c>
      <c r="Q255">
        <v>0</v>
      </c>
      <c r="R255" t="s">
        <v>5048</v>
      </c>
      <c r="S255" s="398">
        <f t="shared" si="19"/>
        <v>4</v>
      </c>
    </row>
    <row r="256" spans="3:19" ht="15" thickBot="1" x14ac:dyDescent="0.4">
      <c r="C256" s="256" t="s">
        <v>5109</v>
      </c>
      <c r="D256" s="328" t="s">
        <v>5248</v>
      </c>
      <c r="E256" s="403">
        <v>20</v>
      </c>
      <c r="F256" s="340">
        <v>45533</v>
      </c>
      <c r="H256" s="334" t="s">
        <v>5377</v>
      </c>
      <c r="I256" t="s">
        <v>4743</v>
      </c>
      <c r="J256" s="367" t="s">
        <v>4350</v>
      </c>
      <c r="O256" s="404">
        <v>4</v>
      </c>
      <c r="P256" t="s">
        <v>5046</v>
      </c>
      <c r="Q256">
        <v>0</v>
      </c>
      <c r="R256" t="s">
        <v>5048</v>
      </c>
      <c r="S256" s="398">
        <f t="shared" si="19"/>
        <v>4</v>
      </c>
    </row>
    <row r="257" spans="3:19" ht="15" thickBot="1" x14ac:dyDescent="0.4">
      <c r="C257" s="279" t="s">
        <v>5110</v>
      </c>
      <c r="D257" s="329" t="s">
        <v>5249</v>
      </c>
      <c r="E257" s="403">
        <v>20</v>
      </c>
      <c r="F257" s="340">
        <v>45565</v>
      </c>
      <c r="H257" s="334" t="s">
        <v>5014</v>
      </c>
      <c r="I257" t="s">
        <v>4743</v>
      </c>
      <c r="J257" s="367">
        <v>450</v>
      </c>
      <c r="O257" s="404">
        <v>4</v>
      </c>
      <c r="P257" t="s">
        <v>5046</v>
      </c>
      <c r="Q257">
        <v>0</v>
      </c>
      <c r="R257" t="s">
        <v>5048</v>
      </c>
      <c r="S257" s="398">
        <f t="shared" si="19"/>
        <v>4</v>
      </c>
    </row>
    <row r="258" spans="3:19" ht="15" thickBot="1" x14ac:dyDescent="0.4">
      <c r="C258" s="279" t="s">
        <v>5111</v>
      </c>
      <c r="D258" s="329" t="s">
        <v>5250</v>
      </c>
      <c r="E258" s="403">
        <v>20</v>
      </c>
      <c r="F258" s="340">
        <v>45565</v>
      </c>
      <c r="H258" s="334" t="s">
        <v>5378</v>
      </c>
      <c r="I258" t="s">
        <v>4743</v>
      </c>
      <c r="J258" s="367">
        <v>583</v>
      </c>
      <c r="O258" s="404">
        <v>4</v>
      </c>
      <c r="P258" t="s">
        <v>5046</v>
      </c>
      <c r="Q258">
        <v>0</v>
      </c>
      <c r="R258" t="s">
        <v>5048</v>
      </c>
      <c r="S258" s="398">
        <f t="shared" si="19"/>
        <v>4</v>
      </c>
    </row>
    <row r="259" spans="3:19" ht="15" thickBot="1" x14ac:dyDescent="0.4">
      <c r="C259" s="279" t="s">
        <v>5112</v>
      </c>
      <c r="D259" s="329" t="s">
        <v>5251</v>
      </c>
      <c r="E259" s="403">
        <v>20</v>
      </c>
      <c r="F259" s="340">
        <v>45565</v>
      </c>
      <c r="H259" s="334" t="s">
        <v>5379</v>
      </c>
      <c r="I259" t="s">
        <v>4743</v>
      </c>
      <c r="J259" s="367">
        <v>507</v>
      </c>
      <c r="O259" s="404">
        <v>4</v>
      </c>
      <c r="P259" t="s">
        <v>5046</v>
      </c>
      <c r="Q259">
        <v>0</v>
      </c>
      <c r="R259" t="s">
        <v>5048</v>
      </c>
      <c r="S259" s="398">
        <f t="shared" si="19"/>
        <v>4</v>
      </c>
    </row>
    <row r="260" spans="3:19" ht="15" thickBot="1" x14ac:dyDescent="0.4">
      <c r="C260" s="279" t="s">
        <v>5113</v>
      </c>
      <c r="D260" s="329" t="s">
        <v>5252</v>
      </c>
      <c r="E260" s="403">
        <v>20</v>
      </c>
      <c r="F260" s="340">
        <v>45565</v>
      </c>
      <c r="H260" s="334" t="s">
        <v>4607</v>
      </c>
      <c r="I260" t="s">
        <v>4743</v>
      </c>
      <c r="J260" s="367"/>
      <c r="O260" s="404">
        <v>4</v>
      </c>
      <c r="P260" t="s">
        <v>5046</v>
      </c>
      <c r="Q260">
        <v>0</v>
      </c>
      <c r="R260" t="s">
        <v>5048</v>
      </c>
      <c r="S260" s="398">
        <f t="shared" si="19"/>
        <v>4</v>
      </c>
    </row>
    <row r="261" spans="3:19" ht="15" thickBot="1" x14ac:dyDescent="0.4">
      <c r="C261" s="256" t="s">
        <v>5115</v>
      </c>
      <c r="D261" s="328" t="s">
        <v>5254</v>
      </c>
      <c r="E261" s="403">
        <v>20</v>
      </c>
      <c r="F261" s="340">
        <v>45581</v>
      </c>
      <c r="H261" s="266" t="s">
        <v>4398</v>
      </c>
      <c r="I261" t="s">
        <v>4626</v>
      </c>
      <c r="J261" s="367"/>
      <c r="O261" s="404">
        <v>4</v>
      </c>
      <c r="P261" t="s">
        <v>5049</v>
      </c>
      <c r="Q261">
        <v>2</v>
      </c>
      <c r="R261" t="s">
        <v>5050</v>
      </c>
      <c r="S261" s="398">
        <f t="shared" si="19"/>
        <v>4.166666666666667</v>
      </c>
    </row>
    <row r="262" spans="3:19" ht="15" thickBot="1" x14ac:dyDescent="0.4">
      <c r="C262" s="254" t="s">
        <v>5116</v>
      </c>
      <c r="D262" s="330" t="s">
        <v>5255</v>
      </c>
      <c r="E262" s="403">
        <v>20</v>
      </c>
      <c r="F262" s="340">
        <v>45581</v>
      </c>
      <c r="H262" s="268" t="s">
        <v>4393</v>
      </c>
      <c r="I262" t="s">
        <v>4626</v>
      </c>
      <c r="J262" s="369"/>
      <c r="O262" s="404">
        <v>4</v>
      </c>
      <c r="P262" t="s">
        <v>5049</v>
      </c>
      <c r="Q262">
        <v>2</v>
      </c>
      <c r="R262" t="s">
        <v>5050</v>
      </c>
      <c r="S262" s="398">
        <f t="shared" si="19"/>
        <v>4.166666666666667</v>
      </c>
    </row>
    <row r="263" spans="3:19" ht="15" thickBot="1" x14ac:dyDescent="0.4">
      <c r="C263" s="256" t="s">
        <v>5117</v>
      </c>
      <c r="D263" s="328" t="s">
        <v>5256</v>
      </c>
      <c r="E263" s="403">
        <v>20</v>
      </c>
      <c r="F263" s="340">
        <v>45581</v>
      </c>
      <c r="H263" s="266" t="s">
        <v>5014</v>
      </c>
      <c r="I263" t="s">
        <v>4626</v>
      </c>
      <c r="J263" s="367">
        <v>261</v>
      </c>
      <c r="O263" s="404">
        <v>4</v>
      </c>
      <c r="P263" t="s">
        <v>5049</v>
      </c>
      <c r="Q263">
        <v>2</v>
      </c>
      <c r="R263" t="s">
        <v>5050</v>
      </c>
      <c r="S263" s="398">
        <f t="shared" si="19"/>
        <v>4.166666666666667</v>
      </c>
    </row>
    <row r="264" spans="3:19" ht="15" thickBot="1" x14ac:dyDescent="0.4">
      <c r="C264" s="256" t="s">
        <v>5118</v>
      </c>
      <c r="D264" s="328" t="s">
        <v>5257</v>
      </c>
      <c r="E264" s="403">
        <v>20</v>
      </c>
      <c r="F264" s="340">
        <v>45581</v>
      </c>
      <c r="H264" s="266" t="s">
        <v>5379</v>
      </c>
      <c r="I264" t="s">
        <v>4626</v>
      </c>
      <c r="J264" s="367">
        <v>573</v>
      </c>
      <c r="O264" s="404">
        <v>4</v>
      </c>
      <c r="P264" t="s">
        <v>5049</v>
      </c>
      <c r="Q264">
        <v>2</v>
      </c>
      <c r="R264" t="s">
        <v>5050</v>
      </c>
      <c r="S264" s="398">
        <f t="shared" si="19"/>
        <v>4.166666666666667</v>
      </c>
    </row>
    <row r="265" spans="3:19" ht="15" thickBot="1" x14ac:dyDescent="0.4">
      <c r="C265" s="256" t="s">
        <v>5119</v>
      </c>
      <c r="D265" s="328" t="s">
        <v>5258</v>
      </c>
      <c r="E265" s="403">
        <v>20</v>
      </c>
      <c r="F265" s="340">
        <v>45581</v>
      </c>
      <c r="H265" s="266">
        <v>3.56</v>
      </c>
      <c r="I265" t="s">
        <v>4626</v>
      </c>
      <c r="J265" s="367">
        <v>470</v>
      </c>
      <c r="O265" s="404">
        <v>4</v>
      </c>
      <c r="P265" t="s">
        <v>5049</v>
      </c>
      <c r="Q265">
        <v>2</v>
      </c>
      <c r="R265" t="s">
        <v>5050</v>
      </c>
      <c r="S265" s="398">
        <f t="shared" si="19"/>
        <v>4.166666666666667</v>
      </c>
    </row>
    <row r="266" spans="3:19" ht="15" thickBot="1" x14ac:dyDescent="0.4">
      <c r="C266" s="256" t="s">
        <v>5120</v>
      </c>
      <c r="D266" s="328" t="s">
        <v>5259</v>
      </c>
      <c r="E266" s="403">
        <v>20</v>
      </c>
      <c r="F266" s="340">
        <v>45581</v>
      </c>
      <c r="H266" s="266" t="s">
        <v>4810</v>
      </c>
      <c r="I266" t="s">
        <v>4626</v>
      </c>
      <c r="J266" s="380" t="s">
        <v>4367</v>
      </c>
      <c r="O266" s="404">
        <v>4</v>
      </c>
      <c r="P266" t="s">
        <v>5049</v>
      </c>
      <c r="Q266">
        <v>2</v>
      </c>
      <c r="R266" t="s">
        <v>5050</v>
      </c>
      <c r="S266" s="398">
        <f t="shared" si="19"/>
        <v>4.166666666666667</v>
      </c>
    </row>
    <row r="267" spans="3:19" ht="15" thickBot="1" x14ac:dyDescent="0.4">
      <c r="C267" s="256" t="s">
        <v>5121</v>
      </c>
      <c r="D267" s="328" t="s">
        <v>5260</v>
      </c>
      <c r="E267" s="403">
        <v>20</v>
      </c>
      <c r="F267" s="340">
        <v>45581</v>
      </c>
      <c r="H267" s="266" t="s">
        <v>4624</v>
      </c>
      <c r="I267" t="s">
        <v>4626</v>
      </c>
      <c r="J267" s="380" t="s">
        <v>4370</v>
      </c>
      <c r="O267" s="404">
        <v>4</v>
      </c>
      <c r="P267" t="s">
        <v>5049</v>
      </c>
      <c r="Q267">
        <v>2</v>
      </c>
      <c r="R267" t="s">
        <v>5050</v>
      </c>
      <c r="S267" s="398">
        <f t="shared" si="19"/>
        <v>4.166666666666667</v>
      </c>
    </row>
    <row r="268" spans="3:19" ht="15" thickBot="1" x14ac:dyDescent="0.4">
      <c r="C268" s="256" t="s">
        <v>5122</v>
      </c>
      <c r="D268" s="328" t="s">
        <v>5261</v>
      </c>
      <c r="E268" s="403">
        <v>20</v>
      </c>
      <c r="F268" s="340">
        <v>45581</v>
      </c>
      <c r="H268" s="2">
        <v>3.19</v>
      </c>
      <c r="I268" t="s">
        <v>4626</v>
      </c>
      <c r="J268" s="367">
        <v>603</v>
      </c>
      <c r="O268" s="404">
        <v>4</v>
      </c>
      <c r="P268" t="s">
        <v>5049</v>
      </c>
      <c r="Q268">
        <v>2</v>
      </c>
      <c r="R268" t="s">
        <v>5050</v>
      </c>
      <c r="S268" s="398">
        <f t="shared" si="19"/>
        <v>4.166666666666667</v>
      </c>
    </row>
    <row r="269" spans="3:19" ht="15" thickBot="1" x14ac:dyDescent="0.4">
      <c r="C269" s="256" t="s">
        <v>5123</v>
      </c>
      <c r="D269" s="328" t="s">
        <v>5262</v>
      </c>
      <c r="E269" s="403">
        <v>20</v>
      </c>
      <c r="F269" s="340">
        <v>45628</v>
      </c>
      <c r="H269" s="334">
        <v>3.51</v>
      </c>
      <c r="I269" t="s">
        <v>4787</v>
      </c>
      <c r="J269" s="380" t="s">
        <v>4375</v>
      </c>
      <c r="O269" s="404">
        <v>4</v>
      </c>
      <c r="P269" t="s">
        <v>5046</v>
      </c>
      <c r="Q269">
        <v>4</v>
      </c>
      <c r="R269" t="s">
        <v>5048</v>
      </c>
      <c r="S269" s="398">
        <f t="shared" si="19"/>
        <v>4.333333333333333</v>
      </c>
    </row>
    <row r="270" spans="3:19" ht="15" thickBot="1" x14ac:dyDescent="0.4">
      <c r="C270" s="256" t="s">
        <v>5124</v>
      </c>
      <c r="D270" s="328" t="s">
        <v>5263</v>
      </c>
      <c r="E270" s="403">
        <v>20</v>
      </c>
      <c r="F270" s="340">
        <v>45628</v>
      </c>
      <c r="H270" s="334" t="s">
        <v>4853</v>
      </c>
      <c r="I270" t="s">
        <v>4787</v>
      </c>
      <c r="J270" s="367">
        <v>473</v>
      </c>
      <c r="O270" s="404">
        <v>4</v>
      </c>
      <c r="P270" t="s">
        <v>5046</v>
      </c>
      <c r="Q270">
        <v>4</v>
      </c>
      <c r="R270" t="s">
        <v>5048</v>
      </c>
      <c r="S270" s="398">
        <f t="shared" ref="S270:S333" si="20">O270+(Q270/12)</f>
        <v>4.333333333333333</v>
      </c>
    </row>
    <row r="271" spans="3:19" ht="15" thickBot="1" x14ac:dyDescent="0.4">
      <c r="C271" s="256" t="s">
        <v>5125</v>
      </c>
      <c r="D271" s="328" t="s">
        <v>5264</v>
      </c>
      <c r="E271" s="403">
        <v>20</v>
      </c>
      <c r="F271" s="340">
        <v>45628</v>
      </c>
      <c r="H271" s="334">
        <v>3.65</v>
      </c>
      <c r="I271" t="s">
        <v>4787</v>
      </c>
      <c r="J271" s="380" t="s">
        <v>4380</v>
      </c>
      <c r="O271" s="404">
        <v>4</v>
      </c>
      <c r="P271" t="s">
        <v>5046</v>
      </c>
      <c r="Q271">
        <v>4</v>
      </c>
      <c r="R271" t="s">
        <v>5048</v>
      </c>
      <c r="S271" s="398">
        <f t="shared" si="20"/>
        <v>4.333333333333333</v>
      </c>
    </row>
    <row r="272" spans="3:19" ht="15" thickBot="1" x14ac:dyDescent="0.4">
      <c r="C272" s="256" t="s">
        <v>5126</v>
      </c>
      <c r="D272" s="328" t="s">
        <v>5265</v>
      </c>
      <c r="E272" s="403">
        <v>20</v>
      </c>
      <c r="F272" s="340">
        <v>45628</v>
      </c>
      <c r="H272" s="334" t="s">
        <v>4827</v>
      </c>
      <c r="I272" t="s">
        <v>4787</v>
      </c>
      <c r="J272" s="367">
        <v>480</v>
      </c>
      <c r="O272" s="404">
        <v>4</v>
      </c>
      <c r="P272" t="s">
        <v>5046</v>
      </c>
      <c r="Q272">
        <v>4</v>
      </c>
      <c r="R272" t="s">
        <v>5048</v>
      </c>
      <c r="S272" s="398">
        <f t="shared" si="20"/>
        <v>4.333333333333333</v>
      </c>
    </row>
    <row r="273" spans="3:19" ht="15" thickBot="1" x14ac:dyDescent="0.4">
      <c r="C273" s="256" t="s">
        <v>5127</v>
      </c>
      <c r="D273" s="328" t="s">
        <v>5266</v>
      </c>
      <c r="E273" s="403">
        <v>20</v>
      </c>
      <c r="F273" s="340">
        <v>45628</v>
      </c>
      <c r="H273" s="334">
        <v>3.08</v>
      </c>
      <c r="I273" t="s">
        <v>4787</v>
      </c>
      <c r="J273" s="373" t="s">
        <v>4399</v>
      </c>
      <c r="O273" s="404">
        <v>4</v>
      </c>
      <c r="P273" t="s">
        <v>5046</v>
      </c>
      <c r="Q273">
        <v>4</v>
      </c>
      <c r="R273" t="s">
        <v>5048</v>
      </c>
      <c r="S273" s="398">
        <f t="shared" si="20"/>
        <v>4.333333333333333</v>
      </c>
    </row>
    <row r="274" spans="3:19" ht="15" thickBot="1" x14ac:dyDescent="0.4">
      <c r="C274" s="256" t="s">
        <v>5128</v>
      </c>
      <c r="D274" s="328" t="s">
        <v>5267</v>
      </c>
      <c r="E274" s="403">
        <v>20</v>
      </c>
      <c r="F274" s="340">
        <v>45628</v>
      </c>
      <c r="H274" s="334" t="s">
        <v>4609</v>
      </c>
      <c r="I274" t="s">
        <v>4787</v>
      </c>
      <c r="J274" s="373" t="s">
        <v>4403</v>
      </c>
      <c r="O274" s="404">
        <v>4</v>
      </c>
      <c r="P274" t="s">
        <v>5046</v>
      </c>
      <c r="Q274">
        <v>4</v>
      </c>
      <c r="R274" t="s">
        <v>5048</v>
      </c>
      <c r="S274" s="398">
        <f t="shared" si="20"/>
        <v>4.333333333333333</v>
      </c>
    </row>
    <row r="275" spans="3:19" ht="15" thickBot="1" x14ac:dyDescent="0.4">
      <c r="C275" s="256" t="s">
        <v>5129</v>
      </c>
      <c r="D275" s="328" t="s">
        <v>5268</v>
      </c>
      <c r="E275" s="403">
        <v>20</v>
      </c>
      <c r="F275" s="340">
        <v>45628</v>
      </c>
      <c r="H275" s="336" t="s">
        <v>5000</v>
      </c>
      <c r="I275" t="s">
        <v>4787</v>
      </c>
      <c r="J275" s="373">
        <v>533</v>
      </c>
      <c r="O275" s="404">
        <v>4</v>
      </c>
      <c r="P275" t="s">
        <v>5046</v>
      </c>
      <c r="Q275">
        <v>4</v>
      </c>
      <c r="R275" t="s">
        <v>5048</v>
      </c>
      <c r="S275" s="398">
        <f t="shared" si="20"/>
        <v>4.333333333333333</v>
      </c>
    </row>
    <row r="276" spans="3:19" ht="15" thickBot="1" x14ac:dyDescent="0.4">
      <c r="C276" s="256" t="s">
        <v>5130</v>
      </c>
      <c r="D276" s="328" t="s">
        <v>5269</v>
      </c>
      <c r="E276" s="403">
        <v>20</v>
      </c>
      <c r="F276" s="340">
        <v>45628</v>
      </c>
      <c r="H276" s="336" t="s">
        <v>4612</v>
      </c>
      <c r="I276" t="s">
        <v>4787</v>
      </c>
      <c r="J276" s="373">
        <v>490</v>
      </c>
      <c r="O276" s="404">
        <v>4</v>
      </c>
      <c r="P276" t="s">
        <v>5046</v>
      </c>
      <c r="Q276">
        <v>4</v>
      </c>
      <c r="R276" t="s">
        <v>5048</v>
      </c>
      <c r="S276" s="398">
        <f t="shared" si="20"/>
        <v>4.333333333333333</v>
      </c>
    </row>
    <row r="277" spans="3:19" ht="15" thickBot="1" x14ac:dyDescent="0.4">
      <c r="C277" s="256" t="s">
        <v>5131</v>
      </c>
      <c r="D277" s="328" t="s">
        <v>5270</v>
      </c>
      <c r="E277" s="403">
        <v>20</v>
      </c>
      <c r="F277" s="340">
        <v>45628</v>
      </c>
      <c r="H277" s="334" t="s">
        <v>5381</v>
      </c>
      <c r="I277" t="s">
        <v>4787</v>
      </c>
      <c r="J277" s="369"/>
      <c r="O277" s="404">
        <v>4</v>
      </c>
      <c r="P277" t="s">
        <v>5046</v>
      </c>
      <c r="Q277">
        <v>4</v>
      </c>
      <c r="R277" t="s">
        <v>5048</v>
      </c>
      <c r="S277" s="398">
        <f t="shared" si="20"/>
        <v>4.333333333333333</v>
      </c>
    </row>
    <row r="278" spans="3:19" ht="15" thickBot="1" x14ac:dyDescent="0.4">
      <c r="C278" s="256" t="s">
        <v>5132</v>
      </c>
      <c r="D278" s="328" t="s">
        <v>5271</v>
      </c>
      <c r="E278" s="403">
        <v>20</v>
      </c>
      <c r="F278" s="340">
        <v>45656</v>
      </c>
      <c r="H278" s="334" t="s">
        <v>4607</v>
      </c>
      <c r="I278" t="s">
        <v>4787</v>
      </c>
      <c r="J278" s="369"/>
      <c r="O278" s="404">
        <v>4</v>
      </c>
      <c r="P278" t="s">
        <v>5046</v>
      </c>
      <c r="Q278">
        <v>4</v>
      </c>
      <c r="R278" t="s">
        <v>5048</v>
      </c>
      <c r="S278" s="398">
        <f t="shared" si="20"/>
        <v>4.333333333333333</v>
      </c>
    </row>
    <row r="279" spans="3:19" ht="15" thickBot="1" x14ac:dyDescent="0.4">
      <c r="C279" s="256" t="s">
        <v>5133</v>
      </c>
      <c r="D279" s="328" t="s">
        <v>5272</v>
      </c>
      <c r="E279" s="403">
        <v>20</v>
      </c>
      <c r="F279" s="340">
        <v>45656</v>
      </c>
      <c r="H279" s="334" t="s">
        <v>4969</v>
      </c>
      <c r="I279" t="s">
        <v>4787</v>
      </c>
      <c r="J279" s="369"/>
      <c r="O279" s="404">
        <v>4</v>
      </c>
      <c r="P279" t="s">
        <v>5046</v>
      </c>
      <c r="Q279">
        <v>4</v>
      </c>
      <c r="R279" t="s">
        <v>5048</v>
      </c>
      <c r="S279" s="398">
        <f t="shared" si="20"/>
        <v>4.333333333333333</v>
      </c>
    </row>
    <row r="280" spans="3:19" ht="15" thickBot="1" x14ac:dyDescent="0.4">
      <c r="C280" s="256" t="s">
        <v>5134</v>
      </c>
      <c r="D280" s="328" t="s">
        <v>5273</v>
      </c>
      <c r="E280" s="403">
        <v>20</v>
      </c>
      <c r="F280" s="340">
        <v>45656</v>
      </c>
      <c r="H280" s="334" t="s">
        <v>5383</v>
      </c>
      <c r="I280" t="s">
        <v>4787</v>
      </c>
      <c r="J280" s="369"/>
      <c r="O280" s="404">
        <v>4</v>
      </c>
      <c r="P280" t="s">
        <v>5046</v>
      </c>
      <c r="Q280">
        <v>4</v>
      </c>
      <c r="R280" t="s">
        <v>5048</v>
      </c>
      <c r="S280" s="398">
        <f t="shared" si="20"/>
        <v>4.333333333333333</v>
      </c>
    </row>
    <row r="281" spans="3:19" ht="15" thickBot="1" x14ac:dyDescent="0.4">
      <c r="C281" s="256" t="s">
        <v>5135</v>
      </c>
      <c r="D281" s="328" t="s">
        <v>5274</v>
      </c>
      <c r="E281" s="403">
        <v>20</v>
      </c>
      <c r="F281" s="340">
        <v>45656</v>
      </c>
      <c r="H281" s="334" t="s">
        <v>4847</v>
      </c>
      <c r="I281" t="s">
        <v>4787</v>
      </c>
      <c r="J281" s="369"/>
      <c r="O281" s="404">
        <v>4</v>
      </c>
      <c r="P281" t="s">
        <v>5046</v>
      </c>
      <c r="Q281">
        <v>4</v>
      </c>
      <c r="R281" t="s">
        <v>5048</v>
      </c>
      <c r="S281" s="398">
        <f t="shared" si="20"/>
        <v>4.333333333333333</v>
      </c>
    </row>
    <row r="282" spans="3:19" ht="15" thickBot="1" x14ac:dyDescent="0.4">
      <c r="C282" s="256" t="s">
        <v>5136</v>
      </c>
      <c r="D282" s="328" t="s">
        <v>5275</v>
      </c>
      <c r="E282" s="403">
        <v>20</v>
      </c>
      <c r="F282" s="340">
        <v>45656</v>
      </c>
      <c r="H282">
        <v>3.42</v>
      </c>
      <c r="I282" t="s">
        <v>4787</v>
      </c>
      <c r="J282" s="369"/>
      <c r="O282" s="404">
        <v>4</v>
      </c>
      <c r="P282" t="s">
        <v>5046</v>
      </c>
      <c r="Q282">
        <v>4</v>
      </c>
      <c r="R282" t="s">
        <v>5048</v>
      </c>
      <c r="S282" s="398">
        <f t="shared" si="20"/>
        <v>4.333333333333333</v>
      </c>
    </row>
    <row r="283" spans="3:19" ht="15" thickBot="1" x14ac:dyDescent="0.4">
      <c r="C283" s="256" t="s">
        <v>5137</v>
      </c>
      <c r="D283" s="328" t="s">
        <v>5276</v>
      </c>
      <c r="E283" s="403">
        <v>20</v>
      </c>
      <c r="F283" s="340">
        <v>45656</v>
      </c>
      <c r="H283" s="334" t="s">
        <v>4607</v>
      </c>
      <c r="I283" t="s">
        <v>4787</v>
      </c>
      <c r="J283" s="385"/>
      <c r="O283" s="404">
        <v>4</v>
      </c>
      <c r="P283" t="s">
        <v>5046</v>
      </c>
      <c r="Q283">
        <v>4</v>
      </c>
      <c r="R283" t="s">
        <v>5048</v>
      </c>
      <c r="S283" s="398">
        <f t="shared" si="20"/>
        <v>4.333333333333333</v>
      </c>
    </row>
    <row r="284" spans="3:19" ht="15" thickBot="1" x14ac:dyDescent="0.4">
      <c r="C284" s="256" t="s">
        <v>5138</v>
      </c>
      <c r="D284" s="328" t="s">
        <v>5277</v>
      </c>
      <c r="E284" s="403">
        <v>20</v>
      </c>
      <c r="F284" s="340">
        <v>45656</v>
      </c>
      <c r="H284">
        <v>3.37</v>
      </c>
      <c r="I284" t="s">
        <v>4787</v>
      </c>
      <c r="J284" s="369"/>
      <c r="O284" s="404">
        <v>4</v>
      </c>
      <c r="P284" t="s">
        <v>5046</v>
      </c>
      <c r="Q284">
        <v>4</v>
      </c>
      <c r="R284" t="s">
        <v>5048</v>
      </c>
      <c r="S284" s="398">
        <f t="shared" si="20"/>
        <v>4.333333333333333</v>
      </c>
    </row>
    <row r="285" spans="3:19" ht="15" thickBot="1" x14ac:dyDescent="0.4">
      <c r="C285" s="256" t="s">
        <v>5123</v>
      </c>
      <c r="D285" s="328" t="s">
        <v>5262</v>
      </c>
      <c r="E285" s="403">
        <v>20</v>
      </c>
      <c r="F285" s="340">
        <v>45628</v>
      </c>
      <c r="H285" s="334">
        <v>3.51</v>
      </c>
      <c r="I285" t="s">
        <v>4787</v>
      </c>
      <c r="J285" s="369"/>
      <c r="O285" s="404">
        <v>4</v>
      </c>
      <c r="P285" t="s">
        <v>5046</v>
      </c>
      <c r="Q285">
        <v>4</v>
      </c>
      <c r="R285" t="s">
        <v>5048</v>
      </c>
      <c r="S285" s="398">
        <f t="shared" si="20"/>
        <v>4.333333333333333</v>
      </c>
    </row>
    <row r="286" spans="3:19" ht="15" thickBot="1" x14ac:dyDescent="0.4">
      <c r="C286" s="256" t="s">
        <v>5124</v>
      </c>
      <c r="D286" s="328" t="s">
        <v>5263</v>
      </c>
      <c r="E286" s="403">
        <v>20</v>
      </c>
      <c r="F286" s="340">
        <v>45628</v>
      </c>
      <c r="H286" s="334" t="s">
        <v>4853</v>
      </c>
      <c r="I286" t="s">
        <v>4787</v>
      </c>
      <c r="J286" s="369"/>
      <c r="O286" s="404">
        <v>4</v>
      </c>
      <c r="P286" t="s">
        <v>5046</v>
      </c>
      <c r="Q286">
        <v>4</v>
      </c>
      <c r="R286" t="s">
        <v>5048</v>
      </c>
      <c r="S286" s="398">
        <f t="shared" si="20"/>
        <v>4.333333333333333</v>
      </c>
    </row>
    <row r="287" spans="3:19" ht="15" thickBot="1" x14ac:dyDescent="0.4">
      <c r="C287" s="256" t="s">
        <v>5125</v>
      </c>
      <c r="D287" s="328" t="s">
        <v>5264</v>
      </c>
      <c r="E287" s="403">
        <v>20</v>
      </c>
      <c r="F287" s="340">
        <v>45628</v>
      </c>
      <c r="H287" s="334">
        <v>3.65</v>
      </c>
      <c r="I287" t="s">
        <v>4787</v>
      </c>
      <c r="J287" s="369"/>
      <c r="O287" s="404">
        <v>4</v>
      </c>
      <c r="P287" t="s">
        <v>5046</v>
      </c>
      <c r="Q287">
        <v>4</v>
      </c>
      <c r="R287" t="s">
        <v>5048</v>
      </c>
      <c r="S287" s="398">
        <f t="shared" si="20"/>
        <v>4.333333333333333</v>
      </c>
    </row>
    <row r="288" spans="3:19" ht="15" thickBot="1" x14ac:dyDescent="0.4">
      <c r="C288" s="256" t="s">
        <v>5126</v>
      </c>
      <c r="D288" s="328" t="s">
        <v>5265</v>
      </c>
      <c r="E288" s="403">
        <v>20</v>
      </c>
      <c r="F288" s="340">
        <v>45628</v>
      </c>
      <c r="H288" s="334" t="s">
        <v>4827</v>
      </c>
      <c r="I288" t="s">
        <v>4787</v>
      </c>
      <c r="J288" s="369"/>
      <c r="O288" s="404">
        <v>4</v>
      </c>
      <c r="P288" t="s">
        <v>5046</v>
      </c>
      <c r="Q288">
        <v>4</v>
      </c>
      <c r="R288" t="s">
        <v>5048</v>
      </c>
      <c r="S288" s="398">
        <f t="shared" si="20"/>
        <v>4.333333333333333</v>
      </c>
    </row>
    <row r="289" spans="3:19" ht="15" thickBot="1" x14ac:dyDescent="0.4">
      <c r="C289" s="256" t="s">
        <v>5127</v>
      </c>
      <c r="D289" s="328" t="s">
        <v>5266</v>
      </c>
      <c r="E289" s="403">
        <v>20</v>
      </c>
      <c r="F289" s="340">
        <v>45628</v>
      </c>
      <c r="H289" s="334">
        <v>3.08</v>
      </c>
      <c r="I289" t="s">
        <v>4787</v>
      </c>
      <c r="J289" s="369"/>
      <c r="O289" s="404">
        <v>4</v>
      </c>
      <c r="P289" t="s">
        <v>5046</v>
      </c>
      <c r="Q289">
        <v>4</v>
      </c>
      <c r="R289" t="s">
        <v>5048</v>
      </c>
      <c r="S289" s="398">
        <f t="shared" si="20"/>
        <v>4.333333333333333</v>
      </c>
    </row>
    <row r="290" spans="3:19" ht="15" thickBot="1" x14ac:dyDescent="0.4">
      <c r="C290" s="256" t="s">
        <v>5128</v>
      </c>
      <c r="D290" s="328" t="s">
        <v>5267</v>
      </c>
      <c r="E290" s="403">
        <v>20</v>
      </c>
      <c r="F290" s="340">
        <v>45628</v>
      </c>
      <c r="H290" s="334" t="s">
        <v>4609</v>
      </c>
      <c r="I290" t="s">
        <v>4787</v>
      </c>
      <c r="J290" s="369"/>
      <c r="O290" s="404">
        <v>4</v>
      </c>
      <c r="P290" t="s">
        <v>5046</v>
      </c>
      <c r="Q290">
        <v>4</v>
      </c>
      <c r="R290" t="s">
        <v>5048</v>
      </c>
      <c r="S290" s="398">
        <f t="shared" si="20"/>
        <v>4.333333333333333</v>
      </c>
    </row>
    <row r="291" spans="3:19" ht="15" thickBot="1" x14ac:dyDescent="0.4">
      <c r="C291" s="256" t="s">
        <v>5129</v>
      </c>
      <c r="D291" s="328" t="s">
        <v>5268</v>
      </c>
      <c r="E291" s="403">
        <v>20</v>
      </c>
      <c r="F291" s="340">
        <v>45628</v>
      </c>
      <c r="H291" s="336" t="s">
        <v>5000</v>
      </c>
      <c r="I291" t="s">
        <v>4787</v>
      </c>
      <c r="J291" s="369"/>
      <c r="O291" s="404">
        <v>4</v>
      </c>
      <c r="P291" t="s">
        <v>5046</v>
      </c>
      <c r="Q291">
        <v>4</v>
      </c>
      <c r="R291" t="s">
        <v>5048</v>
      </c>
      <c r="S291" s="398">
        <f t="shared" si="20"/>
        <v>4.333333333333333</v>
      </c>
    </row>
    <row r="292" spans="3:19" ht="15" thickBot="1" x14ac:dyDescent="0.4">
      <c r="C292" s="256" t="s">
        <v>5130</v>
      </c>
      <c r="D292" s="328" t="s">
        <v>5269</v>
      </c>
      <c r="E292" s="403">
        <v>20</v>
      </c>
      <c r="F292" s="340">
        <v>45628</v>
      </c>
      <c r="H292" s="336" t="s">
        <v>4612</v>
      </c>
      <c r="I292" t="s">
        <v>4787</v>
      </c>
      <c r="J292" s="369"/>
      <c r="O292" s="404">
        <v>4</v>
      </c>
      <c r="P292" t="s">
        <v>5046</v>
      </c>
      <c r="Q292">
        <v>4</v>
      </c>
      <c r="R292" t="s">
        <v>5048</v>
      </c>
      <c r="S292" s="398">
        <f t="shared" si="20"/>
        <v>4.333333333333333</v>
      </c>
    </row>
    <row r="293" spans="3:19" ht="15" thickBot="1" x14ac:dyDescent="0.4">
      <c r="C293" s="256" t="s">
        <v>5131</v>
      </c>
      <c r="D293" s="328" t="s">
        <v>5270</v>
      </c>
      <c r="E293" s="403">
        <v>20</v>
      </c>
      <c r="F293" s="340">
        <v>45628</v>
      </c>
      <c r="H293" s="334" t="s">
        <v>5381</v>
      </c>
      <c r="I293" t="s">
        <v>4787</v>
      </c>
      <c r="J293" s="369"/>
      <c r="O293" s="404">
        <v>4</v>
      </c>
      <c r="P293" t="s">
        <v>5046</v>
      </c>
      <c r="Q293">
        <v>4</v>
      </c>
      <c r="R293" t="s">
        <v>5048</v>
      </c>
      <c r="S293" s="398">
        <f t="shared" si="20"/>
        <v>4.333333333333333</v>
      </c>
    </row>
    <row r="294" spans="3:19" ht="15" thickBot="1" x14ac:dyDescent="0.4">
      <c r="C294" s="256" t="s">
        <v>5132</v>
      </c>
      <c r="D294" s="328" t="s">
        <v>5271</v>
      </c>
      <c r="E294" s="403">
        <v>20</v>
      </c>
      <c r="F294" s="340">
        <v>45656</v>
      </c>
      <c r="H294" s="334" t="s">
        <v>4607</v>
      </c>
      <c r="I294" t="s">
        <v>4787</v>
      </c>
      <c r="J294" s="369"/>
      <c r="O294" s="404">
        <v>4</v>
      </c>
      <c r="P294" t="s">
        <v>5046</v>
      </c>
      <c r="Q294">
        <v>4</v>
      </c>
      <c r="R294" t="s">
        <v>5048</v>
      </c>
      <c r="S294" s="398">
        <f t="shared" si="20"/>
        <v>4.333333333333333</v>
      </c>
    </row>
    <row r="295" spans="3:19" ht="15" thickBot="1" x14ac:dyDescent="0.4">
      <c r="C295" s="256" t="s">
        <v>5133</v>
      </c>
      <c r="D295" s="328" t="s">
        <v>5272</v>
      </c>
      <c r="E295" s="403">
        <v>20</v>
      </c>
      <c r="F295" s="340">
        <v>45656</v>
      </c>
      <c r="H295" s="334" t="s">
        <v>4969</v>
      </c>
      <c r="I295" t="s">
        <v>4787</v>
      </c>
      <c r="J295" s="369"/>
      <c r="O295" s="404">
        <v>4</v>
      </c>
      <c r="P295" t="s">
        <v>5046</v>
      </c>
      <c r="Q295">
        <v>4</v>
      </c>
      <c r="R295" t="s">
        <v>5048</v>
      </c>
      <c r="S295" s="398">
        <f t="shared" si="20"/>
        <v>4.333333333333333</v>
      </c>
    </row>
    <row r="296" spans="3:19" ht="15" thickBot="1" x14ac:dyDescent="0.4">
      <c r="C296" s="256" t="s">
        <v>5134</v>
      </c>
      <c r="D296" s="328" t="s">
        <v>5273</v>
      </c>
      <c r="E296" s="403">
        <v>20</v>
      </c>
      <c r="F296" s="340">
        <v>45656</v>
      </c>
      <c r="H296" s="334" t="s">
        <v>5383</v>
      </c>
      <c r="I296" t="s">
        <v>4787</v>
      </c>
      <c r="J296" s="369"/>
      <c r="O296" s="404">
        <v>4</v>
      </c>
      <c r="P296" t="s">
        <v>5046</v>
      </c>
      <c r="Q296">
        <v>4</v>
      </c>
      <c r="R296" t="s">
        <v>5048</v>
      </c>
      <c r="S296" s="398">
        <f t="shared" si="20"/>
        <v>4.333333333333333</v>
      </c>
    </row>
    <row r="297" spans="3:19" ht="15" thickBot="1" x14ac:dyDescent="0.4">
      <c r="C297" s="256" t="s">
        <v>5135</v>
      </c>
      <c r="D297" s="328" t="s">
        <v>5274</v>
      </c>
      <c r="E297" s="403">
        <v>20</v>
      </c>
      <c r="F297" s="340">
        <v>45656</v>
      </c>
      <c r="H297" s="334" t="s">
        <v>4847</v>
      </c>
      <c r="I297" t="s">
        <v>4787</v>
      </c>
      <c r="J297" s="369"/>
      <c r="O297" s="404">
        <v>4</v>
      </c>
      <c r="P297" t="s">
        <v>5046</v>
      </c>
      <c r="Q297">
        <v>4</v>
      </c>
      <c r="R297" t="s">
        <v>5048</v>
      </c>
      <c r="S297" s="398">
        <f t="shared" si="20"/>
        <v>4.333333333333333</v>
      </c>
    </row>
    <row r="298" spans="3:19" ht="15" thickBot="1" x14ac:dyDescent="0.4">
      <c r="C298" s="256" t="s">
        <v>5136</v>
      </c>
      <c r="D298" s="328" t="s">
        <v>5275</v>
      </c>
      <c r="E298" s="403">
        <v>20</v>
      </c>
      <c r="F298" s="340">
        <v>45656</v>
      </c>
      <c r="H298">
        <v>3.42</v>
      </c>
      <c r="I298" t="s">
        <v>4787</v>
      </c>
      <c r="J298" s="369"/>
      <c r="O298" s="404">
        <v>4</v>
      </c>
      <c r="P298" t="s">
        <v>5046</v>
      </c>
      <c r="Q298">
        <v>4</v>
      </c>
      <c r="R298" t="s">
        <v>5048</v>
      </c>
      <c r="S298" s="398">
        <f t="shared" si="20"/>
        <v>4.333333333333333</v>
      </c>
    </row>
    <row r="299" spans="3:19" ht="15" thickBot="1" x14ac:dyDescent="0.4">
      <c r="C299" s="256" t="s">
        <v>5137</v>
      </c>
      <c r="D299" s="328" t="s">
        <v>5276</v>
      </c>
      <c r="E299" s="403">
        <v>20</v>
      </c>
      <c r="F299" s="340">
        <v>45656</v>
      </c>
      <c r="H299" s="334" t="s">
        <v>4607</v>
      </c>
      <c r="I299" t="s">
        <v>4787</v>
      </c>
      <c r="J299" s="286"/>
      <c r="O299" s="404">
        <v>4</v>
      </c>
      <c r="P299" t="s">
        <v>5046</v>
      </c>
      <c r="Q299">
        <v>4</v>
      </c>
      <c r="R299" t="s">
        <v>5048</v>
      </c>
      <c r="S299" s="398">
        <f t="shared" si="20"/>
        <v>4.333333333333333</v>
      </c>
    </row>
    <row r="300" spans="3:19" ht="15" thickBot="1" x14ac:dyDescent="0.4">
      <c r="C300" s="256" t="s">
        <v>5138</v>
      </c>
      <c r="D300" s="328" t="s">
        <v>5277</v>
      </c>
      <c r="E300" s="403">
        <v>20</v>
      </c>
      <c r="F300" s="340">
        <v>45656</v>
      </c>
      <c r="H300">
        <v>3.37</v>
      </c>
      <c r="I300" t="s">
        <v>4787</v>
      </c>
      <c r="J300" s="286"/>
      <c r="O300" s="404">
        <v>4</v>
      </c>
      <c r="P300" t="s">
        <v>5046</v>
      </c>
      <c r="Q300">
        <v>4</v>
      </c>
      <c r="R300" t="s">
        <v>5048</v>
      </c>
      <c r="S300" s="398">
        <f t="shared" si="20"/>
        <v>4.333333333333333</v>
      </c>
    </row>
    <row r="301" spans="3:19" ht="15" thickBot="1" x14ac:dyDescent="0.4">
      <c r="C301" s="256" t="s">
        <v>5142</v>
      </c>
      <c r="D301" s="328" t="s">
        <v>5281</v>
      </c>
      <c r="E301" s="403">
        <v>20</v>
      </c>
      <c r="F301" s="340">
        <v>45677</v>
      </c>
      <c r="H301" s="2">
        <v>3.25</v>
      </c>
      <c r="I301" t="s">
        <v>4855</v>
      </c>
      <c r="J301" s="369"/>
      <c r="O301" s="404">
        <v>4</v>
      </c>
      <c r="P301" t="s">
        <v>5046</v>
      </c>
      <c r="Q301">
        <v>5</v>
      </c>
      <c r="R301" t="s">
        <v>5048</v>
      </c>
      <c r="S301" s="398">
        <f t="shared" si="20"/>
        <v>4.416666666666667</v>
      </c>
    </row>
    <row r="302" spans="3:19" ht="15" thickBot="1" x14ac:dyDescent="0.4">
      <c r="C302" s="256" t="s">
        <v>5143</v>
      </c>
      <c r="D302" s="328" t="s">
        <v>5282</v>
      </c>
      <c r="E302" s="403">
        <v>20</v>
      </c>
      <c r="F302" s="340">
        <v>45677</v>
      </c>
      <c r="H302" s="266" t="s">
        <v>5005</v>
      </c>
      <c r="I302" t="s">
        <v>4855</v>
      </c>
      <c r="J302" s="369"/>
      <c r="O302" s="404">
        <v>4</v>
      </c>
      <c r="P302" t="s">
        <v>5046</v>
      </c>
      <c r="Q302">
        <v>5</v>
      </c>
      <c r="R302" t="s">
        <v>5048</v>
      </c>
      <c r="S302" s="398">
        <f t="shared" si="20"/>
        <v>4.416666666666667</v>
      </c>
    </row>
    <row r="303" spans="3:19" ht="15" thickBot="1" x14ac:dyDescent="0.4">
      <c r="C303" s="256" t="s">
        <v>5144</v>
      </c>
      <c r="D303" s="328" t="s">
        <v>5283</v>
      </c>
      <c r="E303" s="403">
        <v>20</v>
      </c>
      <c r="F303" s="340">
        <v>45677</v>
      </c>
      <c r="H303" s="268" t="s">
        <v>4659</v>
      </c>
      <c r="I303" t="s">
        <v>4855</v>
      </c>
      <c r="J303" s="369"/>
      <c r="O303" s="404">
        <v>4</v>
      </c>
      <c r="P303" t="s">
        <v>5046</v>
      </c>
      <c r="Q303">
        <v>5</v>
      </c>
      <c r="R303" t="s">
        <v>5048</v>
      </c>
      <c r="S303" s="398">
        <f t="shared" si="20"/>
        <v>4.416666666666667</v>
      </c>
    </row>
    <row r="304" spans="3:19" ht="15" thickBot="1" x14ac:dyDescent="0.4">
      <c r="C304" s="254" t="s">
        <v>5145</v>
      </c>
      <c r="D304" s="330" t="s">
        <v>5284</v>
      </c>
      <c r="E304" s="403">
        <v>20</v>
      </c>
      <c r="F304" s="340">
        <v>45677</v>
      </c>
      <c r="H304" s="268" t="s">
        <v>5005</v>
      </c>
      <c r="I304" t="s">
        <v>4855</v>
      </c>
      <c r="J304" s="369"/>
      <c r="O304" s="404">
        <v>4</v>
      </c>
      <c r="P304" t="s">
        <v>5046</v>
      </c>
      <c r="Q304">
        <v>5</v>
      </c>
      <c r="R304" t="s">
        <v>5048</v>
      </c>
      <c r="S304" s="398">
        <f t="shared" si="20"/>
        <v>4.416666666666667</v>
      </c>
    </row>
    <row r="305" spans="3:19" ht="15" thickBot="1" x14ac:dyDescent="0.4">
      <c r="C305" s="256" t="s">
        <v>5146</v>
      </c>
      <c r="D305" s="328" t="s">
        <v>5285</v>
      </c>
      <c r="E305" s="403">
        <v>20</v>
      </c>
      <c r="F305" s="340">
        <v>45677</v>
      </c>
      <c r="H305" s="266" t="s">
        <v>4620</v>
      </c>
      <c r="I305" t="s">
        <v>4855</v>
      </c>
      <c r="J305" s="369"/>
      <c r="O305" s="404">
        <v>4</v>
      </c>
      <c r="P305" t="s">
        <v>5046</v>
      </c>
      <c r="Q305">
        <v>5</v>
      </c>
      <c r="R305" t="s">
        <v>5048</v>
      </c>
      <c r="S305" s="398">
        <f t="shared" si="20"/>
        <v>4.416666666666667</v>
      </c>
    </row>
    <row r="306" spans="3:19" ht="15" thickBot="1" x14ac:dyDescent="0.4">
      <c r="C306" s="256" t="s">
        <v>5147</v>
      </c>
      <c r="D306" s="328" t="s">
        <v>5286</v>
      </c>
      <c r="E306" s="403">
        <v>20</v>
      </c>
      <c r="F306" s="340">
        <v>45677</v>
      </c>
      <c r="H306" s="2">
        <v>3.22</v>
      </c>
      <c r="I306" t="s">
        <v>4855</v>
      </c>
      <c r="J306" s="369"/>
      <c r="O306" s="404">
        <v>4</v>
      </c>
      <c r="P306" t="s">
        <v>5046</v>
      </c>
      <c r="Q306">
        <v>5</v>
      </c>
      <c r="R306" t="s">
        <v>5048</v>
      </c>
      <c r="S306" s="398">
        <f t="shared" si="20"/>
        <v>4.416666666666667</v>
      </c>
    </row>
    <row r="307" spans="3:19" ht="15" thickBot="1" x14ac:dyDescent="0.4">
      <c r="C307" s="256" t="s">
        <v>5148</v>
      </c>
      <c r="D307" s="328" t="s">
        <v>5287</v>
      </c>
      <c r="E307" s="403">
        <v>20</v>
      </c>
      <c r="F307" s="340">
        <v>45677</v>
      </c>
      <c r="H307" s="266" t="s">
        <v>5000</v>
      </c>
      <c r="I307" t="s">
        <v>4855</v>
      </c>
      <c r="J307" s="369"/>
      <c r="O307" s="404">
        <v>4</v>
      </c>
      <c r="P307" t="s">
        <v>5046</v>
      </c>
      <c r="Q307">
        <v>5</v>
      </c>
      <c r="R307" t="s">
        <v>5048</v>
      </c>
      <c r="S307" s="398">
        <f t="shared" si="20"/>
        <v>4.416666666666667</v>
      </c>
    </row>
    <row r="308" spans="3:19" ht="15" thickBot="1" x14ac:dyDescent="0.4">
      <c r="C308" s="256" t="s">
        <v>5149</v>
      </c>
      <c r="D308" s="328" t="s">
        <v>5288</v>
      </c>
      <c r="E308" s="403">
        <v>20</v>
      </c>
      <c r="F308" s="340">
        <v>45677</v>
      </c>
      <c r="H308" s="2">
        <v>3.17</v>
      </c>
      <c r="I308" t="s">
        <v>4855</v>
      </c>
      <c r="J308" s="369"/>
      <c r="O308" s="404">
        <v>4</v>
      </c>
      <c r="P308" t="s">
        <v>5046</v>
      </c>
      <c r="Q308">
        <v>5</v>
      </c>
      <c r="R308" t="s">
        <v>5048</v>
      </c>
      <c r="S308" s="398">
        <f t="shared" si="20"/>
        <v>4.416666666666667</v>
      </c>
    </row>
    <row r="309" spans="3:19" ht="15" thickBot="1" x14ac:dyDescent="0.4">
      <c r="C309" s="256" t="s">
        <v>5150</v>
      </c>
      <c r="D309" s="328" t="s">
        <v>5289</v>
      </c>
      <c r="E309" s="403">
        <v>20</v>
      </c>
      <c r="F309" s="340">
        <v>45677</v>
      </c>
      <c r="H309" s="268" t="s">
        <v>4817</v>
      </c>
      <c r="I309" t="s">
        <v>4855</v>
      </c>
      <c r="J309" s="369"/>
      <c r="O309" s="404">
        <v>4</v>
      </c>
      <c r="P309" t="s">
        <v>5046</v>
      </c>
      <c r="Q309">
        <v>5</v>
      </c>
      <c r="R309" t="s">
        <v>5048</v>
      </c>
      <c r="S309" s="398">
        <f t="shared" si="20"/>
        <v>4.416666666666667</v>
      </c>
    </row>
    <row r="310" spans="3:19" ht="15" thickBot="1" x14ac:dyDescent="0.4">
      <c r="C310" s="256" t="s">
        <v>5151</v>
      </c>
      <c r="D310" s="328" t="s">
        <v>5290</v>
      </c>
      <c r="E310" s="403">
        <v>20</v>
      </c>
      <c r="F310" s="340">
        <v>45677</v>
      </c>
      <c r="H310" s="266" t="s">
        <v>5024</v>
      </c>
      <c r="I310" t="s">
        <v>4855</v>
      </c>
      <c r="J310" s="369"/>
      <c r="O310" s="404">
        <v>4</v>
      </c>
      <c r="P310" t="s">
        <v>5046</v>
      </c>
      <c r="Q310">
        <v>5</v>
      </c>
      <c r="R310" t="s">
        <v>5048</v>
      </c>
      <c r="S310" s="398">
        <f t="shared" si="20"/>
        <v>4.416666666666667</v>
      </c>
    </row>
    <row r="311" spans="3:19" ht="15" thickBot="1" x14ac:dyDescent="0.4">
      <c r="C311" s="256" t="s">
        <v>5152</v>
      </c>
      <c r="D311" s="328" t="s">
        <v>5291</v>
      </c>
      <c r="E311" s="403">
        <v>20</v>
      </c>
      <c r="F311" s="340">
        <v>45677</v>
      </c>
      <c r="H311" s="2">
        <v>3.13</v>
      </c>
      <c r="I311" t="s">
        <v>4855</v>
      </c>
      <c r="J311" s="369"/>
      <c r="O311" s="404">
        <v>4</v>
      </c>
      <c r="P311" t="s">
        <v>5046</v>
      </c>
      <c r="Q311">
        <v>5</v>
      </c>
      <c r="R311" t="s">
        <v>5048</v>
      </c>
      <c r="S311" s="398">
        <f t="shared" si="20"/>
        <v>4.416666666666667</v>
      </c>
    </row>
    <row r="312" spans="3:19" ht="15" thickBot="1" x14ac:dyDescent="0.4">
      <c r="C312" s="256" t="s">
        <v>5154</v>
      </c>
      <c r="D312" s="328" t="s">
        <v>5293</v>
      </c>
      <c r="E312" s="403">
        <v>20</v>
      </c>
      <c r="F312" s="340">
        <v>45688</v>
      </c>
      <c r="H312" s="334">
        <v>3.06</v>
      </c>
      <c r="I312" t="s">
        <v>4855</v>
      </c>
      <c r="J312" s="369"/>
      <c r="O312" s="404">
        <v>4</v>
      </c>
      <c r="P312" t="s">
        <v>5046</v>
      </c>
      <c r="Q312">
        <v>5</v>
      </c>
      <c r="R312" t="s">
        <v>5048</v>
      </c>
      <c r="S312" s="398">
        <f t="shared" si="20"/>
        <v>4.416666666666667</v>
      </c>
    </row>
    <row r="313" spans="3:19" ht="15" thickBot="1" x14ac:dyDescent="0.4">
      <c r="C313" s="256" t="s">
        <v>5155</v>
      </c>
      <c r="D313" s="328" t="s">
        <v>5294</v>
      </c>
      <c r="E313" s="403">
        <v>20</v>
      </c>
      <c r="F313" s="340">
        <v>45688</v>
      </c>
      <c r="H313" s="334" t="s">
        <v>5005</v>
      </c>
      <c r="I313" t="s">
        <v>4855</v>
      </c>
      <c r="J313" s="369"/>
      <c r="O313" s="404">
        <v>4</v>
      </c>
      <c r="P313" t="s">
        <v>5046</v>
      </c>
      <c r="Q313">
        <v>5</v>
      </c>
      <c r="R313" t="s">
        <v>5048</v>
      </c>
      <c r="S313" s="398">
        <f t="shared" si="20"/>
        <v>4.416666666666667</v>
      </c>
    </row>
    <row r="314" spans="3:19" ht="15" thickBot="1" x14ac:dyDescent="0.4">
      <c r="C314" s="256" t="s">
        <v>5156</v>
      </c>
      <c r="D314" s="328" t="s">
        <v>5295</v>
      </c>
      <c r="E314" s="403">
        <v>20</v>
      </c>
      <c r="F314" s="340">
        <v>45688</v>
      </c>
      <c r="H314" s="334" t="s">
        <v>5005</v>
      </c>
      <c r="I314" t="s">
        <v>4855</v>
      </c>
      <c r="J314" s="369"/>
      <c r="O314" s="404">
        <v>4</v>
      </c>
      <c r="P314" t="s">
        <v>5046</v>
      </c>
      <c r="Q314">
        <v>5</v>
      </c>
      <c r="R314" t="s">
        <v>5048</v>
      </c>
      <c r="S314" s="398">
        <f t="shared" si="20"/>
        <v>4.416666666666667</v>
      </c>
    </row>
    <row r="315" spans="3:19" ht="15" thickBot="1" x14ac:dyDescent="0.4">
      <c r="C315" s="256" t="s">
        <v>5157</v>
      </c>
      <c r="D315" s="328" t="s">
        <v>5296</v>
      </c>
      <c r="E315" s="403">
        <v>20</v>
      </c>
      <c r="F315" s="340">
        <v>45716</v>
      </c>
      <c r="H315" s="334" t="s">
        <v>5005</v>
      </c>
      <c r="I315" t="s">
        <v>4647</v>
      </c>
      <c r="J315" s="369"/>
      <c r="O315" s="404">
        <v>4</v>
      </c>
      <c r="P315" t="s">
        <v>5046</v>
      </c>
      <c r="Q315">
        <v>6</v>
      </c>
      <c r="R315" t="s">
        <v>5048</v>
      </c>
      <c r="S315" s="398">
        <f t="shared" si="20"/>
        <v>4.5</v>
      </c>
    </row>
    <row r="316" spans="3:19" ht="15" thickBot="1" x14ac:dyDescent="0.4">
      <c r="C316" s="256" t="s">
        <v>5158</v>
      </c>
      <c r="D316" s="328" t="s">
        <v>5297</v>
      </c>
      <c r="E316" s="403">
        <v>20</v>
      </c>
      <c r="F316" s="340">
        <v>45716</v>
      </c>
      <c r="H316" s="334" t="s">
        <v>5388</v>
      </c>
      <c r="I316" t="s">
        <v>4647</v>
      </c>
      <c r="J316" s="369"/>
      <c r="O316" s="404">
        <v>4</v>
      </c>
      <c r="P316" t="s">
        <v>5046</v>
      </c>
      <c r="Q316">
        <v>6</v>
      </c>
      <c r="R316" t="s">
        <v>5048</v>
      </c>
      <c r="S316" s="398">
        <f t="shared" si="20"/>
        <v>4.5</v>
      </c>
    </row>
    <row r="317" spans="3:19" ht="15" thickBot="1" x14ac:dyDescent="0.4">
      <c r="C317" s="256" t="s">
        <v>5159</v>
      </c>
      <c r="D317" s="328" t="s">
        <v>5298</v>
      </c>
      <c r="E317" s="403">
        <v>20</v>
      </c>
      <c r="F317" s="340">
        <v>45716</v>
      </c>
      <c r="H317" s="334" t="s">
        <v>4853</v>
      </c>
      <c r="I317" t="s">
        <v>4647</v>
      </c>
      <c r="J317" s="369"/>
      <c r="O317" s="404">
        <v>4</v>
      </c>
      <c r="P317" t="s">
        <v>5046</v>
      </c>
      <c r="Q317">
        <v>6</v>
      </c>
      <c r="R317" t="s">
        <v>5048</v>
      </c>
      <c r="S317" s="398">
        <f t="shared" si="20"/>
        <v>4.5</v>
      </c>
    </row>
    <row r="318" spans="3:19" ht="15" thickBot="1" x14ac:dyDescent="0.4">
      <c r="C318" s="256" t="s">
        <v>5160</v>
      </c>
      <c r="D318" s="328" t="s">
        <v>5299</v>
      </c>
      <c r="E318" s="403">
        <v>20</v>
      </c>
      <c r="F318" s="340">
        <v>45716</v>
      </c>
      <c r="H318" s="334" t="s">
        <v>5022</v>
      </c>
      <c r="I318" t="s">
        <v>4647</v>
      </c>
      <c r="J318" s="369"/>
      <c r="O318" s="404">
        <v>4</v>
      </c>
      <c r="P318" t="s">
        <v>5046</v>
      </c>
      <c r="Q318">
        <v>6</v>
      </c>
      <c r="R318" t="s">
        <v>5048</v>
      </c>
      <c r="S318" s="398">
        <f t="shared" si="20"/>
        <v>4.5</v>
      </c>
    </row>
    <row r="319" spans="3:19" ht="15" thickBot="1" x14ac:dyDescent="0.4">
      <c r="C319" s="256" t="s">
        <v>5161</v>
      </c>
      <c r="D319" s="328" t="s">
        <v>5300</v>
      </c>
      <c r="E319" s="403">
        <v>20</v>
      </c>
      <c r="F319" s="340">
        <v>45716</v>
      </c>
      <c r="H319" s="334" t="s">
        <v>4402</v>
      </c>
      <c r="I319" t="s">
        <v>4647</v>
      </c>
      <c r="J319" s="369"/>
      <c r="O319" s="404">
        <v>4</v>
      </c>
      <c r="P319" t="s">
        <v>5046</v>
      </c>
      <c r="Q319">
        <v>6</v>
      </c>
      <c r="R319" t="s">
        <v>5048</v>
      </c>
      <c r="S319" s="398">
        <f t="shared" si="20"/>
        <v>4.5</v>
      </c>
    </row>
    <row r="320" spans="3:19" ht="15" thickBot="1" x14ac:dyDescent="0.4">
      <c r="C320" s="256" t="s">
        <v>5162</v>
      </c>
      <c r="D320" s="328" t="s">
        <v>5301</v>
      </c>
      <c r="E320" s="403">
        <v>20</v>
      </c>
      <c r="F320" s="340">
        <v>45716</v>
      </c>
      <c r="H320" s="334" t="s">
        <v>4822</v>
      </c>
      <c r="I320" t="s">
        <v>4647</v>
      </c>
      <c r="J320" s="369"/>
      <c r="O320" s="404">
        <v>4</v>
      </c>
      <c r="P320" t="s">
        <v>5046</v>
      </c>
      <c r="Q320">
        <v>6</v>
      </c>
      <c r="R320" t="s">
        <v>5048</v>
      </c>
      <c r="S320" s="398">
        <f t="shared" si="20"/>
        <v>4.5</v>
      </c>
    </row>
    <row r="321" spans="3:20" ht="15" thickBot="1" x14ac:dyDescent="0.4">
      <c r="C321" s="256" t="s">
        <v>5058</v>
      </c>
      <c r="D321" s="328" t="s">
        <v>5059</v>
      </c>
      <c r="E321" s="403">
        <v>20</v>
      </c>
      <c r="F321" s="340">
        <v>45740</v>
      </c>
      <c r="H321" s="334" t="s">
        <v>4609</v>
      </c>
      <c r="I321" t="s">
        <v>4676</v>
      </c>
      <c r="J321" s="369"/>
      <c r="O321" s="404">
        <v>4</v>
      </c>
      <c r="P321" t="s">
        <v>5046</v>
      </c>
      <c r="Q321">
        <v>7</v>
      </c>
      <c r="R321" t="s">
        <v>5048</v>
      </c>
      <c r="S321" s="398">
        <f t="shared" si="20"/>
        <v>4.583333333333333</v>
      </c>
    </row>
    <row r="322" spans="3:20" ht="15" thickBot="1" x14ac:dyDescent="0.4">
      <c r="C322" s="256" t="s">
        <v>5061</v>
      </c>
      <c r="D322" s="328" t="s">
        <v>5062</v>
      </c>
      <c r="E322" s="403">
        <v>20</v>
      </c>
      <c r="F322" s="340">
        <v>45740</v>
      </c>
      <c r="H322" s="334">
        <v>3.15</v>
      </c>
      <c r="I322" t="s">
        <v>4676</v>
      </c>
      <c r="J322" s="369"/>
      <c r="O322" s="404">
        <v>4</v>
      </c>
      <c r="P322" t="s">
        <v>5046</v>
      </c>
      <c r="Q322">
        <v>7</v>
      </c>
      <c r="R322" t="s">
        <v>5048</v>
      </c>
      <c r="S322" s="398">
        <f t="shared" si="20"/>
        <v>4.583333333333333</v>
      </c>
    </row>
    <row r="323" spans="3:20" ht="15" thickBot="1" x14ac:dyDescent="0.4">
      <c r="C323" s="256" t="s">
        <v>5064</v>
      </c>
      <c r="D323" s="328" t="s">
        <v>5065</v>
      </c>
      <c r="E323" s="403">
        <v>20</v>
      </c>
      <c r="F323" s="340">
        <v>45740</v>
      </c>
      <c r="H323" s="334">
        <v>3.38</v>
      </c>
      <c r="I323" t="s">
        <v>4676</v>
      </c>
      <c r="J323" s="369"/>
      <c r="O323" s="404">
        <v>4</v>
      </c>
      <c r="P323" t="s">
        <v>5046</v>
      </c>
      <c r="Q323">
        <v>7</v>
      </c>
      <c r="R323" t="s">
        <v>5048</v>
      </c>
      <c r="S323" s="398">
        <f t="shared" si="20"/>
        <v>4.583333333333333</v>
      </c>
    </row>
    <row r="324" spans="3:20" ht="15" thickBot="1" x14ac:dyDescent="0.4">
      <c r="C324" s="256" t="s">
        <v>5067</v>
      </c>
      <c r="D324" s="328" t="s">
        <v>5068</v>
      </c>
      <c r="E324" s="403">
        <v>20</v>
      </c>
      <c r="F324" s="340">
        <v>45740</v>
      </c>
      <c r="H324" s="334" t="s">
        <v>4607</v>
      </c>
      <c r="I324" t="s">
        <v>4676</v>
      </c>
      <c r="J324" s="369"/>
      <c r="O324" s="404">
        <v>4</v>
      </c>
      <c r="P324" t="s">
        <v>5046</v>
      </c>
      <c r="Q324">
        <v>7</v>
      </c>
      <c r="R324" t="s">
        <v>5048</v>
      </c>
      <c r="S324" s="398">
        <f t="shared" si="20"/>
        <v>4.583333333333333</v>
      </c>
    </row>
    <row r="325" spans="3:20" ht="15" thickBot="1" x14ac:dyDescent="0.4">
      <c r="C325" s="256" t="s">
        <v>5164</v>
      </c>
      <c r="D325" s="328" t="s">
        <v>5303</v>
      </c>
      <c r="E325" s="403">
        <v>20</v>
      </c>
      <c r="F325" s="340">
        <v>45804</v>
      </c>
      <c r="H325" s="334">
        <v>2.79</v>
      </c>
      <c r="I325" t="s">
        <v>4686</v>
      </c>
      <c r="J325" s="369"/>
      <c r="O325" s="404">
        <v>4</v>
      </c>
      <c r="P325" t="s">
        <v>5046</v>
      </c>
      <c r="Q325">
        <v>9</v>
      </c>
      <c r="R325" t="s">
        <v>5048</v>
      </c>
      <c r="S325" s="398">
        <f t="shared" si="20"/>
        <v>4.75</v>
      </c>
    </row>
    <row r="326" spans="3:20" ht="15" thickBot="1" x14ac:dyDescent="0.4">
      <c r="C326" s="256" t="s">
        <v>5165</v>
      </c>
      <c r="D326" s="328" t="s">
        <v>5304</v>
      </c>
      <c r="E326" s="403">
        <v>20</v>
      </c>
      <c r="F326" s="340">
        <v>45804</v>
      </c>
      <c r="H326" s="334">
        <v>3.25</v>
      </c>
      <c r="I326" t="s">
        <v>4686</v>
      </c>
      <c r="J326" s="369"/>
      <c r="O326" s="404">
        <v>4</v>
      </c>
      <c r="P326" t="s">
        <v>5046</v>
      </c>
      <c r="Q326">
        <v>9</v>
      </c>
      <c r="R326" t="s">
        <v>5048</v>
      </c>
      <c r="S326" s="398">
        <f t="shared" si="20"/>
        <v>4.75</v>
      </c>
    </row>
    <row r="327" spans="3:20" ht="15" thickBot="1" x14ac:dyDescent="0.4">
      <c r="C327" s="256" t="s">
        <v>5171</v>
      </c>
      <c r="D327" s="328" t="s">
        <v>5310</v>
      </c>
      <c r="E327" s="403">
        <v>20</v>
      </c>
      <c r="F327" s="340">
        <v>45862</v>
      </c>
      <c r="H327" s="334">
        <v>3.41</v>
      </c>
      <c r="I327" t="s">
        <v>4694</v>
      </c>
      <c r="J327" s="369"/>
      <c r="O327" s="404">
        <v>4</v>
      </c>
      <c r="P327" t="s">
        <v>5046</v>
      </c>
      <c r="Q327">
        <v>11</v>
      </c>
      <c r="R327" t="s">
        <v>5048</v>
      </c>
      <c r="S327" s="398">
        <f t="shared" si="20"/>
        <v>4.916666666666667</v>
      </c>
    </row>
    <row r="328" spans="3:20" ht="15" thickBot="1" x14ac:dyDescent="0.4">
      <c r="C328" s="256" t="s">
        <v>5172</v>
      </c>
      <c r="D328" s="328" t="s">
        <v>5311</v>
      </c>
      <c r="E328" s="403">
        <v>20</v>
      </c>
      <c r="F328" s="340">
        <v>45862</v>
      </c>
      <c r="H328" s="334">
        <v>3.37</v>
      </c>
      <c r="I328" t="s">
        <v>4694</v>
      </c>
      <c r="J328" s="369"/>
      <c r="O328" s="404">
        <v>4</v>
      </c>
      <c r="P328" t="s">
        <v>5046</v>
      </c>
      <c r="Q328">
        <v>11</v>
      </c>
      <c r="R328" t="s">
        <v>5048</v>
      </c>
      <c r="S328" s="398">
        <f t="shared" si="20"/>
        <v>4.916666666666667</v>
      </c>
    </row>
    <row r="329" spans="3:20" ht="15" thickBot="1" x14ac:dyDescent="0.4">
      <c r="C329" s="256" t="s">
        <v>5173</v>
      </c>
      <c r="D329" s="331" t="s">
        <v>5312</v>
      </c>
      <c r="E329" s="403">
        <v>20</v>
      </c>
      <c r="F329" s="340">
        <v>45862</v>
      </c>
      <c r="H329" s="334">
        <v>3.16</v>
      </c>
      <c r="I329" t="s">
        <v>4694</v>
      </c>
      <c r="J329" s="369"/>
      <c r="O329" s="404">
        <v>4</v>
      </c>
      <c r="P329" t="s">
        <v>5046</v>
      </c>
      <c r="Q329">
        <v>11</v>
      </c>
      <c r="R329" t="s">
        <v>5048</v>
      </c>
      <c r="S329" s="398">
        <f t="shared" si="20"/>
        <v>4.916666666666667</v>
      </c>
    </row>
    <row r="330" spans="3:20" ht="15" thickBot="1" x14ac:dyDescent="0.4">
      <c r="C330" s="256" t="s">
        <v>5174</v>
      </c>
      <c r="D330" s="328" t="s">
        <v>5313</v>
      </c>
      <c r="E330" s="403">
        <v>20</v>
      </c>
      <c r="F330" s="340">
        <v>45862</v>
      </c>
      <c r="H330" s="334">
        <v>3.25</v>
      </c>
      <c r="I330" t="s">
        <v>4694</v>
      </c>
      <c r="J330" s="369"/>
      <c r="O330" s="404">
        <v>4</v>
      </c>
      <c r="P330" t="s">
        <v>5046</v>
      </c>
      <c r="Q330">
        <v>11</v>
      </c>
      <c r="R330" t="s">
        <v>5048</v>
      </c>
      <c r="S330" s="398">
        <f t="shared" si="20"/>
        <v>4.916666666666667</v>
      </c>
    </row>
    <row r="331" spans="3:20" ht="15" thickBot="1" x14ac:dyDescent="0.4">
      <c r="C331" s="256" t="s">
        <v>5220</v>
      </c>
      <c r="D331" s="328" t="s">
        <v>5359</v>
      </c>
      <c r="E331" s="403">
        <v>20</v>
      </c>
      <c r="F331" s="340">
        <v>45869</v>
      </c>
      <c r="H331" s="334" t="s">
        <v>5388</v>
      </c>
      <c r="I331" t="s">
        <v>4694</v>
      </c>
      <c r="J331" s="369"/>
      <c r="O331" s="404">
        <v>4</v>
      </c>
      <c r="P331" t="s">
        <v>5046</v>
      </c>
      <c r="Q331">
        <v>11</v>
      </c>
      <c r="R331" t="s">
        <v>5048</v>
      </c>
      <c r="S331" s="398">
        <f t="shared" si="20"/>
        <v>4.916666666666667</v>
      </c>
    </row>
    <row r="332" spans="3:20" ht="15" thickBot="1" x14ac:dyDescent="0.4">
      <c r="C332" s="256" t="s">
        <v>5221</v>
      </c>
      <c r="D332" s="328" t="s">
        <v>5360</v>
      </c>
      <c r="E332" s="403">
        <v>20</v>
      </c>
      <c r="F332" s="340">
        <v>45869</v>
      </c>
      <c r="H332" s="334">
        <v>3.02</v>
      </c>
      <c r="I332" t="s">
        <v>4694</v>
      </c>
      <c r="J332" s="20"/>
      <c r="O332" s="404">
        <v>4</v>
      </c>
      <c r="P332" t="s">
        <v>5046</v>
      </c>
      <c r="Q332">
        <v>11</v>
      </c>
      <c r="R332" t="s">
        <v>5048</v>
      </c>
      <c r="S332" s="398">
        <f t="shared" si="20"/>
        <v>4.916666666666667</v>
      </c>
    </row>
    <row r="333" spans="3:20" ht="15" thickBot="1" x14ac:dyDescent="0.4">
      <c r="C333" s="256" t="s">
        <v>5222</v>
      </c>
      <c r="D333" s="328" t="s">
        <v>5361</v>
      </c>
      <c r="E333" s="403">
        <v>20</v>
      </c>
      <c r="F333" s="340">
        <v>45869</v>
      </c>
      <c r="H333" s="339" t="s">
        <v>5395</v>
      </c>
      <c r="I333" t="s">
        <v>4694</v>
      </c>
      <c r="J333" s="369"/>
      <c r="O333" s="404">
        <v>4</v>
      </c>
      <c r="P333" t="s">
        <v>5046</v>
      </c>
      <c r="Q333">
        <v>11</v>
      </c>
      <c r="R333" t="s">
        <v>5048</v>
      </c>
      <c r="S333" s="398">
        <f t="shared" si="20"/>
        <v>4.916666666666667</v>
      </c>
    </row>
    <row r="334" spans="3:20" ht="15" thickBot="1" x14ac:dyDescent="0.4">
      <c r="C334" s="256" t="s">
        <v>5223</v>
      </c>
      <c r="D334" s="328" t="s">
        <v>5362</v>
      </c>
      <c r="E334" s="403">
        <v>20</v>
      </c>
      <c r="F334" s="340">
        <v>45869</v>
      </c>
      <c r="H334" s="338" t="s">
        <v>4624</v>
      </c>
      <c r="I334" t="s">
        <v>4694</v>
      </c>
      <c r="J334" s="370"/>
      <c r="O334" s="404">
        <v>4</v>
      </c>
      <c r="P334" t="s">
        <v>5046</v>
      </c>
      <c r="Q334">
        <v>11</v>
      </c>
      <c r="R334" t="s">
        <v>5048</v>
      </c>
      <c r="S334" s="398">
        <f t="shared" ref="S334:S392" si="21">O334+(Q334/12)</f>
        <v>4.916666666666667</v>
      </c>
    </row>
    <row r="335" spans="3:20" ht="15" thickBot="1" x14ac:dyDescent="0.4">
      <c r="C335" s="256" t="s">
        <v>5163</v>
      </c>
      <c r="D335" s="328" t="s">
        <v>5302</v>
      </c>
      <c r="E335" s="2">
        <v>21</v>
      </c>
      <c r="F335" s="340">
        <v>45768</v>
      </c>
      <c r="H335" s="334" t="s">
        <v>4776</v>
      </c>
      <c r="I335" t="s">
        <v>5402</v>
      </c>
      <c r="J335" s="370"/>
      <c r="O335" s="405">
        <v>3</v>
      </c>
      <c r="P335" t="s">
        <v>5046</v>
      </c>
      <c r="Q335">
        <v>8</v>
      </c>
      <c r="R335" t="s">
        <v>5048</v>
      </c>
      <c r="S335" s="398">
        <f t="shared" si="21"/>
        <v>3.6666666666666665</v>
      </c>
      <c r="T335" s="402">
        <f>AVERAGE(S335:S392)</f>
        <v>3.9080459770114913</v>
      </c>
    </row>
    <row r="336" spans="3:20" ht="15" thickBot="1" x14ac:dyDescent="0.4">
      <c r="C336" s="256" t="s">
        <v>5166</v>
      </c>
      <c r="D336" s="328" t="s">
        <v>5305</v>
      </c>
      <c r="E336" s="2">
        <v>21</v>
      </c>
      <c r="F336" s="340">
        <v>45833</v>
      </c>
      <c r="H336" s="334" t="s">
        <v>5390</v>
      </c>
      <c r="I336" t="s">
        <v>4814</v>
      </c>
      <c r="J336" s="370"/>
      <c r="O336" s="405">
        <v>3</v>
      </c>
      <c r="P336" t="s">
        <v>5049</v>
      </c>
      <c r="Q336">
        <v>10</v>
      </c>
      <c r="R336" t="s">
        <v>5050</v>
      </c>
      <c r="S336" s="398">
        <f t="shared" si="21"/>
        <v>3.8333333333333335</v>
      </c>
    </row>
    <row r="337" spans="3:19" ht="15" thickBot="1" x14ac:dyDescent="0.4">
      <c r="C337" s="256" t="s">
        <v>5167</v>
      </c>
      <c r="D337" s="328" t="s">
        <v>5306</v>
      </c>
      <c r="E337" s="2">
        <v>21</v>
      </c>
      <c r="F337" s="340">
        <v>45833</v>
      </c>
      <c r="H337" s="334" t="s">
        <v>4828</v>
      </c>
      <c r="I337" t="s">
        <v>4814</v>
      </c>
      <c r="J337" s="370"/>
      <c r="O337" s="405">
        <v>3</v>
      </c>
      <c r="P337" t="s">
        <v>5049</v>
      </c>
      <c r="Q337">
        <v>10</v>
      </c>
      <c r="R337" t="s">
        <v>5050</v>
      </c>
      <c r="S337" s="398">
        <f t="shared" si="21"/>
        <v>3.8333333333333335</v>
      </c>
    </row>
    <row r="338" spans="3:19" ht="15" thickBot="1" x14ac:dyDescent="0.4">
      <c r="C338" s="256" t="s">
        <v>5168</v>
      </c>
      <c r="D338" s="328" t="s">
        <v>5307</v>
      </c>
      <c r="E338" s="2">
        <v>21</v>
      </c>
      <c r="F338" s="340">
        <v>45833</v>
      </c>
      <c r="H338" s="334" t="s">
        <v>4821</v>
      </c>
      <c r="I338" t="s">
        <v>4814</v>
      </c>
      <c r="J338" s="370"/>
      <c r="O338" s="405">
        <v>3</v>
      </c>
      <c r="P338" t="s">
        <v>5049</v>
      </c>
      <c r="Q338">
        <v>10</v>
      </c>
      <c r="R338" t="s">
        <v>5050</v>
      </c>
      <c r="S338" s="398">
        <f t="shared" si="21"/>
        <v>3.8333333333333335</v>
      </c>
    </row>
    <row r="339" spans="3:19" ht="15" thickBot="1" x14ac:dyDescent="0.4">
      <c r="C339" s="256" t="s">
        <v>5175</v>
      </c>
      <c r="D339" s="331" t="s">
        <v>5314</v>
      </c>
      <c r="E339" s="2">
        <v>21</v>
      </c>
      <c r="F339" s="340">
        <v>45862</v>
      </c>
      <c r="H339" s="337">
        <v>3.76</v>
      </c>
      <c r="I339" t="s">
        <v>4688</v>
      </c>
      <c r="J339" s="370"/>
      <c r="O339" s="405">
        <v>3</v>
      </c>
      <c r="P339" t="s">
        <v>5046</v>
      </c>
      <c r="Q339">
        <v>11</v>
      </c>
      <c r="R339" t="s">
        <v>5048</v>
      </c>
      <c r="S339" s="398">
        <f t="shared" si="21"/>
        <v>3.9166666666666665</v>
      </c>
    </row>
    <row r="340" spans="3:19" ht="15" thickBot="1" x14ac:dyDescent="0.4">
      <c r="C340" s="256" t="s">
        <v>5176</v>
      </c>
      <c r="D340" s="328" t="s">
        <v>5315</v>
      </c>
      <c r="E340" s="2">
        <v>21</v>
      </c>
      <c r="F340" s="340">
        <v>45862</v>
      </c>
      <c r="H340" s="338">
        <v>3.59</v>
      </c>
      <c r="I340" t="s">
        <v>4688</v>
      </c>
      <c r="J340" s="369"/>
      <c r="O340" s="405">
        <v>3</v>
      </c>
      <c r="P340" t="s">
        <v>5046</v>
      </c>
      <c r="Q340">
        <v>11</v>
      </c>
      <c r="R340" t="s">
        <v>5048</v>
      </c>
      <c r="S340" s="398">
        <f t="shared" si="21"/>
        <v>3.9166666666666665</v>
      </c>
    </row>
    <row r="341" spans="3:19" ht="15" thickBot="1" x14ac:dyDescent="0.4">
      <c r="C341" s="256" t="s">
        <v>5177</v>
      </c>
      <c r="D341" s="328" t="s">
        <v>5316</v>
      </c>
      <c r="E341" s="2">
        <v>21</v>
      </c>
      <c r="F341" s="340">
        <v>45862</v>
      </c>
      <c r="H341" s="334">
        <v>3.55</v>
      </c>
      <c r="I341" t="s">
        <v>4688</v>
      </c>
      <c r="J341" s="370"/>
      <c r="O341" s="405">
        <v>3</v>
      </c>
      <c r="P341" t="s">
        <v>5046</v>
      </c>
      <c r="Q341">
        <v>11</v>
      </c>
      <c r="R341" t="s">
        <v>5048</v>
      </c>
      <c r="S341" s="398">
        <f t="shared" si="21"/>
        <v>3.9166666666666665</v>
      </c>
    </row>
    <row r="342" spans="3:19" ht="15" thickBot="1" x14ac:dyDescent="0.4">
      <c r="C342" s="256" t="s">
        <v>5178</v>
      </c>
      <c r="D342" s="331" t="s">
        <v>5317</v>
      </c>
      <c r="E342" s="2">
        <v>21</v>
      </c>
      <c r="F342" s="340">
        <v>45862</v>
      </c>
      <c r="H342" s="334">
        <v>3.18</v>
      </c>
      <c r="I342" t="s">
        <v>4688</v>
      </c>
      <c r="J342" s="370"/>
      <c r="O342" s="405">
        <v>3</v>
      </c>
      <c r="P342" t="s">
        <v>5046</v>
      </c>
      <c r="Q342">
        <v>11</v>
      </c>
      <c r="R342" t="s">
        <v>5048</v>
      </c>
      <c r="S342" s="398">
        <f t="shared" si="21"/>
        <v>3.9166666666666665</v>
      </c>
    </row>
    <row r="343" spans="3:19" ht="15" thickBot="1" x14ac:dyDescent="0.4">
      <c r="C343" s="256" t="s">
        <v>5179</v>
      </c>
      <c r="D343" s="328" t="s">
        <v>5318</v>
      </c>
      <c r="E343" s="2">
        <v>21</v>
      </c>
      <c r="F343" s="340">
        <v>45862</v>
      </c>
      <c r="H343" s="334">
        <v>3.84</v>
      </c>
      <c r="I343" t="s">
        <v>4688</v>
      </c>
      <c r="J343" s="370"/>
      <c r="O343" s="405">
        <v>3</v>
      </c>
      <c r="P343" t="s">
        <v>5046</v>
      </c>
      <c r="Q343">
        <v>11</v>
      </c>
      <c r="R343" t="s">
        <v>5048</v>
      </c>
      <c r="S343" s="398">
        <f t="shared" si="21"/>
        <v>3.9166666666666665</v>
      </c>
    </row>
    <row r="344" spans="3:19" ht="15" thickBot="1" x14ac:dyDescent="0.4">
      <c r="C344" s="256" t="s">
        <v>5180</v>
      </c>
      <c r="D344" s="328" t="s">
        <v>5319</v>
      </c>
      <c r="E344" s="2">
        <v>21</v>
      </c>
      <c r="F344" s="340">
        <v>45862</v>
      </c>
      <c r="H344" s="281">
        <v>3.33</v>
      </c>
      <c r="I344" t="s">
        <v>4688</v>
      </c>
      <c r="J344" s="370"/>
      <c r="O344" s="405">
        <v>3</v>
      </c>
      <c r="P344" t="s">
        <v>5046</v>
      </c>
      <c r="Q344">
        <v>11</v>
      </c>
      <c r="R344" t="s">
        <v>5048</v>
      </c>
      <c r="S344" s="398">
        <f t="shared" si="21"/>
        <v>3.9166666666666665</v>
      </c>
    </row>
    <row r="345" spans="3:19" ht="15" thickBot="1" x14ac:dyDescent="0.4">
      <c r="C345" s="256" t="s">
        <v>5181</v>
      </c>
      <c r="D345" s="328" t="s">
        <v>5320</v>
      </c>
      <c r="E345" s="2">
        <v>21</v>
      </c>
      <c r="F345" s="340">
        <v>45862</v>
      </c>
      <c r="H345" s="337">
        <v>3.85</v>
      </c>
      <c r="I345" t="s">
        <v>4688</v>
      </c>
      <c r="J345" s="369"/>
      <c r="O345" s="405">
        <v>3</v>
      </c>
      <c r="P345" t="s">
        <v>5046</v>
      </c>
      <c r="Q345">
        <v>11</v>
      </c>
      <c r="R345" t="s">
        <v>5048</v>
      </c>
      <c r="S345" s="398">
        <f t="shared" si="21"/>
        <v>3.9166666666666665</v>
      </c>
    </row>
    <row r="346" spans="3:19" ht="15" thickBot="1" x14ac:dyDescent="0.4">
      <c r="C346" s="256" t="s">
        <v>5182</v>
      </c>
      <c r="D346" s="328" t="s">
        <v>5321</v>
      </c>
      <c r="E346" s="2">
        <v>21</v>
      </c>
      <c r="F346" s="340">
        <v>45862</v>
      </c>
      <c r="H346" s="334">
        <v>3.52</v>
      </c>
      <c r="I346" t="s">
        <v>4688</v>
      </c>
      <c r="J346" s="370"/>
      <c r="O346" s="405">
        <v>3</v>
      </c>
      <c r="P346" t="s">
        <v>5046</v>
      </c>
      <c r="Q346">
        <v>11</v>
      </c>
      <c r="R346" t="s">
        <v>5048</v>
      </c>
      <c r="S346" s="398">
        <f t="shared" si="21"/>
        <v>3.9166666666666665</v>
      </c>
    </row>
    <row r="347" spans="3:19" ht="15" thickBot="1" x14ac:dyDescent="0.4">
      <c r="C347" s="256" t="s">
        <v>5183</v>
      </c>
      <c r="D347" s="328" t="s">
        <v>5322</v>
      </c>
      <c r="E347" s="2">
        <v>21</v>
      </c>
      <c r="F347" s="340">
        <v>45862</v>
      </c>
      <c r="H347" s="334" t="s">
        <v>4624</v>
      </c>
      <c r="I347" t="s">
        <v>4688</v>
      </c>
      <c r="J347" s="369"/>
      <c r="O347" s="405">
        <v>3</v>
      </c>
      <c r="P347" t="s">
        <v>5046</v>
      </c>
      <c r="Q347">
        <v>11</v>
      </c>
      <c r="R347" t="s">
        <v>5048</v>
      </c>
      <c r="S347" s="398">
        <f t="shared" si="21"/>
        <v>3.9166666666666665</v>
      </c>
    </row>
    <row r="348" spans="3:19" ht="15" thickBot="1" x14ac:dyDescent="0.4">
      <c r="C348" s="256" t="s">
        <v>5184</v>
      </c>
      <c r="D348" s="328" t="s">
        <v>5323</v>
      </c>
      <c r="E348" s="2">
        <v>21</v>
      </c>
      <c r="F348" s="340">
        <v>45862</v>
      </c>
      <c r="H348" s="337">
        <v>3.56</v>
      </c>
      <c r="I348" t="s">
        <v>4688</v>
      </c>
      <c r="J348" s="369"/>
      <c r="O348" s="405">
        <v>3</v>
      </c>
      <c r="P348" t="s">
        <v>5046</v>
      </c>
      <c r="Q348">
        <v>11</v>
      </c>
      <c r="R348" t="s">
        <v>5048</v>
      </c>
      <c r="S348" s="398">
        <f t="shared" si="21"/>
        <v>3.9166666666666665</v>
      </c>
    </row>
    <row r="349" spans="3:19" ht="15" thickBot="1" x14ac:dyDescent="0.4">
      <c r="C349" s="256" t="s">
        <v>5185</v>
      </c>
      <c r="D349" s="331" t="s">
        <v>5324</v>
      </c>
      <c r="E349" s="2">
        <v>21</v>
      </c>
      <c r="F349" s="340">
        <v>45862</v>
      </c>
      <c r="H349" s="334">
        <v>3.53</v>
      </c>
      <c r="I349" t="s">
        <v>4688</v>
      </c>
      <c r="J349" s="369"/>
      <c r="O349" s="405">
        <v>3</v>
      </c>
      <c r="P349" t="s">
        <v>5046</v>
      </c>
      <c r="Q349">
        <v>11</v>
      </c>
      <c r="R349" t="s">
        <v>5048</v>
      </c>
      <c r="S349" s="398">
        <f t="shared" si="21"/>
        <v>3.9166666666666665</v>
      </c>
    </row>
    <row r="350" spans="3:19" ht="15" thickBot="1" x14ac:dyDescent="0.4">
      <c r="C350" s="256" t="s">
        <v>5186</v>
      </c>
      <c r="D350" s="328" t="s">
        <v>5325</v>
      </c>
      <c r="E350" s="2">
        <v>21</v>
      </c>
      <c r="F350" s="340">
        <v>45862</v>
      </c>
      <c r="H350" s="334">
        <v>3.47</v>
      </c>
      <c r="I350" t="s">
        <v>4688</v>
      </c>
      <c r="J350" s="370"/>
      <c r="O350" s="405">
        <v>3</v>
      </c>
      <c r="P350" t="s">
        <v>5046</v>
      </c>
      <c r="Q350">
        <v>11</v>
      </c>
      <c r="R350" t="s">
        <v>5048</v>
      </c>
      <c r="S350" s="398">
        <f t="shared" si="21"/>
        <v>3.9166666666666665</v>
      </c>
    </row>
    <row r="351" spans="3:19" ht="15" thickBot="1" x14ac:dyDescent="0.4">
      <c r="C351" s="256" t="s">
        <v>5187</v>
      </c>
      <c r="D351" s="328" t="s">
        <v>5326</v>
      </c>
      <c r="E351" s="2">
        <v>21</v>
      </c>
      <c r="F351" s="340">
        <v>45862</v>
      </c>
      <c r="H351" s="338" t="s">
        <v>4607</v>
      </c>
      <c r="I351" t="s">
        <v>4688</v>
      </c>
      <c r="J351" s="369"/>
      <c r="O351" s="405">
        <v>3</v>
      </c>
      <c r="P351" t="s">
        <v>5046</v>
      </c>
      <c r="Q351">
        <v>11</v>
      </c>
      <c r="R351" t="s">
        <v>5048</v>
      </c>
      <c r="S351" s="398">
        <f t="shared" si="21"/>
        <v>3.9166666666666665</v>
      </c>
    </row>
    <row r="352" spans="3:19" ht="15" thickBot="1" x14ac:dyDescent="0.4">
      <c r="C352" s="256" t="s">
        <v>5188</v>
      </c>
      <c r="D352" s="328" t="s">
        <v>5327</v>
      </c>
      <c r="E352" s="2">
        <v>21</v>
      </c>
      <c r="F352" s="340">
        <v>45862</v>
      </c>
      <c r="H352" s="338">
        <v>3.73</v>
      </c>
      <c r="I352" t="s">
        <v>4688</v>
      </c>
      <c r="J352" s="369"/>
      <c r="O352" s="405">
        <v>3</v>
      </c>
      <c r="P352" t="s">
        <v>5046</v>
      </c>
      <c r="Q352">
        <v>11</v>
      </c>
      <c r="R352" t="s">
        <v>5048</v>
      </c>
      <c r="S352" s="398">
        <f t="shared" si="21"/>
        <v>3.9166666666666665</v>
      </c>
    </row>
    <row r="353" spans="3:19" ht="15" thickBot="1" x14ac:dyDescent="0.4">
      <c r="C353" s="256" t="s">
        <v>5189</v>
      </c>
      <c r="D353" s="328" t="s">
        <v>5328</v>
      </c>
      <c r="E353" s="2">
        <v>21</v>
      </c>
      <c r="F353" s="340">
        <v>45862</v>
      </c>
      <c r="H353" s="334">
        <v>3.53</v>
      </c>
      <c r="I353" t="s">
        <v>4688</v>
      </c>
      <c r="J353" s="369"/>
      <c r="O353" s="405">
        <v>3</v>
      </c>
      <c r="P353" t="s">
        <v>5046</v>
      </c>
      <c r="Q353">
        <v>11</v>
      </c>
      <c r="R353" t="s">
        <v>5048</v>
      </c>
      <c r="S353" s="398">
        <f t="shared" si="21"/>
        <v>3.9166666666666665</v>
      </c>
    </row>
    <row r="354" spans="3:19" ht="15" thickBot="1" x14ac:dyDescent="0.4">
      <c r="C354" s="256" t="s">
        <v>5190</v>
      </c>
      <c r="D354" s="328" t="s">
        <v>5329</v>
      </c>
      <c r="E354" s="2">
        <v>21</v>
      </c>
      <c r="F354" s="340">
        <v>45862</v>
      </c>
      <c r="H354" s="334">
        <v>3.66</v>
      </c>
      <c r="I354" t="s">
        <v>4688</v>
      </c>
      <c r="J354" s="370"/>
      <c r="O354" s="405">
        <v>3</v>
      </c>
      <c r="P354" t="s">
        <v>5046</v>
      </c>
      <c r="Q354">
        <v>11</v>
      </c>
      <c r="R354" t="s">
        <v>5048</v>
      </c>
      <c r="S354" s="398">
        <f t="shared" si="21"/>
        <v>3.9166666666666665</v>
      </c>
    </row>
    <row r="355" spans="3:19" ht="15" thickBot="1" x14ac:dyDescent="0.4">
      <c r="C355" s="256" t="s">
        <v>5191</v>
      </c>
      <c r="D355" s="328" t="s">
        <v>5330</v>
      </c>
      <c r="E355" s="2">
        <v>21</v>
      </c>
      <c r="F355" s="340">
        <v>45862</v>
      </c>
      <c r="H355" s="333">
        <v>2.95</v>
      </c>
      <c r="I355" t="s">
        <v>4688</v>
      </c>
      <c r="J355" s="369"/>
      <c r="O355" s="405">
        <v>3</v>
      </c>
      <c r="P355" t="s">
        <v>5046</v>
      </c>
      <c r="Q355">
        <v>11</v>
      </c>
      <c r="R355" t="s">
        <v>5048</v>
      </c>
      <c r="S355" s="398">
        <f t="shared" si="21"/>
        <v>3.9166666666666665</v>
      </c>
    </row>
    <row r="356" spans="3:19" ht="15" thickBot="1" x14ac:dyDescent="0.4">
      <c r="C356" s="256" t="s">
        <v>5192</v>
      </c>
      <c r="D356" s="328" t="s">
        <v>5331</v>
      </c>
      <c r="E356" s="2">
        <v>21</v>
      </c>
      <c r="F356" s="340">
        <v>45862</v>
      </c>
      <c r="H356" s="334">
        <v>3.03</v>
      </c>
      <c r="I356" t="s">
        <v>4688</v>
      </c>
      <c r="J356" s="369"/>
      <c r="O356" s="405">
        <v>3</v>
      </c>
      <c r="P356" t="s">
        <v>5046</v>
      </c>
      <c r="Q356">
        <v>11</v>
      </c>
      <c r="R356" t="s">
        <v>5048</v>
      </c>
      <c r="S356" s="398">
        <f t="shared" si="21"/>
        <v>3.9166666666666665</v>
      </c>
    </row>
    <row r="357" spans="3:19" ht="15" thickBot="1" x14ac:dyDescent="0.4">
      <c r="C357" s="256" t="s">
        <v>5193</v>
      </c>
      <c r="D357" s="328" t="s">
        <v>5332</v>
      </c>
      <c r="E357" s="2">
        <v>21</v>
      </c>
      <c r="F357" s="340">
        <v>45862</v>
      </c>
      <c r="H357" s="334">
        <v>3.54</v>
      </c>
      <c r="I357" t="s">
        <v>4688</v>
      </c>
      <c r="J357" s="370"/>
      <c r="O357" s="405">
        <v>3</v>
      </c>
      <c r="P357" t="s">
        <v>5046</v>
      </c>
      <c r="Q357">
        <v>11</v>
      </c>
      <c r="R357" t="s">
        <v>5048</v>
      </c>
      <c r="S357" s="398">
        <f t="shared" si="21"/>
        <v>3.9166666666666665</v>
      </c>
    </row>
    <row r="358" spans="3:19" ht="15" thickBot="1" x14ac:dyDescent="0.4">
      <c r="C358" s="256" t="s">
        <v>5194</v>
      </c>
      <c r="D358" s="331" t="s">
        <v>5333</v>
      </c>
      <c r="E358" s="2">
        <v>21</v>
      </c>
      <c r="F358" s="340">
        <v>45862</v>
      </c>
      <c r="H358" s="337">
        <v>3.58</v>
      </c>
      <c r="I358" t="s">
        <v>4688</v>
      </c>
      <c r="J358" s="369"/>
      <c r="O358" s="405">
        <v>3</v>
      </c>
      <c r="P358" t="s">
        <v>5046</v>
      </c>
      <c r="Q358">
        <v>11</v>
      </c>
      <c r="R358" t="s">
        <v>5048</v>
      </c>
      <c r="S358" s="398">
        <f t="shared" si="21"/>
        <v>3.9166666666666665</v>
      </c>
    </row>
    <row r="359" spans="3:19" ht="15" thickBot="1" x14ac:dyDescent="0.4">
      <c r="C359" s="256" t="s">
        <v>5195</v>
      </c>
      <c r="D359" s="328" t="s">
        <v>5334</v>
      </c>
      <c r="E359" s="2">
        <v>21</v>
      </c>
      <c r="F359" s="340">
        <v>45862</v>
      </c>
      <c r="H359" s="338">
        <v>3.58</v>
      </c>
      <c r="I359" t="s">
        <v>4688</v>
      </c>
      <c r="J359" s="369"/>
      <c r="O359" s="405">
        <v>3</v>
      </c>
      <c r="P359" t="s">
        <v>5046</v>
      </c>
      <c r="Q359">
        <v>11</v>
      </c>
      <c r="R359" t="s">
        <v>5048</v>
      </c>
      <c r="S359" s="398">
        <f t="shared" si="21"/>
        <v>3.9166666666666665</v>
      </c>
    </row>
    <row r="360" spans="3:19" ht="15" thickBot="1" x14ac:dyDescent="0.4">
      <c r="C360" s="256" t="s">
        <v>5196</v>
      </c>
      <c r="D360" s="328" t="s">
        <v>5335</v>
      </c>
      <c r="E360" s="2">
        <v>21</v>
      </c>
      <c r="F360" s="340">
        <v>45862</v>
      </c>
      <c r="H360" s="338">
        <v>3.38</v>
      </c>
      <c r="I360" t="s">
        <v>4688</v>
      </c>
      <c r="J360" s="369"/>
      <c r="O360" s="405">
        <v>3</v>
      </c>
      <c r="P360" t="s">
        <v>5046</v>
      </c>
      <c r="Q360">
        <v>11</v>
      </c>
      <c r="R360" t="s">
        <v>5048</v>
      </c>
      <c r="S360" s="398">
        <f t="shared" si="21"/>
        <v>3.9166666666666665</v>
      </c>
    </row>
    <row r="361" spans="3:19" ht="15" thickBot="1" x14ac:dyDescent="0.4">
      <c r="C361" s="256" t="s">
        <v>5197</v>
      </c>
      <c r="D361" s="328" t="s">
        <v>5336</v>
      </c>
      <c r="E361" s="2">
        <v>21</v>
      </c>
      <c r="F361" s="340">
        <v>45862</v>
      </c>
      <c r="H361" s="279">
        <v>3.34</v>
      </c>
      <c r="I361" t="s">
        <v>4688</v>
      </c>
      <c r="J361" s="369"/>
      <c r="O361" s="405">
        <v>3</v>
      </c>
      <c r="P361" t="s">
        <v>5046</v>
      </c>
      <c r="Q361">
        <v>11</v>
      </c>
      <c r="R361" t="s">
        <v>5048</v>
      </c>
      <c r="S361" s="398">
        <f t="shared" si="21"/>
        <v>3.9166666666666665</v>
      </c>
    </row>
    <row r="362" spans="3:19" ht="15" thickBot="1" x14ac:dyDescent="0.4">
      <c r="C362" s="256" t="s">
        <v>5198</v>
      </c>
      <c r="D362" s="328" t="s">
        <v>5337</v>
      </c>
      <c r="E362" s="2">
        <v>21</v>
      </c>
      <c r="F362" s="340">
        <v>45862</v>
      </c>
      <c r="H362" s="334">
        <v>3.14</v>
      </c>
      <c r="I362" t="s">
        <v>4688</v>
      </c>
      <c r="J362" s="369"/>
      <c r="O362" s="405">
        <v>3</v>
      </c>
      <c r="P362" t="s">
        <v>5046</v>
      </c>
      <c r="Q362">
        <v>11</v>
      </c>
      <c r="R362" t="s">
        <v>5048</v>
      </c>
      <c r="S362" s="398">
        <f t="shared" si="21"/>
        <v>3.9166666666666665</v>
      </c>
    </row>
    <row r="363" spans="3:19" ht="15" thickBot="1" x14ac:dyDescent="0.4">
      <c r="C363" s="256" t="s">
        <v>5199</v>
      </c>
      <c r="D363" s="328" t="s">
        <v>5338</v>
      </c>
      <c r="E363" s="2">
        <v>21</v>
      </c>
      <c r="F363" s="340">
        <v>45862</v>
      </c>
      <c r="H363" s="334">
        <v>3.28</v>
      </c>
      <c r="I363" t="s">
        <v>4688</v>
      </c>
      <c r="J363" s="383" t="s">
        <v>4591</v>
      </c>
      <c r="O363" s="405">
        <v>3</v>
      </c>
      <c r="P363" t="s">
        <v>5046</v>
      </c>
      <c r="Q363">
        <v>11</v>
      </c>
      <c r="R363" t="s">
        <v>5048</v>
      </c>
      <c r="S363" s="398">
        <f t="shared" si="21"/>
        <v>3.9166666666666665</v>
      </c>
    </row>
    <row r="364" spans="3:19" ht="15" thickBot="1" x14ac:dyDescent="0.4">
      <c r="C364" s="256" t="s">
        <v>5200</v>
      </c>
      <c r="D364" s="328" t="s">
        <v>5339</v>
      </c>
      <c r="E364" s="2">
        <v>21</v>
      </c>
      <c r="F364" s="340">
        <v>45862</v>
      </c>
      <c r="H364" s="334">
        <v>3.33</v>
      </c>
      <c r="I364" t="s">
        <v>4688</v>
      </c>
      <c r="J364" s="382" t="s">
        <v>4601</v>
      </c>
      <c r="O364" s="405">
        <v>3</v>
      </c>
      <c r="P364" t="s">
        <v>5046</v>
      </c>
      <c r="Q364">
        <v>11</v>
      </c>
      <c r="R364" t="s">
        <v>5048</v>
      </c>
      <c r="S364" s="398">
        <f t="shared" si="21"/>
        <v>3.9166666666666665</v>
      </c>
    </row>
    <row r="365" spans="3:19" ht="15" thickBot="1" x14ac:dyDescent="0.4">
      <c r="C365" s="256" t="s">
        <v>5201</v>
      </c>
      <c r="D365" s="328" t="s">
        <v>5340</v>
      </c>
      <c r="E365" s="2">
        <v>21</v>
      </c>
      <c r="F365" s="340">
        <v>45862</v>
      </c>
      <c r="H365" s="279">
        <v>3.54</v>
      </c>
      <c r="I365" t="s">
        <v>4688</v>
      </c>
      <c r="J365" s="382" t="s">
        <v>4601</v>
      </c>
      <c r="O365" s="405">
        <v>3</v>
      </c>
      <c r="P365" t="s">
        <v>5046</v>
      </c>
      <c r="Q365">
        <v>11</v>
      </c>
      <c r="R365" t="s">
        <v>5048</v>
      </c>
      <c r="S365" s="398">
        <f t="shared" si="21"/>
        <v>3.9166666666666665</v>
      </c>
    </row>
    <row r="366" spans="3:19" ht="15" thickBot="1" x14ac:dyDescent="0.4">
      <c r="C366" s="256" t="s">
        <v>5202</v>
      </c>
      <c r="D366" s="328" t="s">
        <v>5341</v>
      </c>
      <c r="E366" s="2">
        <v>21</v>
      </c>
      <c r="F366" s="340">
        <v>45862</v>
      </c>
      <c r="H366" s="338">
        <v>3.36</v>
      </c>
      <c r="I366" t="s">
        <v>4688</v>
      </c>
      <c r="J366" s="382" t="s">
        <v>4601</v>
      </c>
      <c r="O366" s="405">
        <v>3</v>
      </c>
      <c r="P366" t="s">
        <v>5046</v>
      </c>
      <c r="Q366">
        <v>11</v>
      </c>
      <c r="R366" t="s">
        <v>5048</v>
      </c>
      <c r="S366" s="398">
        <f t="shared" si="21"/>
        <v>3.9166666666666665</v>
      </c>
    </row>
    <row r="367" spans="3:19" ht="15" thickBot="1" x14ac:dyDescent="0.4">
      <c r="C367" s="256" t="s">
        <v>5203</v>
      </c>
      <c r="D367" s="328" t="s">
        <v>5342</v>
      </c>
      <c r="E367" s="2">
        <v>21</v>
      </c>
      <c r="F367" s="340">
        <v>45862</v>
      </c>
      <c r="H367">
        <v>3.31</v>
      </c>
      <c r="I367" t="s">
        <v>4688</v>
      </c>
      <c r="J367" s="369"/>
      <c r="O367" s="405">
        <v>3</v>
      </c>
      <c r="P367" t="s">
        <v>5046</v>
      </c>
      <c r="Q367">
        <v>11</v>
      </c>
      <c r="R367" t="s">
        <v>5048</v>
      </c>
      <c r="S367" s="398">
        <f t="shared" si="21"/>
        <v>3.9166666666666665</v>
      </c>
    </row>
    <row r="368" spans="3:19" ht="15" thickBot="1" x14ac:dyDescent="0.4">
      <c r="C368" s="256" t="s">
        <v>5204</v>
      </c>
      <c r="D368" s="328" t="s">
        <v>5343</v>
      </c>
      <c r="E368" s="2">
        <v>21</v>
      </c>
      <c r="F368" s="340">
        <v>45862</v>
      </c>
      <c r="H368" s="334">
        <v>3.54</v>
      </c>
      <c r="I368" t="s">
        <v>4688</v>
      </c>
      <c r="J368" s="369"/>
      <c r="O368" s="405">
        <v>3</v>
      </c>
      <c r="P368" t="s">
        <v>5046</v>
      </c>
      <c r="Q368">
        <v>11</v>
      </c>
      <c r="R368" t="s">
        <v>5048</v>
      </c>
      <c r="S368" s="398">
        <f t="shared" si="21"/>
        <v>3.9166666666666665</v>
      </c>
    </row>
    <row r="369" spans="3:19" ht="15" thickBot="1" x14ac:dyDescent="0.4">
      <c r="C369" s="256" t="s">
        <v>5205</v>
      </c>
      <c r="D369" s="328" t="s">
        <v>5344</v>
      </c>
      <c r="E369" s="2">
        <v>21</v>
      </c>
      <c r="F369" s="340">
        <v>45862</v>
      </c>
      <c r="H369" s="334">
        <v>3.29</v>
      </c>
      <c r="I369" t="s">
        <v>4688</v>
      </c>
      <c r="J369" s="286"/>
      <c r="O369" s="405">
        <v>3</v>
      </c>
      <c r="P369" t="s">
        <v>5046</v>
      </c>
      <c r="Q369">
        <v>11</v>
      </c>
      <c r="R369" t="s">
        <v>5048</v>
      </c>
      <c r="S369" s="398">
        <f t="shared" si="21"/>
        <v>3.9166666666666665</v>
      </c>
    </row>
    <row r="370" spans="3:19" ht="15" thickBot="1" x14ac:dyDescent="0.4">
      <c r="C370" s="256" t="s">
        <v>5206</v>
      </c>
      <c r="D370" s="328" t="s">
        <v>5345</v>
      </c>
      <c r="E370" s="2">
        <v>21</v>
      </c>
      <c r="F370" s="340">
        <v>45862</v>
      </c>
      <c r="H370" s="338">
        <v>3.59</v>
      </c>
      <c r="I370" t="s">
        <v>4688</v>
      </c>
      <c r="J370" s="286"/>
      <c r="O370" s="405">
        <v>3</v>
      </c>
      <c r="P370" t="s">
        <v>5046</v>
      </c>
      <c r="Q370">
        <v>11</v>
      </c>
      <c r="R370" t="s">
        <v>5048</v>
      </c>
      <c r="S370" s="398">
        <f t="shared" si="21"/>
        <v>3.9166666666666665</v>
      </c>
    </row>
    <row r="371" spans="3:19" ht="15" thickBot="1" x14ac:dyDescent="0.4">
      <c r="C371" s="256" t="s">
        <v>5207</v>
      </c>
      <c r="D371" s="328" t="s">
        <v>5346</v>
      </c>
      <c r="E371" s="2">
        <v>21</v>
      </c>
      <c r="F371" s="340">
        <v>45862</v>
      </c>
      <c r="H371" s="337" t="s">
        <v>4624</v>
      </c>
      <c r="I371" t="s">
        <v>4688</v>
      </c>
      <c r="J371" s="286"/>
      <c r="O371" s="405">
        <v>3</v>
      </c>
      <c r="P371" t="s">
        <v>5046</v>
      </c>
      <c r="Q371">
        <v>11</v>
      </c>
      <c r="R371" t="s">
        <v>5048</v>
      </c>
      <c r="S371" s="398">
        <f t="shared" si="21"/>
        <v>3.9166666666666665</v>
      </c>
    </row>
    <row r="372" spans="3:19" ht="15" thickBot="1" x14ac:dyDescent="0.4">
      <c r="C372" s="256" t="s">
        <v>5208</v>
      </c>
      <c r="D372" s="328" t="s">
        <v>5347</v>
      </c>
      <c r="E372" s="2">
        <v>21</v>
      </c>
      <c r="F372" s="340">
        <v>45862</v>
      </c>
      <c r="H372" s="334">
        <v>3.57</v>
      </c>
      <c r="I372" t="s">
        <v>4688</v>
      </c>
      <c r="J372" s="333"/>
      <c r="O372" s="405">
        <v>3</v>
      </c>
      <c r="P372" t="s">
        <v>5046</v>
      </c>
      <c r="Q372">
        <v>11</v>
      </c>
      <c r="R372" t="s">
        <v>5048</v>
      </c>
      <c r="S372" s="398">
        <f t="shared" si="21"/>
        <v>3.9166666666666665</v>
      </c>
    </row>
    <row r="373" spans="3:19" ht="15" thickBot="1" x14ac:dyDescent="0.4">
      <c r="C373" s="256" t="s">
        <v>5209</v>
      </c>
      <c r="D373" s="328" t="s">
        <v>5348</v>
      </c>
      <c r="E373" s="2">
        <v>21</v>
      </c>
      <c r="F373" s="340">
        <v>45862</v>
      </c>
      <c r="H373" s="334">
        <v>3.34</v>
      </c>
      <c r="I373" t="s">
        <v>4688</v>
      </c>
      <c r="J373" s="333"/>
      <c r="O373" s="405">
        <v>3</v>
      </c>
      <c r="P373" t="s">
        <v>5046</v>
      </c>
      <c r="Q373">
        <v>11</v>
      </c>
      <c r="R373" t="s">
        <v>5048</v>
      </c>
      <c r="S373" s="398">
        <f t="shared" si="21"/>
        <v>3.9166666666666665</v>
      </c>
    </row>
    <row r="374" spans="3:19" ht="15" thickBot="1" x14ac:dyDescent="0.4">
      <c r="C374" s="256" t="s">
        <v>5210</v>
      </c>
      <c r="D374" s="328" t="s">
        <v>5349</v>
      </c>
      <c r="E374" s="2">
        <v>21</v>
      </c>
      <c r="F374" s="340">
        <v>45862</v>
      </c>
      <c r="H374" s="334" t="s">
        <v>4198</v>
      </c>
      <c r="I374" t="s">
        <v>4688</v>
      </c>
      <c r="J374" s="333"/>
      <c r="O374" s="405">
        <v>3</v>
      </c>
      <c r="P374" t="s">
        <v>5046</v>
      </c>
      <c r="Q374">
        <v>11</v>
      </c>
      <c r="R374" t="s">
        <v>5048</v>
      </c>
      <c r="S374" s="398">
        <f t="shared" si="21"/>
        <v>3.9166666666666665</v>
      </c>
    </row>
    <row r="375" spans="3:19" ht="15" thickBot="1" x14ac:dyDescent="0.4">
      <c r="C375" s="256" t="s">
        <v>5211</v>
      </c>
      <c r="D375" s="328" t="s">
        <v>5350</v>
      </c>
      <c r="E375" s="2">
        <v>21</v>
      </c>
      <c r="F375" s="340">
        <v>45862</v>
      </c>
      <c r="H375" s="334">
        <v>3.12</v>
      </c>
      <c r="I375" t="s">
        <v>4688</v>
      </c>
      <c r="J375" s="333"/>
      <c r="O375" s="405">
        <v>3</v>
      </c>
      <c r="P375" t="s">
        <v>5046</v>
      </c>
      <c r="Q375">
        <v>11</v>
      </c>
      <c r="R375" t="s">
        <v>5048</v>
      </c>
      <c r="S375" s="398">
        <f t="shared" si="21"/>
        <v>3.9166666666666665</v>
      </c>
    </row>
    <row r="376" spans="3:19" ht="15" thickBot="1" x14ac:dyDescent="0.4">
      <c r="C376" s="256" t="s">
        <v>5212</v>
      </c>
      <c r="D376" s="328" t="s">
        <v>5351</v>
      </c>
      <c r="E376" s="2">
        <v>21</v>
      </c>
      <c r="F376" s="340">
        <v>45862</v>
      </c>
      <c r="H376" s="334">
        <v>3.25</v>
      </c>
      <c r="I376" t="s">
        <v>4688</v>
      </c>
      <c r="J376" s="333"/>
      <c r="O376" s="405">
        <v>3</v>
      </c>
      <c r="P376" t="s">
        <v>5046</v>
      </c>
      <c r="Q376">
        <v>11</v>
      </c>
      <c r="R376" t="s">
        <v>5048</v>
      </c>
      <c r="S376" s="398">
        <f t="shared" si="21"/>
        <v>3.9166666666666665</v>
      </c>
    </row>
    <row r="377" spans="3:19" ht="15" thickBot="1" x14ac:dyDescent="0.4">
      <c r="C377" s="256" t="s">
        <v>5213</v>
      </c>
      <c r="D377" s="331" t="s">
        <v>5352</v>
      </c>
      <c r="E377" s="2">
        <v>21</v>
      </c>
      <c r="F377" s="340">
        <v>45862</v>
      </c>
      <c r="H377" s="334">
        <v>3.38</v>
      </c>
      <c r="I377" t="s">
        <v>4688</v>
      </c>
      <c r="J377" s="333"/>
      <c r="O377" s="405">
        <v>3</v>
      </c>
      <c r="P377" t="s">
        <v>5046</v>
      </c>
      <c r="Q377">
        <v>11</v>
      </c>
      <c r="R377" t="s">
        <v>5048</v>
      </c>
      <c r="S377" s="398">
        <f t="shared" si="21"/>
        <v>3.9166666666666665</v>
      </c>
    </row>
    <row r="378" spans="3:19" ht="15" thickBot="1" x14ac:dyDescent="0.4">
      <c r="C378" s="281" t="s">
        <v>5214</v>
      </c>
      <c r="D378" s="355" t="s">
        <v>5353</v>
      </c>
      <c r="E378" s="2">
        <v>21</v>
      </c>
      <c r="F378" s="340">
        <v>45862</v>
      </c>
      <c r="H378" s="334">
        <v>3.75</v>
      </c>
      <c r="I378" t="s">
        <v>4688</v>
      </c>
      <c r="O378" s="405">
        <v>3</v>
      </c>
      <c r="P378" t="s">
        <v>5046</v>
      </c>
      <c r="Q378">
        <v>11</v>
      </c>
      <c r="R378" t="s">
        <v>5048</v>
      </c>
      <c r="S378" s="398">
        <f t="shared" si="21"/>
        <v>3.9166666666666665</v>
      </c>
    </row>
    <row r="379" spans="3:19" ht="15" thickBot="1" x14ac:dyDescent="0.4">
      <c r="C379" s="256" t="s">
        <v>5215</v>
      </c>
      <c r="D379" s="328" t="s">
        <v>5354</v>
      </c>
      <c r="E379" s="2">
        <v>21</v>
      </c>
      <c r="F379" s="340">
        <v>45862</v>
      </c>
      <c r="H379" s="337">
        <v>3.62</v>
      </c>
      <c r="I379" t="s">
        <v>4688</v>
      </c>
      <c r="J379" s="333"/>
      <c r="O379" s="405">
        <v>3</v>
      </c>
      <c r="P379" t="s">
        <v>5046</v>
      </c>
      <c r="Q379">
        <v>11</v>
      </c>
      <c r="R379" t="s">
        <v>5048</v>
      </c>
      <c r="S379" s="398">
        <f t="shared" si="21"/>
        <v>3.9166666666666665</v>
      </c>
    </row>
    <row r="380" spans="3:19" ht="15" thickBot="1" x14ac:dyDescent="0.4">
      <c r="C380" s="256" t="s">
        <v>5224</v>
      </c>
      <c r="D380" s="328" t="s">
        <v>5363</v>
      </c>
      <c r="E380" s="2">
        <v>21</v>
      </c>
      <c r="F380" s="340">
        <v>45869</v>
      </c>
      <c r="H380" s="338">
        <v>3.54</v>
      </c>
      <c r="I380" t="s">
        <v>4688</v>
      </c>
      <c r="J380" s="333"/>
      <c r="O380" s="405">
        <v>3</v>
      </c>
      <c r="P380" t="s">
        <v>5046</v>
      </c>
      <c r="Q380">
        <v>11</v>
      </c>
      <c r="R380" t="s">
        <v>5048</v>
      </c>
      <c r="S380" s="398">
        <f t="shared" si="21"/>
        <v>3.9166666666666665</v>
      </c>
    </row>
    <row r="381" spans="3:19" ht="15" thickBot="1" x14ac:dyDescent="0.4">
      <c r="C381" s="256" t="s">
        <v>5225</v>
      </c>
      <c r="D381" s="328" t="s">
        <v>5364</v>
      </c>
      <c r="E381" s="2">
        <v>21</v>
      </c>
      <c r="F381" s="340">
        <v>45869</v>
      </c>
      <c r="H381" s="334" t="s">
        <v>4966</v>
      </c>
      <c r="I381" t="s">
        <v>4688</v>
      </c>
      <c r="J381" s="333"/>
      <c r="O381" s="405">
        <v>3</v>
      </c>
      <c r="P381" t="s">
        <v>5046</v>
      </c>
      <c r="Q381">
        <v>11</v>
      </c>
      <c r="R381" t="s">
        <v>5048</v>
      </c>
      <c r="S381" s="398">
        <f t="shared" si="21"/>
        <v>3.9166666666666665</v>
      </c>
    </row>
    <row r="382" spans="3:19" ht="15" thickBot="1" x14ac:dyDescent="0.4">
      <c r="C382" s="256" t="s">
        <v>5226</v>
      </c>
      <c r="D382" s="328" t="s">
        <v>5365</v>
      </c>
      <c r="E382" s="2">
        <v>21</v>
      </c>
      <c r="F382" s="340">
        <v>45869</v>
      </c>
      <c r="H382" s="337" t="s">
        <v>4785</v>
      </c>
      <c r="I382" t="s">
        <v>4688</v>
      </c>
      <c r="J382" s="333"/>
      <c r="O382" s="405">
        <v>3</v>
      </c>
      <c r="P382" t="s">
        <v>5046</v>
      </c>
      <c r="Q382">
        <v>11</v>
      </c>
      <c r="R382" t="s">
        <v>5048</v>
      </c>
      <c r="S382" s="398">
        <f t="shared" si="21"/>
        <v>3.9166666666666665</v>
      </c>
    </row>
    <row r="383" spans="3:19" ht="15" thickBot="1" x14ac:dyDescent="0.4">
      <c r="C383" s="256" t="s">
        <v>5227</v>
      </c>
      <c r="D383" s="328" t="s">
        <v>5366</v>
      </c>
      <c r="E383" s="2">
        <v>21</v>
      </c>
      <c r="F383" s="340">
        <v>45869</v>
      </c>
      <c r="H383" s="337" t="s">
        <v>5377</v>
      </c>
      <c r="I383" t="s">
        <v>4688</v>
      </c>
      <c r="J383" s="333"/>
      <c r="O383" s="405">
        <v>3</v>
      </c>
      <c r="P383" t="s">
        <v>5046</v>
      </c>
      <c r="Q383">
        <v>11</v>
      </c>
      <c r="R383" t="s">
        <v>5048</v>
      </c>
      <c r="S383" s="398">
        <f t="shared" si="21"/>
        <v>3.9166666666666665</v>
      </c>
    </row>
    <row r="384" spans="3:19" ht="15" thickBot="1" x14ac:dyDescent="0.4">
      <c r="C384" s="256" t="s">
        <v>5228</v>
      </c>
      <c r="D384" s="328" t="s">
        <v>5367</v>
      </c>
      <c r="E384" s="2">
        <v>21</v>
      </c>
      <c r="F384" s="340">
        <v>45869</v>
      </c>
      <c r="H384" s="334" t="s">
        <v>4821</v>
      </c>
      <c r="I384" t="s">
        <v>4688</v>
      </c>
      <c r="J384" s="333"/>
      <c r="O384" s="405">
        <v>3</v>
      </c>
      <c r="P384" t="s">
        <v>5046</v>
      </c>
      <c r="Q384">
        <v>11</v>
      </c>
      <c r="R384" t="s">
        <v>5048</v>
      </c>
      <c r="S384" s="398">
        <f t="shared" si="21"/>
        <v>3.9166666666666665</v>
      </c>
    </row>
    <row r="385" spans="1:19" ht="15" thickBot="1" x14ac:dyDescent="0.4">
      <c r="C385" s="327" t="s">
        <v>5229</v>
      </c>
      <c r="D385" s="328" t="s">
        <v>5368</v>
      </c>
      <c r="E385" s="2">
        <v>21</v>
      </c>
      <c r="F385" s="340">
        <v>45869</v>
      </c>
      <c r="H385" s="334">
        <v>3.27</v>
      </c>
      <c r="I385" t="s">
        <v>4688</v>
      </c>
      <c r="J385" s="333"/>
      <c r="O385" s="405">
        <v>3</v>
      </c>
      <c r="P385" t="s">
        <v>5046</v>
      </c>
      <c r="Q385">
        <v>11</v>
      </c>
      <c r="R385" t="s">
        <v>5048</v>
      </c>
      <c r="S385" s="398">
        <f t="shared" si="21"/>
        <v>3.9166666666666665</v>
      </c>
    </row>
    <row r="386" spans="1:19" ht="15" thickBot="1" x14ac:dyDescent="0.4">
      <c r="C386" s="256" t="s">
        <v>5230</v>
      </c>
      <c r="D386" s="328" t="s">
        <v>5369</v>
      </c>
      <c r="E386" s="2">
        <v>21</v>
      </c>
      <c r="F386" s="340">
        <v>45869</v>
      </c>
      <c r="H386" s="334" t="s">
        <v>5396</v>
      </c>
      <c r="I386" t="s">
        <v>4688</v>
      </c>
      <c r="J386" s="333"/>
      <c r="O386" s="405">
        <v>3</v>
      </c>
      <c r="P386" t="s">
        <v>5046</v>
      </c>
      <c r="Q386">
        <v>11</v>
      </c>
      <c r="R386" t="s">
        <v>5048</v>
      </c>
      <c r="S386" s="398">
        <f t="shared" si="21"/>
        <v>3.9166666666666665</v>
      </c>
    </row>
    <row r="387" spans="1:19" ht="15" thickBot="1" x14ac:dyDescent="0.4">
      <c r="C387" s="256" t="s">
        <v>5231</v>
      </c>
      <c r="D387" s="328" t="s">
        <v>5370</v>
      </c>
      <c r="E387" s="2">
        <v>21</v>
      </c>
      <c r="F387" s="340">
        <v>45869</v>
      </c>
      <c r="H387" s="338">
        <v>3.48</v>
      </c>
      <c r="I387" t="s">
        <v>4688</v>
      </c>
      <c r="J387" s="333"/>
      <c r="O387" s="405">
        <v>3</v>
      </c>
      <c r="P387" t="s">
        <v>5046</v>
      </c>
      <c r="Q387">
        <v>11</v>
      </c>
      <c r="R387" t="s">
        <v>5048</v>
      </c>
      <c r="S387" s="398">
        <f t="shared" si="21"/>
        <v>3.9166666666666665</v>
      </c>
    </row>
    <row r="388" spans="1:19" ht="15" thickBot="1" x14ac:dyDescent="0.4">
      <c r="C388" s="256" t="s">
        <v>5232</v>
      </c>
      <c r="D388" s="328" t="s">
        <v>5371</v>
      </c>
      <c r="E388" s="2">
        <v>21</v>
      </c>
      <c r="F388" s="340">
        <v>45869</v>
      </c>
      <c r="H388" s="334" t="s">
        <v>4214</v>
      </c>
      <c r="I388" t="s">
        <v>4688</v>
      </c>
      <c r="J388" s="333"/>
      <c r="O388" s="405">
        <v>3</v>
      </c>
      <c r="P388" t="s">
        <v>5046</v>
      </c>
      <c r="Q388">
        <v>11</v>
      </c>
      <c r="R388" t="s">
        <v>5048</v>
      </c>
      <c r="S388" s="398">
        <f t="shared" si="21"/>
        <v>3.9166666666666665</v>
      </c>
    </row>
    <row r="389" spans="1:19" ht="15" thickBot="1" x14ac:dyDescent="0.4">
      <c r="C389" s="256" t="s">
        <v>5233</v>
      </c>
      <c r="D389" s="328" t="s">
        <v>5372</v>
      </c>
      <c r="E389" s="2">
        <v>21</v>
      </c>
      <c r="F389" s="340">
        <v>45869</v>
      </c>
      <c r="H389" s="334" t="s">
        <v>4827</v>
      </c>
      <c r="I389" t="s">
        <v>4688</v>
      </c>
      <c r="J389" s="333"/>
      <c r="O389" s="405">
        <v>3</v>
      </c>
      <c r="P389" t="s">
        <v>5046</v>
      </c>
      <c r="Q389">
        <v>11</v>
      </c>
      <c r="R389" t="s">
        <v>5048</v>
      </c>
      <c r="S389" s="398">
        <f t="shared" si="21"/>
        <v>3.9166666666666665</v>
      </c>
    </row>
    <row r="390" spans="1:19" ht="15" thickBot="1" x14ac:dyDescent="0.4">
      <c r="C390" s="256" t="s">
        <v>5234</v>
      </c>
      <c r="D390" s="328" t="s">
        <v>5373</v>
      </c>
      <c r="E390" s="2">
        <v>21</v>
      </c>
      <c r="F390" s="340">
        <v>45869</v>
      </c>
      <c r="H390" s="334" t="s">
        <v>5022</v>
      </c>
      <c r="I390" t="s">
        <v>4688</v>
      </c>
      <c r="J390" s="333"/>
      <c r="O390" s="405">
        <v>3</v>
      </c>
      <c r="P390" t="s">
        <v>5046</v>
      </c>
      <c r="Q390">
        <v>11</v>
      </c>
      <c r="R390" t="s">
        <v>5048</v>
      </c>
      <c r="S390" s="398">
        <f t="shared" si="21"/>
        <v>3.9166666666666665</v>
      </c>
    </row>
    <row r="391" spans="1:19" ht="15" thickBot="1" x14ac:dyDescent="0.4">
      <c r="C391" s="256" t="s">
        <v>5235</v>
      </c>
      <c r="D391" s="328" t="s">
        <v>5374</v>
      </c>
      <c r="E391" s="2">
        <v>21</v>
      </c>
      <c r="F391" s="340">
        <v>45869</v>
      </c>
      <c r="H391" s="334" t="s">
        <v>4828</v>
      </c>
      <c r="I391" t="s">
        <v>4688</v>
      </c>
      <c r="J391" s="333"/>
      <c r="O391" s="405">
        <v>3</v>
      </c>
      <c r="P391" t="s">
        <v>5046</v>
      </c>
      <c r="Q391">
        <v>11</v>
      </c>
      <c r="R391" t="s">
        <v>5048</v>
      </c>
      <c r="S391" s="398">
        <f t="shared" si="21"/>
        <v>3.9166666666666665</v>
      </c>
    </row>
    <row r="392" spans="1:19" ht="15" thickBot="1" x14ac:dyDescent="0.4">
      <c r="C392" s="256" t="s">
        <v>5236</v>
      </c>
      <c r="D392" s="328" t="s">
        <v>5375</v>
      </c>
      <c r="E392" s="2">
        <v>21</v>
      </c>
      <c r="F392" s="340">
        <v>45869</v>
      </c>
      <c r="H392" s="279">
        <v>2.81</v>
      </c>
      <c r="I392" t="s">
        <v>4688</v>
      </c>
      <c r="J392" s="333"/>
      <c r="O392" s="405">
        <v>3</v>
      </c>
      <c r="P392" t="s">
        <v>5046</v>
      </c>
      <c r="Q392">
        <v>11</v>
      </c>
      <c r="R392" t="s">
        <v>5048</v>
      </c>
      <c r="S392" s="398">
        <f t="shared" si="21"/>
        <v>3.9166666666666665</v>
      </c>
    </row>
    <row r="393" spans="1:19" ht="15" thickBot="1" x14ac:dyDescent="0.4">
      <c r="B393" s="18"/>
      <c r="C393" s="258"/>
      <c r="D393" s="258"/>
      <c r="E393" s="2"/>
      <c r="F393" s="276"/>
      <c r="G393" s="271"/>
      <c r="H393" s="360"/>
      <c r="I393" s="18"/>
      <c r="J393" s="367"/>
    </row>
    <row r="394" spans="1:19" ht="15" thickBot="1" x14ac:dyDescent="0.4">
      <c r="B394" s="18"/>
      <c r="C394" s="333"/>
      <c r="D394" s="333"/>
      <c r="E394" s="2"/>
      <c r="F394" s="255"/>
      <c r="G394" s="281"/>
      <c r="H394" s="266"/>
      <c r="I394" s="18"/>
      <c r="J394" s="367"/>
    </row>
    <row r="395" spans="1:19" ht="15" thickBot="1" x14ac:dyDescent="0.4">
      <c r="A395" s="2"/>
      <c r="B395" s="18"/>
      <c r="C395" s="256"/>
      <c r="D395" s="256"/>
      <c r="E395" s="2"/>
      <c r="F395" s="256"/>
      <c r="G395" s="281"/>
      <c r="H395" s="266"/>
      <c r="I395" s="18"/>
      <c r="J395" s="369"/>
    </row>
    <row r="396" spans="1:19" ht="15" thickBot="1" x14ac:dyDescent="0.4">
      <c r="C396" s="333"/>
      <c r="D396" s="333"/>
      <c r="F396" s="333"/>
      <c r="J396" s="333"/>
    </row>
    <row r="397" spans="1:19" ht="15" thickBot="1" x14ac:dyDescent="0.4">
      <c r="C397" s="345" t="s">
        <v>5028</v>
      </c>
      <c r="D397" s="256" t="s">
        <v>5029</v>
      </c>
      <c r="F397" s="333"/>
      <c r="J397" s="333"/>
    </row>
    <row r="398" spans="1:19" ht="15" thickBot="1" x14ac:dyDescent="0.4">
      <c r="C398" s="353"/>
      <c r="D398" s="354"/>
      <c r="E398" s="2"/>
      <c r="F398" s="357"/>
      <c r="H398" s="343"/>
      <c r="J398" s="381"/>
    </row>
    <row r="399" spans="1:19" ht="15" thickBot="1" x14ac:dyDescent="0.4">
      <c r="C399" s="345" t="s">
        <v>5030</v>
      </c>
      <c r="D399" s="256"/>
      <c r="F399" s="333"/>
      <c r="J399" s="333"/>
    </row>
    <row r="400" spans="1:19" ht="15" thickBot="1" x14ac:dyDescent="0.4">
      <c r="C400" s="256"/>
      <c r="D400" s="328"/>
      <c r="E400" s="2"/>
      <c r="F400" s="340"/>
      <c r="H400" s="334"/>
      <c r="J400" s="264"/>
    </row>
    <row r="401" spans="3:10" ht="15" thickBot="1" x14ac:dyDescent="0.4">
      <c r="C401" s="345" t="s">
        <v>5031</v>
      </c>
      <c r="D401" s="328"/>
      <c r="E401" s="2"/>
      <c r="F401" s="340"/>
      <c r="H401" s="337"/>
      <c r="J401" s="264"/>
    </row>
  </sheetData>
  <sortState xmlns:xlrd2="http://schemas.microsoft.com/office/spreadsheetml/2017/richdata2" ref="A3:I392">
    <sortCondition ref="E3:E392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D07E96-16ED-4CCE-BC56-6EB7037A7BA3}">
  <dimension ref="A1:G32"/>
  <sheetViews>
    <sheetView topLeftCell="A4" workbookViewId="0">
      <selection activeCell="B28" sqref="B28"/>
    </sheetView>
  </sheetViews>
  <sheetFormatPr defaultRowHeight="14.5" x14ac:dyDescent="0.35"/>
  <cols>
    <col min="1" max="1" width="11.08984375" customWidth="1"/>
  </cols>
  <sheetData>
    <row r="1" spans="1:7" x14ac:dyDescent="0.35">
      <c r="A1" s="299" t="s">
        <v>5026</v>
      </c>
      <c r="G1" s="299"/>
    </row>
    <row r="2" spans="1:7" x14ac:dyDescent="0.35">
      <c r="A2" s="300"/>
      <c r="G2" s="299"/>
    </row>
    <row r="3" spans="1:7" x14ac:dyDescent="0.35">
      <c r="A3" s="301"/>
      <c r="B3" s="302">
        <v>2017</v>
      </c>
      <c r="C3" s="302">
        <v>2018</v>
      </c>
      <c r="D3" s="302">
        <v>2019</v>
      </c>
      <c r="E3" s="302">
        <v>2020</v>
      </c>
      <c r="F3" s="302">
        <v>2021</v>
      </c>
      <c r="G3" s="303" t="s">
        <v>5027</v>
      </c>
    </row>
    <row r="4" spans="1:7" x14ac:dyDescent="0.35">
      <c r="A4" s="304">
        <v>45375</v>
      </c>
      <c r="B4" s="305"/>
      <c r="C4" s="303"/>
      <c r="D4" s="303"/>
      <c r="E4" s="303">
        <v>4</v>
      </c>
      <c r="F4" s="303"/>
      <c r="G4" s="306">
        <f>SUM(B4:F4)</f>
        <v>4</v>
      </c>
    </row>
    <row r="5" spans="1:7" x14ac:dyDescent="0.35">
      <c r="A5" s="304">
        <v>45403</v>
      </c>
      <c r="B5" s="305"/>
      <c r="C5" s="307">
        <v>1</v>
      </c>
      <c r="D5" s="307"/>
      <c r="E5" s="307"/>
      <c r="F5" s="307"/>
      <c r="G5" s="306">
        <f t="shared" ref="G5:G17" si="0">SUM(B5:F5)</f>
        <v>1</v>
      </c>
    </row>
    <row r="6" spans="1:7" x14ac:dyDescent="0.35">
      <c r="A6" s="304">
        <v>45407</v>
      </c>
      <c r="B6" s="305">
        <v>1</v>
      </c>
      <c r="C6" s="307"/>
      <c r="D6" s="307"/>
      <c r="E6" s="307"/>
      <c r="F6" s="307"/>
      <c r="G6" s="306">
        <f t="shared" si="0"/>
        <v>1</v>
      </c>
    </row>
    <row r="7" spans="1:7" x14ac:dyDescent="0.35">
      <c r="A7" s="304">
        <v>45443</v>
      </c>
      <c r="B7" s="305"/>
      <c r="C7" s="307"/>
      <c r="D7" s="307">
        <v>2</v>
      </c>
      <c r="E7" s="307">
        <v>2</v>
      </c>
      <c r="F7" s="307"/>
      <c r="G7" s="306">
        <f t="shared" si="0"/>
        <v>4</v>
      </c>
    </row>
    <row r="8" spans="1:7" x14ac:dyDescent="0.35">
      <c r="A8" s="304">
        <v>45496</v>
      </c>
      <c r="B8" s="305">
        <v>1</v>
      </c>
      <c r="C8" s="307">
        <v>2</v>
      </c>
      <c r="D8" s="307">
        <v>8</v>
      </c>
      <c r="E8" s="307">
        <v>25</v>
      </c>
      <c r="F8" s="307"/>
      <c r="G8" s="306">
        <f t="shared" si="0"/>
        <v>36</v>
      </c>
    </row>
    <row r="9" spans="1:7" x14ac:dyDescent="0.35">
      <c r="A9" s="304">
        <v>45504</v>
      </c>
      <c r="B9" s="305">
        <v>2</v>
      </c>
      <c r="C9" s="307"/>
      <c r="D9" s="307">
        <v>2</v>
      </c>
      <c r="E9" s="307">
        <v>6</v>
      </c>
      <c r="F9" s="307"/>
      <c r="G9" s="306">
        <f t="shared" si="0"/>
        <v>10</v>
      </c>
    </row>
    <row r="10" spans="1:7" x14ac:dyDescent="0.35">
      <c r="A10" s="304">
        <v>45533</v>
      </c>
      <c r="B10" s="305"/>
      <c r="C10" s="307"/>
      <c r="D10" s="307"/>
      <c r="E10" s="307">
        <v>12</v>
      </c>
      <c r="F10" s="307"/>
      <c r="G10" s="306">
        <f t="shared" si="0"/>
        <v>12</v>
      </c>
    </row>
    <row r="11" spans="1:7" x14ac:dyDescent="0.35">
      <c r="A11" s="304">
        <v>45565</v>
      </c>
      <c r="B11" s="305"/>
      <c r="C11" s="307"/>
      <c r="D11" s="307"/>
      <c r="E11" s="307">
        <v>4</v>
      </c>
      <c r="F11" s="307"/>
      <c r="G11" s="306">
        <f t="shared" si="0"/>
        <v>4</v>
      </c>
    </row>
    <row r="12" spans="1:7" x14ac:dyDescent="0.35">
      <c r="A12" s="304">
        <v>45581</v>
      </c>
      <c r="B12" s="305"/>
      <c r="C12" s="307"/>
      <c r="D12" s="307">
        <v>1</v>
      </c>
      <c r="E12" s="307">
        <v>8</v>
      </c>
      <c r="F12" s="307"/>
      <c r="G12" s="306">
        <f t="shared" si="0"/>
        <v>9</v>
      </c>
    </row>
    <row r="13" spans="1:7" x14ac:dyDescent="0.35">
      <c r="A13" s="304">
        <v>45628</v>
      </c>
      <c r="B13" s="305"/>
      <c r="C13" s="307"/>
      <c r="D13" s="307"/>
      <c r="E13" s="307">
        <v>9</v>
      </c>
      <c r="F13" s="307"/>
      <c r="G13" s="306">
        <f t="shared" si="0"/>
        <v>9</v>
      </c>
    </row>
    <row r="14" spans="1:7" x14ac:dyDescent="0.35">
      <c r="A14" s="304">
        <v>45656</v>
      </c>
      <c r="B14" s="305"/>
      <c r="C14" s="307"/>
      <c r="D14" s="307"/>
      <c r="E14" s="307">
        <v>7</v>
      </c>
      <c r="F14" s="307"/>
      <c r="G14" s="306">
        <f t="shared" si="0"/>
        <v>7</v>
      </c>
    </row>
    <row r="15" spans="1:7" x14ac:dyDescent="0.35">
      <c r="A15" s="304">
        <v>45688</v>
      </c>
      <c r="B15" s="305"/>
      <c r="C15" s="307"/>
      <c r="D15" s="307">
        <v>1</v>
      </c>
      <c r="E15" s="307">
        <v>3</v>
      </c>
      <c r="F15" s="307"/>
      <c r="G15" s="306">
        <f t="shared" si="0"/>
        <v>4</v>
      </c>
    </row>
    <row r="16" spans="1:7" x14ac:dyDescent="0.35">
      <c r="A16" s="304">
        <v>45716</v>
      </c>
      <c r="B16" s="305"/>
      <c r="C16" s="307"/>
      <c r="D16" s="307"/>
      <c r="E16" s="307">
        <v>6</v>
      </c>
      <c r="F16" s="307"/>
      <c r="G16" s="306">
        <f t="shared" si="0"/>
        <v>6</v>
      </c>
    </row>
    <row r="17" spans="1:7" x14ac:dyDescent="0.35">
      <c r="A17" s="304">
        <v>45740</v>
      </c>
      <c r="B17" s="305"/>
      <c r="C17" s="307"/>
      <c r="D17" s="307"/>
      <c r="E17" s="307">
        <v>4</v>
      </c>
      <c r="F17" s="307"/>
      <c r="G17" s="303">
        <f t="shared" si="0"/>
        <v>4</v>
      </c>
    </row>
    <row r="18" spans="1:7" x14ac:dyDescent="0.35">
      <c r="A18" s="304">
        <v>45768</v>
      </c>
      <c r="B18" s="305"/>
      <c r="C18" s="307"/>
      <c r="D18" s="307"/>
      <c r="E18" s="307"/>
      <c r="F18" s="307">
        <v>1</v>
      </c>
      <c r="G18" s="303"/>
    </row>
    <row r="19" spans="1:7" x14ac:dyDescent="0.35">
      <c r="A19" s="304">
        <v>45804</v>
      </c>
      <c r="B19" s="305"/>
      <c r="C19" s="307"/>
      <c r="D19" s="307"/>
      <c r="E19" s="307">
        <v>2</v>
      </c>
      <c r="F19" s="307"/>
      <c r="G19" s="303"/>
    </row>
    <row r="20" spans="1:7" x14ac:dyDescent="0.35">
      <c r="A20" s="304">
        <v>45833</v>
      </c>
      <c r="B20" s="305"/>
      <c r="C20" s="307"/>
      <c r="D20" s="307"/>
      <c r="E20" s="307"/>
      <c r="F20" s="307">
        <v>3</v>
      </c>
      <c r="G20" s="303"/>
    </row>
    <row r="21" spans="1:7" x14ac:dyDescent="0.35">
      <c r="A21" s="304">
        <v>45862</v>
      </c>
      <c r="B21" s="305"/>
      <c r="C21" s="307"/>
      <c r="D21" s="307">
        <v>2</v>
      </c>
      <c r="E21" s="307">
        <v>4</v>
      </c>
      <c r="F21" s="307">
        <v>41</v>
      </c>
      <c r="G21" s="303"/>
    </row>
    <row r="22" spans="1:7" x14ac:dyDescent="0.35">
      <c r="A22" s="308"/>
      <c r="B22" s="309">
        <f>SUM(B4:B21)</f>
        <v>4</v>
      </c>
      <c r="C22" s="309">
        <f t="shared" ref="C22:G22" si="1">SUM(C4:C21)</f>
        <v>3</v>
      </c>
      <c r="D22" s="309">
        <f t="shared" si="1"/>
        <v>16</v>
      </c>
      <c r="E22" s="309">
        <f t="shared" si="1"/>
        <v>96</v>
      </c>
      <c r="F22" s="309">
        <f t="shared" si="1"/>
        <v>45</v>
      </c>
      <c r="G22" s="309">
        <f t="shared" si="1"/>
        <v>111</v>
      </c>
    </row>
    <row r="27" spans="1:7" x14ac:dyDescent="0.35">
      <c r="B27">
        <v>2018</v>
      </c>
    </row>
    <row r="28" spans="1:7" x14ac:dyDescent="0.35">
      <c r="A28" t="s">
        <v>5053</v>
      </c>
      <c r="B28">
        <f>'Data induk'!M2890</f>
        <v>35</v>
      </c>
    </row>
    <row r="29" spans="1:7" x14ac:dyDescent="0.35">
      <c r="A29" t="s">
        <v>5054</v>
      </c>
      <c r="B29">
        <f>'Data induk'!M2929</f>
        <v>32</v>
      </c>
    </row>
    <row r="30" spans="1:7" x14ac:dyDescent="0.35">
      <c r="A30" t="s">
        <v>5055</v>
      </c>
      <c r="B30">
        <f>'Data induk'!M2967</f>
        <v>20</v>
      </c>
    </row>
    <row r="31" spans="1:7" x14ac:dyDescent="0.35">
      <c r="A31" t="s">
        <v>5056</v>
      </c>
      <c r="B31">
        <f>'Data induk'!M3026</f>
        <v>8</v>
      </c>
    </row>
    <row r="32" spans="1:7" x14ac:dyDescent="0.35">
      <c r="A32" t="s">
        <v>5057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 induk</vt:lpstr>
      <vt:lpstr>Sheet2</vt:lpstr>
      <vt:lpstr>DAFTAR REKAP KELULUSAN MARET 20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diyono</dc:creator>
  <cp:lastModifiedBy>Sigit Munjani</cp:lastModifiedBy>
  <dcterms:created xsi:type="dcterms:W3CDTF">2024-02-16T09:12:19Z</dcterms:created>
  <dcterms:modified xsi:type="dcterms:W3CDTF">2025-11-07T08:18:59Z</dcterms:modified>
</cp:coreProperties>
</file>